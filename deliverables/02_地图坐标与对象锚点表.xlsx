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世界设置" sheetId="2" state="visible" r:id="rId2"/>
    <sheet xmlns:r="http://schemas.openxmlformats.org/officeDocument/2006/relationships" name="02_固定地理" sheetId="3" state="visible" r:id="rId3"/>
    <sheet xmlns:r="http://schemas.openxmlformats.org/officeDocument/2006/relationships" name="03_地点锚点" sheetId="4" state="visible" r:id="rId4"/>
    <sheet xmlns:r="http://schemas.openxmlformats.org/officeDocument/2006/relationships" name="04_路径网络" sheetId="5" state="visible" r:id="rId5"/>
    <sheet xmlns:r="http://schemas.openxmlformats.org/officeDocument/2006/relationships" name="05_层级表现LOD" sheetId="6" state="visible" r:id="rId6"/>
    <sheet xmlns:r="http://schemas.openxmlformats.org/officeDocument/2006/relationships" name="06_建筑锚点" sheetId="7" state="visible" r:id="rId7"/>
    <sheet xmlns:r="http://schemas.openxmlformats.org/officeDocument/2006/relationships" name="07_动态状态" sheetId="8" state="visible" r:id="rId8"/>
    <sheet xmlns:r="http://schemas.openxmlformats.org/officeDocument/2006/relationships" name="08_资产清单" sheetId="9" state="visible" r:id="rId9"/>
    <sheet xmlns:r="http://schemas.openxmlformats.org/officeDocument/2006/relationships" name="09_连续性验收" sheetId="10" state="visible" r:id="rId10"/>
    <sheet xmlns:r="http://schemas.openxmlformats.org/officeDocument/2006/relationships" name="10_数据字典" sheetId="11" state="hidden" r:id="rId11"/>
    <sheet xmlns:r="http://schemas.openxmlformats.org/officeDocument/2006/relationships" name="11_校验结果" sheetId="12" state="visible" r:id="rId12"/>
  </sheets>
  <definedNames>
    <definedName name="WorldWidth">'01_世界设置'!$C$6</definedName>
    <definedName name="WorldHeight">'01_世界设置'!$C$7</definedName>
    <definedName name="MasterWidthPx">'01_世界设置'!$C$11</definedName>
    <definedName name="MasterHeightPx">'01_世界设置'!$C$12</definedName>
    <definedName name="PreviewWidthPx">'01_世界设置'!$C$13</definedName>
    <definedName name="PreviewHeightPx">'01_世界设置'!$C$14</definedName>
    <definedName name="CoordinateDecimals">'01_世界设置'!$C$21</definedName>
    <definedName name="dict_map_level">'10_数据字典'!$B$2:$B$8</definedName>
    <definedName name="dict_object_type">'10_数据字典'!$B$9:$B$30</definedName>
    <definedName name="dict_location_type">'10_数据字典'!$B$31:$B$49</definedName>
    <definedName name="dict_path_type">'10_数据字典'!$B$50:$B$63</definedName>
    <definedName name="dict_building_type">'10_数据字典'!$B$64:$B$96</definedName>
    <definedName name="dict_state_code">'10_数据字典'!$B$97:$B$108</definedName>
    <definedName name="dict_review_status">'10_数据字典'!$B$109:$B$115</definedName>
    <definedName name="dict_production_status">'10_数据字典'!$B$116:$B$123</definedName>
    <definedName name="dict_direction">'10_数据字典'!$B$124:$B$132</definedName>
    <definedName name="dict_geometry_type">'10_数据字典'!$B$133:$B$136</definedName>
    <definedName name="dict_boolean">'10_数据字典'!$B$137:$B$138</definedName>
    <definedName name="dict_display_rule">'10_数据字典'!$B$139:$B$142</definedName>
    <definedName name="dict_anchor_rule">'10_数据字典'!$B$143:$B$148</definedName>
    <definedName name="dict_passage_status">'10_数据字典'!$B$149:$B$156</definedName>
    <definedName name="dict_capacity">'10_数据字典'!$B$157:$B$161</definedName>
    <definedName name="dict_file_format">'10_数据字典'!$B$162:$B$170</definedName>
    <definedName name="dict_asset_type">'10_数据字典'!$B$171:$B$180</definedName>
    <definedName name="dict_check_result">'10_数据字典'!$B$181:$B$185</definedName>
    <definedName name="dict_check_type">'10_数据字典'!$B$186:$B$196</definedName>
    <definedName name="dict_road_level">'10_数据字典'!$B$197:$B$202</definedName>
    <definedName name="dict_build_status">'10_数据字典'!$B$203:$B$208</definedName>
    <definedName name="dict_state_category">'10_数据字典'!$B$209:$B$216</definedName>
    <definedName name="dict_source_format">'10_数据字典'!$B$217:$B$222</definedName>
    <definedName name="dict_export_format">'10_数据字典'!$B$223:$B$226</definedName>
    <definedName name="_xlnm._FilterDatabase" localSheetId="2" hidden="1">'02_固定地理'!$A$1:$Y$501</definedName>
    <definedName name="_xlnm.Print_Titles" localSheetId="2">'02_固定地理'!$1:$1</definedName>
    <definedName name="_xlnm._FilterDatabase" localSheetId="3" hidden="1">'03_地点锚点'!$A$1:$W$501</definedName>
    <definedName name="_xlnm.Print_Titles" localSheetId="3">'03_地点锚点'!$1:$1</definedName>
    <definedName name="_xlnm._FilterDatabase" localSheetId="4" hidden="1">'04_路径网络'!$A$1:$AA$501</definedName>
    <definedName name="_xlnm.Print_Titles" localSheetId="4">'04_路径网络'!$1:$1</definedName>
    <definedName name="_xlnm._FilterDatabase" localSheetId="5" hidden="1">'05_层级表现LOD'!$A$1:$U$501</definedName>
    <definedName name="_xlnm.Print_Titles" localSheetId="5">'05_层级表现LOD'!$1:$1</definedName>
    <definedName name="_xlnm._FilterDatabase" localSheetId="6" hidden="1">'06_建筑锚点'!$A$1:$AC$501</definedName>
    <definedName name="_xlnm.Print_Titles" localSheetId="6">'06_建筑锚点'!$1:$1</definedName>
    <definedName name="_xlnm._FilterDatabase" localSheetId="7" hidden="1">'07_动态状态'!$A$1:$Q$501</definedName>
    <definedName name="_xlnm.Print_Titles" localSheetId="7">'07_动态状态'!$1:$1</definedName>
    <definedName name="_xlnm._FilterDatabase" localSheetId="8" hidden="1">'08_资产清单'!$A$1:$Y$501</definedName>
    <definedName name="_xlnm.Print_Titles" localSheetId="8">'08_资产清单'!$1:$1</definedName>
    <definedName name="_xlnm._FilterDatabase" localSheetId="9" hidden="1">'09_连续性验收'!$A$1:$X$501</definedName>
    <definedName name="_xlnm.Print_Titles" localSheetId="9">'09_连续性验收'!$1:$1</definedName>
    <definedName name="_xlnm._FilterDatabase" localSheetId="11" hidden="1">'11_校验结果'!$A$1:$H$4001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1F4E78"/>
      <sz val="11"/>
    </font>
    <font>
      <name val="微软雅黑"/>
      <color rgb="00222222"/>
      <sz val="10"/>
    </font>
    <font>
      <name val="微软雅黑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DDEBF7"/>
      </patternFill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0" pivotButton="0" quotePrefix="0" xfId="0"/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0" fillId="7" borderId="0" pivotButton="0" quotePrefix="0" xfId="0"/>
    <xf numFmtId="2" fontId="0" fillId="8" borderId="0" pivotButton="0" quotePrefix="0" xfId="0"/>
    <xf numFmtId="0" fontId="0" fillId="0" borderId="0" applyAlignment="1" pivotButton="0" quotePrefix="0" xfId="0">
      <alignment vertical="top" wrapText="1"/>
    </xf>
    <xf numFmtId="0" fontId="3" fillId="6" borderId="0" applyAlignment="1" pivotButton="0" quotePrefix="0" xfId="0">
      <alignment vertical="center"/>
    </xf>
    <xf numFmtId="2" fontId="3" fillId="8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0" fontId="3" fillId="8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按字段语义填写；正式对象必须使用稳定ID并保持可追溯。</t>
      </text>
    </comment>
    <comment ref="B1" authorId="0" shapeId="0">
      <text>
        <t>按字段语义填写；正式对象必须使用稳定ID并保持可追溯。</t>
      </text>
    </comment>
    <comment ref="C1" authorId="0" shapeId="0">
      <text>
        <t>按字段语义填写；正式对象必须使用稳定ID并保持可追溯。</t>
      </text>
    </comment>
    <comment ref="D1" authorId="0" shapeId="0">
      <text>
        <t>按字段语义填写；正式对象必须使用稳定ID并保持可追溯。</t>
      </text>
    </comment>
    <comment ref="E1" authorId="0" shapeId="0">
      <text>
        <t>按字段语义填写；正式对象必须使用稳定ID并保持可追溯。</t>
      </text>
    </comment>
    <comment ref="F1" authorId="0" shapeId="0">
      <text>
        <t>按字段语义填写；正式对象必须使用稳定ID并保持可追溯。</t>
      </text>
    </comment>
    <comment ref="G1" authorId="0" shapeId="0">
      <text>
        <t>按字段语义填写；正式对象必须使用稳定ID并保持可追溯。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稳定唯一ID。示例只见说明页；投入使用后不得随意修改或重用。</t>
      </text>
    </comment>
    <comment ref="B1" authorId="0" shapeId="0">
      <text>
        <t>按字段语义填写；正式对象必须使用稳定ID并保持可追溯。</t>
      </text>
    </comment>
    <comment ref="C1" authorId="0" shapeId="0">
      <text>
        <t>按字段语义填写；正式对象必须使用稳定ID并保持可追溯。</t>
      </text>
    </comment>
    <comment ref="D1" authorId="0" shapeId="0">
      <text>
        <t>按字段语义填写；正式对象必须使用稳定ID并保持可追溯。</t>
      </text>
    </comment>
    <comment ref="E1" authorId="0" shapeId="0">
      <text>
        <t>稳定唯一ID。示例只见说明页；投入使用后不得随意修改或重用。</t>
      </text>
    </comment>
    <comment ref="F1" authorId="0" shapeId="0">
      <text>
        <t>世界逻辑坐标，不是图片像素坐标；必须位于01_世界设置定义的范围内。</t>
      </text>
    </comment>
    <comment ref="G1" authorId="0" shapeId="0">
      <text>
        <t>世界逻辑坐标，不是图片像素坐标；必须位于01_世界设置定义的范围内。</t>
      </text>
    </comment>
    <comment ref="H1" authorId="0" shapeId="0">
      <text>
        <t>按字段语义填写；正式对象必须使用稳定ID并保持可追溯。</t>
      </text>
    </comment>
    <comment ref="I1" authorId="0" shapeId="0">
      <text>
        <t>按字段语义填写；正式对象必须使用稳定ID并保持可追溯。</t>
      </text>
    </comment>
    <comment ref="J1" authorId="0" shapeId="0">
      <text>
        <t>按字段语义填写；正式对象必须使用稳定ID并保持可追溯。</t>
      </text>
    </comment>
    <comment ref="K1" authorId="0" shapeId="0">
      <text>
        <t>按字段语义填写；正式对象必须使用稳定ID并保持可追溯。</t>
      </text>
    </comment>
    <comment ref="L1" authorId="0" shapeId="0">
      <text>
        <t>按字段语义填写；正式对象必须使用稳定ID并保持可追溯。</t>
      </text>
    </comment>
    <comment ref="M1" authorId="0" shapeId="0">
      <text>
        <t>按字段语义填写；正式对象必须使用稳定ID并保持可追溯。</t>
      </text>
    </comment>
    <comment ref="N1" authorId="0" shapeId="0">
      <text>
        <t>按字段语义填写；正式对象必须使用稳定ID并保持可追溯。</t>
      </text>
    </comment>
    <comment ref="O1" authorId="0" shapeId="0">
      <text>
        <t>按字段语义填写；正式对象必须使用稳定ID并保持可追溯。</t>
      </text>
    </comment>
    <comment ref="P1" authorId="0" shapeId="0">
      <text>
        <t>按字段语义填写；正式对象必须使用稳定ID并保持可追溯。</t>
      </text>
    </comment>
    <comment ref="Q1" authorId="0" shapeId="0">
      <text>
        <t>按字段语义填写；正式对象必须使用稳定ID并保持可追溯。</t>
      </text>
    </comment>
    <comment ref="R1" authorId="0" shapeId="0">
      <text>
        <t>按字段语义填写；正式对象必须使用稳定ID并保持可追溯。</t>
      </text>
    </comment>
    <comment ref="S1" authorId="0" shapeId="0">
      <text>
        <t>按字段语义填写；正式对象必须使用稳定ID并保持可追溯。</t>
      </text>
    </comment>
    <comment ref="T1" authorId="0" shapeId="0">
      <text>
        <t>按字段语义填写；正式对象必须使用稳定ID并保持可追溯。</t>
      </text>
    </comment>
    <comment ref="U1" authorId="0" shapeId="0">
      <text>
        <t>稳定唯一ID。示例只见说明页；投入使用后不得随意修改或重用。</t>
      </text>
    </comment>
    <comment ref="V1" authorId="0" shapeId="0">
      <text>
        <t>记录可复核的历史、地理或制作来源；未知时留空，不得编造。</t>
      </text>
    </comment>
    <comment ref="W1" authorId="0" shapeId="0">
      <text>
        <t>按字段语义填写；正式对象必须使用稳定ID并保持可追溯。</t>
      </text>
    </comment>
    <comment ref="X1" authorId="0" shapeId="0">
      <text>
        <t>按字段语义填写；正式对象必须使用稳定ID并保持可追溯。</t>
      </text>
    </comment>
    <comment ref="Y1" authorId="0" shapeId="0">
      <text>
        <t>按字段语义填写；正式对象必须使用稳定ID并保持可追溯。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稳定唯一ID。示例只见说明页；投入使用后不得随意修改或重用。</t>
      </text>
    </comment>
    <comment ref="B1" authorId="0" shapeId="0">
      <text>
        <t>按字段语义填写；正式对象必须使用稳定ID并保持可追溯。</t>
      </text>
    </comment>
    <comment ref="C1" authorId="0" shapeId="0">
      <text>
        <t>按字段语义填写；正式对象必须使用稳定ID并保持可追溯。</t>
      </text>
    </comment>
    <comment ref="D1" authorId="0" shapeId="0">
      <text>
        <t>按字段语义填写；正式对象必须使用稳定ID并保持可追溯。</t>
      </text>
    </comment>
    <comment ref="E1" authorId="0" shapeId="0">
      <text>
        <t>稳定唯一ID。示例只见说明页；投入使用后不得随意修改或重用。</t>
      </text>
    </comment>
    <comment ref="F1" authorId="0" shapeId="0">
      <text>
        <t>稳定唯一ID。示例只见说明页；投入使用后不得随意修改或重用。</t>
      </text>
    </comment>
    <comment ref="G1" authorId="0" shapeId="0">
      <text>
        <t>世界逻辑坐标，不是图片像素坐标；必须位于01_世界设置定义的范围内。</t>
      </text>
    </comment>
    <comment ref="H1" authorId="0" shapeId="0">
      <text>
        <t>世界逻辑坐标，不是图片像素坐标；必须位于01_世界设置定义的范围内。</t>
      </text>
    </comment>
    <comment ref="I1" authorId="0" shapeId="0">
      <text>
        <t>按字段语义填写；正式对象必须使用稳定ID并保持可追溯。</t>
      </text>
    </comment>
    <comment ref="J1" authorId="0" shapeId="0">
      <text>
        <t>按字段语义填写；正式对象必须使用稳定ID并保持可追溯。</t>
      </text>
    </comment>
    <comment ref="K1" authorId="0" shapeId="0">
      <text>
        <t>按字段语义填写；正式对象必须使用稳定ID并保持可追溯。</t>
      </text>
    </comment>
    <comment ref="L1" authorId="0" shapeId="0">
      <text>
        <t>按字段语义填写；正式对象必须使用稳定ID并保持可追溯。</t>
      </text>
    </comment>
    <comment ref="M1" authorId="0" shapeId="0">
      <text>
        <t>按字段语义填写；正式对象必须使用稳定ID并保持可追溯。</t>
      </text>
    </comment>
    <comment ref="N1" authorId="0" shapeId="0">
      <text>
        <t>按字段语义填写；正式对象必须使用稳定ID并保持可追溯。</t>
      </text>
    </comment>
    <comment ref="O1" authorId="0" shapeId="0">
      <text>
        <t>按字段语义填写；正式对象必须使用稳定ID并保持可追溯。</t>
      </text>
    </comment>
    <comment ref="P1" authorId="0" shapeId="0">
      <text>
        <t>按字段语义填写；正式对象必须使用稳定ID并保持可追溯。</t>
      </text>
    </comment>
    <comment ref="Q1" authorId="0" shapeId="0">
      <text>
        <t>按字段语义填写；正式对象必须使用稳定ID并保持可追溯。</t>
      </text>
    </comment>
    <comment ref="R1" authorId="0" shapeId="0">
      <text>
        <t>按字段语义填写；正式对象必须使用稳定ID并保持可追溯。</t>
      </text>
    </comment>
    <comment ref="S1" authorId="0" shapeId="0">
      <text>
        <t>稳定唯一ID。示例只见说明页；投入使用后不得随意修改或重用。</t>
      </text>
    </comment>
    <comment ref="T1" authorId="0" shapeId="0">
      <text>
        <t>记录可复核的历史、地理或制作来源；未知时留空，不得编造。</t>
      </text>
    </comment>
    <comment ref="U1" authorId="0" shapeId="0">
      <text>
        <t>按字段语义填写；正式对象必须使用稳定ID并保持可追溯。</t>
      </text>
    </comment>
    <comment ref="V1" authorId="0" shapeId="0">
      <text>
        <t>按字段语义填写；正式对象必须使用稳定ID并保持可追溯。</t>
      </text>
    </comment>
    <comment ref="W1" authorId="0" shapeId="0">
      <text>
        <t>按字段语义填写；正式对象必须使用稳定ID并保持可追溯。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稳定唯一ID。示例只见说明页；投入使用后不得随意修改或重用。</t>
      </text>
    </comment>
    <comment ref="B1" authorId="0" shapeId="0">
      <text>
        <t>按字段语义填写；正式对象必须使用稳定ID并保持可追溯。</t>
      </text>
    </comment>
    <comment ref="C1" authorId="0" shapeId="0">
      <text>
        <t>按字段语义填写；正式对象必须使用稳定ID并保持可追溯。</t>
      </text>
    </comment>
    <comment ref="D1" authorId="0" shapeId="0">
      <text>
        <t>稳定唯一ID。示例只见说明页；投入使用后不得随意修改或重用。</t>
      </text>
    </comment>
    <comment ref="E1" authorId="0" shapeId="0">
      <text>
        <t>稳定唯一ID。示例只见说明页；投入使用后不得随意修改或重用。</t>
      </text>
    </comment>
    <comment ref="F1" authorId="0" shapeId="0">
      <text>
        <t>稳定唯一ID。示例只见说明页；投入使用后不得随意修改或重用。</t>
      </text>
    </comment>
    <comment ref="G1" authorId="0" shapeId="0">
      <text>
        <t>按字段语义填写；正式对象必须使用稳定ID并保持可追溯。</t>
      </text>
    </comment>
    <comment ref="H1" authorId="0" shapeId="0">
      <text>
        <t>按字段语义填写；正式对象必须使用稳定ID并保持可追溯。</t>
      </text>
    </comment>
    <comment ref="I1" authorId="0" shapeId="0">
      <text>
        <t>按字段语义填写；正式对象必须使用稳定ID并保持可追溯。</t>
      </text>
    </comment>
    <comment ref="J1" authorId="0" shapeId="0">
      <text>
        <t>按字段语义填写；正式对象必须使用稳定ID并保持可追溯。</t>
      </text>
    </comment>
    <comment ref="K1" authorId="0" shapeId="0">
      <text>
        <t>按字段语义填写；正式对象必须使用稳定ID并保持可追溯。</t>
      </text>
    </comment>
    <comment ref="L1" authorId="0" shapeId="0">
      <text>
        <t>按字段语义填写；正式对象必须使用稳定ID并保持可追溯。</t>
      </text>
    </comment>
    <comment ref="M1" authorId="0" shapeId="0">
      <text>
        <t>按字段语义填写；正式对象必须使用稳定ID并保持可追溯。</t>
      </text>
    </comment>
    <comment ref="N1" authorId="0" shapeId="0">
      <text>
        <t>按字段语义填写；正式对象必须使用稳定ID并保持可追溯。</t>
      </text>
    </comment>
    <comment ref="O1" authorId="0" shapeId="0">
      <text>
        <t>按字段语义填写；正式对象必须使用稳定ID并保持可追溯。</t>
      </text>
    </comment>
    <comment ref="P1" authorId="0" shapeId="0">
      <text>
        <t>按字段语义填写；正式对象必须使用稳定ID并保持可追溯。</t>
      </text>
    </comment>
    <comment ref="Q1" authorId="0" shapeId="0">
      <text>
        <t>按字段语义填写；正式对象必须使用稳定ID并保持可追溯。</t>
      </text>
    </comment>
    <comment ref="R1" authorId="0" shapeId="0">
      <text>
        <t>按字段语义填写；正式对象必须使用稳定ID并保持可追溯。</t>
      </text>
    </comment>
    <comment ref="S1" authorId="0" shapeId="0">
      <text>
        <t>按字段语义填写；正式对象必须使用稳定ID并保持可追溯。</t>
      </text>
    </comment>
    <comment ref="T1" authorId="0" shapeId="0">
      <text>
        <t>稳定唯一ID。示例只见说明页；投入使用后不得随意修改或重用。</t>
      </text>
    </comment>
    <comment ref="U1" authorId="0" shapeId="0">
      <text>
        <t>按字段语义填写；正式对象必须使用稳定ID并保持可追溯。</t>
      </text>
    </comment>
    <comment ref="V1" authorId="0" shapeId="0">
      <text>
        <t>按字段语义填写；正式对象必须使用稳定ID并保持可追溯。</t>
      </text>
    </comment>
    <comment ref="W1" authorId="0" shapeId="0">
      <text>
        <t>按字段语义填写；正式对象必须使用稳定ID并保持可追溯。</t>
      </text>
    </comment>
    <comment ref="X1" authorId="0" shapeId="0">
      <text>
        <t>按字段语义填写；正式对象必须使用稳定ID并保持可追溯。</t>
      </text>
    </comment>
    <comment ref="Y1" authorId="0" shapeId="0">
      <text>
        <t>记录可复核的历史、地理或制作来源；未知时留空，不得编造。</t>
      </text>
    </comment>
    <comment ref="Z1" authorId="0" shapeId="0">
      <text>
        <t>按字段语义填写；正式对象必须使用稳定ID并保持可追溯。</t>
      </text>
    </comment>
    <comment ref="AA1" authorId="0" shapeId="0">
      <text>
        <t>按字段语义填写；正式对象必须使用稳定ID并保持可追溯。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稳定唯一ID。示例只见说明页；投入使用后不得随意修改或重用。</t>
      </text>
    </comment>
    <comment ref="B1" authorId="0" shapeId="0">
      <text>
        <t>按字段语义填写；正式对象必须使用稳定ID并保持可追溯。</t>
      </text>
    </comment>
    <comment ref="C1" authorId="0" shapeId="0">
      <text>
        <t>按字段语义填写；正式对象必须使用稳定ID并保持可追溯。</t>
      </text>
    </comment>
    <comment ref="D1" authorId="0" shapeId="0">
      <text>
        <t>按字段语义填写；正式对象必须使用稳定ID并保持可追溯。</t>
      </text>
    </comment>
    <comment ref="E1" authorId="0" shapeId="0">
      <text>
        <t>按字段语义填写；正式对象必须使用稳定ID并保持可追溯。</t>
      </text>
    </comment>
    <comment ref="F1" authorId="0" shapeId="0">
      <text>
        <t>按字段语义填写；正式对象必须使用稳定ID并保持可追溯。</t>
      </text>
    </comment>
    <comment ref="G1" authorId="0" shapeId="0">
      <text>
        <t>按字段语义填写；正式对象必须使用稳定ID并保持可追溯。</t>
      </text>
    </comment>
    <comment ref="H1" authorId="0" shapeId="0">
      <text>
        <t>按字段语义填写；正式对象必须使用稳定ID并保持可追溯。</t>
      </text>
    </comment>
    <comment ref="I1" authorId="0" shapeId="0">
      <text>
        <t>按字段语义填写；正式对象必须使用稳定ID并保持可追溯。</t>
      </text>
    </comment>
    <comment ref="J1" authorId="0" shapeId="0">
      <text>
        <t>按字段语义填写；正式对象必须使用稳定ID并保持可追溯。</t>
      </text>
    </comment>
    <comment ref="K1" authorId="0" shapeId="0">
      <text>
        <t>按字段语义填写；正式对象必须使用稳定ID并保持可追溯。</t>
      </text>
    </comment>
    <comment ref="L1" authorId="0" shapeId="0">
      <text>
        <t>按字段语义填写；正式对象必须使用稳定ID并保持可追溯。</t>
      </text>
    </comment>
    <comment ref="M1" authorId="0" shapeId="0">
      <text>
        <t>按字段语义填写；正式对象必须使用稳定ID并保持可追溯。</t>
      </text>
    </comment>
    <comment ref="N1" authorId="0" shapeId="0">
      <text>
        <t>按字段语义填写；正式对象必须使用稳定ID并保持可追溯。</t>
      </text>
    </comment>
    <comment ref="O1" authorId="0" shapeId="0">
      <text>
        <t>按字段语义填写；正式对象必须使用稳定ID并保持可追溯。</t>
      </text>
    </comment>
    <comment ref="P1" authorId="0" shapeId="0">
      <text>
        <t>按字段语义填写；正式对象必须使用稳定ID并保持可追溯。</t>
      </text>
    </comment>
    <comment ref="Q1" authorId="0" shapeId="0">
      <text>
        <t>按字段语义填写；正式对象必须使用稳定ID并保持可追溯。</t>
      </text>
    </comment>
    <comment ref="R1" authorId="0" shapeId="0">
      <text>
        <t>按字段语义填写；正式对象必须使用稳定ID并保持可追溯。</t>
      </text>
    </comment>
    <comment ref="S1" authorId="0" shapeId="0">
      <text>
        <t>按字段语义填写；正式对象必须使用稳定ID并保持可追溯。</t>
      </text>
    </comment>
    <comment ref="T1" authorId="0" shapeId="0">
      <text>
        <t>按字段语义填写；正式对象必须使用稳定ID并保持可追溯。</t>
      </text>
    </comment>
    <comment ref="U1" authorId="0" shapeId="0">
      <text>
        <t>按字段语义填写；正式对象必须使用稳定ID并保持可追溯。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1" authorId="0" shapeId="0">
      <text>
        <t>稳定唯一ID。示例只见说明页；投入使用后不得随意修改或重用。</t>
      </text>
    </comment>
    <comment ref="B1" authorId="0" shapeId="0">
      <text>
        <t>按字段语义填写；正式对象必须使用稳定ID并保持可追溯。</t>
      </text>
    </comment>
    <comment ref="C1" authorId="0" shapeId="0">
      <text>
        <t>按字段语义填写；正式对象必须使用稳定ID并保持可追溯。</t>
      </text>
    </comment>
    <comment ref="D1" authorId="0" shapeId="0">
      <text>
        <t>稳定唯一ID。示例只见说明页；投入使用后不得随意修改或重用。</t>
      </text>
    </comment>
    <comment ref="E1" authorId="0" shapeId="0">
      <text>
        <t>稳定唯一ID。示例只见说明页；投入使用后不得随意修改或重用。</t>
      </text>
    </comment>
    <comment ref="F1" authorId="0" shapeId="0">
      <text>
        <t>世界逻辑坐标，不是图片像素坐标；必须位于01_世界设置定义的范围内。</t>
      </text>
    </comment>
    <comment ref="G1" authorId="0" shapeId="0">
      <text>
        <t>世界逻辑坐标，不是图片像素坐标；必须位于01_世界设置定义的范围内。</t>
      </text>
    </comment>
    <comment ref="H1" authorId="0" shapeId="0">
      <text>
        <t>对象所属局部空间的坐标/规则，不得替代世界逻辑坐标。</t>
      </text>
    </comment>
    <comment ref="I1" authorId="0" shapeId="0">
      <text>
        <t>对象所属局部空间的坐标/规则，不得替代世界逻辑坐标。</t>
      </text>
    </comment>
    <comment ref="J1" authorId="0" shapeId="0">
      <text>
        <t>对象所属局部空间的坐标/规则，不得替代世界逻辑坐标。</t>
      </text>
    </comment>
    <comment ref="K1" authorId="0" shapeId="0">
      <text>
        <t>对象所属局部空间的坐标/规则，不得替代世界逻辑坐标。</t>
      </text>
    </comment>
    <comment ref="L1" authorId="0" shapeId="0">
      <text>
        <t>按字段语义填写；正式对象必须使用稳定ID并保持可追溯。</t>
      </text>
    </comment>
    <comment ref="M1" authorId="0" shapeId="0">
      <text>
        <t>按字段语义填写；正式对象必须使用稳定ID并保持可追溯。</t>
      </text>
    </comment>
    <comment ref="N1" authorId="0" shapeId="0">
      <text>
        <t>对象所属局部空间的坐标/规则，不得替代世界逻辑坐标。</t>
      </text>
    </comment>
    <comment ref="O1" authorId="0" shapeId="0">
      <text>
        <t>对象所属局部空间的坐标/规则，不得替代世界逻辑坐标。</t>
      </text>
    </comment>
    <comment ref="P1" authorId="0" shapeId="0">
      <text>
        <t>按字段语义填写；正式对象必须使用稳定ID并保持可追溯。</t>
      </text>
    </comment>
    <comment ref="Q1" authorId="0" shapeId="0">
      <text>
        <t>按字段语义填写；正式对象必须使用稳定ID并保持可追溯。</t>
      </text>
    </comment>
    <comment ref="R1" authorId="0" shapeId="0">
      <text>
        <t>对象所属局部空间的坐标/规则，不得替代世界逻辑坐标。</t>
      </text>
    </comment>
    <comment ref="S1" authorId="0" shapeId="0">
      <text>
        <t>稳定唯一ID。示例只见说明页；投入使用后不得随意修改或重用。</t>
      </text>
    </comment>
    <comment ref="T1" authorId="0" shapeId="0">
      <text>
        <t>按字段语义填写；正式对象必须使用稳定ID并保持可追溯。</t>
      </text>
    </comment>
    <comment ref="U1" authorId="0" shapeId="0">
      <text>
        <t>稳定唯一ID。示例只见说明页；投入使用后不得随意修改或重用。</t>
      </text>
    </comment>
    <comment ref="V1" authorId="0" shapeId="0">
      <text>
        <t>稳定唯一ID。示例只见说明页；投入使用后不得随意修改或重用。</t>
      </text>
    </comment>
    <comment ref="W1" authorId="0" shapeId="0">
      <text>
        <t>按字段语义填写；正式对象必须使用稳定ID并保持可追溯。</t>
      </text>
    </comment>
    <comment ref="X1" authorId="0" shapeId="0">
      <text>
        <t>按字段语义填写；正式对象必须使用稳定ID并保持可追溯。</t>
      </text>
    </comment>
    <comment ref="Y1" authorId="0" shapeId="0">
      <text>
        <t>按字段语义填写；正式对象必须使用稳定ID并保持可追溯。</t>
      </text>
    </comment>
    <comment ref="Z1" authorId="0" shapeId="0">
      <text>
        <t>按字段语义填写；正式对象必须使用稳定ID并保持可追溯。</t>
      </text>
    </comment>
    <comment ref="AA1" authorId="0" shapeId="0">
      <text>
        <t>记录可复核的历史、地理或制作来源；未知时留空，不得编造。</t>
      </text>
    </comment>
    <comment ref="AB1" authorId="0" shapeId="0">
      <text>
        <t>按字段语义填写；正式对象必须使用稳定ID并保持可追溯。</t>
      </text>
    </comment>
    <comment ref="AC1" authorId="0" shapeId="0">
      <text>
        <t>按字段语义填写；正式对象必须使用稳定ID并保持可追溯。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A1" authorId="0" shapeId="0">
      <text>
        <t>按字段语义填写；正式对象必须使用稳定ID并保持可追溯。</t>
      </text>
    </comment>
    <comment ref="B1" authorId="0" shapeId="0">
      <text>
        <t>按字段语义填写；正式对象必须使用稳定ID并保持可追溯。</t>
      </text>
    </comment>
    <comment ref="C1" authorId="0" shapeId="0">
      <text>
        <t>按字段语义填写；正式对象必须使用稳定ID并保持可追溯。</t>
      </text>
    </comment>
    <comment ref="D1" authorId="0" shapeId="0">
      <text>
        <t>按字段语义填写；正式对象必须使用稳定ID并保持可追溯。</t>
      </text>
    </comment>
    <comment ref="E1" authorId="0" shapeId="0">
      <text>
        <t>按字段语义填写；正式对象必须使用稳定ID并保持可追溯。</t>
      </text>
    </comment>
    <comment ref="F1" authorId="0" shapeId="0">
      <text>
        <t>按字段语义填写；正式对象必须使用稳定ID并保持可追溯。</t>
      </text>
    </comment>
    <comment ref="G1" authorId="0" shapeId="0">
      <text>
        <t>按字段语义填写；正式对象必须使用稳定ID并保持可追溯。</t>
      </text>
    </comment>
    <comment ref="H1" authorId="0" shapeId="0">
      <text>
        <t>按字段语义填写；正式对象必须使用稳定ID并保持可追溯。</t>
      </text>
    </comment>
    <comment ref="I1" authorId="0" shapeId="0">
      <text>
        <t>按字段语义填写；正式对象必须使用稳定ID并保持可追溯。</t>
      </text>
    </comment>
    <comment ref="J1" authorId="0" shapeId="0">
      <text>
        <t>按字段语义填写；正式对象必须使用稳定ID并保持可追溯。</t>
      </text>
    </comment>
    <comment ref="K1" authorId="0" shapeId="0">
      <text>
        <t>按字段语义填写；正式对象必须使用稳定ID并保持可追溯。</t>
      </text>
    </comment>
    <comment ref="L1" authorId="0" shapeId="0">
      <text>
        <t>按字段语义填写；正式对象必须使用稳定ID并保持可追溯。</t>
      </text>
    </comment>
    <comment ref="M1" authorId="0" shapeId="0">
      <text>
        <t>按字段语义填写；正式对象必须使用稳定ID并保持可追溯。</t>
      </text>
    </comment>
    <comment ref="N1" authorId="0" shapeId="0">
      <text>
        <t>按字段语义填写；正式对象必须使用稳定ID并保持可追溯。</t>
      </text>
    </comment>
    <comment ref="O1" authorId="0" shapeId="0">
      <text>
        <t>按字段语义填写；正式对象必须使用稳定ID并保持可追溯。</t>
      </text>
    </comment>
    <comment ref="P1" authorId="0" shapeId="0">
      <text>
        <t>按字段语义填写；正式对象必须使用稳定ID并保持可追溯。</t>
      </text>
    </comment>
    <comment ref="Q1" authorId="0" shapeId="0">
      <text>
        <t>按字段语义填写；正式对象必须使用稳定ID并保持可追溯。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1" authorId="0" shapeId="0">
      <text>
        <t>稳定唯一ID。示例只见说明页；投入使用后不得随意修改或重用。</t>
      </text>
    </comment>
    <comment ref="B1" authorId="0" shapeId="0">
      <text>
        <t>按字段语义填写；正式对象必须使用稳定ID并保持可追溯。</t>
      </text>
    </comment>
    <comment ref="C1" authorId="0" shapeId="0">
      <text>
        <t>稳定唯一ID。示例只见说明页；投入使用后不得随意修改或重用。</t>
      </text>
    </comment>
    <comment ref="D1" authorId="0" shapeId="0">
      <text>
        <t>按字段语义填写；正式对象必须使用稳定ID并保持可追溯。</t>
      </text>
    </comment>
    <comment ref="E1" authorId="0" shapeId="0">
      <text>
        <t>按字段语义填写；正式对象必须使用稳定ID并保持可追溯。</t>
      </text>
    </comment>
    <comment ref="F1" authorId="0" shapeId="0">
      <text>
        <t>按字段语义填写；正式对象必须使用稳定ID并保持可追溯。</t>
      </text>
    </comment>
    <comment ref="G1" authorId="0" shapeId="0">
      <text>
        <t>按字段语义填写；正式对象必须使用稳定ID并保持可追溯。</t>
      </text>
    </comment>
    <comment ref="H1" authorId="0" shapeId="0">
      <text>
        <t>按字段语义填写；正式对象必须使用稳定ID并保持可追溯。</t>
      </text>
    </comment>
    <comment ref="I1" authorId="0" shapeId="0">
      <text>
        <t>按字段语义填写；正式对象必须使用稳定ID并保持可追溯。</t>
      </text>
    </comment>
    <comment ref="J1" authorId="0" shapeId="0">
      <text>
        <t>按字段语义填写；正式对象必须使用稳定ID并保持可追溯。</t>
      </text>
    </comment>
    <comment ref="K1" authorId="0" shapeId="0">
      <text>
        <t>按字段语义填写；正式对象必须使用稳定ID并保持可追溯。</t>
      </text>
    </comment>
    <comment ref="L1" authorId="0" shapeId="0">
      <text>
        <t>按字段语义填写；正式对象必须使用稳定ID并保持可追溯。</t>
      </text>
    </comment>
    <comment ref="M1" authorId="0" shapeId="0">
      <text>
        <t>按字段语义填写；正式对象必须使用稳定ID并保持可追溯。</t>
      </text>
    </comment>
    <comment ref="N1" authorId="0" shapeId="0">
      <text>
        <t>对象所属局部空间的坐标/规则，不得替代世界逻辑坐标。</t>
      </text>
    </comment>
    <comment ref="O1" authorId="0" shapeId="0">
      <text>
        <t>对象所属局部空间的坐标/规则，不得替代世界逻辑坐标。</t>
      </text>
    </comment>
    <comment ref="P1" authorId="0" shapeId="0">
      <text>
        <t>按字段语义填写；正式对象必须使用稳定ID并保持可追溯。</t>
      </text>
    </comment>
    <comment ref="Q1" authorId="0" shapeId="0">
      <text>
        <t>按字段语义填写；正式对象必须使用稳定ID并保持可追溯。</t>
      </text>
    </comment>
    <comment ref="R1" authorId="0" shapeId="0">
      <text>
        <t>按字段语义填写；正式对象必须使用稳定ID并保持可追溯。</t>
      </text>
    </comment>
    <comment ref="S1" authorId="0" shapeId="0">
      <text>
        <t>按字段语义填写；正式对象必须使用稳定ID并保持可追溯。</t>
      </text>
    </comment>
    <comment ref="T1" authorId="0" shapeId="0">
      <text>
        <t>按字段语义填写；正式对象必须使用稳定ID并保持可追溯。</t>
      </text>
    </comment>
    <comment ref="U1" authorId="0" shapeId="0">
      <text>
        <t>按字段语义填写；正式对象必须使用稳定ID并保持可追溯。</t>
      </text>
    </comment>
    <comment ref="V1" authorId="0" shapeId="0">
      <text>
        <t>按字段语义填写；正式对象必须使用稳定ID并保持可追溯。</t>
      </text>
    </comment>
    <comment ref="W1" authorId="0" shapeId="0">
      <text>
        <t>按字段语义填写；正式对象必须使用稳定ID并保持可追溯。</t>
      </text>
    </comment>
    <comment ref="X1" authorId="0" shapeId="0">
      <text>
        <t>按字段语义填写；正式对象必须使用稳定ID并保持可追溯。</t>
      </text>
    </comment>
    <comment ref="Y1" authorId="0" shapeId="0">
      <text>
        <t>按字段语义填写；正式对象必须使用稳定ID并保持可追溯。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A1" authorId="0" shapeId="0">
      <text>
        <t>稳定唯一ID。示例只见说明页；投入使用后不得随意修改或重用。</t>
      </text>
    </comment>
    <comment ref="B1" authorId="0" shapeId="0">
      <text>
        <t>稳定唯一ID。示例只见说明页；投入使用后不得随意修改或重用。</t>
      </text>
    </comment>
    <comment ref="C1" authorId="0" shapeId="0">
      <text>
        <t>按字段语义填写；正式对象必须使用稳定ID并保持可追溯。</t>
      </text>
    </comment>
    <comment ref="D1" authorId="0" shapeId="0">
      <text>
        <t>按字段语义填写；正式对象必须使用稳定ID并保持可追溯。</t>
      </text>
    </comment>
    <comment ref="E1" authorId="0" shapeId="0">
      <text>
        <t>按字段语义填写；正式对象必须使用稳定ID并保持可追溯。</t>
      </text>
    </comment>
    <comment ref="F1" authorId="0" shapeId="0">
      <text>
        <t>按字段语义填写；正式对象必须使用稳定ID并保持可追溯。</t>
      </text>
    </comment>
    <comment ref="G1" authorId="0" shapeId="0">
      <text>
        <t>按字段语义填写；正式对象必须使用稳定ID并保持可追溯。</t>
      </text>
    </comment>
    <comment ref="H1" authorId="0" shapeId="0">
      <text>
        <t>按字段语义填写；正式对象必须使用稳定ID并保持可追溯。</t>
      </text>
    </comment>
    <comment ref="I1" authorId="0" shapeId="0">
      <text>
        <t>按字段语义填写；正式对象必须使用稳定ID并保持可追溯。</t>
      </text>
    </comment>
    <comment ref="J1" authorId="0" shapeId="0">
      <text>
        <t>按字段语义填写；正式对象必须使用稳定ID并保持可追溯。</t>
      </text>
    </comment>
    <comment ref="K1" authorId="0" shapeId="0">
      <text>
        <t>按字段语义填写；正式对象必须使用稳定ID并保持可追溯。</t>
      </text>
    </comment>
    <comment ref="L1" authorId="0" shapeId="0">
      <text>
        <t>按字段语义填写；正式对象必须使用稳定ID并保持可追溯。</t>
      </text>
    </comment>
    <comment ref="M1" authorId="0" shapeId="0">
      <text>
        <t>按字段语义填写；正式对象必须使用稳定ID并保持可追溯。</t>
      </text>
    </comment>
    <comment ref="N1" authorId="0" shapeId="0">
      <text>
        <t>按字段语义填写；正式对象必须使用稳定ID并保持可追溯。</t>
      </text>
    </comment>
    <comment ref="O1" authorId="0" shapeId="0">
      <text>
        <t>按字段语义填写；正式对象必须使用稳定ID并保持可追溯。</t>
      </text>
    </comment>
    <comment ref="P1" authorId="0" shapeId="0">
      <text>
        <t>按字段语义填写；正式对象必须使用稳定ID并保持可追溯。</t>
      </text>
    </comment>
    <comment ref="Q1" authorId="0" shapeId="0">
      <text>
        <t>按字段语义填写；正式对象必须使用稳定ID并保持可追溯。</t>
      </text>
    </comment>
    <comment ref="R1" authorId="0" shapeId="0">
      <text>
        <t>按字段语义填写；正式对象必须使用稳定ID并保持可追溯。</t>
      </text>
    </comment>
    <comment ref="S1" authorId="0" shapeId="0">
      <text>
        <t>按字段语义填写；正式对象必须使用稳定ID并保持可追溯。</t>
      </text>
    </comment>
    <comment ref="T1" authorId="0" shapeId="0">
      <text>
        <t>按字段语义填写；正式对象必须使用稳定ID并保持可追溯。</t>
      </text>
    </comment>
    <comment ref="U1" authorId="0" shapeId="0">
      <text>
        <t>按字段语义填写；正式对象必须使用稳定ID并保持可追溯。</t>
      </text>
    </comment>
    <comment ref="V1" authorId="0" shapeId="0">
      <text>
        <t>按字段语义填写；正式对象必须使用稳定ID并保持可追溯。</t>
      </text>
    </comment>
    <comment ref="W1" authorId="0" shapeId="0">
      <text>
        <t>按字段语义填写；正式对象必须使用稳定ID并保持可追溯。</t>
      </text>
    </comment>
    <comment ref="X1" authorId="0" shapeId="0">
      <text>
        <t>按字段语义填写；正式对象必须使用稳定ID并保持可追溯。</t>
      </text>
    </comment>
  </commentList>
</comments>
</file>

<file path=xl/comments/comment10.xml><?xml version="1.0" encoding="utf-8"?>
<comments xmlns="http://schemas.openxmlformats.org/spreadsheetml/2006/main">
  <authors>
    <author>Codex</author>
  </authors>
  <commentList>
    <comment ref="A1" authorId="0" shapeId="0">
      <text>
        <t>按字段语义填写；正式对象必须使用稳定ID并保持可追溯。</t>
      </text>
    </comment>
    <comment ref="B1" authorId="0" shapeId="0">
      <text>
        <t>按字段语义填写；正式对象必须使用稳定ID并保持可追溯。</t>
      </text>
    </comment>
    <comment ref="C1" authorId="0" shapeId="0">
      <text>
        <t>按字段语义填写；正式对象必须使用稳定ID并保持可追溯。</t>
      </text>
    </comment>
  </commentList>
</comments>
</file>

<file path=xl/comments/comment11.xml><?xml version="1.0" encoding="utf-8"?>
<comments xmlns="http://schemas.openxmlformats.org/spreadsheetml/2006/main">
  <authors>
    <author>Codex</author>
  </authors>
  <commentList>
    <comment ref="A1" authorId="0" shapeId="0">
      <text>
        <t>按字段语义填写；正式对象必须使用稳定ID并保持可追溯。</t>
      </text>
    </comment>
    <comment ref="B1" authorId="0" shapeId="0">
      <text>
        <t>按字段语义填写；正式对象必须使用稳定ID并保持可追溯。</t>
      </text>
    </comment>
    <comment ref="C1" authorId="0" shapeId="0">
      <text>
        <t>按字段语义填写；正式对象必须使用稳定ID并保持可追溯。</t>
      </text>
    </comment>
    <comment ref="D1" authorId="0" shapeId="0">
      <text>
        <t>稳定唯一ID。示例只见说明页；投入使用后不得随意修改或重用。</t>
      </text>
    </comment>
    <comment ref="E1" authorId="0" shapeId="0">
      <text>
        <t>按字段语义填写；正式对象必须使用稳定ID并保持可追溯。</t>
      </text>
    </comment>
    <comment ref="F1" authorId="0" shapeId="0">
      <text>
        <t>按字段语义填写；正式对象必须使用稳定ID并保持可追溯。</t>
      </text>
    </comment>
    <comment ref="G1" authorId="0" shapeId="0">
      <text>
        <t>按字段语义填写；正式对象必须使用稳定ID并保持可追溯。</t>
      </text>
    </comment>
    <comment ref="H1" authorId="0" shapeId="0">
      <text>
        <t>按字段语义填写；正式对象必须使用稳定ID并保持可追溯。</t>
      </text>
    </comment>
  </commentList>
</comments>
</file>

<file path=xl/tables/table1.xml><?xml version="1.0" encoding="utf-8"?>
<table xmlns="http://schemas.openxmlformats.org/spreadsheetml/2006/main" id="1" name="tbl_world_settings" displayName="tbl_world_settings" ref="A1:G21" headerRowCount="1">
  <autoFilter ref="A1:G21"/>
  <tableColumns count="7">
    <tableColumn id="1" name="参数编码"/>
    <tableColumn id="2" name="参数名称"/>
    <tableColumn id="3" name="参数值"/>
    <tableColumn id="4" name="单位"/>
    <tableColumn id="5" name="是否必填"/>
    <tableColumn id="6" name="允许修改"/>
    <tableColumn id="7" name="说明"/>
  </tableColumns>
  <tableStyleInfo name="TableStyleMedium2" showRowStripes="1"/>
</table>
</file>

<file path=xl/tables/table2.xml><?xml version="1.0" encoding="utf-8"?>
<table xmlns="http://schemas.openxmlformats.org/spreadsheetml/2006/main" id="2" name="tbl_geography" displayName="tbl_geography" ref="A1:Y501" headerRowCount="1">
  <autoFilter ref="A1:Y501"/>
  <tableColumns count="25">
    <tableColumn id="1" name="对象ID"/>
    <tableColumn id="2" name="中文名称"/>
    <tableColumn id="3" name="备用名称"/>
    <tableColumn id="4" name="对象类型"/>
    <tableColumn id="5" name="父级对象ID"/>
    <tableColumn id="6" name="世界中心X"/>
    <tableColumn id="7" name="世界中心Y"/>
    <tableColumn id="8" name="最小X"/>
    <tableColumn id="9" name="最小Y"/>
    <tableColumn id="10" name="最大X"/>
    <tableColumn id="11" name="最大Y"/>
    <tableColumn id="12" name="几何类型"/>
    <tableColumn id="13" name="路径或多边形文件"/>
    <tableColumn id="14" name="最低显示层级"/>
    <tableColumn id="15" name="最高显示层级"/>
    <tableColumn id="16" name="是否固定"/>
    <tableColumn id="17" name="通行影响"/>
    <tableColumn id="18" name="水运影响"/>
    <tableColumn id="19" name="农业影响"/>
    <tableColumn id="20" name="军事影响"/>
    <tableColumn id="21" name="美术资产ID"/>
    <tableColumn id="22" name="资料来源"/>
    <tableColumn id="23" name="资料版本"/>
    <tableColumn id="24" name="审核状态"/>
    <tableColumn id="25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locations" displayName="tbl_locations" ref="A1:W501" headerRowCount="1">
  <autoFilter ref="A1:W501"/>
  <tableColumns count="23">
    <tableColumn id="1" name="地点ID"/>
    <tableColumn id="2" name="中文名称"/>
    <tableColumn id="3" name="备用名称"/>
    <tableColumn id="4" name="地点类型"/>
    <tableColumn id="5" name="父级行政对象ID"/>
    <tableColumn id="6" name="父级地点ID"/>
    <tableColumn id="7" name="世界X"/>
    <tableColumn id="8" name="世界Y"/>
    <tableColumn id="9" name="海拔或地形等级"/>
    <tableColumn id="10" name="朝向"/>
    <tableColumn id="11" name="最低显示层级"/>
    <tableColumn id="12" name="最高显示层级"/>
    <tableColumn id="13" name="天下图表现"/>
    <tableColumn id="14" name="州郡图表现"/>
    <tableColumn id="15" name="县域图表现"/>
    <tableColumn id="16" name="城镇图表现"/>
    <tableColumn id="17" name="固定位置"/>
    <tableColumn id="18" name="允许迁移"/>
    <tableColumn id="19" name="当前资产ID"/>
    <tableColumn id="20" name="历史资料来源"/>
    <tableColumn id="21" name="资料版本"/>
    <tableColumn id="22" name="审核状态"/>
    <tableColumn id="23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paths" displayName="tbl_paths" ref="A1:AA501" headerRowCount="1">
  <autoFilter ref="A1:AA501"/>
  <tableColumns count="27">
    <tableColumn id="1" name="路径ID"/>
    <tableColumn id="2" name="路径名称"/>
    <tableColumn id="3" name="路径类型"/>
    <tableColumn id="4" name="起点对象ID"/>
    <tableColumn id="5" name="终点对象ID"/>
    <tableColumn id="6" name="父级路径ID"/>
    <tableColumn id="7" name="路径文件"/>
    <tableColumn id="8" name="节点数量"/>
    <tableColumn id="9" name="道路等级"/>
    <tableColumn id="10" name="基础宽度"/>
    <tableColumn id="11" name="基础速度系数"/>
    <tableColumn id="12" name="容量等级"/>
    <tableColumn id="13" name="允许军团"/>
    <tableColumn id="14" name="允许商队"/>
    <tableColumn id="15" name="允许平民"/>
    <tableColumn id="16" name="允许车辆"/>
    <tableColumn id="17" name="允许船只"/>
    <tableColumn id="18" name="季节影响"/>
    <tableColumn id="19" name="天气影响"/>
    <tableColumn id="20" name="控制对象ID"/>
    <tableColumn id="21" name="建设状态"/>
    <tableColumn id="22" name="通行状态"/>
    <tableColumn id="23" name="最低显示层级"/>
    <tableColumn id="24" name="最高显示层级"/>
    <tableColumn id="25" name="资料来源"/>
    <tableColumn id="26" name="审核状态"/>
    <tableColumn id="27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d" displayName="tbl_lod" ref="A1:U501" headerRowCount="1">
  <autoFilter ref="A1:U501"/>
  <tableColumns count="21">
    <tableColumn id="1" name="对象ID"/>
    <tableColumn id="2" name="对象类别"/>
    <tableColumn id="3" name="天下战略图是否显示"/>
    <tableColumn id="4" name="天下战略图表现"/>
    <tableColumn id="5" name="州郡区域图是否显示"/>
    <tableColumn id="6" name="州郡区域图表现"/>
    <tableColumn id="7" name="县域乡野图是否显示"/>
    <tableColumn id="8" name="县域乡野图表现"/>
    <tableColumn id="9" name="城镇空间图是否显示"/>
    <tableColumn id="10" name="城镇空间图表现"/>
    <tableColumn id="11" name="村庄庄园图是否显示"/>
    <tableColumn id="12" name="村庄庄园图表现"/>
    <tableColumn id="13" name="建筑院落图是否显示"/>
    <tableColumn id="14" name="建筑院落图表现"/>
    <tableColumn id="15" name="战场图是否显示"/>
    <tableColumn id="16" name="战场图表现"/>
    <tableColumn id="17" name="聚合规则"/>
    <tableColumn id="18" name="替换资产规则"/>
    <tableColumn id="19" name="标签显示规则"/>
    <tableColumn id="20" name="情报影响规则"/>
    <tableColumn id="21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buildings" displayName="tbl_buildings" ref="A1:AC501" headerRowCount="1">
  <autoFilter ref="A1:AC501"/>
  <tableColumns count="29">
    <tableColumn id="1" name="建筑ID"/>
    <tableColumn id="2" name="建筑名称"/>
    <tableColumn id="3" name="建筑类型"/>
    <tableColumn id="4" name="所属地点ID"/>
    <tableColumn id="5" name="所属街区或村落ID"/>
    <tableColumn id="6" name="世界X"/>
    <tableColumn id="7" name="世界Y"/>
    <tableColumn id="8" name="城镇局部X"/>
    <tableColumn id="9" name="城镇局部Y"/>
    <tableColumn id="10" name="院落局部X"/>
    <tableColumn id="11" name="院落局部Y"/>
    <tableColumn id="12" name="朝向"/>
    <tableColumn id="13" name="主入口方向"/>
    <tableColumn id="14" name="主入口锚点X"/>
    <tableColumn id="15" name="主入口锚点Y"/>
    <tableColumn id="16" name="建筑占地宽度"/>
    <tableColumn id="17" name="建筑占地高度"/>
    <tableColumn id="18" name="锚点规则"/>
    <tableColumn id="19" name="所有权对象ID"/>
    <tableColumn id="20" name="运营状态"/>
    <tableColumn id="21" name="当前资产ID"/>
    <tableColumn id="22" name="关联室内图ID"/>
    <tableColumn id="23" name="可进入"/>
    <tableColumn id="24" name="可破坏"/>
    <tableColumn id="25" name="可扩建"/>
    <tableColumn id="26" name="最低显示层级"/>
    <tableColumn id="27" name="资料来源"/>
    <tableColumn id="28" name="审核状态"/>
    <tableColumn id="29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states" displayName="tbl_states" ref="A1:Q501" headerRowCount="1">
  <autoFilter ref="A1:Q501"/>
  <tableColumns count="17">
    <tableColumn id="1" name="状态编码"/>
    <tableColumn id="2" name="状态名称"/>
    <tableColumn id="3" name="状态类别"/>
    <tableColumn id="4" name="适用对象类型"/>
    <tableColumn id="5" name="是否替换主体资产"/>
    <tableColumn id="6" name="主体资产后缀"/>
    <tableColumn id="7" name="覆盖层资产后缀"/>
    <tableColumn id="8" name="是否影响碰撞"/>
    <tableColumn id="9" name="是否影响通行"/>
    <tableColumn id="10" name="是否影响功能"/>
    <tableColumn id="11" name="是否影响人口"/>
    <tableColumn id="12" name="是否影响库存"/>
    <tableColumn id="13" name="是否影响所有权"/>
    <tableColumn id="14" name="进入条件"/>
    <tableColumn id="15" name="退出条件"/>
    <tableColumn id="16" name="显示优先级"/>
    <tableColumn id="17" name="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assets" displayName="tbl_assets" ref="A1:Y501" headerRowCount="1">
  <autoFilter ref="A1:Y501"/>
  <tableColumns count="25">
    <tableColumn id="1" name="资产ID"/>
    <tableColumn id="2" name="资产名称"/>
    <tableColumn id="3" name="对象ID"/>
    <tableColumn id="4" name="资产类别"/>
    <tableColumn id="5" name="状态编码"/>
    <tableColumn id="6" name="LOD层级"/>
    <tableColumn id="7" name="文件名"/>
    <tableColumn id="8" name="源文件路径"/>
    <tableColumn id="9" name="导出文件路径"/>
    <tableColumn id="10" name="源文件格式"/>
    <tableColumn id="11" name="导出格式"/>
    <tableColumn id="12" name="画布宽度px"/>
    <tableColumn id="13" name="画布高度px"/>
    <tableColumn id="14" name="锚点X"/>
    <tableColumn id="15" name="锚点Y"/>
    <tableColumn id="16" name="阴影是否独立"/>
    <tableColumn id="17" name="文字是否独立"/>
    <tableColumn id="18" name="旗帜是否独立"/>
    <tableColumn id="19" name="所有权颜色是否独立"/>
    <tableColumn id="20" name="版本"/>
    <tableColumn id="21" name="制作人"/>
    <tableColumn id="22" name="审核人"/>
    <tableColumn id="23" name="制作状态"/>
    <tableColumn id="24" name="审核状态"/>
    <tableColumn id="25" name="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continuity" displayName="tbl_continuity" ref="A1:X501" headerRowCount="1">
  <autoFilter ref="A1:X501"/>
  <tableColumns count="24">
    <tableColumn id="1" name="验收ID"/>
    <tableColumn id="2" name="对象ID"/>
    <tableColumn id="3" name="检查类型"/>
    <tableColumn id="4" name="上级地图"/>
    <tableColumn id="5" name="下级地图"/>
    <tableColumn id="6" name="上级地图坐标X"/>
    <tableColumn id="7" name="上级地图坐标Y"/>
    <tableColumn id="8" name="下级换算坐标X"/>
    <tableColumn id="9" name="下级换算坐标Y"/>
    <tableColumn id="10" name="坐标偏差"/>
    <tableColumn id="11" name="允许偏差"/>
    <tableColumn id="12" name="方向一致"/>
    <tableColumn id="13" name="连接关系一致"/>
    <tableColumn id="14" name="外形继承"/>
    <tableColumn id="15" name="状态继承"/>
    <tableColumn id="16" name="情报继承"/>
    <tableColumn id="17" name="损毁继承"/>
    <tableColumn id="18" name="检查结果"/>
    <tableColumn id="19" name="问题说明"/>
    <tableColumn id="20" name="责任人"/>
    <tableColumn id="21" name="检查日期"/>
    <tableColumn id="22" name="复核人"/>
    <tableColumn id="23" name="复核日期"/>
    <tableColumn id="24" name="备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dictionary" displayName="tbl_dictionary" ref="A1:C226" headerRowCount="1">
  <autoFilter ref="A1:C226"/>
  <tableColumns count="3">
    <tableColumn id="1" name="字典分类"/>
    <tableColumn id="2" name="字典值"/>
    <tableColumn id="3" name="说明"/>
  </tableColumns>
  <tableStyleInfo name="TableStyleMedium2" showRowStripes="1"/>
</table>
</file>

<file path=xl/tables/table11.xml><?xml version="1.0" encoding="utf-8"?>
<table xmlns="http://schemas.openxmlformats.org/spreadsheetml/2006/main" id="11" name="tbl_validation" displayName="tbl_validation" ref="A1:H4001" headerRowCount="1">
  <autoFilter ref="A1:H4001"/>
  <tableColumns count="8">
    <tableColumn id="1" name="问题编号"/>
    <tableColumn id="2" name="问题级别"/>
    <tableColumn id="3" name="工作表"/>
    <tableColumn id="4" name="对象ID"/>
    <tableColumn id="5" name="字段"/>
    <tableColumn id="6" name="问题说明"/>
    <tableColumn id="7" name="建议处理"/>
    <tableColumn id="8" name="校验状态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02_地图坐标与对象锚点表｜使用说明</t>
        </is>
      </c>
    </row>
    <row r="3" ht="36" customHeight="1">
      <c r="A3" s="2" t="inlineStr">
        <is>
          <t>文件用途</t>
        </is>
      </c>
      <c r="B3" s="3" t="inlineStr">
        <is>
          <t>统一管理世界逻辑坐标、固定地理、地点、路径、LOD、建筑、状态、美术资产和跨层级验收。</t>
        </is>
      </c>
    </row>
    <row r="4" ht="36" customHeight="1">
      <c r="A4" s="2" t="inlineStr">
        <is>
          <t>核心地图原则</t>
        </is>
      </c>
      <c r="B4" s="3" t="inlineStr">
        <is>
          <t>所有地图层级表现的是同一个世界。放大只增加细节，不重新生成另一套城市、道路、河流和建筑布局。</t>
        </is>
      </c>
    </row>
    <row r="5" ht="36" customHeight="1">
      <c r="A5" s="2" t="inlineStr">
        <is>
          <t>坐标区别</t>
        </is>
      </c>
      <c r="B5" s="3" t="inlineStr">
        <is>
          <t>世界逻辑坐标：全世界统一；地图局部坐标：某层/区域内部；图片像素坐标：PSB/PNG画布；建筑院落局部坐标：建筑内部或院落空间。四者不得混用。</t>
        </is>
      </c>
    </row>
    <row r="6" ht="36" customHeight="1">
      <c r="A6" s="2" t="inlineStr">
        <is>
          <t>对象ID规则</t>
        </is>
      </c>
      <c r="B6" s="3" t="inlineStr">
        <is>
          <t>重要对象必须使用唯一稳定ID；PSB、PNG、程序和其他数据文件均通过对象ID关联。投入使用后不得随意改名或重用。</t>
        </is>
      </c>
    </row>
    <row r="7" ht="54" customHeight="1">
      <c r="A7" s="2" t="inlineStr">
        <is>
          <t>ID格式</t>
        </is>
      </c>
      <c r="B7" s="3" t="inlineStr">
        <is>
          <t>GEO-类型-流水号；LOC-类型-流水号；PATH-类型-流水号；BLD-地点简称-类型-流水号；ASSET-对象ID-状态-LOD；CHK-流水号。示例：GEO-RIV-0001、LOC-CITY-0001、PATH-ROAD-0001、BLD-ZS-SHOP-0001、ASSET-BLD-ZS-SHOP-0001-NORMAL-L04、CHK-0001。</t>
        </is>
      </c>
    </row>
    <row r="8" ht="36" customHeight="1">
      <c r="A8" s="2" t="inlineStr">
        <is>
          <t>推荐填写顺序</t>
        </is>
      </c>
      <c r="B8" s="3" t="inlineStr">
        <is>
          <t>01_世界设置 → 02_固定地理 → 03_地点锚点 → 04_路径网络 → 05_层级表现LOD → 06_建筑锚点 → 08_资产清单 → 09_连续性验收。</t>
        </is>
      </c>
    </row>
    <row r="9" ht="36" customHeight="1">
      <c r="A9" s="2" t="inlineStr">
        <is>
          <t>美术与程序关系</t>
        </is>
      </c>
      <c r="B9" s="3" t="inlineStr">
        <is>
          <t>PSB/PNG只提供表现资产；程序、数据和资产以对象ID关联。动态设施、所有权、状态、库存和情报不得永久画死在背景图中。</t>
        </is>
      </c>
    </row>
    <row r="10" ht="36" customHeight="1">
      <c r="A10" s="2" t="inlineStr">
        <is>
          <t>严禁事项</t>
        </is>
      </c>
      <c r="B10" s="3" t="inlineStr">
        <is>
          <t>不得凭肉眼在下一层重新放置城市；不得把世界坐标直接等同图片像素；不得在缩放或进入场景时生成第二套地点、路线或设施。</t>
        </is>
      </c>
    </row>
    <row r="11" ht="36" customHeight="1">
      <c r="A11" s="2" t="inlineStr">
        <is>
          <t>常见错误</t>
        </is>
      </c>
      <c r="B11" s="3" t="inlineStr">
        <is>
          <t>零坐标与空白混淆、ID重复、对象引用不存在、路径起终点相同、坐标越界、最小值大于最大值、LOD改变世界事实、资产文件名重复。</t>
        </is>
      </c>
    </row>
    <row r="12" ht="36" customHeight="1">
      <c r="A12" s="2" t="inlineStr">
        <is>
          <t>数据维护责任</t>
        </is>
      </c>
      <c r="B12" s="3" t="inlineStr">
        <is>
          <t>录入者负责来源和字段完整性；审核者负责坐标、引用、连续性和许可证；程序与美术只消费已审核的稳定对象ID。</t>
        </is>
      </c>
    </row>
    <row r="13" ht="36" customHeight="1">
      <c r="A13" s="2" t="inlineStr">
        <is>
          <t>版本信息</t>
        </is>
      </c>
      <c r="B13" s="3" t="inlineStr">
        <is>
          <t>模板版本 V0.1；生成脚本可重复执行并覆盖同名文件。正式录入后重新生成前必须备份或编写迁移脚本。</t>
        </is>
      </c>
    </row>
    <row r="14" ht="36" customHeight="1">
      <c r="A14" s="2" t="inlineStr">
        <is>
          <t>修改记录</t>
        </is>
      </c>
      <c r="B14" s="3" t="inlineStr">
        <is>
          <t>V0.1：建立空白正式模板、系统字典、坐标公式、数据验证、条件格式和校验汇总。</t>
        </is>
      </c>
    </row>
  </sheetData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  <pageSetup orientation="landscape" fitToHeight="0" fitToWidth="1"/>
  <headerFooter>
    <oddHeader>&amp;C&amp;9 02_地图坐标与对象锚点表.xlsx</oddHeader>
    <oddFooter>&amp;C第 &amp;P 页 / 共 &amp;N 页&amp;RV0.1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3" customWidth="1" min="4" max="4"/>
    <col width="13" customWidth="1" min="5" max="5"/>
    <col width="13" customWidth="1" min="6" max="6"/>
    <col width="30" customWidth="1" min="7" max="7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4" customHeight="1">
      <c r="A1" s="4" t="inlineStr">
        <is>
          <t>参数编码</t>
        </is>
      </c>
      <c r="B1" s="4" t="inlineStr">
        <is>
          <t>参数名称</t>
        </is>
      </c>
      <c r="C1" s="4" t="inlineStr">
        <is>
          <t>参数值</t>
        </is>
      </c>
      <c r="D1" s="4" t="inlineStr">
        <is>
          <t>单位</t>
        </is>
      </c>
      <c r="E1" s="4" t="inlineStr">
        <is>
          <t>是否必填</t>
        </is>
      </c>
      <c r="F1" s="4" t="inlineStr">
        <is>
          <t>允许修改</t>
        </is>
      </c>
      <c r="G1" s="4" t="inlineStr">
        <is>
          <t>说明</t>
        </is>
      </c>
      <c r="I1" s="5" t="inlineStr">
        <is>
          <t>坐标换算示例（输入世界X/Y）</t>
        </is>
      </c>
    </row>
    <row r="2">
      <c r="A2" s="6" t="inlineStr">
        <is>
          <t>PROJECT_NAME</t>
        </is>
      </c>
      <c r="B2" s="6" t="inlineStr">
        <is>
          <t>项目名称</t>
        </is>
      </c>
      <c r="C2" s="7" t="inlineStr">
        <is>
          <t>统一世界地图系统</t>
        </is>
      </c>
      <c r="D2" s="6" t="inlineStr">
        <is>
          <t>文本</t>
        </is>
      </c>
      <c r="E2" s="6" t="inlineStr">
        <is>
          <t>是</t>
        </is>
      </c>
      <c r="F2" s="6" t="inlineStr">
        <is>
          <t>是</t>
        </is>
      </c>
      <c r="G2" s="6" t="inlineStr">
        <is>
          <t>项目显示名称</t>
        </is>
      </c>
      <c r="I2" s="5" t="inlineStr">
        <is>
          <t>世界X</t>
        </is>
      </c>
      <c r="J2" s="5" t="inlineStr">
        <is>
          <t>世界Y</t>
        </is>
      </c>
      <c r="K2" s="5" t="inlineStr">
        <is>
          <t>母版像素X</t>
        </is>
      </c>
      <c r="L2" s="5" t="inlineStr">
        <is>
          <t>母版像素Y</t>
        </is>
      </c>
      <c r="M2" s="5" t="inlineStr">
        <is>
          <t>预览像素X</t>
        </is>
      </c>
      <c r="N2" s="5" t="inlineStr">
        <is>
          <t>预览像素Y</t>
        </is>
      </c>
    </row>
    <row r="3">
      <c r="A3" s="6" t="inlineStr">
        <is>
          <t>DOC_VERSION</t>
        </is>
      </c>
      <c r="B3" s="6" t="inlineStr">
        <is>
          <t>文档版本</t>
        </is>
      </c>
      <c r="C3" s="7" t="inlineStr">
        <is>
          <t>V0.1</t>
        </is>
      </c>
      <c r="D3" s="6" t="inlineStr">
        <is>
          <t>文本</t>
        </is>
      </c>
      <c r="E3" s="6" t="inlineStr">
        <is>
          <t>是</t>
        </is>
      </c>
      <c r="F3" s="6" t="inlineStr">
        <is>
          <t>是</t>
        </is>
      </c>
      <c r="G3" s="6" t="inlineStr">
        <is>
          <t>模板与数据版本</t>
        </is>
      </c>
      <c r="I3" s="8" t="n"/>
      <c r="J3" s="8" t="n"/>
      <c r="K3" s="9">
        <f>IF(OR(I3="",J3=""),"",ROUND(I3/WorldWidth*MasterWidthPx,CoordinateDecimals))</f>
        <v/>
      </c>
      <c r="L3" s="9">
        <f>IF(OR(I3="",J3=""),"",ROUND(J3/WorldHeight*MasterHeightPx,CoordinateDecimals))</f>
        <v/>
      </c>
      <c r="M3" s="9">
        <f>IF(OR(I3="",J3=""),"",ROUND(I3/WorldWidth*PreviewWidthPx,CoordinateDecimals))</f>
        <v/>
      </c>
      <c r="N3" s="9">
        <f>IF(OR(I3="",J3=""),"",ROUND(J3/WorldHeight*PreviewHeightPx,CoordinateDecimals))</f>
        <v/>
      </c>
    </row>
    <row r="4">
      <c r="A4" s="6" t="inlineStr">
        <is>
          <t>GAME_START_YEAR</t>
        </is>
      </c>
      <c r="B4" s="6" t="inlineStr">
        <is>
          <t>游戏起始年份</t>
        </is>
      </c>
      <c r="C4" s="7" t="n"/>
      <c r="D4" s="6" t="inlineStr">
        <is>
          <t>年</t>
        </is>
      </c>
      <c r="E4" s="6" t="inlineStr">
        <is>
          <t>是</t>
        </is>
      </c>
      <c r="F4" s="6" t="inlineStr">
        <is>
          <t>是</t>
        </is>
      </c>
      <c r="G4" s="6" t="inlineStr">
        <is>
          <t>确认历史开局后填写</t>
        </is>
      </c>
    </row>
    <row r="5">
      <c r="A5" s="6" t="inlineStr">
        <is>
          <t>SOURCE_BASE_DATE</t>
        </is>
      </c>
      <c r="B5" s="6" t="inlineStr">
        <is>
          <t>历史资料基准日期</t>
        </is>
      </c>
      <c r="C5" s="7" t="n"/>
      <c r="D5" s="6" t="inlineStr">
        <is>
          <t>日期</t>
        </is>
      </c>
      <c r="E5" s="6" t="inlineStr">
        <is>
          <t>是</t>
        </is>
      </c>
      <c r="F5" s="6" t="inlineStr">
        <is>
          <t>是</t>
        </is>
      </c>
      <c r="G5" s="6" t="inlineStr">
        <is>
          <t>资料冻结或审核基准日期</t>
        </is>
      </c>
      <c r="I5" t="inlineStr">
        <is>
          <t>公式</t>
        </is>
      </c>
      <c r="J5" s="10" t="inlineStr">
        <is>
          <t>母版像素X = 世界X ÷ 世界逻辑宽度 × 母版画布宽度；Y轴及预览图同理。空白不按0计算。</t>
        </is>
      </c>
    </row>
    <row r="6">
      <c r="A6" s="6" t="inlineStr">
        <is>
          <t>WORLD_WIDTH</t>
        </is>
      </c>
      <c r="B6" s="6" t="inlineStr">
        <is>
          <t>世界逻辑宽度</t>
        </is>
      </c>
      <c r="C6" s="7" t="n">
        <v>100000</v>
      </c>
      <c r="D6" s="6" t="inlineStr">
        <is>
          <t>逻辑单位</t>
        </is>
      </c>
      <c r="E6" s="6" t="inlineStr">
        <is>
          <t>是</t>
        </is>
      </c>
      <c r="F6" s="6" t="inlineStr">
        <is>
          <t>谨慎</t>
        </is>
      </c>
      <c r="G6" s="6" t="inlineStr">
        <is>
          <t>世界X有效范围为0至该值</t>
        </is>
      </c>
    </row>
    <row r="7">
      <c r="A7" s="6" t="inlineStr">
        <is>
          <t>WORLD_HEIGHT</t>
        </is>
      </c>
      <c r="B7" s="6" t="inlineStr">
        <is>
          <t>世界逻辑高度</t>
        </is>
      </c>
      <c r="C7" s="7" t="n">
        <v>60000</v>
      </c>
      <c r="D7" s="6" t="inlineStr">
        <is>
          <t>逻辑单位</t>
        </is>
      </c>
      <c r="E7" s="6" t="inlineStr">
        <is>
          <t>是</t>
        </is>
      </c>
      <c r="F7" s="6" t="inlineStr">
        <is>
          <t>谨慎</t>
        </is>
      </c>
      <c r="G7" s="6" t="inlineStr">
        <is>
          <t>世界Y有效范围为0至该值</t>
        </is>
      </c>
    </row>
    <row r="8">
      <c r="A8" s="6" t="inlineStr">
        <is>
          <t>WORLD_ORIGIN</t>
        </is>
      </c>
      <c r="B8" s="6" t="inlineStr">
        <is>
          <t>世界原点</t>
        </is>
      </c>
      <c r="C8" s="7" t="inlineStr">
        <is>
          <t>左上角</t>
        </is>
      </c>
      <c r="D8" s="6" t="inlineStr">
        <is>
          <t>文本</t>
        </is>
      </c>
      <c r="E8" s="6" t="inlineStr">
        <is>
          <t>是</t>
        </is>
      </c>
      <c r="F8" s="6" t="inlineStr">
        <is>
          <t>否</t>
        </is>
      </c>
      <c r="G8" s="6" t="inlineStr">
        <is>
          <t>统一坐标原点</t>
        </is>
      </c>
    </row>
    <row r="9">
      <c r="A9" s="6" t="inlineStr">
        <is>
          <t>X_DIRECTION</t>
        </is>
      </c>
      <c r="B9" s="6" t="inlineStr">
        <is>
          <t>X轴方向</t>
        </is>
      </c>
      <c r="C9" s="7" t="inlineStr">
        <is>
          <t>向右增加</t>
        </is>
      </c>
      <c r="D9" s="6" t="inlineStr">
        <is>
          <t>文本</t>
        </is>
      </c>
      <c r="E9" s="6" t="inlineStr">
        <is>
          <t>是</t>
        </is>
      </c>
      <c r="F9" s="6" t="inlineStr">
        <is>
          <t>否</t>
        </is>
      </c>
      <c r="G9" s="6" t="inlineStr">
        <is>
          <t>全层级一致</t>
        </is>
      </c>
    </row>
    <row r="10">
      <c r="A10" s="6" t="inlineStr">
        <is>
          <t>Y_DIRECTION</t>
        </is>
      </c>
      <c r="B10" s="6" t="inlineStr">
        <is>
          <t>Y轴方向</t>
        </is>
      </c>
      <c r="C10" s="7" t="inlineStr">
        <is>
          <t>向下增加</t>
        </is>
      </c>
      <c r="D10" s="6" t="inlineStr">
        <is>
          <t>文本</t>
        </is>
      </c>
      <c r="E10" s="6" t="inlineStr">
        <is>
          <t>是</t>
        </is>
      </c>
      <c r="F10" s="6" t="inlineStr">
        <is>
          <t>否</t>
        </is>
      </c>
      <c r="G10" s="6" t="inlineStr">
        <is>
          <t>全层级一致</t>
        </is>
      </c>
    </row>
    <row r="11">
      <c r="A11" s="6" t="inlineStr">
        <is>
          <t>MASTER_WIDTH_PX</t>
        </is>
      </c>
      <c r="B11" s="6" t="inlineStr">
        <is>
          <t>天下母版宽度px</t>
        </is>
      </c>
      <c r="C11" s="7" t="n">
        <v>15360</v>
      </c>
      <c r="D11" s="6" t="inlineStr">
        <is>
          <t>px</t>
        </is>
      </c>
      <c r="E11" s="6" t="inlineStr">
        <is>
          <t>是</t>
        </is>
      </c>
      <c r="F11" s="6" t="inlineStr">
        <is>
          <t>谨慎</t>
        </is>
      </c>
      <c r="G11" s="6" t="inlineStr">
        <is>
          <t>PSB母版画布宽度</t>
        </is>
      </c>
    </row>
    <row r="12">
      <c r="A12" s="6" t="inlineStr">
        <is>
          <t>MASTER_HEIGHT_PX</t>
        </is>
      </c>
      <c r="B12" s="6" t="inlineStr">
        <is>
          <t>天下母版高度px</t>
        </is>
      </c>
      <c r="C12" s="7" t="n">
        <v>8640</v>
      </c>
      <c r="D12" s="6" t="inlineStr">
        <is>
          <t>px</t>
        </is>
      </c>
      <c r="E12" s="6" t="inlineStr">
        <is>
          <t>是</t>
        </is>
      </c>
      <c r="F12" s="6" t="inlineStr">
        <is>
          <t>谨慎</t>
        </is>
      </c>
      <c r="G12" s="6" t="inlineStr">
        <is>
          <t>PSB母版画布高度</t>
        </is>
      </c>
    </row>
    <row r="13">
      <c r="A13" s="6" t="inlineStr">
        <is>
          <t>PREVIEW_WIDTH_PX</t>
        </is>
      </c>
      <c r="B13" s="6" t="inlineStr">
        <is>
          <t>预览图宽度px</t>
        </is>
      </c>
      <c r="C13" s="7" t="n">
        <v>3840</v>
      </c>
      <c r="D13" s="6" t="inlineStr">
        <is>
          <t>px</t>
        </is>
      </c>
      <c r="E13" s="6" t="inlineStr">
        <is>
          <t>是</t>
        </is>
      </c>
      <c r="F13" s="6" t="inlineStr">
        <is>
          <t>是</t>
        </is>
      </c>
      <c r="G13" s="6" t="inlineStr">
        <is>
          <t>预览PNG宽度</t>
        </is>
      </c>
    </row>
    <row r="14">
      <c r="A14" s="6" t="inlineStr">
        <is>
          <t>PREVIEW_HEIGHT_PX</t>
        </is>
      </c>
      <c r="B14" s="6" t="inlineStr">
        <is>
          <t>预览图高度px</t>
        </is>
      </c>
      <c r="C14" s="7" t="n">
        <v>2160</v>
      </c>
      <c r="D14" s="6" t="inlineStr">
        <is>
          <t>px</t>
        </is>
      </c>
      <c r="E14" s="6" t="inlineStr">
        <is>
          <t>是</t>
        </is>
      </c>
      <c r="F14" s="6" t="inlineStr">
        <is>
          <t>是</t>
        </is>
      </c>
      <c r="G14" s="6" t="inlineStr">
        <is>
          <t>预览PNG高度</t>
        </is>
      </c>
    </row>
    <row r="15">
      <c r="A15" s="6" t="inlineStr">
        <is>
          <t>COLOR_MODE</t>
        </is>
      </c>
      <c r="B15" s="6" t="inlineStr">
        <is>
          <t>色彩模式</t>
        </is>
      </c>
      <c r="C15" s="7" t="inlineStr">
        <is>
          <t>RGB</t>
        </is>
      </c>
      <c r="D15" s="6" t="inlineStr">
        <is>
          <t>文本</t>
        </is>
      </c>
      <c r="E15" s="6" t="inlineStr">
        <is>
          <t>是</t>
        </is>
      </c>
      <c r="F15" s="6" t="inlineStr">
        <is>
          <t>否</t>
        </is>
      </c>
      <c r="G15" s="6" t="inlineStr">
        <is>
          <t>美术母版色彩模式</t>
        </is>
      </c>
    </row>
    <row r="16">
      <c r="A16" s="6" t="inlineStr">
        <is>
          <t>COLOR_DEPTH</t>
        </is>
      </c>
      <c r="B16" s="6" t="inlineStr">
        <is>
          <t>色彩深度</t>
        </is>
      </c>
      <c r="C16" s="7" t="inlineStr">
        <is>
          <t>16位</t>
        </is>
      </c>
      <c r="D16" s="6" t="inlineStr">
        <is>
          <t>文本</t>
        </is>
      </c>
      <c r="E16" s="6" t="inlineStr">
        <is>
          <t>是</t>
        </is>
      </c>
      <c r="F16" s="6" t="inlineStr">
        <is>
          <t>谨慎</t>
        </is>
      </c>
      <c r="G16" s="6" t="inlineStr">
        <is>
          <t>美术母版色彩深度</t>
        </is>
      </c>
    </row>
    <row r="17">
      <c r="A17" s="6" t="inlineStr">
        <is>
          <t>COLOR_SPACE</t>
        </is>
      </c>
      <c r="B17" s="6" t="inlineStr">
        <is>
          <t>色彩空间</t>
        </is>
      </c>
      <c r="C17" s="7" t="inlineStr">
        <is>
          <t>sRGB</t>
        </is>
      </c>
      <c r="D17" s="6" t="inlineStr">
        <is>
          <t>文本</t>
        </is>
      </c>
      <c r="E17" s="6" t="inlineStr">
        <is>
          <t>是</t>
        </is>
      </c>
      <c r="F17" s="6" t="inlineStr">
        <is>
          <t>谨慎</t>
        </is>
      </c>
      <c r="G17" s="6" t="inlineStr">
        <is>
          <t>统一色彩空间</t>
        </is>
      </c>
    </row>
    <row r="18">
      <c r="A18" s="6" t="inlineStr">
        <is>
          <t>LIGHT_DIRECTION</t>
        </is>
      </c>
      <c r="B18" s="6" t="inlineStr">
        <is>
          <t>默认光照方向</t>
        </is>
      </c>
      <c r="C18" s="7" t="inlineStr">
        <is>
          <t>左上至右下</t>
        </is>
      </c>
      <c r="D18" s="6" t="inlineStr">
        <is>
          <t>文本</t>
        </is>
      </c>
      <c r="E18" s="6" t="inlineStr">
        <is>
          <t>是</t>
        </is>
      </c>
      <c r="F18" s="6" t="inlineStr">
        <is>
          <t>是</t>
        </is>
      </c>
      <c r="G18" s="6" t="inlineStr">
        <is>
          <t>地图和资产统一光照</t>
        </is>
      </c>
    </row>
    <row r="19">
      <c r="A19" s="6" t="inlineStr">
        <is>
          <t>MASTER_FORMAT</t>
        </is>
      </c>
      <c r="B19" s="6" t="inlineStr">
        <is>
          <t>主母版格式</t>
        </is>
      </c>
      <c r="C19" s="7" t="inlineStr">
        <is>
          <t>PSB</t>
        </is>
      </c>
      <c r="D19" s="6" t="inlineStr">
        <is>
          <t>文本</t>
        </is>
      </c>
      <c r="E19" s="6" t="inlineStr">
        <is>
          <t>是</t>
        </is>
      </c>
      <c r="F19" s="6" t="inlineStr">
        <is>
          <t>否</t>
        </is>
      </c>
      <c r="G19" s="6" t="inlineStr">
        <is>
          <t>主母版文件格式</t>
        </is>
      </c>
    </row>
    <row r="20">
      <c r="A20" s="6" t="inlineStr">
        <is>
          <t>DYNAMIC_FORMAT</t>
        </is>
      </c>
      <c r="B20" s="6" t="inlineStr">
        <is>
          <t>动态对象格式</t>
        </is>
      </c>
      <c r="C20" s="7" t="inlineStr">
        <is>
          <t>PNG</t>
        </is>
      </c>
      <c r="D20" s="6" t="inlineStr">
        <is>
          <t>文本</t>
        </is>
      </c>
      <c r="E20" s="6" t="inlineStr">
        <is>
          <t>是</t>
        </is>
      </c>
      <c r="F20" s="6" t="inlineStr">
        <is>
          <t>否</t>
        </is>
      </c>
      <c r="G20" s="6" t="inlineStr">
        <is>
          <t>动态对象导出格式</t>
        </is>
      </c>
    </row>
    <row r="21">
      <c r="A21" s="6" t="inlineStr">
        <is>
          <t>COORD_DECIMALS</t>
        </is>
      </c>
      <c r="B21" s="6" t="inlineStr">
        <is>
          <t>坐标小数位</t>
        </is>
      </c>
      <c r="C21" s="7" t="n">
        <v>2</v>
      </c>
      <c r="D21" s="6" t="inlineStr">
        <is>
          <t>位</t>
        </is>
      </c>
      <c r="E21" s="6" t="inlineStr">
        <is>
          <t>是</t>
        </is>
      </c>
      <c r="F21" s="6" t="inlineStr">
        <is>
          <t>是</t>
        </is>
      </c>
      <c r="G21" s="6" t="inlineStr">
        <is>
          <t>坐标显示与交换精度</t>
        </is>
      </c>
    </row>
  </sheetData>
  <mergeCells count="2">
    <mergeCell ref="I1:N1"/>
    <mergeCell ref="J5:N6"/>
  </mergeCells>
  <pageMargins left="0.75" right="0.75" top="1" bottom="1" header="0.5" footer="0.5"/>
  <pageSetup orientation="landscape" fitToHeight="0" fitToWidth="1"/>
  <headerFooter>
    <oddHeader>&amp;C&amp;9 02_地图坐标与对象锚点表.xlsx</oddHeader>
    <oddFooter>&amp;C第 &amp;P 页 / 共 &amp;N 页&amp;RV0.1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5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13" customWidth="1" min="4" max="4"/>
    <col width="2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0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21" customWidth="1" min="21" max="21"/>
    <col width="20" customWidth="1" min="22" max="22"/>
    <col width="13" customWidth="1" min="23" max="23"/>
    <col width="13" customWidth="1" min="24" max="24"/>
    <col width="28" customWidth="1" min="25" max="25"/>
  </cols>
  <sheetData>
    <row r="1" ht="34" customHeight="1">
      <c r="A1" s="4" t="inlineStr">
        <is>
          <t>对象ID</t>
        </is>
      </c>
      <c r="B1" s="4" t="inlineStr">
        <is>
          <t>中文名称</t>
        </is>
      </c>
      <c r="C1" s="4" t="inlineStr">
        <is>
          <t>备用名称</t>
        </is>
      </c>
      <c r="D1" s="4" t="inlineStr">
        <is>
          <t>对象类型</t>
        </is>
      </c>
      <c r="E1" s="4" t="inlineStr">
        <is>
          <t>父级对象ID</t>
        </is>
      </c>
      <c r="F1" s="4" t="inlineStr">
        <is>
          <t>世界中心X</t>
        </is>
      </c>
      <c r="G1" s="4" t="inlineStr">
        <is>
          <t>世界中心Y</t>
        </is>
      </c>
      <c r="H1" s="4" t="inlineStr">
        <is>
          <t>最小X</t>
        </is>
      </c>
      <c r="I1" s="4" t="inlineStr">
        <is>
          <t>最小Y</t>
        </is>
      </c>
      <c r="J1" s="4" t="inlineStr">
        <is>
          <t>最大X</t>
        </is>
      </c>
      <c r="K1" s="4" t="inlineStr">
        <is>
          <t>最大Y</t>
        </is>
      </c>
      <c r="L1" s="4" t="inlineStr">
        <is>
          <t>几何类型</t>
        </is>
      </c>
      <c r="M1" s="4" t="inlineStr">
        <is>
          <t>路径或多边形文件</t>
        </is>
      </c>
      <c r="N1" s="4" t="inlineStr">
        <is>
          <t>最低显示层级</t>
        </is>
      </c>
      <c r="O1" s="4" t="inlineStr">
        <is>
          <t>最高显示层级</t>
        </is>
      </c>
      <c r="P1" s="4" t="inlineStr">
        <is>
          <t>是否固定</t>
        </is>
      </c>
      <c r="Q1" s="4" t="inlineStr">
        <is>
          <t>通行影响</t>
        </is>
      </c>
      <c r="R1" s="4" t="inlineStr">
        <is>
          <t>水运影响</t>
        </is>
      </c>
      <c r="S1" s="4" t="inlineStr">
        <is>
          <t>农业影响</t>
        </is>
      </c>
      <c r="T1" s="4" t="inlineStr">
        <is>
          <t>军事影响</t>
        </is>
      </c>
      <c r="U1" s="4" t="inlineStr">
        <is>
          <t>美术资产ID</t>
        </is>
      </c>
      <c r="V1" s="4" t="inlineStr">
        <is>
          <t>资料来源</t>
        </is>
      </c>
      <c r="W1" s="4" t="inlineStr">
        <is>
          <t>资料版本</t>
        </is>
      </c>
      <c r="X1" s="4" t="inlineStr">
        <is>
          <t>审核状态</t>
        </is>
      </c>
      <c r="Y1" s="4" t="inlineStr">
        <is>
          <t>备注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</row>
  </sheetData>
  <autoFilter ref="A1:Y501"/>
  <conditionalFormatting sqref="A2:A501">
    <cfRule type="expression" priority="1" dxfId="0">
      <formula>AND(A2&lt;&gt;"",COUNTIF($A$2:$A$501,A2)&gt;1)</formula>
    </cfRule>
    <cfRule type="expression" priority="2" dxfId="1">
      <formula>AND(COUNTA($A2:$Y2)&gt;0,A2="")</formula>
    </cfRule>
  </conditionalFormatting>
  <conditionalFormatting sqref="B2:B501">
    <cfRule type="expression" priority="3" dxfId="1">
      <formula>AND(COUNTA($A2:$Y2)&gt;0,B2="")</formula>
    </cfRule>
  </conditionalFormatting>
  <conditionalFormatting sqref="D2:D501">
    <cfRule type="expression" priority="4" dxfId="1">
      <formula>AND(COUNTA($A2:$Y2)&gt;0,D2="")</formula>
    </cfRule>
  </conditionalFormatting>
  <dataValidations count="12">
    <dataValidation sqref="D2:D501" showDropDown="0" showInputMessage="1" showErrorMessage="1" allowBlank="1" errorTitle="输入无效" error="请从“对象类型”下拉字典中选择，不要自行输入未登记值。" promptTitle="请选择标准值" prompt="数据来源：10_数据字典 / 对象类型" type="list">
      <formula1>=dict_object_type</formula1>
    </dataValidation>
    <dataValidation sqref="L2:L501" showDropDown="0" showInputMessage="1" showErrorMessage="1" allowBlank="1" errorTitle="输入无效" error="请从“几何类型”下拉字典中选择，不要自行输入未登记值。" promptTitle="请选择标准值" prompt="数据来源：10_数据字典 / 几何类型" type="list">
      <formula1>=dict_geometry_type</formula1>
    </dataValidation>
    <dataValidation sqref="N2:N501" showDropDown="0" showInputMessage="1" showErrorMessage="1" allowBlank="1" errorTitle="输入无效" error="请从“地图层级”下拉字典中选择，不要自行输入未登记值。" promptTitle="请选择标准值" prompt="数据来源：10_数据字典 / 地图层级" type="list">
      <formula1>=dict_map_level</formula1>
    </dataValidation>
    <dataValidation sqref="O2:O501" showDropDown="0" showInputMessage="1" showErrorMessage="1" allowBlank="1" errorTitle="输入无效" error="请从“地图层级”下拉字典中选择，不要自行输入未登记值。" promptTitle="请选择标准值" prompt="数据来源：10_数据字典 / 地图层级" type="list">
      <formula1>=dict_map_level</formula1>
    </dataValidation>
    <dataValidation sqref="P2:P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X2:X501" showDropDown="0" showInputMessage="1" showErrorMessage="1" allowBlank="1" errorTitle="输入无效" error="请从“审核状态”下拉字典中选择，不要自行输入未登记值。" promptTitle="请选择标准值" prompt="数据来源：10_数据字典 / 审核状态" type="list">
      <formula1>=dict_review_status</formula1>
    </dataValidation>
    <dataValidation sqref="F2:F501" showDropDown="0" showInputMessage="0" showErrorMessage="1" allowBlank="1" errorTitle="世界坐标越界" error="请输入世界设置范围内的数值；空白表示尚未录入，不代表零。" type="decimal" operator="between">
      <formula1>0</formula1>
      <formula2>=WorldWidth</formula2>
    </dataValidation>
    <dataValidation sqref="H2:H501" showDropDown="0" showInputMessage="0" showErrorMessage="1" allowBlank="1" errorTitle="世界坐标越界" error="请输入世界设置范围内的数值；空白表示尚未录入，不代表零。" type="decimal" operator="between">
      <formula1>0</formula1>
      <formula2>=WorldWidth</formula2>
    </dataValidation>
    <dataValidation sqref="J2:J501" showDropDown="0" showInputMessage="0" showErrorMessage="1" allowBlank="1" errorTitle="世界坐标越界" error="请输入世界设置范围内的数值；空白表示尚未录入，不代表零。" type="decimal" operator="between">
      <formula1>0</formula1>
      <formula2>=WorldWidth</formula2>
    </dataValidation>
    <dataValidation sqref="G2:G501" showDropDown="0" showInputMessage="0" showErrorMessage="1" allowBlank="1" errorTitle="世界坐标越界" error="请输入世界设置范围内的数值；空白表示尚未录入，不代表零。" type="decimal" operator="between">
      <formula1>0</formula1>
      <formula2>=WorldHeight</formula2>
    </dataValidation>
    <dataValidation sqref="I2:I501" showDropDown="0" showInputMessage="0" showErrorMessage="1" allowBlank="1" errorTitle="世界坐标越界" error="请输入世界设置范围内的数值；空白表示尚未录入，不代表零。" type="decimal" operator="between">
      <formula1>0</formula1>
      <formula2>=WorldHeight</formula2>
    </dataValidation>
    <dataValidation sqref="K2:K501" showDropDown="0" showInputMessage="0" showErrorMessage="1" allowBlank="1" errorTitle="世界坐标越界" error="请输入世界设置范围内的数值；空白表示尚未录入，不代表零。" type="decimal" operator="between">
      <formula1>0</formula1>
      <formula2>=WorldHeight</formula2>
    </dataValidation>
  </dataValidations>
  <pageMargins left="0.75" right="0.75" top="1" bottom="1" header="0.5" footer="0.5"/>
  <pageSetup orientation="landscape" fitToHeight="0" fitToWidth="1"/>
  <headerFooter>
    <oddHeader>&amp;C&amp;9 02_地图坐标与对象锚点表.xlsx</oddHeader>
    <oddFooter>&amp;C第 &amp;P 页 / 共 &amp;N 页&amp;RV0.1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5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13" customWidth="1" min="4" max="4"/>
    <col width="21" customWidth="1" min="5" max="5"/>
    <col width="2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0" customWidth="1" min="13" max="13"/>
    <col width="20" customWidth="1" min="14" max="14"/>
    <col width="20" customWidth="1" min="15" max="15"/>
    <col width="20" customWidth="1" min="16" max="16"/>
    <col width="13" customWidth="1" min="17" max="17"/>
    <col width="13" customWidth="1" min="18" max="18"/>
    <col width="21" customWidth="1" min="19" max="19"/>
    <col width="20" customWidth="1" min="20" max="20"/>
    <col width="13" customWidth="1" min="21" max="21"/>
    <col width="13" customWidth="1" min="22" max="22"/>
    <col width="28" customWidth="1" min="23" max="23"/>
  </cols>
  <sheetData>
    <row r="1" ht="34" customHeight="1">
      <c r="A1" s="4" t="inlineStr">
        <is>
          <t>地点ID</t>
        </is>
      </c>
      <c r="B1" s="4" t="inlineStr">
        <is>
          <t>中文名称</t>
        </is>
      </c>
      <c r="C1" s="4" t="inlineStr">
        <is>
          <t>备用名称</t>
        </is>
      </c>
      <c r="D1" s="4" t="inlineStr">
        <is>
          <t>地点类型</t>
        </is>
      </c>
      <c r="E1" s="4" t="inlineStr">
        <is>
          <t>父级行政对象ID</t>
        </is>
      </c>
      <c r="F1" s="4" t="inlineStr">
        <is>
          <t>父级地点ID</t>
        </is>
      </c>
      <c r="G1" s="4" t="inlineStr">
        <is>
          <t>世界X</t>
        </is>
      </c>
      <c r="H1" s="4" t="inlineStr">
        <is>
          <t>世界Y</t>
        </is>
      </c>
      <c r="I1" s="4" t="inlineStr">
        <is>
          <t>海拔或地形等级</t>
        </is>
      </c>
      <c r="J1" s="4" t="inlineStr">
        <is>
          <t>朝向</t>
        </is>
      </c>
      <c r="K1" s="4" t="inlineStr">
        <is>
          <t>最低显示层级</t>
        </is>
      </c>
      <c r="L1" s="4" t="inlineStr">
        <is>
          <t>最高显示层级</t>
        </is>
      </c>
      <c r="M1" s="4" t="inlineStr">
        <is>
          <t>天下图表现</t>
        </is>
      </c>
      <c r="N1" s="4" t="inlineStr">
        <is>
          <t>州郡图表现</t>
        </is>
      </c>
      <c r="O1" s="4" t="inlineStr">
        <is>
          <t>县域图表现</t>
        </is>
      </c>
      <c r="P1" s="4" t="inlineStr">
        <is>
          <t>城镇图表现</t>
        </is>
      </c>
      <c r="Q1" s="4" t="inlineStr">
        <is>
          <t>固定位置</t>
        </is>
      </c>
      <c r="R1" s="4" t="inlineStr">
        <is>
          <t>允许迁移</t>
        </is>
      </c>
      <c r="S1" s="4" t="inlineStr">
        <is>
          <t>当前资产ID</t>
        </is>
      </c>
      <c r="T1" s="4" t="inlineStr">
        <is>
          <t>历史资料来源</t>
        </is>
      </c>
      <c r="U1" s="4" t="inlineStr">
        <is>
          <t>资料版本</t>
        </is>
      </c>
      <c r="V1" s="4" t="inlineStr">
        <is>
          <t>审核状态</t>
        </is>
      </c>
      <c r="W1" s="4" t="inlineStr">
        <is>
          <t>备注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</row>
  </sheetData>
  <autoFilter ref="A1:W501"/>
  <conditionalFormatting sqref="A2:A501">
    <cfRule type="expression" priority="1" dxfId="0">
      <formula>AND(A2&lt;&gt;"",COUNTIF($A$2:$A$501,A2)&gt;1)</formula>
    </cfRule>
    <cfRule type="expression" priority="2" dxfId="1">
      <formula>AND(COUNTA($A2:$W2)&gt;0,A2="")</formula>
    </cfRule>
  </conditionalFormatting>
  <conditionalFormatting sqref="B2:B501">
    <cfRule type="expression" priority="3" dxfId="1">
      <formula>AND(COUNTA($A2:$W2)&gt;0,B2="")</formula>
    </cfRule>
  </conditionalFormatting>
  <conditionalFormatting sqref="D2:D501">
    <cfRule type="expression" priority="4" dxfId="1">
      <formula>AND(COUNTA($A2:$W2)&gt;0,D2="")</formula>
    </cfRule>
  </conditionalFormatting>
  <conditionalFormatting sqref="G2:G501">
    <cfRule type="expression" priority="5" dxfId="1">
      <formula>AND(COUNTA($A2:$W2)&gt;0,G2="")</formula>
    </cfRule>
  </conditionalFormatting>
  <conditionalFormatting sqref="H2:H501">
    <cfRule type="expression" priority="6" dxfId="1">
      <formula>AND(COUNTA($A2:$W2)&gt;0,H2="")</formula>
    </cfRule>
  </conditionalFormatting>
  <dataValidations count="9">
    <dataValidation sqref="D2:D501" showDropDown="0" showInputMessage="1" showErrorMessage="1" allowBlank="1" errorTitle="输入无效" error="请从“地点类型”下拉字典中选择，不要自行输入未登记值。" promptTitle="请选择标准值" prompt="数据来源：10_数据字典 / 地点类型" type="list">
      <formula1>=dict_location_type</formula1>
    </dataValidation>
    <dataValidation sqref="J2:J501" showDropDown="0" showInputMessage="1" showErrorMessage="1" allowBlank="1" errorTitle="输入无效" error="请从“方向”下拉字典中选择，不要自行输入未登记值。" promptTitle="请选择标准值" prompt="数据来源：10_数据字典 / 方向" type="list">
      <formula1>=dict_direction</formula1>
    </dataValidation>
    <dataValidation sqref="K2:K501" showDropDown="0" showInputMessage="1" showErrorMessage="1" allowBlank="1" errorTitle="输入无效" error="请从“地图层级”下拉字典中选择，不要自行输入未登记值。" promptTitle="请选择标准值" prompt="数据来源：10_数据字典 / 地图层级" type="list">
      <formula1>=dict_map_level</formula1>
    </dataValidation>
    <dataValidation sqref="L2:L501" showDropDown="0" showInputMessage="1" showErrorMessage="1" allowBlank="1" errorTitle="输入无效" error="请从“地图层级”下拉字典中选择，不要自行输入未登记值。" promptTitle="请选择标准值" prompt="数据来源：10_数据字典 / 地图层级" type="list">
      <formula1>=dict_map_level</formula1>
    </dataValidation>
    <dataValidation sqref="Q2:Q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R2:R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V2:V501" showDropDown="0" showInputMessage="1" showErrorMessage="1" allowBlank="1" errorTitle="输入无效" error="请从“审核状态”下拉字典中选择，不要自行输入未登记值。" promptTitle="请选择标准值" prompt="数据来源：10_数据字典 / 审核状态" type="list">
      <formula1>=dict_review_status</formula1>
    </dataValidation>
    <dataValidation sqref="G2:G501" showDropDown="0" showInputMessage="0" showErrorMessage="1" allowBlank="1" errorTitle="世界坐标越界" error="请输入世界设置范围内的数值；空白表示尚未录入，不代表零。" type="decimal" operator="between">
      <formula1>0</formula1>
      <formula2>=WorldWidth</formula2>
    </dataValidation>
    <dataValidation sqref="H2:H501" showDropDown="0" showInputMessage="0" showErrorMessage="1" allowBlank="1" errorTitle="世界坐标越界" error="请输入世界设置范围内的数值；空白表示尚未录入，不代表零。" type="decimal" operator="between">
      <formula1>0</formula1>
      <formula2>=WorldHeight</formula2>
    </dataValidation>
  </dataValidations>
  <pageMargins left="0.75" right="0.75" top="1" bottom="1" header="0.5" footer="0.5"/>
  <pageSetup orientation="landscape" fitToHeight="0" fitToWidth="1"/>
  <headerFooter>
    <oddHeader>&amp;C&amp;9 02_地图坐标与对象锚点表.xlsx</oddHeader>
    <oddFooter>&amp;C第 &amp;P 页 / 共 &amp;N 页&amp;RV0.1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A5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  <col width="21" customWidth="1" min="5" max="5"/>
    <col width="20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21" customWidth="1" min="20" max="20"/>
    <col width="13" customWidth="1" min="21" max="21"/>
    <col width="13" customWidth="1" min="22" max="22"/>
    <col width="13" customWidth="1" min="23" max="23"/>
    <col width="13" customWidth="1" min="24" max="24"/>
    <col width="20" customWidth="1" min="25" max="25"/>
    <col width="13" customWidth="1" min="26" max="26"/>
    <col width="28" customWidth="1" min="27" max="27"/>
  </cols>
  <sheetData>
    <row r="1" ht="34" customHeight="1">
      <c r="A1" s="4" t="inlineStr">
        <is>
          <t>路径ID</t>
        </is>
      </c>
      <c r="B1" s="4" t="inlineStr">
        <is>
          <t>路径名称</t>
        </is>
      </c>
      <c r="C1" s="4" t="inlineStr">
        <is>
          <t>路径类型</t>
        </is>
      </c>
      <c r="D1" s="4" t="inlineStr">
        <is>
          <t>起点对象ID</t>
        </is>
      </c>
      <c r="E1" s="4" t="inlineStr">
        <is>
          <t>终点对象ID</t>
        </is>
      </c>
      <c r="F1" s="4" t="inlineStr">
        <is>
          <t>父级路径ID</t>
        </is>
      </c>
      <c r="G1" s="4" t="inlineStr">
        <is>
          <t>路径文件</t>
        </is>
      </c>
      <c r="H1" s="4" t="inlineStr">
        <is>
          <t>节点数量</t>
        </is>
      </c>
      <c r="I1" s="4" t="inlineStr">
        <is>
          <t>道路等级</t>
        </is>
      </c>
      <c r="J1" s="4" t="inlineStr">
        <is>
          <t>基础宽度</t>
        </is>
      </c>
      <c r="K1" s="4" t="inlineStr">
        <is>
          <t>基础速度系数</t>
        </is>
      </c>
      <c r="L1" s="4" t="inlineStr">
        <is>
          <t>容量等级</t>
        </is>
      </c>
      <c r="M1" s="4" t="inlineStr">
        <is>
          <t>允许军团</t>
        </is>
      </c>
      <c r="N1" s="4" t="inlineStr">
        <is>
          <t>允许商队</t>
        </is>
      </c>
      <c r="O1" s="4" t="inlineStr">
        <is>
          <t>允许平民</t>
        </is>
      </c>
      <c r="P1" s="4" t="inlineStr">
        <is>
          <t>允许车辆</t>
        </is>
      </c>
      <c r="Q1" s="4" t="inlineStr">
        <is>
          <t>允许船只</t>
        </is>
      </c>
      <c r="R1" s="4" t="inlineStr">
        <is>
          <t>季节影响</t>
        </is>
      </c>
      <c r="S1" s="4" t="inlineStr">
        <is>
          <t>天气影响</t>
        </is>
      </c>
      <c r="T1" s="4" t="inlineStr">
        <is>
          <t>控制对象ID</t>
        </is>
      </c>
      <c r="U1" s="4" t="inlineStr">
        <is>
          <t>建设状态</t>
        </is>
      </c>
      <c r="V1" s="4" t="inlineStr">
        <is>
          <t>通行状态</t>
        </is>
      </c>
      <c r="W1" s="4" t="inlineStr">
        <is>
          <t>最低显示层级</t>
        </is>
      </c>
      <c r="X1" s="4" t="inlineStr">
        <is>
          <t>最高显示层级</t>
        </is>
      </c>
      <c r="Y1" s="4" t="inlineStr">
        <is>
          <t>资料来源</t>
        </is>
      </c>
      <c r="Z1" s="4" t="inlineStr">
        <is>
          <t>审核状态</t>
        </is>
      </c>
      <c r="AA1" s="4" t="inlineStr">
        <is>
          <t>备注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</row>
  </sheetData>
  <autoFilter ref="A1:AA501"/>
  <conditionalFormatting sqref="A2:A501">
    <cfRule type="expression" priority="1" dxfId="0">
      <formula>AND(A2&lt;&gt;"",COUNTIF($A$2:$A$501,A2)&gt;1)</formula>
    </cfRule>
    <cfRule type="expression" priority="2" dxfId="1">
      <formula>AND(COUNTA($A2:$AA2)&gt;0,A2="")</formula>
    </cfRule>
  </conditionalFormatting>
  <conditionalFormatting sqref="C2:C501">
    <cfRule type="expression" priority="3" dxfId="1">
      <formula>AND(COUNTA($A2:$AA2)&gt;0,C2="")</formula>
    </cfRule>
  </conditionalFormatting>
  <conditionalFormatting sqref="D2:D501">
    <cfRule type="expression" priority="4" dxfId="1">
      <formula>AND(COUNTA($A2:$AA2)&gt;0,D2="")</formula>
    </cfRule>
  </conditionalFormatting>
  <conditionalFormatting sqref="E2:E501">
    <cfRule type="expression" priority="5" dxfId="1">
      <formula>AND(COUNTA($A2:$AA2)&gt;0,E2="")</formula>
    </cfRule>
  </conditionalFormatting>
  <dataValidations count="16">
    <dataValidation sqref="C2:C501" showDropDown="0" showInputMessage="1" showErrorMessage="1" allowBlank="1" errorTitle="输入无效" error="请从“路径类型”下拉字典中选择，不要自行输入未登记值。" promptTitle="请选择标准值" prompt="数据来源：10_数据字典 / 路径类型" type="list">
      <formula1>=dict_path_type</formula1>
    </dataValidation>
    <dataValidation sqref="I2:I501" showDropDown="0" showInputMessage="1" showErrorMessage="1" allowBlank="1" errorTitle="输入无效" error="请从“道路等级”下拉字典中选择，不要自行输入未登记值。" promptTitle="请选择标准值" prompt="数据来源：10_数据字典 / 道路等级" type="list">
      <formula1>=dict_road_level</formula1>
    </dataValidation>
    <dataValidation sqref="L2:L501" showDropDown="0" showInputMessage="1" showErrorMessage="1" allowBlank="1" errorTitle="输入无效" error="请从“容量等级”下拉字典中选择，不要自行输入未登记值。" promptTitle="请选择标准值" prompt="数据来源：10_数据字典 / 容量等级" type="list">
      <formula1>=dict_capacity</formula1>
    </dataValidation>
    <dataValidation sqref="M2:M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N2:N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O2:O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P2:P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Q2:Q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U2:U501" showDropDown="0" showInputMessage="1" showErrorMessage="1" allowBlank="1" errorTitle="输入无效" error="请从“建设状态”下拉字典中选择，不要自行输入未登记值。" promptTitle="请选择标准值" prompt="数据来源：10_数据字典 / 建设状态" type="list">
      <formula1>=dict_build_status</formula1>
    </dataValidation>
    <dataValidation sqref="V2:V501" showDropDown="0" showInputMessage="1" showErrorMessage="1" allowBlank="1" errorTitle="输入无效" error="请从“通行状态”下拉字典中选择，不要自行输入未登记值。" promptTitle="请选择标准值" prompt="数据来源：10_数据字典 / 通行状态" type="list">
      <formula1>=dict_passage_status</formula1>
    </dataValidation>
    <dataValidation sqref="W2:W501" showDropDown="0" showInputMessage="1" showErrorMessage="1" allowBlank="1" errorTitle="输入无效" error="请从“地图层级”下拉字典中选择，不要自行输入未登记值。" promptTitle="请选择标准值" prompt="数据来源：10_数据字典 / 地图层级" type="list">
      <formula1>=dict_map_level</formula1>
    </dataValidation>
    <dataValidation sqref="X2:X501" showDropDown="0" showInputMessage="1" showErrorMessage="1" allowBlank="1" errorTitle="输入无效" error="请从“地图层级”下拉字典中选择，不要自行输入未登记值。" promptTitle="请选择标准值" prompt="数据来源：10_数据字典 / 地图层级" type="list">
      <formula1>=dict_map_level</formula1>
    </dataValidation>
    <dataValidation sqref="Z2:Z501" showDropDown="0" showInputMessage="1" showErrorMessage="1" allowBlank="1" errorTitle="输入无效" error="请从“审核状态”下拉字典中选择，不要自行输入未登记值。" promptTitle="请选择标准值" prompt="数据来源：10_数据字典 / 审核状态" type="list">
      <formula1>=dict_review_status</formula1>
    </dataValidation>
    <dataValidation sqref="H2:H501" showDropDown="0" showInputMessage="0" showErrorMessage="1" allowBlank="1" errorTitle="数值无效" error="请输入大于或等于0的数值，或保持空白。" type="whole" operator="greaterThanOrEqual">
      <formula1>0</formula1>
    </dataValidation>
    <dataValidation sqref="J2:J501" showDropDown="0" showInputMessage="0" showErrorMessage="1" allowBlank="1" errorTitle="数值无效" error="请输入大于或等于0的数值，或保持空白。" type="decimal" operator="greaterThanOrEqual">
      <formula1>0</formula1>
    </dataValidation>
    <dataValidation sqref="K2:K501" showDropDown="0" showInputMessage="0" showErrorMessage="1" allowBlank="1" errorTitle="数值无效" error="请输入大于或等于0的数值，或保持空白。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headerFooter>
    <oddHeader>&amp;C&amp;9 02_地图坐标与对象锚点表.xlsx</oddHeader>
    <oddFooter>&amp;C第 &amp;P 页 / 共 &amp;N 页&amp;RV0.1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U5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20" customWidth="1" min="14" max="14"/>
    <col width="13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8" customWidth="1" min="21" max="21"/>
  </cols>
  <sheetData>
    <row r="1" ht="34" customHeight="1">
      <c r="A1" s="4" t="inlineStr">
        <is>
          <t>对象ID</t>
        </is>
      </c>
      <c r="B1" s="4" t="inlineStr">
        <is>
          <t>对象类别</t>
        </is>
      </c>
      <c r="C1" s="4" t="inlineStr">
        <is>
          <t>天下战略图是否显示</t>
        </is>
      </c>
      <c r="D1" s="4" t="inlineStr">
        <is>
          <t>天下战略图表现</t>
        </is>
      </c>
      <c r="E1" s="4" t="inlineStr">
        <is>
          <t>州郡区域图是否显示</t>
        </is>
      </c>
      <c r="F1" s="4" t="inlineStr">
        <is>
          <t>州郡区域图表现</t>
        </is>
      </c>
      <c r="G1" s="4" t="inlineStr">
        <is>
          <t>县域乡野图是否显示</t>
        </is>
      </c>
      <c r="H1" s="4" t="inlineStr">
        <is>
          <t>县域乡野图表现</t>
        </is>
      </c>
      <c r="I1" s="4" t="inlineStr">
        <is>
          <t>城镇空间图是否显示</t>
        </is>
      </c>
      <c r="J1" s="4" t="inlineStr">
        <is>
          <t>城镇空间图表现</t>
        </is>
      </c>
      <c r="K1" s="4" t="inlineStr">
        <is>
          <t>村庄庄园图是否显示</t>
        </is>
      </c>
      <c r="L1" s="4" t="inlineStr">
        <is>
          <t>村庄庄园图表现</t>
        </is>
      </c>
      <c r="M1" s="4" t="inlineStr">
        <is>
          <t>建筑院落图是否显示</t>
        </is>
      </c>
      <c r="N1" s="4" t="inlineStr">
        <is>
          <t>建筑院落图表现</t>
        </is>
      </c>
      <c r="O1" s="4" t="inlineStr">
        <is>
          <t>战场图是否显示</t>
        </is>
      </c>
      <c r="P1" s="4" t="inlineStr">
        <is>
          <t>战场图表现</t>
        </is>
      </c>
      <c r="Q1" s="4" t="inlineStr">
        <is>
          <t>聚合规则</t>
        </is>
      </c>
      <c r="R1" s="4" t="inlineStr">
        <is>
          <t>替换资产规则</t>
        </is>
      </c>
      <c r="S1" s="4" t="inlineStr">
        <is>
          <t>标签显示规则</t>
        </is>
      </c>
      <c r="T1" s="4" t="inlineStr">
        <is>
          <t>情报影响规则</t>
        </is>
      </c>
      <c r="U1" s="4" t="inlineStr">
        <is>
          <t>备注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</row>
  </sheetData>
  <autoFilter ref="A1:U501"/>
  <conditionalFormatting sqref="A2:A501">
    <cfRule type="expression" priority="1" dxfId="0">
      <formula>AND(A2&lt;&gt;"",COUNTIF($A$2:$A$501,A2)&gt;1)</formula>
    </cfRule>
    <cfRule type="expression" priority="2" dxfId="1">
      <formula>AND(COUNTA($A2:$U2)&gt;0,A2="")</formula>
    </cfRule>
  </conditionalFormatting>
  <conditionalFormatting sqref="B2:B501">
    <cfRule type="expression" priority="3" dxfId="1">
      <formula>AND(COUNTA($A2:$U2)&gt;0,B2="")</formula>
    </cfRule>
  </conditionalFormatting>
  <dataValidations count="8">
    <dataValidation sqref="B2:B501" showDropDown="0" showInputMessage="1" showErrorMessage="1" allowBlank="1" errorTitle="输入无效" error="请从“对象类型”下拉字典中选择，不要自行输入未登记值。" promptTitle="请选择标准值" prompt="数据来源：10_数据字典 / 对象类型" type="list">
      <formula1>=dict_object_type</formula1>
    </dataValidation>
    <dataValidation sqref="C2:C501" showDropDown="0" showInputMessage="1" showErrorMessage="1" allowBlank="1" errorTitle="输入无效" error="请从“显示规则”下拉字典中选择，不要自行输入未登记值。" promptTitle="请选择标准值" prompt="数据来源：10_数据字典 / 显示规则" type="list">
      <formula1>=dict_display_rule</formula1>
    </dataValidation>
    <dataValidation sqref="E2:E501" showDropDown="0" showInputMessage="1" showErrorMessage="1" allowBlank="1" errorTitle="输入无效" error="请从“显示规则”下拉字典中选择，不要自行输入未登记值。" promptTitle="请选择标准值" prompt="数据来源：10_数据字典 / 显示规则" type="list">
      <formula1>=dict_display_rule</formula1>
    </dataValidation>
    <dataValidation sqref="G2:G501" showDropDown="0" showInputMessage="1" showErrorMessage="1" allowBlank="1" errorTitle="输入无效" error="请从“显示规则”下拉字典中选择，不要自行输入未登记值。" promptTitle="请选择标准值" prompt="数据来源：10_数据字典 / 显示规则" type="list">
      <formula1>=dict_display_rule</formula1>
    </dataValidation>
    <dataValidation sqref="I2:I501" showDropDown="0" showInputMessage="1" showErrorMessage="1" allowBlank="1" errorTitle="输入无效" error="请从“显示规则”下拉字典中选择，不要自行输入未登记值。" promptTitle="请选择标准值" prompt="数据来源：10_数据字典 / 显示规则" type="list">
      <formula1>=dict_display_rule</formula1>
    </dataValidation>
    <dataValidation sqref="K2:K501" showDropDown="0" showInputMessage="1" showErrorMessage="1" allowBlank="1" errorTitle="输入无效" error="请从“显示规则”下拉字典中选择，不要自行输入未登记值。" promptTitle="请选择标准值" prompt="数据来源：10_数据字典 / 显示规则" type="list">
      <formula1>=dict_display_rule</formula1>
    </dataValidation>
    <dataValidation sqref="M2:M501" showDropDown="0" showInputMessage="1" showErrorMessage="1" allowBlank="1" errorTitle="输入无效" error="请从“显示规则”下拉字典中选择，不要自行输入未登记值。" promptTitle="请选择标准值" prompt="数据来源：10_数据字典 / 显示规则" type="list">
      <formula1>=dict_display_rule</formula1>
    </dataValidation>
    <dataValidation sqref="O2:O501" showDropDown="0" showInputMessage="1" showErrorMessage="1" allowBlank="1" errorTitle="输入无效" error="请从“显示规则”下拉字典中选择，不要自行输入未登记值。" promptTitle="请选择标准值" prompt="数据来源：10_数据字典 / 显示规则" type="list">
      <formula1>=dict_display_rule</formula1>
    </dataValidation>
  </dataValidations>
  <pageMargins left="0.75" right="0.75" top="1" bottom="1" header="0.5" footer="0.5"/>
  <pageSetup orientation="landscape" fitToHeight="0" fitToWidth="1"/>
  <headerFooter>
    <oddHeader>&amp;C&amp;9 02_地图坐标与对象锚点表.xlsx</oddHeader>
    <oddFooter>&amp;C第 &amp;P 页 / 共 &amp;N 页&amp;RV0.1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C5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3" customWidth="1" min="3" max="3"/>
    <col width="21" customWidth="1" min="4" max="4"/>
    <col width="2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0" customWidth="1" min="18" max="18"/>
    <col width="21" customWidth="1" min="19" max="19"/>
    <col width="13" customWidth="1" min="20" max="20"/>
    <col width="21" customWidth="1" min="21" max="21"/>
    <col width="21" customWidth="1" min="22" max="22"/>
    <col width="13" customWidth="1" min="23" max="23"/>
    <col width="13" customWidth="1" min="24" max="24"/>
    <col width="13" customWidth="1" min="25" max="25"/>
    <col width="13" customWidth="1" min="26" max="26"/>
    <col width="20" customWidth="1" min="27" max="27"/>
    <col width="13" customWidth="1" min="28" max="28"/>
    <col width="28" customWidth="1" min="29" max="29"/>
  </cols>
  <sheetData>
    <row r="1" ht="34" customHeight="1">
      <c r="A1" s="4" t="inlineStr">
        <is>
          <t>建筑ID</t>
        </is>
      </c>
      <c r="B1" s="4" t="inlineStr">
        <is>
          <t>建筑名称</t>
        </is>
      </c>
      <c r="C1" s="4" t="inlineStr">
        <is>
          <t>建筑类型</t>
        </is>
      </c>
      <c r="D1" s="4" t="inlineStr">
        <is>
          <t>所属地点ID</t>
        </is>
      </c>
      <c r="E1" s="4" t="inlineStr">
        <is>
          <t>所属街区或村落ID</t>
        </is>
      </c>
      <c r="F1" s="4" t="inlineStr">
        <is>
          <t>世界X</t>
        </is>
      </c>
      <c r="G1" s="4" t="inlineStr">
        <is>
          <t>世界Y</t>
        </is>
      </c>
      <c r="H1" s="4" t="inlineStr">
        <is>
          <t>城镇局部X</t>
        </is>
      </c>
      <c r="I1" s="4" t="inlineStr">
        <is>
          <t>城镇局部Y</t>
        </is>
      </c>
      <c r="J1" s="4" t="inlineStr">
        <is>
          <t>院落局部X</t>
        </is>
      </c>
      <c r="K1" s="4" t="inlineStr">
        <is>
          <t>院落局部Y</t>
        </is>
      </c>
      <c r="L1" s="4" t="inlineStr">
        <is>
          <t>朝向</t>
        </is>
      </c>
      <c r="M1" s="4" t="inlineStr">
        <is>
          <t>主入口方向</t>
        </is>
      </c>
      <c r="N1" s="4" t="inlineStr">
        <is>
          <t>主入口锚点X</t>
        </is>
      </c>
      <c r="O1" s="4" t="inlineStr">
        <is>
          <t>主入口锚点Y</t>
        </is>
      </c>
      <c r="P1" s="4" t="inlineStr">
        <is>
          <t>建筑占地宽度</t>
        </is>
      </c>
      <c r="Q1" s="4" t="inlineStr">
        <is>
          <t>建筑占地高度</t>
        </is>
      </c>
      <c r="R1" s="4" t="inlineStr">
        <is>
          <t>锚点规则</t>
        </is>
      </c>
      <c r="S1" s="4" t="inlineStr">
        <is>
          <t>所有权对象ID</t>
        </is>
      </c>
      <c r="T1" s="4" t="inlineStr">
        <is>
          <t>运营状态</t>
        </is>
      </c>
      <c r="U1" s="4" t="inlineStr">
        <is>
          <t>当前资产ID</t>
        </is>
      </c>
      <c r="V1" s="4" t="inlineStr">
        <is>
          <t>关联室内图ID</t>
        </is>
      </c>
      <c r="W1" s="4" t="inlineStr">
        <is>
          <t>可进入</t>
        </is>
      </c>
      <c r="X1" s="4" t="inlineStr">
        <is>
          <t>可破坏</t>
        </is>
      </c>
      <c r="Y1" s="4" t="inlineStr">
        <is>
          <t>可扩建</t>
        </is>
      </c>
      <c r="Z1" s="4" t="inlineStr">
        <is>
          <t>最低显示层级</t>
        </is>
      </c>
      <c r="AA1" s="4" t="inlineStr">
        <is>
          <t>资料来源</t>
        </is>
      </c>
      <c r="AB1" s="4" t="inlineStr">
        <is>
          <t>审核状态</t>
        </is>
      </c>
      <c r="AC1" s="4" t="inlineStr">
        <is>
          <t>备注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</row>
  </sheetData>
  <autoFilter ref="A1:AC501"/>
  <conditionalFormatting sqref="A2:A501">
    <cfRule type="expression" priority="1" dxfId="0">
      <formula>AND(A2&lt;&gt;"",COUNTIF($A$2:$A$501,A2)&gt;1)</formula>
    </cfRule>
    <cfRule type="expression" priority="2" dxfId="1">
      <formula>AND(COUNTA($A2:$AC2)&gt;0,A2="")</formula>
    </cfRule>
  </conditionalFormatting>
  <conditionalFormatting sqref="B2:B501">
    <cfRule type="expression" priority="3" dxfId="1">
      <formula>AND(COUNTA($A2:$AC2)&gt;0,B2="")</formula>
    </cfRule>
  </conditionalFormatting>
  <conditionalFormatting sqref="C2:C501">
    <cfRule type="expression" priority="4" dxfId="1">
      <formula>AND(COUNTA($A2:$AC2)&gt;0,C2="")</formula>
    </cfRule>
  </conditionalFormatting>
  <conditionalFormatting sqref="D2:D501">
    <cfRule type="expression" priority="5" dxfId="1">
      <formula>AND(COUNTA($A2:$AC2)&gt;0,D2="")</formula>
    </cfRule>
  </conditionalFormatting>
  <conditionalFormatting sqref="F2:F501">
    <cfRule type="expression" priority="6" dxfId="1">
      <formula>AND(COUNTA($A2:$AC2)&gt;0,F2="")</formula>
    </cfRule>
  </conditionalFormatting>
  <conditionalFormatting sqref="G2:G501">
    <cfRule type="expression" priority="7" dxfId="1">
      <formula>AND(COUNTA($A2:$AC2)&gt;0,G2="")</formula>
    </cfRule>
  </conditionalFormatting>
  <dataValidations count="14">
    <dataValidation sqref="C2:C501" showDropDown="0" showInputMessage="1" showErrorMessage="1" allowBlank="1" errorTitle="输入无效" error="请从“建筑类型”下拉字典中选择，不要自行输入未登记值。" promptTitle="请选择标准值" prompt="数据来源：10_数据字典 / 建筑类型" type="list">
      <formula1>=dict_building_type</formula1>
    </dataValidation>
    <dataValidation sqref="L2:L501" showDropDown="0" showInputMessage="1" showErrorMessage="1" allowBlank="1" errorTitle="输入无效" error="请从“方向”下拉字典中选择，不要自行输入未登记值。" promptTitle="请选择标准值" prompt="数据来源：10_数据字典 / 方向" type="list">
      <formula1>=dict_direction</formula1>
    </dataValidation>
    <dataValidation sqref="M2:M501" showDropDown="0" showInputMessage="1" showErrorMessage="1" allowBlank="1" errorTitle="输入无效" error="请从“方向”下拉字典中选择，不要自行输入未登记值。" promptTitle="请选择标准值" prompt="数据来源：10_数据字典 / 方向" type="list">
      <formula1>=dict_direction</formula1>
    </dataValidation>
    <dataValidation sqref="R2:R501" showDropDown="0" showInputMessage="1" showErrorMessage="1" allowBlank="1" errorTitle="输入无效" error="请从“锚点规则”下拉字典中选择，不要自行输入未登记值。" promptTitle="请选择标准值" prompt="数据来源：10_数据字典 / 锚点规则" type="list">
      <formula1>=dict_anchor_rule</formula1>
    </dataValidation>
    <dataValidation sqref="T2:T501" showDropDown="0" showInputMessage="1" showErrorMessage="1" allowBlank="1" errorTitle="输入无效" error="请从“状态编码”下拉字典中选择，不要自行输入未登记值。" promptTitle="请选择标准值" prompt="数据来源：10_数据字典 / 状态编码" type="list">
      <formula1>=dict_state_code</formula1>
    </dataValidation>
    <dataValidation sqref="W2:W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X2:X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Y2:Y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Z2:Z501" showDropDown="0" showInputMessage="1" showErrorMessage="1" allowBlank="1" errorTitle="输入无效" error="请从“地图层级”下拉字典中选择，不要自行输入未登记值。" promptTitle="请选择标准值" prompt="数据来源：10_数据字典 / 地图层级" type="list">
      <formula1>=dict_map_level</formula1>
    </dataValidation>
    <dataValidation sqref="AB2:AB501" showDropDown="0" showInputMessage="1" showErrorMessage="1" allowBlank="1" errorTitle="输入无效" error="请从“审核状态”下拉字典中选择，不要自行输入未登记值。" promptTitle="请选择标准值" prompt="数据来源：10_数据字典 / 审核状态" type="list">
      <formula1>=dict_review_status</formula1>
    </dataValidation>
    <dataValidation sqref="F2:F501" showDropDown="0" showInputMessage="0" showErrorMessage="1" allowBlank="1" errorTitle="世界坐标越界" error="请输入世界设置范围内的数值；空白表示尚未录入，不代表零。" type="decimal" operator="between">
      <formula1>0</formula1>
      <formula2>=WorldWidth</formula2>
    </dataValidation>
    <dataValidation sqref="G2:G501" showDropDown="0" showInputMessage="0" showErrorMessage="1" allowBlank="1" errorTitle="世界坐标越界" error="请输入世界设置范围内的数值；空白表示尚未录入，不代表零。" type="decimal" operator="between">
      <formula1>0</formula1>
      <formula2>=WorldHeight</formula2>
    </dataValidation>
    <dataValidation sqref="P2:P501" showDropDown="0" showInputMessage="0" showErrorMessage="1" allowBlank="1" errorTitle="数值无效" error="请输入大于或等于0的数值，或保持空白。" type="decimal" operator="greaterThanOrEqual">
      <formula1>0</formula1>
    </dataValidation>
    <dataValidation sqref="Q2:Q501" showDropDown="0" showInputMessage="0" showErrorMessage="1" allowBlank="1" errorTitle="数值无效" error="请输入大于或等于0的数值，或保持空白。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headerFooter>
    <oddHeader>&amp;C&amp;9 02_地图坐标与对象锚点表.xlsx</oddHeader>
    <oddFooter>&amp;C第 &amp;P 页 / 共 &amp;N 页&amp;RV0.1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5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0" customWidth="1" min="14" max="14"/>
    <col width="20" customWidth="1" min="15" max="15"/>
    <col width="13" customWidth="1" min="16" max="16"/>
    <col width="28" customWidth="1" min="17" max="17"/>
  </cols>
  <sheetData>
    <row r="1" ht="34" customHeight="1">
      <c r="A1" s="4" t="inlineStr">
        <is>
          <t>状态编码</t>
        </is>
      </c>
      <c r="B1" s="4" t="inlineStr">
        <is>
          <t>状态名称</t>
        </is>
      </c>
      <c r="C1" s="4" t="inlineStr">
        <is>
          <t>状态类别</t>
        </is>
      </c>
      <c r="D1" s="4" t="inlineStr">
        <is>
          <t>适用对象类型</t>
        </is>
      </c>
      <c r="E1" s="4" t="inlineStr">
        <is>
          <t>是否替换主体资产</t>
        </is>
      </c>
      <c r="F1" s="4" t="inlineStr">
        <is>
          <t>主体资产后缀</t>
        </is>
      </c>
      <c r="G1" s="4" t="inlineStr">
        <is>
          <t>覆盖层资产后缀</t>
        </is>
      </c>
      <c r="H1" s="4" t="inlineStr">
        <is>
          <t>是否影响碰撞</t>
        </is>
      </c>
      <c r="I1" s="4" t="inlineStr">
        <is>
          <t>是否影响通行</t>
        </is>
      </c>
      <c r="J1" s="4" t="inlineStr">
        <is>
          <t>是否影响功能</t>
        </is>
      </c>
      <c r="K1" s="4" t="inlineStr">
        <is>
          <t>是否影响人口</t>
        </is>
      </c>
      <c r="L1" s="4" t="inlineStr">
        <is>
          <t>是否影响库存</t>
        </is>
      </c>
      <c r="M1" s="4" t="inlineStr">
        <is>
          <t>是否影响所有权</t>
        </is>
      </c>
      <c r="N1" s="4" t="inlineStr">
        <is>
          <t>进入条件</t>
        </is>
      </c>
      <c r="O1" s="4" t="inlineStr">
        <is>
          <t>退出条件</t>
        </is>
      </c>
      <c r="P1" s="4" t="inlineStr">
        <is>
          <t>显示优先级</t>
        </is>
      </c>
      <c r="Q1" s="4" t="inlineStr">
        <is>
          <t>备注</t>
        </is>
      </c>
    </row>
    <row r="2">
      <c r="A2" s="11" t="inlineStr">
        <is>
          <t>NORMAL</t>
        </is>
      </c>
      <c r="B2" s="11" t="inlineStr">
        <is>
          <t>正常</t>
        </is>
      </c>
      <c r="C2" s="11" t="inlineStr">
        <is>
          <t>常态</t>
        </is>
      </c>
      <c r="D2" s="11" t="inlineStr">
        <is>
          <t>其他</t>
        </is>
      </c>
      <c r="E2" s="11" t="inlineStr">
        <is>
          <t>否</t>
        </is>
      </c>
      <c r="F2" s="11" t="n"/>
      <c r="G2" s="11" t="n"/>
      <c r="H2" s="11" t="inlineStr">
        <is>
          <t>否</t>
        </is>
      </c>
      <c r="I2" s="11" t="inlineStr">
        <is>
          <t>否</t>
        </is>
      </c>
      <c r="J2" s="11" t="inlineStr">
        <is>
          <t>否</t>
        </is>
      </c>
      <c r="K2" s="11" t="inlineStr">
        <is>
          <t>否</t>
        </is>
      </c>
      <c r="L2" s="11" t="inlineStr">
        <is>
          <t>否</t>
        </is>
      </c>
      <c r="M2" s="11" t="inlineStr">
        <is>
          <t>否</t>
        </is>
      </c>
      <c r="N2" s="11" t="n"/>
      <c r="O2" s="11" t="n"/>
      <c r="P2" s="11" t="n"/>
      <c r="Q2" s="11" t="n"/>
    </row>
    <row r="3">
      <c r="A3" s="11" t="inlineStr">
        <is>
          <t>CLOSED</t>
        </is>
      </c>
      <c r="B3" s="11" t="inlineStr">
        <is>
          <t>关闭</t>
        </is>
      </c>
      <c r="C3" s="11" t="inlineStr">
        <is>
          <t>运营</t>
        </is>
      </c>
      <c r="D3" s="11" t="inlineStr">
        <is>
          <t>其他</t>
        </is>
      </c>
      <c r="E3" s="11" t="inlineStr">
        <is>
          <t>否</t>
        </is>
      </c>
      <c r="F3" s="11" t="n"/>
      <c r="G3" s="11" t="n"/>
      <c r="H3" s="11" t="inlineStr">
        <is>
          <t>否</t>
        </is>
      </c>
      <c r="I3" s="11" t="inlineStr">
        <is>
          <t>否</t>
        </is>
      </c>
      <c r="J3" s="11" t="inlineStr">
        <is>
          <t>否</t>
        </is>
      </c>
      <c r="K3" s="11" t="inlineStr">
        <is>
          <t>否</t>
        </is>
      </c>
      <c r="L3" s="11" t="inlineStr">
        <is>
          <t>否</t>
        </is>
      </c>
      <c r="M3" s="11" t="inlineStr">
        <is>
          <t>否</t>
        </is>
      </c>
      <c r="N3" s="11" t="n"/>
      <c r="O3" s="11" t="n"/>
      <c r="P3" s="11" t="n"/>
      <c r="Q3" s="11" t="n"/>
    </row>
    <row r="4">
      <c r="A4" s="11" t="inlineStr">
        <is>
          <t>BUILDING</t>
        </is>
      </c>
      <c r="B4" s="11" t="inlineStr">
        <is>
          <t>建设中</t>
        </is>
      </c>
      <c r="C4" s="11" t="inlineStr">
        <is>
          <t>建设</t>
        </is>
      </c>
      <c r="D4" s="11" t="inlineStr">
        <is>
          <t>其他</t>
        </is>
      </c>
      <c r="E4" s="11" t="inlineStr">
        <is>
          <t>否</t>
        </is>
      </c>
      <c r="F4" s="11" t="n"/>
      <c r="G4" s="11" t="n"/>
      <c r="H4" s="11" t="inlineStr">
        <is>
          <t>否</t>
        </is>
      </c>
      <c r="I4" s="11" t="inlineStr">
        <is>
          <t>否</t>
        </is>
      </c>
      <c r="J4" s="11" t="inlineStr">
        <is>
          <t>否</t>
        </is>
      </c>
      <c r="K4" s="11" t="inlineStr">
        <is>
          <t>否</t>
        </is>
      </c>
      <c r="L4" s="11" t="inlineStr">
        <is>
          <t>否</t>
        </is>
      </c>
      <c r="M4" s="11" t="inlineStr">
        <is>
          <t>否</t>
        </is>
      </c>
      <c r="N4" s="11" t="n"/>
      <c r="O4" s="11" t="n"/>
      <c r="P4" s="11" t="n"/>
      <c r="Q4" s="11" t="n"/>
    </row>
    <row r="5">
      <c r="A5" s="11" t="inlineStr">
        <is>
          <t>EXPANDED</t>
        </is>
      </c>
      <c r="B5" s="11" t="inlineStr">
        <is>
          <t>扩建</t>
        </is>
      </c>
      <c r="C5" s="11" t="inlineStr">
        <is>
          <t>建设</t>
        </is>
      </c>
      <c r="D5" s="11" t="inlineStr">
        <is>
          <t>其他</t>
        </is>
      </c>
      <c r="E5" s="11" t="inlineStr">
        <is>
          <t>否</t>
        </is>
      </c>
      <c r="F5" s="11" t="n"/>
      <c r="G5" s="11" t="n"/>
      <c r="H5" s="11" t="inlineStr">
        <is>
          <t>否</t>
        </is>
      </c>
      <c r="I5" s="11" t="inlineStr">
        <is>
          <t>否</t>
        </is>
      </c>
      <c r="J5" s="11" t="inlineStr">
        <is>
          <t>否</t>
        </is>
      </c>
      <c r="K5" s="11" t="inlineStr">
        <is>
          <t>否</t>
        </is>
      </c>
      <c r="L5" s="11" t="inlineStr">
        <is>
          <t>否</t>
        </is>
      </c>
      <c r="M5" s="11" t="inlineStr">
        <is>
          <t>否</t>
        </is>
      </c>
      <c r="N5" s="11" t="n"/>
      <c r="O5" s="11" t="n"/>
      <c r="P5" s="11" t="n"/>
      <c r="Q5" s="11" t="n"/>
    </row>
    <row r="6">
      <c r="A6" s="11" t="inlineStr">
        <is>
          <t>DAMAGED</t>
        </is>
      </c>
      <c r="B6" s="11" t="inlineStr">
        <is>
          <t>损坏</t>
        </is>
      </c>
      <c r="C6" s="11" t="inlineStr">
        <is>
          <t>损毁</t>
        </is>
      </c>
      <c r="D6" s="11" t="inlineStr">
        <is>
          <t>其他</t>
        </is>
      </c>
      <c r="E6" s="11" t="inlineStr">
        <is>
          <t>否</t>
        </is>
      </c>
      <c r="F6" s="11" t="n"/>
      <c r="G6" s="11" t="n"/>
      <c r="H6" s="11" t="inlineStr">
        <is>
          <t>否</t>
        </is>
      </c>
      <c r="I6" s="11" t="inlineStr">
        <is>
          <t>否</t>
        </is>
      </c>
      <c r="J6" s="11" t="inlineStr">
        <is>
          <t>否</t>
        </is>
      </c>
      <c r="K6" s="11" t="inlineStr">
        <is>
          <t>否</t>
        </is>
      </c>
      <c r="L6" s="11" t="inlineStr">
        <is>
          <t>否</t>
        </is>
      </c>
      <c r="M6" s="11" t="inlineStr">
        <is>
          <t>否</t>
        </is>
      </c>
      <c r="N6" s="11" t="n"/>
      <c r="O6" s="11" t="n"/>
      <c r="P6" s="11" t="n"/>
      <c r="Q6" s="11" t="n"/>
    </row>
    <row r="7">
      <c r="A7" s="11" t="inlineStr">
        <is>
          <t>BURNING</t>
        </is>
      </c>
      <c r="B7" s="11" t="inlineStr">
        <is>
          <t>火灾</t>
        </is>
      </c>
      <c r="C7" s="11" t="inlineStr">
        <is>
          <t>灾害</t>
        </is>
      </c>
      <c r="D7" s="11" t="inlineStr">
        <is>
          <t>其他</t>
        </is>
      </c>
      <c r="E7" s="11" t="inlineStr">
        <is>
          <t>否</t>
        </is>
      </c>
      <c r="F7" s="11" t="n"/>
      <c r="G7" s="11" t="n"/>
      <c r="H7" s="11" t="inlineStr">
        <is>
          <t>否</t>
        </is>
      </c>
      <c r="I7" s="11" t="inlineStr">
        <is>
          <t>否</t>
        </is>
      </c>
      <c r="J7" s="11" t="inlineStr">
        <is>
          <t>否</t>
        </is>
      </c>
      <c r="K7" s="11" t="inlineStr">
        <is>
          <t>否</t>
        </is>
      </c>
      <c r="L7" s="11" t="inlineStr">
        <is>
          <t>否</t>
        </is>
      </c>
      <c r="M7" s="11" t="inlineStr">
        <is>
          <t>否</t>
        </is>
      </c>
      <c r="N7" s="11" t="n"/>
      <c r="O7" s="11" t="n"/>
      <c r="P7" s="11" t="n"/>
      <c r="Q7" s="11" t="n"/>
    </row>
    <row r="8">
      <c r="A8" s="11" t="inlineStr">
        <is>
          <t>ABANDONED</t>
        </is>
      </c>
      <c r="B8" s="11" t="inlineStr">
        <is>
          <t>废弃</t>
        </is>
      </c>
      <c r="C8" s="11" t="inlineStr">
        <is>
          <t>运营</t>
        </is>
      </c>
      <c r="D8" s="11" t="inlineStr">
        <is>
          <t>其他</t>
        </is>
      </c>
      <c r="E8" s="11" t="inlineStr">
        <is>
          <t>否</t>
        </is>
      </c>
      <c r="F8" s="11" t="n"/>
      <c r="G8" s="11" t="n"/>
      <c r="H8" s="11" t="inlineStr">
        <is>
          <t>否</t>
        </is>
      </c>
      <c r="I8" s="11" t="inlineStr">
        <is>
          <t>否</t>
        </is>
      </c>
      <c r="J8" s="11" t="inlineStr">
        <is>
          <t>否</t>
        </is>
      </c>
      <c r="K8" s="11" t="inlineStr">
        <is>
          <t>否</t>
        </is>
      </c>
      <c r="L8" s="11" t="inlineStr">
        <is>
          <t>否</t>
        </is>
      </c>
      <c r="M8" s="11" t="inlineStr">
        <is>
          <t>否</t>
        </is>
      </c>
      <c r="N8" s="11" t="n"/>
      <c r="O8" s="11" t="n"/>
      <c r="P8" s="11" t="n"/>
      <c r="Q8" s="11" t="n"/>
    </row>
    <row r="9">
      <c r="A9" s="11" t="inlineStr">
        <is>
          <t>OCCUPIED</t>
        </is>
      </c>
      <c r="B9" s="11" t="inlineStr">
        <is>
          <t>被占用</t>
        </is>
      </c>
      <c r="C9" s="11" t="inlineStr">
        <is>
          <t>占领</t>
        </is>
      </c>
      <c r="D9" s="11" t="inlineStr">
        <is>
          <t>其他</t>
        </is>
      </c>
      <c r="E9" s="11" t="inlineStr">
        <is>
          <t>否</t>
        </is>
      </c>
      <c r="F9" s="11" t="n"/>
      <c r="G9" s="11" t="n"/>
      <c r="H9" s="11" t="inlineStr">
        <is>
          <t>否</t>
        </is>
      </c>
      <c r="I9" s="11" t="inlineStr">
        <is>
          <t>否</t>
        </is>
      </c>
      <c r="J9" s="11" t="inlineStr">
        <is>
          <t>否</t>
        </is>
      </c>
      <c r="K9" s="11" t="inlineStr">
        <is>
          <t>否</t>
        </is>
      </c>
      <c r="L9" s="11" t="inlineStr">
        <is>
          <t>否</t>
        </is>
      </c>
      <c r="M9" s="11" t="inlineStr">
        <is>
          <t>否</t>
        </is>
      </c>
      <c r="N9" s="11" t="n"/>
      <c r="O9" s="11" t="n"/>
      <c r="P9" s="11" t="n"/>
      <c r="Q9" s="11" t="n"/>
    </row>
    <row r="10">
      <c r="A10" s="11" t="inlineStr">
        <is>
          <t>BESIEGED</t>
        </is>
      </c>
      <c r="B10" s="11" t="inlineStr">
        <is>
          <t>被围困</t>
        </is>
      </c>
      <c r="C10" s="11" t="inlineStr">
        <is>
          <t>占领</t>
        </is>
      </c>
      <c r="D10" s="11" t="inlineStr">
        <is>
          <t>其他</t>
        </is>
      </c>
      <c r="E10" s="11" t="inlineStr">
        <is>
          <t>否</t>
        </is>
      </c>
      <c r="F10" s="11" t="n"/>
      <c r="G10" s="11" t="n"/>
      <c r="H10" s="11" t="inlineStr">
        <is>
          <t>否</t>
        </is>
      </c>
      <c r="I10" s="11" t="inlineStr">
        <is>
          <t>否</t>
        </is>
      </c>
      <c r="J10" s="11" t="inlineStr">
        <is>
          <t>否</t>
        </is>
      </c>
      <c r="K10" s="11" t="inlineStr">
        <is>
          <t>否</t>
        </is>
      </c>
      <c r="L10" s="11" t="inlineStr">
        <is>
          <t>否</t>
        </is>
      </c>
      <c r="M10" s="11" t="inlineStr">
        <is>
          <t>否</t>
        </is>
      </c>
      <c r="N10" s="11" t="n"/>
      <c r="O10" s="11" t="n"/>
      <c r="P10" s="11" t="n"/>
      <c r="Q10" s="11" t="n"/>
    </row>
    <row r="11">
      <c r="A11" s="11" t="inlineStr">
        <is>
          <t>FLOODED</t>
        </is>
      </c>
      <c r="B11" s="11" t="inlineStr">
        <is>
          <t>被淹</t>
        </is>
      </c>
      <c r="C11" s="11" t="inlineStr">
        <is>
          <t>灾害</t>
        </is>
      </c>
      <c r="D11" s="11" t="inlineStr">
        <is>
          <t>其他</t>
        </is>
      </c>
      <c r="E11" s="11" t="inlineStr">
        <is>
          <t>否</t>
        </is>
      </c>
      <c r="F11" s="11" t="n"/>
      <c r="G11" s="11" t="n"/>
      <c r="H11" s="11" t="inlineStr">
        <is>
          <t>否</t>
        </is>
      </c>
      <c r="I11" s="11" t="inlineStr">
        <is>
          <t>否</t>
        </is>
      </c>
      <c r="J11" s="11" t="inlineStr">
        <is>
          <t>否</t>
        </is>
      </c>
      <c r="K11" s="11" t="inlineStr">
        <is>
          <t>否</t>
        </is>
      </c>
      <c r="L11" s="11" t="inlineStr">
        <is>
          <t>否</t>
        </is>
      </c>
      <c r="M11" s="11" t="inlineStr">
        <is>
          <t>否</t>
        </is>
      </c>
      <c r="N11" s="11" t="n"/>
      <c r="O11" s="11" t="n"/>
      <c r="P11" s="11" t="n"/>
      <c r="Q11" s="11" t="n"/>
    </row>
    <row r="12">
      <c r="A12" s="11" t="inlineStr">
        <is>
          <t>LOOTED</t>
        </is>
      </c>
      <c r="B12" s="11" t="inlineStr">
        <is>
          <t>被劫掠</t>
        </is>
      </c>
      <c r="C12" s="11" t="inlineStr">
        <is>
          <t>损毁</t>
        </is>
      </c>
      <c r="D12" s="11" t="inlineStr">
        <is>
          <t>其他</t>
        </is>
      </c>
      <c r="E12" s="11" t="inlineStr">
        <is>
          <t>否</t>
        </is>
      </c>
      <c r="F12" s="11" t="n"/>
      <c r="G12" s="11" t="n"/>
      <c r="H12" s="11" t="inlineStr">
        <is>
          <t>否</t>
        </is>
      </c>
      <c r="I12" s="11" t="inlineStr">
        <is>
          <t>否</t>
        </is>
      </c>
      <c r="J12" s="11" t="inlineStr">
        <is>
          <t>否</t>
        </is>
      </c>
      <c r="K12" s="11" t="inlineStr">
        <is>
          <t>否</t>
        </is>
      </c>
      <c r="L12" s="11" t="inlineStr">
        <is>
          <t>否</t>
        </is>
      </c>
      <c r="M12" s="11" t="inlineStr">
        <is>
          <t>否</t>
        </is>
      </c>
      <c r="N12" s="11" t="n"/>
      <c r="O12" s="11" t="n"/>
      <c r="P12" s="11" t="n"/>
      <c r="Q12" s="11" t="n"/>
    </row>
    <row r="13">
      <c r="A13" s="11" t="inlineStr">
        <is>
          <t>UNKNOWN</t>
        </is>
      </c>
      <c r="B13" s="11" t="inlineStr">
        <is>
          <t>未知</t>
        </is>
      </c>
      <c r="C13" s="11" t="inlineStr">
        <is>
          <t>情报</t>
        </is>
      </c>
      <c r="D13" s="11" t="inlineStr">
        <is>
          <t>其他</t>
        </is>
      </c>
      <c r="E13" s="11" t="inlineStr">
        <is>
          <t>否</t>
        </is>
      </c>
      <c r="F13" s="11" t="n"/>
      <c r="G13" s="11" t="n"/>
      <c r="H13" s="11" t="inlineStr">
        <is>
          <t>否</t>
        </is>
      </c>
      <c r="I13" s="11" t="inlineStr">
        <is>
          <t>否</t>
        </is>
      </c>
      <c r="J13" s="11" t="inlineStr">
        <is>
          <t>否</t>
        </is>
      </c>
      <c r="K13" s="11" t="inlineStr">
        <is>
          <t>否</t>
        </is>
      </c>
      <c r="L13" s="11" t="inlineStr">
        <is>
          <t>否</t>
        </is>
      </c>
      <c r="M13" s="11" t="inlineStr">
        <is>
          <t>否</t>
        </is>
      </c>
      <c r="N13" s="11" t="n"/>
      <c r="O13" s="11" t="n"/>
      <c r="P13" s="11" t="n"/>
      <c r="Q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</row>
  </sheetData>
  <autoFilter ref="A1:Q501"/>
  <conditionalFormatting sqref="A2:A501">
    <cfRule type="expression" priority="1" dxfId="0">
      <formula>AND(A2&lt;&gt;"",COUNTIF($A$2:$A$501,A2)&gt;1)</formula>
    </cfRule>
    <cfRule type="expression" priority="2" dxfId="1">
      <formula>AND(COUNTA($A2:$Q2)&gt;0,A2="")</formula>
    </cfRule>
  </conditionalFormatting>
  <conditionalFormatting sqref="B2:B501">
    <cfRule type="expression" priority="3" dxfId="1">
      <formula>AND(COUNTA($A2:$Q2)&gt;0,B2="")</formula>
    </cfRule>
  </conditionalFormatting>
  <conditionalFormatting sqref="C2:C501">
    <cfRule type="expression" priority="4" dxfId="1">
      <formula>AND(COUNTA($A2:$Q2)&gt;0,C2="")</formula>
    </cfRule>
  </conditionalFormatting>
  <dataValidations count="11">
    <dataValidation sqref="A2:A501" showDropDown="0" showInputMessage="1" showErrorMessage="1" allowBlank="1" errorTitle="输入无效" error="请从“状态编码”下拉字典中选择，不要自行输入未登记值。" promptTitle="请选择标准值" prompt="数据来源：10_数据字典 / 状态编码" type="list">
      <formula1>=dict_state_code</formula1>
    </dataValidation>
    <dataValidation sqref="C2:C501" showDropDown="0" showInputMessage="1" showErrorMessage="1" allowBlank="1" errorTitle="输入无效" error="请从“状态类别”下拉字典中选择，不要自行输入未登记值。" promptTitle="请选择标准值" prompt="数据来源：10_数据字典 / 状态类别" type="list">
      <formula1>=dict_state_category</formula1>
    </dataValidation>
    <dataValidation sqref="D2:D501" showDropDown="0" showInputMessage="1" showErrorMessage="1" allowBlank="1" errorTitle="输入无效" error="请从“对象类型”下拉字典中选择，不要自行输入未登记值。" promptTitle="请选择标准值" prompt="数据来源：10_数据字典 / 对象类型" type="list">
      <formula1>=dict_object_type</formula1>
    </dataValidation>
    <dataValidation sqref="E2:E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H2:H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I2:I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J2:J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K2:K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L2:L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M2:M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P2:P501" showDropDown="0" showInputMessage="0" showErrorMessage="1" allowBlank="1" errorTitle="数值无效" error="请输入大于或等于0的数值，或保持空白。" type="whole" operator="greaterThanOrEqual">
      <formula1>0</formula1>
    </dataValidation>
  </dataValidations>
  <pageMargins left="0.75" right="0.75" top="1" bottom="1" header="0.5" footer="0.5"/>
  <pageSetup orientation="landscape" fitToHeight="0" fitToWidth="1"/>
  <headerFooter>
    <oddHeader>&amp;C&amp;9 02_地图坐标与对象锚点表.xlsx</oddHeader>
    <oddFooter>&amp;C第 &amp;P 页 / 共 &amp;N 页&amp;RV0.1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Y5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1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  <col width="2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28" customWidth="1" min="25" max="25"/>
  </cols>
  <sheetData>
    <row r="1" ht="34" customHeight="1">
      <c r="A1" s="4" t="inlineStr">
        <is>
          <t>资产ID</t>
        </is>
      </c>
      <c r="B1" s="4" t="inlineStr">
        <is>
          <t>资产名称</t>
        </is>
      </c>
      <c r="C1" s="4" t="inlineStr">
        <is>
          <t>对象ID</t>
        </is>
      </c>
      <c r="D1" s="4" t="inlineStr">
        <is>
          <t>资产类别</t>
        </is>
      </c>
      <c r="E1" s="4" t="inlineStr">
        <is>
          <t>状态编码</t>
        </is>
      </c>
      <c r="F1" s="4" t="inlineStr">
        <is>
          <t>LOD层级</t>
        </is>
      </c>
      <c r="G1" s="4" t="inlineStr">
        <is>
          <t>文件名</t>
        </is>
      </c>
      <c r="H1" s="4" t="inlineStr">
        <is>
          <t>源文件路径</t>
        </is>
      </c>
      <c r="I1" s="4" t="inlineStr">
        <is>
          <t>导出文件路径</t>
        </is>
      </c>
      <c r="J1" s="4" t="inlineStr">
        <is>
          <t>源文件格式</t>
        </is>
      </c>
      <c r="K1" s="4" t="inlineStr">
        <is>
          <t>导出格式</t>
        </is>
      </c>
      <c r="L1" s="4" t="inlineStr">
        <is>
          <t>画布宽度px</t>
        </is>
      </c>
      <c r="M1" s="4" t="inlineStr">
        <is>
          <t>画布高度px</t>
        </is>
      </c>
      <c r="N1" s="4" t="inlineStr">
        <is>
          <t>锚点X</t>
        </is>
      </c>
      <c r="O1" s="4" t="inlineStr">
        <is>
          <t>锚点Y</t>
        </is>
      </c>
      <c r="P1" s="4" t="inlineStr">
        <is>
          <t>阴影是否独立</t>
        </is>
      </c>
      <c r="Q1" s="4" t="inlineStr">
        <is>
          <t>文字是否独立</t>
        </is>
      </c>
      <c r="R1" s="4" t="inlineStr">
        <is>
          <t>旗帜是否独立</t>
        </is>
      </c>
      <c r="S1" s="4" t="inlineStr">
        <is>
          <t>所有权颜色是否独立</t>
        </is>
      </c>
      <c r="T1" s="4" t="inlineStr">
        <is>
          <t>版本</t>
        </is>
      </c>
      <c r="U1" s="4" t="inlineStr">
        <is>
          <t>制作人</t>
        </is>
      </c>
      <c r="V1" s="4" t="inlineStr">
        <is>
          <t>审核人</t>
        </is>
      </c>
      <c r="W1" s="4" t="inlineStr">
        <is>
          <t>制作状态</t>
        </is>
      </c>
      <c r="X1" s="4" t="inlineStr">
        <is>
          <t>审核状态</t>
        </is>
      </c>
      <c r="Y1" s="4" t="inlineStr">
        <is>
          <t>备注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</row>
  </sheetData>
  <autoFilter ref="A1:Y501"/>
  <conditionalFormatting sqref="A2:A501">
    <cfRule type="expression" priority="1" dxfId="0">
      <formula>AND(A2&lt;&gt;"",COUNTIF($A$2:$A$501,A2)&gt;1)</formula>
    </cfRule>
    <cfRule type="expression" priority="2" dxfId="1">
      <formula>AND(COUNTA($A2:$Y2)&gt;0,A2="")</formula>
    </cfRule>
  </conditionalFormatting>
  <conditionalFormatting sqref="B2:B501">
    <cfRule type="expression" priority="3" dxfId="1">
      <formula>AND(COUNTA($A2:$Y2)&gt;0,B2="")</formula>
    </cfRule>
  </conditionalFormatting>
  <conditionalFormatting sqref="C2:C501">
    <cfRule type="expression" priority="4" dxfId="1">
      <formula>AND(COUNTA($A2:$Y2)&gt;0,C2="")</formula>
    </cfRule>
  </conditionalFormatting>
  <conditionalFormatting sqref="D2:D501">
    <cfRule type="expression" priority="5" dxfId="1">
      <formula>AND(COUNTA($A2:$Y2)&gt;0,D2="")</formula>
    </cfRule>
  </conditionalFormatting>
  <conditionalFormatting sqref="G2:G501">
    <cfRule type="expression" priority="6" dxfId="1">
      <formula>AND(COUNTA($A2:$Y2)&gt;0,G2="")</formula>
    </cfRule>
  </conditionalFormatting>
  <dataValidations count="15">
    <dataValidation sqref="D2:D501" showDropDown="0" showInputMessage="1" showErrorMessage="1" allowBlank="1" errorTitle="输入无效" error="请从“资产类别”下拉字典中选择，不要自行输入未登记值。" promptTitle="请选择标准值" prompt="数据来源：10_数据字典 / 资产类别" type="list">
      <formula1>=dict_asset_type</formula1>
    </dataValidation>
    <dataValidation sqref="E2:E501" showDropDown="0" showInputMessage="1" showErrorMessage="1" allowBlank="1" errorTitle="输入无效" error="请从“状态编码”下拉字典中选择，不要自行输入未登记值。" promptTitle="请选择标准值" prompt="数据来源：10_数据字典 / 状态编码" type="list">
      <formula1>=dict_state_code</formula1>
    </dataValidation>
    <dataValidation sqref="F2:F501" showDropDown="0" showInputMessage="1" showErrorMessage="1" allowBlank="1" errorTitle="输入无效" error="请从“地图层级”下拉字典中选择，不要自行输入未登记值。" promptTitle="请选择标准值" prompt="数据来源：10_数据字典 / 地图层级" type="list">
      <formula1>=dict_map_level</formula1>
    </dataValidation>
    <dataValidation sqref="J2:J501" showDropDown="0" showInputMessage="1" showErrorMessage="1" allowBlank="1" errorTitle="输入无效" error="请从“制作格式”下拉字典中选择，不要自行输入未登记值。" promptTitle="请选择标准值" prompt="数据来源：10_数据字典 / 制作格式" type="list">
      <formula1>=dict_source_format</formula1>
    </dataValidation>
    <dataValidation sqref="K2:K501" showDropDown="0" showInputMessage="1" showErrorMessage="1" allowBlank="1" errorTitle="输入无效" error="请从“导出格式”下拉字典中选择，不要自行输入未登记值。" promptTitle="请选择标准值" prompt="数据来源：10_数据字典 / 导出格式" type="list">
      <formula1>=dict_export_format</formula1>
    </dataValidation>
    <dataValidation sqref="P2:P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Q2:Q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R2:R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S2:S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W2:W501" showDropDown="0" showInputMessage="1" showErrorMessage="1" allowBlank="1" errorTitle="输入无效" error="请从“制作状态”下拉字典中选择，不要自行输入未登记值。" promptTitle="请选择标准值" prompt="数据来源：10_数据字典 / 制作状态" type="list">
      <formula1>=dict_production_status</formula1>
    </dataValidation>
    <dataValidation sqref="X2:X501" showDropDown="0" showInputMessage="1" showErrorMessage="1" allowBlank="1" errorTitle="输入无效" error="请从“审核状态”下拉字典中选择，不要自行输入未登记值。" promptTitle="请选择标准值" prompt="数据来源：10_数据字典 / 审核状态" type="list">
      <formula1>=dict_review_status</formula1>
    </dataValidation>
    <dataValidation sqref="L2:L501" showDropDown="0" showInputMessage="0" showErrorMessage="1" allowBlank="1" errorTitle="数值无效" error="请输入大于或等于0的数值，或保持空白。" type="whole" operator="greaterThanOrEqual">
      <formula1>0</formula1>
    </dataValidation>
    <dataValidation sqref="M2:M501" showDropDown="0" showInputMessage="0" showErrorMessage="1" allowBlank="1" errorTitle="数值无效" error="请输入大于或等于0的数值，或保持空白。" type="whole" operator="greaterThanOrEqual">
      <formula1>0</formula1>
    </dataValidation>
    <dataValidation sqref="N2:N501" showDropDown="0" showInputMessage="0" showErrorMessage="1" allowBlank="1" errorTitle="数值无效" error="请输入大于或等于0的数值，或保持空白。" type="decimal" operator="greaterThanOrEqual">
      <formula1>0</formula1>
    </dataValidation>
    <dataValidation sqref="O2:O501" showDropDown="0" showInputMessage="0" showErrorMessage="1" allowBlank="1" errorTitle="数值无效" error="请输入大于或等于0的数值，或保持空白。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headerFooter>
    <oddHeader>&amp;C&amp;9 02_地图坐标与对象锚点表.xlsx</oddHeader>
    <oddFooter>&amp;C第 &amp;P 页 / 共 &amp;N 页&amp;RV0.1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X5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28" customWidth="1" min="19" max="19"/>
    <col width="13" customWidth="1" min="20" max="20"/>
    <col width="13" customWidth="1" min="21" max="21"/>
    <col width="13" customWidth="1" min="22" max="22"/>
    <col width="13" customWidth="1" min="23" max="23"/>
    <col width="28" customWidth="1" min="24" max="24"/>
  </cols>
  <sheetData>
    <row r="1" ht="34" customHeight="1">
      <c r="A1" s="4" t="inlineStr">
        <is>
          <t>验收ID</t>
        </is>
      </c>
      <c r="B1" s="4" t="inlineStr">
        <is>
          <t>对象ID</t>
        </is>
      </c>
      <c r="C1" s="4" t="inlineStr">
        <is>
          <t>检查类型</t>
        </is>
      </c>
      <c r="D1" s="4" t="inlineStr">
        <is>
          <t>上级地图</t>
        </is>
      </c>
      <c r="E1" s="4" t="inlineStr">
        <is>
          <t>下级地图</t>
        </is>
      </c>
      <c r="F1" s="4" t="inlineStr">
        <is>
          <t>上级地图坐标X</t>
        </is>
      </c>
      <c r="G1" s="4" t="inlineStr">
        <is>
          <t>上级地图坐标Y</t>
        </is>
      </c>
      <c r="H1" s="4" t="inlineStr">
        <is>
          <t>下级换算坐标X</t>
        </is>
      </c>
      <c r="I1" s="4" t="inlineStr">
        <is>
          <t>下级换算坐标Y</t>
        </is>
      </c>
      <c r="J1" s="4" t="inlineStr">
        <is>
          <t>坐标偏差</t>
        </is>
      </c>
      <c r="K1" s="4" t="inlineStr">
        <is>
          <t>允许偏差</t>
        </is>
      </c>
      <c r="L1" s="4" t="inlineStr">
        <is>
          <t>方向一致</t>
        </is>
      </c>
      <c r="M1" s="4" t="inlineStr">
        <is>
          <t>连接关系一致</t>
        </is>
      </c>
      <c r="N1" s="4" t="inlineStr">
        <is>
          <t>外形继承</t>
        </is>
      </c>
      <c r="O1" s="4" t="inlineStr">
        <is>
          <t>状态继承</t>
        </is>
      </c>
      <c r="P1" s="4" t="inlineStr">
        <is>
          <t>情报继承</t>
        </is>
      </c>
      <c r="Q1" s="4" t="inlineStr">
        <is>
          <t>损毁继承</t>
        </is>
      </c>
      <c r="R1" s="4" t="inlineStr">
        <is>
          <t>检查结果</t>
        </is>
      </c>
      <c r="S1" s="4" t="inlineStr">
        <is>
          <t>问题说明</t>
        </is>
      </c>
      <c r="T1" s="4" t="inlineStr">
        <is>
          <t>责任人</t>
        </is>
      </c>
      <c r="U1" s="4" t="inlineStr">
        <is>
          <t>检查日期</t>
        </is>
      </c>
      <c r="V1" s="4" t="inlineStr">
        <is>
          <t>复核人</t>
        </is>
      </c>
      <c r="W1" s="4" t="inlineStr">
        <is>
          <t>复核日期</t>
        </is>
      </c>
      <c r="X1" s="4" t="inlineStr">
        <is>
          <t>备注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2">
        <f>IF(COUNTA(F2:I2)&lt;4,"",SQRT((F2-H2)^2+(G2-I2)^2))</f>
        <v/>
      </c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3" t="n"/>
      <c r="V2" s="11" t="n"/>
      <c r="W2" s="13" t="n"/>
      <c r="X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2">
        <f>IF(COUNTA(F3:I3)&lt;4,"",SQRT((F3-H3)^2+(G3-I3)^2))</f>
        <v/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3" t="n"/>
      <c r="V3" s="11" t="n"/>
      <c r="W3" s="13" t="n"/>
      <c r="X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2">
        <f>IF(COUNTA(F4:I4)&lt;4,"",SQRT((F4-H4)^2+(G4-I4)^2))</f>
        <v/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3" t="n"/>
      <c r="V4" s="11" t="n"/>
      <c r="W4" s="13" t="n"/>
      <c r="X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2">
        <f>IF(COUNTA(F5:I5)&lt;4,"",SQRT((F5-H5)^2+(G5-I5)^2))</f>
        <v/>
      </c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3" t="n"/>
      <c r="V5" s="11" t="n"/>
      <c r="W5" s="13" t="n"/>
      <c r="X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2">
        <f>IF(COUNTA(F6:I6)&lt;4,"",SQRT((F6-H6)^2+(G6-I6)^2))</f>
        <v/>
      </c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3" t="n"/>
      <c r="V6" s="11" t="n"/>
      <c r="W6" s="13" t="n"/>
      <c r="X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2">
        <f>IF(COUNTA(F7:I7)&lt;4,"",SQRT((F7-H7)^2+(G7-I7)^2))</f>
        <v/>
      </c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3" t="n"/>
      <c r="V7" s="11" t="n"/>
      <c r="W7" s="13" t="n"/>
      <c r="X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2">
        <f>IF(COUNTA(F8:I8)&lt;4,"",SQRT((F8-H8)^2+(G8-I8)^2))</f>
        <v/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3" t="n"/>
      <c r="V8" s="11" t="n"/>
      <c r="W8" s="13" t="n"/>
      <c r="X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2">
        <f>IF(COUNTA(F9:I9)&lt;4,"",SQRT((F9-H9)^2+(G9-I9)^2))</f>
        <v/>
      </c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3" t="n"/>
      <c r="V9" s="11" t="n"/>
      <c r="W9" s="13" t="n"/>
      <c r="X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2">
        <f>IF(COUNTA(F10:I10)&lt;4,"",SQRT((F10-H10)^2+(G10-I10)^2))</f>
        <v/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3" t="n"/>
      <c r="V10" s="11" t="n"/>
      <c r="W10" s="13" t="n"/>
      <c r="X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2">
        <f>IF(COUNTA(F11:I11)&lt;4,"",SQRT((F11-H11)^2+(G11-I11)^2))</f>
        <v/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3" t="n"/>
      <c r="V11" s="11" t="n"/>
      <c r="W11" s="13" t="n"/>
      <c r="X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2">
        <f>IF(COUNTA(F12:I12)&lt;4,"",SQRT((F12-H12)^2+(G12-I12)^2))</f>
        <v/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3" t="n"/>
      <c r="V12" s="11" t="n"/>
      <c r="W12" s="13" t="n"/>
      <c r="X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2">
        <f>IF(COUNTA(F13:I13)&lt;4,"",SQRT((F13-H13)^2+(G13-I13)^2))</f>
        <v/>
      </c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3" t="n"/>
      <c r="V13" s="11" t="n"/>
      <c r="W13" s="13" t="n"/>
      <c r="X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2">
        <f>IF(COUNTA(F14:I14)&lt;4,"",SQRT((F14-H14)^2+(G14-I14)^2))</f>
        <v/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3" t="n"/>
      <c r="V14" s="11" t="n"/>
      <c r="W14" s="13" t="n"/>
      <c r="X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2">
        <f>IF(COUNTA(F15:I15)&lt;4,"",SQRT((F15-H15)^2+(G15-I15)^2))</f>
        <v/>
      </c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3" t="n"/>
      <c r="V15" s="11" t="n"/>
      <c r="W15" s="13" t="n"/>
      <c r="X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2">
        <f>IF(COUNTA(F16:I16)&lt;4,"",SQRT((F16-H16)^2+(G16-I16)^2))</f>
        <v/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3" t="n"/>
      <c r="V16" s="11" t="n"/>
      <c r="W16" s="13" t="n"/>
      <c r="X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2">
        <f>IF(COUNTA(F17:I17)&lt;4,"",SQRT((F17-H17)^2+(G17-I17)^2))</f>
        <v/>
      </c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3" t="n"/>
      <c r="V17" s="11" t="n"/>
      <c r="W17" s="13" t="n"/>
      <c r="X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2">
        <f>IF(COUNTA(F18:I18)&lt;4,"",SQRT((F18-H18)^2+(G18-I18)^2))</f>
        <v/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3" t="n"/>
      <c r="V18" s="11" t="n"/>
      <c r="W18" s="13" t="n"/>
      <c r="X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2">
        <f>IF(COUNTA(F19:I19)&lt;4,"",SQRT((F19-H19)^2+(G19-I19)^2))</f>
        <v/>
      </c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3" t="n"/>
      <c r="V19" s="11" t="n"/>
      <c r="W19" s="13" t="n"/>
      <c r="X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2">
        <f>IF(COUNTA(F20:I20)&lt;4,"",SQRT((F20-H20)^2+(G20-I20)^2))</f>
        <v/>
      </c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3" t="n"/>
      <c r="V20" s="11" t="n"/>
      <c r="W20" s="13" t="n"/>
      <c r="X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2">
        <f>IF(COUNTA(F21:I21)&lt;4,"",SQRT((F21-H21)^2+(G21-I21)^2))</f>
        <v/>
      </c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3" t="n"/>
      <c r="V21" s="11" t="n"/>
      <c r="W21" s="13" t="n"/>
      <c r="X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2">
        <f>IF(COUNTA(F22:I22)&lt;4,"",SQRT((F22-H22)^2+(G22-I22)^2))</f>
        <v/>
      </c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3" t="n"/>
      <c r="V22" s="11" t="n"/>
      <c r="W22" s="13" t="n"/>
      <c r="X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2">
        <f>IF(COUNTA(F23:I23)&lt;4,"",SQRT((F23-H23)^2+(G23-I23)^2))</f>
        <v/>
      </c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3" t="n"/>
      <c r="V23" s="11" t="n"/>
      <c r="W23" s="13" t="n"/>
      <c r="X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2">
        <f>IF(COUNTA(F24:I24)&lt;4,"",SQRT((F24-H24)^2+(G24-I24)^2))</f>
        <v/>
      </c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3" t="n"/>
      <c r="V24" s="11" t="n"/>
      <c r="W24" s="13" t="n"/>
      <c r="X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2">
        <f>IF(COUNTA(F25:I25)&lt;4,"",SQRT((F25-H25)^2+(G25-I25)^2))</f>
        <v/>
      </c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3" t="n"/>
      <c r="V25" s="11" t="n"/>
      <c r="W25" s="13" t="n"/>
      <c r="X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2">
        <f>IF(COUNTA(F26:I26)&lt;4,"",SQRT((F26-H26)^2+(G26-I26)^2))</f>
        <v/>
      </c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3" t="n"/>
      <c r="V26" s="11" t="n"/>
      <c r="W26" s="13" t="n"/>
      <c r="X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2">
        <f>IF(COUNTA(F27:I27)&lt;4,"",SQRT((F27-H27)^2+(G27-I27)^2))</f>
        <v/>
      </c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3" t="n"/>
      <c r="V27" s="11" t="n"/>
      <c r="W27" s="13" t="n"/>
      <c r="X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2">
        <f>IF(COUNTA(F28:I28)&lt;4,"",SQRT((F28-H28)^2+(G28-I28)^2))</f>
        <v/>
      </c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3" t="n"/>
      <c r="V28" s="11" t="n"/>
      <c r="W28" s="13" t="n"/>
      <c r="X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2">
        <f>IF(COUNTA(F29:I29)&lt;4,"",SQRT((F29-H29)^2+(G29-I29)^2))</f>
        <v/>
      </c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3" t="n"/>
      <c r="V29" s="11" t="n"/>
      <c r="W29" s="13" t="n"/>
      <c r="X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2">
        <f>IF(COUNTA(F30:I30)&lt;4,"",SQRT((F30-H30)^2+(G30-I30)^2))</f>
        <v/>
      </c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3" t="n"/>
      <c r="V30" s="11" t="n"/>
      <c r="W30" s="13" t="n"/>
      <c r="X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2">
        <f>IF(COUNTA(F31:I31)&lt;4,"",SQRT((F31-H31)^2+(G31-I31)^2))</f>
        <v/>
      </c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3" t="n"/>
      <c r="V31" s="11" t="n"/>
      <c r="W31" s="13" t="n"/>
      <c r="X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2">
        <f>IF(COUNTA(F32:I32)&lt;4,"",SQRT((F32-H32)^2+(G32-I32)^2))</f>
        <v/>
      </c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3" t="n"/>
      <c r="V32" s="11" t="n"/>
      <c r="W32" s="13" t="n"/>
      <c r="X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2">
        <f>IF(COUNTA(F33:I33)&lt;4,"",SQRT((F33-H33)^2+(G33-I33)^2))</f>
        <v/>
      </c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3" t="n"/>
      <c r="V33" s="11" t="n"/>
      <c r="W33" s="13" t="n"/>
      <c r="X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2">
        <f>IF(COUNTA(F34:I34)&lt;4,"",SQRT((F34-H34)^2+(G34-I34)^2))</f>
        <v/>
      </c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3" t="n"/>
      <c r="V34" s="11" t="n"/>
      <c r="W34" s="13" t="n"/>
      <c r="X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2">
        <f>IF(COUNTA(F35:I35)&lt;4,"",SQRT((F35-H35)^2+(G35-I35)^2))</f>
        <v/>
      </c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3" t="n"/>
      <c r="V35" s="11" t="n"/>
      <c r="W35" s="13" t="n"/>
      <c r="X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>
        <f>IF(COUNTA(F36:I36)&lt;4,"",SQRT((F36-H36)^2+(G36-I36)^2))</f>
        <v/>
      </c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3" t="n"/>
      <c r="V36" s="11" t="n"/>
      <c r="W36" s="13" t="n"/>
      <c r="X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>
        <f>IF(COUNTA(F37:I37)&lt;4,"",SQRT((F37-H37)^2+(G37-I37)^2))</f>
        <v/>
      </c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3" t="n"/>
      <c r="V37" s="11" t="n"/>
      <c r="W37" s="13" t="n"/>
      <c r="X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2">
        <f>IF(COUNTA(F38:I38)&lt;4,"",SQRT((F38-H38)^2+(G38-I38)^2))</f>
        <v/>
      </c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3" t="n"/>
      <c r="V38" s="11" t="n"/>
      <c r="W38" s="13" t="n"/>
      <c r="X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2">
        <f>IF(COUNTA(F39:I39)&lt;4,"",SQRT((F39-H39)^2+(G39-I39)^2))</f>
        <v/>
      </c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3" t="n"/>
      <c r="V39" s="11" t="n"/>
      <c r="W39" s="13" t="n"/>
      <c r="X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2">
        <f>IF(COUNTA(F40:I40)&lt;4,"",SQRT((F40-H40)^2+(G40-I40)^2))</f>
        <v/>
      </c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3" t="n"/>
      <c r="V40" s="11" t="n"/>
      <c r="W40" s="13" t="n"/>
      <c r="X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2">
        <f>IF(COUNTA(F41:I41)&lt;4,"",SQRT((F41-H41)^2+(G41-I41)^2))</f>
        <v/>
      </c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3" t="n"/>
      <c r="V41" s="11" t="n"/>
      <c r="W41" s="13" t="n"/>
      <c r="X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2">
        <f>IF(COUNTA(F42:I42)&lt;4,"",SQRT((F42-H42)^2+(G42-I42)^2))</f>
        <v/>
      </c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3" t="n"/>
      <c r="V42" s="11" t="n"/>
      <c r="W42" s="13" t="n"/>
      <c r="X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2">
        <f>IF(COUNTA(F43:I43)&lt;4,"",SQRT((F43-H43)^2+(G43-I43)^2))</f>
        <v/>
      </c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3" t="n"/>
      <c r="V43" s="11" t="n"/>
      <c r="W43" s="13" t="n"/>
      <c r="X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2">
        <f>IF(COUNTA(F44:I44)&lt;4,"",SQRT((F44-H44)^2+(G44-I44)^2))</f>
        <v/>
      </c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3" t="n"/>
      <c r="V44" s="11" t="n"/>
      <c r="W44" s="13" t="n"/>
      <c r="X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2">
        <f>IF(COUNTA(F45:I45)&lt;4,"",SQRT((F45-H45)^2+(G45-I45)^2))</f>
        <v/>
      </c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3" t="n"/>
      <c r="V45" s="11" t="n"/>
      <c r="W45" s="13" t="n"/>
      <c r="X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2">
        <f>IF(COUNTA(F46:I46)&lt;4,"",SQRT((F46-H46)^2+(G46-I46)^2))</f>
        <v/>
      </c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3" t="n"/>
      <c r="V46" s="11" t="n"/>
      <c r="W46" s="13" t="n"/>
      <c r="X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2">
        <f>IF(COUNTA(F47:I47)&lt;4,"",SQRT((F47-H47)^2+(G47-I47)^2))</f>
        <v/>
      </c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3" t="n"/>
      <c r="V47" s="11" t="n"/>
      <c r="W47" s="13" t="n"/>
      <c r="X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2">
        <f>IF(COUNTA(F48:I48)&lt;4,"",SQRT((F48-H48)^2+(G48-I48)^2))</f>
        <v/>
      </c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3" t="n"/>
      <c r="V48" s="11" t="n"/>
      <c r="W48" s="13" t="n"/>
      <c r="X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2">
        <f>IF(COUNTA(F49:I49)&lt;4,"",SQRT((F49-H49)^2+(G49-I49)^2))</f>
        <v/>
      </c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3" t="n"/>
      <c r="V49" s="11" t="n"/>
      <c r="W49" s="13" t="n"/>
      <c r="X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2">
        <f>IF(COUNTA(F50:I50)&lt;4,"",SQRT((F50-H50)^2+(G50-I50)^2))</f>
        <v/>
      </c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3" t="n"/>
      <c r="V50" s="11" t="n"/>
      <c r="W50" s="13" t="n"/>
      <c r="X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2">
        <f>IF(COUNTA(F51:I51)&lt;4,"",SQRT((F51-H51)^2+(G51-I51)^2))</f>
        <v/>
      </c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3" t="n"/>
      <c r="V51" s="11" t="n"/>
      <c r="W51" s="13" t="n"/>
      <c r="X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2">
        <f>IF(COUNTA(F52:I52)&lt;4,"",SQRT((F52-H52)^2+(G52-I52)^2))</f>
        <v/>
      </c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3" t="n"/>
      <c r="V52" s="11" t="n"/>
      <c r="W52" s="13" t="n"/>
      <c r="X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2">
        <f>IF(COUNTA(F53:I53)&lt;4,"",SQRT((F53-H53)^2+(G53-I53)^2))</f>
        <v/>
      </c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3" t="n"/>
      <c r="V53" s="11" t="n"/>
      <c r="W53" s="13" t="n"/>
      <c r="X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2">
        <f>IF(COUNTA(F54:I54)&lt;4,"",SQRT((F54-H54)^2+(G54-I54)^2))</f>
        <v/>
      </c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3" t="n"/>
      <c r="V54" s="11" t="n"/>
      <c r="W54" s="13" t="n"/>
      <c r="X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2">
        <f>IF(COUNTA(F55:I55)&lt;4,"",SQRT((F55-H55)^2+(G55-I55)^2))</f>
        <v/>
      </c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3" t="n"/>
      <c r="V55" s="11" t="n"/>
      <c r="W55" s="13" t="n"/>
      <c r="X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2">
        <f>IF(COUNTA(F56:I56)&lt;4,"",SQRT((F56-H56)^2+(G56-I56)^2))</f>
        <v/>
      </c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3" t="n"/>
      <c r="V56" s="11" t="n"/>
      <c r="W56" s="13" t="n"/>
      <c r="X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2">
        <f>IF(COUNTA(F57:I57)&lt;4,"",SQRT((F57-H57)^2+(G57-I57)^2))</f>
        <v/>
      </c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3" t="n"/>
      <c r="V57" s="11" t="n"/>
      <c r="W57" s="13" t="n"/>
      <c r="X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2">
        <f>IF(COUNTA(F58:I58)&lt;4,"",SQRT((F58-H58)^2+(G58-I58)^2))</f>
        <v/>
      </c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3" t="n"/>
      <c r="V58" s="11" t="n"/>
      <c r="W58" s="13" t="n"/>
      <c r="X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2">
        <f>IF(COUNTA(F59:I59)&lt;4,"",SQRT((F59-H59)^2+(G59-I59)^2))</f>
        <v/>
      </c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3" t="n"/>
      <c r="V59" s="11" t="n"/>
      <c r="W59" s="13" t="n"/>
      <c r="X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2">
        <f>IF(COUNTA(F60:I60)&lt;4,"",SQRT((F60-H60)^2+(G60-I60)^2))</f>
        <v/>
      </c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3" t="n"/>
      <c r="V60" s="11" t="n"/>
      <c r="W60" s="13" t="n"/>
      <c r="X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2">
        <f>IF(COUNTA(F61:I61)&lt;4,"",SQRT((F61-H61)^2+(G61-I61)^2))</f>
        <v/>
      </c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3" t="n"/>
      <c r="V61" s="11" t="n"/>
      <c r="W61" s="13" t="n"/>
      <c r="X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2">
        <f>IF(COUNTA(F62:I62)&lt;4,"",SQRT((F62-H62)^2+(G62-I62)^2))</f>
        <v/>
      </c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3" t="n"/>
      <c r="V62" s="11" t="n"/>
      <c r="W62" s="13" t="n"/>
      <c r="X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2">
        <f>IF(COUNTA(F63:I63)&lt;4,"",SQRT((F63-H63)^2+(G63-I63)^2))</f>
        <v/>
      </c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3" t="n"/>
      <c r="V63" s="11" t="n"/>
      <c r="W63" s="13" t="n"/>
      <c r="X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2">
        <f>IF(COUNTA(F64:I64)&lt;4,"",SQRT((F64-H64)^2+(G64-I64)^2))</f>
        <v/>
      </c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3" t="n"/>
      <c r="V64" s="11" t="n"/>
      <c r="W64" s="13" t="n"/>
      <c r="X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2">
        <f>IF(COUNTA(F65:I65)&lt;4,"",SQRT((F65-H65)^2+(G65-I65)^2))</f>
        <v/>
      </c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3" t="n"/>
      <c r="V65" s="11" t="n"/>
      <c r="W65" s="13" t="n"/>
      <c r="X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2">
        <f>IF(COUNTA(F66:I66)&lt;4,"",SQRT((F66-H66)^2+(G66-I66)^2))</f>
        <v/>
      </c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3" t="n"/>
      <c r="V66" s="11" t="n"/>
      <c r="W66" s="13" t="n"/>
      <c r="X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2">
        <f>IF(COUNTA(F67:I67)&lt;4,"",SQRT((F67-H67)^2+(G67-I67)^2))</f>
        <v/>
      </c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3" t="n"/>
      <c r="V67" s="11" t="n"/>
      <c r="W67" s="13" t="n"/>
      <c r="X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2">
        <f>IF(COUNTA(F68:I68)&lt;4,"",SQRT((F68-H68)^2+(G68-I68)^2))</f>
        <v/>
      </c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3" t="n"/>
      <c r="V68" s="11" t="n"/>
      <c r="W68" s="13" t="n"/>
      <c r="X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2">
        <f>IF(COUNTA(F69:I69)&lt;4,"",SQRT((F69-H69)^2+(G69-I69)^2))</f>
        <v/>
      </c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3" t="n"/>
      <c r="V69" s="11" t="n"/>
      <c r="W69" s="13" t="n"/>
      <c r="X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2">
        <f>IF(COUNTA(F70:I70)&lt;4,"",SQRT((F70-H70)^2+(G70-I70)^2))</f>
        <v/>
      </c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3" t="n"/>
      <c r="V70" s="11" t="n"/>
      <c r="W70" s="13" t="n"/>
      <c r="X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2">
        <f>IF(COUNTA(F71:I71)&lt;4,"",SQRT((F71-H71)^2+(G71-I71)^2))</f>
        <v/>
      </c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3" t="n"/>
      <c r="V71" s="11" t="n"/>
      <c r="W71" s="13" t="n"/>
      <c r="X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2">
        <f>IF(COUNTA(F72:I72)&lt;4,"",SQRT((F72-H72)^2+(G72-I72)^2))</f>
        <v/>
      </c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3" t="n"/>
      <c r="V72" s="11" t="n"/>
      <c r="W72" s="13" t="n"/>
      <c r="X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2">
        <f>IF(COUNTA(F73:I73)&lt;4,"",SQRT((F73-H73)^2+(G73-I73)^2))</f>
        <v/>
      </c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3" t="n"/>
      <c r="V73" s="11" t="n"/>
      <c r="W73" s="13" t="n"/>
      <c r="X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2">
        <f>IF(COUNTA(F74:I74)&lt;4,"",SQRT((F74-H74)^2+(G74-I74)^2))</f>
        <v/>
      </c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3" t="n"/>
      <c r="V74" s="11" t="n"/>
      <c r="W74" s="13" t="n"/>
      <c r="X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2">
        <f>IF(COUNTA(F75:I75)&lt;4,"",SQRT((F75-H75)^2+(G75-I75)^2))</f>
        <v/>
      </c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3" t="n"/>
      <c r="V75" s="11" t="n"/>
      <c r="W75" s="13" t="n"/>
      <c r="X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2">
        <f>IF(COUNTA(F76:I76)&lt;4,"",SQRT((F76-H76)^2+(G76-I76)^2))</f>
        <v/>
      </c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3" t="n"/>
      <c r="V76" s="11" t="n"/>
      <c r="W76" s="13" t="n"/>
      <c r="X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2">
        <f>IF(COUNTA(F77:I77)&lt;4,"",SQRT((F77-H77)^2+(G77-I77)^2))</f>
        <v/>
      </c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3" t="n"/>
      <c r="V77" s="11" t="n"/>
      <c r="W77" s="13" t="n"/>
      <c r="X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2">
        <f>IF(COUNTA(F78:I78)&lt;4,"",SQRT((F78-H78)^2+(G78-I78)^2))</f>
        <v/>
      </c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3" t="n"/>
      <c r="V78" s="11" t="n"/>
      <c r="W78" s="13" t="n"/>
      <c r="X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2">
        <f>IF(COUNTA(F79:I79)&lt;4,"",SQRT((F79-H79)^2+(G79-I79)^2))</f>
        <v/>
      </c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3" t="n"/>
      <c r="V79" s="11" t="n"/>
      <c r="W79" s="13" t="n"/>
      <c r="X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2">
        <f>IF(COUNTA(F80:I80)&lt;4,"",SQRT((F80-H80)^2+(G80-I80)^2))</f>
        <v/>
      </c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3" t="n"/>
      <c r="V80" s="11" t="n"/>
      <c r="W80" s="13" t="n"/>
      <c r="X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2">
        <f>IF(COUNTA(F81:I81)&lt;4,"",SQRT((F81-H81)^2+(G81-I81)^2))</f>
        <v/>
      </c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3" t="n"/>
      <c r="V81" s="11" t="n"/>
      <c r="W81" s="13" t="n"/>
      <c r="X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2">
        <f>IF(COUNTA(F82:I82)&lt;4,"",SQRT((F82-H82)^2+(G82-I82)^2))</f>
        <v/>
      </c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3" t="n"/>
      <c r="V82" s="11" t="n"/>
      <c r="W82" s="13" t="n"/>
      <c r="X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2">
        <f>IF(COUNTA(F83:I83)&lt;4,"",SQRT((F83-H83)^2+(G83-I83)^2))</f>
        <v/>
      </c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3" t="n"/>
      <c r="V83" s="11" t="n"/>
      <c r="W83" s="13" t="n"/>
      <c r="X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2">
        <f>IF(COUNTA(F84:I84)&lt;4,"",SQRT((F84-H84)^2+(G84-I84)^2))</f>
        <v/>
      </c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3" t="n"/>
      <c r="V84" s="11" t="n"/>
      <c r="W84" s="13" t="n"/>
      <c r="X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2">
        <f>IF(COUNTA(F85:I85)&lt;4,"",SQRT((F85-H85)^2+(G85-I85)^2))</f>
        <v/>
      </c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3" t="n"/>
      <c r="V85" s="11" t="n"/>
      <c r="W85" s="13" t="n"/>
      <c r="X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2">
        <f>IF(COUNTA(F86:I86)&lt;4,"",SQRT((F86-H86)^2+(G86-I86)^2))</f>
        <v/>
      </c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3" t="n"/>
      <c r="V86" s="11" t="n"/>
      <c r="W86" s="13" t="n"/>
      <c r="X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2">
        <f>IF(COUNTA(F87:I87)&lt;4,"",SQRT((F87-H87)^2+(G87-I87)^2))</f>
        <v/>
      </c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3" t="n"/>
      <c r="V87" s="11" t="n"/>
      <c r="W87" s="13" t="n"/>
      <c r="X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2">
        <f>IF(COUNTA(F88:I88)&lt;4,"",SQRT((F88-H88)^2+(G88-I88)^2))</f>
        <v/>
      </c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3" t="n"/>
      <c r="V88" s="11" t="n"/>
      <c r="W88" s="13" t="n"/>
      <c r="X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2">
        <f>IF(COUNTA(F89:I89)&lt;4,"",SQRT((F89-H89)^2+(G89-I89)^2))</f>
        <v/>
      </c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3" t="n"/>
      <c r="V89" s="11" t="n"/>
      <c r="W89" s="13" t="n"/>
      <c r="X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2">
        <f>IF(COUNTA(F90:I90)&lt;4,"",SQRT((F90-H90)^2+(G90-I90)^2))</f>
        <v/>
      </c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3" t="n"/>
      <c r="V90" s="11" t="n"/>
      <c r="W90" s="13" t="n"/>
      <c r="X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2">
        <f>IF(COUNTA(F91:I91)&lt;4,"",SQRT((F91-H91)^2+(G91-I91)^2))</f>
        <v/>
      </c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3" t="n"/>
      <c r="V91" s="11" t="n"/>
      <c r="W91" s="13" t="n"/>
      <c r="X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2">
        <f>IF(COUNTA(F92:I92)&lt;4,"",SQRT((F92-H92)^2+(G92-I92)^2))</f>
        <v/>
      </c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3" t="n"/>
      <c r="V92" s="11" t="n"/>
      <c r="W92" s="13" t="n"/>
      <c r="X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2">
        <f>IF(COUNTA(F93:I93)&lt;4,"",SQRT((F93-H93)^2+(G93-I93)^2))</f>
        <v/>
      </c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3" t="n"/>
      <c r="V93" s="11" t="n"/>
      <c r="W93" s="13" t="n"/>
      <c r="X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2">
        <f>IF(COUNTA(F94:I94)&lt;4,"",SQRT((F94-H94)^2+(G94-I94)^2))</f>
        <v/>
      </c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3" t="n"/>
      <c r="V94" s="11" t="n"/>
      <c r="W94" s="13" t="n"/>
      <c r="X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2">
        <f>IF(COUNTA(F95:I95)&lt;4,"",SQRT((F95-H95)^2+(G95-I95)^2))</f>
        <v/>
      </c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3" t="n"/>
      <c r="V95" s="11" t="n"/>
      <c r="W95" s="13" t="n"/>
      <c r="X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2">
        <f>IF(COUNTA(F96:I96)&lt;4,"",SQRT((F96-H96)^2+(G96-I96)^2))</f>
        <v/>
      </c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3" t="n"/>
      <c r="V96" s="11" t="n"/>
      <c r="W96" s="13" t="n"/>
      <c r="X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2">
        <f>IF(COUNTA(F97:I97)&lt;4,"",SQRT((F97-H97)^2+(G97-I97)^2))</f>
        <v/>
      </c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3" t="n"/>
      <c r="V97" s="11" t="n"/>
      <c r="W97" s="13" t="n"/>
      <c r="X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2">
        <f>IF(COUNTA(F98:I98)&lt;4,"",SQRT((F98-H98)^2+(G98-I98)^2))</f>
        <v/>
      </c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3" t="n"/>
      <c r="V98" s="11" t="n"/>
      <c r="W98" s="13" t="n"/>
      <c r="X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2">
        <f>IF(COUNTA(F99:I99)&lt;4,"",SQRT((F99-H99)^2+(G99-I99)^2))</f>
        <v/>
      </c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3" t="n"/>
      <c r="V99" s="11" t="n"/>
      <c r="W99" s="13" t="n"/>
      <c r="X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2">
        <f>IF(COUNTA(F100:I100)&lt;4,"",SQRT((F100-H100)^2+(G100-I100)^2))</f>
        <v/>
      </c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3" t="n"/>
      <c r="V100" s="11" t="n"/>
      <c r="W100" s="13" t="n"/>
      <c r="X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2">
        <f>IF(COUNTA(F101:I101)&lt;4,"",SQRT((F101-H101)^2+(G101-I101)^2))</f>
        <v/>
      </c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3" t="n"/>
      <c r="V101" s="11" t="n"/>
      <c r="W101" s="13" t="n"/>
      <c r="X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2">
        <f>IF(COUNTA(F102:I102)&lt;4,"",SQRT((F102-H102)^2+(G102-I102)^2))</f>
        <v/>
      </c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3" t="n"/>
      <c r="V102" s="11" t="n"/>
      <c r="W102" s="13" t="n"/>
      <c r="X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2">
        <f>IF(COUNTA(F103:I103)&lt;4,"",SQRT((F103-H103)^2+(G103-I103)^2))</f>
        <v/>
      </c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3" t="n"/>
      <c r="V103" s="11" t="n"/>
      <c r="W103" s="13" t="n"/>
      <c r="X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2">
        <f>IF(COUNTA(F104:I104)&lt;4,"",SQRT((F104-H104)^2+(G104-I104)^2))</f>
        <v/>
      </c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3" t="n"/>
      <c r="V104" s="11" t="n"/>
      <c r="W104" s="13" t="n"/>
      <c r="X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2">
        <f>IF(COUNTA(F105:I105)&lt;4,"",SQRT((F105-H105)^2+(G105-I105)^2))</f>
        <v/>
      </c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3" t="n"/>
      <c r="V105" s="11" t="n"/>
      <c r="W105" s="13" t="n"/>
      <c r="X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2">
        <f>IF(COUNTA(F106:I106)&lt;4,"",SQRT((F106-H106)^2+(G106-I106)^2))</f>
        <v/>
      </c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3" t="n"/>
      <c r="V106" s="11" t="n"/>
      <c r="W106" s="13" t="n"/>
      <c r="X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2">
        <f>IF(COUNTA(F107:I107)&lt;4,"",SQRT((F107-H107)^2+(G107-I107)^2))</f>
        <v/>
      </c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3" t="n"/>
      <c r="V107" s="11" t="n"/>
      <c r="W107" s="13" t="n"/>
      <c r="X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2">
        <f>IF(COUNTA(F108:I108)&lt;4,"",SQRT((F108-H108)^2+(G108-I108)^2))</f>
        <v/>
      </c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3" t="n"/>
      <c r="V108" s="11" t="n"/>
      <c r="W108" s="13" t="n"/>
      <c r="X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2">
        <f>IF(COUNTA(F109:I109)&lt;4,"",SQRT((F109-H109)^2+(G109-I109)^2))</f>
        <v/>
      </c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3" t="n"/>
      <c r="V109" s="11" t="n"/>
      <c r="W109" s="13" t="n"/>
      <c r="X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2">
        <f>IF(COUNTA(F110:I110)&lt;4,"",SQRT((F110-H110)^2+(G110-I110)^2))</f>
        <v/>
      </c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3" t="n"/>
      <c r="V110" s="11" t="n"/>
      <c r="W110" s="13" t="n"/>
      <c r="X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2">
        <f>IF(COUNTA(F111:I111)&lt;4,"",SQRT((F111-H111)^2+(G111-I111)^2))</f>
        <v/>
      </c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3" t="n"/>
      <c r="V111" s="11" t="n"/>
      <c r="W111" s="13" t="n"/>
      <c r="X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2">
        <f>IF(COUNTA(F112:I112)&lt;4,"",SQRT((F112-H112)^2+(G112-I112)^2))</f>
        <v/>
      </c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3" t="n"/>
      <c r="V112" s="11" t="n"/>
      <c r="W112" s="13" t="n"/>
      <c r="X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2">
        <f>IF(COUNTA(F113:I113)&lt;4,"",SQRT((F113-H113)^2+(G113-I113)^2))</f>
        <v/>
      </c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3" t="n"/>
      <c r="V113" s="11" t="n"/>
      <c r="W113" s="13" t="n"/>
      <c r="X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2">
        <f>IF(COUNTA(F114:I114)&lt;4,"",SQRT((F114-H114)^2+(G114-I114)^2))</f>
        <v/>
      </c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3" t="n"/>
      <c r="V114" s="11" t="n"/>
      <c r="W114" s="13" t="n"/>
      <c r="X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2">
        <f>IF(COUNTA(F115:I115)&lt;4,"",SQRT((F115-H115)^2+(G115-I115)^2))</f>
        <v/>
      </c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3" t="n"/>
      <c r="V115" s="11" t="n"/>
      <c r="W115" s="13" t="n"/>
      <c r="X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2">
        <f>IF(COUNTA(F116:I116)&lt;4,"",SQRT((F116-H116)^2+(G116-I116)^2))</f>
        <v/>
      </c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3" t="n"/>
      <c r="V116" s="11" t="n"/>
      <c r="W116" s="13" t="n"/>
      <c r="X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2">
        <f>IF(COUNTA(F117:I117)&lt;4,"",SQRT((F117-H117)^2+(G117-I117)^2))</f>
        <v/>
      </c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3" t="n"/>
      <c r="V117" s="11" t="n"/>
      <c r="W117" s="13" t="n"/>
      <c r="X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2">
        <f>IF(COUNTA(F118:I118)&lt;4,"",SQRT((F118-H118)^2+(G118-I118)^2))</f>
        <v/>
      </c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3" t="n"/>
      <c r="V118" s="11" t="n"/>
      <c r="W118" s="13" t="n"/>
      <c r="X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2">
        <f>IF(COUNTA(F119:I119)&lt;4,"",SQRT((F119-H119)^2+(G119-I119)^2))</f>
        <v/>
      </c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3" t="n"/>
      <c r="V119" s="11" t="n"/>
      <c r="W119" s="13" t="n"/>
      <c r="X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2">
        <f>IF(COUNTA(F120:I120)&lt;4,"",SQRT((F120-H120)^2+(G120-I120)^2))</f>
        <v/>
      </c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3" t="n"/>
      <c r="V120" s="11" t="n"/>
      <c r="W120" s="13" t="n"/>
      <c r="X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2">
        <f>IF(COUNTA(F121:I121)&lt;4,"",SQRT((F121-H121)^2+(G121-I121)^2))</f>
        <v/>
      </c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3" t="n"/>
      <c r="V121" s="11" t="n"/>
      <c r="W121" s="13" t="n"/>
      <c r="X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2">
        <f>IF(COUNTA(F122:I122)&lt;4,"",SQRT((F122-H122)^2+(G122-I122)^2))</f>
        <v/>
      </c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3" t="n"/>
      <c r="V122" s="11" t="n"/>
      <c r="W122" s="13" t="n"/>
      <c r="X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2">
        <f>IF(COUNTA(F123:I123)&lt;4,"",SQRT((F123-H123)^2+(G123-I123)^2))</f>
        <v/>
      </c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3" t="n"/>
      <c r="V123" s="11" t="n"/>
      <c r="W123" s="13" t="n"/>
      <c r="X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2">
        <f>IF(COUNTA(F124:I124)&lt;4,"",SQRT((F124-H124)^2+(G124-I124)^2))</f>
        <v/>
      </c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3" t="n"/>
      <c r="V124" s="11" t="n"/>
      <c r="W124" s="13" t="n"/>
      <c r="X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2">
        <f>IF(COUNTA(F125:I125)&lt;4,"",SQRT((F125-H125)^2+(G125-I125)^2))</f>
        <v/>
      </c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3" t="n"/>
      <c r="V125" s="11" t="n"/>
      <c r="W125" s="13" t="n"/>
      <c r="X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2">
        <f>IF(COUNTA(F126:I126)&lt;4,"",SQRT((F126-H126)^2+(G126-I126)^2))</f>
        <v/>
      </c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3" t="n"/>
      <c r="V126" s="11" t="n"/>
      <c r="W126" s="13" t="n"/>
      <c r="X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2">
        <f>IF(COUNTA(F127:I127)&lt;4,"",SQRT((F127-H127)^2+(G127-I127)^2))</f>
        <v/>
      </c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3" t="n"/>
      <c r="V127" s="11" t="n"/>
      <c r="W127" s="13" t="n"/>
      <c r="X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2">
        <f>IF(COUNTA(F128:I128)&lt;4,"",SQRT((F128-H128)^2+(G128-I128)^2))</f>
        <v/>
      </c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3" t="n"/>
      <c r="V128" s="11" t="n"/>
      <c r="W128" s="13" t="n"/>
      <c r="X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2">
        <f>IF(COUNTA(F129:I129)&lt;4,"",SQRT((F129-H129)^2+(G129-I129)^2))</f>
        <v/>
      </c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3" t="n"/>
      <c r="V129" s="11" t="n"/>
      <c r="W129" s="13" t="n"/>
      <c r="X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2">
        <f>IF(COUNTA(F130:I130)&lt;4,"",SQRT((F130-H130)^2+(G130-I130)^2))</f>
        <v/>
      </c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3" t="n"/>
      <c r="V130" s="11" t="n"/>
      <c r="W130" s="13" t="n"/>
      <c r="X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2">
        <f>IF(COUNTA(F131:I131)&lt;4,"",SQRT((F131-H131)^2+(G131-I131)^2))</f>
        <v/>
      </c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3" t="n"/>
      <c r="V131" s="11" t="n"/>
      <c r="W131" s="13" t="n"/>
      <c r="X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2">
        <f>IF(COUNTA(F132:I132)&lt;4,"",SQRT((F132-H132)^2+(G132-I132)^2))</f>
        <v/>
      </c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3" t="n"/>
      <c r="V132" s="11" t="n"/>
      <c r="W132" s="13" t="n"/>
      <c r="X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2">
        <f>IF(COUNTA(F133:I133)&lt;4,"",SQRT((F133-H133)^2+(G133-I133)^2))</f>
        <v/>
      </c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3" t="n"/>
      <c r="V133" s="11" t="n"/>
      <c r="W133" s="13" t="n"/>
      <c r="X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2">
        <f>IF(COUNTA(F134:I134)&lt;4,"",SQRT((F134-H134)^2+(G134-I134)^2))</f>
        <v/>
      </c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3" t="n"/>
      <c r="V134" s="11" t="n"/>
      <c r="W134" s="13" t="n"/>
      <c r="X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2">
        <f>IF(COUNTA(F135:I135)&lt;4,"",SQRT((F135-H135)^2+(G135-I135)^2))</f>
        <v/>
      </c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3" t="n"/>
      <c r="V135" s="11" t="n"/>
      <c r="W135" s="13" t="n"/>
      <c r="X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2">
        <f>IF(COUNTA(F136:I136)&lt;4,"",SQRT((F136-H136)^2+(G136-I136)^2))</f>
        <v/>
      </c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3" t="n"/>
      <c r="V136" s="11" t="n"/>
      <c r="W136" s="13" t="n"/>
      <c r="X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2">
        <f>IF(COUNTA(F137:I137)&lt;4,"",SQRT((F137-H137)^2+(G137-I137)^2))</f>
        <v/>
      </c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3" t="n"/>
      <c r="V137" s="11" t="n"/>
      <c r="W137" s="13" t="n"/>
      <c r="X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2">
        <f>IF(COUNTA(F138:I138)&lt;4,"",SQRT((F138-H138)^2+(G138-I138)^2))</f>
        <v/>
      </c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3" t="n"/>
      <c r="V138" s="11" t="n"/>
      <c r="W138" s="13" t="n"/>
      <c r="X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2">
        <f>IF(COUNTA(F139:I139)&lt;4,"",SQRT((F139-H139)^2+(G139-I139)^2))</f>
        <v/>
      </c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3" t="n"/>
      <c r="V139" s="11" t="n"/>
      <c r="W139" s="13" t="n"/>
      <c r="X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2">
        <f>IF(COUNTA(F140:I140)&lt;4,"",SQRT((F140-H140)^2+(G140-I140)^2))</f>
        <v/>
      </c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3" t="n"/>
      <c r="V140" s="11" t="n"/>
      <c r="W140" s="13" t="n"/>
      <c r="X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2">
        <f>IF(COUNTA(F141:I141)&lt;4,"",SQRT((F141-H141)^2+(G141-I141)^2))</f>
        <v/>
      </c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3" t="n"/>
      <c r="V141" s="11" t="n"/>
      <c r="W141" s="13" t="n"/>
      <c r="X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2">
        <f>IF(COUNTA(F142:I142)&lt;4,"",SQRT((F142-H142)^2+(G142-I142)^2))</f>
        <v/>
      </c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3" t="n"/>
      <c r="V142" s="11" t="n"/>
      <c r="W142" s="13" t="n"/>
      <c r="X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2">
        <f>IF(COUNTA(F143:I143)&lt;4,"",SQRT((F143-H143)^2+(G143-I143)^2))</f>
        <v/>
      </c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3" t="n"/>
      <c r="V143" s="11" t="n"/>
      <c r="W143" s="13" t="n"/>
      <c r="X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2">
        <f>IF(COUNTA(F144:I144)&lt;4,"",SQRT((F144-H144)^2+(G144-I144)^2))</f>
        <v/>
      </c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3" t="n"/>
      <c r="V144" s="11" t="n"/>
      <c r="W144" s="13" t="n"/>
      <c r="X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2">
        <f>IF(COUNTA(F145:I145)&lt;4,"",SQRT((F145-H145)^2+(G145-I145)^2))</f>
        <v/>
      </c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3" t="n"/>
      <c r="V145" s="11" t="n"/>
      <c r="W145" s="13" t="n"/>
      <c r="X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2">
        <f>IF(COUNTA(F146:I146)&lt;4,"",SQRT((F146-H146)^2+(G146-I146)^2))</f>
        <v/>
      </c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3" t="n"/>
      <c r="V146" s="11" t="n"/>
      <c r="W146" s="13" t="n"/>
      <c r="X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2">
        <f>IF(COUNTA(F147:I147)&lt;4,"",SQRT((F147-H147)^2+(G147-I147)^2))</f>
        <v/>
      </c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3" t="n"/>
      <c r="V147" s="11" t="n"/>
      <c r="W147" s="13" t="n"/>
      <c r="X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2">
        <f>IF(COUNTA(F148:I148)&lt;4,"",SQRT((F148-H148)^2+(G148-I148)^2))</f>
        <v/>
      </c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3" t="n"/>
      <c r="V148" s="11" t="n"/>
      <c r="W148" s="13" t="n"/>
      <c r="X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2">
        <f>IF(COUNTA(F149:I149)&lt;4,"",SQRT((F149-H149)^2+(G149-I149)^2))</f>
        <v/>
      </c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3" t="n"/>
      <c r="V149" s="11" t="n"/>
      <c r="W149" s="13" t="n"/>
      <c r="X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2">
        <f>IF(COUNTA(F150:I150)&lt;4,"",SQRT((F150-H150)^2+(G150-I150)^2))</f>
        <v/>
      </c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3" t="n"/>
      <c r="V150" s="11" t="n"/>
      <c r="W150" s="13" t="n"/>
      <c r="X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2">
        <f>IF(COUNTA(F151:I151)&lt;4,"",SQRT((F151-H151)^2+(G151-I151)^2))</f>
        <v/>
      </c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3" t="n"/>
      <c r="V151" s="11" t="n"/>
      <c r="W151" s="13" t="n"/>
      <c r="X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2">
        <f>IF(COUNTA(F152:I152)&lt;4,"",SQRT((F152-H152)^2+(G152-I152)^2))</f>
        <v/>
      </c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3" t="n"/>
      <c r="V152" s="11" t="n"/>
      <c r="W152" s="13" t="n"/>
      <c r="X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2">
        <f>IF(COUNTA(F153:I153)&lt;4,"",SQRT((F153-H153)^2+(G153-I153)^2))</f>
        <v/>
      </c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3" t="n"/>
      <c r="V153" s="11" t="n"/>
      <c r="W153" s="13" t="n"/>
      <c r="X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2">
        <f>IF(COUNTA(F154:I154)&lt;4,"",SQRT((F154-H154)^2+(G154-I154)^2))</f>
        <v/>
      </c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3" t="n"/>
      <c r="V154" s="11" t="n"/>
      <c r="W154" s="13" t="n"/>
      <c r="X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2">
        <f>IF(COUNTA(F155:I155)&lt;4,"",SQRT((F155-H155)^2+(G155-I155)^2))</f>
        <v/>
      </c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3" t="n"/>
      <c r="V155" s="11" t="n"/>
      <c r="W155" s="13" t="n"/>
      <c r="X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2">
        <f>IF(COUNTA(F156:I156)&lt;4,"",SQRT((F156-H156)^2+(G156-I156)^2))</f>
        <v/>
      </c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3" t="n"/>
      <c r="V156" s="11" t="n"/>
      <c r="W156" s="13" t="n"/>
      <c r="X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2">
        <f>IF(COUNTA(F157:I157)&lt;4,"",SQRT((F157-H157)^2+(G157-I157)^2))</f>
        <v/>
      </c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3" t="n"/>
      <c r="V157" s="11" t="n"/>
      <c r="W157" s="13" t="n"/>
      <c r="X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2">
        <f>IF(COUNTA(F158:I158)&lt;4,"",SQRT((F158-H158)^2+(G158-I158)^2))</f>
        <v/>
      </c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3" t="n"/>
      <c r="V158" s="11" t="n"/>
      <c r="W158" s="13" t="n"/>
      <c r="X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2">
        <f>IF(COUNTA(F159:I159)&lt;4,"",SQRT((F159-H159)^2+(G159-I159)^2))</f>
        <v/>
      </c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3" t="n"/>
      <c r="V159" s="11" t="n"/>
      <c r="W159" s="13" t="n"/>
      <c r="X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2">
        <f>IF(COUNTA(F160:I160)&lt;4,"",SQRT((F160-H160)^2+(G160-I160)^2))</f>
        <v/>
      </c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3" t="n"/>
      <c r="V160" s="11" t="n"/>
      <c r="W160" s="13" t="n"/>
      <c r="X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2">
        <f>IF(COUNTA(F161:I161)&lt;4,"",SQRT((F161-H161)^2+(G161-I161)^2))</f>
        <v/>
      </c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3" t="n"/>
      <c r="V161" s="11" t="n"/>
      <c r="W161" s="13" t="n"/>
      <c r="X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2">
        <f>IF(COUNTA(F162:I162)&lt;4,"",SQRT((F162-H162)^2+(G162-I162)^2))</f>
        <v/>
      </c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3" t="n"/>
      <c r="V162" s="11" t="n"/>
      <c r="W162" s="13" t="n"/>
      <c r="X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2">
        <f>IF(COUNTA(F163:I163)&lt;4,"",SQRT((F163-H163)^2+(G163-I163)^2))</f>
        <v/>
      </c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3" t="n"/>
      <c r="V163" s="11" t="n"/>
      <c r="W163" s="13" t="n"/>
      <c r="X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2">
        <f>IF(COUNTA(F164:I164)&lt;4,"",SQRT((F164-H164)^2+(G164-I164)^2))</f>
        <v/>
      </c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3" t="n"/>
      <c r="V164" s="11" t="n"/>
      <c r="W164" s="13" t="n"/>
      <c r="X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2">
        <f>IF(COUNTA(F165:I165)&lt;4,"",SQRT((F165-H165)^2+(G165-I165)^2))</f>
        <v/>
      </c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3" t="n"/>
      <c r="V165" s="11" t="n"/>
      <c r="W165" s="13" t="n"/>
      <c r="X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2">
        <f>IF(COUNTA(F166:I166)&lt;4,"",SQRT((F166-H166)^2+(G166-I166)^2))</f>
        <v/>
      </c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3" t="n"/>
      <c r="V166" s="11" t="n"/>
      <c r="W166" s="13" t="n"/>
      <c r="X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2">
        <f>IF(COUNTA(F167:I167)&lt;4,"",SQRT((F167-H167)^2+(G167-I167)^2))</f>
        <v/>
      </c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3" t="n"/>
      <c r="V167" s="11" t="n"/>
      <c r="W167" s="13" t="n"/>
      <c r="X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2">
        <f>IF(COUNTA(F168:I168)&lt;4,"",SQRT((F168-H168)^2+(G168-I168)^2))</f>
        <v/>
      </c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3" t="n"/>
      <c r="V168" s="11" t="n"/>
      <c r="W168" s="13" t="n"/>
      <c r="X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2">
        <f>IF(COUNTA(F169:I169)&lt;4,"",SQRT((F169-H169)^2+(G169-I169)^2))</f>
        <v/>
      </c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3" t="n"/>
      <c r="V169" s="11" t="n"/>
      <c r="W169" s="13" t="n"/>
      <c r="X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2">
        <f>IF(COUNTA(F170:I170)&lt;4,"",SQRT((F170-H170)^2+(G170-I170)^2))</f>
        <v/>
      </c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3" t="n"/>
      <c r="V170" s="11" t="n"/>
      <c r="W170" s="13" t="n"/>
      <c r="X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2">
        <f>IF(COUNTA(F171:I171)&lt;4,"",SQRT((F171-H171)^2+(G171-I171)^2))</f>
        <v/>
      </c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3" t="n"/>
      <c r="V171" s="11" t="n"/>
      <c r="W171" s="13" t="n"/>
      <c r="X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2">
        <f>IF(COUNTA(F172:I172)&lt;4,"",SQRT((F172-H172)^2+(G172-I172)^2))</f>
        <v/>
      </c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3" t="n"/>
      <c r="V172" s="11" t="n"/>
      <c r="W172" s="13" t="n"/>
      <c r="X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2">
        <f>IF(COUNTA(F173:I173)&lt;4,"",SQRT((F173-H173)^2+(G173-I173)^2))</f>
        <v/>
      </c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3" t="n"/>
      <c r="V173" s="11" t="n"/>
      <c r="W173" s="13" t="n"/>
      <c r="X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2">
        <f>IF(COUNTA(F174:I174)&lt;4,"",SQRT((F174-H174)^2+(G174-I174)^2))</f>
        <v/>
      </c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3" t="n"/>
      <c r="V174" s="11" t="n"/>
      <c r="W174" s="13" t="n"/>
      <c r="X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2">
        <f>IF(COUNTA(F175:I175)&lt;4,"",SQRT((F175-H175)^2+(G175-I175)^2))</f>
        <v/>
      </c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3" t="n"/>
      <c r="V175" s="11" t="n"/>
      <c r="W175" s="13" t="n"/>
      <c r="X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2">
        <f>IF(COUNTA(F176:I176)&lt;4,"",SQRT((F176-H176)^2+(G176-I176)^2))</f>
        <v/>
      </c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3" t="n"/>
      <c r="V176" s="11" t="n"/>
      <c r="W176" s="13" t="n"/>
      <c r="X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2">
        <f>IF(COUNTA(F177:I177)&lt;4,"",SQRT((F177-H177)^2+(G177-I177)^2))</f>
        <v/>
      </c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3" t="n"/>
      <c r="V177" s="11" t="n"/>
      <c r="W177" s="13" t="n"/>
      <c r="X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2">
        <f>IF(COUNTA(F178:I178)&lt;4,"",SQRT((F178-H178)^2+(G178-I178)^2))</f>
        <v/>
      </c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3" t="n"/>
      <c r="V178" s="11" t="n"/>
      <c r="W178" s="13" t="n"/>
      <c r="X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2">
        <f>IF(COUNTA(F179:I179)&lt;4,"",SQRT((F179-H179)^2+(G179-I179)^2))</f>
        <v/>
      </c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3" t="n"/>
      <c r="V179" s="11" t="n"/>
      <c r="W179" s="13" t="n"/>
      <c r="X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2">
        <f>IF(COUNTA(F180:I180)&lt;4,"",SQRT((F180-H180)^2+(G180-I180)^2))</f>
        <v/>
      </c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3" t="n"/>
      <c r="V180" s="11" t="n"/>
      <c r="W180" s="13" t="n"/>
      <c r="X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2">
        <f>IF(COUNTA(F181:I181)&lt;4,"",SQRT((F181-H181)^2+(G181-I181)^2))</f>
        <v/>
      </c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3" t="n"/>
      <c r="V181" s="11" t="n"/>
      <c r="W181" s="13" t="n"/>
      <c r="X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2">
        <f>IF(COUNTA(F182:I182)&lt;4,"",SQRT((F182-H182)^2+(G182-I182)^2))</f>
        <v/>
      </c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3" t="n"/>
      <c r="V182" s="11" t="n"/>
      <c r="W182" s="13" t="n"/>
      <c r="X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2">
        <f>IF(COUNTA(F183:I183)&lt;4,"",SQRT((F183-H183)^2+(G183-I183)^2))</f>
        <v/>
      </c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3" t="n"/>
      <c r="V183" s="11" t="n"/>
      <c r="W183" s="13" t="n"/>
      <c r="X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2">
        <f>IF(COUNTA(F184:I184)&lt;4,"",SQRT((F184-H184)^2+(G184-I184)^2))</f>
        <v/>
      </c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3" t="n"/>
      <c r="V184" s="11" t="n"/>
      <c r="W184" s="13" t="n"/>
      <c r="X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2">
        <f>IF(COUNTA(F185:I185)&lt;4,"",SQRT((F185-H185)^2+(G185-I185)^2))</f>
        <v/>
      </c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3" t="n"/>
      <c r="V185" s="11" t="n"/>
      <c r="W185" s="13" t="n"/>
      <c r="X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2">
        <f>IF(COUNTA(F186:I186)&lt;4,"",SQRT((F186-H186)^2+(G186-I186)^2))</f>
        <v/>
      </c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3" t="n"/>
      <c r="V186" s="11" t="n"/>
      <c r="W186" s="13" t="n"/>
      <c r="X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2">
        <f>IF(COUNTA(F187:I187)&lt;4,"",SQRT((F187-H187)^2+(G187-I187)^2))</f>
        <v/>
      </c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3" t="n"/>
      <c r="V187" s="11" t="n"/>
      <c r="W187" s="13" t="n"/>
      <c r="X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2">
        <f>IF(COUNTA(F188:I188)&lt;4,"",SQRT((F188-H188)^2+(G188-I188)^2))</f>
        <v/>
      </c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3" t="n"/>
      <c r="V188" s="11" t="n"/>
      <c r="W188" s="13" t="n"/>
      <c r="X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2">
        <f>IF(COUNTA(F189:I189)&lt;4,"",SQRT((F189-H189)^2+(G189-I189)^2))</f>
        <v/>
      </c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3" t="n"/>
      <c r="V189" s="11" t="n"/>
      <c r="W189" s="13" t="n"/>
      <c r="X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2">
        <f>IF(COUNTA(F190:I190)&lt;4,"",SQRT((F190-H190)^2+(G190-I190)^2))</f>
        <v/>
      </c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3" t="n"/>
      <c r="V190" s="11" t="n"/>
      <c r="W190" s="13" t="n"/>
      <c r="X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2">
        <f>IF(COUNTA(F191:I191)&lt;4,"",SQRT((F191-H191)^2+(G191-I191)^2))</f>
        <v/>
      </c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3" t="n"/>
      <c r="V191" s="11" t="n"/>
      <c r="W191" s="13" t="n"/>
      <c r="X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2">
        <f>IF(COUNTA(F192:I192)&lt;4,"",SQRT((F192-H192)^2+(G192-I192)^2))</f>
        <v/>
      </c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3" t="n"/>
      <c r="V192" s="11" t="n"/>
      <c r="W192" s="13" t="n"/>
      <c r="X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2">
        <f>IF(COUNTA(F193:I193)&lt;4,"",SQRT((F193-H193)^2+(G193-I193)^2))</f>
        <v/>
      </c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3" t="n"/>
      <c r="V193" s="11" t="n"/>
      <c r="W193" s="13" t="n"/>
      <c r="X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2">
        <f>IF(COUNTA(F194:I194)&lt;4,"",SQRT((F194-H194)^2+(G194-I194)^2))</f>
        <v/>
      </c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3" t="n"/>
      <c r="V194" s="11" t="n"/>
      <c r="W194" s="13" t="n"/>
      <c r="X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2">
        <f>IF(COUNTA(F195:I195)&lt;4,"",SQRT((F195-H195)^2+(G195-I195)^2))</f>
        <v/>
      </c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3" t="n"/>
      <c r="V195" s="11" t="n"/>
      <c r="W195" s="13" t="n"/>
      <c r="X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2">
        <f>IF(COUNTA(F196:I196)&lt;4,"",SQRT((F196-H196)^2+(G196-I196)^2))</f>
        <v/>
      </c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3" t="n"/>
      <c r="V196" s="11" t="n"/>
      <c r="W196" s="13" t="n"/>
      <c r="X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2">
        <f>IF(COUNTA(F197:I197)&lt;4,"",SQRT((F197-H197)^2+(G197-I197)^2))</f>
        <v/>
      </c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3" t="n"/>
      <c r="V197" s="11" t="n"/>
      <c r="W197" s="13" t="n"/>
      <c r="X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2">
        <f>IF(COUNTA(F198:I198)&lt;4,"",SQRT((F198-H198)^2+(G198-I198)^2))</f>
        <v/>
      </c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3" t="n"/>
      <c r="V198" s="11" t="n"/>
      <c r="W198" s="13" t="n"/>
      <c r="X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2">
        <f>IF(COUNTA(F199:I199)&lt;4,"",SQRT((F199-H199)^2+(G199-I199)^2))</f>
        <v/>
      </c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3" t="n"/>
      <c r="V199" s="11" t="n"/>
      <c r="W199" s="13" t="n"/>
      <c r="X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2">
        <f>IF(COUNTA(F200:I200)&lt;4,"",SQRT((F200-H200)^2+(G200-I200)^2))</f>
        <v/>
      </c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3" t="n"/>
      <c r="V200" s="11" t="n"/>
      <c r="W200" s="13" t="n"/>
      <c r="X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2">
        <f>IF(COUNTA(F201:I201)&lt;4,"",SQRT((F201-H201)^2+(G201-I201)^2))</f>
        <v/>
      </c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3" t="n"/>
      <c r="V201" s="11" t="n"/>
      <c r="W201" s="13" t="n"/>
      <c r="X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2">
        <f>IF(COUNTA(F202:I202)&lt;4,"",SQRT((F202-H202)^2+(G202-I202)^2))</f>
        <v/>
      </c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3" t="n"/>
      <c r="V202" s="11" t="n"/>
      <c r="W202" s="13" t="n"/>
      <c r="X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2">
        <f>IF(COUNTA(F203:I203)&lt;4,"",SQRT((F203-H203)^2+(G203-I203)^2))</f>
        <v/>
      </c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3" t="n"/>
      <c r="V203" s="11" t="n"/>
      <c r="W203" s="13" t="n"/>
      <c r="X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2">
        <f>IF(COUNTA(F204:I204)&lt;4,"",SQRT((F204-H204)^2+(G204-I204)^2))</f>
        <v/>
      </c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3" t="n"/>
      <c r="V204" s="11" t="n"/>
      <c r="W204" s="13" t="n"/>
      <c r="X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2">
        <f>IF(COUNTA(F205:I205)&lt;4,"",SQRT((F205-H205)^2+(G205-I205)^2))</f>
        <v/>
      </c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3" t="n"/>
      <c r="V205" s="11" t="n"/>
      <c r="W205" s="13" t="n"/>
      <c r="X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2">
        <f>IF(COUNTA(F206:I206)&lt;4,"",SQRT((F206-H206)^2+(G206-I206)^2))</f>
        <v/>
      </c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3" t="n"/>
      <c r="V206" s="11" t="n"/>
      <c r="W206" s="13" t="n"/>
      <c r="X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2">
        <f>IF(COUNTA(F207:I207)&lt;4,"",SQRT((F207-H207)^2+(G207-I207)^2))</f>
        <v/>
      </c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3" t="n"/>
      <c r="V207" s="11" t="n"/>
      <c r="W207" s="13" t="n"/>
      <c r="X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2">
        <f>IF(COUNTA(F208:I208)&lt;4,"",SQRT((F208-H208)^2+(G208-I208)^2))</f>
        <v/>
      </c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3" t="n"/>
      <c r="V208" s="11" t="n"/>
      <c r="W208" s="13" t="n"/>
      <c r="X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2">
        <f>IF(COUNTA(F209:I209)&lt;4,"",SQRT((F209-H209)^2+(G209-I209)^2))</f>
        <v/>
      </c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3" t="n"/>
      <c r="V209" s="11" t="n"/>
      <c r="W209" s="13" t="n"/>
      <c r="X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2">
        <f>IF(COUNTA(F210:I210)&lt;4,"",SQRT((F210-H210)^2+(G210-I210)^2))</f>
        <v/>
      </c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3" t="n"/>
      <c r="V210" s="11" t="n"/>
      <c r="W210" s="13" t="n"/>
      <c r="X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2">
        <f>IF(COUNTA(F211:I211)&lt;4,"",SQRT((F211-H211)^2+(G211-I211)^2))</f>
        <v/>
      </c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3" t="n"/>
      <c r="V211" s="11" t="n"/>
      <c r="W211" s="13" t="n"/>
      <c r="X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2">
        <f>IF(COUNTA(F212:I212)&lt;4,"",SQRT((F212-H212)^2+(G212-I212)^2))</f>
        <v/>
      </c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3" t="n"/>
      <c r="V212" s="11" t="n"/>
      <c r="W212" s="13" t="n"/>
      <c r="X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2">
        <f>IF(COUNTA(F213:I213)&lt;4,"",SQRT((F213-H213)^2+(G213-I213)^2))</f>
        <v/>
      </c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3" t="n"/>
      <c r="V213" s="11" t="n"/>
      <c r="W213" s="13" t="n"/>
      <c r="X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2">
        <f>IF(COUNTA(F214:I214)&lt;4,"",SQRT((F214-H214)^2+(G214-I214)^2))</f>
        <v/>
      </c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3" t="n"/>
      <c r="V214" s="11" t="n"/>
      <c r="W214" s="13" t="n"/>
      <c r="X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2">
        <f>IF(COUNTA(F215:I215)&lt;4,"",SQRT((F215-H215)^2+(G215-I215)^2))</f>
        <v/>
      </c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3" t="n"/>
      <c r="V215" s="11" t="n"/>
      <c r="W215" s="13" t="n"/>
      <c r="X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2">
        <f>IF(COUNTA(F216:I216)&lt;4,"",SQRT((F216-H216)^2+(G216-I216)^2))</f>
        <v/>
      </c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3" t="n"/>
      <c r="V216" s="11" t="n"/>
      <c r="W216" s="13" t="n"/>
      <c r="X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2">
        <f>IF(COUNTA(F217:I217)&lt;4,"",SQRT((F217-H217)^2+(G217-I217)^2))</f>
        <v/>
      </c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3" t="n"/>
      <c r="V217" s="11" t="n"/>
      <c r="W217" s="13" t="n"/>
      <c r="X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2">
        <f>IF(COUNTA(F218:I218)&lt;4,"",SQRT((F218-H218)^2+(G218-I218)^2))</f>
        <v/>
      </c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3" t="n"/>
      <c r="V218" s="11" t="n"/>
      <c r="W218" s="13" t="n"/>
      <c r="X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2">
        <f>IF(COUNTA(F219:I219)&lt;4,"",SQRT((F219-H219)^2+(G219-I219)^2))</f>
        <v/>
      </c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3" t="n"/>
      <c r="V219" s="11" t="n"/>
      <c r="W219" s="13" t="n"/>
      <c r="X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2">
        <f>IF(COUNTA(F220:I220)&lt;4,"",SQRT((F220-H220)^2+(G220-I220)^2))</f>
        <v/>
      </c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3" t="n"/>
      <c r="V220" s="11" t="n"/>
      <c r="W220" s="13" t="n"/>
      <c r="X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2">
        <f>IF(COUNTA(F221:I221)&lt;4,"",SQRT((F221-H221)^2+(G221-I221)^2))</f>
        <v/>
      </c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3" t="n"/>
      <c r="V221" s="11" t="n"/>
      <c r="W221" s="13" t="n"/>
      <c r="X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2">
        <f>IF(COUNTA(F222:I222)&lt;4,"",SQRT((F222-H222)^2+(G222-I222)^2))</f>
        <v/>
      </c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3" t="n"/>
      <c r="V222" s="11" t="n"/>
      <c r="W222" s="13" t="n"/>
      <c r="X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2">
        <f>IF(COUNTA(F223:I223)&lt;4,"",SQRT((F223-H223)^2+(G223-I223)^2))</f>
        <v/>
      </c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3" t="n"/>
      <c r="V223" s="11" t="n"/>
      <c r="W223" s="13" t="n"/>
      <c r="X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2">
        <f>IF(COUNTA(F224:I224)&lt;4,"",SQRT((F224-H224)^2+(G224-I224)^2))</f>
        <v/>
      </c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3" t="n"/>
      <c r="V224" s="11" t="n"/>
      <c r="W224" s="13" t="n"/>
      <c r="X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2">
        <f>IF(COUNTA(F225:I225)&lt;4,"",SQRT((F225-H225)^2+(G225-I225)^2))</f>
        <v/>
      </c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3" t="n"/>
      <c r="V225" s="11" t="n"/>
      <c r="W225" s="13" t="n"/>
      <c r="X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2">
        <f>IF(COUNTA(F226:I226)&lt;4,"",SQRT((F226-H226)^2+(G226-I226)^2))</f>
        <v/>
      </c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3" t="n"/>
      <c r="V226" s="11" t="n"/>
      <c r="W226" s="13" t="n"/>
      <c r="X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2">
        <f>IF(COUNTA(F227:I227)&lt;4,"",SQRT((F227-H227)^2+(G227-I227)^2))</f>
        <v/>
      </c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3" t="n"/>
      <c r="V227" s="11" t="n"/>
      <c r="W227" s="13" t="n"/>
      <c r="X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2">
        <f>IF(COUNTA(F228:I228)&lt;4,"",SQRT((F228-H228)^2+(G228-I228)^2))</f>
        <v/>
      </c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3" t="n"/>
      <c r="V228" s="11" t="n"/>
      <c r="W228" s="13" t="n"/>
      <c r="X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2">
        <f>IF(COUNTA(F229:I229)&lt;4,"",SQRT((F229-H229)^2+(G229-I229)^2))</f>
        <v/>
      </c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3" t="n"/>
      <c r="V229" s="11" t="n"/>
      <c r="W229" s="13" t="n"/>
      <c r="X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2">
        <f>IF(COUNTA(F230:I230)&lt;4,"",SQRT((F230-H230)^2+(G230-I230)^2))</f>
        <v/>
      </c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3" t="n"/>
      <c r="V230" s="11" t="n"/>
      <c r="W230" s="13" t="n"/>
      <c r="X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2">
        <f>IF(COUNTA(F231:I231)&lt;4,"",SQRT((F231-H231)^2+(G231-I231)^2))</f>
        <v/>
      </c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3" t="n"/>
      <c r="V231" s="11" t="n"/>
      <c r="W231" s="13" t="n"/>
      <c r="X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2">
        <f>IF(COUNTA(F232:I232)&lt;4,"",SQRT((F232-H232)^2+(G232-I232)^2))</f>
        <v/>
      </c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3" t="n"/>
      <c r="V232" s="11" t="n"/>
      <c r="W232" s="13" t="n"/>
      <c r="X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2">
        <f>IF(COUNTA(F233:I233)&lt;4,"",SQRT((F233-H233)^2+(G233-I233)^2))</f>
        <v/>
      </c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3" t="n"/>
      <c r="V233" s="11" t="n"/>
      <c r="W233" s="13" t="n"/>
      <c r="X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2">
        <f>IF(COUNTA(F234:I234)&lt;4,"",SQRT((F234-H234)^2+(G234-I234)^2))</f>
        <v/>
      </c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3" t="n"/>
      <c r="V234" s="11" t="n"/>
      <c r="W234" s="13" t="n"/>
      <c r="X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2">
        <f>IF(COUNTA(F235:I235)&lt;4,"",SQRT((F235-H235)^2+(G235-I235)^2))</f>
        <v/>
      </c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3" t="n"/>
      <c r="V235" s="11" t="n"/>
      <c r="W235" s="13" t="n"/>
      <c r="X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2">
        <f>IF(COUNTA(F236:I236)&lt;4,"",SQRT((F236-H236)^2+(G236-I236)^2))</f>
        <v/>
      </c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3" t="n"/>
      <c r="V236" s="11" t="n"/>
      <c r="W236" s="13" t="n"/>
      <c r="X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2">
        <f>IF(COUNTA(F237:I237)&lt;4,"",SQRT((F237-H237)^2+(G237-I237)^2))</f>
        <v/>
      </c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3" t="n"/>
      <c r="V237" s="11" t="n"/>
      <c r="W237" s="13" t="n"/>
      <c r="X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2">
        <f>IF(COUNTA(F238:I238)&lt;4,"",SQRT((F238-H238)^2+(G238-I238)^2))</f>
        <v/>
      </c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3" t="n"/>
      <c r="V238" s="11" t="n"/>
      <c r="W238" s="13" t="n"/>
      <c r="X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2">
        <f>IF(COUNTA(F239:I239)&lt;4,"",SQRT((F239-H239)^2+(G239-I239)^2))</f>
        <v/>
      </c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3" t="n"/>
      <c r="V239" s="11" t="n"/>
      <c r="W239" s="13" t="n"/>
      <c r="X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2">
        <f>IF(COUNTA(F240:I240)&lt;4,"",SQRT((F240-H240)^2+(G240-I240)^2))</f>
        <v/>
      </c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3" t="n"/>
      <c r="V240" s="11" t="n"/>
      <c r="W240" s="13" t="n"/>
      <c r="X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2">
        <f>IF(COUNTA(F241:I241)&lt;4,"",SQRT((F241-H241)^2+(G241-I241)^2))</f>
        <v/>
      </c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3" t="n"/>
      <c r="V241" s="11" t="n"/>
      <c r="W241" s="13" t="n"/>
      <c r="X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2">
        <f>IF(COUNTA(F242:I242)&lt;4,"",SQRT((F242-H242)^2+(G242-I242)^2))</f>
        <v/>
      </c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3" t="n"/>
      <c r="V242" s="11" t="n"/>
      <c r="W242" s="13" t="n"/>
      <c r="X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2">
        <f>IF(COUNTA(F243:I243)&lt;4,"",SQRT((F243-H243)^2+(G243-I243)^2))</f>
        <v/>
      </c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3" t="n"/>
      <c r="V243" s="11" t="n"/>
      <c r="W243" s="13" t="n"/>
      <c r="X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2">
        <f>IF(COUNTA(F244:I244)&lt;4,"",SQRT((F244-H244)^2+(G244-I244)^2))</f>
        <v/>
      </c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3" t="n"/>
      <c r="V244" s="11" t="n"/>
      <c r="W244" s="13" t="n"/>
      <c r="X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2">
        <f>IF(COUNTA(F245:I245)&lt;4,"",SQRT((F245-H245)^2+(G245-I245)^2))</f>
        <v/>
      </c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3" t="n"/>
      <c r="V245" s="11" t="n"/>
      <c r="W245" s="13" t="n"/>
      <c r="X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2">
        <f>IF(COUNTA(F246:I246)&lt;4,"",SQRT((F246-H246)^2+(G246-I246)^2))</f>
        <v/>
      </c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3" t="n"/>
      <c r="V246" s="11" t="n"/>
      <c r="W246" s="13" t="n"/>
      <c r="X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2">
        <f>IF(COUNTA(F247:I247)&lt;4,"",SQRT((F247-H247)^2+(G247-I247)^2))</f>
        <v/>
      </c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3" t="n"/>
      <c r="V247" s="11" t="n"/>
      <c r="W247" s="13" t="n"/>
      <c r="X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2">
        <f>IF(COUNTA(F248:I248)&lt;4,"",SQRT((F248-H248)^2+(G248-I248)^2))</f>
        <v/>
      </c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3" t="n"/>
      <c r="V248" s="11" t="n"/>
      <c r="W248" s="13" t="n"/>
      <c r="X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2">
        <f>IF(COUNTA(F249:I249)&lt;4,"",SQRT((F249-H249)^2+(G249-I249)^2))</f>
        <v/>
      </c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3" t="n"/>
      <c r="V249" s="11" t="n"/>
      <c r="W249" s="13" t="n"/>
      <c r="X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2">
        <f>IF(COUNTA(F250:I250)&lt;4,"",SQRT((F250-H250)^2+(G250-I250)^2))</f>
        <v/>
      </c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3" t="n"/>
      <c r="V250" s="11" t="n"/>
      <c r="W250" s="13" t="n"/>
      <c r="X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2">
        <f>IF(COUNTA(F251:I251)&lt;4,"",SQRT((F251-H251)^2+(G251-I251)^2))</f>
        <v/>
      </c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3" t="n"/>
      <c r="V251" s="11" t="n"/>
      <c r="W251" s="13" t="n"/>
      <c r="X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2">
        <f>IF(COUNTA(F252:I252)&lt;4,"",SQRT((F252-H252)^2+(G252-I252)^2))</f>
        <v/>
      </c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3" t="n"/>
      <c r="V252" s="11" t="n"/>
      <c r="W252" s="13" t="n"/>
      <c r="X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2">
        <f>IF(COUNTA(F253:I253)&lt;4,"",SQRT((F253-H253)^2+(G253-I253)^2))</f>
        <v/>
      </c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3" t="n"/>
      <c r="V253" s="11" t="n"/>
      <c r="W253" s="13" t="n"/>
      <c r="X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2">
        <f>IF(COUNTA(F254:I254)&lt;4,"",SQRT((F254-H254)^2+(G254-I254)^2))</f>
        <v/>
      </c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3" t="n"/>
      <c r="V254" s="11" t="n"/>
      <c r="W254" s="13" t="n"/>
      <c r="X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2">
        <f>IF(COUNTA(F255:I255)&lt;4,"",SQRT((F255-H255)^2+(G255-I255)^2))</f>
        <v/>
      </c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3" t="n"/>
      <c r="V255" s="11" t="n"/>
      <c r="W255" s="13" t="n"/>
      <c r="X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2">
        <f>IF(COUNTA(F256:I256)&lt;4,"",SQRT((F256-H256)^2+(G256-I256)^2))</f>
        <v/>
      </c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3" t="n"/>
      <c r="V256" s="11" t="n"/>
      <c r="W256" s="13" t="n"/>
      <c r="X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2">
        <f>IF(COUNTA(F257:I257)&lt;4,"",SQRT((F257-H257)^2+(G257-I257)^2))</f>
        <v/>
      </c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3" t="n"/>
      <c r="V257" s="11" t="n"/>
      <c r="W257" s="13" t="n"/>
      <c r="X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2">
        <f>IF(COUNTA(F258:I258)&lt;4,"",SQRT((F258-H258)^2+(G258-I258)^2))</f>
        <v/>
      </c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3" t="n"/>
      <c r="V258" s="11" t="n"/>
      <c r="W258" s="13" t="n"/>
      <c r="X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2">
        <f>IF(COUNTA(F259:I259)&lt;4,"",SQRT((F259-H259)^2+(G259-I259)^2))</f>
        <v/>
      </c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3" t="n"/>
      <c r="V259" s="11" t="n"/>
      <c r="W259" s="13" t="n"/>
      <c r="X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2">
        <f>IF(COUNTA(F260:I260)&lt;4,"",SQRT((F260-H260)^2+(G260-I260)^2))</f>
        <v/>
      </c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3" t="n"/>
      <c r="V260" s="11" t="n"/>
      <c r="W260" s="13" t="n"/>
      <c r="X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2">
        <f>IF(COUNTA(F261:I261)&lt;4,"",SQRT((F261-H261)^2+(G261-I261)^2))</f>
        <v/>
      </c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3" t="n"/>
      <c r="V261" s="11" t="n"/>
      <c r="W261" s="13" t="n"/>
      <c r="X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2">
        <f>IF(COUNTA(F262:I262)&lt;4,"",SQRT((F262-H262)^2+(G262-I262)^2))</f>
        <v/>
      </c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3" t="n"/>
      <c r="V262" s="11" t="n"/>
      <c r="W262" s="13" t="n"/>
      <c r="X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2">
        <f>IF(COUNTA(F263:I263)&lt;4,"",SQRT((F263-H263)^2+(G263-I263)^2))</f>
        <v/>
      </c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3" t="n"/>
      <c r="V263" s="11" t="n"/>
      <c r="W263" s="13" t="n"/>
      <c r="X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2">
        <f>IF(COUNTA(F264:I264)&lt;4,"",SQRT((F264-H264)^2+(G264-I264)^2))</f>
        <v/>
      </c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3" t="n"/>
      <c r="V264" s="11" t="n"/>
      <c r="W264" s="13" t="n"/>
      <c r="X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2">
        <f>IF(COUNTA(F265:I265)&lt;4,"",SQRT((F265-H265)^2+(G265-I265)^2))</f>
        <v/>
      </c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3" t="n"/>
      <c r="V265" s="11" t="n"/>
      <c r="W265" s="13" t="n"/>
      <c r="X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2">
        <f>IF(COUNTA(F266:I266)&lt;4,"",SQRT((F266-H266)^2+(G266-I266)^2))</f>
        <v/>
      </c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3" t="n"/>
      <c r="V266" s="11" t="n"/>
      <c r="W266" s="13" t="n"/>
      <c r="X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2">
        <f>IF(COUNTA(F267:I267)&lt;4,"",SQRT((F267-H267)^2+(G267-I267)^2))</f>
        <v/>
      </c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3" t="n"/>
      <c r="V267" s="11" t="n"/>
      <c r="W267" s="13" t="n"/>
      <c r="X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2">
        <f>IF(COUNTA(F268:I268)&lt;4,"",SQRT((F268-H268)^2+(G268-I268)^2))</f>
        <v/>
      </c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3" t="n"/>
      <c r="V268" s="11" t="n"/>
      <c r="W268" s="13" t="n"/>
      <c r="X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2">
        <f>IF(COUNTA(F269:I269)&lt;4,"",SQRT((F269-H269)^2+(G269-I269)^2))</f>
        <v/>
      </c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3" t="n"/>
      <c r="V269" s="11" t="n"/>
      <c r="W269" s="13" t="n"/>
      <c r="X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2">
        <f>IF(COUNTA(F270:I270)&lt;4,"",SQRT((F270-H270)^2+(G270-I270)^2))</f>
        <v/>
      </c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3" t="n"/>
      <c r="V270" s="11" t="n"/>
      <c r="W270" s="13" t="n"/>
      <c r="X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2">
        <f>IF(COUNTA(F271:I271)&lt;4,"",SQRT((F271-H271)^2+(G271-I271)^2))</f>
        <v/>
      </c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3" t="n"/>
      <c r="V271" s="11" t="n"/>
      <c r="W271" s="13" t="n"/>
      <c r="X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2">
        <f>IF(COUNTA(F272:I272)&lt;4,"",SQRT((F272-H272)^2+(G272-I272)^2))</f>
        <v/>
      </c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3" t="n"/>
      <c r="V272" s="11" t="n"/>
      <c r="W272" s="13" t="n"/>
      <c r="X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2">
        <f>IF(COUNTA(F273:I273)&lt;4,"",SQRT((F273-H273)^2+(G273-I273)^2))</f>
        <v/>
      </c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3" t="n"/>
      <c r="V273" s="11" t="n"/>
      <c r="W273" s="13" t="n"/>
      <c r="X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2">
        <f>IF(COUNTA(F274:I274)&lt;4,"",SQRT((F274-H274)^2+(G274-I274)^2))</f>
        <v/>
      </c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3" t="n"/>
      <c r="V274" s="11" t="n"/>
      <c r="W274" s="13" t="n"/>
      <c r="X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2">
        <f>IF(COUNTA(F275:I275)&lt;4,"",SQRT((F275-H275)^2+(G275-I275)^2))</f>
        <v/>
      </c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3" t="n"/>
      <c r="V275" s="11" t="n"/>
      <c r="W275" s="13" t="n"/>
      <c r="X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2">
        <f>IF(COUNTA(F276:I276)&lt;4,"",SQRT((F276-H276)^2+(G276-I276)^2))</f>
        <v/>
      </c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3" t="n"/>
      <c r="V276" s="11" t="n"/>
      <c r="W276" s="13" t="n"/>
      <c r="X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2">
        <f>IF(COUNTA(F277:I277)&lt;4,"",SQRT((F277-H277)^2+(G277-I277)^2))</f>
        <v/>
      </c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3" t="n"/>
      <c r="V277" s="11" t="n"/>
      <c r="W277" s="13" t="n"/>
      <c r="X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2">
        <f>IF(COUNTA(F278:I278)&lt;4,"",SQRT((F278-H278)^2+(G278-I278)^2))</f>
        <v/>
      </c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3" t="n"/>
      <c r="V278" s="11" t="n"/>
      <c r="W278" s="13" t="n"/>
      <c r="X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2">
        <f>IF(COUNTA(F279:I279)&lt;4,"",SQRT((F279-H279)^2+(G279-I279)^2))</f>
        <v/>
      </c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3" t="n"/>
      <c r="V279" s="11" t="n"/>
      <c r="W279" s="13" t="n"/>
      <c r="X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2">
        <f>IF(COUNTA(F280:I280)&lt;4,"",SQRT((F280-H280)^2+(G280-I280)^2))</f>
        <v/>
      </c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3" t="n"/>
      <c r="V280" s="11" t="n"/>
      <c r="W280" s="13" t="n"/>
      <c r="X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2">
        <f>IF(COUNTA(F281:I281)&lt;4,"",SQRT((F281-H281)^2+(G281-I281)^2))</f>
        <v/>
      </c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3" t="n"/>
      <c r="V281" s="11" t="n"/>
      <c r="W281" s="13" t="n"/>
      <c r="X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2">
        <f>IF(COUNTA(F282:I282)&lt;4,"",SQRT((F282-H282)^2+(G282-I282)^2))</f>
        <v/>
      </c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3" t="n"/>
      <c r="V282" s="11" t="n"/>
      <c r="W282" s="13" t="n"/>
      <c r="X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2">
        <f>IF(COUNTA(F283:I283)&lt;4,"",SQRT((F283-H283)^2+(G283-I283)^2))</f>
        <v/>
      </c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3" t="n"/>
      <c r="V283" s="11" t="n"/>
      <c r="W283" s="13" t="n"/>
      <c r="X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2">
        <f>IF(COUNTA(F284:I284)&lt;4,"",SQRT((F284-H284)^2+(G284-I284)^2))</f>
        <v/>
      </c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3" t="n"/>
      <c r="V284" s="11" t="n"/>
      <c r="W284" s="13" t="n"/>
      <c r="X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2">
        <f>IF(COUNTA(F285:I285)&lt;4,"",SQRT((F285-H285)^2+(G285-I285)^2))</f>
        <v/>
      </c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3" t="n"/>
      <c r="V285" s="11" t="n"/>
      <c r="W285" s="13" t="n"/>
      <c r="X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2">
        <f>IF(COUNTA(F286:I286)&lt;4,"",SQRT((F286-H286)^2+(G286-I286)^2))</f>
        <v/>
      </c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3" t="n"/>
      <c r="V286" s="11" t="n"/>
      <c r="W286" s="13" t="n"/>
      <c r="X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2">
        <f>IF(COUNTA(F287:I287)&lt;4,"",SQRT((F287-H287)^2+(G287-I287)^2))</f>
        <v/>
      </c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3" t="n"/>
      <c r="V287" s="11" t="n"/>
      <c r="W287" s="13" t="n"/>
      <c r="X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2">
        <f>IF(COUNTA(F288:I288)&lt;4,"",SQRT((F288-H288)^2+(G288-I288)^2))</f>
        <v/>
      </c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3" t="n"/>
      <c r="V288" s="11" t="n"/>
      <c r="W288" s="13" t="n"/>
      <c r="X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2">
        <f>IF(COUNTA(F289:I289)&lt;4,"",SQRT((F289-H289)^2+(G289-I289)^2))</f>
        <v/>
      </c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3" t="n"/>
      <c r="V289" s="11" t="n"/>
      <c r="W289" s="13" t="n"/>
      <c r="X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2">
        <f>IF(COUNTA(F290:I290)&lt;4,"",SQRT((F290-H290)^2+(G290-I290)^2))</f>
        <v/>
      </c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3" t="n"/>
      <c r="V290" s="11" t="n"/>
      <c r="W290" s="13" t="n"/>
      <c r="X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2">
        <f>IF(COUNTA(F291:I291)&lt;4,"",SQRT((F291-H291)^2+(G291-I291)^2))</f>
        <v/>
      </c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3" t="n"/>
      <c r="V291" s="11" t="n"/>
      <c r="W291" s="13" t="n"/>
      <c r="X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2">
        <f>IF(COUNTA(F292:I292)&lt;4,"",SQRT((F292-H292)^2+(G292-I292)^2))</f>
        <v/>
      </c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3" t="n"/>
      <c r="V292" s="11" t="n"/>
      <c r="W292" s="13" t="n"/>
      <c r="X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2">
        <f>IF(COUNTA(F293:I293)&lt;4,"",SQRT((F293-H293)^2+(G293-I293)^2))</f>
        <v/>
      </c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3" t="n"/>
      <c r="V293" s="11" t="n"/>
      <c r="W293" s="13" t="n"/>
      <c r="X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2">
        <f>IF(COUNTA(F294:I294)&lt;4,"",SQRT((F294-H294)^2+(G294-I294)^2))</f>
        <v/>
      </c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3" t="n"/>
      <c r="V294" s="11" t="n"/>
      <c r="W294" s="13" t="n"/>
      <c r="X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2">
        <f>IF(COUNTA(F295:I295)&lt;4,"",SQRT((F295-H295)^2+(G295-I295)^2))</f>
        <v/>
      </c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3" t="n"/>
      <c r="V295" s="11" t="n"/>
      <c r="W295" s="13" t="n"/>
      <c r="X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2">
        <f>IF(COUNTA(F296:I296)&lt;4,"",SQRT((F296-H296)^2+(G296-I296)^2))</f>
        <v/>
      </c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3" t="n"/>
      <c r="V296" s="11" t="n"/>
      <c r="W296" s="13" t="n"/>
      <c r="X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2">
        <f>IF(COUNTA(F297:I297)&lt;4,"",SQRT((F297-H297)^2+(G297-I297)^2))</f>
        <v/>
      </c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3" t="n"/>
      <c r="V297" s="11" t="n"/>
      <c r="W297" s="13" t="n"/>
      <c r="X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2">
        <f>IF(COUNTA(F298:I298)&lt;4,"",SQRT((F298-H298)^2+(G298-I298)^2))</f>
        <v/>
      </c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3" t="n"/>
      <c r="V298" s="11" t="n"/>
      <c r="W298" s="13" t="n"/>
      <c r="X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2">
        <f>IF(COUNTA(F299:I299)&lt;4,"",SQRT((F299-H299)^2+(G299-I299)^2))</f>
        <v/>
      </c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3" t="n"/>
      <c r="V299" s="11" t="n"/>
      <c r="W299" s="13" t="n"/>
      <c r="X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2">
        <f>IF(COUNTA(F300:I300)&lt;4,"",SQRT((F300-H300)^2+(G300-I300)^2))</f>
        <v/>
      </c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3" t="n"/>
      <c r="V300" s="11" t="n"/>
      <c r="W300" s="13" t="n"/>
      <c r="X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2">
        <f>IF(COUNTA(F301:I301)&lt;4,"",SQRT((F301-H301)^2+(G301-I301)^2))</f>
        <v/>
      </c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3" t="n"/>
      <c r="V301" s="11" t="n"/>
      <c r="W301" s="13" t="n"/>
      <c r="X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2">
        <f>IF(COUNTA(F302:I302)&lt;4,"",SQRT((F302-H302)^2+(G302-I302)^2))</f>
        <v/>
      </c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3" t="n"/>
      <c r="V302" s="11" t="n"/>
      <c r="W302" s="13" t="n"/>
      <c r="X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2">
        <f>IF(COUNTA(F303:I303)&lt;4,"",SQRT((F303-H303)^2+(G303-I303)^2))</f>
        <v/>
      </c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3" t="n"/>
      <c r="V303" s="11" t="n"/>
      <c r="W303" s="13" t="n"/>
      <c r="X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2">
        <f>IF(COUNTA(F304:I304)&lt;4,"",SQRT((F304-H304)^2+(G304-I304)^2))</f>
        <v/>
      </c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3" t="n"/>
      <c r="V304" s="11" t="n"/>
      <c r="W304" s="13" t="n"/>
      <c r="X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2">
        <f>IF(COUNTA(F305:I305)&lt;4,"",SQRT((F305-H305)^2+(G305-I305)^2))</f>
        <v/>
      </c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3" t="n"/>
      <c r="V305" s="11" t="n"/>
      <c r="W305" s="13" t="n"/>
      <c r="X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2">
        <f>IF(COUNTA(F306:I306)&lt;4,"",SQRT((F306-H306)^2+(G306-I306)^2))</f>
        <v/>
      </c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3" t="n"/>
      <c r="V306" s="11" t="n"/>
      <c r="W306" s="13" t="n"/>
      <c r="X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2">
        <f>IF(COUNTA(F307:I307)&lt;4,"",SQRT((F307-H307)^2+(G307-I307)^2))</f>
        <v/>
      </c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3" t="n"/>
      <c r="V307" s="11" t="n"/>
      <c r="W307" s="13" t="n"/>
      <c r="X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2">
        <f>IF(COUNTA(F308:I308)&lt;4,"",SQRT((F308-H308)^2+(G308-I308)^2))</f>
        <v/>
      </c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3" t="n"/>
      <c r="V308" s="11" t="n"/>
      <c r="W308" s="13" t="n"/>
      <c r="X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2">
        <f>IF(COUNTA(F309:I309)&lt;4,"",SQRT((F309-H309)^2+(G309-I309)^2))</f>
        <v/>
      </c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3" t="n"/>
      <c r="V309" s="11" t="n"/>
      <c r="W309" s="13" t="n"/>
      <c r="X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2">
        <f>IF(COUNTA(F310:I310)&lt;4,"",SQRT((F310-H310)^2+(G310-I310)^2))</f>
        <v/>
      </c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3" t="n"/>
      <c r="V310" s="11" t="n"/>
      <c r="W310" s="13" t="n"/>
      <c r="X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2">
        <f>IF(COUNTA(F311:I311)&lt;4,"",SQRT((F311-H311)^2+(G311-I311)^2))</f>
        <v/>
      </c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3" t="n"/>
      <c r="V311" s="11" t="n"/>
      <c r="W311" s="13" t="n"/>
      <c r="X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2">
        <f>IF(COUNTA(F312:I312)&lt;4,"",SQRT((F312-H312)^2+(G312-I312)^2))</f>
        <v/>
      </c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3" t="n"/>
      <c r="V312" s="11" t="n"/>
      <c r="W312" s="13" t="n"/>
      <c r="X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2">
        <f>IF(COUNTA(F313:I313)&lt;4,"",SQRT((F313-H313)^2+(G313-I313)^2))</f>
        <v/>
      </c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3" t="n"/>
      <c r="V313" s="11" t="n"/>
      <c r="W313" s="13" t="n"/>
      <c r="X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2">
        <f>IF(COUNTA(F314:I314)&lt;4,"",SQRT((F314-H314)^2+(G314-I314)^2))</f>
        <v/>
      </c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3" t="n"/>
      <c r="V314" s="11" t="n"/>
      <c r="W314" s="13" t="n"/>
      <c r="X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2">
        <f>IF(COUNTA(F315:I315)&lt;4,"",SQRT((F315-H315)^2+(G315-I315)^2))</f>
        <v/>
      </c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3" t="n"/>
      <c r="V315" s="11" t="n"/>
      <c r="W315" s="13" t="n"/>
      <c r="X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2">
        <f>IF(COUNTA(F316:I316)&lt;4,"",SQRT((F316-H316)^2+(G316-I316)^2))</f>
        <v/>
      </c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3" t="n"/>
      <c r="V316" s="11" t="n"/>
      <c r="W316" s="13" t="n"/>
      <c r="X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2">
        <f>IF(COUNTA(F317:I317)&lt;4,"",SQRT((F317-H317)^2+(G317-I317)^2))</f>
        <v/>
      </c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3" t="n"/>
      <c r="V317" s="11" t="n"/>
      <c r="W317" s="13" t="n"/>
      <c r="X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2">
        <f>IF(COUNTA(F318:I318)&lt;4,"",SQRT((F318-H318)^2+(G318-I318)^2))</f>
        <v/>
      </c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3" t="n"/>
      <c r="V318" s="11" t="n"/>
      <c r="W318" s="13" t="n"/>
      <c r="X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2">
        <f>IF(COUNTA(F319:I319)&lt;4,"",SQRT((F319-H319)^2+(G319-I319)^2))</f>
        <v/>
      </c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3" t="n"/>
      <c r="V319" s="11" t="n"/>
      <c r="W319" s="13" t="n"/>
      <c r="X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2">
        <f>IF(COUNTA(F320:I320)&lt;4,"",SQRT((F320-H320)^2+(G320-I320)^2))</f>
        <v/>
      </c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3" t="n"/>
      <c r="V320" s="11" t="n"/>
      <c r="W320" s="13" t="n"/>
      <c r="X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2">
        <f>IF(COUNTA(F321:I321)&lt;4,"",SQRT((F321-H321)^2+(G321-I321)^2))</f>
        <v/>
      </c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3" t="n"/>
      <c r="V321" s="11" t="n"/>
      <c r="W321" s="13" t="n"/>
      <c r="X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2">
        <f>IF(COUNTA(F322:I322)&lt;4,"",SQRT((F322-H322)^2+(G322-I322)^2))</f>
        <v/>
      </c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3" t="n"/>
      <c r="V322" s="11" t="n"/>
      <c r="W322" s="13" t="n"/>
      <c r="X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2">
        <f>IF(COUNTA(F323:I323)&lt;4,"",SQRT((F323-H323)^2+(G323-I323)^2))</f>
        <v/>
      </c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3" t="n"/>
      <c r="V323" s="11" t="n"/>
      <c r="W323" s="13" t="n"/>
      <c r="X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2">
        <f>IF(COUNTA(F324:I324)&lt;4,"",SQRT((F324-H324)^2+(G324-I324)^2))</f>
        <v/>
      </c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3" t="n"/>
      <c r="V324" s="11" t="n"/>
      <c r="W324" s="13" t="n"/>
      <c r="X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2">
        <f>IF(COUNTA(F325:I325)&lt;4,"",SQRT((F325-H325)^2+(G325-I325)^2))</f>
        <v/>
      </c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3" t="n"/>
      <c r="V325" s="11" t="n"/>
      <c r="W325" s="13" t="n"/>
      <c r="X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2">
        <f>IF(COUNTA(F326:I326)&lt;4,"",SQRT((F326-H326)^2+(G326-I326)^2))</f>
        <v/>
      </c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3" t="n"/>
      <c r="V326" s="11" t="n"/>
      <c r="W326" s="13" t="n"/>
      <c r="X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2">
        <f>IF(COUNTA(F327:I327)&lt;4,"",SQRT((F327-H327)^2+(G327-I327)^2))</f>
        <v/>
      </c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3" t="n"/>
      <c r="V327" s="11" t="n"/>
      <c r="W327" s="13" t="n"/>
      <c r="X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2">
        <f>IF(COUNTA(F328:I328)&lt;4,"",SQRT((F328-H328)^2+(G328-I328)^2))</f>
        <v/>
      </c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3" t="n"/>
      <c r="V328" s="11" t="n"/>
      <c r="W328" s="13" t="n"/>
      <c r="X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2">
        <f>IF(COUNTA(F329:I329)&lt;4,"",SQRT((F329-H329)^2+(G329-I329)^2))</f>
        <v/>
      </c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3" t="n"/>
      <c r="V329" s="11" t="n"/>
      <c r="W329" s="13" t="n"/>
      <c r="X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2">
        <f>IF(COUNTA(F330:I330)&lt;4,"",SQRT((F330-H330)^2+(G330-I330)^2))</f>
        <v/>
      </c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3" t="n"/>
      <c r="V330" s="11" t="n"/>
      <c r="W330" s="13" t="n"/>
      <c r="X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2">
        <f>IF(COUNTA(F331:I331)&lt;4,"",SQRT((F331-H331)^2+(G331-I331)^2))</f>
        <v/>
      </c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3" t="n"/>
      <c r="V331" s="11" t="n"/>
      <c r="W331" s="13" t="n"/>
      <c r="X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2">
        <f>IF(COUNTA(F332:I332)&lt;4,"",SQRT((F332-H332)^2+(G332-I332)^2))</f>
        <v/>
      </c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3" t="n"/>
      <c r="V332" s="11" t="n"/>
      <c r="W332" s="13" t="n"/>
      <c r="X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2">
        <f>IF(COUNTA(F333:I333)&lt;4,"",SQRT((F333-H333)^2+(G333-I333)^2))</f>
        <v/>
      </c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3" t="n"/>
      <c r="V333" s="11" t="n"/>
      <c r="W333" s="13" t="n"/>
      <c r="X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2">
        <f>IF(COUNTA(F334:I334)&lt;4,"",SQRT((F334-H334)^2+(G334-I334)^2))</f>
        <v/>
      </c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3" t="n"/>
      <c r="V334" s="11" t="n"/>
      <c r="W334" s="13" t="n"/>
      <c r="X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2">
        <f>IF(COUNTA(F335:I335)&lt;4,"",SQRT((F335-H335)^2+(G335-I335)^2))</f>
        <v/>
      </c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3" t="n"/>
      <c r="V335" s="11" t="n"/>
      <c r="W335" s="13" t="n"/>
      <c r="X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2">
        <f>IF(COUNTA(F336:I336)&lt;4,"",SQRT((F336-H336)^2+(G336-I336)^2))</f>
        <v/>
      </c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3" t="n"/>
      <c r="V336" s="11" t="n"/>
      <c r="W336" s="13" t="n"/>
      <c r="X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2">
        <f>IF(COUNTA(F337:I337)&lt;4,"",SQRT((F337-H337)^2+(G337-I337)^2))</f>
        <v/>
      </c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3" t="n"/>
      <c r="V337" s="11" t="n"/>
      <c r="W337" s="13" t="n"/>
      <c r="X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2">
        <f>IF(COUNTA(F338:I338)&lt;4,"",SQRT((F338-H338)^2+(G338-I338)^2))</f>
        <v/>
      </c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3" t="n"/>
      <c r="V338" s="11" t="n"/>
      <c r="W338" s="13" t="n"/>
      <c r="X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2">
        <f>IF(COUNTA(F339:I339)&lt;4,"",SQRT((F339-H339)^2+(G339-I339)^2))</f>
        <v/>
      </c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3" t="n"/>
      <c r="V339" s="11" t="n"/>
      <c r="W339" s="13" t="n"/>
      <c r="X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2">
        <f>IF(COUNTA(F340:I340)&lt;4,"",SQRT((F340-H340)^2+(G340-I340)^2))</f>
        <v/>
      </c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3" t="n"/>
      <c r="V340" s="11" t="n"/>
      <c r="W340" s="13" t="n"/>
      <c r="X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2">
        <f>IF(COUNTA(F341:I341)&lt;4,"",SQRT((F341-H341)^2+(G341-I341)^2))</f>
        <v/>
      </c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3" t="n"/>
      <c r="V341" s="11" t="n"/>
      <c r="W341" s="13" t="n"/>
      <c r="X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2">
        <f>IF(COUNTA(F342:I342)&lt;4,"",SQRT((F342-H342)^2+(G342-I342)^2))</f>
        <v/>
      </c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3" t="n"/>
      <c r="V342" s="11" t="n"/>
      <c r="W342" s="13" t="n"/>
      <c r="X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2">
        <f>IF(COUNTA(F343:I343)&lt;4,"",SQRT((F343-H343)^2+(G343-I343)^2))</f>
        <v/>
      </c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3" t="n"/>
      <c r="V343" s="11" t="n"/>
      <c r="W343" s="13" t="n"/>
      <c r="X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2">
        <f>IF(COUNTA(F344:I344)&lt;4,"",SQRT((F344-H344)^2+(G344-I344)^2))</f>
        <v/>
      </c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3" t="n"/>
      <c r="V344" s="11" t="n"/>
      <c r="W344" s="13" t="n"/>
      <c r="X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2">
        <f>IF(COUNTA(F345:I345)&lt;4,"",SQRT((F345-H345)^2+(G345-I345)^2))</f>
        <v/>
      </c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3" t="n"/>
      <c r="V345" s="11" t="n"/>
      <c r="W345" s="13" t="n"/>
      <c r="X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2">
        <f>IF(COUNTA(F346:I346)&lt;4,"",SQRT((F346-H346)^2+(G346-I346)^2))</f>
        <v/>
      </c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3" t="n"/>
      <c r="V346" s="11" t="n"/>
      <c r="W346" s="13" t="n"/>
      <c r="X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2">
        <f>IF(COUNTA(F347:I347)&lt;4,"",SQRT((F347-H347)^2+(G347-I347)^2))</f>
        <v/>
      </c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3" t="n"/>
      <c r="V347" s="11" t="n"/>
      <c r="W347" s="13" t="n"/>
      <c r="X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2">
        <f>IF(COUNTA(F348:I348)&lt;4,"",SQRT((F348-H348)^2+(G348-I348)^2))</f>
        <v/>
      </c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3" t="n"/>
      <c r="V348" s="11" t="n"/>
      <c r="W348" s="13" t="n"/>
      <c r="X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2">
        <f>IF(COUNTA(F349:I349)&lt;4,"",SQRT((F349-H349)^2+(G349-I349)^2))</f>
        <v/>
      </c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3" t="n"/>
      <c r="V349" s="11" t="n"/>
      <c r="W349" s="13" t="n"/>
      <c r="X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2">
        <f>IF(COUNTA(F350:I350)&lt;4,"",SQRT((F350-H350)^2+(G350-I350)^2))</f>
        <v/>
      </c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3" t="n"/>
      <c r="V350" s="11" t="n"/>
      <c r="W350" s="13" t="n"/>
      <c r="X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2">
        <f>IF(COUNTA(F351:I351)&lt;4,"",SQRT((F351-H351)^2+(G351-I351)^2))</f>
        <v/>
      </c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3" t="n"/>
      <c r="V351" s="11" t="n"/>
      <c r="W351" s="13" t="n"/>
      <c r="X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2">
        <f>IF(COUNTA(F352:I352)&lt;4,"",SQRT((F352-H352)^2+(G352-I352)^2))</f>
        <v/>
      </c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3" t="n"/>
      <c r="V352" s="11" t="n"/>
      <c r="W352" s="13" t="n"/>
      <c r="X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2">
        <f>IF(COUNTA(F353:I353)&lt;4,"",SQRT((F353-H353)^2+(G353-I353)^2))</f>
        <v/>
      </c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3" t="n"/>
      <c r="V353" s="11" t="n"/>
      <c r="W353" s="13" t="n"/>
      <c r="X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2">
        <f>IF(COUNTA(F354:I354)&lt;4,"",SQRT((F354-H354)^2+(G354-I354)^2))</f>
        <v/>
      </c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3" t="n"/>
      <c r="V354" s="11" t="n"/>
      <c r="W354" s="13" t="n"/>
      <c r="X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2">
        <f>IF(COUNTA(F355:I355)&lt;4,"",SQRT((F355-H355)^2+(G355-I355)^2))</f>
        <v/>
      </c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3" t="n"/>
      <c r="V355" s="11" t="n"/>
      <c r="W355" s="13" t="n"/>
      <c r="X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2">
        <f>IF(COUNTA(F356:I356)&lt;4,"",SQRT((F356-H356)^2+(G356-I356)^2))</f>
        <v/>
      </c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3" t="n"/>
      <c r="V356" s="11" t="n"/>
      <c r="W356" s="13" t="n"/>
      <c r="X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2">
        <f>IF(COUNTA(F357:I357)&lt;4,"",SQRT((F357-H357)^2+(G357-I357)^2))</f>
        <v/>
      </c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3" t="n"/>
      <c r="V357" s="11" t="n"/>
      <c r="W357" s="13" t="n"/>
      <c r="X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2">
        <f>IF(COUNTA(F358:I358)&lt;4,"",SQRT((F358-H358)^2+(G358-I358)^2))</f>
        <v/>
      </c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3" t="n"/>
      <c r="V358" s="11" t="n"/>
      <c r="W358" s="13" t="n"/>
      <c r="X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2">
        <f>IF(COUNTA(F359:I359)&lt;4,"",SQRT((F359-H359)^2+(G359-I359)^2))</f>
        <v/>
      </c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3" t="n"/>
      <c r="V359" s="11" t="n"/>
      <c r="W359" s="13" t="n"/>
      <c r="X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2">
        <f>IF(COUNTA(F360:I360)&lt;4,"",SQRT((F360-H360)^2+(G360-I360)^2))</f>
        <v/>
      </c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3" t="n"/>
      <c r="V360" s="11" t="n"/>
      <c r="W360" s="13" t="n"/>
      <c r="X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2">
        <f>IF(COUNTA(F361:I361)&lt;4,"",SQRT((F361-H361)^2+(G361-I361)^2))</f>
        <v/>
      </c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3" t="n"/>
      <c r="V361" s="11" t="n"/>
      <c r="W361" s="13" t="n"/>
      <c r="X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2">
        <f>IF(COUNTA(F362:I362)&lt;4,"",SQRT((F362-H362)^2+(G362-I362)^2))</f>
        <v/>
      </c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3" t="n"/>
      <c r="V362" s="11" t="n"/>
      <c r="W362" s="13" t="n"/>
      <c r="X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2">
        <f>IF(COUNTA(F363:I363)&lt;4,"",SQRT((F363-H363)^2+(G363-I363)^2))</f>
        <v/>
      </c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3" t="n"/>
      <c r="V363" s="11" t="n"/>
      <c r="W363" s="13" t="n"/>
      <c r="X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2">
        <f>IF(COUNTA(F364:I364)&lt;4,"",SQRT((F364-H364)^2+(G364-I364)^2))</f>
        <v/>
      </c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3" t="n"/>
      <c r="V364" s="11" t="n"/>
      <c r="W364" s="13" t="n"/>
      <c r="X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2">
        <f>IF(COUNTA(F365:I365)&lt;4,"",SQRT((F365-H365)^2+(G365-I365)^2))</f>
        <v/>
      </c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3" t="n"/>
      <c r="V365" s="11" t="n"/>
      <c r="W365" s="13" t="n"/>
      <c r="X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2">
        <f>IF(COUNTA(F366:I366)&lt;4,"",SQRT((F366-H366)^2+(G366-I366)^2))</f>
        <v/>
      </c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3" t="n"/>
      <c r="V366" s="11" t="n"/>
      <c r="W366" s="13" t="n"/>
      <c r="X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2">
        <f>IF(COUNTA(F367:I367)&lt;4,"",SQRT((F367-H367)^2+(G367-I367)^2))</f>
        <v/>
      </c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3" t="n"/>
      <c r="V367" s="11" t="n"/>
      <c r="W367" s="13" t="n"/>
      <c r="X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2">
        <f>IF(COUNTA(F368:I368)&lt;4,"",SQRT((F368-H368)^2+(G368-I368)^2))</f>
        <v/>
      </c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3" t="n"/>
      <c r="V368" s="11" t="n"/>
      <c r="W368" s="13" t="n"/>
      <c r="X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2">
        <f>IF(COUNTA(F369:I369)&lt;4,"",SQRT((F369-H369)^2+(G369-I369)^2))</f>
        <v/>
      </c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3" t="n"/>
      <c r="V369" s="11" t="n"/>
      <c r="W369" s="13" t="n"/>
      <c r="X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2">
        <f>IF(COUNTA(F370:I370)&lt;4,"",SQRT((F370-H370)^2+(G370-I370)^2))</f>
        <v/>
      </c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3" t="n"/>
      <c r="V370" s="11" t="n"/>
      <c r="W370" s="13" t="n"/>
      <c r="X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2">
        <f>IF(COUNTA(F371:I371)&lt;4,"",SQRT((F371-H371)^2+(G371-I371)^2))</f>
        <v/>
      </c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3" t="n"/>
      <c r="V371" s="11" t="n"/>
      <c r="W371" s="13" t="n"/>
      <c r="X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2">
        <f>IF(COUNTA(F372:I372)&lt;4,"",SQRT((F372-H372)^2+(G372-I372)^2))</f>
        <v/>
      </c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3" t="n"/>
      <c r="V372" s="11" t="n"/>
      <c r="W372" s="13" t="n"/>
      <c r="X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2">
        <f>IF(COUNTA(F373:I373)&lt;4,"",SQRT((F373-H373)^2+(G373-I373)^2))</f>
        <v/>
      </c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3" t="n"/>
      <c r="V373" s="11" t="n"/>
      <c r="W373" s="13" t="n"/>
      <c r="X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2">
        <f>IF(COUNTA(F374:I374)&lt;4,"",SQRT((F374-H374)^2+(G374-I374)^2))</f>
        <v/>
      </c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3" t="n"/>
      <c r="V374" s="11" t="n"/>
      <c r="W374" s="13" t="n"/>
      <c r="X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2">
        <f>IF(COUNTA(F375:I375)&lt;4,"",SQRT((F375-H375)^2+(G375-I375)^2))</f>
        <v/>
      </c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3" t="n"/>
      <c r="V375" s="11" t="n"/>
      <c r="W375" s="13" t="n"/>
      <c r="X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2">
        <f>IF(COUNTA(F376:I376)&lt;4,"",SQRT((F376-H376)^2+(G376-I376)^2))</f>
        <v/>
      </c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3" t="n"/>
      <c r="V376" s="11" t="n"/>
      <c r="W376" s="13" t="n"/>
      <c r="X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2">
        <f>IF(COUNTA(F377:I377)&lt;4,"",SQRT((F377-H377)^2+(G377-I377)^2))</f>
        <v/>
      </c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3" t="n"/>
      <c r="V377" s="11" t="n"/>
      <c r="W377" s="13" t="n"/>
      <c r="X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2">
        <f>IF(COUNTA(F378:I378)&lt;4,"",SQRT((F378-H378)^2+(G378-I378)^2))</f>
        <v/>
      </c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3" t="n"/>
      <c r="V378" s="11" t="n"/>
      <c r="W378" s="13" t="n"/>
      <c r="X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2">
        <f>IF(COUNTA(F379:I379)&lt;4,"",SQRT((F379-H379)^2+(G379-I379)^2))</f>
        <v/>
      </c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3" t="n"/>
      <c r="V379" s="11" t="n"/>
      <c r="W379" s="13" t="n"/>
      <c r="X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2">
        <f>IF(COUNTA(F380:I380)&lt;4,"",SQRT((F380-H380)^2+(G380-I380)^2))</f>
        <v/>
      </c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3" t="n"/>
      <c r="V380" s="11" t="n"/>
      <c r="W380" s="13" t="n"/>
      <c r="X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2">
        <f>IF(COUNTA(F381:I381)&lt;4,"",SQRT((F381-H381)^2+(G381-I381)^2))</f>
        <v/>
      </c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3" t="n"/>
      <c r="V381" s="11" t="n"/>
      <c r="W381" s="13" t="n"/>
      <c r="X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2">
        <f>IF(COUNTA(F382:I382)&lt;4,"",SQRT((F382-H382)^2+(G382-I382)^2))</f>
        <v/>
      </c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3" t="n"/>
      <c r="V382" s="11" t="n"/>
      <c r="W382" s="13" t="n"/>
      <c r="X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2">
        <f>IF(COUNTA(F383:I383)&lt;4,"",SQRT((F383-H383)^2+(G383-I383)^2))</f>
        <v/>
      </c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3" t="n"/>
      <c r="V383" s="11" t="n"/>
      <c r="W383" s="13" t="n"/>
      <c r="X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2">
        <f>IF(COUNTA(F384:I384)&lt;4,"",SQRT((F384-H384)^2+(G384-I384)^2))</f>
        <v/>
      </c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3" t="n"/>
      <c r="V384" s="11" t="n"/>
      <c r="W384" s="13" t="n"/>
      <c r="X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2">
        <f>IF(COUNTA(F385:I385)&lt;4,"",SQRT((F385-H385)^2+(G385-I385)^2))</f>
        <v/>
      </c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3" t="n"/>
      <c r="V385" s="11" t="n"/>
      <c r="W385" s="13" t="n"/>
      <c r="X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2">
        <f>IF(COUNTA(F386:I386)&lt;4,"",SQRT((F386-H386)^2+(G386-I386)^2))</f>
        <v/>
      </c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3" t="n"/>
      <c r="V386" s="11" t="n"/>
      <c r="W386" s="13" t="n"/>
      <c r="X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2">
        <f>IF(COUNTA(F387:I387)&lt;4,"",SQRT((F387-H387)^2+(G387-I387)^2))</f>
        <v/>
      </c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3" t="n"/>
      <c r="V387" s="11" t="n"/>
      <c r="W387" s="13" t="n"/>
      <c r="X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2">
        <f>IF(COUNTA(F388:I388)&lt;4,"",SQRT((F388-H388)^2+(G388-I388)^2))</f>
        <v/>
      </c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3" t="n"/>
      <c r="V388" s="11" t="n"/>
      <c r="W388" s="13" t="n"/>
      <c r="X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2">
        <f>IF(COUNTA(F389:I389)&lt;4,"",SQRT((F389-H389)^2+(G389-I389)^2))</f>
        <v/>
      </c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3" t="n"/>
      <c r="V389" s="11" t="n"/>
      <c r="W389" s="13" t="n"/>
      <c r="X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2">
        <f>IF(COUNTA(F390:I390)&lt;4,"",SQRT((F390-H390)^2+(G390-I390)^2))</f>
        <v/>
      </c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3" t="n"/>
      <c r="V390" s="11" t="n"/>
      <c r="W390" s="13" t="n"/>
      <c r="X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2">
        <f>IF(COUNTA(F391:I391)&lt;4,"",SQRT((F391-H391)^2+(G391-I391)^2))</f>
        <v/>
      </c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3" t="n"/>
      <c r="V391" s="11" t="n"/>
      <c r="W391" s="13" t="n"/>
      <c r="X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2">
        <f>IF(COUNTA(F392:I392)&lt;4,"",SQRT((F392-H392)^2+(G392-I392)^2))</f>
        <v/>
      </c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3" t="n"/>
      <c r="V392" s="11" t="n"/>
      <c r="W392" s="13" t="n"/>
      <c r="X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2">
        <f>IF(COUNTA(F393:I393)&lt;4,"",SQRT((F393-H393)^2+(G393-I393)^2))</f>
        <v/>
      </c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3" t="n"/>
      <c r="V393" s="11" t="n"/>
      <c r="W393" s="13" t="n"/>
      <c r="X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2">
        <f>IF(COUNTA(F394:I394)&lt;4,"",SQRT((F394-H394)^2+(G394-I394)^2))</f>
        <v/>
      </c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3" t="n"/>
      <c r="V394" s="11" t="n"/>
      <c r="W394" s="13" t="n"/>
      <c r="X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2">
        <f>IF(COUNTA(F395:I395)&lt;4,"",SQRT((F395-H395)^2+(G395-I395)^2))</f>
        <v/>
      </c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3" t="n"/>
      <c r="V395" s="11" t="n"/>
      <c r="W395" s="13" t="n"/>
      <c r="X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2">
        <f>IF(COUNTA(F396:I396)&lt;4,"",SQRT((F396-H396)^2+(G396-I396)^2))</f>
        <v/>
      </c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3" t="n"/>
      <c r="V396" s="11" t="n"/>
      <c r="W396" s="13" t="n"/>
      <c r="X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2">
        <f>IF(COUNTA(F397:I397)&lt;4,"",SQRT((F397-H397)^2+(G397-I397)^2))</f>
        <v/>
      </c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3" t="n"/>
      <c r="V397" s="11" t="n"/>
      <c r="W397" s="13" t="n"/>
      <c r="X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2">
        <f>IF(COUNTA(F398:I398)&lt;4,"",SQRT((F398-H398)^2+(G398-I398)^2))</f>
        <v/>
      </c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3" t="n"/>
      <c r="V398" s="11" t="n"/>
      <c r="W398" s="13" t="n"/>
      <c r="X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2">
        <f>IF(COUNTA(F399:I399)&lt;4,"",SQRT((F399-H399)^2+(G399-I399)^2))</f>
        <v/>
      </c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3" t="n"/>
      <c r="V399" s="11" t="n"/>
      <c r="W399" s="13" t="n"/>
      <c r="X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2">
        <f>IF(COUNTA(F400:I400)&lt;4,"",SQRT((F400-H400)^2+(G400-I400)^2))</f>
        <v/>
      </c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3" t="n"/>
      <c r="V400" s="11" t="n"/>
      <c r="W400" s="13" t="n"/>
      <c r="X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2">
        <f>IF(COUNTA(F401:I401)&lt;4,"",SQRT((F401-H401)^2+(G401-I401)^2))</f>
        <v/>
      </c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3" t="n"/>
      <c r="V401" s="11" t="n"/>
      <c r="W401" s="13" t="n"/>
      <c r="X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2">
        <f>IF(COUNTA(F402:I402)&lt;4,"",SQRT((F402-H402)^2+(G402-I402)^2))</f>
        <v/>
      </c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3" t="n"/>
      <c r="V402" s="11" t="n"/>
      <c r="W402" s="13" t="n"/>
      <c r="X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2">
        <f>IF(COUNTA(F403:I403)&lt;4,"",SQRT((F403-H403)^2+(G403-I403)^2))</f>
        <v/>
      </c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3" t="n"/>
      <c r="V403" s="11" t="n"/>
      <c r="W403" s="13" t="n"/>
      <c r="X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2">
        <f>IF(COUNTA(F404:I404)&lt;4,"",SQRT((F404-H404)^2+(G404-I404)^2))</f>
        <v/>
      </c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3" t="n"/>
      <c r="V404" s="11" t="n"/>
      <c r="W404" s="13" t="n"/>
      <c r="X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2">
        <f>IF(COUNTA(F405:I405)&lt;4,"",SQRT((F405-H405)^2+(G405-I405)^2))</f>
        <v/>
      </c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3" t="n"/>
      <c r="V405" s="11" t="n"/>
      <c r="W405" s="13" t="n"/>
      <c r="X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2">
        <f>IF(COUNTA(F406:I406)&lt;4,"",SQRT((F406-H406)^2+(G406-I406)^2))</f>
        <v/>
      </c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3" t="n"/>
      <c r="V406" s="11" t="n"/>
      <c r="W406" s="13" t="n"/>
      <c r="X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2">
        <f>IF(COUNTA(F407:I407)&lt;4,"",SQRT((F407-H407)^2+(G407-I407)^2))</f>
        <v/>
      </c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3" t="n"/>
      <c r="V407" s="11" t="n"/>
      <c r="W407" s="13" t="n"/>
      <c r="X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2">
        <f>IF(COUNTA(F408:I408)&lt;4,"",SQRT((F408-H408)^2+(G408-I408)^2))</f>
        <v/>
      </c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3" t="n"/>
      <c r="V408" s="11" t="n"/>
      <c r="W408" s="13" t="n"/>
      <c r="X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2">
        <f>IF(COUNTA(F409:I409)&lt;4,"",SQRT((F409-H409)^2+(G409-I409)^2))</f>
        <v/>
      </c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3" t="n"/>
      <c r="V409" s="11" t="n"/>
      <c r="W409" s="13" t="n"/>
      <c r="X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2">
        <f>IF(COUNTA(F410:I410)&lt;4,"",SQRT((F410-H410)^2+(G410-I410)^2))</f>
        <v/>
      </c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3" t="n"/>
      <c r="V410" s="11" t="n"/>
      <c r="W410" s="13" t="n"/>
      <c r="X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2">
        <f>IF(COUNTA(F411:I411)&lt;4,"",SQRT((F411-H411)^2+(G411-I411)^2))</f>
        <v/>
      </c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3" t="n"/>
      <c r="V411" s="11" t="n"/>
      <c r="W411" s="13" t="n"/>
      <c r="X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2">
        <f>IF(COUNTA(F412:I412)&lt;4,"",SQRT((F412-H412)^2+(G412-I412)^2))</f>
        <v/>
      </c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3" t="n"/>
      <c r="V412" s="11" t="n"/>
      <c r="W412" s="13" t="n"/>
      <c r="X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2">
        <f>IF(COUNTA(F413:I413)&lt;4,"",SQRT((F413-H413)^2+(G413-I413)^2))</f>
        <v/>
      </c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3" t="n"/>
      <c r="V413" s="11" t="n"/>
      <c r="W413" s="13" t="n"/>
      <c r="X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2">
        <f>IF(COUNTA(F414:I414)&lt;4,"",SQRT((F414-H414)^2+(G414-I414)^2))</f>
        <v/>
      </c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3" t="n"/>
      <c r="V414" s="11" t="n"/>
      <c r="W414" s="13" t="n"/>
      <c r="X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2">
        <f>IF(COUNTA(F415:I415)&lt;4,"",SQRT((F415-H415)^2+(G415-I415)^2))</f>
        <v/>
      </c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3" t="n"/>
      <c r="V415" s="11" t="n"/>
      <c r="W415" s="13" t="n"/>
      <c r="X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2">
        <f>IF(COUNTA(F416:I416)&lt;4,"",SQRT((F416-H416)^2+(G416-I416)^2))</f>
        <v/>
      </c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3" t="n"/>
      <c r="V416" s="11" t="n"/>
      <c r="W416" s="13" t="n"/>
      <c r="X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2">
        <f>IF(COUNTA(F417:I417)&lt;4,"",SQRT((F417-H417)^2+(G417-I417)^2))</f>
        <v/>
      </c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3" t="n"/>
      <c r="V417" s="11" t="n"/>
      <c r="W417" s="13" t="n"/>
      <c r="X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2">
        <f>IF(COUNTA(F418:I418)&lt;4,"",SQRT((F418-H418)^2+(G418-I418)^2))</f>
        <v/>
      </c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3" t="n"/>
      <c r="V418" s="11" t="n"/>
      <c r="W418" s="13" t="n"/>
      <c r="X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2">
        <f>IF(COUNTA(F419:I419)&lt;4,"",SQRT((F419-H419)^2+(G419-I419)^2))</f>
        <v/>
      </c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3" t="n"/>
      <c r="V419" s="11" t="n"/>
      <c r="W419" s="13" t="n"/>
      <c r="X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2">
        <f>IF(COUNTA(F420:I420)&lt;4,"",SQRT((F420-H420)^2+(G420-I420)^2))</f>
        <v/>
      </c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3" t="n"/>
      <c r="V420" s="11" t="n"/>
      <c r="W420" s="13" t="n"/>
      <c r="X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2">
        <f>IF(COUNTA(F421:I421)&lt;4,"",SQRT((F421-H421)^2+(G421-I421)^2))</f>
        <v/>
      </c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3" t="n"/>
      <c r="V421" s="11" t="n"/>
      <c r="W421" s="13" t="n"/>
      <c r="X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2">
        <f>IF(COUNTA(F422:I422)&lt;4,"",SQRT((F422-H422)^2+(G422-I422)^2))</f>
        <v/>
      </c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3" t="n"/>
      <c r="V422" s="11" t="n"/>
      <c r="W422" s="13" t="n"/>
      <c r="X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2">
        <f>IF(COUNTA(F423:I423)&lt;4,"",SQRT((F423-H423)^2+(G423-I423)^2))</f>
        <v/>
      </c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3" t="n"/>
      <c r="V423" s="11" t="n"/>
      <c r="W423" s="13" t="n"/>
      <c r="X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2">
        <f>IF(COUNTA(F424:I424)&lt;4,"",SQRT((F424-H424)^2+(G424-I424)^2))</f>
        <v/>
      </c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3" t="n"/>
      <c r="V424" s="11" t="n"/>
      <c r="W424" s="13" t="n"/>
      <c r="X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2">
        <f>IF(COUNTA(F425:I425)&lt;4,"",SQRT((F425-H425)^2+(G425-I425)^2))</f>
        <v/>
      </c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3" t="n"/>
      <c r="V425" s="11" t="n"/>
      <c r="W425" s="13" t="n"/>
      <c r="X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2">
        <f>IF(COUNTA(F426:I426)&lt;4,"",SQRT((F426-H426)^2+(G426-I426)^2))</f>
        <v/>
      </c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3" t="n"/>
      <c r="V426" s="11" t="n"/>
      <c r="W426" s="13" t="n"/>
      <c r="X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2">
        <f>IF(COUNTA(F427:I427)&lt;4,"",SQRT((F427-H427)^2+(G427-I427)^2))</f>
        <v/>
      </c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3" t="n"/>
      <c r="V427" s="11" t="n"/>
      <c r="W427" s="13" t="n"/>
      <c r="X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2">
        <f>IF(COUNTA(F428:I428)&lt;4,"",SQRT((F428-H428)^2+(G428-I428)^2))</f>
        <v/>
      </c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3" t="n"/>
      <c r="V428" s="11" t="n"/>
      <c r="W428" s="13" t="n"/>
      <c r="X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2">
        <f>IF(COUNTA(F429:I429)&lt;4,"",SQRT((F429-H429)^2+(G429-I429)^2))</f>
        <v/>
      </c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3" t="n"/>
      <c r="V429" s="11" t="n"/>
      <c r="W429" s="13" t="n"/>
      <c r="X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2">
        <f>IF(COUNTA(F430:I430)&lt;4,"",SQRT((F430-H430)^2+(G430-I430)^2))</f>
        <v/>
      </c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3" t="n"/>
      <c r="V430" s="11" t="n"/>
      <c r="W430" s="13" t="n"/>
      <c r="X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2">
        <f>IF(COUNTA(F431:I431)&lt;4,"",SQRT((F431-H431)^2+(G431-I431)^2))</f>
        <v/>
      </c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3" t="n"/>
      <c r="V431" s="11" t="n"/>
      <c r="W431" s="13" t="n"/>
      <c r="X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2">
        <f>IF(COUNTA(F432:I432)&lt;4,"",SQRT((F432-H432)^2+(G432-I432)^2))</f>
        <v/>
      </c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3" t="n"/>
      <c r="V432" s="11" t="n"/>
      <c r="W432" s="13" t="n"/>
      <c r="X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2">
        <f>IF(COUNTA(F433:I433)&lt;4,"",SQRT((F433-H433)^2+(G433-I433)^2))</f>
        <v/>
      </c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3" t="n"/>
      <c r="V433" s="11" t="n"/>
      <c r="W433" s="13" t="n"/>
      <c r="X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2">
        <f>IF(COUNTA(F434:I434)&lt;4,"",SQRT((F434-H434)^2+(G434-I434)^2))</f>
        <v/>
      </c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3" t="n"/>
      <c r="V434" s="11" t="n"/>
      <c r="W434" s="13" t="n"/>
      <c r="X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2">
        <f>IF(COUNTA(F435:I435)&lt;4,"",SQRT((F435-H435)^2+(G435-I435)^2))</f>
        <v/>
      </c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3" t="n"/>
      <c r="V435" s="11" t="n"/>
      <c r="W435" s="13" t="n"/>
      <c r="X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2">
        <f>IF(COUNTA(F436:I436)&lt;4,"",SQRT((F436-H436)^2+(G436-I436)^2))</f>
        <v/>
      </c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3" t="n"/>
      <c r="V436" s="11" t="n"/>
      <c r="W436" s="13" t="n"/>
      <c r="X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2">
        <f>IF(COUNTA(F437:I437)&lt;4,"",SQRT((F437-H437)^2+(G437-I437)^2))</f>
        <v/>
      </c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3" t="n"/>
      <c r="V437" s="11" t="n"/>
      <c r="W437" s="13" t="n"/>
      <c r="X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2">
        <f>IF(COUNTA(F438:I438)&lt;4,"",SQRT((F438-H438)^2+(G438-I438)^2))</f>
        <v/>
      </c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3" t="n"/>
      <c r="V438" s="11" t="n"/>
      <c r="W438" s="13" t="n"/>
      <c r="X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2">
        <f>IF(COUNTA(F439:I439)&lt;4,"",SQRT((F439-H439)^2+(G439-I439)^2))</f>
        <v/>
      </c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3" t="n"/>
      <c r="V439" s="11" t="n"/>
      <c r="W439" s="13" t="n"/>
      <c r="X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2">
        <f>IF(COUNTA(F440:I440)&lt;4,"",SQRT((F440-H440)^2+(G440-I440)^2))</f>
        <v/>
      </c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3" t="n"/>
      <c r="V440" s="11" t="n"/>
      <c r="W440" s="13" t="n"/>
      <c r="X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2">
        <f>IF(COUNTA(F441:I441)&lt;4,"",SQRT((F441-H441)^2+(G441-I441)^2))</f>
        <v/>
      </c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3" t="n"/>
      <c r="V441" s="11" t="n"/>
      <c r="W441" s="13" t="n"/>
      <c r="X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2">
        <f>IF(COUNTA(F442:I442)&lt;4,"",SQRT((F442-H442)^2+(G442-I442)^2))</f>
        <v/>
      </c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3" t="n"/>
      <c r="V442" s="11" t="n"/>
      <c r="W442" s="13" t="n"/>
      <c r="X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2">
        <f>IF(COUNTA(F443:I443)&lt;4,"",SQRT((F443-H443)^2+(G443-I443)^2))</f>
        <v/>
      </c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3" t="n"/>
      <c r="V443" s="11" t="n"/>
      <c r="W443" s="13" t="n"/>
      <c r="X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2">
        <f>IF(COUNTA(F444:I444)&lt;4,"",SQRT((F444-H444)^2+(G444-I444)^2))</f>
        <v/>
      </c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3" t="n"/>
      <c r="V444" s="11" t="n"/>
      <c r="W444" s="13" t="n"/>
      <c r="X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2">
        <f>IF(COUNTA(F445:I445)&lt;4,"",SQRT((F445-H445)^2+(G445-I445)^2))</f>
        <v/>
      </c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3" t="n"/>
      <c r="V445" s="11" t="n"/>
      <c r="W445" s="13" t="n"/>
      <c r="X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2">
        <f>IF(COUNTA(F446:I446)&lt;4,"",SQRT((F446-H446)^2+(G446-I446)^2))</f>
        <v/>
      </c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3" t="n"/>
      <c r="V446" s="11" t="n"/>
      <c r="W446" s="13" t="n"/>
      <c r="X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2">
        <f>IF(COUNTA(F447:I447)&lt;4,"",SQRT((F447-H447)^2+(G447-I447)^2))</f>
        <v/>
      </c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3" t="n"/>
      <c r="V447" s="11" t="n"/>
      <c r="W447" s="13" t="n"/>
      <c r="X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2">
        <f>IF(COUNTA(F448:I448)&lt;4,"",SQRT((F448-H448)^2+(G448-I448)^2))</f>
        <v/>
      </c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3" t="n"/>
      <c r="V448" s="11" t="n"/>
      <c r="W448" s="13" t="n"/>
      <c r="X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2">
        <f>IF(COUNTA(F449:I449)&lt;4,"",SQRT((F449-H449)^2+(G449-I449)^2))</f>
        <v/>
      </c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3" t="n"/>
      <c r="V449" s="11" t="n"/>
      <c r="W449" s="13" t="n"/>
      <c r="X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2">
        <f>IF(COUNTA(F450:I450)&lt;4,"",SQRT((F450-H450)^2+(G450-I450)^2))</f>
        <v/>
      </c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3" t="n"/>
      <c r="V450" s="11" t="n"/>
      <c r="W450" s="13" t="n"/>
      <c r="X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2">
        <f>IF(COUNTA(F451:I451)&lt;4,"",SQRT((F451-H451)^2+(G451-I451)^2))</f>
        <v/>
      </c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3" t="n"/>
      <c r="V451" s="11" t="n"/>
      <c r="W451" s="13" t="n"/>
      <c r="X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2">
        <f>IF(COUNTA(F452:I452)&lt;4,"",SQRT((F452-H452)^2+(G452-I452)^2))</f>
        <v/>
      </c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3" t="n"/>
      <c r="V452" s="11" t="n"/>
      <c r="W452" s="13" t="n"/>
      <c r="X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2">
        <f>IF(COUNTA(F453:I453)&lt;4,"",SQRT((F453-H453)^2+(G453-I453)^2))</f>
        <v/>
      </c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3" t="n"/>
      <c r="V453" s="11" t="n"/>
      <c r="W453" s="13" t="n"/>
      <c r="X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2">
        <f>IF(COUNTA(F454:I454)&lt;4,"",SQRT((F454-H454)^2+(G454-I454)^2))</f>
        <v/>
      </c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3" t="n"/>
      <c r="V454" s="11" t="n"/>
      <c r="W454" s="13" t="n"/>
      <c r="X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2">
        <f>IF(COUNTA(F455:I455)&lt;4,"",SQRT((F455-H455)^2+(G455-I455)^2))</f>
        <v/>
      </c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3" t="n"/>
      <c r="V455" s="11" t="n"/>
      <c r="W455" s="13" t="n"/>
      <c r="X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2">
        <f>IF(COUNTA(F456:I456)&lt;4,"",SQRT((F456-H456)^2+(G456-I456)^2))</f>
        <v/>
      </c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3" t="n"/>
      <c r="V456" s="11" t="n"/>
      <c r="W456" s="13" t="n"/>
      <c r="X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2">
        <f>IF(COUNTA(F457:I457)&lt;4,"",SQRT((F457-H457)^2+(G457-I457)^2))</f>
        <v/>
      </c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3" t="n"/>
      <c r="V457" s="11" t="n"/>
      <c r="W457" s="13" t="n"/>
      <c r="X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2">
        <f>IF(COUNTA(F458:I458)&lt;4,"",SQRT((F458-H458)^2+(G458-I458)^2))</f>
        <v/>
      </c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3" t="n"/>
      <c r="V458" s="11" t="n"/>
      <c r="W458" s="13" t="n"/>
      <c r="X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2">
        <f>IF(COUNTA(F459:I459)&lt;4,"",SQRT((F459-H459)^2+(G459-I459)^2))</f>
        <v/>
      </c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3" t="n"/>
      <c r="V459" s="11" t="n"/>
      <c r="W459" s="13" t="n"/>
      <c r="X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2">
        <f>IF(COUNTA(F460:I460)&lt;4,"",SQRT((F460-H460)^2+(G460-I460)^2))</f>
        <v/>
      </c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3" t="n"/>
      <c r="V460" s="11" t="n"/>
      <c r="W460" s="13" t="n"/>
      <c r="X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2">
        <f>IF(COUNTA(F461:I461)&lt;4,"",SQRT((F461-H461)^2+(G461-I461)^2))</f>
        <v/>
      </c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3" t="n"/>
      <c r="V461" s="11" t="n"/>
      <c r="W461" s="13" t="n"/>
      <c r="X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2">
        <f>IF(COUNTA(F462:I462)&lt;4,"",SQRT((F462-H462)^2+(G462-I462)^2))</f>
        <v/>
      </c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3" t="n"/>
      <c r="V462" s="11" t="n"/>
      <c r="W462" s="13" t="n"/>
      <c r="X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2">
        <f>IF(COUNTA(F463:I463)&lt;4,"",SQRT((F463-H463)^2+(G463-I463)^2))</f>
        <v/>
      </c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3" t="n"/>
      <c r="V463" s="11" t="n"/>
      <c r="W463" s="13" t="n"/>
      <c r="X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2">
        <f>IF(COUNTA(F464:I464)&lt;4,"",SQRT((F464-H464)^2+(G464-I464)^2))</f>
        <v/>
      </c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3" t="n"/>
      <c r="V464" s="11" t="n"/>
      <c r="W464" s="13" t="n"/>
      <c r="X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2">
        <f>IF(COUNTA(F465:I465)&lt;4,"",SQRT((F465-H465)^2+(G465-I465)^2))</f>
        <v/>
      </c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3" t="n"/>
      <c r="V465" s="11" t="n"/>
      <c r="W465" s="13" t="n"/>
      <c r="X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2">
        <f>IF(COUNTA(F466:I466)&lt;4,"",SQRT((F466-H466)^2+(G466-I466)^2))</f>
        <v/>
      </c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3" t="n"/>
      <c r="V466" s="11" t="n"/>
      <c r="W466" s="13" t="n"/>
      <c r="X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2">
        <f>IF(COUNTA(F467:I467)&lt;4,"",SQRT((F467-H467)^2+(G467-I467)^2))</f>
        <v/>
      </c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3" t="n"/>
      <c r="V467" s="11" t="n"/>
      <c r="W467" s="13" t="n"/>
      <c r="X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2">
        <f>IF(COUNTA(F468:I468)&lt;4,"",SQRT((F468-H468)^2+(G468-I468)^2))</f>
        <v/>
      </c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3" t="n"/>
      <c r="V468" s="11" t="n"/>
      <c r="W468" s="13" t="n"/>
      <c r="X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2">
        <f>IF(COUNTA(F469:I469)&lt;4,"",SQRT((F469-H469)^2+(G469-I469)^2))</f>
        <v/>
      </c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3" t="n"/>
      <c r="V469" s="11" t="n"/>
      <c r="W469" s="13" t="n"/>
      <c r="X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2">
        <f>IF(COUNTA(F470:I470)&lt;4,"",SQRT((F470-H470)^2+(G470-I470)^2))</f>
        <v/>
      </c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3" t="n"/>
      <c r="V470" s="11" t="n"/>
      <c r="W470" s="13" t="n"/>
      <c r="X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2">
        <f>IF(COUNTA(F471:I471)&lt;4,"",SQRT((F471-H471)^2+(G471-I471)^2))</f>
        <v/>
      </c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3" t="n"/>
      <c r="V471" s="11" t="n"/>
      <c r="W471" s="13" t="n"/>
      <c r="X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2">
        <f>IF(COUNTA(F472:I472)&lt;4,"",SQRT((F472-H472)^2+(G472-I472)^2))</f>
        <v/>
      </c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3" t="n"/>
      <c r="V472" s="11" t="n"/>
      <c r="W472" s="13" t="n"/>
      <c r="X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2">
        <f>IF(COUNTA(F473:I473)&lt;4,"",SQRT((F473-H473)^2+(G473-I473)^2))</f>
        <v/>
      </c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3" t="n"/>
      <c r="V473" s="11" t="n"/>
      <c r="W473" s="13" t="n"/>
      <c r="X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2">
        <f>IF(COUNTA(F474:I474)&lt;4,"",SQRT((F474-H474)^2+(G474-I474)^2))</f>
        <v/>
      </c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3" t="n"/>
      <c r="V474" s="11" t="n"/>
      <c r="W474" s="13" t="n"/>
      <c r="X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2">
        <f>IF(COUNTA(F475:I475)&lt;4,"",SQRT((F475-H475)^2+(G475-I475)^2))</f>
        <v/>
      </c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3" t="n"/>
      <c r="V475" s="11" t="n"/>
      <c r="W475" s="13" t="n"/>
      <c r="X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2">
        <f>IF(COUNTA(F476:I476)&lt;4,"",SQRT((F476-H476)^2+(G476-I476)^2))</f>
        <v/>
      </c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3" t="n"/>
      <c r="V476" s="11" t="n"/>
      <c r="W476" s="13" t="n"/>
      <c r="X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2">
        <f>IF(COUNTA(F477:I477)&lt;4,"",SQRT((F477-H477)^2+(G477-I477)^2))</f>
        <v/>
      </c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3" t="n"/>
      <c r="V477" s="11" t="n"/>
      <c r="W477" s="13" t="n"/>
      <c r="X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2">
        <f>IF(COUNTA(F478:I478)&lt;4,"",SQRT((F478-H478)^2+(G478-I478)^2))</f>
        <v/>
      </c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3" t="n"/>
      <c r="V478" s="11" t="n"/>
      <c r="W478" s="13" t="n"/>
      <c r="X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2">
        <f>IF(COUNTA(F479:I479)&lt;4,"",SQRT((F479-H479)^2+(G479-I479)^2))</f>
        <v/>
      </c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3" t="n"/>
      <c r="V479" s="11" t="n"/>
      <c r="W479" s="13" t="n"/>
      <c r="X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2">
        <f>IF(COUNTA(F480:I480)&lt;4,"",SQRT((F480-H480)^2+(G480-I480)^2))</f>
        <v/>
      </c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3" t="n"/>
      <c r="V480" s="11" t="n"/>
      <c r="W480" s="13" t="n"/>
      <c r="X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2">
        <f>IF(COUNTA(F481:I481)&lt;4,"",SQRT((F481-H481)^2+(G481-I481)^2))</f>
        <v/>
      </c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3" t="n"/>
      <c r="V481" s="11" t="n"/>
      <c r="W481" s="13" t="n"/>
      <c r="X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2">
        <f>IF(COUNTA(F482:I482)&lt;4,"",SQRT((F482-H482)^2+(G482-I482)^2))</f>
        <v/>
      </c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3" t="n"/>
      <c r="V482" s="11" t="n"/>
      <c r="W482" s="13" t="n"/>
      <c r="X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2">
        <f>IF(COUNTA(F483:I483)&lt;4,"",SQRT((F483-H483)^2+(G483-I483)^2))</f>
        <v/>
      </c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3" t="n"/>
      <c r="V483" s="11" t="n"/>
      <c r="W483" s="13" t="n"/>
      <c r="X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2">
        <f>IF(COUNTA(F484:I484)&lt;4,"",SQRT((F484-H484)^2+(G484-I484)^2))</f>
        <v/>
      </c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3" t="n"/>
      <c r="V484" s="11" t="n"/>
      <c r="W484" s="13" t="n"/>
      <c r="X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2">
        <f>IF(COUNTA(F485:I485)&lt;4,"",SQRT((F485-H485)^2+(G485-I485)^2))</f>
        <v/>
      </c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3" t="n"/>
      <c r="V485" s="11" t="n"/>
      <c r="W485" s="13" t="n"/>
      <c r="X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2">
        <f>IF(COUNTA(F486:I486)&lt;4,"",SQRT((F486-H486)^2+(G486-I486)^2))</f>
        <v/>
      </c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3" t="n"/>
      <c r="V486" s="11" t="n"/>
      <c r="W486" s="13" t="n"/>
      <c r="X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2">
        <f>IF(COUNTA(F487:I487)&lt;4,"",SQRT((F487-H487)^2+(G487-I487)^2))</f>
        <v/>
      </c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3" t="n"/>
      <c r="V487" s="11" t="n"/>
      <c r="W487" s="13" t="n"/>
      <c r="X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2">
        <f>IF(COUNTA(F488:I488)&lt;4,"",SQRT((F488-H488)^2+(G488-I488)^2))</f>
        <v/>
      </c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3" t="n"/>
      <c r="V488" s="11" t="n"/>
      <c r="W488" s="13" t="n"/>
      <c r="X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2">
        <f>IF(COUNTA(F489:I489)&lt;4,"",SQRT((F489-H489)^2+(G489-I489)^2))</f>
        <v/>
      </c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3" t="n"/>
      <c r="V489" s="11" t="n"/>
      <c r="W489" s="13" t="n"/>
      <c r="X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2">
        <f>IF(COUNTA(F490:I490)&lt;4,"",SQRT((F490-H490)^2+(G490-I490)^2))</f>
        <v/>
      </c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3" t="n"/>
      <c r="V490" s="11" t="n"/>
      <c r="W490" s="13" t="n"/>
      <c r="X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2">
        <f>IF(COUNTA(F491:I491)&lt;4,"",SQRT((F491-H491)^2+(G491-I491)^2))</f>
        <v/>
      </c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3" t="n"/>
      <c r="V491" s="11" t="n"/>
      <c r="W491" s="13" t="n"/>
      <c r="X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2">
        <f>IF(COUNTA(F492:I492)&lt;4,"",SQRT((F492-H492)^2+(G492-I492)^2))</f>
        <v/>
      </c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3" t="n"/>
      <c r="V492" s="11" t="n"/>
      <c r="W492" s="13" t="n"/>
      <c r="X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2">
        <f>IF(COUNTA(F493:I493)&lt;4,"",SQRT((F493-H493)^2+(G493-I493)^2))</f>
        <v/>
      </c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3" t="n"/>
      <c r="V493" s="11" t="n"/>
      <c r="W493" s="13" t="n"/>
      <c r="X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2">
        <f>IF(COUNTA(F494:I494)&lt;4,"",SQRT((F494-H494)^2+(G494-I494)^2))</f>
        <v/>
      </c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3" t="n"/>
      <c r="V494" s="11" t="n"/>
      <c r="W494" s="13" t="n"/>
      <c r="X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2">
        <f>IF(COUNTA(F495:I495)&lt;4,"",SQRT((F495-H495)^2+(G495-I495)^2))</f>
        <v/>
      </c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3" t="n"/>
      <c r="V495" s="11" t="n"/>
      <c r="W495" s="13" t="n"/>
      <c r="X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2">
        <f>IF(COUNTA(F496:I496)&lt;4,"",SQRT((F496-H496)^2+(G496-I496)^2))</f>
        <v/>
      </c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3" t="n"/>
      <c r="V496" s="11" t="n"/>
      <c r="W496" s="13" t="n"/>
      <c r="X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2">
        <f>IF(COUNTA(F497:I497)&lt;4,"",SQRT((F497-H497)^2+(G497-I497)^2))</f>
        <v/>
      </c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3" t="n"/>
      <c r="V497" s="11" t="n"/>
      <c r="W497" s="13" t="n"/>
      <c r="X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2">
        <f>IF(COUNTA(F498:I498)&lt;4,"",SQRT((F498-H498)^2+(G498-I498)^2))</f>
        <v/>
      </c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3" t="n"/>
      <c r="V498" s="11" t="n"/>
      <c r="W498" s="13" t="n"/>
      <c r="X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2">
        <f>IF(COUNTA(F499:I499)&lt;4,"",SQRT((F499-H499)^2+(G499-I499)^2))</f>
        <v/>
      </c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3" t="n"/>
      <c r="V499" s="11" t="n"/>
      <c r="W499" s="13" t="n"/>
      <c r="X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2">
        <f>IF(COUNTA(F500:I500)&lt;4,"",SQRT((F500-H500)^2+(G500-I500)^2))</f>
        <v/>
      </c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3" t="n"/>
      <c r="V500" s="11" t="n"/>
      <c r="W500" s="13" t="n"/>
      <c r="X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2">
        <f>IF(COUNTA(F501:I501)&lt;4,"",SQRT((F501-H501)^2+(G501-I501)^2))</f>
        <v/>
      </c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3" t="n"/>
      <c r="V501" s="11" t="n"/>
      <c r="W501" s="13" t="n"/>
      <c r="X501" s="11" t="n"/>
    </row>
  </sheetData>
  <autoFilter ref="A1:X501"/>
  <conditionalFormatting sqref="A2:A501">
    <cfRule type="expression" priority="1" dxfId="0">
      <formula>AND(A2&lt;&gt;"",COUNTIF($A$2:$A$501,A2)&gt;1)</formula>
    </cfRule>
    <cfRule type="expression" priority="5" dxfId="1">
      <formula>AND(COUNTA($A2:$X2)&gt;0,A2="")</formula>
    </cfRule>
  </conditionalFormatting>
  <conditionalFormatting sqref="J2:J501">
    <cfRule type="expression" priority="2" dxfId="0">
      <formula>AND(J2&lt;&gt;"",K2&lt;&gt;"",J2&gt;K2)</formula>
    </cfRule>
  </conditionalFormatting>
  <conditionalFormatting sqref="R2:R501">
    <cfRule type="expression" priority="3" dxfId="2">
      <formula>R2="通过"</formula>
    </cfRule>
    <cfRule type="expression" priority="4" dxfId="0">
      <formula>R2="不通过"</formula>
    </cfRule>
  </conditionalFormatting>
  <conditionalFormatting sqref="B2:B501">
    <cfRule type="expression" priority="6" dxfId="1">
      <formula>AND(COUNTA($A2:$X2)&gt;0,B2="")</formula>
    </cfRule>
  </conditionalFormatting>
  <conditionalFormatting sqref="C2:C501">
    <cfRule type="expression" priority="7" dxfId="1">
      <formula>AND(COUNTA($A2:$X2)&gt;0,C2="")</formula>
    </cfRule>
  </conditionalFormatting>
  <dataValidations count="13">
    <dataValidation sqref="C2:C501" showDropDown="0" showInputMessage="1" showErrorMessage="1" allowBlank="1" errorTitle="输入无效" error="请从“检查类型”下拉字典中选择，不要自行输入未登记值。" promptTitle="请选择标准值" prompt="数据来源：10_数据字典 / 检查类型" type="list">
      <formula1>=dict_check_type</formula1>
    </dataValidation>
    <dataValidation sqref="D2:D501" showDropDown="0" showInputMessage="1" showErrorMessage="1" allowBlank="1" errorTitle="输入无效" error="请从“地图层级”下拉字典中选择，不要自行输入未登记值。" promptTitle="请选择标准值" prompt="数据来源：10_数据字典 / 地图层级" type="list">
      <formula1>=dict_map_level</formula1>
    </dataValidation>
    <dataValidation sqref="E2:E501" showDropDown="0" showInputMessage="1" showErrorMessage="1" allowBlank="1" errorTitle="输入无效" error="请从“地图层级”下拉字典中选择，不要自行输入未登记值。" promptTitle="请选择标准值" prompt="数据来源：10_数据字典 / 地图层级" type="list">
      <formula1>=dict_map_level</formula1>
    </dataValidation>
    <dataValidation sqref="L2:L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M2:M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N2:N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O2:O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P2:P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Q2:Q501" showDropDown="0" showInputMessage="1" showErrorMessage="1" allowBlank="1" errorTitle="输入无效" error="请从“布尔值”下拉字典中选择，不要自行输入未登记值。" promptTitle="请选择标准值" prompt="数据来源：10_数据字典 / 布尔值" type="list">
      <formula1>=dict_boolean</formula1>
    </dataValidation>
    <dataValidation sqref="R2:R501" showDropDown="0" showInputMessage="1" showErrorMessage="1" allowBlank="1" errorTitle="输入无效" error="请从“检查结果”下拉字典中选择，不要自行输入未登记值。" promptTitle="请选择标准值" prompt="数据来源：10_数据字典 / 检查结果" type="list">
      <formula1>=dict_check_result</formula1>
    </dataValidation>
    <dataValidation sqref="K2:K501" showDropDown="0" showInputMessage="0" showErrorMessage="1" allowBlank="1" errorTitle="数值无效" error="请输入大于或等于0的数值，或保持空白。" type="decimal" operator="greaterThanOrEqual">
      <formula1>0</formula1>
    </dataValidation>
    <dataValidation sqref="U2:U501" showDropDown="0" showInputMessage="0" showErrorMessage="1" allowBlank="1" errorTitle="日期格式错误" error="请输入Excel日期，建议格式：yyyy-mm-dd。" type="date" operator="between">
      <formula1>DATE(1900,1,1)</formula1>
      <formula2>DATE(9999,12,31)</formula2>
    </dataValidation>
    <dataValidation sqref="W2:W501" showDropDown="0" showInputMessage="0" showErrorMessage="1" allowBlank="1" errorTitle="日期格式错误" error="请输入Excel日期，建议格式：yyyy-mm-dd。" type="date" operator="between">
      <formula1>DATE(1900,1,1)</formula1>
      <formula2>DATE(9999,12,31)</formula2>
    </dataValidation>
  </dataValidations>
  <pageMargins left="0.75" right="0.75" top="1" bottom="1" header="0.5" footer="0.5"/>
  <pageSetup orientation="landscape" fitToHeight="0" fitToWidth="1"/>
  <headerFooter>
    <oddHeader>&amp;C&amp;9 02_地图坐标与对象锚点表.xlsx</oddHeader>
    <oddFooter>&amp;C第 &amp;P 页 / 共 &amp;N 页&amp;RV0.1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22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4" customWidth="1" min="3" max="3"/>
  </cols>
  <sheetData>
    <row r="1" ht="34" customHeight="1">
      <c r="A1" s="4" t="inlineStr">
        <is>
          <t>字典分类</t>
        </is>
      </c>
      <c r="B1" s="4" t="inlineStr">
        <is>
          <t>字典值</t>
        </is>
      </c>
      <c r="C1" s="4" t="inlineStr">
        <is>
          <t>说明</t>
        </is>
      </c>
    </row>
    <row r="2">
      <c r="A2" t="inlineStr">
        <is>
          <t>地图层级</t>
        </is>
      </c>
      <c r="B2" t="inlineStr">
        <is>
          <t>L01_天下战略图</t>
        </is>
      </c>
      <c r="C2" t="inlineStr">
        <is>
          <t>由本页统一维护；业务表下拉不得硬编码。</t>
        </is>
      </c>
    </row>
    <row r="3">
      <c r="A3" t="inlineStr">
        <is>
          <t>地图层级</t>
        </is>
      </c>
      <c r="B3" t="inlineStr">
        <is>
          <t>L02_州郡区域图</t>
        </is>
      </c>
      <c r="C3" t="inlineStr">
        <is>
          <t>由本页统一维护；业务表下拉不得硬编码。</t>
        </is>
      </c>
    </row>
    <row r="4">
      <c r="A4" t="inlineStr">
        <is>
          <t>地图层级</t>
        </is>
      </c>
      <c r="B4" t="inlineStr">
        <is>
          <t>L03_县域乡野图</t>
        </is>
      </c>
      <c r="C4" t="inlineStr">
        <is>
          <t>由本页统一维护；业务表下拉不得硬编码。</t>
        </is>
      </c>
    </row>
    <row r="5">
      <c r="A5" t="inlineStr">
        <is>
          <t>地图层级</t>
        </is>
      </c>
      <c r="B5" t="inlineStr">
        <is>
          <t>L04_城镇空间图</t>
        </is>
      </c>
      <c r="C5" t="inlineStr">
        <is>
          <t>由本页统一维护；业务表下拉不得硬编码。</t>
        </is>
      </c>
    </row>
    <row r="6">
      <c r="A6" t="inlineStr">
        <is>
          <t>地图层级</t>
        </is>
      </c>
      <c r="B6" t="inlineStr">
        <is>
          <t>L05_村庄庄园图</t>
        </is>
      </c>
      <c r="C6" t="inlineStr">
        <is>
          <t>由本页统一维护；业务表下拉不得硬编码。</t>
        </is>
      </c>
    </row>
    <row r="7">
      <c r="A7" t="inlineStr">
        <is>
          <t>地图层级</t>
        </is>
      </c>
      <c r="B7" t="inlineStr">
        <is>
          <t>L06_建筑院落图</t>
        </is>
      </c>
      <c r="C7" t="inlineStr">
        <is>
          <t>由本页统一维护；业务表下拉不得硬编码。</t>
        </is>
      </c>
    </row>
    <row r="8">
      <c r="A8" t="inlineStr">
        <is>
          <t>地图层级</t>
        </is>
      </c>
      <c r="B8" t="inlineStr">
        <is>
          <t>L07_战场地图</t>
        </is>
      </c>
      <c r="C8" t="inlineStr">
        <is>
          <t>由本页统一维护；业务表下拉不得硬编码。</t>
        </is>
      </c>
    </row>
    <row r="9">
      <c r="A9" t="inlineStr">
        <is>
          <t>对象类型</t>
        </is>
      </c>
      <c r="B9" t="inlineStr">
        <is>
          <t>海域</t>
        </is>
      </c>
      <c r="C9" t="inlineStr">
        <is>
          <t>由本页统一维护；业务表下拉不得硬编码。</t>
        </is>
      </c>
    </row>
    <row r="10">
      <c r="A10" t="inlineStr">
        <is>
          <t>对象类型</t>
        </is>
      </c>
      <c r="B10" t="inlineStr">
        <is>
          <t>海岸线</t>
        </is>
      </c>
      <c r="C10" t="inlineStr">
        <is>
          <t>由本页统一维护；业务表下拉不得硬编码。</t>
        </is>
      </c>
    </row>
    <row r="11">
      <c r="A11" t="inlineStr">
        <is>
          <t>对象类型</t>
        </is>
      </c>
      <c r="B11" t="inlineStr">
        <is>
          <t>河流</t>
        </is>
      </c>
      <c r="C11" t="inlineStr">
        <is>
          <t>由本页统一维护；业务表下拉不得硬编码。</t>
        </is>
      </c>
    </row>
    <row r="12">
      <c r="A12" t="inlineStr">
        <is>
          <t>对象类型</t>
        </is>
      </c>
      <c r="B12" t="inlineStr">
        <is>
          <t>湖泊</t>
        </is>
      </c>
      <c r="C12" t="inlineStr">
        <is>
          <t>由本页统一维护；业务表下拉不得硬编码。</t>
        </is>
      </c>
    </row>
    <row r="13">
      <c r="A13" t="inlineStr">
        <is>
          <t>对象类型</t>
        </is>
      </c>
      <c r="B13" t="inlineStr">
        <is>
          <t>山系</t>
        </is>
      </c>
      <c r="C13" t="inlineStr">
        <is>
          <t>由本页统一维护；业务表下拉不得硬编码。</t>
        </is>
      </c>
    </row>
    <row r="14">
      <c r="A14" t="inlineStr">
        <is>
          <t>对象类型</t>
        </is>
      </c>
      <c r="B14" t="inlineStr">
        <is>
          <t>山脉</t>
        </is>
      </c>
      <c r="C14" t="inlineStr">
        <is>
          <t>由本页统一维护；业务表下拉不得硬编码。</t>
        </is>
      </c>
    </row>
    <row r="15">
      <c r="A15" t="inlineStr">
        <is>
          <t>对象类型</t>
        </is>
      </c>
      <c r="B15" t="inlineStr">
        <is>
          <t>山峰</t>
        </is>
      </c>
      <c r="C15" t="inlineStr">
        <is>
          <t>由本页统一维护；业务表下拉不得硬编码。</t>
        </is>
      </c>
    </row>
    <row r="16">
      <c r="A16" t="inlineStr">
        <is>
          <t>对象类型</t>
        </is>
      </c>
      <c r="B16" t="inlineStr">
        <is>
          <t>平原</t>
        </is>
      </c>
      <c r="C16" t="inlineStr">
        <is>
          <t>由本页统一维护；业务表下拉不得硬编码。</t>
        </is>
      </c>
    </row>
    <row r="17">
      <c r="A17" t="inlineStr">
        <is>
          <t>对象类型</t>
        </is>
      </c>
      <c r="B17" t="inlineStr">
        <is>
          <t>盆地</t>
        </is>
      </c>
      <c r="C17" t="inlineStr">
        <is>
          <t>由本页统一维护；业务表下拉不得硬编码。</t>
        </is>
      </c>
    </row>
    <row r="18">
      <c r="A18" t="inlineStr">
        <is>
          <t>对象类型</t>
        </is>
      </c>
      <c r="B18" t="inlineStr">
        <is>
          <t>丘陵</t>
        </is>
      </c>
      <c r="C18" t="inlineStr">
        <is>
          <t>由本页统一维护；业务表下拉不得硬编码。</t>
        </is>
      </c>
    </row>
    <row r="19">
      <c r="A19" t="inlineStr">
        <is>
          <t>对象类型</t>
        </is>
      </c>
      <c r="B19" t="inlineStr">
        <is>
          <t>高原</t>
        </is>
      </c>
      <c r="C19" t="inlineStr">
        <is>
          <t>由本页统一维护；业务表下拉不得硬编码。</t>
        </is>
      </c>
    </row>
    <row r="20">
      <c r="A20" t="inlineStr">
        <is>
          <t>对象类型</t>
        </is>
      </c>
      <c r="B20" t="inlineStr">
        <is>
          <t>河谷</t>
        </is>
      </c>
      <c r="C20" t="inlineStr">
        <is>
          <t>由本页统一维护；业务表下拉不得硬编码。</t>
        </is>
      </c>
    </row>
    <row r="21">
      <c r="A21" t="inlineStr">
        <is>
          <t>对象类型</t>
        </is>
      </c>
      <c r="B21" t="inlineStr">
        <is>
          <t>峡谷</t>
        </is>
      </c>
      <c r="C21" t="inlineStr">
        <is>
          <t>由本页统一维护；业务表下拉不得硬编码。</t>
        </is>
      </c>
    </row>
    <row r="22">
      <c r="A22" t="inlineStr">
        <is>
          <t>对象类型</t>
        </is>
      </c>
      <c r="B22" t="inlineStr">
        <is>
          <t>湿地</t>
        </is>
      </c>
      <c r="C22" t="inlineStr">
        <is>
          <t>由本页统一维护；业务表下拉不得硬编码。</t>
        </is>
      </c>
    </row>
    <row r="23">
      <c r="A23" t="inlineStr">
        <is>
          <t>对象类型</t>
        </is>
      </c>
      <c r="B23" t="inlineStr">
        <is>
          <t>荒地</t>
        </is>
      </c>
      <c r="C23" t="inlineStr">
        <is>
          <t>由本页统一维护；业务表下拉不得硬编码。</t>
        </is>
      </c>
    </row>
    <row r="24">
      <c r="A24" t="inlineStr">
        <is>
          <t>对象类型</t>
        </is>
      </c>
      <c r="B24" t="inlineStr">
        <is>
          <t>森林</t>
        </is>
      </c>
      <c r="C24" t="inlineStr">
        <is>
          <t>由本页统一维护；业务表下拉不得硬编码。</t>
        </is>
      </c>
    </row>
    <row r="25">
      <c r="A25" t="inlineStr">
        <is>
          <t>对象类型</t>
        </is>
      </c>
      <c r="B25" t="inlineStr">
        <is>
          <t>天然关口</t>
        </is>
      </c>
      <c r="C25" t="inlineStr">
        <is>
          <t>由本页统一维护；业务表下拉不得硬编码。</t>
        </is>
      </c>
    </row>
    <row r="26">
      <c r="A26" t="inlineStr">
        <is>
          <t>对象类型</t>
        </is>
      </c>
      <c r="B26" t="inlineStr">
        <is>
          <t>岛屿</t>
        </is>
      </c>
      <c r="C26" t="inlineStr">
        <is>
          <t>由本页统一维护；业务表下拉不得硬编码。</t>
        </is>
      </c>
    </row>
    <row r="27">
      <c r="A27" t="inlineStr">
        <is>
          <t>对象类型</t>
        </is>
      </c>
      <c r="B27" t="inlineStr">
        <is>
          <t>地点</t>
        </is>
      </c>
      <c r="C27" t="inlineStr">
        <is>
          <t>由本页统一维护；业务表下拉不得硬编码。</t>
        </is>
      </c>
    </row>
    <row r="28">
      <c r="A28" t="inlineStr">
        <is>
          <t>对象类型</t>
        </is>
      </c>
      <c r="B28" t="inlineStr">
        <is>
          <t>路径</t>
        </is>
      </c>
      <c r="C28" t="inlineStr">
        <is>
          <t>由本页统一维护；业务表下拉不得硬编码。</t>
        </is>
      </c>
    </row>
    <row r="29">
      <c r="A29" t="inlineStr">
        <is>
          <t>对象类型</t>
        </is>
      </c>
      <c r="B29" t="inlineStr">
        <is>
          <t>建筑</t>
        </is>
      </c>
      <c r="C29" t="inlineStr">
        <is>
          <t>由本页统一维护；业务表下拉不得硬编码。</t>
        </is>
      </c>
    </row>
    <row r="30">
      <c r="A30" t="inlineStr">
        <is>
          <t>对象类型</t>
        </is>
      </c>
      <c r="B30" t="inlineStr">
        <is>
          <t>其他</t>
        </is>
      </c>
      <c r="C30" t="inlineStr">
        <is>
          <t>由本页统一维护；业务表下拉不得硬编码。</t>
        </is>
      </c>
    </row>
    <row r="31">
      <c r="A31" t="inlineStr">
        <is>
          <t>地点类型</t>
        </is>
      </c>
      <c r="B31" t="inlineStr">
        <is>
          <t>都城</t>
        </is>
      </c>
      <c r="C31" t="inlineStr">
        <is>
          <t>由本页统一维护；业务表下拉不得硬编码。</t>
        </is>
      </c>
    </row>
    <row r="32">
      <c r="A32" t="inlineStr">
        <is>
          <t>地点类型</t>
        </is>
      </c>
      <c r="B32" t="inlineStr">
        <is>
          <t>州治</t>
        </is>
      </c>
      <c r="C32" t="inlineStr">
        <is>
          <t>由本页统一维护；业务表下拉不得硬编码。</t>
        </is>
      </c>
    </row>
    <row r="33">
      <c r="A33" t="inlineStr">
        <is>
          <t>地点类型</t>
        </is>
      </c>
      <c r="B33" t="inlineStr">
        <is>
          <t>郡治</t>
        </is>
      </c>
      <c r="C33" t="inlineStr">
        <is>
          <t>由本页统一维护；业务表下拉不得硬编码。</t>
        </is>
      </c>
    </row>
    <row r="34">
      <c r="A34" t="inlineStr">
        <is>
          <t>地点类型</t>
        </is>
      </c>
      <c r="B34" t="inlineStr">
        <is>
          <t>国治</t>
        </is>
      </c>
      <c r="C34" t="inlineStr">
        <is>
          <t>由本页统一维护；业务表下拉不得硬编码。</t>
        </is>
      </c>
    </row>
    <row r="35">
      <c r="A35" t="inlineStr">
        <is>
          <t>地点类型</t>
        </is>
      </c>
      <c r="B35" t="inlineStr">
        <is>
          <t>县城</t>
        </is>
      </c>
      <c r="C35" t="inlineStr">
        <is>
          <t>由本页统一维护；业务表下拉不得硬编码。</t>
        </is>
      </c>
    </row>
    <row r="36">
      <c r="A36" t="inlineStr">
        <is>
          <t>地点类型</t>
        </is>
      </c>
      <c r="B36" t="inlineStr">
        <is>
          <t>重要聚落</t>
        </is>
      </c>
      <c r="C36" t="inlineStr">
        <is>
          <t>由本页统一维护；业务表下拉不得硬编码。</t>
        </is>
      </c>
    </row>
    <row r="37">
      <c r="A37" t="inlineStr">
        <is>
          <t>地点类型</t>
        </is>
      </c>
      <c r="B37" t="inlineStr">
        <is>
          <t>村庄</t>
        </is>
      </c>
      <c r="C37" t="inlineStr">
        <is>
          <t>由本页统一维护；业务表下拉不得硬编码。</t>
        </is>
      </c>
    </row>
    <row r="38">
      <c r="A38" t="inlineStr">
        <is>
          <t>地点类型</t>
        </is>
      </c>
      <c r="B38" t="inlineStr">
        <is>
          <t>庄园</t>
        </is>
      </c>
      <c r="C38" t="inlineStr">
        <is>
          <t>由本页统一维护；业务表下拉不得硬编码。</t>
        </is>
      </c>
    </row>
    <row r="39">
      <c r="A39" t="inlineStr">
        <is>
          <t>地点类型</t>
        </is>
      </c>
      <c r="B39" t="inlineStr">
        <is>
          <t>坞堡</t>
        </is>
      </c>
      <c r="C39" t="inlineStr">
        <is>
          <t>由本页统一维护；业务表下拉不得硬编码。</t>
        </is>
      </c>
    </row>
    <row r="40">
      <c r="A40" t="inlineStr">
        <is>
          <t>地点类型</t>
        </is>
      </c>
      <c r="B40" t="inlineStr">
        <is>
          <t>关隘</t>
        </is>
      </c>
      <c r="C40" t="inlineStr">
        <is>
          <t>由本页统一维护；业务表下拉不得硬编码。</t>
        </is>
      </c>
    </row>
    <row r="41">
      <c r="A41" t="inlineStr">
        <is>
          <t>地点类型</t>
        </is>
      </c>
      <c r="B41" t="inlineStr">
        <is>
          <t>港口</t>
        </is>
      </c>
      <c r="C41" t="inlineStr">
        <is>
          <t>由本页统一维护；业务表下拉不得硬编码。</t>
        </is>
      </c>
    </row>
    <row r="42">
      <c r="A42" t="inlineStr">
        <is>
          <t>地点类型</t>
        </is>
      </c>
      <c r="B42" t="inlineStr">
        <is>
          <t>渡口</t>
        </is>
      </c>
      <c r="C42" t="inlineStr">
        <is>
          <t>由本页统一维护；业务表下拉不得硬编码。</t>
        </is>
      </c>
    </row>
    <row r="43">
      <c r="A43" t="inlineStr">
        <is>
          <t>地点类型</t>
        </is>
      </c>
      <c r="B43" t="inlineStr">
        <is>
          <t>驿站</t>
        </is>
      </c>
      <c r="C43" t="inlineStr">
        <is>
          <t>由本页统一维护；业务表下拉不得硬编码。</t>
        </is>
      </c>
    </row>
    <row r="44">
      <c r="A44" t="inlineStr">
        <is>
          <t>地点类型</t>
        </is>
      </c>
      <c r="B44" t="inlineStr">
        <is>
          <t>军营</t>
        </is>
      </c>
      <c r="C44" t="inlineStr">
        <is>
          <t>由本页统一维护；业务表下拉不得硬编码。</t>
        </is>
      </c>
    </row>
    <row r="45">
      <c r="A45" t="inlineStr">
        <is>
          <t>地点类型</t>
        </is>
      </c>
      <c r="B45" t="inlineStr">
        <is>
          <t>市场</t>
        </is>
      </c>
      <c r="C45" t="inlineStr">
        <is>
          <t>由本页统一维护；业务表下拉不得硬编码。</t>
        </is>
      </c>
    </row>
    <row r="46">
      <c r="A46" t="inlineStr">
        <is>
          <t>地点类型</t>
        </is>
      </c>
      <c r="B46" t="inlineStr">
        <is>
          <t>仓储节点</t>
        </is>
      </c>
      <c r="C46" t="inlineStr">
        <is>
          <t>由本页统一维护；业务表下拉不得硬编码。</t>
        </is>
      </c>
    </row>
    <row r="47">
      <c r="A47" t="inlineStr">
        <is>
          <t>地点类型</t>
        </is>
      </c>
      <c r="B47" t="inlineStr">
        <is>
          <t>寺观</t>
        </is>
      </c>
      <c r="C47" t="inlineStr">
        <is>
          <t>由本页统一维护；业务表下拉不得硬编码。</t>
        </is>
      </c>
    </row>
    <row r="48">
      <c r="A48" t="inlineStr">
        <is>
          <t>地点类型</t>
        </is>
      </c>
      <c r="B48" t="inlineStr">
        <is>
          <t>废墟</t>
        </is>
      </c>
      <c r="C48" t="inlineStr">
        <is>
          <t>由本页统一维护；业务表下拉不得硬编码。</t>
        </is>
      </c>
    </row>
    <row r="49">
      <c r="A49" t="inlineStr">
        <is>
          <t>地点类型</t>
        </is>
      </c>
      <c r="B49" t="inlineStr">
        <is>
          <t>其他</t>
        </is>
      </c>
      <c r="C49" t="inlineStr">
        <is>
          <t>由本页统一维护；业务表下拉不得硬编码。</t>
        </is>
      </c>
    </row>
    <row r="50">
      <c r="A50" t="inlineStr">
        <is>
          <t>路径类型</t>
        </is>
      </c>
      <c r="B50" t="inlineStr">
        <is>
          <t>一级官道</t>
        </is>
      </c>
      <c r="C50" t="inlineStr">
        <is>
          <t>由本页统一维护；业务表下拉不得硬编码。</t>
        </is>
      </c>
    </row>
    <row r="51">
      <c r="A51" t="inlineStr">
        <is>
          <t>路径类型</t>
        </is>
      </c>
      <c r="B51" t="inlineStr">
        <is>
          <t>二级官道</t>
        </is>
      </c>
      <c r="C51" t="inlineStr">
        <is>
          <t>由本页统一维护；业务表下拉不得硬编码。</t>
        </is>
      </c>
    </row>
    <row r="52">
      <c r="A52" t="inlineStr">
        <is>
          <t>路径类型</t>
        </is>
      </c>
      <c r="B52" t="inlineStr">
        <is>
          <t>县乡道路</t>
        </is>
      </c>
      <c r="C52" t="inlineStr">
        <is>
          <t>由本页统一维护；业务表下拉不得硬编码。</t>
        </is>
      </c>
    </row>
    <row r="53">
      <c r="A53" t="inlineStr">
        <is>
          <t>路径类型</t>
        </is>
      </c>
      <c r="B53" t="inlineStr">
        <is>
          <t>村路</t>
        </is>
      </c>
      <c r="C53" t="inlineStr">
        <is>
          <t>由本页统一维护；业务表下拉不得硬编码。</t>
        </is>
      </c>
    </row>
    <row r="54">
      <c r="A54" t="inlineStr">
        <is>
          <t>路径类型</t>
        </is>
      </c>
      <c r="B54" t="inlineStr">
        <is>
          <t>山路</t>
        </is>
      </c>
      <c r="C54" t="inlineStr">
        <is>
          <t>由本页统一维护；业务表下拉不得硬编码。</t>
        </is>
      </c>
    </row>
    <row r="55">
      <c r="A55" t="inlineStr">
        <is>
          <t>路径类型</t>
        </is>
      </c>
      <c r="B55" t="inlineStr">
        <is>
          <t>小径</t>
        </is>
      </c>
      <c r="C55" t="inlineStr">
        <is>
          <t>由本页统一维护；业务表下拉不得硬编码。</t>
        </is>
      </c>
    </row>
    <row r="56">
      <c r="A56" t="inlineStr">
        <is>
          <t>路径类型</t>
        </is>
      </c>
      <c r="B56" t="inlineStr">
        <is>
          <t>桥梁连接</t>
        </is>
      </c>
      <c r="C56" t="inlineStr">
        <is>
          <t>由本页统一维护；业务表下拉不得硬编码。</t>
        </is>
      </c>
    </row>
    <row r="57">
      <c r="A57" t="inlineStr">
        <is>
          <t>路径类型</t>
        </is>
      </c>
      <c r="B57" t="inlineStr">
        <is>
          <t>渡河路线</t>
        </is>
      </c>
      <c r="C57" t="inlineStr">
        <is>
          <t>由本页统一维护；业务表下拉不得硬编码。</t>
        </is>
      </c>
    </row>
    <row r="58">
      <c r="A58" t="inlineStr">
        <is>
          <t>路径类型</t>
        </is>
      </c>
      <c r="B58" t="inlineStr">
        <is>
          <t>主航线</t>
        </is>
      </c>
      <c r="C58" t="inlineStr">
        <is>
          <t>由本页统一维护；业务表下拉不得硬编码。</t>
        </is>
      </c>
    </row>
    <row r="59">
      <c r="A59" t="inlineStr">
        <is>
          <t>路径类型</t>
        </is>
      </c>
      <c r="B59" t="inlineStr">
        <is>
          <t>支航线</t>
        </is>
      </c>
      <c r="C59" t="inlineStr">
        <is>
          <t>由本页统一维护；业务表下拉不得硬编码。</t>
        </is>
      </c>
    </row>
    <row r="60">
      <c r="A60" t="inlineStr">
        <is>
          <t>路径类型</t>
        </is>
      </c>
      <c r="B60" t="inlineStr">
        <is>
          <t>运河</t>
        </is>
      </c>
      <c r="C60" t="inlineStr">
        <is>
          <t>由本页统一维护；业务表下拉不得硬编码。</t>
        </is>
      </c>
    </row>
    <row r="61">
      <c r="A61" t="inlineStr">
        <is>
          <t>路径类型</t>
        </is>
      </c>
      <c r="B61" t="inlineStr">
        <is>
          <t>临时军路</t>
        </is>
      </c>
      <c r="C61" t="inlineStr">
        <is>
          <t>由本页统一维护；业务表下拉不得硬编码。</t>
        </is>
      </c>
    </row>
    <row r="62">
      <c r="A62" t="inlineStr">
        <is>
          <t>路径类型</t>
        </is>
      </c>
      <c r="B62" t="inlineStr">
        <is>
          <t>补给线</t>
        </is>
      </c>
      <c r="C62" t="inlineStr">
        <is>
          <t>由本页统一维护；业务表下拉不得硬编码。</t>
        </is>
      </c>
    </row>
    <row r="63">
      <c r="A63" t="inlineStr">
        <is>
          <t>路径类型</t>
        </is>
      </c>
      <c r="B63" t="inlineStr">
        <is>
          <t>其他</t>
        </is>
      </c>
      <c r="C63" t="inlineStr">
        <is>
          <t>由本页统一维护；业务表下拉不得硬编码。</t>
        </is>
      </c>
    </row>
    <row r="64">
      <c r="A64" t="inlineStr">
        <is>
          <t>建筑类型</t>
        </is>
      </c>
      <c r="B64" t="inlineStr">
        <is>
          <t>官署</t>
        </is>
      </c>
      <c r="C64" t="inlineStr">
        <is>
          <t>由本页统一维护；业务表下拉不得硬编码。</t>
        </is>
      </c>
    </row>
    <row r="65">
      <c r="A65" t="inlineStr">
        <is>
          <t>建筑类型</t>
        </is>
      </c>
      <c r="B65" t="inlineStr">
        <is>
          <t>县衙</t>
        </is>
      </c>
      <c r="C65" t="inlineStr">
        <is>
          <t>由本页统一维护；业务表下拉不得硬编码。</t>
        </is>
      </c>
    </row>
    <row r="66">
      <c r="A66" t="inlineStr">
        <is>
          <t>建筑类型</t>
        </is>
      </c>
      <c r="B66" t="inlineStr">
        <is>
          <t>官仓</t>
        </is>
      </c>
      <c r="C66" t="inlineStr">
        <is>
          <t>由本页统一维护；业务表下拉不得硬编码。</t>
        </is>
      </c>
    </row>
    <row r="67">
      <c r="A67" t="inlineStr">
        <is>
          <t>建筑类型</t>
        </is>
      </c>
      <c r="B67" t="inlineStr">
        <is>
          <t>武库</t>
        </is>
      </c>
      <c r="C67" t="inlineStr">
        <is>
          <t>由本页统一维护；业务表下拉不得硬编码。</t>
        </is>
      </c>
    </row>
    <row r="68">
      <c r="A68" t="inlineStr">
        <is>
          <t>建筑类型</t>
        </is>
      </c>
      <c r="B68" t="inlineStr">
        <is>
          <t>驿馆</t>
        </is>
      </c>
      <c r="C68" t="inlineStr">
        <is>
          <t>由本页统一维护；业务表下拉不得硬编码。</t>
        </is>
      </c>
    </row>
    <row r="69">
      <c r="A69" t="inlineStr">
        <is>
          <t>建筑类型</t>
        </is>
      </c>
      <c r="B69" t="inlineStr">
        <is>
          <t>军营</t>
        </is>
      </c>
      <c r="C69" t="inlineStr">
        <is>
          <t>由本页统一维护；业务表下拉不得硬编码。</t>
        </is>
      </c>
    </row>
    <row r="70">
      <c r="A70" t="inlineStr">
        <is>
          <t>建筑类型</t>
        </is>
      </c>
      <c r="B70" t="inlineStr">
        <is>
          <t>市场</t>
        </is>
      </c>
      <c r="C70" t="inlineStr">
        <is>
          <t>由本页统一维护；业务表下拉不得硬编码。</t>
        </is>
      </c>
    </row>
    <row r="71">
      <c r="A71" t="inlineStr">
        <is>
          <t>建筑类型</t>
        </is>
      </c>
      <c r="B71" t="inlineStr">
        <is>
          <t>店铺</t>
        </is>
      </c>
      <c r="C71" t="inlineStr">
        <is>
          <t>由本页统一维护；业务表下拉不得硬编码。</t>
        </is>
      </c>
    </row>
    <row r="72">
      <c r="A72" t="inlineStr">
        <is>
          <t>建筑类型</t>
        </is>
      </c>
      <c r="B72" t="inlineStr">
        <is>
          <t>商号</t>
        </is>
      </c>
      <c r="C72" t="inlineStr">
        <is>
          <t>由本页统一维护；业务表下拉不得硬编码。</t>
        </is>
      </c>
    </row>
    <row r="73">
      <c r="A73" t="inlineStr">
        <is>
          <t>建筑类型</t>
        </is>
      </c>
      <c r="B73" t="inlineStr">
        <is>
          <t>仓库</t>
        </is>
      </c>
      <c r="C73" t="inlineStr">
        <is>
          <t>由本页统一维护；业务表下拉不得硬编码。</t>
        </is>
      </c>
    </row>
    <row r="74">
      <c r="A74" t="inlineStr">
        <is>
          <t>建筑类型</t>
        </is>
      </c>
      <c r="B74" t="inlineStr">
        <is>
          <t>客舍</t>
        </is>
      </c>
      <c r="C74" t="inlineStr">
        <is>
          <t>由本页统一维护；业务表下拉不得硬编码。</t>
        </is>
      </c>
    </row>
    <row r="75">
      <c r="A75" t="inlineStr">
        <is>
          <t>建筑类型</t>
        </is>
      </c>
      <c r="B75" t="inlineStr">
        <is>
          <t>酒肆</t>
        </is>
      </c>
      <c r="C75" t="inlineStr">
        <is>
          <t>由本页统一维护；业务表下拉不得硬编码。</t>
        </is>
      </c>
    </row>
    <row r="76">
      <c r="A76" t="inlineStr">
        <is>
          <t>建筑类型</t>
        </is>
      </c>
      <c r="B76" t="inlineStr">
        <is>
          <t>码头</t>
        </is>
      </c>
      <c r="C76" t="inlineStr">
        <is>
          <t>由本页统一维护；业务表下拉不得硬编码。</t>
        </is>
      </c>
    </row>
    <row r="77">
      <c r="A77" t="inlineStr">
        <is>
          <t>建筑类型</t>
        </is>
      </c>
      <c r="B77" t="inlineStr">
        <is>
          <t>车马场</t>
        </is>
      </c>
      <c r="C77" t="inlineStr">
        <is>
          <t>由本页统一维护；业务表下拉不得硬编码。</t>
        </is>
      </c>
    </row>
    <row r="78">
      <c r="A78" t="inlineStr">
        <is>
          <t>建筑类型</t>
        </is>
      </c>
      <c r="B78" t="inlineStr">
        <is>
          <t>医馆</t>
        </is>
      </c>
      <c r="C78" t="inlineStr">
        <is>
          <t>由本页统一维护；业务表下拉不得硬编码。</t>
        </is>
      </c>
    </row>
    <row r="79">
      <c r="A79" t="inlineStr">
        <is>
          <t>建筑类型</t>
        </is>
      </c>
      <c r="B79" t="inlineStr">
        <is>
          <t>私塾</t>
        </is>
      </c>
      <c r="C79" t="inlineStr">
        <is>
          <t>由本页统一维护；业务表下拉不得硬编码。</t>
        </is>
      </c>
    </row>
    <row r="80">
      <c r="A80" t="inlineStr">
        <is>
          <t>建筑类型</t>
        </is>
      </c>
      <c r="B80" t="inlineStr">
        <is>
          <t>住宅</t>
        </is>
      </c>
      <c r="C80" t="inlineStr">
        <is>
          <t>由本页统一维护；业务表下拉不得硬编码。</t>
        </is>
      </c>
    </row>
    <row r="81">
      <c r="A81" t="inlineStr">
        <is>
          <t>建筑类型</t>
        </is>
      </c>
      <c r="B81" t="inlineStr">
        <is>
          <t>豪族宅院</t>
        </is>
      </c>
      <c r="C81" t="inlineStr">
        <is>
          <t>由本页统一维护；业务表下拉不得硬编码。</t>
        </is>
      </c>
    </row>
    <row r="82">
      <c r="A82" t="inlineStr">
        <is>
          <t>建筑类型</t>
        </is>
      </c>
      <c r="B82" t="inlineStr">
        <is>
          <t>祠堂</t>
        </is>
      </c>
      <c r="C82" t="inlineStr">
        <is>
          <t>由本页统一维护；业务表下拉不得硬编码。</t>
        </is>
      </c>
    </row>
    <row r="83">
      <c r="A83" t="inlineStr">
        <is>
          <t>建筑类型</t>
        </is>
      </c>
      <c r="B83" t="inlineStr">
        <is>
          <t>寺观</t>
        </is>
      </c>
      <c r="C83" t="inlineStr">
        <is>
          <t>由本页统一维护；业务表下拉不得硬编码。</t>
        </is>
      </c>
    </row>
    <row r="84">
      <c r="A84" t="inlineStr">
        <is>
          <t>建筑类型</t>
        </is>
      </c>
      <c r="B84" t="inlineStr">
        <is>
          <t>铁匠铺</t>
        </is>
      </c>
      <c r="C84" t="inlineStr">
        <is>
          <t>由本页统一维护；业务表下拉不得硬编码。</t>
        </is>
      </c>
    </row>
    <row r="85">
      <c r="A85" t="inlineStr">
        <is>
          <t>建筑类型</t>
        </is>
      </c>
      <c r="B85" t="inlineStr">
        <is>
          <t>木工作坊</t>
        </is>
      </c>
      <c r="C85" t="inlineStr">
        <is>
          <t>由本页统一维护；业务表下拉不得硬编码。</t>
        </is>
      </c>
    </row>
    <row r="86">
      <c r="A86" t="inlineStr">
        <is>
          <t>建筑类型</t>
        </is>
      </c>
      <c r="B86" t="inlineStr">
        <is>
          <t>织坊</t>
        </is>
      </c>
      <c r="C86" t="inlineStr">
        <is>
          <t>由本页统一维护；业务表下拉不得硬编码。</t>
        </is>
      </c>
    </row>
    <row r="87">
      <c r="A87" t="inlineStr">
        <is>
          <t>建筑类型</t>
        </is>
      </c>
      <c r="B87" t="inlineStr">
        <is>
          <t>染坊</t>
        </is>
      </c>
      <c r="C87" t="inlineStr">
        <is>
          <t>由本页统一维护；业务表下拉不得硬编码。</t>
        </is>
      </c>
    </row>
    <row r="88">
      <c r="A88" t="inlineStr">
        <is>
          <t>建筑类型</t>
        </is>
      </c>
      <c r="B88" t="inlineStr">
        <is>
          <t>皮革作坊</t>
        </is>
      </c>
      <c r="C88" t="inlineStr">
        <is>
          <t>由本页统一维护；业务表下拉不得硬编码。</t>
        </is>
      </c>
    </row>
    <row r="89">
      <c r="A89" t="inlineStr">
        <is>
          <t>建筑类型</t>
        </is>
      </c>
      <c r="B89" t="inlineStr">
        <is>
          <t>磨坊</t>
        </is>
      </c>
      <c r="C89" t="inlineStr">
        <is>
          <t>由本页统一维护；业务表下拉不得硬编码。</t>
        </is>
      </c>
    </row>
    <row r="90">
      <c r="A90" t="inlineStr">
        <is>
          <t>建筑类型</t>
        </is>
      </c>
      <c r="B90" t="inlineStr">
        <is>
          <t>酿造场</t>
        </is>
      </c>
      <c r="C90" t="inlineStr">
        <is>
          <t>由本页统一维护；业务表下拉不得硬编码。</t>
        </is>
      </c>
    </row>
    <row r="91">
      <c r="A91" t="inlineStr">
        <is>
          <t>建筑类型</t>
        </is>
      </c>
      <c r="B91" t="inlineStr">
        <is>
          <t>屠宰场</t>
        </is>
      </c>
      <c r="C91" t="inlineStr">
        <is>
          <t>由本页统一维护；业务表下拉不得硬编码。</t>
        </is>
      </c>
    </row>
    <row r="92">
      <c r="A92" t="inlineStr">
        <is>
          <t>建筑类型</t>
        </is>
      </c>
      <c r="B92" t="inlineStr">
        <is>
          <t>窑场</t>
        </is>
      </c>
      <c r="C92" t="inlineStr">
        <is>
          <t>由本页统一维护；业务表下拉不得硬编码。</t>
        </is>
      </c>
    </row>
    <row r="93">
      <c r="A93" t="inlineStr">
        <is>
          <t>建筑类型</t>
        </is>
      </c>
      <c r="B93" t="inlineStr">
        <is>
          <t>冶炼场</t>
        </is>
      </c>
      <c r="C93" t="inlineStr">
        <is>
          <t>由本页统一维护；业务表下拉不得硬编码。</t>
        </is>
      </c>
    </row>
    <row r="94">
      <c r="A94" t="inlineStr">
        <is>
          <t>建筑类型</t>
        </is>
      </c>
      <c r="B94" t="inlineStr">
        <is>
          <t>农舍</t>
        </is>
      </c>
      <c r="C94" t="inlineStr">
        <is>
          <t>由本页统一维护；业务表下拉不得硬编码。</t>
        </is>
      </c>
    </row>
    <row r="95">
      <c r="A95" t="inlineStr">
        <is>
          <t>建筑类型</t>
        </is>
      </c>
      <c r="B95" t="inlineStr">
        <is>
          <t>牲畜棚</t>
        </is>
      </c>
      <c r="C95" t="inlineStr">
        <is>
          <t>由本页统一维护；业务表下拉不得硬编码。</t>
        </is>
      </c>
    </row>
    <row r="96">
      <c r="A96" t="inlineStr">
        <is>
          <t>建筑类型</t>
        </is>
      </c>
      <c r="B96" t="inlineStr">
        <is>
          <t>其他</t>
        </is>
      </c>
      <c r="C96" t="inlineStr">
        <is>
          <t>由本页统一维护；业务表下拉不得硬编码。</t>
        </is>
      </c>
    </row>
    <row r="97">
      <c r="A97" t="inlineStr">
        <is>
          <t>状态编码</t>
        </is>
      </c>
      <c r="B97" t="inlineStr">
        <is>
          <t>NORMAL</t>
        </is>
      </c>
      <c r="C97" t="inlineStr">
        <is>
          <t>由本页统一维护；业务表下拉不得硬编码。</t>
        </is>
      </c>
    </row>
    <row r="98">
      <c r="A98" t="inlineStr">
        <is>
          <t>状态编码</t>
        </is>
      </c>
      <c r="B98" t="inlineStr">
        <is>
          <t>CLOSED</t>
        </is>
      </c>
      <c r="C98" t="inlineStr">
        <is>
          <t>由本页统一维护；业务表下拉不得硬编码。</t>
        </is>
      </c>
    </row>
    <row r="99">
      <c r="A99" t="inlineStr">
        <is>
          <t>状态编码</t>
        </is>
      </c>
      <c r="B99" t="inlineStr">
        <is>
          <t>BUILDING</t>
        </is>
      </c>
      <c r="C99" t="inlineStr">
        <is>
          <t>由本页统一维护；业务表下拉不得硬编码。</t>
        </is>
      </c>
    </row>
    <row r="100">
      <c r="A100" t="inlineStr">
        <is>
          <t>状态编码</t>
        </is>
      </c>
      <c r="B100" t="inlineStr">
        <is>
          <t>EXPANDED</t>
        </is>
      </c>
      <c r="C100" t="inlineStr">
        <is>
          <t>由本页统一维护；业务表下拉不得硬编码。</t>
        </is>
      </c>
    </row>
    <row r="101">
      <c r="A101" t="inlineStr">
        <is>
          <t>状态编码</t>
        </is>
      </c>
      <c r="B101" t="inlineStr">
        <is>
          <t>DAMAGED</t>
        </is>
      </c>
      <c r="C101" t="inlineStr">
        <is>
          <t>由本页统一维护；业务表下拉不得硬编码。</t>
        </is>
      </c>
    </row>
    <row r="102">
      <c r="A102" t="inlineStr">
        <is>
          <t>状态编码</t>
        </is>
      </c>
      <c r="B102" t="inlineStr">
        <is>
          <t>BURNING</t>
        </is>
      </c>
      <c r="C102" t="inlineStr">
        <is>
          <t>由本页统一维护；业务表下拉不得硬编码。</t>
        </is>
      </c>
    </row>
    <row r="103">
      <c r="A103" t="inlineStr">
        <is>
          <t>状态编码</t>
        </is>
      </c>
      <c r="B103" t="inlineStr">
        <is>
          <t>ABANDONED</t>
        </is>
      </c>
      <c r="C103" t="inlineStr">
        <is>
          <t>由本页统一维护；业务表下拉不得硬编码。</t>
        </is>
      </c>
    </row>
    <row r="104">
      <c r="A104" t="inlineStr">
        <is>
          <t>状态编码</t>
        </is>
      </c>
      <c r="B104" t="inlineStr">
        <is>
          <t>OCCUPIED</t>
        </is>
      </c>
      <c r="C104" t="inlineStr">
        <is>
          <t>由本页统一维护；业务表下拉不得硬编码。</t>
        </is>
      </c>
    </row>
    <row r="105">
      <c r="A105" t="inlineStr">
        <is>
          <t>状态编码</t>
        </is>
      </c>
      <c r="B105" t="inlineStr">
        <is>
          <t>BESIEGED</t>
        </is>
      </c>
      <c r="C105" t="inlineStr">
        <is>
          <t>由本页统一维护；业务表下拉不得硬编码。</t>
        </is>
      </c>
    </row>
    <row r="106">
      <c r="A106" t="inlineStr">
        <is>
          <t>状态编码</t>
        </is>
      </c>
      <c r="B106" t="inlineStr">
        <is>
          <t>FLOODED</t>
        </is>
      </c>
      <c r="C106" t="inlineStr">
        <is>
          <t>由本页统一维护；业务表下拉不得硬编码。</t>
        </is>
      </c>
    </row>
    <row r="107">
      <c r="A107" t="inlineStr">
        <is>
          <t>状态编码</t>
        </is>
      </c>
      <c r="B107" t="inlineStr">
        <is>
          <t>LOOTED</t>
        </is>
      </c>
      <c r="C107" t="inlineStr">
        <is>
          <t>由本页统一维护；业务表下拉不得硬编码。</t>
        </is>
      </c>
    </row>
    <row r="108">
      <c r="A108" t="inlineStr">
        <is>
          <t>状态编码</t>
        </is>
      </c>
      <c r="B108" t="inlineStr">
        <is>
          <t>UNKNOWN</t>
        </is>
      </c>
      <c r="C108" t="inlineStr">
        <is>
          <t>由本页统一维护；业务表下拉不得硬编码。</t>
        </is>
      </c>
    </row>
    <row r="109">
      <c r="A109" t="inlineStr">
        <is>
          <t>审核状态</t>
        </is>
      </c>
      <c r="B109" t="inlineStr">
        <is>
          <t>未审核</t>
        </is>
      </c>
      <c r="C109" t="inlineStr">
        <is>
          <t>由本页统一维护；业务表下拉不得硬编码。</t>
        </is>
      </c>
    </row>
    <row r="110">
      <c r="A110" t="inlineStr">
        <is>
          <t>审核状态</t>
        </is>
      </c>
      <c r="B110" t="inlineStr">
        <is>
          <t>待审核</t>
        </is>
      </c>
      <c r="C110" t="inlineStr">
        <is>
          <t>由本页统一维护；业务表下拉不得硬编码。</t>
        </is>
      </c>
    </row>
    <row r="111">
      <c r="A111" t="inlineStr">
        <is>
          <t>审核状态</t>
        </is>
      </c>
      <c r="B111" t="inlineStr">
        <is>
          <t>审核中</t>
        </is>
      </c>
      <c r="C111" t="inlineStr">
        <is>
          <t>由本页统一维护；业务表下拉不得硬编码。</t>
        </is>
      </c>
    </row>
    <row r="112">
      <c r="A112" t="inlineStr">
        <is>
          <t>审核状态</t>
        </is>
      </c>
      <c r="B112" t="inlineStr">
        <is>
          <t>已通过</t>
        </is>
      </c>
      <c r="C112" t="inlineStr">
        <is>
          <t>由本页统一维护；业务表下拉不得硬编码。</t>
        </is>
      </c>
    </row>
    <row r="113">
      <c r="A113" t="inlineStr">
        <is>
          <t>审核状态</t>
        </is>
      </c>
      <c r="B113" t="inlineStr">
        <is>
          <t>有条件通过</t>
        </is>
      </c>
      <c r="C113" t="inlineStr">
        <is>
          <t>由本页统一维护；业务表下拉不得硬编码。</t>
        </is>
      </c>
    </row>
    <row r="114">
      <c r="A114" t="inlineStr">
        <is>
          <t>审核状态</t>
        </is>
      </c>
      <c r="B114" t="inlineStr">
        <is>
          <t>已驳回</t>
        </is>
      </c>
      <c r="C114" t="inlineStr">
        <is>
          <t>由本页统一维护；业务表下拉不得硬编码。</t>
        </is>
      </c>
    </row>
    <row r="115">
      <c r="A115" t="inlineStr">
        <is>
          <t>审核状态</t>
        </is>
      </c>
      <c r="B115" t="inlineStr">
        <is>
          <t>已废弃</t>
        </is>
      </c>
      <c r="C115" t="inlineStr">
        <is>
          <t>由本页统一维护；业务表下拉不得硬编码。</t>
        </is>
      </c>
    </row>
    <row r="116">
      <c r="A116" t="inlineStr">
        <is>
          <t>制作状态</t>
        </is>
      </c>
      <c r="B116" t="inlineStr">
        <is>
          <t>未开始</t>
        </is>
      </c>
      <c r="C116" t="inlineStr">
        <is>
          <t>由本页统一维护；业务表下拉不得硬编码。</t>
        </is>
      </c>
    </row>
    <row r="117">
      <c r="A117" t="inlineStr">
        <is>
          <t>制作状态</t>
        </is>
      </c>
      <c r="B117" t="inlineStr">
        <is>
          <t>草图</t>
        </is>
      </c>
      <c r="C117" t="inlineStr">
        <is>
          <t>由本页统一维护；业务表下拉不得硬编码。</t>
        </is>
      </c>
    </row>
    <row r="118">
      <c r="A118" t="inlineStr">
        <is>
          <t>制作状态</t>
        </is>
      </c>
      <c r="B118" t="inlineStr">
        <is>
          <t>确认稿</t>
        </is>
      </c>
      <c r="C118" t="inlineStr">
        <is>
          <t>由本页统一维护；业务表下拉不得硬编码。</t>
        </is>
      </c>
    </row>
    <row r="119">
      <c r="A119" t="inlineStr">
        <is>
          <t>制作状态</t>
        </is>
      </c>
      <c r="B119" t="inlineStr">
        <is>
          <t>制作中</t>
        </is>
      </c>
      <c r="C119" t="inlineStr">
        <is>
          <t>由本页统一维护；业务表下拉不得硬编码。</t>
        </is>
      </c>
    </row>
    <row r="120">
      <c r="A120" t="inlineStr">
        <is>
          <t>制作状态</t>
        </is>
      </c>
      <c r="B120" t="inlineStr">
        <is>
          <t>待审核</t>
        </is>
      </c>
      <c r="C120" t="inlineStr">
        <is>
          <t>由本页统一维护；业务表下拉不得硬编码。</t>
        </is>
      </c>
    </row>
    <row r="121">
      <c r="A121" t="inlineStr">
        <is>
          <t>制作状态</t>
        </is>
      </c>
      <c r="B121" t="inlineStr">
        <is>
          <t>返修</t>
        </is>
      </c>
      <c r="C121" t="inlineStr">
        <is>
          <t>由本页统一维护；业务表下拉不得硬编码。</t>
        </is>
      </c>
    </row>
    <row r="122">
      <c r="A122" t="inlineStr">
        <is>
          <t>制作状态</t>
        </is>
      </c>
      <c r="B122" t="inlineStr">
        <is>
          <t>已通过</t>
        </is>
      </c>
      <c r="C122" t="inlineStr">
        <is>
          <t>由本页统一维护；业务表下拉不得硬编码。</t>
        </is>
      </c>
    </row>
    <row r="123">
      <c r="A123" t="inlineStr">
        <is>
          <t>制作状态</t>
        </is>
      </c>
      <c r="B123" t="inlineStr">
        <is>
          <t>已废弃</t>
        </is>
      </c>
      <c r="C123" t="inlineStr">
        <is>
          <t>由本页统一维护；业务表下拉不得硬编码。</t>
        </is>
      </c>
    </row>
    <row r="124">
      <c r="A124" t="inlineStr">
        <is>
          <t>方向</t>
        </is>
      </c>
      <c r="B124" t="inlineStr">
        <is>
          <t>北</t>
        </is>
      </c>
      <c r="C124" t="inlineStr">
        <is>
          <t>由本页统一维护；业务表下拉不得硬编码。</t>
        </is>
      </c>
    </row>
    <row r="125">
      <c r="A125" t="inlineStr">
        <is>
          <t>方向</t>
        </is>
      </c>
      <c r="B125" t="inlineStr">
        <is>
          <t>东北</t>
        </is>
      </c>
      <c r="C125" t="inlineStr">
        <is>
          <t>由本页统一维护；业务表下拉不得硬编码。</t>
        </is>
      </c>
    </row>
    <row r="126">
      <c r="A126" t="inlineStr">
        <is>
          <t>方向</t>
        </is>
      </c>
      <c r="B126" t="inlineStr">
        <is>
          <t>东</t>
        </is>
      </c>
      <c r="C126" t="inlineStr">
        <is>
          <t>由本页统一维护；业务表下拉不得硬编码。</t>
        </is>
      </c>
    </row>
    <row r="127">
      <c r="A127" t="inlineStr">
        <is>
          <t>方向</t>
        </is>
      </c>
      <c r="B127" t="inlineStr">
        <is>
          <t>东南</t>
        </is>
      </c>
      <c r="C127" t="inlineStr">
        <is>
          <t>由本页统一维护；业务表下拉不得硬编码。</t>
        </is>
      </c>
    </row>
    <row r="128">
      <c r="A128" t="inlineStr">
        <is>
          <t>方向</t>
        </is>
      </c>
      <c r="B128" t="inlineStr">
        <is>
          <t>南</t>
        </is>
      </c>
      <c r="C128" t="inlineStr">
        <is>
          <t>由本页统一维护；业务表下拉不得硬编码。</t>
        </is>
      </c>
    </row>
    <row r="129">
      <c r="A129" t="inlineStr">
        <is>
          <t>方向</t>
        </is>
      </c>
      <c r="B129" t="inlineStr">
        <is>
          <t>西南</t>
        </is>
      </c>
      <c r="C129" t="inlineStr">
        <is>
          <t>由本页统一维护；业务表下拉不得硬编码。</t>
        </is>
      </c>
    </row>
    <row r="130">
      <c r="A130" t="inlineStr">
        <is>
          <t>方向</t>
        </is>
      </c>
      <c r="B130" t="inlineStr">
        <is>
          <t>西</t>
        </is>
      </c>
      <c r="C130" t="inlineStr">
        <is>
          <t>由本页统一维护；业务表下拉不得硬编码。</t>
        </is>
      </c>
    </row>
    <row r="131">
      <c r="A131" t="inlineStr">
        <is>
          <t>方向</t>
        </is>
      </c>
      <c r="B131" t="inlineStr">
        <is>
          <t>西北</t>
        </is>
      </c>
      <c r="C131" t="inlineStr">
        <is>
          <t>由本页统一维护；业务表下拉不得硬编码。</t>
        </is>
      </c>
    </row>
    <row r="132">
      <c r="A132" t="inlineStr">
        <is>
          <t>方向</t>
        </is>
      </c>
      <c r="B132" t="inlineStr">
        <is>
          <t>无</t>
        </is>
      </c>
      <c r="C132" t="inlineStr">
        <is>
          <t>由本页统一维护；业务表下拉不得硬编码。</t>
        </is>
      </c>
    </row>
    <row r="133">
      <c r="A133" t="inlineStr">
        <is>
          <t>几何类型</t>
        </is>
      </c>
      <c r="B133" t="inlineStr">
        <is>
          <t>点</t>
        </is>
      </c>
      <c r="C133" t="inlineStr">
        <is>
          <t>由本页统一维护；业务表下拉不得硬编码。</t>
        </is>
      </c>
    </row>
    <row r="134">
      <c r="A134" t="inlineStr">
        <is>
          <t>几何类型</t>
        </is>
      </c>
      <c r="B134" t="inlineStr">
        <is>
          <t>折线</t>
        </is>
      </c>
      <c r="C134" t="inlineStr">
        <is>
          <t>由本页统一维护；业务表下拉不得硬编码。</t>
        </is>
      </c>
    </row>
    <row r="135">
      <c r="A135" t="inlineStr">
        <is>
          <t>几何类型</t>
        </is>
      </c>
      <c r="B135" t="inlineStr">
        <is>
          <t>多边形</t>
        </is>
      </c>
      <c r="C135" t="inlineStr">
        <is>
          <t>由本页统一维护；业务表下拉不得硬编码。</t>
        </is>
      </c>
    </row>
    <row r="136">
      <c r="A136" t="inlineStr">
        <is>
          <t>几何类型</t>
        </is>
      </c>
      <c r="B136" t="inlineStr">
        <is>
          <t>复合几何</t>
        </is>
      </c>
      <c r="C136" t="inlineStr">
        <is>
          <t>由本页统一维护；业务表下拉不得硬编码。</t>
        </is>
      </c>
    </row>
    <row r="137">
      <c r="A137" t="inlineStr">
        <is>
          <t>布尔值</t>
        </is>
      </c>
      <c r="B137" t="inlineStr">
        <is>
          <t>是</t>
        </is>
      </c>
      <c r="C137" t="inlineStr">
        <is>
          <t>由本页统一维护；业务表下拉不得硬编码。</t>
        </is>
      </c>
    </row>
    <row r="138">
      <c r="A138" t="inlineStr">
        <is>
          <t>布尔值</t>
        </is>
      </c>
      <c r="B138" t="inlineStr">
        <is>
          <t>否</t>
        </is>
      </c>
      <c r="C138" t="inlineStr">
        <is>
          <t>由本页统一维护；业务表下拉不得硬编码。</t>
        </is>
      </c>
    </row>
    <row r="139">
      <c r="A139" t="inlineStr">
        <is>
          <t>显示规则</t>
        </is>
      </c>
      <c r="B139" t="inlineStr">
        <is>
          <t>是</t>
        </is>
      </c>
      <c r="C139" t="inlineStr">
        <is>
          <t>由本页统一维护；业务表下拉不得硬编码。</t>
        </is>
      </c>
    </row>
    <row r="140">
      <c r="A140" t="inlineStr">
        <is>
          <t>显示规则</t>
        </is>
      </c>
      <c r="B140" t="inlineStr">
        <is>
          <t>否</t>
        </is>
      </c>
      <c r="C140" t="inlineStr">
        <is>
          <t>由本页统一维护；业务表下拉不得硬编码。</t>
        </is>
      </c>
    </row>
    <row r="141">
      <c r="A141" t="inlineStr">
        <is>
          <t>显示规则</t>
        </is>
      </c>
      <c r="B141" t="inlineStr">
        <is>
          <t>条件显示</t>
        </is>
      </c>
      <c r="C141" t="inlineStr">
        <is>
          <t>由本页统一维护；业务表下拉不得硬编码。</t>
        </is>
      </c>
    </row>
    <row r="142">
      <c r="A142" t="inlineStr">
        <is>
          <t>显示规则</t>
        </is>
      </c>
      <c r="B142" t="inlineStr">
        <is>
          <t>情报决定</t>
        </is>
      </c>
      <c r="C142" t="inlineStr">
        <is>
          <t>由本页统一维护；业务表下拉不得硬编码。</t>
        </is>
      </c>
    </row>
    <row r="143">
      <c r="A143" t="inlineStr">
        <is>
          <t>锚点规则</t>
        </is>
      </c>
      <c r="B143" t="inlineStr">
        <is>
          <t>底部中心</t>
        </is>
      </c>
      <c r="C143" t="inlineStr">
        <is>
          <t>由本页统一维护；业务表下拉不得硬编码。</t>
        </is>
      </c>
    </row>
    <row r="144">
      <c r="A144" t="inlineStr">
        <is>
          <t>锚点规则</t>
        </is>
      </c>
      <c r="B144" t="inlineStr">
        <is>
          <t>几何中心</t>
        </is>
      </c>
      <c r="C144" t="inlineStr">
        <is>
          <t>由本页统一维护；业务表下拉不得硬编码。</t>
        </is>
      </c>
    </row>
    <row r="145">
      <c r="A145" t="inlineStr">
        <is>
          <t>锚点规则</t>
        </is>
      </c>
      <c r="B145" t="inlineStr">
        <is>
          <t>入口中心</t>
        </is>
      </c>
      <c r="C145" t="inlineStr">
        <is>
          <t>由本页统一维护；业务表下拉不得硬编码。</t>
        </is>
      </c>
    </row>
    <row r="146">
      <c r="A146" t="inlineStr">
        <is>
          <t>锚点规则</t>
        </is>
      </c>
      <c r="B146" t="inlineStr">
        <is>
          <t>道路连接点</t>
        </is>
      </c>
      <c r="C146" t="inlineStr">
        <is>
          <t>由本页统一维护；业务表下拉不得硬编码。</t>
        </is>
      </c>
    </row>
    <row r="147">
      <c r="A147" t="inlineStr">
        <is>
          <t>锚点规则</t>
        </is>
      </c>
      <c r="B147" t="inlineStr">
        <is>
          <t>水线中心</t>
        </is>
      </c>
      <c r="C147" t="inlineStr">
        <is>
          <t>由本页统一维护；业务表下拉不得硬编码。</t>
        </is>
      </c>
    </row>
    <row r="148">
      <c r="A148" t="inlineStr">
        <is>
          <t>锚点规则</t>
        </is>
      </c>
      <c r="B148" t="inlineStr">
        <is>
          <t>自定义</t>
        </is>
      </c>
      <c r="C148" t="inlineStr">
        <is>
          <t>由本页统一维护；业务表下拉不得硬编码。</t>
        </is>
      </c>
    </row>
    <row r="149">
      <c r="A149" t="inlineStr">
        <is>
          <t>通行状态</t>
        </is>
      </c>
      <c r="B149" t="inlineStr">
        <is>
          <t>正常</t>
        </is>
      </c>
      <c r="C149" t="inlineStr">
        <is>
          <t>由本页统一维护；业务表下拉不得硬编码。</t>
        </is>
      </c>
    </row>
    <row r="150">
      <c r="A150" t="inlineStr">
        <is>
          <t>通行状态</t>
        </is>
      </c>
      <c r="B150" t="inlineStr">
        <is>
          <t>拥堵</t>
        </is>
      </c>
      <c r="C150" t="inlineStr">
        <is>
          <t>由本页统一维护；业务表下拉不得硬编码。</t>
        </is>
      </c>
    </row>
    <row r="151">
      <c r="A151" t="inlineStr">
        <is>
          <t>通行状态</t>
        </is>
      </c>
      <c r="B151" t="inlineStr">
        <is>
          <t>受损</t>
        </is>
      </c>
      <c r="C151" t="inlineStr">
        <is>
          <t>由本页统一维护；业务表下拉不得硬编码。</t>
        </is>
      </c>
    </row>
    <row r="152">
      <c r="A152" t="inlineStr">
        <is>
          <t>通行状态</t>
        </is>
      </c>
      <c r="B152" t="inlineStr">
        <is>
          <t>阻断</t>
        </is>
      </c>
      <c r="C152" t="inlineStr">
        <is>
          <t>由本页统一维护；业务表下拉不得硬编码。</t>
        </is>
      </c>
    </row>
    <row r="153">
      <c r="A153" t="inlineStr">
        <is>
          <t>通行状态</t>
        </is>
      </c>
      <c r="B153" t="inlineStr">
        <is>
          <t>封锁</t>
        </is>
      </c>
      <c r="C153" t="inlineStr">
        <is>
          <t>由本页统一维护；业务表下拉不得硬编码。</t>
        </is>
      </c>
    </row>
    <row r="154">
      <c r="A154" t="inlineStr">
        <is>
          <t>通行状态</t>
        </is>
      </c>
      <c r="B154" t="inlineStr">
        <is>
          <t>施工</t>
        </is>
      </c>
      <c r="C154" t="inlineStr">
        <is>
          <t>由本页统一维护；业务表下拉不得硬编码。</t>
        </is>
      </c>
    </row>
    <row r="155">
      <c r="A155" t="inlineStr">
        <is>
          <t>通行状态</t>
        </is>
      </c>
      <c r="B155" t="inlineStr">
        <is>
          <t>废弃</t>
        </is>
      </c>
      <c r="C155" t="inlineStr">
        <is>
          <t>由本页统一维护；业务表下拉不得硬编码。</t>
        </is>
      </c>
    </row>
    <row r="156">
      <c r="A156" t="inlineStr">
        <is>
          <t>通行状态</t>
        </is>
      </c>
      <c r="B156" t="inlineStr">
        <is>
          <t>未知</t>
        </is>
      </c>
      <c r="C156" t="inlineStr">
        <is>
          <t>由本页统一维护；业务表下拉不得硬编码。</t>
        </is>
      </c>
    </row>
    <row r="157">
      <c r="A157" t="inlineStr">
        <is>
          <t>容量等级</t>
        </is>
      </c>
      <c r="B157" t="inlineStr">
        <is>
          <t>极低</t>
        </is>
      </c>
      <c r="C157" t="inlineStr">
        <is>
          <t>由本页统一维护；业务表下拉不得硬编码。</t>
        </is>
      </c>
    </row>
    <row r="158">
      <c r="A158" t="inlineStr">
        <is>
          <t>容量等级</t>
        </is>
      </c>
      <c r="B158" t="inlineStr">
        <is>
          <t>低</t>
        </is>
      </c>
      <c r="C158" t="inlineStr">
        <is>
          <t>由本页统一维护；业务表下拉不得硬编码。</t>
        </is>
      </c>
    </row>
    <row r="159">
      <c r="A159" t="inlineStr">
        <is>
          <t>容量等级</t>
        </is>
      </c>
      <c r="B159" t="inlineStr">
        <is>
          <t>中</t>
        </is>
      </c>
      <c r="C159" t="inlineStr">
        <is>
          <t>由本页统一维护；业务表下拉不得硬编码。</t>
        </is>
      </c>
    </row>
    <row r="160">
      <c r="A160" t="inlineStr">
        <is>
          <t>容量等级</t>
        </is>
      </c>
      <c r="B160" t="inlineStr">
        <is>
          <t>高</t>
        </is>
      </c>
      <c r="C160" t="inlineStr">
        <is>
          <t>由本页统一维护；业务表下拉不得硬编码。</t>
        </is>
      </c>
    </row>
    <row r="161">
      <c r="A161" t="inlineStr">
        <is>
          <t>容量等级</t>
        </is>
      </c>
      <c r="B161" t="inlineStr">
        <is>
          <t>极高</t>
        </is>
      </c>
      <c r="C161" t="inlineStr">
        <is>
          <t>由本页统一维护；业务表下拉不得硬编码。</t>
        </is>
      </c>
    </row>
    <row r="162">
      <c r="A162" t="inlineStr">
        <is>
          <t>文件格式</t>
        </is>
      </c>
      <c r="B162" t="inlineStr">
        <is>
          <t>PSB</t>
        </is>
      </c>
      <c r="C162" t="inlineStr">
        <is>
          <t>由本页统一维护；业务表下拉不得硬编码。</t>
        </is>
      </c>
    </row>
    <row r="163">
      <c r="A163" t="inlineStr">
        <is>
          <t>文件格式</t>
        </is>
      </c>
      <c r="B163" t="inlineStr">
        <is>
          <t>PSD</t>
        </is>
      </c>
      <c r="C163" t="inlineStr">
        <is>
          <t>由本页统一维护；业务表下拉不得硬编码。</t>
        </is>
      </c>
    </row>
    <row r="164">
      <c r="A164" t="inlineStr">
        <is>
          <t>文件格式</t>
        </is>
      </c>
      <c r="B164" t="inlineStr">
        <is>
          <t>AI</t>
        </is>
      </c>
      <c r="C164" t="inlineStr">
        <is>
          <t>由本页统一维护；业务表下拉不得硬编码。</t>
        </is>
      </c>
    </row>
    <row r="165">
      <c r="A165" t="inlineStr">
        <is>
          <t>文件格式</t>
        </is>
      </c>
      <c r="B165" t="inlineStr">
        <is>
          <t>SVG</t>
        </is>
      </c>
      <c r="C165" t="inlineStr">
        <is>
          <t>由本页统一维护；业务表下拉不得硬编码。</t>
        </is>
      </c>
    </row>
    <row r="166">
      <c r="A166" t="inlineStr">
        <is>
          <t>文件格式</t>
        </is>
      </c>
      <c r="B166" t="inlineStr">
        <is>
          <t>BLEND</t>
        </is>
      </c>
      <c r="C166" t="inlineStr">
        <is>
          <t>由本页统一维护；业务表下拉不得硬编码。</t>
        </is>
      </c>
    </row>
    <row r="167">
      <c r="A167" t="inlineStr">
        <is>
          <t>文件格式</t>
        </is>
      </c>
      <c r="B167" t="inlineStr">
        <is>
          <t>PNG</t>
        </is>
      </c>
      <c r="C167" t="inlineStr">
        <is>
          <t>由本页统一维护；业务表下拉不得硬编码。</t>
        </is>
      </c>
    </row>
    <row r="168">
      <c r="A168" t="inlineStr">
        <is>
          <t>文件格式</t>
        </is>
      </c>
      <c r="B168" t="inlineStr">
        <is>
          <t>WEBP</t>
        </is>
      </c>
      <c r="C168" t="inlineStr">
        <is>
          <t>由本页统一维护；业务表下拉不得硬编码。</t>
        </is>
      </c>
    </row>
    <row r="169">
      <c r="A169" t="inlineStr">
        <is>
          <t>文件格式</t>
        </is>
      </c>
      <c r="B169" t="inlineStr">
        <is>
          <t>JPG</t>
        </is>
      </c>
      <c r="C169" t="inlineStr">
        <is>
          <t>由本页统一维护；业务表下拉不得硬编码。</t>
        </is>
      </c>
    </row>
    <row r="170">
      <c r="A170" t="inlineStr">
        <is>
          <t>文件格式</t>
        </is>
      </c>
      <c r="B170" t="inlineStr">
        <is>
          <t>其他</t>
        </is>
      </c>
      <c r="C170" t="inlineStr">
        <is>
          <t>由本页统一维护；业务表下拉不得硬编码。</t>
        </is>
      </c>
    </row>
    <row r="171">
      <c r="A171" t="inlineStr">
        <is>
          <t>资产类别</t>
        </is>
      </c>
      <c r="B171" t="inlineStr">
        <is>
          <t>主体</t>
        </is>
      </c>
      <c r="C171" t="inlineStr">
        <is>
          <t>由本页统一维护；业务表下拉不得硬编码。</t>
        </is>
      </c>
    </row>
    <row r="172">
      <c r="A172" t="inlineStr">
        <is>
          <t>资产类别</t>
        </is>
      </c>
      <c r="B172" t="inlineStr">
        <is>
          <t>覆盖层</t>
        </is>
      </c>
      <c r="C172" t="inlineStr">
        <is>
          <t>由本页统一维护；业务表下拉不得硬编码。</t>
        </is>
      </c>
    </row>
    <row r="173">
      <c r="A173" t="inlineStr">
        <is>
          <t>资产类别</t>
        </is>
      </c>
      <c r="B173" t="inlineStr">
        <is>
          <t>阴影</t>
        </is>
      </c>
      <c r="C173" t="inlineStr">
        <is>
          <t>由本页统一维护；业务表下拉不得硬编码。</t>
        </is>
      </c>
    </row>
    <row r="174">
      <c r="A174" t="inlineStr">
        <is>
          <t>资产类别</t>
        </is>
      </c>
      <c r="B174" t="inlineStr">
        <is>
          <t>文字</t>
        </is>
      </c>
      <c r="C174" t="inlineStr">
        <is>
          <t>由本页统一维护；业务表下拉不得硬编码。</t>
        </is>
      </c>
    </row>
    <row r="175">
      <c r="A175" t="inlineStr">
        <is>
          <t>资产类别</t>
        </is>
      </c>
      <c r="B175" t="inlineStr">
        <is>
          <t>旗帜</t>
        </is>
      </c>
      <c r="C175" t="inlineStr">
        <is>
          <t>由本页统一维护；业务表下拉不得硬编码。</t>
        </is>
      </c>
    </row>
    <row r="176">
      <c r="A176" t="inlineStr">
        <is>
          <t>资产类别</t>
        </is>
      </c>
      <c r="B176" t="inlineStr">
        <is>
          <t>所有权颜色</t>
        </is>
      </c>
      <c r="C176" t="inlineStr">
        <is>
          <t>由本页统一维护；业务表下拉不得硬编码。</t>
        </is>
      </c>
    </row>
    <row r="177">
      <c r="A177" t="inlineStr">
        <is>
          <t>资产类别</t>
        </is>
      </c>
      <c r="B177" t="inlineStr">
        <is>
          <t>图标</t>
        </is>
      </c>
      <c r="C177" t="inlineStr">
        <is>
          <t>由本页统一维护；业务表下拉不得硬编码。</t>
        </is>
      </c>
    </row>
    <row r="178">
      <c r="A178" t="inlineStr">
        <is>
          <t>资产类别</t>
        </is>
      </c>
      <c r="B178" t="inlineStr">
        <is>
          <t>轮廓</t>
        </is>
      </c>
      <c r="C178" t="inlineStr">
        <is>
          <t>由本页统一维护；业务表下拉不得硬编码。</t>
        </is>
      </c>
    </row>
    <row r="179">
      <c r="A179" t="inlineStr">
        <is>
          <t>资产类别</t>
        </is>
      </c>
      <c r="B179" t="inlineStr">
        <is>
          <t>室内图</t>
        </is>
      </c>
      <c r="C179" t="inlineStr">
        <is>
          <t>由本页统一维护；业务表下拉不得硬编码。</t>
        </is>
      </c>
    </row>
    <row r="180">
      <c r="A180" t="inlineStr">
        <is>
          <t>资产类别</t>
        </is>
      </c>
      <c r="B180" t="inlineStr">
        <is>
          <t>其他</t>
        </is>
      </c>
      <c r="C180" t="inlineStr">
        <is>
          <t>由本页统一维护；业务表下拉不得硬编码。</t>
        </is>
      </c>
    </row>
    <row r="181">
      <c r="A181" t="inlineStr">
        <is>
          <t>检查结果</t>
        </is>
      </c>
      <c r="B181" t="inlineStr">
        <is>
          <t>未检查</t>
        </is>
      </c>
      <c r="C181" t="inlineStr">
        <is>
          <t>由本页统一维护；业务表下拉不得硬编码。</t>
        </is>
      </c>
    </row>
    <row r="182">
      <c r="A182" t="inlineStr">
        <is>
          <t>检查结果</t>
        </is>
      </c>
      <c r="B182" t="inlineStr">
        <is>
          <t>通过</t>
        </is>
      </c>
      <c r="C182" t="inlineStr">
        <is>
          <t>由本页统一维护；业务表下拉不得硬编码。</t>
        </is>
      </c>
    </row>
    <row r="183">
      <c r="A183" t="inlineStr">
        <is>
          <t>检查结果</t>
        </is>
      </c>
      <c r="B183" t="inlineStr">
        <is>
          <t>有条件通过</t>
        </is>
      </c>
      <c r="C183" t="inlineStr">
        <is>
          <t>由本页统一维护；业务表下拉不得硬编码。</t>
        </is>
      </c>
    </row>
    <row r="184">
      <c r="A184" t="inlineStr">
        <is>
          <t>检查结果</t>
        </is>
      </c>
      <c r="B184" t="inlineStr">
        <is>
          <t>不通过</t>
        </is>
      </c>
      <c r="C184" t="inlineStr">
        <is>
          <t>由本页统一维护；业务表下拉不得硬编码。</t>
        </is>
      </c>
    </row>
    <row r="185">
      <c r="A185" t="inlineStr">
        <is>
          <t>检查结果</t>
        </is>
      </c>
      <c r="B185" t="inlineStr">
        <is>
          <t>不适用</t>
        </is>
      </c>
      <c r="C185" t="inlineStr">
        <is>
          <t>由本页统一维护；业务表下拉不得硬编码。</t>
        </is>
      </c>
    </row>
    <row r="186">
      <c r="A186" t="inlineStr">
        <is>
          <t>检查类型</t>
        </is>
      </c>
      <c r="B186" t="inlineStr">
        <is>
          <t>河流连续</t>
        </is>
      </c>
      <c r="C186" t="inlineStr">
        <is>
          <t>由本页统一维护；业务表下拉不得硬编码。</t>
        </is>
      </c>
    </row>
    <row r="187">
      <c r="A187" t="inlineStr">
        <is>
          <t>检查类型</t>
        </is>
      </c>
      <c r="B187" t="inlineStr">
        <is>
          <t>道路连续</t>
        </is>
      </c>
      <c r="C187" t="inlineStr">
        <is>
          <t>由本页统一维护；业务表下拉不得硬编码。</t>
        </is>
      </c>
    </row>
    <row r="188">
      <c r="A188" t="inlineStr">
        <is>
          <t>检查类型</t>
        </is>
      </c>
      <c r="B188" t="inlineStr">
        <is>
          <t>城市位置</t>
        </is>
      </c>
      <c r="C188" t="inlineStr">
        <is>
          <t>由本页统一维护；业务表下拉不得硬编码。</t>
        </is>
      </c>
    </row>
    <row r="189">
      <c r="A189" t="inlineStr">
        <is>
          <t>检查类型</t>
        </is>
      </c>
      <c r="B189" t="inlineStr">
        <is>
          <t>城门方向</t>
        </is>
      </c>
      <c r="C189" t="inlineStr">
        <is>
          <t>由本页统一维护；业务表下拉不得硬编码。</t>
        </is>
      </c>
    </row>
    <row r="190">
      <c r="A190" t="inlineStr">
        <is>
          <t>检查类型</t>
        </is>
      </c>
      <c r="B190" t="inlineStr">
        <is>
          <t>桥梁连接</t>
        </is>
      </c>
      <c r="C190" t="inlineStr">
        <is>
          <t>由本页统一维护；业务表下拉不得硬编码。</t>
        </is>
      </c>
    </row>
    <row r="191">
      <c r="A191" t="inlineStr">
        <is>
          <t>检查类型</t>
        </is>
      </c>
      <c r="B191" t="inlineStr">
        <is>
          <t>港口临水</t>
        </is>
      </c>
      <c r="C191" t="inlineStr">
        <is>
          <t>由本页统一维护；业务表下拉不得硬编码。</t>
        </is>
      </c>
    </row>
    <row r="192">
      <c r="A192" t="inlineStr">
        <is>
          <t>检查类型</t>
        </is>
      </c>
      <c r="B192" t="inlineStr">
        <is>
          <t>建筑位置</t>
        </is>
      </c>
      <c r="C192" t="inlineStr">
        <is>
          <t>由本页统一维护；业务表下拉不得硬编码。</t>
        </is>
      </c>
    </row>
    <row r="193">
      <c r="A193" t="inlineStr">
        <is>
          <t>检查类型</t>
        </is>
      </c>
      <c r="B193" t="inlineStr">
        <is>
          <t>入口方向</t>
        </is>
      </c>
      <c r="C193" t="inlineStr">
        <is>
          <t>由本页统一维护；业务表下拉不得硬编码。</t>
        </is>
      </c>
    </row>
    <row r="194">
      <c r="A194" t="inlineStr">
        <is>
          <t>检查类型</t>
        </is>
      </c>
      <c r="B194" t="inlineStr">
        <is>
          <t>战场继承</t>
        </is>
      </c>
      <c r="C194" t="inlineStr">
        <is>
          <t>由本页统一维护；业务表下拉不得硬编码。</t>
        </is>
      </c>
    </row>
    <row r="195">
      <c r="A195" t="inlineStr">
        <is>
          <t>检查类型</t>
        </is>
      </c>
      <c r="B195" t="inlineStr">
        <is>
          <t>损毁反馈</t>
        </is>
      </c>
      <c r="C195" t="inlineStr">
        <is>
          <t>由本页统一维护；业务表下拉不得硬编码。</t>
        </is>
      </c>
    </row>
    <row r="196">
      <c r="A196" t="inlineStr">
        <is>
          <t>检查类型</t>
        </is>
      </c>
      <c r="B196" t="inlineStr">
        <is>
          <t>其他</t>
        </is>
      </c>
      <c r="C196" t="inlineStr">
        <is>
          <t>由本页统一维护；业务表下拉不得硬编码。</t>
        </is>
      </c>
    </row>
    <row r="197">
      <c r="A197" t="inlineStr">
        <is>
          <t>道路等级</t>
        </is>
      </c>
      <c r="B197" t="inlineStr">
        <is>
          <t>一级</t>
        </is>
      </c>
      <c r="C197" t="inlineStr">
        <is>
          <t>由本页统一维护；业务表下拉不得硬编码。</t>
        </is>
      </c>
    </row>
    <row r="198">
      <c r="A198" t="inlineStr">
        <is>
          <t>道路等级</t>
        </is>
      </c>
      <c r="B198" t="inlineStr">
        <is>
          <t>二级</t>
        </is>
      </c>
      <c r="C198" t="inlineStr">
        <is>
          <t>由本页统一维护；业务表下拉不得硬编码。</t>
        </is>
      </c>
    </row>
    <row r="199">
      <c r="A199" t="inlineStr">
        <is>
          <t>道路等级</t>
        </is>
      </c>
      <c r="B199" t="inlineStr">
        <is>
          <t>三级</t>
        </is>
      </c>
      <c r="C199" t="inlineStr">
        <is>
          <t>由本页统一维护；业务表下拉不得硬编码。</t>
        </is>
      </c>
    </row>
    <row r="200">
      <c r="A200" t="inlineStr">
        <is>
          <t>道路等级</t>
        </is>
      </c>
      <c r="B200" t="inlineStr">
        <is>
          <t>四级</t>
        </is>
      </c>
      <c r="C200" t="inlineStr">
        <is>
          <t>由本页统一维护；业务表下拉不得硬编码。</t>
        </is>
      </c>
    </row>
    <row r="201">
      <c r="A201" t="inlineStr">
        <is>
          <t>道路等级</t>
        </is>
      </c>
      <c r="B201" t="inlineStr">
        <is>
          <t>临时</t>
        </is>
      </c>
      <c r="C201" t="inlineStr">
        <is>
          <t>由本页统一维护；业务表下拉不得硬编码。</t>
        </is>
      </c>
    </row>
    <row r="202">
      <c r="A202" t="inlineStr">
        <is>
          <t>道路等级</t>
        </is>
      </c>
      <c r="B202" t="inlineStr">
        <is>
          <t>未知</t>
        </is>
      </c>
      <c r="C202" t="inlineStr">
        <is>
          <t>由本页统一维护；业务表下拉不得硬编码。</t>
        </is>
      </c>
    </row>
    <row r="203">
      <c r="A203" t="inlineStr">
        <is>
          <t>建设状态</t>
        </is>
      </c>
      <c r="B203" t="inlineStr">
        <is>
          <t>规划</t>
        </is>
      </c>
      <c r="C203" t="inlineStr">
        <is>
          <t>由本页统一维护；业务表下拉不得硬编码。</t>
        </is>
      </c>
    </row>
    <row r="204">
      <c r="A204" t="inlineStr">
        <is>
          <t>建设状态</t>
        </is>
      </c>
      <c r="B204" t="inlineStr">
        <is>
          <t>建设中</t>
        </is>
      </c>
      <c r="C204" t="inlineStr">
        <is>
          <t>由本页统一维护；业务表下拉不得硬编码。</t>
        </is>
      </c>
    </row>
    <row r="205">
      <c r="A205" t="inlineStr">
        <is>
          <t>建设状态</t>
        </is>
      </c>
      <c r="B205" t="inlineStr">
        <is>
          <t>已完成</t>
        </is>
      </c>
      <c r="C205" t="inlineStr">
        <is>
          <t>由本页统一维护；业务表下拉不得硬编码。</t>
        </is>
      </c>
    </row>
    <row r="206">
      <c r="A206" t="inlineStr">
        <is>
          <t>建设状态</t>
        </is>
      </c>
      <c r="B206" t="inlineStr">
        <is>
          <t>受损</t>
        </is>
      </c>
      <c r="C206" t="inlineStr">
        <is>
          <t>由本页统一维护；业务表下拉不得硬编码。</t>
        </is>
      </c>
    </row>
    <row r="207">
      <c r="A207" t="inlineStr">
        <is>
          <t>建设状态</t>
        </is>
      </c>
      <c r="B207" t="inlineStr">
        <is>
          <t>废弃</t>
        </is>
      </c>
      <c r="C207" t="inlineStr">
        <is>
          <t>由本页统一维护；业务表下拉不得硬编码。</t>
        </is>
      </c>
    </row>
    <row r="208">
      <c r="A208" t="inlineStr">
        <is>
          <t>建设状态</t>
        </is>
      </c>
      <c r="B208" t="inlineStr">
        <is>
          <t>未知</t>
        </is>
      </c>
      <c r="C208" t="inlineStr">
        <is>
          <t>由本页统一维护；业务表下拉不得硬编码。</t>
        </is>
      </c>
    </row>
    <row r="209">
      <c r="A209" t="inlineStr">
        <is>
          <t>状态类别</t>
        </is>
      </c>
      <c r="B209" t="inlineStr">
        <is>
          <t>常态</t>
        </is>
      </c>
      <c r="C209" t="inlineStr">
        <is>
          <t>由本页统一维护；业务表下拉不得硬编码。</t>
        </is>
      </c>
    </row>
    <row r="210">
      <c r="A210" t="inlineStr">
        <is>
          <t>状态类别</t>
        </is>
      </c>
      <c r="B210" t="inlineStr">
        <is>
          <t>运营</t>
        </is>
      </c>
      <c r="C210" t="inlineStr">
        <is>
          <t>由本页统一维护；业务表下拉不得硬编码。</t>
        </is>
      </c>
    </row>
    <row r="211">
      <c r="A211" t="inlineStr">
        <is>
          <t>状态类别</t>
        </is>
      </c>
      <c r="B211" t="inlineStr">
        <is>
          <t>建设</t>
        </is>
      </c>
      <c r="C211" t="inlineStr">
        <is>
          <t>由本页统一维护；业务表下拉不得硬编码。</t>
        </is>
      </c>
    </row>
    <row r="212">
      <c r="A212" t="inlineStr">
        <is>
          <t>状态类别</t>
        </is>
      </c>
      <c r="B212" t="inlineStr">
        <is>
          <t>损毁</t>
        </is>
      </c>
      <c r="C212" t="inlineStr">
        <is>
          <t>由本页统一维护；业务表下拉不得硬编码。</t>
        </is>
      </c>
    </row>
    <row r="213">
      <c r="A213" t="inlineStr">
        <is>
          <t>状态类别</t>
        </is>
      </c>
      <c r="B213" t="inlineStr">
        <is>
          <t>灾害</t>
        </is>
      </c>
      <c r="C213" t="inlineStr">
        <is>
          <t>由本页统一维护；业务表下拉不得硬编码。</t>
        </is>
      </c>
    </row>
    <row r="214">
      <c r="A214" t="inlineStr">
        <is>
          <t>状态类别</t>
        </is>
      </c>
      <c r="B214" t="inlineStr">
        <is>
          <t>占领</t>
        </is>
      </c>
      <c r="C214" t="inlineStr">
        <is>
          <t>由本页统一维护；业务表下拉不得硬编码。</t>
        </is>
      </c>
    </row>
    <row r="215">
      <c r="A215" t="inlineStr">
        <is>
          <t>状态类别</t>
        </is>
      </c>
      <c r="B215" t="inlineStr">
        <is>
          <t>情报</t>
        </is>
      </c>
      <c r="C215" t="inlineStr">
        <is>
          <t>由本页统一维护；业务表下拉不得硬编码。</t>
        </is>
      </c>
    </row>
    <row r="216">
      <c r="A216" t="inlineStr">
        <is>
          <t>状态类别</t>
        </is>
      </c>
      <c r="B216" t="inlineStr">
        <is>
          <t>其他</t>
        </is>
      </c>
      <c r="C216" t="inlineStr">
        <is>
          <t>由本页统一维护；业务表下拉不得硬编码。</t>
        </is>
      </c>
    </row>
    <row r="217">
      <c r="A217" t="inlineStr">
        <is>
          <t>制作格式</t>
        </is>
      </c>
      <c r="B217" t="inlineStr">
        <is>
          <t>PSB</t>
        </is>
      </c>
      <c r="C217" t="inlineStr">
        <is>
          <t>由本页统一维护；业务表下拉不得硬编码。</t>
        </is>
      </c>
    </row>
    <row r="218">
      <c r="A218" t="inlineStr">
        <is>
          <t>制作格式</t>
        </is>
      </c>
      <c r="B218" t="inlineStr">
        <is>
          <t>PSD</t>
        </is>
      </c>
      <c r="C218" t="inlineStr">
        <is>
          <t>由本页统一维护；业务表下拉不得硬编码。</t>
        </is>
      </c>
    </row>
    <row r="219">
      <c r="A219" t="inlineStr">
        <is>
          <t>制作格式</t>
        </is>
      </c>
      <c r="B219" t="inlineStr">
        <is>
          <t>AI</t>
        </is>
      </c>
      <c r="C219" t="inlineStr">
        <is>
          <t>由本页统一维护；业务表下拉不得硬编码。</t>
        </is>
      </c>
    </row>
    <row r="220">
      <c r="A220" t="inlineStr">
        <is>
          <t>制作格式</t>
        </is>
      </c>
      <c r="B220" t="inlineStr">
        <is>
          <t>SVG</t>
        </is>
      </c>
      <c r="C220" t="inlineStr">
        <is>
          <t>由本页统一维护；业务表下拉不得硬编码。</t>
        </is>
      </c>
    </row>
    <row r="221">
      <c r="A221" t="inlineStr">
        <is>
          <t>制作格式</t>
        </is>
      </c>
      <c r="B221" t="inlineStr">
        <is>
          <t>BLEND</t>
        </is>
      </c>
      <c r="C221" t="inlineStr">
        <is>
          <t>由本页统一维护；业务表下拉不得硬编码。</t>
        </is>
      </c>
    </row>
    <row r="222">
      <c r="A222" t="inlineStr">
        <is>
          <t>制作格式</t>
        </is>
      </c>
      <c r="B222" t="inlineStr">
        <is>
          <t>其他</t>
        </is>
      </c>
      <c r="C222" t="inlineStr">
        <is>
          <t>由本页统一维护；业务表下拉不得硬编码。</t>
        </is>
      </c>
    </row>
    <row r="223">
      <c r="A223" t="inlineStr">
        <is>
          <t>导出格式</t>
        </is>
      </c>
      <c r="B223" t="inlineStr">
        <is>
          <t>PNG</t>
        </is>
      </c>
      <c r="C223" t="inlineStr">
        <is>
          <t>由本页统一维护；业务表下拉不得硬编码。</t>
        </is>
      </c>
    </row>
    <row r="224">
      <c r="A224" t="inlineStr">
        <is>
          <t>导出格式</t>
        </is>
      </c>
      <c r="B224" t="inlineStr">
        <is>
          <t>WEBP</t>
        </is>
      </c>
      <c r="C224" t="inlineStr">
        <is>
          <t>由本页统一维护；业务表下拉不得硬编码。</t>
        </is>
      </c>
    </row>
    <row r="225">
      <c r="A225" t="inlineStr">
        <is>
          <t>导出格式</t>
        </is>
      </c>
      <c r="B225" t="inlineStr">
        <is>
          <t>JPG</t>
        </is>
      </c>
      <c r="C225" t="inlineStr">
        <is>
          <t>由本页统一维护；业务表下拉不得硬编码。</t>
        </is>
      </c>
    </row>
    <row r="226">
      <c r="A226" t="inlineStr">
        <is>
          <t>导出格式</t>
        </is>
      </c>
      <c r="B226" t="inlineStr">
        <is>
          <t>其他</t>
        </is>
      </c>
      <c r="C226" t="inlineStr">
        <is>
          <t>由本页统一维护；业务表下拉不得硬编码。</t>
        </is>
      </c>
    </row>
  </sheetData>
  <pageMargins left="0.75" right="0.75" top="1" bottom="1" header="0.5" footer="0.5"/>
  <pageSetup orientation="landscape" fitToHeight="0" fitToWidth="1"/>
  <headerFooter>
    <oddHeader>&amp;C&amp;9 02_地图坐标与对象锚点表.xlsx</oddHeader>
    <oddFooter>&amp;C第 &amp;P 页 / 共 &amp;N 页&amp;RV0.1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4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24" customWidth="1" min="4" max="4"/>
    <col width="14" customWidth="1" min="5" max="5"/>
    <col width="42" customWidth="1" min="6" max="6"/>
    <col width="38" customWidth="1" min="7" max="7"/>
    <col width="12" customWidth="1" min="8" max="8"/>
  </cols>
  <sheetData>
    <row r="1" ht="34" customHeight="1">
      <c r="A1" s="4" t="inlineStr">
        <is>
          <t>问题编号</t>
        </is>
      </c>
      <c r="B1" s="4" t="inlineStr">
        <is>
          <t>问题级别</t>
        </is>
      </c>
      <c r="C1" s="4" t="inlineStr">
        <is>
          <t>工作表</t>
        </is>
      </c>
      <c r="D1" s="4" t="inlineStr">
        <is>
          <t>对象ID</t>
        </is>
      </c>
      <c r="E1" s="4" t="inlineStr">
        <is>
          <t>字段</t>
        </is>
      </c>
      <c r="F1" s="4" t="inlineStr">
        <is>
          <t>问题说明</t>
        </is>
      </c>
      <c r="G1" s="4" t="inlineStr">
        <is>
          <t>建议处理</t>
        </is>
      </c>
      <c r="H1" s="4" t="inlineStr">
        <is>
          <t>校验状态</t>
        </is>
      </c>
    </row>
    <row r="2">
      <c r="A2" s="14">
        <f>IF(F2&lt;&gt;"","ISSUE-"&amp;TEXT(ROW()-1,"00000"),"")</f>
        <v/>
      </c>
      <c r="B2" s="14">
        <f>IF(F2&lt;&gt;"","错误","")</f>
        <v/>
      </c>
      <c r="C2" s="14">
        <f>IF('02_固定地理'!A2&lt;&gt;"","02_固定地理","")</f>
        <v/>
      </c>
      <c r="D2" s="14">
        <f>IF('02_固定地理'!A2&lt;&gt;"",'02_固定地理'!A2,"")</f>
        <v/>
      </c>
      <c r="E2" s="14">
        <f>IF(F2&lt;&gt;"","综合校验","")</f>
        <v/>
      </c>
      <c r="F2" s="14">
        <f>IF('02_固定地理'!A2&lt;&gt;"",IF('02_固定地理'!A2="","缺少对象ID；","")&amp;IF('02_固定地理'!B2="","缺少中文名称；","")&amp;IF('02_固定地理'!D2="","缺少对象类型；","")&amp;IF(AND('02_固定地理'!F2&lt;&gt;"",OR('02_固定地理'!F2&lt;0,'02_固定地理'!F2&gt;WorldWidth)),"世界中心X越界；","")&amp;IF(AND('02_固定地理'!G2&lt;&gt;"",OR('02_固定地理'!G2&lt;0,'02_固定地理'!G2&gt;WorldHeight)),"世界中心Y越界；","")&amp;IF(AND('02_固定地理'!H2&lt;&gt;"",'02_固定地理'!J2&lt;&gt;"",'02_固定地理'!H2&gt;'02_固定地理'!J2),"最小X大于最大X；","")&amp;IF(AND('02_固定地理'!I2&lt;&gt;"",'02_固定地理'!K2&lt;&gt;"",'02_固定地理'!I2&gt;'02_固定地理'!K2),"最小Y大于最大Y；","")&amp;IF(AND('02_固定地理'!E2&lt;&gt;"",COUNTIF('02_固定地理'!$A$2:$A$501,'02_固定地理'!E2)=0),"父级对象不存在；","")&amp;IF(AND('02_固定地理'!A2&lt;&gt;"",COUNTIF('02_固定地理'!$A$2:$A$501,'02_固定地理'!A2)&gt;1),"ID重复；",""),"")</f>
        <v/>
      </c>
      <c r="G2" s="14">
        <f>IF(F2&lt;&gt;"","按字段批注、数据字典和来源记录修正后复核","")</f>
        <v/>
      </c>
      <c r="H2" s="14">
        <f>IF(F2&lt;&gt;"","待处理","")</f>
        <v/>
      </c>
    </row>
    <row r="3">
      <c r="A3" s="14">
        <f>IF(F3&lt;&gt;"","ISSUE-"&amp;TEXT(ROW()-1,"00000"),"")</f>
        <v/>
      </c>
      <c r="B3" s="14">
        <f>IF(F3&lt;&gt;"","错误","")</f>
        <v/>
      </c>
      <c r="C3" s="14">
        <f>IF('02_固定地理'!A3&lt;&gt;"","02_固定地理","")</f>
        <v/>
      </c>
      <c r="D3" s="14">
        <f>IF('02_固定地理'!A3&lt;&gt;"",'02_固定地理'!A3,"")</f>
        <v/>
      </c>
      <c r="E3" s="14">
        <f>IF(F3&lt;&gt;"","综合校验","")</f>
        <v/>
      </c>
      <c r="F3" s="14">
        <f>IF('02_固定地理'!A3&lt;&gt;"",IF('02_固定地理'!A3="","缺少对象ID；","")&amp;IF('02_固定地理'!B3="","缺少中文名称；","")&amp;IF('02_固定地理'!D3="","缺少对象类型；","")&amp;IF(AND('02_固定地理'!F3&lt;&gt;"",OR('02_固定地理'!F3&lt;0,'02_固定地理'!F3&gt;WorldWidth)),"世界中心X越界；","")&amp;IF(AND('02_固定地理'!G3&lt;&gt;"",OR('02_固定地理'!G3&lt;0,'02_固定地理'!G3&gt;WorldHeight)),"世界中心Y越界；","")&amp;IF(AND('02_固定地理'!H3&lt;&gt;"",'02_固定地理'!J3&lt;&gt;"",'02_固定地理'!H3&gt;'02_固定地理'!J3),"最小X大于最大X；","")&amp;IF(AND('02_固定地理'!I3&lt;&gt;"",'02_固定地理'!K3&lt;&gt;"",'02_固定地理'!I3&gt;'02_固定地理'!K3),"最小Y大于最大Y；","")&amp;IF(AND('02_固定地理'!E3&lt;&gt;"",COUNTIF('02_固定地理'!$A$2:$A$501,'02_固定地理'!E3)=0),"父级对象不存在；","")&amp;IF(AND('02_固定地理'!A3&lt;&gt;"",COUNTIF('02_固定地理'!$A$2:$A$501,'02_固定地理'!A3)&gt;1),"ID重复；",""),"")</f>
        <v/>
      </c>
      <c r="G3" s="14">
        <f>IF(F3&lt;&gt;"","按字段批注、数据字典和来源记录修正后复核","")</f>
        <v/>
      </c>
      <c r="H3" s="14">
        <f>IF(F3&lt;&gt;"","待处理","")</f>
        <v/>
      </c>
    </row>
    <row r="4">
      <c r="A4" s="14">
        <f>IF(F4&lt;&gt;"","ISSUE-"&amp;TEXT(ROW()-1,"00000"),"")</f>
        <v/>
      </c>
      <c r="B4" s="14">
        <f>IF(F4&lt;&gt;"","错误","")</f>
        <v/>
      </c>
      <c r="C4" s="14">
        <f>IF('02_固定地理'!A4&lt;&gt;"","02_固定地理","")</f>
        <v/>
      </c>
      <c r="D4" s="14">
        <f>IF('02_固定地理'!A4&lt;&gt;"",'02_固定地理'!A4,"")</f>
        <v/>
      </c>
      <c r="E4" s="14">
        <f>IF(F4&lt;&gt;"","综合校验","")</f>
        <v/>
      </c>
      <c r="F4" s="14">
        <f>IF('02_固定地理'!A4&lt;&gt;"",IF('02_固定地理'!A4="","缺少对象ID；","")&amp;IF('02_固定地理'!B4="","缺少中文名称；","")&amp;IF('02_固定地理'!D4="","缺少对象类型；","")&amp;IF(AND('02_固定地理'!F4&lt;&gt;"",OR('02_固定地理'!F4&lt;0,'02_固定地理'!F4&gt;WorldWidth)),"世界中心X越界；","")&amp;IF(AND('02_固定地理'!G4&lt;&gt;"",OR('02_固定地理'!G4&lt;0,'02_固定地理'!G4&gt;WorldHeight)),"世界中心Y越界；","")&amp;IF(AND('02_固定地理'!H4&lt;&gt;"",'02_固定地理'!J4&lt;&gt;"",'02_固定地理'!H4&gt;'02_固定地理'!J4),"最小X大于最大X；","")&amp;IF(AND('02_固定地理'!I4&lt;&gt;"",'02_固定地理'!K4&lt;&gt;"",'02_固定地理'!I4&gt;'02_固定地理'!K4),"最小Y大于最大Y；","")&amp;IF(AND('02_固定地理'!E4&lt;&gt;"",COUNTIF('02_固定地理'!$A$2:$A$501,'02_固定地理'!E4)=0),"父级对象不存在；","")&amp;IF(AND('02_固定地理'!A4&lt;&gt;"",COUNTIF('02_固定地理'!$A$2:$A$501,'02_固定地理'!A4)&gt;1),"ID重复；",""),"")</f>
        <v/>
      </c>
      <c r="G4" s="14">
        <f>IF(F4&lt;&gt;"","按字段批注、数据字典和来源记录修正后复核","")</f>
        <v/>
      </c>
      <c r="H4" s="14">
        <f>IF(F4&lt;&gt;"","待处理","")</f>
        <v/>
      </c>
    </row>
    <row r="5">
      <c r="A5" s="14">
        <f>IF(F5&lt;&gt;"","ISSUE-"&amp;TEXT(ROW()-1,"00000"),"")</f>
        <v/>
      </c>
      <c r="B5" s="14">
        <f>IF(F5&lt;&gt;"","错误","")</f>
        <v/>
      </c>
      <c r="C5" s="14">
        <f>IF('02_固定地理'!A5&lt;&gt;"","02_固定地理","")</f>
        <v/>
      </c>
      <c r="D5" s="14">
        <f>IF('02_固定地理'!A5&lt;&gt;"",'02_固定地理'!A5,"")</f>
        <v/>
      </c>
      <c r="E5" s="14">
        <f>IF(F5&lt;&gt;"","综合校验","")</f>
        <v/>
      </c>
      <c r="F5" s="14">
        <f>IF('02_固定地理'!A5&lt;&gt;"",IF('02_固定地理'!A5="","缺少对象ID；","")&amp;IF('02_固定地理'!B5="","缺少中文名称；","")&amp;IF('02_固定地理'!D5="","缺少对象类型；","")&amp;IF(AND('02_固定地理'!F5&lt;&gt;"",OR('02_固定地理'!F5&lt;0,'02_固定地理'!F5&gt;WorldWidth)),"世界中心X越界；","")&amp;IF(AND('02_固定地理'!G5&lt;&gt;"",OR('02_固定地理'!G5&lt;0,'02_固定地理'!G5&gt;WorldHeight)),"世界中心Y越界；","")&amp;IF(AND('02_固定地理'!H5&lt;&gt;"",'02_固定地理'!J5&lt;&gt;"",'02_固定地理'!H5&gt;'02_固定地理'!J5),"最小X大于最大X；","")&amp;IF(AND('02_固定地理'!I5&lt;&gt;"",'02_固定地理'!K5&lt;&gt;"",'02_固定地理'!I5&gt;'02_固定地理'!K5),"最小Y大于最大Y；","")&amp;IF(AND('02_固定地理'!E5&lt;&gt;"",COUNTIF('02_固定地理'!$A$2:$A$501,'02_固定地理'!E5)=0),"父级对象不存在；","")&amp;IF(AND('02_固定地理'!A5&lt;&gt;"",COUNTIF('02_固定地理'!$A$2:$A$501,'02_固定地理'!A5)&gt;1),"ID重复；",""),"")</f>
        <v/>
      </c>
      <c r="G5" s="14">
        <f>IF(F5&lt;&gt;"","按字段批注、数据字典和来源记录修正后复核","")</f>
        <v/>
      </c>
      <c r="H5" s="14">
        <f>IF(F5&lt;&gt;"","待处理","")</f>
        <v/>
      </c>
    </row>
    <row r="6">
      <c r="A6" s="14">
        <f>IF(F6&lt;&gt;"","ISSUE-"&amp;TEXT(ROW()-1,"00000"),"")</f>
        <v/>
      </c>
      <c r="B6" s="14">
        <f>IF(F6&lt;&gt;"","错误","")</f>
        <v/>
      </c>
      <c r="C6" s="14">
        <f>IF('02_固定地理'!A6&lt;&gt;"","02_固定地理","")</f>
        <v/>
      </c>
      <c r="D6" s="14">
        <f>IF('02_固定地理'!A6&lt;&gt;"",'02_固定地理'!A6,"")</f>
        <v/>
      </c>
      <c r="E6" s="14">
        <f>IF(F6&lt;&gt;"","综合校验","")</f>
        <v/>
      </c>
      <c r="F6" s="14">
        <f>IF('02_固定地理'!A6&lt;&gt;"",IF('02_固定地理'!A6="","缺少对象ID；","")&amp;IF('02_固定地理'!B6="","缺少中文名称；","")&amp;IF('02_固定地理'!D6="","缺少对象类型；","")&amp;IF(AND('02_固定地理'!F6&lt;&gt;"",OR('02_固定地理'!F6&lt;0,'02_固定地理'!F6&gt;WorldWidth)),"世界中心X越界；","")&amp;IF(AND('02_固定地理'!G6&lt;&gt;"",OR('02_固定地理'!G6&lt;0,'02_固定地理'!G6&gt;WorldHeight)),"世界中心Y越界；","")&amp;IF(AND('02_固定地理'!H6&lt;&gt;"",'02_固定地理'!J6&lt;&gt;"",'02_固定地理'!H6&gt;'02_固定地理'!J6),"最小X大于最大X；","")&amp;IF(AND('02_固定地理'!I6&lt;&gt;"",'02_固定地理'!K6&lt;&gt;"",'02_固定地理'!I6&gt;'02_固定地理'!K6),"最小Y大于最大Y；","")&amp;IF(AND('02_固定地理'!E6&lt;&gt;"",COUNTIF('02_固定地理'!$A$2:$A$501,'02_固定地理'!E6)=0),"父级对象不存在；","")&amp;IF(AND('02_固定地理'!A6&lt;&gt;"",COUNTIF('02_固定地理'!$A$2:$A$501,'02_固定地理'!A6)&gt;1),"ID重复；",""),"")</f>
        <v/>
      </c>
      <c r="G6" s="14">
        <f>IF(F6&lt;&gt;"","按字段批注、数据字典和来源记录修正后复核","")</f>
        <v/>
      </c>
      <c r="H6" s="14">
        <f>IF(F6&lt;&gt;"","待处理","")</f>
        <v/>
      </c>
    </row>
    <row r="7">
      <c r="A7" s="14">
        <f>IF(F7&lt;&gt;"","ISSUE-"&amp;TEXT(ROW()-1,"00000"),"")</f>
        <v/>
      </c>
      <c r="B7" s="14">
        <f>IF(F7&lt;&gt;"","错误","")</f>
        <v/>
      </c>
      <c r="C7" s="14">
        <f>IF('02_固定地理'!A7&lt;&gt;"","02_固定地理","")</f>
        <v/>
      </c>
      <c r="D7" s="14">
        <f>IF('02_固定地理'!A7&lt;&gt;"",'02_固定地理'!A7,"")</f>
        <v/>
      </c>
      <c r="E7" s="14">
        <f>IF(F7&lt;&gt;"","综合校验","")</f>
        <v/>
      </c>
      <c r="F7" s="14">
        <f>IF('02_固定地理'!A7&lt;&gt;"",IF('02_固定地理'!A7="","缺少对象ID；","")&amp;IF('02_固定地理'!B7="","缺少中文名称；","")&amp;IF('02_固定地理'!D7="","缺少对象类型；","")&amp;IF(AND('02_固定地理'!F7&lt;&gt;"",OR('02_固定地理'!F7&lt;0,'02_固定地理'!F7&gt;WorldWidth)),"世界中心X越界；","")&amp;IF(AND('02_固定地理'!G7&lt;&gt;"",OR('02_固定地理'!G7&lt;0,'02_固定地理'!G7&gt;WorldHeight)),"世界中心Y越界；","")&amp;IF(AND('02_固定地理'!H7&lt;&gt;"",'02_固定地理'!J7&lt;&gt;"",'02_固定地理'!H7&gt;'02_固定地理'!J7),"最小X大于最大X；","")&amp;IF(AND('02_固定地理'!I7&lt;&gt;"",'02_固定地理'!K7&lt;&gt;"",'02_固定地理'!I7&gt;'02_固定地理'!K7),"最小Y大于最大Y；","")&amp;IF(AND('02_固定地理'!E7&lt;&gt;"",COUNTIF('02_固定地理'!$A$2:$A$501,'02_固定地理'!E7)=0),"父级对象不存在；","")&amp;IF(AND('02_固定地理'!A7&lt;&gt;"",COUNTIF('02_固定地理'!$A$2:$A$501,'02_固定地理'!A7)&gt;1),"ID重复；",""),"")</f>
        <v/>
      </c>
      <c r="G7" s="14">
        <f>IF(F7&lt;&gt;"","按字段批注、数据字典和来源记录修正后复核","")</f>
        <v/>
      </c>
      <c r="H7" s="14">
        <f>IF(F7&lt;&gt;"","待处理","")</f>
        <v/>
      </c>
    </row>
    <row r="8">
      <c r="A8" s="14">
        <f>IF(F8&lt;&gt;"","ISSUE-"&amp;TEXT(ROW()-1,"00000"),"")</f>
        <v/>
      </c>
      <c r="B8" s="14">
        <f>IF(F8&lt;&gt;"","错误","")</f>
        <v/>
      </c>
      <c r="C8" s="14">
        <f>IF('02_固定地理'!A8&lt;&gt;"","02_固定地理","")</f>
        <v/>
      </c>
      <c r="D8" s="14">
        <f>IF('02_固定地理'!A8&lt;&gt;"",'02_固定地理'!A8,"")</f>
        <v/>
      </c>
      <c r="E8" s="14">
        <f>IF(F8&lt;&gt;"","综合校验","")</f>
        <v/>
      </c>
      <c r="F8" s="14">
        <f>IF('02_固定地理'!A8&lt;&gt;"",IF('02_固定地理'!A8="","缺少对象ID；","")&amp;IF('02_固定地理'!B8="","缺少中文名称；","")&amp;IF('02_固定地理'!D8="","缺少对象类型；","")&amp;IF(AND('02_固定地理'!F8&lt;&gt;"",OR('02_固定地理'!F8&lt;0,'02_固定地理'!F8&gt;WorldWidth)),"世界中心X越界；","")&amp;IF(AND('02_固定地理'!G8&lt;&gt;"",OR('02_固定地理'!G8&lt;0,'02_固定地理'!G8&gt;WorldHeight)),"世界中心Y越界；","")&amp;IF(AND('02_固定地理'!H8&lt;&gt;"",'02_固定地理'!J8&lt;&gt;"",'02_固定地理'!H8&gt;'02_固定地理'!J8),"最小X大于最大X；","")&amp;IF(AND('02_固定地理'!I8&lt;&gt;"",'02_固定地理'!K8&lt;&gt;"",'02_固定地理'!I8&gt;'02_固定地理'!K8),"最小Y大于最大Y；","")&amp;IF(AND('02_固定地理'!E8&lt;&gt;"",COUNTIF('02_固定地理'!$A$2:$A$501,'02_固定地理'!E8)=0),"父级对象不存在；","")&amp;IF(AND('02_固定地理'!A8&lt;&gt;"",COUNTIF('02_固定地理'!$A$2:$A$501,'02_固定地理'!A8)&gt;1),"ID重复；",""),"")</f>
        <v/>
      </c>
      <c r="G8" s="14">
        <f>IF(F8&lt;&gt;"","按字段批注、数据字典和来源记录修正后复核","")</f>
        <v/>
      </c>
      <c r="H8" s="14">
        <f>IF(F8&lt;&gt;"","待处理","")</f>
        <v/>
      </c>
    </row>
    <row r="9">
      <c r="A9" s="14">
        <f>IF(F9&lt;&gt;"","ISSUE-"&amp;TEXT(ROW()-1,"00000"),"")</f>
        <v/>
      </c>
      <c r="B9" s="14">
        <f>IF(F9&lt;&gt;"","错误","")</f>
        <v/>
      </c>
      <c r="C9" s="14">
        <f>IF('02_固定地理'!A9&lt;&gt;"","02_固定地理","")</f>
        <v/>
      </c>
      <c r="D9" s="14">
        <f>IF('02_固定地理'!A9&lt;&gt;"",'02_固定地理'!A9,"")</f>
        <v/>
      </c>
      <c r="E9" s="14">
        <f>IF(F9&lt;&gt;"","综合校验","")</f>
        <v/>
      </c>
      <c r="F9" s="14">
        <f>IF('02_固定地理'!A9&lt;&gt;"",IF('02_固定地理'!A9="","缺少对象ID；","")&amp;IF('02_固定地理'!B9="","缺少中文名称；","")&amp;IF('02_固定地理'!D9="","缺少对象类型；","")&amp;IF(AND('02_固定地理'!F9&lt;&gt;"",OR('02_固定地理'!F9&lt;0,'02_固定地理'!F9&gt;WorldWidth)),"世界中心X越界；","")&amp;IF(AND('02_固定地理'!G9&lt;&gt;"",OR('02_固定地理'!G9&lt;0,'02_固定地理'!G9&gt;WorldHeight)),"世界中心Y越界；","")&amp;IF(AND('02_固定地理'!H9&lt;&gt;"",'02_固定地理'!J9&lt;&gt;"",'02_固定地理'!H9&gt;'02_固定地理'!J9),"最小X大于最大X；","")&amp;IF(AND('02_固定地理'!I9&lt;&gt;"",'02_固定地理'!K9&lt;&gt;"",'02_固定地理'!I9&gt;'02_固定地理'!K9),"最小Y大于最大Y；","")&amp;IF(AND('02_固定地理'!E9&lt;&gt;"",COUNTIF('02_固定地理'!$A$2:$A$501,'02_固定地理'!E9)=0),"父级对象不存在；","")&amp;IF(AND('02_固定地理'!A9&lt;&gt;"",COUNTIF('02_固定地理'!$A$2:$A$501,'02_固定地理'!A9)&gt;1),"ID重复；",""),"")</f>
        <v/>
      </c>
      <c r="G9" s="14">
        <f>IF(F9&lt;&gt;"","按字段批注、数据字典和来源记录修正后复核","")</f>
        <v/>
      </c>
      <c r="H9" s="14">
        <f>IF(F9&lt;&gt;"","待处理","")</f>
        <v/>
      </c>
    </row>
    <row r="10">
      <c r="A10" s="14">
        <f>IF(F10&lt;&gt;"","ISSUE-"&amp;TEXT(ROW()-1,"00000"),"")</f>
        <v/>
      </c>
      <c r="B10" s="14">
        <f>IF(F10&lt;&gt;"","错误","")</f>
        <v/>
      </c>
      <c r="C10" s="14">
        <f>IF('02_固定地理'!A10&lt;&gt;"","02_固定地理","")</f>
        <v/>
      </c>
      <c r="D10" s="14">
        <f>IF('02_固定地理'!A10&lt;&gt;"",'02_固定地理'!A10,"")</f>
        <v/>
      </c>
      <c r="E10" s="14">
        <f>IF(F10&lt;&gt;"","综合校验","")</f>
        <v/>
      </c>
      <c r="F10" s="14">
        <f>IF('02_固定地理'!A10&lt;&gt;"",IF('02_固定地理'!A10="","缺少对象ID；","")&amp;IF('02_固定地理'!B10="","缺少中文名称；","")&amp;IF('02_固定地理'!D10="","缺少对象类型；","")&amp;IF(AND('02_固定地理'!F10&lt;&gt;"",OR('02_固定地理'!F10&lt;0,'02_固定地理'!F10&gt;WorldWidth)),"世界中心X越界；","")&amp;IF(AND('02_固定地理'!G10&lt;&gt;"",OR('02_固定地理'!G10&lt;0,'02_固定地理'!G10&gt;WorldHeight)),"世界中心Y越界；","")&amp;IF(AND('02_固定地理'!H10&lt;&gt;"",'02_固定地理'!J10&lt;&gt;"",'02_固定地理'!H10&gt;'02_固定地理'!J10),"最小X大于最大X；","")&amp;IF(AND('02_固定地理'!I10&lt;&gt;"",'02_固定地理'!K10&lt;&gt;"",'02_固定地理'!I10&gt;'02_固定地理'!K10),"最小Y大于最大Y；","")&amp;IF(AND('02_固定地理'!E10&lt;&gt;"",COUNTIF('02_固定地理'!$A$2:$A$501,'02_固定地理'!E10)=0),"父级对象不存在；","")&amp;IF(AND('02_固定地理'!A10&lt;&gt;"",COUNTIF('02_固定地理'!$A$2:$A$501,'02_固定地理'!A10)&gt;1),"ID重复；",""),"")</f>
        <v/>
      </c>
      <c r="G10" s="14">
        <f>IF(F10&lt;&gt;"","按字段批注、数据字典和来源记录修正后复核","")</f>
        <v/>
      </c>
      <c r="H10" s="14">
        <f>IF(F10&lt;&gt;"","待处理","")</f>
        <v/>
      </c>
    </row>
    <row r="11">
      <c r="A11" s="14">
        <f>IF(F11&lt;&gt;"","ISSUE-"&amp;TEXT(ROW()-1,"00000"),"")</f>
        <v/>
      </c>
      <c r="B11" s="14">
        <f>IF(F11&lt;&gt;"","错误","")</f>
        <v/>
      </c>
      <c r="C11" s="14">
        <f>IF('02_固定地理'!A11&lt;&gt;"","02_固定地理","")</f>
        <v/>
      </c>
      <c r="D11" s="14">
        <f>IF('02_固定地理'!A11&lt;&gt;"",'02_固定地理'!A11,"")</f>
        <v/>
      </c>
      <c r="E11" s="14">
        <f>IF(F11&lt;&gt;"","综合校验","")</f>
        <v/>
      </c>
      <c r="F11" s="14">
        <f>IF('02_固定地理'!A11&lt;&gt;"",IF('02_固定地理'!A11="","缺少对象ID；","")&amp;IF('02_固定地理'!B11="","缺少中文名称；","")&amp;IF('02_固定地理'!D11="","缺少对象类型；","")&amp;IF(AND('02_固定地理'!F11&lt;&gt;"",OR('02_固定地理'!F11&lt;0,'02_固定地理'!F11&gt;WorldWidth)),"世界中心X越界；","")&amp;IF(AND('02_固定地理'!G11&lt;&gt;"",OR('02_固定地理'!G11&lt;0,'02_固定地理'!G11&gt;WorldHeight)),"世界中心Y越界；","")&amp;IF(AND('02_固定地理'!H11&lt;&gt;"",'02_固定地理'!J11&lt;&gt;"",'02_固定地理'!H11&gt;'02_固定地理'!J11),"最小X大于最大X；","")&amp;IF(AND('02_固定地理'!I11&lt;&gt;"",'02_固定地理'!K11&lt;&gt;"",'02_固定地理'!I11&gt;'02_固定地理'!K11),"最小Y大于最大Y；","")&amp;IF(AND('02_固定地理'!E11&lt;&gt;"",COUNTIF('02_固定地理'!$A$2:$A$501,'02_固定地理'!E11)=0),"父级对象不存在；","")&amp;IF(AND('02_固定地理'!A11&lt;&gt;"",COUNTIF('02_固定地理'!$A$2:$A$501,'02_固定地理'!A11)&gt;1),"ID重复；",""),"")</f>
        <v/>
      </c>
      <c r="G11" s="14">
        <f>IF(F11&lt;&gt;"","按字段批注、数据字典和来源记录修正后复核","")</f>
        <v/>
      </c>
      <c r="H11" s="14">
        <f>IF(F11&lt;&gt;"","待处理","")</f>
        <v/>
      </c>
    </row>
    <row r="12">
      <c r="A12" s="14">
        <f>IF(F12&lt;&gt;"","ISSUE-"&amp;TEXT(ROW()-1,"00000"),"")</f>
        <v/>
      </c>
      <c r="B12" s="14">
        <f>IF(F12&lt;&gt;"","错误","")</f>
        <v/>
      </c>
      <c r="C12" s="14">
        <f>IF('02_固定地理'!A12&lt;&gt;"","02_固定地理","")</f>
        <v/>
      </c>
      <c r="D12" s="14">
        <f>IF('02_固定地理'!A12&lt;&gt;"",'02_固定地理'!A12,"")</f>
        <v/>
      </c>
      <c r="E12" s="14">
        <f>IF(F12&lt;&gt;"","综合校验","")</f>
        <v/>
      </c>
      <c r="F12" s="14">
        <f>IF('02_固定地理'!A12&lt;&gt;"",IF('02_固定地理'!A12="","缺少对象ID；","")&amp;IF('02_固定地理'!B12="","缺少中文名称；","")&amp;IF('02_固定地理'!D12="","缺少对象类型；","")&amp;IF(AND('02_固定地理'!F12&lt;&gt;"",OR('02_固定地理'!F12&lt;0,'02_固定地理'!F12&gt;WorldWidth)),"世界中心X越界；","")&amp;IF(AND('02_固定地理'!G12&lt;&gt;"",OR('02_固定地理'!G12&lt;0,'02_固定地理'!G12&gt;WorldHeight)),"世界中心Y越界；","")&amp;IF(AND('02_固定地理'!H12&lt;&gt;"",'02_固定地理'!J12&lt;&gt;"",'02_固定地理'!H12&gt;'02_固定地理'!J12),"最小X大于最大X；","")&amp;IF(AND('02_固定地理'!I12&lt;&gt;"",'02_固定地理'!K12&lt;&gt;"",'02_固定地理'!I12&gt;'02_固定地理'!K12),"最小Y大于最大Y；","")&amp;IF(AND('02_固定地理'!E12&lt;&gt;"",COUNTIF('02_固定地理'!$A$2:$A$501,'02_固定地理'!E12)=0),"父级对象不存在；","")&amp;IF(AND('02_固定地理'!A12&lt;&gt;"",COUNTIF('02_固定地理'!$A$2:$A$501,'02_固定地理'!A12)&gt;1),"ID重复；",""),"")</f>
        <v/>
      </c>
      <c r="G12" s="14">
        <f>IF(F12&lt;&gt;"","按字段批注、数据字典和来源记录修正后复核","")</f>
        <v/>
      </c>
      <c r="H12" s="14">
        <f>IF(F12&lt;&gt;"","待处理","")</f>
        <v/>
      </c>
    </row>
    <row r="13">
      <c r="A13" s="14">
        <f>IF(F13&lt;&gt;"","ISSUE-"&amp;TEXT(ROW()-1,"00000"),"")</f>
        <v/>
      </c>
      <c r="B13" s="14">
        <f>IF(F13&lt;&gt;"","错误","")</f>
        <v/>
      </c>
      <c r="C13" s="14">
        <f>IF('02_固定地理'!A13&lt;&gt;"","02_固定地理","")</f>
        <v/>
      </c>
      <c r="D13" s="14">
        <f>IF('02_固定地理'!A13&lt;&gt;"",'02_固定地理'!A13,"")</f>
        <v/>
      </c>
      <c r="E13" s="14">
        <f>IF(F13&lt;&gt;"","综合校验","")</f>
        <v/>
      </c>
      <c r="F13" s="14">
        <f>IF('02_固定地理'!A13&lt;&gt;"",IF('02_固定地理'!A13="","缺少对象ID；","")&amp;IF('02_固定地理'!B13="","缺少中文名称；","")&amp;IF('02_固定地理'!D13="","缺少对象类型；","")&amp;IF(AND('02_固定地理'!F13&lt;&gt;"",OR('02_固定地理'!F13&lt;0,'02_固定地理'!F13&gt;WorldWidth)),"世界中心X越界；","")&amp;IF(AND('02_固定地理'!G13&lt;&gt;"",OR('02_固定地理'!G13&lt;0,'02_固定地理'!G13&gt;WorldHeight)),"世界中心Y越界；","")&amp;IF(AND('02_固定地理'!H13&lt;&gt;"",'02_固定地理'!J13&lt;&gt;"",'02_固定地理'!H13&gt;'02_固定地理'!J13),"最小X大于最大X；","")&amp;IF(AND('02_固定地理'!I13&lt;&gt;"",'02_固定地理'!K13&lt;&gt;"",'02_固定地理'!I13&gt;'02_固定地理'!K13),"最小Y大于最大Y；","")&amp;IF(AND('02_固定地理'!E13&lt;&gt;"",COUNTIF('02_固定地理'!$A$2:$A$501,'02_固定地理'!E13)=0),"父级对象不存在；","")&amp;IF(AND('02_固定地理'!A13&lt;&gt;"",COUNTIF('02_固定地理'!$A$2:$A$501,'02_固定地理'!A13)&gt;1),"ID重复；",""),"")</f>
        <v/>
      </c>
      <c r="G13" s="14">
        <f>IF(F13&lt;&gt;"","按字段批注、数据字典和来源记录修正后复核","")</f>
        <v/>
      </c>
      <c r="H13" s="14">
        <f>IF(F13&lt;&gt;"","待处理","")</f>
        <v/>
      </c>
    </row>
    <row r="14">
      <c r="A14" s="14">
        <f>IF(F14&lt;&gt;"","ISSUE-"&amp;TEXT(ROW()-1,"00000"),"")</f>
        <v/>
      </c>
      <c r="B14" s="14">
        <f>IF(F14&lt;&gt;"","错误","")</f>
        <v/>
      </c>
      <c r="C14" s="14">
        <f>IF('02_固定地理'!A14&lt;&gt;"","02_固定地理","")</f>
        <v/>
      </c>
      <c r="D14" s="14">
        <f>IF('02_固定地理'!A14&lt;&gt;"",'02_固定地理'!A14,"")</f>
        <v/>
      </c>
      <c r="E14" s="14">
        <f>IF(F14&lt;&gt;"","综合校验","")</f>
        <v/>
      </c>
      <c r="F14" s="14">
        <f>IF('02_固定地理'!A14&lt;&gt;"",IF('02_固定地理'!A14="","缺少对象ID；","")&amp;IF('02_固定地理'!B14="","缺少中文名称；","")&amp;IF('02_固定地理'!D14="","缺少对象类型；","")&amp;IF(AND('02_固定地理'!F14&lt;&gt;"",OR('02_固定地理'!F14&lt;0,'02_固定地理'!F14&gt;WorldWidth)),"世界中心X越界；","")&amp;IF(AND('02_固定地理'!G14&lt;&gt;"",OR('02_固定地理'!G14&lt;0,'02_固定地理'!G14&gt;WorldHeight)),"世界中心Y越界；","")&amp;IF(AND('02_固定地理'!H14&lt;&gt;"",'02_固定地理'!J14&lt;&gt;"",'02_固定地理'!H14&gt;'02_固定地理'!J14),"最小X大于最大X；","")&amp;IF(AND('02_固定地理'!I14&lt;&gt;"",'02_固定地理'!K14&lt;&gt;"",'02_固定地理'!I14&gt;'02_固定地理'!K14),"最小Y大于最大Y；","")&amp;IF(AND('02_固定地理'!E14&lt;&gt;"",COUNTIF('02_固定地理'!$A$2:$A$501,'02_固定地理'!E14)=0),"父级对象不存在；","")&amp;IF(AND('02_固定地理'!A14&lt;&gt;"",COUNTIF('02_固定地理'!$A$2:$A$501,'02_固定地理'!A14)&gt;1),"ID重复；",""),"")</f>
        <v/>
      </c>
      <c r="G14" s="14">
        <f>IF(F14&lt;&gt;"","按字段批注、数据字典和来源记录修正后复核","")</f>
        <v/>
      </c>
      <c r="H14" s="14">
        <f>IF(F14&lt;&gt;"","待处理","")</f>
        <v/>
      </c>
    </row>
    <row r="15">
      <c r="A15" s="14">
        <f>IF(F15&lt;&gt;"","ISSUE-"&amp;TEXT(ROW()-1,"00000"),"")</f>
        <v/>
      </c>
      <c r="B15" s="14">
        <f>IF(F15&lt;&gt;"","错误","")</f>
        <v/>
      </c>
      <c r="C15" s="14">
        <f>IF('02_固定地理'!A15&lt;&gt;"","02_固定地理","")</f>
        <v/>
      </c>
      <c r="D15" s="14">
        <f>IF('02_固定地理'!A15&lt;&gt;"",'02_固定地理'!A15,"")</f>
        <v/>
      </c>
      <c r="E15" s="14">
        <f>IF(F15&lt;&gt;"","综合校验","")</f>
        <v/>
      </c>
      <c r="F15" s="14">
        <f>IF('02_固定地理'!A15&lt;&gt;"",IF('02_固定地理'!A15="","缺少对象ID；","")&amp;IF('02_固定地理'!B15="","缺少中文名称；","")&amp;IF('02_固定地理'!D15="","缺少对象类型；","")&amp;IF(AND('02_固定地理'!F15&lt;&gt;"",OR('02_固定地理'!F15&lt;0,'02_固定地理'!F15&gt;WorldWidth)),"世界中心X越界；","")&amp;IF(AND('02_固定地理'!G15&lt;&gt;"",OR('02_固定地理'!G15&lt;0,'02_固定地理'!G15&gt;WorldHeight)),"世界中心Y越界；","")&amp;IF(AND('02_固定地理'!H15&lt;&gt;"",'02_固定地理'!J15&lt;&gt;"",'02_固定地理'!H15&gt;'02_固定地理'!J15),"最小X大于最大X；","")&amp;IF(AND('02_固定地理'!I15&lt;&gt;"",'02_固定地理'!K15&lt;&gt;"",'02_固定地理'!I15&gt;'02_固定地理'!K15),"最小Y大于最大Y；","")&amp;IF(AND('02_固定地理'!E15&lt;&gt;"",COUNTIF('02_固定地理'!$A$2:$A$501,'02_固定地理'!E15)=0),"父级对象不存在；","")&amp;IF(AND('02_固定地理'!A15&lt;&gt;"",COUNTIF('02_固定地理'!$A$2:$A$501,'02_固定地理'!A15)&gt;1),"ID重复；",""),"")</f>
        <v/>
      </c>
      <c r="G15" s="14">
        <f>IF(F15&lt;&gt;"","按字段批注、数据字典和来源记录修正后复核","")</f>
        <v/>
      </c>
      <c r="H15" s="14">
        <f>IF(F15&lt;&gt;"","待处理","")</f>
        <v/>
      </c>
    </row>
    <row r="16">
      <c r="A16" s="14">
        <f>IF(F16&lt;&gt;"","ISSUE-"&amp;TEXT(ROW()-1,"00000"),"")</f>
        <v/>
      </c>
      <c r="B16" s="14">
        <f>IF(F16&lt;&gt;"","错误","")</f>
        <v/>
      </c>
      <c r="C16" s="14">
        <f>IF('02_固定地理'!A16&lt;&gt;"","02_固定地理","")</f>
        <v/>
      </c>
      <c r="D16" s="14">
        <f>IF('02_固定地理'!A16&lt;&gt;"",'02_固定地理'!A16,"")</f>
        <v/>
      </c>
      <c r="E16" s="14">
        <f>IF(F16&lt;&gt;"","综合校验","")</f>
        <v/>
      </c>
      <c r="F16" s="14">
        <f>IF('02_固定地理'!A16&lt;&gt;"",IF('02_固定地理'!A16="","缺少对象ID；","")&amp;IF('02_固定地理'!B16="","缺少中文名称；","")&amp;IF('02_固定地理'!D16="","缺少对象类型；","")&amp;IF(AND('02_固定地理'!F16&lt;&gt;"",OR('02_固定地理'!F16&lt;0,'02_固定地理'!F16&gt;WorldWidth)),"世界中心X越界；","")&amp;IF(AND('02_固定地理'!G16&lt;&gt;"",OR('02_固定地理'!G16&lt;0,'02_固定地理'!G16&gt;WorldHeight)),"世界中心Y越界；","")&amp;IF(AND('02_固定地理'!H16&lt;&gt;"",'02_固定地理'!J16&lt;&gt;"",'02_固定地理'!H16&gt;'02_固定地理'!J16),"最小X大于最大X；","")&amp;IF(AND('02_固定地理'!I16&lt;&gt;"",'02_固定地理'!K16&lt;&gt;"",'02_固定地理'!I16&gt;'02_固定地理'!K16),"最小Y大于最大Y；","")&amp;IF(AND('02_固定地理'!E16&lt;&gt;"",COUNTIF('02_固定地理'!$A$2:$A$501,'02_固定地理'!E16)=0),"父级对象不存在；","")&amp;IF(AND('02_固定地理'!A16&lt;&gt;"",COUNTIF('02_固定地理'!$A$2:$A$501,'02_固定地理'!A16)&gt;1),"ID重复；",""),"")</f>
        <v/>
      </c>
      <c r="G16" s="14">
        <f>IF(F16&lt;&gt;"","按字段批注、数据字典和来源记录修正后复核","")</f>
        <v/>
      </c>
      <c r="H16" s="14">
        <f>IF(F16&lt;&gt;"","待处理","")</f>
        <v/>
      </c>
    </row>
    <row r="17">
      <c r="A17" s="14">
        <f>IF(F17&lt;&gt;"","ISSUE-"&amp;TEXT(ROW()-1,"00000"),"")</f>
        <v/>
      </c>
      <c r="B17" s="14">
        <f>IF(F17&lt;&gt;"","错误","")</f>
        <v/>
      </c>
      <c r="C17" s="14">
        <f>IF('02_固定地理'!A17&lt;&gt;"","02_固定地理","")</f>
        <v/>
      </c>
      <c r="D17" s="14">
        <f>IF('02_固定地理'!A17&lt;&gt;"",'02_固定地理'!A17,"")</f>
        <v/>
      </c>
      <c r="E17" s="14">
        <f>IF(F17&lt;&gt;"","综合校验","")</f>
        <v/>
      </c>
      <c r="F17" s="14">
        <f>IF('02_固定地理'!A17&lt;&gt;"",IF('02_固定地理'!A17="","缺少对象ID；","")&amp;IF('02_固定地理'!B17="","缺少中文名称；","")&amp;IF('02_固定地理'!D17="","缺少对象类型；","")&amp;IF(AND('02_固定地理'!F17&lt;&gt;"",OR('02_固定地理'!F17&lt;0,'02_固定地理'!F17&gt;WorldWidth)),"世界中心X越界；","")&amp;IF(AND('02_固定地理'!G17&lt;&gt;"",OR('02_固定地理'!G17&lt;0,'02_固定地理'!G17&gt;WorldHeight)),"世界中心Y越界；","")&amp;IF(AND('02_固定地理'!H17&lt;&gt;"",'02_固定地理'!J17&lt;&gt;"",'02_固定地理'!H17&gt;'02_固定地理'!J17),"最小X大于最大X；","")&amp;IF(AND('02_固定地理'!I17&lt;&gt;"",'02_固定地理'!K17&lt;&gt;"",'02_固定地理'!I17&gt;'02_固定地理'!K17),"最小Y大于最大Y；","")&amp;IF(AND('02_固定地理'!E17&lt;&gt;"",COUNTIF('02_固定地理'!$A$2:$A$501,'02_固定地理'!E17)=0),"父级对象不存在；","")&amp;IF(AND('02_固定地理'!A17&lt;&gt;"",COUNTIF('02_固定地理'!$A$2:$A$501,'02_固定地理'!A17)&gt;1),"ID重复；",""),"")</f>
        <v/>
      </c>
      <c r="G17" s="14">
        <f>IF(F17&lt;&gt;"","按字段批注、数据字典和来源记录修正后复核","")</f>
        <v/>
      </c>
      <c r="H17" s="14">
        <f>IF(F17&lt;&gt;"","待处理","")</f>
        <v/>
      </c>
    </row>
    <row r="18">
      <c r="A18" s="14">
        <f>IF(F18&lt;&gt;"","ISSUE-"&amp;TEXT(ROW()-1,"00000"),"")</f>
        <v/>
      </c>
      <c r="B18" s="14">
        <f>IF(F18&lt;&gt;"","错误","")</f>
        <v/>
      </c>
      <c r="C18" s="14">
        <f>IF('02_固定地理'!A18&lt;&gt;"","02_固定地理","")</f>
        <v/>
      </c>
      <c r="D18" s="14">
        <f>IF('02_固定地理'!A18&lt;&gt;"",'02_固定地理'!A18,"")</f>
        <v/>
      </c>
      <c r="E18" s="14">
        <f>IF(F18&lt;&gt;"","综合校验","")</f>
        <v/>
      </c>
      <c r="F18" s="14">
        <f>IF('02_固定地理'!A18&lt;&gt;"",IF('02_固定地理'!A18="","缺少对象ID；","")&amp;IF('02_固定地理'!B18="","缺少中文名称；","")&amp;IF('02_固定地理'!D18="","缺少对象类型；","")&amp;IF(AND('02_固定地理'!F18&lt;&gt;"",OR('02_固定地理'!F18&lt;0,'02_固定地理'!F18&gt;WorldWidth)),"世界中心X越界；","")&amp;IF(AND('02_固定地理'!G18&lt;&gt;"",OR('02_固定地理'!G18&lt;0,'02_固定地理'!G18&gt;WorldHeight)),"世界中心Y越界；","")&amp;IF(AND('02_固定地理'!H18&lt;&gt;"",'02_固定地理'!J18&lt;&gt;"",'02_固定地理'!H18&gt;'02_固定地理'!J18),"最小X大于最大X；","")&amp;IF(AND('02_固定地理'!I18&lt;&gt;"",'02_固定地理'!K18&lt;&gt;"",'02_固定地理'!I18&gt;'02_固定地理'!K18),"最小Y大于最大Y；","")&amp;IF(AND('02_固定地理'!E18&lt;&gt;"",COUNTIF('02_固定地理'!$A$2:$A$501,'02_固定地理'!E18)=0),"父级对象不存在；","")&amp;IF(AND('02_固定地理'!A18&lt;&gt;"",COUNTIF('02_固定地理'!$A$2:$A$501,'02_固定地理'!A18)&gt;1),"ID重复；",""),"")</f>
        <v/>
      </c>
      <c r="G18" s="14">
        <f>IF(F18&lt;&gt;"","按字段批注、数据字典和来源记录修正后复核","")</f>
        <v/>
      </c>
      <c r="H18" s="14">
        <f>IF(F18&lt;&gt;"","待处理","")</f>
        <v/>
      </c>
    </row>
    <row r="19">
      <c r="A19" s="14">
        <f>IF(F19&lt;&gt;"","ISSUE-"&amp;TEXT(ROW()-1,"00000"),"")</f>
        <v/>
      </c>
      <c r="B19" s="14">
        <f>IF(F19&lt;&gt;"","错误","")</f>
        <v/>
      </c>
      <c r="C19" s="14">
        <f>IF('02_固定地理'!A19&lt;&gt;"","02_固定地理","")</f>
        <v/>
      </c>
      <c r="D19" s="14">
        <f>IF('02_固定地理'!A19&lt;&gt;"",'02_固定地理'!A19,"")</f>
        <v/>
      </c>
      <c r="E19" s="14">
        <f>IF(F19&lt;&gt;"","综合校验","")</f>
        <v/>
      </c>
      <c r="F19" s="14">
        <f>IF('02_固定地理'!A19&lt;&gt;"",IF('02_固定地理'!A19="","缺少对象ID；","")&amp;IF('02_固定地理'!B19="","缺少中文名称；","")&amp;IF('02_固定地理'!D19="","缺少对象类型；","")&amp;IF(AND('02_固定地理'!F19&lt;&gt;"",OR('02_固定地理'!F19&lt;0,'02_固定地理'!F19&gt;WorldWidth)),"世界中心X越界；","")&amp;IF(AND('02_固定地理'!G19&lt;&gt;"",OR('02_固定地理'!G19&lt;0,'02_固定地理'!G19&gt;WorldHeight)),"世界中心Y越界；","")&amp;IF(AND('02_固定地理'!H19&lt;&gt;"",'02_固定地理'!J19&lt;&gt;"",'02_固定地理'!H19&gt;'02_固定地理'!J19),"最小X大于最大X；","")&amp;IF(AND('02_固定地理'!I19&lt;&gt;"",'02_固定地理'!K19&lt;&gt;"",'02_固定地理'!I19&gt;'02_固定地理'!K19),"最小Y大于最大Y；","")&amp;IF(AND('02_固定地理'!E19&lt;&gt;"",COUNTIF('02_固定地理'!$A$2:$A$501,'02_固定地理'!E19)=0),"父级对象不存在；","")&amp;IF(AND('02_固定地理'!A19&lt;&gt;"",COUNTIF('02_固定地理'!$A$2:$A$501,'02_固定地理'!A19)&gt;1),"ID重复；",""),"")</f>
        <v/>
      </c>
      <c r="G19" s="14">
        <f>IF(F19&lt;&gt;"","按字段批注、数据字典和来源记录修正后复核","")</f>
        <v/>
      </c>
      <c r="H19" s="14">
        <f>IF(F19&lt;&gt;"","待处理","")</f>
        <v/>
      </c>
    </row>
    <row r="20">
      <c r="A20" s="14">
        <f>IF(F20&lt;&gt;"","ISSUE-"&amp;TEXT(ROW()-1,"00000"),"")</f>
        <v/>
      </c>
      <c r="B20" s="14">
        <f>IF(F20&lt;&gt;"","错误","")</f>
        <v/>
      </c>
      <c r="C20" s="14">
        <f>IF('02_固定地理'!A20&lt;&gt;"","02_固定地理","")</f>
        <v/>
      </c>
      <c r="D20" s="14">
        <f>IF('02_固定地理'!A20&lt;&gt;"",'02_固定地理'!A20,"")</f>
        <v/>
      </c>
      <c r="E20" s="14">
        <f>IF(F20&lt;&gt;"","综合校验","")</f>
        <v/>
      </c>
      <c r="F20" s="14">
        <f>IF('02_固定地理'!A20&lt;&gt;"",IF('02_固定地理'!A20="","缺少对象ID；","")&amp;IF('02_固定地理'!B20="","缺少中文名称；","")&amp;IF('02_固定地理'!D20="","缺少对象类型；","")&amp;IF(AND('02_固定地理'!F20&lt;&gt;"",OR('02_固定地理'!F20&lt;0,'02_固定地理'!F20&gt;WorldWidth)),"世界中心X越界；","")&amp;IF(AND('02_固定地理'!G20&lt;&gt;"",OR('02_固定地理'!G20&lt;0,'02_固定地理'!G20&gt;WorldHeight)),"世界中心Y越界；","")&amp;IF(AND('02_固定地理'!H20&lt;&gt;"",'02_固定地理'!J20&lt;&gt;"",'02_固定地理'!H20&gt;'02_固定地理'!J20),"最小X大于最大X；","")&amp;IF(AND('02_固定地理'!I20&lt;&gt;"",'02_固定地理'!K20&lt;&gt;"",'02_固定地理'!I20&gt;'02_固定地理'!K20),"最小Y大于最大Y；","")&amp;IF(AND('02_固定地理'!E20&lt;&gt;"",COUNTIF('02_固定地理'!$A$2:$A$501,'02_固定地理'!E20)=0),"父级对象不存在；","")&amp;IF(AND('02_固定地理'!A20&lt;&gt;"",COUNTIF('02_固定地理'!$A$2:$A$501,'02_固定地理'!A20)&gt;1),"ID重复；",""),"")</f>
        <v/>
      </c>
      <c r="G20" s="14">
        <f>IF(F20&lt;&gt;"","按字段批注、数据字典和来源记录修正后复核","")</f>
        <v/>
      </c>
      <c r="H20" s="14">
        <f>IF(F20&lt;&gt;"","待处理","")</f>
        <v/>
      </c>
    </row>
    <row r="21">
      <c r="A21" s="14">
        <f>IF(F21&lt;&gt;"","ISSUE-"&amp;TEXT(ROW()-1,"00000"),"")</f>
        <v/>
      </c>
      <c r="B21" s="14">
        <f>IF(F21&lt;&gt;"","错误","")</f>
        <v/>
      </c>
      <c r="C21" s="14">
        <f>IF('02_固定地理'!A21&lt;&gt;"","02_固定地理","")</f>
        <v/>
      </c>
      <c r="D21" s="14">
        <f>IF('02_固定地理'!A21&lt;&gt;"",'02_固定地理'!A21,"")</f>
        <v/>
      </c>
      <c r="E21" s="14">
        <f>IF(F21&lt;&gt;"","综合校验","")</f>
        <v/>
      </c>
      <c r="F21" s="14">
        <f>IF('02_固定地理'!A21&lt;&gt;"",IF('02_固定地理'!A21="","缺少对象ID；","")&amp;IF('02_固定地理'!B21="","缺少中文名称；","")&amp;IF('02_固定地理'!D21="","缺少对象类型；","")&amp;IF(AND('02_固定地理'!F21&lt;&gt;"",OR('02_固定地理'!F21&lt;0,'02_固定地理'!F21&gt;WorldWidth)),"世界中心X越界；","")&amp;IF(AND('02_固定地理'!G21&lt;&gt;"",OR('02_固定地理'!G21&lt;0,'02_固定地理'!G21&gt;WorldHeight)),"世界中心Y越界；","")&amp;IF(AND('02_固定地理'!H21&lt;&gt;"",'02_固定地理'!J21&lt;&gt;"",'02_固定地理'!H21&gt;'02_固定地理'!J21),"最小X大于最大X；","")&amp;IF(AND('02_固定地理'!I21&lt;&gt;"",'02_固定地理'!K21&lt;&gt;"",'02_固定地理'!I21&gt;'02_固定地理'!K21),"最小Y大于最大Y；","")&amp;IF(AND('02_固定地理'!E21&lt;&gt;"",COUNTIF('02_固定地理'!$A$2:$A$501,'02_固定地理'!E21)=0),"父级对象不存在；","")&amp;IF(AND('02_固定地理'!A21&lt;&gt;"",COUNTIF('02_固定地理'!$A$2:$A$501,'02_固定地理'!A21)&gt;1),"ID重复；",""),"")</f>
        <v/>
      </c>
      <c r="G21" s="14">
        <f>IF(F21&lt;&gt;"","按字段批注、数据字典和来源记录修正后复核","")</f>
        <v/>
      </c>
      <c r="H21" s="14">
        <f>IF(F21&lt;&gt;"","待处理","")</f>
        <v/>
      </c>
    </row>
    <row r="22">
      <c r="A22" s="14">
        <f>IF(F22&lt;&gt;"","ISSUE-"&amp;TEXT(ROW()-1,"00000"),"")</f>
        <v/>
      </c>
      <c r="B22" s="14">
        <f>IF(F22&lt;&gt;"","错误","")</f>
        <v/>
      </c>
      <c r="C22" s="14">
        <f>IF('02_固定地理'!A22&lt;&gt;"","02_固定地理","")</f>
        <v/>
      </c>
      <c r="D22" s="14">
        <f>IF('02_固定地理'!A22&lt;&gt;"",'02_固定地理'!A22,"")</f>
        <v/>
      </c>
      <c r="E22" s="14">
        <f>IF(F22&lt;&gt;"","综合校验","")</f>
        <v/>
      </c>
      <c r="F22" s="14">
        <f>IF('02_固定地理'!A22&lt;&gt;"",IF('02_固定地理'!A22="","缺少对象ID；","")&amp;IF('02_固定地理'!B22="","缺少中文名称；","")&amp;IF('02_固定地理'!D22="","缺少对象类型；","")&amp;IF(AND('02_固定地理'!F22&lt;&gt;"",OR('02_固定地理'!F22&lt;0,'02_固定地理'!F22&gt;WorldWidth)),"世界中心X越界；","")&amp;IF(AND('02_固定地理'!G22&lt;&gt;"",OR('02_固定地理'!G22&lt;0,'02_固定地理'!G22&gt;WorldHeight)),"世界中心Y越界；","")&amp;IF(AND('02_固定地理'!H22&lt;&gt;"",'02_固定地理'!J22&lt;&gt;"",'02_固定地理'!H22&gt;'02_固定地理'!J22),"最小X大于最大X；","")&amp;IF(AND('02_固定地理'!I22&lt;&gt;"",'02_固定地理'!K22&lt;&gt;"",'02_固定地理'!I22&gt;'02_固定地理'!K22),"最小Y大于最大Y；","")&amp;IF(AND('02_固定地理'!E22&lt;&gt;"",COUNTIF('02_固定地理'!$A$2:$A$501,'02_固定地理'!E22)=0),"父级对象不存在；","")&amp;IF(AND('02_固定地理'!A22&lt;&gt;"",COUNTIF('02_固定地理'!$A$2:$A$501,'02_固定地理'!A22)&gt;1),"ID重复；",""),"")</f>
        <v/>
      </c>
      <c r="G22" s="14">
        <f>IF(F22&lt;&gt;"","按字段批注、数据字典和来源记录修正后复核","")</f>
        <v/>
      </c>
      <c r="H22" s="14">
        <f>IF(F22&lt;&gt;"","待处理","")</f>
        <v/>
      </c>
    </row>
    <row r="23">
      <c r="A23" s="14">
        <f>IF(F23&lt;&gt;"","ISSUE-"&amp;TEXT(ROW()-1,"00000"),"")</f>
        <v/>
      </c>
      <c r="B23" s="14">
        <f>IF(F23&lt;&gt;"","错误","")</f>
        <v/>
      </c>
      <c r="C23" s="14">
        <f>IF('02_固定地理'!A23&lt;&gt;"","02_固定地理","")</f>
        <v/>
      </c>
      <c r="D23" s="14">
        <f>IF('02_固定地理'!A23&lt;&gt;"",'02_固定地理'!A23,"")</f>
        <v/>
      </c>
      <c r="E23" s="14">
        <f>IF(F23&lt;&gt;"","综合校验","")</f>
        <v/>
      </c>
      <c r="F23" s="14">
        <f>IF('02_固定地理'!A23&lt;&gt;"",IF('02_固定地理'!A23="","缺少对象ID；","")&amp;IF('02_固定地理'!B23="","缺少中文名称；","")&amp;IF('02_固定地理'!D23="","缺少对象类型；","")&amp;IF(AND('02_固定地理'!F23&lt;&gt;"",OR('02_固定地理'!F23&lt;0,'02_固定地理'!F23&gt;WorldWidth)),"世界中心X越界；","")&amp;IF(AND('02_固定地理'!G23&lt;&gt;"",OR('02_固定地理'!G23&lt;0,'02_固定地理'!G23&gt;WorldHeight)),"世界中心Y越界；","")&amp;IF(AND('02_固定地理'!H23&lt;&gt;"",'02_固定地理'!J23&lt;&gt;"",'02_固定地理'!H23&gt;'02_固定地理'!J23),"最小X大于最大X；","")&amp;IF(AND('02_固定地理'!I23&lt;&gt;"",'02_固定地理'!K23&lt;&gt;"",'02_固定地理'!I23&gt;'02_固定地理'!K23),"最小Y大于最大Y；","")&amp;IF(AND('02_固定地理'!E23&lt;&gt;"",COUNTIF('02_固定地理'!$A$2:$A$501,'02_固定地理'!E23)=0),"父级对象不存在；","")&amp;IF(AND('02_固定地理'!A23&lt;&gt;"",COUNTIF('02_固定地理'!$A$2:$A$501,'02_固定地理'!A23)&gt;1),"ID重复；",""),"")</f>
        <v/>
      </c>
      <c r="G23" s="14">
        <f>IF(F23&lt;&gt;"","按字段批注、数据字典和来源记录修正后复核","")</f>
        <v/>
      </c>
      <c r="H23" s="14">
        <f>IF(F23&lt;&gt;"","待处理","")</f>
        <v/>
      </c>
    </row>
    <row r="24">
      <c r="A24" s="14">
        <f>IF(F24&lt;&gt;"","ISSUE-"&amp;TEXT(ROW()-1,"00000"),"")</f>
        <v/>
      </c>
      <c r="B24" s="14">
        <f>IF(F24&lt;&gt;"","错误","")</f>
        <v/>
      </c>
      <c r="C24" s="14">
        <f>IF('02_固定地理'!A24&lt;&gt;"","02_固定地理","")</f>
        <v/>
      </c>
      <c r="D24" s="14">
        <f>IF('02_固定地理'!A24&lt;&gt;"",'02_固定地理'!A24,"")</f>
        <v/>
      </c>
      <c r="E24" s="14">
        <f>IF(F24&lt;&gt;"","综合校验","")</f>
        <v/>
      </c>
      <c r="F24" s="14">
        <f>IF('02_固定地理'!A24&lt;&gt;"",IF('02_固定地理'!A24="","缺少对象ID；","")&amp;IF('02_固定地理'!B24="","缺少中文名称；","")&amp;IF('02_固定地理'!D24="","缺少对象类型；","")&amp;IF(AND('02_固定地理'!F24&lt;&gt;"",OR('02_固定地理'!F24&lt;0,'02_固定地理'!F24&gt;WorldWidth)),"世界中心X越界；","")&amp;IF(AND('02_固定地理'!G24&lt;&gt;"",OR('02_固定地理'!G24&lt;0,'02_固定地理'!G24&gt;WorldHeight)),"世界中心Y越界；","")&amp;IF(AND('02_固定地理'!H24&lt;&gt;"",'02_固定地理'!J24&lt;&gt;"",'02_固定地理'!H24&gt;'02_固定地理'!J24),"最小X大于最大X；","")&amp;IF(AND('02_固定地理'!I24&lt;&gt;"",'02_固定地理'!K24&lt;&gt;"",'02_固定地理'!I24&gt;'02_固定地理'!K24),"最小Y大于最大Y；","")&amp;IF(AND('02_固定地理'!E24&lt;&gt;"",COUNTIF('02_固定地理'!$A$2:$A$501,'02_固定地理'!E24)=0),"父级对象不存在；","")&amp;IF(AND('02_固定地理'!A24&lt;&gt;"",COUNTIF('02_固定地理'!$A$2:$A$501,'02_固定地理'!A24)&gt;1),"ID重复；",""),"")</f>
        <v/>
      </c>
      <c r="G24" s="14">
        <f>IF(F24&lt;&gt;"","按字段批注、数据字典和来源记录修正后复核","")</f>
        <v/>
      </c>
      <c r="H24" s="14">
        <f>IF(F24&lt;&gt;"","待处理","")</f>
        <v/>
      </c>
    </row>
    <row r="25">
      <c r="A25" s="14">
        <f>IF(F25&lt;&gt;"","ISSUE-"&amp;TEXT(ROW()-1,"00000"),"")</f>
        <v/>
      </c>
      <c r="B25" s="14">
        <f>IF(F25&lt;&gt;"","错误","")</f>
        <v/>
      </c>
      <c r="C25" s="14">
        <f>IF('02_固定地理'!A25&lt;&gt;"","02_固定地理","")</f>
        <v/>
      </c>
      <c r="D25" s="14">
        <f>IF('02_固定地理'!A25&lt;&gt;"",'02_固定地理'!A25,"")</f>
        <v/>
      </c>
      <c r="E25" s="14">
        <f>IF(F25&lt;&gt;"","综合校验","")</f>
        <v/>
      </c>
      <c r="F25" s="14">
        <f>IF('02_固定地理'!A25&lt;&gt;"",IF('02_固定地理'!A25="","缺少对象ID；","")&amp;IF('02_固定地理'!B25="","缺少中文名称；","")&amp;IF('02_固定地理'!D25="","缺少对象类型；","")&amp;IF(AND('02_固定地理'!F25&lt;&gt;"",OR('02_固定地理'!F25&lt;0,'02_固定地理'!F25&gt;WorldWidth)),"世界中心X越界；","")&amp;IF(AND('02_固定地理'!G25&lt;&gt;"",OR('02_固定地理'!G25&lt;0,'02_固定地理'!G25&gt;WorldHeight)),"世界中心Y越界；","")&amp;IF(AND('02_固定地理'!H25&lt;&gt;"",'02_固定地理'!J25&lt;&gt;"",'02_固定地理'!H25&gt;'02_固定地理'!J25),"最小X大于最大X；","")&amp;IF(AND('02_固定地理'!I25&lt;&gt;"",'02_固定地理'!K25&lt;&gt;"",'02_固定地理'!I25&gt;'02_固定地理'!K25),"最小Y大于最大Y；","")&amp;IF(AND('02_固定地理'!E25&lt;&gt;"",COUNTIF('02_固定地理'!$A$2:$A$501,'02_固定地理'!E25)=0),"父级对象不存在；","")&amp;IF(AND('02_固定地理'!A25&lt;&gt;"",COUNTIF('02_固定地理'!$A$2:$A$501,'02_固定地理'!A25)&gt;1),"ID重复；",""),"")</f>
        <v/>
      </c>
      <c r="G25" s="14">
        <f>IF(F25&lt;&gt;"","按字段批注、数据字典和来源记录修正后复核","")</f>
        <v/>
      </c>
      <c r="H25" s="14">
        <f>IF(F25&lt;&gt;"","待处理","")</f>
        <v/>
      </c>
    </row>
    <row r="26">
      <c r="A26" s="14">
        <f>IF(F26&lt;&gt;"","ISSUE-"&amp;TEXT(ROW()-1,"00000"),"")</f>
        <v/>
      </c>
      <c r="B26" s="14">
        <f>IF(F26&lt;&gt;"","错误","")</f>
        <v/>
      </c>
      <c r="C26" s="14">
        <f>IF('02_固定地理'!A26&lt;&gt;"","02_固定地理","")</f>
        <v/>
      </c>
      <c r="D26" s="14">
        <f>IF('02_固定地理'!A26&lt;&gt;"",'02_固定地理'!A26,"")</f>
        <v/>
      </c>
      <c r="E26" s="14">
        <f>IF(F26&lt;&gt;"","综合校验","")</f>
        <v/>
      </c>
      <c r="F26" s="14">
        <f>IF('02_固定地理'!A26&lt;&gt;"",IF('02_固定地理'!A26="","缺少对象ID；","")&amp;IF('02_固定地理'!B26="","缺少中文名称；","")&amp;IF('02_固定地理'!D26="","缺少对象类型；","")&amp;IF(AND('02_固定地理'!F26&lt;&gt;"",OR('02_固定地理'!F26&lt;0,'02_固定地理'!F26&gt;WorldWidth)),"世界中心X越界；","")&amp;IF(AND('02_固定地理'!G26&lt;&gt;"",OR('02_固定地理'!G26&lt;0,'02_固定地理'!G26&gt;WorldHeight)),"世界中心Y越界；","")&amp;IF(AND('02_固定地理'!H26&lt;&gt;"",'02_固定地理'!J26&lt;&gt;"",'02_固定地理'!H26&gt;'02_固定地理'!J26),"最小X大于最大X；","")&amp;IF(AND('02_固定地理'!I26&lt;&gt;"",'02_固定地理'!K26&lt;&gt;"",'02_固定地理'!I26&gt;'02_固定地理'!K26),"最小Y大于最大Y；","")&amp;IF(AND('02_固定地理'!E26&lt;&gt;"",COUNTIF('02_固定地理'!$A$2:$A$501,'02_固定地理'!E26)=0),"父级对象不存在；","")&amp;IF(AND('02_固定地理'!A26&lt;&gt;"",COUNTIF('02_固定地理'!$A$2:$A$501,'02_固定地理'!A26)&gt;1),"ID重复；",""),"")</f>
        <v/>
      </c>
      <c r="G26" s="14">
        <f>IF(F26&lt;&gt;"","按字段批注、数据字典和来源记录修正后复核","")</f>
        <v/>
      </c>
      <c r="H26" s="14">
        <f>IF(F26&lt;&gt;"","待处理","")</f>
        <v/>
      </c>
    </row>
    <row r="27">
      <c r="A27" s="14">
        <f>IF(F27&lt;&gt;"","ISSUE-"&amp;TEXT(ROW()-1,"00000"),"")</f>
        <v/>
      </c>
      <c r="B27" s="14">
        <f>IF(F27&lt;&gt;"","错误","")</f>
        <v/>
      </c>
      <c r="C27" s="14">
        <f>IF('02_固定地理'!A27&lt;&gt;"","02_固定地理","")</f>
        <v/>
      </c>
      <c r="D27" s="14">
        <f>IF('02_固定地理'!A27&lt;&gt;"",'02_固定地理'!A27,"")</f>
        <v/>
      </c>
      <c r="E27" s="14">
        <f>IF(F27&lt;&gt;"","综合校验","")</f>
        <v/>
      </c>
      <c r="F27" s="14">
        <f>IF('02_固定地理'!A27&lt;&gt;"",IF('02_固定地理'!A27="","缺少对象ID；","")&amp;IF('02_固定地理'!B27="","缺少中文名称；","")&amp;IF('02_固定地理'!D27="","缺少对象类型；","")&amp;IF(AND('02_固定地理'!F27&lt;&gt;"",OR('02_固定地理'!F27&lt;0,'02_固定地理'!F27&gt;WorldWidth)),"世界中心X越界；","")&amp;IF(AND('02_固定地理'!G27&lt;&gt;"",OR('02_固定地理'!G27&lt;0,'02_固定地理'!G27&gt;WorldHeight)),"世界中心Y越界；","")&amp;IF(AND('02_固定地理'!H27&lt;&gt;"",'02_固定地理'!J27&lt;&gt;"",'02_固定地理'!H27&gt;'02_固定地理'!J27),"最小X大于最大X；","")&amp;IF(AND('02_固定地理'!I27&lt;&gt;"",'02_固定地理'!K27&lt;&gt;"",'02_固定地理'!I27&gt;'02_固定地理'!K27),"最小Y大于最大Y；","")&amp;IF(AND('02_固定地理'!E27&lt;&gt;"",COUNTIF('02_固定地理'!$A$2:$A$501,'02_固定地理'!E27)=0),"父级对象不存在；","")&amp;IF(AND('02_固定地理'!A27&lt;&gt;"",COUNTIF('02_固定地理'!$A$2:$A$501,'02_固定地理'!A27)&gt;1),"ID重复；",""),"")</f>
        <v/>
      </c>
      <c r="G27" s="14">
        <f>IF(F27&lt;&gt;"","按字段批注、数据字典和来源记录修正后复核","")</f>
        <v/>
      </c>
      <c r="H27" s="14">
        <f>IF(F27&lt;&gt;"","待处理","")</f>
        <v/>
      </c>
    </row>
    <row r="28">
      <c r="A28" s="14">
        <f>IF(F28&lt;&gt;"","ISSUE-"&amp;TEXT(ROW()-1,"00000"),"")</f>
        <v/>
      </c>
      <c r="B28" s="14">
        <f>IF(F28&lt;&gt;"","错误","")</f>
        <v/>
      </c>
      <c r="C28" s="14">
        <f>IF('02_固定地理'!A28&lt;&gt;"","02_固定地理","")</f>
        <v/>
      </c>
      <c r="D28" s="14">
        <f>IF('02_固定地理'!A28&lt;&gt;"",'02_固定地理'!A28,"")</f>
        <v/>
      </c>
      <c r="E28" s="14">
        <f>IF(F28&lt;&gt;"","综合校验","")</f>
        <v/>
      </c>
      <c r="F28" s="14">
        <f>IF('02_固定地理'!A28&lt;&gt;"",IF('02_固定地理'!A28="","缺少对象ID；","")&amp;IF('02_固定地理'!B28="","缺少中文名称；","")&amp;IF('02_固定地理'!D28="","缺少对象类型；","")&amp;IF(AND('02_固定地理'!F28&lt;&gt;"",OR('02_固定地理'!F28&lt;0,'02_固定地理'!F28&gt;WorldWidth)),"世界中心X越界；","")&amp;IF(AND('02_固定地理'!G28&lt;&gt;"",OR('02_固定地理'!G28&lt;0,'02_固定地理'!G28&gt;WorldHeight)),"世界中心Y越界；","")&amp;IF(AND('02_固定地理'!H28&lt;&gt;"",'02_固定地理'!J28&lt;&gt;"",'02_固定地理'!H28&gt;'02_固定地理'!J28),"最小X大于最大X；","")&amp;IF(AND('02_固定地理'!I28&lt;&gt;"",'02_固定地理'!K28&lt;&gt;"",'02_固定地理'!I28&gt;'02_固定地理'!K28),"最小Y大于最大Y；","")&amp;IF(AND('02_固定地理'!E28&lt;&gt;"",COUNTIF('02_固定地理'!$A$2:$A$501,'02_固定地理'!E28)=0),"父级对象不存在；","")&amp;IF(AND('02_固定地理'!A28&lt;&gt;"",COUNTIF('02_固定地理'!$A$2:$A$501,'02_固定地理'!A28)&gt;1),"ID重复；",""),"")</f>
        <v/>
      </c>
      <c r="G28" s="14">
        <f>IF(F28&lt;&gt;"","按字段批注、数据字典和来源记录修正后复核","")</f>
        <v/>
      </c>
      <c r="H28" s="14">
        <f>IF(F28&lt;&gt;"","待处理","")</f>
        <v/>
      </c>
    </row>
    <row r="29">
      <c r="A29" s="14">
        <f>IF(F29&lt;&gt;"","ISSUE-"&amp;TEXT(ROW()-1,"00000"),"")</f>
        <v/>
      </c>
      <c r="B29" s="14">
        <f>IF(F29&lt;&gt;"","错误","")</f>
        <v/>
      </c>
      <c r="C29" s="14">
        <f>IF('02_固定地理'!A29&lt;&gt;"","02_固定地理","")</f>
        <v/>
      </c>
      <c r="D29" s="14">
        <f>IF('02_固定地理'!A29&lt;&gt;"",'02_固定地理'!A29,"")</f>
        <v/>
      </c>
      <c r="E29" s="14">
        <f>IF(F29&lt;&gt;"","综合校验","")</f>
        <v/>
      </c>
      <c r="F29" s="14">
        <f>IF('02_固定地理'!A29&lt;&gt;"",IF('02_固定地理'!A29="","缺少对象ID；","")&amp;IF('02_固定地理'!B29="","缺少中文名称；","")&amp;IF('02_固定地理'!D29="","缺少对象类型；","")&amp;IF(AND('02_固定地理'!F29&lt;&gt;"",OR('02_固定地理'!F29&lt;0,'02_固定地理'!F29&gt;WorldWidth)),"世界中心X越界；","")&amp;IF(AND('02_固定地理'!G29&lt;&gt;"",OR('02_固定地理'!G29&lt;0,'02_固定地理'!G29&gt;WorldHeight)),"世界中心Y越界；","")&amp;IF(AND('02_固定地理'!H29&lt;&gt;"",'02_固定地理'!J29&lt;&gt;"",'02_固定地理'!H29&gt;'02_固定地理'!J29),"最小X大于最大X；","")&amp;IF(AND('02_固定地理'!I29&lt;&gt;"",'02_固定地理'!K29&lt;&gt;"",'02_固定地理'!I29&gt;'02_固定地理'!K29),"最小Y大于最大Y；","")&amp;IF(AND('02_固定地理'!E29&lt;&gt;"",COUNTIF('02_固定地理'!$A$2:$A$501,'02_固定地理'!E29)=0),"父级对象不存在；","")&amp;IF(AND('02_固定地理'!A29&lt;&gt;"",COUNTIF('02_固定地理'!$A$2:$A$501,'02_固定地理'!A29)&gt;1),"ID重复；",""),"")</f>
        <v/>
      </c>
      <c r="G29" s="14">
        <f>IF(F29&lt;&gt;"","按字段批注、数据字典和来源记录修正后复核","")</f>
        <v/>
      </c>
      <c r="H29" s="14">
        <f>IF(F29&lt;&gt;"","待处理","")</f>
        <v/>
      </c>
    </row>
    <row r="30">
      <c r="A30" s="14">
        <f>IF(F30&lt;&gt;"","ISSUE-"&amp;TEXT(ROW()-1,"00000"),"")</f>
        <v/>
      </c>
      <c r="B30" s="14">
        <f>IF(F30&lt;&gt;"","错误","")</f>
        <v/>
      </c>
      <c r="C30" s="14">
        <f>IF('02_固定地理'!A30&lt;&gt;"","02_固定地理","")</f>
        <v/>
      </c>
      <c r="D30" s="14">
        <f>IF('02_固定地理'!A30&lt;&gt;"",'02_固定地理'!A30,"")</f>
        <v/>
      </c>
      <c r="E30" s="14">
        <f>IF(F30&lt;&gt;"","综合校验","")</f>
        <v/>
      </c>
      <c r="F30" s="14">
        <f>IF('02_固定地理'!A30&lt;&gt;"",IF('02_固定地理'!A30="","缺少对象ID；","")&amp;IF('02_固定地理'!B30="","缺少中文名称；","")&amp;IF('02_固定地理'!D30="","缺少对象类型；","")&amp;IF(AND('02_固定地理'!F30&lt;&gt;"",OR('02_固定地理'!F30&lt;0,'02_固定地理'!F30&gt;WorldWidth)),"世界中心X越界；","")&amp;IF(AND('02_固定地理'!G30&lt;&gt;"",OR('02_固定地理'!G30&lt;0,'02_固定地理'!G30&gt;WorldHeight)),"世界中心Y越界；","")&amp;IF(AND('02_固定地理'!H30&lt;&gt;"",'02_固定地理'!J30&lt;&gt;"",'02_固定地理'!H30&gt;'02_固定地理'!J30),"最小X大于最大X；","")&amp;IF(AND('02_固定地理'!I30&lt;&gt;"",'02_固定地理'!K30&lt;&gt;"",'02_固定地理'!I30&gt;'02_固定地理'!K30),"最小Y大于最大Y；","")&amp;IF(AND('02_固定地理'!E30&lt;&gt;"",COUNTIF('02_固定地理'!$A$2:$A$501,'02_固定地理'!E30)=0),"父级对象不存在；","")&amp;IF(AND('02_固定地理'!A30&lt;&gt;"",COUNTIF('02_固定地理'!$A$2:$A$501,'02_固定地理'!A30)&gt;1),"ID重复；",""),"")</f>
        <v/>
      </c>
      <c r="G30" s="14">
        <f>IF(F30&lt;&gt;"","按字段批注、数据字典和来源记录修正后复核","")</f>
        <v/>
      </c>
      <c r="H30" s="14">
        <f>IF(F30&lt;&gt;"","待处理","")</f>
        <v/>
      </c>
    </row>
    <row r="31">
      <c r="A31" s="14">
        <f>IF(F31&lt;&gt;"","ISSUE-"&amp;TEXT(ROW()-1,"00000"),"")</f>
        <v/>
      </c>
      <c r="B31" s="14">
        <f>IF(F31&lt;&gt;"","错误","")</f>
        <v/>
      </c>
      <c r="C31" s="14">
        <f>IF('02_固定地理'!A31&lt;&gt;"","02_固定地理","")</f>
        <v/>
      </c>
      <c r="D31" s="14">
        <f>IF('02_固定地理'!A31&lt;&gt;"",'02_固定地理'!A31,"")</f>
        <v/>
      </c>
      <c r="E31" s="14">
        <f>IF(F31&lt;&gt;"","综合校验","")</f>
        <v/>
      </c>
      <c r="F31" s="14">
        <f>IF('02_固定地理'!A31&lt;&gt;"",IF('02_固定地理'!A31="","缺少对象ID；","")&amp;IF('02_固定地理'!B31="","缺少中文名称；","")&amp;IF('02_固定地理'!D31="","缺少对象类型；","")&amp;IF(AND('02_固定地理'!F31&lt;&gt;"",OR('02_固定地理'!F31&lt;0,'02_固定地理'!F31&gt;WorldWidth)),"世界中心X越界；","")&amp;IF(AND('02_固定地理'!G31&lt;&gt;"",OR('02_固定地理'!G31&lt;0,'02_固定地理'!G31&gt;WorldHeight)),"世界中心Y越界；","")&amp;IF(AND('02_固定地理'!H31&lt;&gt;"",'02_固定地理'!J31&lt;&gt;"",'02_固定地理'!H31&gt;'02_固定地理'!J31),"最小X大于最大X；","")&amp;IF(AND('02_固定地理'!I31&lt;&gt;"",'02_固定地理'!K31&lt;&gt;"",'02_固定地理'!I31&gt;'02_固定地理'!K31),"最小Y大于最大Y；","")&amp;IF(AND('02_固定地理'!E31&lt;&gt;"",COUNTIF('02_固定地理'!$A$2:$A$501,'02_固定地理'!E31)=0),"父级对象不存在；","")&amp;IF(AND('02_固定地理'!A31&lt;&gt;"",COUNTIF('02_固定地理'!$A$2:$A$501,'02_固定地理'!A31)&gt;1),"ID重复；",""),"")</f>
        <v/>
      </c>
      <c r="G31" s="14">
        <f>IF(F31&lt;&gt;"","按字段批注、数据字典和来源记录修正后复核","")</f>
        <v/>
      </c>
      <c r="H31" s="14">
        <f>IF(F31&lt;&gt;"","待处理","")</f>
        <v/>
      </c>
    </row>
    <row r="32">
      <c r="A32" s="14">
        <f>IF(F32&lt;&gt;"","ISSUE-"&amp;TEXT(ROW()-1,"00000"),"")</f>
        <v/>
      </c>
      <c r="B32" s="14">
        <f>IF(F32&lt;&gt;"","错误","")</f>
        <v/>
      </c>
      <c r="C32" s="14">
        <f>IF('02_固定地理'!A32&lt;&gt;"","02_固定地理","")</f>
        <v/>
      </c>
      <c r="D32" s="14">
        <f>IF('02_固定地理'!A32&lt;&gt;"",'02_固定地理'!A32,"")</f>
        <v/>
      </c>
      <c r="E32" s="14">
        <f>IF(F32&lt;&gt;"","综合校验","")</f>
        <v/>
      </c>
      <c r="F32" s="14">
        <f>IF('02_固定地理'!A32&lt;&gt;"",IF('02_固定地理'!A32="","缺少对象ID；","")&amp;IF('02_固定地理'!B32="","缺少中文名称；","")&amp;IF('02_固定地理'!D32="","缺少对象类型；","")&amp;IF(AND('02_固定地理'!F32&lt;&gt;"",OR('02_固定地理'!F32&lt;0,'02_固定地理'!F32&gt;WorldWidth)),"世界中心X越界；","")&amp;IF(AND('02_固定地理'!G32&lt;&gt;"",OR('02_固定地理'!G32&lt;0,'02_固定地理'!G32&gt;WorldHeight)),"世界中心Y越界；","")&amp;IF(AND('02_固定地理'!H32&lt;&gt;"",'02_固定地理'!J32&lt;&gt;"",'02_固定地理'!H32&gt;'02_固定地理'!J32),"最小X大于最大X；","")&amp;IF(AND('02_固定地理'!I32&lt;&gt;"",'02_固定地理'!K32&lt;&gt;"",'02_固定地理'!I32&gt;'02_固定地理'!K32),"最小Y大于最大Y；","")&amp;IF(AND('02_固定地理'!E32&lt;&gt;"",COUNTIF('02_固定地理'!$A$2:$A$501,'02_固定地理'!E32)=0),"父级对象不存在；","")&amp;IF(AND('02_固定地理'!A32&lt;&gt;"",COUNTIF('02_固定地理'!$A$2:$A$501,'02_固定地理'!A32)&gt;1),"ID重复；",""),"")</f>
        <v/>
      </c>
      <c r="G32" s="14">
        <f>IF(F32&lt;&gt;"","按字段批注、数据字典和来源记录修正后复核","")</f>
        <v/>
      </c>
      <c r="H32" s="14">
        <f>IF(F32&lt;&gt;"","待处理","")</f>
        <v/>
      </c>
    </row>
    <row r="33">
      <c r="A33" s="14">
        <f>IF(F33&lt;&gt;"","ISSUE-"&amp;TEXT(ROW()-1,"00000"),"")</f>
        <v/>
      </c>
      <c r="B33" s="14">
        <f>IF(F33&lt;&gt;"","错误","")</f>
        <v/>
      </c>
      <c r="C33" s="14">
        <f>IF('02_固定地理'!A33&lt;&gt;"","02_固定地理","")</f>
        <v/>
      </c>
      <c r="D33" s="14">
        <f>IF('02_固定地理'!A33&lt;&gt;"",'02_固定地理'!A33,"")</f>
        <v/>
      </c>
      <c r="E33" s="14">
        <f>IF(F33&lt;&gt;"","综合校验","")</f>
        <v/>
      </c>
      <c r="F33" s="14">
        <f>IF('02_固定地理'!A33&lt;&gt;"",IF('02_固定地理'!A33="","缺少对象ID；","")&amp;IF('02_固定地理'!B33="","缺少中文名称；","")&amp;IF('02_固定地理'!D33="","缺少对象类型；","")&amp;IF(AND('02_固定地理'!F33&lt;&gt;"",OR('02_固定地理'!F33&lt;0,'02_固定地理'!F33&gt;WorldWidth)),"世界中心X越界；","")&amp;IF(AND('02_固定地理'!G33&lt;&gt;"",OR('02_固定地理'!G33&lt;0,'02_固定地理'!G33&gt;WorldHeight)),"世界中心Y越界；","")&amp;IF(AND('02_固定地理'!H33&lt;&gt;"",'02_固定地理'!J33&lt;&gt;"",'02_固定地理'!H33&gt;'02_固定地理'!J33),"最小X大于最大X；","")&amp;IF(AND('02_固定地理'!I33&lt;&gt;"",'02_固定地理'!K33&lt;&gt;"",'02_固定地理'!I33&gt;'02_固定地理'!K33),"最小Y大于最大Y；","")&amp;IF(AND('02_固定地理'!E33&lt;&gt;"",COUNTIF('02_固定地理'!$A$2:$A$501,'02_固定地理'!E33)=0),"父级对象不存在；","")&amp;IF(AND('02_固定地理'!A33&lt;&gt;"",COUNTIF('02_固定地理'!$A$2:$A$501,'02_固定地理'!A33)&gt;1),"ID重复；",""),"")</f>
        <v/>
      </c>
      <c r="G33" s="14">
        <f>IF(F33&lt;&gt;"","按字段批注、数据字典和来源记录修正后复核","")</f>
        <v/>
      </c>
      <c r="H33" s="14">
        <f>IF(F33&lt;&gt;"","待处理","")</f>
        <v/>
      </c>
    </row>
    <row r="34">
      <c r="A34" s="14">
        <f>IF(F34&lt;&gt;"","ISSUE-"&amp;TEXT(ROW()-1,"00000"),"")</f>
        <v/>
      </c>
      <c r="B34" s="14">
        <f>IF(F34&lt;&gt;"","错误","")</f>
        <v/>
      </c>
      <c r="C34" s="14">
        <f>IF('02_固定地理'!A34&lt;&gt;"","02_固定地理","")</f>
        <v/>
      </c>
      <c r="D34" s="14">
        <f>IF('02_固定地理'!A34&lt;&gt;"",'02_固定地理'!A34,"")</f>
        <v/>
      </c>
      <c r="E34" s="14">
        <f>IF(F34&lt;&gt;"","综合校验","")</f>
        <v/>
      </c>
      <c r="F34" s="14">
        <f>IF('02_固定地理'!A34&lt;&gt;"",IF('02_固定地理'!A34="","缺少对象ID；","")&amp;IF('02_固定地理'!B34="","缺少中文名称；","")&amp;IF('02_固定地理'!D34="","缺少对象类型；","")&amp;IF(AND('02_固定地理'!F34&lt;&gt;"",OR('02_固定地理'!F34&lt;0,'02_固定地理'!F34&gt;WorldWidth)),"世界中心X越界；","")&amp;IF(AND('02_固定地理'!G34&lt;&gt;"",OR('02_固定地理'!G34&lt;0,'02_固定地理'!G34&gt;WorldHeight)),"世界中心Y越界；","")&amp;IF(AND('02_固定地理'!H34&lt;&gt;"",'02_固定地理'!J34&lt;&gt;"",'02_固定地理'!H34&gt;'02_固定地理'!J34),"最小X大于最大X；","")&amp;IF(AND('02_固定地理'!I34&lt;&gt;"",'02_固定地理'!K34&lt;&gt;"",'02_固定地理'!I34&gt;'02_固定地理'!K34),"最小Y大于最大Y；","")&amp;IF(AND('02_固定地理'!E34&lt;&gt;"",COUNTIF('02_固定地理'!$A$2:$A$501,'02_固定地理'!E34)=0),"父级对象不存在；","")&amp;IF(AND('02_固定地理'!A34&lt;&gt;"",COUNTIF('02_固定地理'!$A$2:$A$501,'02_固定地理'!A34)&gt;1),"ID重复；",""),"")</f>
        <v/>
      </c>
      <c r="G34" s="14">
        <f>IF(F34&lt;&gt;"","按字段批注、数据字典和来源记录修正后复核","")</f>
        <v/>
      </c>
      <c r="H34" s="14">
        <f>IF(F34&lt;&gt;"","待处理","")</f>
        <v/>
      </c>
    </row>
    <row r="35">
      <c r="A35" s="14">
        <f>IF(F35&lt;&gt;"","ISSUE-"&amp;TEXT(ROW()-1,"00000"),"")</f>
        <v/>
      </c>
      <c r="B35" s="14">
        <f>IF(F35&lt;&gt;"","错误","")</f>
        <v/>
      </c>
      <c r="C35" s="14">
        <f>IF('02_固定地理'!A35&lt;&gt;"","02_固定地理","")</f>
        <v/>
      </c>
      <c r="D35" s="14">
        <f>IF('02_固定地理'!A35&lt;&gt;"",'02_固定地理'!A35,"")</f>
        <v/>
      </c>
      <c r="E35" s="14">
        <f>IF(F35&lt;&gt;"","综合校验","")</f>
        <v/>
      </c>
      <c r="F35" s="14">
        <f>IF('02_固定地理'!A35&lt;&gt;"",IF('02_固定地理'!A35="","缺少对象ID；","")&amp;IF('02_固定地理'!B35="","缺少中文名称；","")&amp;IF('02_固定地理'!D35="","缺少对象类型；","")&amp;IF(AND('02_固定地理'!F35&lt;&gt;"",OR('02_固定地理'!F35&lt;0,'02_固定地理'!F35&gt;WorldWidth)),"世界中心X越界；","")&amp;IF(AND('02_固定地理'!G35&lt;&gt;"",OR('02_固定地理'!G35&lt;0,'02_固定地理'!G35&gt;WorldHeight)),"世界中心Y越界；","")&amp;IF(AND('02_固定地理'!H35&lt;&gt;"",'02_固定地理'!J35&lt;&gt;"",'02_固定地理'!H35&gt;'02_固定地理'!J35),"最小X大于最大X；","")&amp;IF(AND('02_固定地理'!I35&lt;&gt;"",'02_固定地理'!K35&lt;&gt;"",'02_固定地理'!I35&gt;'02_固定地理'!K35),"最小Y大于最大Y；","")&amp;IF(AND('02_固定地理'!E35&lt;&gt;"",COUNTIF('02_固定地理'!$A$2:$A$501,'02_固定地理'!E35)=0),"父级对象不存在；","")&amp;IF(AND('02_固定地理'!A35&lt;&gt;"",COUNTIF('02_固定地理'!$A$2:$A$501,'02_固定地理'!A35)&gt;1),"ID重复；",""),"")</f>
        <v/>
      </c>
      <c r="G35" s="14">
        <f>IF(F35&lt;&gt;"","按字段批注、数据字典和来源记录修正后复核","")</f>
        <v/>
      </c>
      <c r="H35" s="14">
        <f>IF(F35&lt;&gt;"","待处理","")</f>
        <v/>
      </c>
    </row>
    <row r="36">
      <c r="A36" s="14">
        <f>IF(F36&lt;&gt;"","ISSUE-"&amp;TEXT(ROW()-1,"00000"),"")</f>
        <v/>
      </c>
      <c r="B36" s="14">
        <f>IF(F36&lt;&gt;"","错误","")</f>
        <v/>
      </c>
      <c r="C36" s="14">
        <f>IF('02_固定地理'!A36&lt;&gt;"","02_固定地理","")</f>
        <v/>
      </c>
      <c r="D36" s="14">
        <f>IF('02_固定地理'!A36&lt;&gt;"",'02_固定地理'!A36,"")</f>
        <v/>
      </c>
      <c r="E36" s="14">
        <f>IF(F36&lt;&gt;"","综合校验","")</f>
        <v/>
      </c>
      <c r="F36" s="14">
        <f>IF('02_固定地理'!A36&lt;&gt;"",IF('02_固定地理'!A36="","缺少对象ID；","")&amp;IF('02_固定地理'!B36="","缺少中文名称；","")&amp;IF('02_固定地理'!D36="","缺少对象类型；","")&amp;IF(AND('02_固定地理'!F36&lt;&gt;"",OR('02_固定地理'!F36&lt;0,'02_固定地理'!F36&gt;WorldWidth)),"世界中心X越界；","")&amp;IF(AND('02_固定地理'!G36&lt;&gt;"",OR('02_固定地理'!G36&lt;0,'02_固定地理'!G36&gt;WorldHeight)),"世界中心Y越界；","")&amp;IF(AND('02_固定地理'!H36&lt;&gt;"",'02_固定地理'!J36&lt;&gt;"",'02_固定地理'!H36&gt;'02_固定地理'!J36),"最小X大于最大X；","")&amp;IF(AND('02_固定地理'!I36&lt;&gt;"",'02_固定地理'!K36&lt;&gt;"",'02_固定地理'!I36&gt;'02_固定地理'!K36),"最小Y大于最大Y；","")&amp;IF(AND('02_固定地理'!E36&lt;&gt;"",COUNTIF('02_固定地理'!$A$2:$A$501,'02_固定地理'!E36)=0),"父级对象不存在；","")&amp;IF(AND('02_固定地理'!A36&lt;&gt;"",COUNTIF('02_固定地理'!$A$2:$A$501,'02_固定地理'!A36)&gt;1),"ID重复；",""),"")</f>
        <v/>
      </c>
      <c r="G36" s="14">
        <f>IF(F36&lt;&gt;"","按字段批注、数据字典和来源记录修正后复核","")</f>
        <v/>
      </c>
      <c r="H36" s="14">
        <f>IF(F36&lt;&gt;"","待处理","")</f>
        <v/>
      </c>
    </row>
    <row r="37">
      <c r="A37" s="14">
        <f>IF(F37&lt;&gt;"","ISSUE-"&amp;TEXT(ROW()-1,"00000"),"")</f>
        <v/>
      </c>
      <c r="B37" s="14">
        <f>IF(F37&lt;&gt;"","错误","")</f>
        <v/>
      </c>
      <c r="C37" s="14">
        <f>IF('02_固定地理'!A37&lt;&gt;"","02_固定地理","")</f>
        <v/>
      </c>
      <c r="D37" s="14">
        <f>IF('02_固定地理'!A37&lt;&gt;"",'02_固定地理'!A37,"")</f>
        <v/>
      </c>
      <c r="E37" s="14">
        <f>IF(F37&lt;&gt;"","综合校验","")</f>
        <v/>
      </c>
      <c r="F37" s="14">
        <f>IF('02_固定地理'!A37&lt;&gt;"",IF('02_固定地理'!A37="","缺少对象ID；","")&amp;IF('02_固定地理'!B37="","缺少中文名称；","")&amp;IF('02_固定地理'!D37="","缺少对象类型；","")&amp;IF(AND('02_固定地理'!F37&lt;&gt;"",OR('02_固定地理'!F37&lt;0,'02_固定地理'!F37&gt;WorldWidth)),"世界中心X越界；","")&amp;IF(AND('02_固定地理'!G37&lt;&gt;"",OR('02_固定地理'!G37&lt;0,'02_固定地理'!G37&gt;WorldHeight)),"世界中心Y越界；","")&amp;IF(AND('02_固定地理'!H37&lt;&gt;"",'02_固定地理'!J37&lt;&gt;"",'02_固定地理'!H37&gt;'02_固定地理'!J37),"最小X大于最大X；","")&amp;IF(AND('02_固定地理'!I37&lt;&gt;"",'02_固定地理'!K37&lt;&gt;"",'02_固定地理'!I37&gt;'02_固定地理'!K37),"最小Y大于最大Y；","")&amp;IF(AND('02_固定地理'!E37&lt;&gt;"",COUNTIF('02_固定地理'!$A$2:$A$501,'02_固定地理'!E37)=0),"父级对象不存在；","")&amp;IF(AND('02_固定地理'!A37&lt;&gt;"",COUNTIF('02_固定地理'!$A$2:$A$501,'02_固定地理'!A37)&gt;1),"ID重复；",""),"")</f>
        <v/>
      </c>
      <c r="G37" s="14">
        <f>IF(F37&lt;&gt;"","按字段批注、数据字典和来源记录修正后复核","")</f>
        <v/>
      </c>
      <c r="H37" s="14">
        <f>IF(F37&lt;&gt;"","待处理","")</f>
        <v/>
      </c>
    </row>
    <row r="38">
      <c r="A38" s="14">
        <f>IF(F38&lt;&gt;"","ISSUE-"&amp;TEXT(ROW()-1,"00000"),"")</f>
        <v/>
      </c>
      <c r="B38" s="14">
        <f>IF(F38&lt;&gt;"","错误","")</f>
        <v/>
      </c>
      <c r="C38" s="14">
        <f>IF('02_固定地理'!A38&lt;&gt;"","02_固定地理","")</f>
        <v/>
      </c>
      <c r="D38" s="14">
        <f>IF('02_固定地理'!A38&lt;&gt;"",'02_固定地理'!A38,"")</f>
        <v/>
      </c>
      <c r="E38" s="14">
        <f>IF(F38&lt;&gt;"","综合校验","")</f>
        <v/>
      </c>
      <c r="F38" s="14">
        <f>IF('02_固定地理'!A38&lt;&gt;"",IF('02_固定地理'!A38="","缺少对象ID；","")&amp;IF('02_固定地理'!B38="","缺少中文名称；","")&amp;IF('02_固定地理'!D38="","缺少对象类型；","")&amp;IF(AND('02_固定地理'!F38&lt;&gt;"",OR('02_固定地理'!F38&lt;0,'02_固定地理'!F38&gt;WorldWidth)),"世界中心X越界；","")&amp;IF(AND('02_固定地理'!G38&lt;&gt;"",OR('02_固定地理'!G38&lt;0,'02_固定地理'!G38&gt;WorldHeight)),"世界中心Y越界；","")&amp;IF(AND('02_固定地理'!H38&lt;&gt;"",'02_固定地理'!J38&lt;&gt;"",'02_固定地理'!H38&gt;'02_固定地理'!J38),"最小X大于最大X；","")&amp;IF(AND('02_固定地理'!I38&lt;&gt;"",'02_固定地理'!K38&lt;&gt;"",'02_固定地理'!I38&gt;'02_固定地理'!K38),"最小Y大于最大Y；","")&amp;IF(AND('02_固定地理'!E38&lt;&gt;"",COUNTIF('02_固定地理'!$A$2:$A$501,'02_固定地理'!E38)=0),"父级对象不存在；","")&amp;IF(AND('02_固定地理'!A38&lt;&gt;"",COUNTIF('02_固定地理'!$A$2:$A$501,'02_固定地理'!A38)&gt;1),"ID重复；",""),"")</f>
        <v/>
      </c>
      <c r="G38" s="14">
        <f>IF(F38&lt;&gt;"","按字段批注、数据字典和来源记录修正后复核","")</f>
        <v/>
      </c>
      <c r="H38" s="14">
        <f>IF(F38&lt;&gt;"","待处理","")</f>
        <v/>
      </c>
    </row>
    <row r="39">
      <c r="A39" s="14">
        <f>IF(F39&lt;&gt;"","ISSUE-"&amp;TEXT(ROW()-1,"00000"),"")</f>
        <v/>
      </c>
      <c r="B39" s="14">
        <f>IF(F39&lt;&gt;"","错误","")</f>
        <v/>
      </c>
      <c r="C39" s="14">
        <f>IF('02_固定地理'!A39&lt;&gt;"","02_固定地理","")</f>
        <v/>
      </c>
      <c r="D39" s="14">
        <f>IF('02_固定地理'!A39&lt;&gt;"",'02_固定地理'!A39,"")</f>
        <v/>
      </c>
      <c r="E39" s="14">
        <f>IF(F39&lt;&gt;"","综合校验","")</f>
        <v/>
      </c>
      <c r="F39" s="14">
        <f>IF('02_固定地理'!A39&lt;&gt;"",IF('02_固定地理'!A39="","缺少对象ID；","")&amp;IF('02_固定地理'!B39="","缺少中文名称；","")&amp;IF('02_固定地理'!D39="","缺少对象类型；","")&amp;IF(AND('02_固定地理'!F39&lt;&gt;"",OR('02_固定地理'!F39&lt;0,'02_固定地理'!F39&gt;WorldWidth)),"世界中心X越界；","")&amp;IF(AND('02_固定地理'!G39&lt;&gt;"",OR('02_固定地理'!G39&lt;0,'02_固定地理'!G39&gt;WorldHeight)),"世界中心Y越界；","")&amp;IF(AND('02_固定地理'!H39&lt;&gt;"",'02_固定地理'!J39&lt;&gt;"",'02_固定地理'!H39&gt;'02_固定地理'!J39),"最小X大于最大X；","")&amp;IF(AND('02_固定地理'!I39&lt;&gt;"",'02_固定地理'!K39&lt;&gt;"",'02_固定地理'!I39&gt;'02_固定地理'!K39),"最小Y大于最大Y；","")&amp;IF(AND('02_固定地理'!E39&lt;&gt;"",COUNTIF('02_固定地理'!$A$2:$A$501,'02_固定地理'!E39)=0),"父级对象不存在；","")&amp;IF(AND('02_固定地理'!A39&lt;&gt;"",COUNTIF('02_固定地理'!$A$2:$A$501,'02_固定地理'!A39)&gt;1),"ID重复；",""),"")</f>
        <v/>
      </c>
      <c r="G39" s="14">
        <f>IF(F39&lt;&gt;"","按字段批注、数据字典和来源记录修正后复核","")</f>
        <v/>
      </c>
      <c r="H39" s="14">
        <f>IF(F39&lt;&gt;"","待处理","")</f>
        <v/>
      </c>
    </row>
    <row r="40">
      <c r="A40" s="14">
        <f>IF(F40&lt;&gt;"","ISSUE-"&amp;TEXT(ROW()-1,"00000"),"")</f>
        <v/>
      </c>
      <c r="B40" s="14">
        <f>IF(F40&lt;&gt;"","错误","")</f>
        <v/>
      </c>
      <c r="C40" s="14">
        <f>IF('02_固定地理'!A40&lt;&gt;"","02_固定地理","")</f>
        <v/>
      </c>
      <c r="D40" s="14">
        <f>IF('02_固定地理'!A40&lt;&gt;"",'02_固定地理'!A40,"")</f>
        <v/>
      </c>
      <c r="E40" s="14">
        <f>IF(F40&lt;&gt;"","综合校验","")</f>
        <v/>
      </c>
      <c r="F40" s="14">
        <f>IF('02_固定地理'!A40&lt;&gt;"",IF('02_固定地理'!A40="","缺少对象ID；","")&amp;IF('02_固定地理'!B40="","缺少中文名称；","")&amp;IF('02_固定地理'!D40="","缺少对象类型；","")&amp;IF(AND('02_固定地理'!F40&lt;&gt;"",OR('02_固定地理'!F40&lt;0,'02_固定地理'!F40&gt;WorldWidth)),"世界中心X越界；","")&amp;IF(AND('02_固定地理'!G40&lt;&gt;"",OR('02_固定地理'!G40&lt;0,'02_固定地理'!G40&gt;WorldHeight)),"世界中心Y越界；","")&amp;IF(AND('02_固定地理'!H40&lt;&gt;"",'02_固定地理'!J40&lt;&gt;"",'02_固定地理'!H40&gt;'02_固定地理'!J40),"最小X大于最大X；","")&amp;IF(AND('02_固定地理'!I40&lt;&gt;"",'02_固定地理'!K40&lt;&gt;"",'02_固定地理'!I40&gt;'02_固定地理'!K40),"最小Y大于最大Y；","")&amp;IF(AND('02_固定地理'!E40&lt;&gt;"",COUNTIF('02_固定地理'!$A$2:$A$501,'02_固定地理'!E40)=0),"父级对象不存在；","")&amp;IF(AND('02_固定地理'!A40&lt;&gt;"",COUNTIF('02_固定地理'!$A$2:$A$501,'02_固定地理'!A40)&gt;1),"ID重复；",""),"")</f>
        <v/>
      </c>
      <c r="G40" s="14">
        <f>IF(F40&lt;&gt;"","按字段批注、数据字典和来源记录修正后复核","")</f>
        <v/>
      </c>
      <c r="H40" s="14">
        <f>IF(F40&lt;&gt;"","待处理","")</f>
        <v/>
      </c>
    </row>
    <row r="41">
      <c r="A41" s="14">
        <f>IF(F41&lt;&gt;"","ISSUE-"&amp;TEXT(ROW()-1,"00000"),"")</f>
        <v/>
      </c>
      <c r="B41" s="14">
        <f>IF(F41&lt;&gt;"","错误","")</f>
        <v/>
      </c>
      <c r="C41" s="14">
        <f>IF('02_固定地理'!A41&lt;&gt;"","02_固定地理","")</f>
        <v/>
      </c>
      <c r="D41" s="14">
        <f>IF('02_固定地理'!A41&lt;&gt;"",'02_固定地理'!A41,"")</f>
        <v/>
      </c>
      <c r="E41" s="14">
        <f>IF(F41&lt;&gt;"","综合校验","")</f>
        <v/>
      </c>
      <c r="F41" s="14">
        <f>IF('02_固定地理'!A41&lt;&gt;"",IF('02_固定地理'!A41="","缺少对象ID；","")&amp;IF('02_固定地理'!B41="","缺少中文名称；","")&amp;IF('02_固定地理'!D41="","缺少对象类型；","")&amp;IF(AND('02_固定地理'!F41&lt;&gt;"",OR('02_固定地理'!F41&lt;0,'02_固定地理'!F41&gt;WorldWidth)),"世界中心X越界；","")&amp;IF(AND('02_固定地理'!G41&lt;&gt;"",OR('02_固定地理'!G41&lt;0,'02_固定地理'!G41&gt;WorldHeight)),"世界中心Y越界；","")&amp;IF(AND('02_固定地理'!H41&lt;&gt;"",'02_固定地理'!J41&lt;&gt;"",'02_固定地理'!H41&gt;'02_固定地理'!J41),"最小X大于最大X；","")&amp;IF(AND('02_固定地理'!I41&lt;&gt;"",'02_固定地理'!K41&lt;&gt;"",'02_固定地理'!I41&gt;'02_固定地理'!K41),"最小Y大于最大Y；","")&amp;IF(AND('02_固定地理'!E41&lt;&gt;"",COUNTIF('02_固定地理'!$A$2:$A$501,'02_固定地理'!E41)=0),"父级对象不存在；","")&amp;IF(AND('02_固定地理'!A41&lt;&gt;"",COUNTIF('02_固定地理'!$A$2:$A$501,'02_固定地理'!A41)&gt;1),"ID重复；",""),"")</f>
        <v/>
      </c>
      <c r="G41" s="14">
        <f>IF(F41&lt;&gt;"","按字段批注、数据字典和来源记录修正后复核","")</f>
        <v/>
      </c>
      <c r="H41" s="14">
        <f>IF(F41&lt;&gt;"","待处理","")</f>
        <v/>
      </c>
    </row>
    <row r="42">
      <c r="A42" s="14">
        <f>IF(F42&lt;&gt;"","ISSUE-"&amp;TEXT(ROW()-1,"00000"),"")</f>
        <v/>
      </c>
      <c r="B42" s="14">
        <f>IF(F42&lt;&gt;"","错误","")</f>
        <v/>
      </c>
      <c r="C42" s="14">
        <f>IF('02_固定地理'!A42&lt;&gt;"","02_固定地理","")</f>
        <v/>
      </c>
      <c r="D42" s="14">
        <f>IF('02_固定地理'!A42&lt;&gt;"",'02_固定地理'!A42,"")</f>
        <v/>
      </c>
      <c r="E42" s="14">
        <f>IF(F42&lt;&gt;"","综合校验","")</f>
        <v/>
      </c>
      <c r="F42" s="14">
        <f>IF('02_固定地理'!A42&lt;&gt;"",IF('02_固定地理'!A42="","缺少对象ID；","")&amp;IF('02_固定地理'!B42="","缺少中文名称；","")&amp;IF('02_固定地理'!D42="","缺少对象类型；","")&amp;IF(AND('02_固定地理'!F42&lt;&gt;"",OR('02_固定地理'!F42&lt;0,'02_固定地理'!F42&gt;WorldWidth)),"世界中心X越界；","")&amp;IF(AND('02_固定地理'!G42&lt;&gt;"",OR('02_固定地理'!G42&lt;0,'02_固定地理'!G42&gt;WorldHeight)),"世界中心Y越界；","")&amp;IF(AND('02_固定地理'!H42&lt;&gt;"",'02_固定地理'!J42&lt;&gt;"",'02_固定地理'!H42&gt;'02_固定地理'!J42),"最小X大于最大X；","")&amp;IF(AND('02_固定地理'!I42&lt;&gt;"",'02_固定地理'!K42&lt;&gt;"",'02_固定地理'!I42&gt;'02_固定地理'!K42),"最小Y大于最大Y；","")&amp;IF(AND('02_固定地理'!E42&lt;&gt;"",COUNTIF('02_固定地理'!$A$2:$A$501,'02_固定地理'!E42)=0),"父级对象不存在；","")&amp;IF(AND('02_固定地理'!A42&lt;&gt;"",COUNTIF('02_固定地理'!$A$2:$A$501,'02_固定地理'!A42)&gt;1),"ID重复；",""),"")</f>
        <v/>
      </c>
      <c r="G42" s="14">
        <f>IF(F42&lt;&gt;"","按字段批注、数据字典和来源记录修正后复核","")</f>
        <v/>
      </c>
      <c r="H42" s="14">
        <f>IF(F42&lt;&gt;"","待处理","")</f>
        <v/>
      </c>
    </row>
    <row r="43">
      <c r="A43" s="14">
        <f>IF(F43&lt;&gt;"","ISSUE-"&amp;TEXT(ROW()-1,"00000"),"")</f>
        <v/>
      </c>
      <c r="B43" s="14">
        <f>IF(F43&lt;&gt;"","错误","")</f>
        <v/>
      </c>
      <c r="C43" s="14">
        <f>IF('02_固定地理'!A43&lt;&gt;"","02_固定地理","")</f>
        <v/>
      </c>
      <c r="D43" s="14">
        <f>IF('02_固定地理'!A43&lt;&gt;"",'02_固定地理'!A43,"")</f>
        <v/>
      </c>
      <c r="E43" s="14">
        <f>IF(F43&lt;&gt;"","综合校验","")</f>
        <v/>
      </c>
      <c r="F43" s="14">
        <f>IF('02_固定地理'!A43&lt;&gt;"",IF('02_固定地理'!A43="","缺少对象ID；","")&amp;IF('02_固定地理'!B43="","缺少中文名称；","")&amp;IF('02_固定地理'!D43="","缺少对象类型；","")&amp;IF(AND('02_固定地理'!F43&lt;&gt;"",OR('02_固定地理'!F43&lt;0,'02_固定地理'!F43&gt;WorldWidth)),"世界中心X越界；","")&amp;IF(AND('02_固定地理'!G43&lt;&gt;"",OR('02_固定地理'!G43&lt;0,'02_固定地理'!G43&gt;WorldHeight)),"世界中心Y越界；","")&amp;IF(AND('02_固定地理'!H43&lt;&gt;"",'02_固定地理'!J43&lt;&gt;"",'02_固定地理'!H43&gt;'02_固定地理'!J43),"最小X大于最大X；","")&amp;IF(AND('02_固定地理'!I43&lt;&gt;"",'02_固定地理'!K43&lt;&gt;"",'02_固定地理'!I43&gt;'02_固定地理'!K43),"最小Y大于最大Y；","")&amp;IF(AND('02_固定地理'!E43&lt;&gt;"",COUNTIF('02_固定地理'!$A$2:$A$501,'02_固定地理'!E43)=0),"父级对象不存在；","")&amp;IF(AND('02_固定地理'!A43&lt;&gt;"",COUNTIF('02_固定地理'!$A$2:$A$501,'02_固定地理'!A43)&gt;1),"ID重复；",""),"")</f>
        <v/>
      </c>
      <c r="G43" s="14">
        <f>IF(F43&lt;&gt;"","按字段批注、数据字典和来源记录修正后复核","")</f>
        <v/>
      </c>
      <c r="H43" s="14">
        <f>IF(F43&lt;&gt;"","待处理","")</f>
        <v/>
      </c>
    </row>
    <row r="44">
      <c r="A44" s="14">
        <f>IF(F44&lt;&gt;"","ISSUE-"&amp;TEXT(ROW()-1,"00000"),"")</f>
        <v/>
      </c>
      <c r="B44" s="14">
        <f>IF(F44&lt;&gt;"","错误","")</f>
        <v/>
      </c>
      <c r="C44" s="14">
        <f>IF('02_固定地理'!A44&lt;&gt;"","02_固定地理","")</f>
        <v/>
      </c>
      <c r="D44" s="14">
        <f>IF('02_固定地理'!A44&lt;&gt;"",'02_固定地理'!A44,"")</f>
        <v/>
      </c>
      <c r="E44" s="14">
        <f>IF(F44&lt;&gt;"","综合校验","")</f>
        <v/>
      </c>
      <c r="F44" s="14">
        <f>IF('02_固定地理'!A44&lt;&gt;"",IF('02_固定地理'!A44="","缺少对象ID；","")&amp;IF('02_固定地理'!B44="","缺少中文名称；","")&amp;IF('02_固定地理'!D44="","缺少对象类型；","")&amp;IF(AND('02_固定地理'!F44&lt;&gt;"",OR('02_固定地理'!F44&lt;0,'02_固定地理'!F44&gt;WorldWidth)),"世界中心X越界；","")&amp;IF(AND('02_固定地理'!G44&lt;&gt;"",OR('02_固定地理'!G44&lt;0,'02_固定地理'!G44&gt;WorldHeight)),"世界中心Y越界；","")&amp;IF(AND('02_固定地理'!H44&lt;&gt;"",'02_固定地理'!J44&lt;&gt;"",'02_固定地理'!H44&gt;'02_固定地理'!J44),"最小X大于最大X；","")&amp;IF(AND('02_固定地理'!I44&lt;&gt;"",'02_固定地理'!K44&lt;&gt;"",'02_固定地理'!I44&gt;'02_固定地理'!K44),"最小Y大于最大Y；","")&amp;IF(AND('02_固定地理'!E44&lt;&gt;"",COUNTIF('02_固定地理'!$A$2:$A$501,'02_固定地理'!E44)=0),"父级对象不存在；","")&amp;IF(AND('02_固定地理'!A44&lt;&gt;"",COUNTIF('02_固定地理'!$A$2:$A$501,'02_固定地理'!A44)&gt;1),"ID重复；",""),"")</f>
        <v/>
      </c>
      <c r="G44" s="14">
        <f>IF(F44&lt;&gt;"","按字段批注、数据字典和来源记录修正后复核","")</f>
        <v/>
      </c>
      <c r="H44" s="14">
        <f>IF(F44&lt;&gt;"","待处理","")</f>
        <v/>
      </c>
    </row>
    <row r="45">
      <c r="A45" s="14">
        <f>IF(F45&lt;&gt;"","ISSUE-"&amp;TEXT(ROW()-1,"00000"),"")</f>
        <v/>
      </c>
      <c r="B45" s="14">
        <f>IF(F45&lt;&gt;"","错误","")</f>
        <v/>
      </c>
      <c r="C45" s="14">
        <f>IF('02_固定地理'!A45&lt;&gt;"","02_固定地理","")</f>
        <v/>
      </c>
      <c r="D45" s="14">
        <f>IF('02_固定地理'!A45&lt;&gt;"",'02_固定地理'!A45,"")</f>
        <v/>
      </c>
      <c r="E45" s="14">
        <f>IF(F45&lt;&gt;"","综合校验","")</f>
        <v/>
      </c>
      <c r="F45" s="14">
        <f>IF('02_固定地理'!A45&lt;&gt;"",IF('02_固定地理'!A45="","缺少对象ID；","")&amp;IF('02_固定地理'!B45="","缺少中文名称；","")&amp;IF('02_固定地理'!D45="","缺少对象类型；","")&amp;IF(AND('02_固定地理'!F45&lt;&gt;"",OR('02_固定地理'!F45&lt;0,'02_固定地理'!F45&gt;WorldWidth)),"世界中心X越界；","")&amp;IF(AND('02_固定地理'!G45&lt;&gt;"",OR('02_固定地理'!G45&lt;0,'02_固定地理'!G45&gt;WorldHeight)),"世界中心Y越界；","")&amp;IF(AND('02_固定地理'!H45&lt;&gt;"",'02_固定地理'!J45&lt;&gt;"",'02_固定地理'!H45&gt;'02_固定地理'!J45),"最小X大于最大X；","")&amp;IF(AND('02_固定地理'!I45&lt;&gt;"",'02_固定地理'!K45&lt;&gt;"",'02_固定地理'!I45&gt;'02_固定地理'!K45),"最小Y大于最大Y；","")&amp;IF(AND('02_固定地理'!E45&lt;&gt;"",COUNTIF('02_固定地理'!$A$2:$A$501,'02_固定地理'!E45)=0),"父级对象不存在；","")&amp;IF(AND('02_固定地理'!A45&lt;&gt;"",COUNTIF('02_固定地理'!$A$2:$A$501,'02_固定地理'!A45)&gt;1),"ID重复；",""),"")</f>
        <v/>
      </c>
      <c r="G45" s="14">
        <f>IF(F45&lt;&gt;"","按字段批注、数据字典和来源记录修正后复核","")</f>
        <v/>
      </c>
      <c r="H45" s="14">
        <f>IF(F45&lt;&gt;"","待处理","")</f>
        <v/>
      </c>
    </row>
    <row r="46">
      <c r="A46" s="14">
        <f>IF(F46&lt;&gt;"","ISSUE-"&amp;TEXT(ROW()-1,"00000"),"")</f>
        <v/>
      </c>
      <c r="B46" s="14">
        <f>IF(F46&lt;&gt;"","错误","")</f>
        <v/>
      </c>
      <c r="C46" s="14">
        <f>IF('02_固定地理'!A46&lt;&gt;"","02_固定地理","")</f>
        <v/>
      </c>
      <c r="D46" s="14">
        <f>IF('02_固定地理'!A46&lt;&gt;"",'02_固定地理'!A46,"")</f>
        <v/>
      </c>
      <c r="E46" s="14">
        <f>IF(F46&lt;&gt;"","综合校验","")</f>
        <v/>
      </c>
      <c r="F46" s="14">
        <f>IF('02_固定地理'!A46&lt;&gt;"",IF('02_固定地理'!A46="","缺少对象ID；","")&amp;IF('02_固定地理'!B46="","缺少中文名称；","")&amp;IF('02_固定地理'!D46="","缺少对象类型；","")&amp;IF(AND('02_固定地理'!F46&lt;&gt;"",OR('02_固定地理'!F46&lt;0,'02_固定地理'!F46&gt;WorldWidth)),"世界中心X越界；","")&amp;IF(AND('02_固定地理'!G46&lt;&gt;"",OR('02_固定地理'!G46&lt;0,'02_固定地理'!G46&gt;WorldHeight)),"世界中心Y越界；","")&amp;IF(AND('02_固定地理'!H46&lt;&gt;"",'02_固定地理'!J46&lt;&gt;"",'02_固定地理'!H46&gt;'02_固定地理'!J46),"最小X大于最大X；","")&amp;IF(AND('02_固定地理'!I46&lt;&gt;"",'02_固定地理'!K46&lt;&gt;"",'02_固定地理'!I46&gt;'02_固定地理'!K46),"最小Y大于最大Y；","")&amp;IF(AND('02_固定地理'!E46&lt;&gt;"",COUNTIF('02_固定地理'!$A$2:$A$501,'02_固定地理'!E46)=0),"父级对象不存在；","")&amp;IF(AND('02_固定地理'!A46&lt;&gt;"",COUNTIF('02_固定地理'!$A$2:$A$501,'02_固定地理'!A46)&gt;1),"ID重复；",""),"")</f>
        <v/>
      </c>
      <c r="G46" s="14">
        <f>IF(F46&lt;&gt;"","按字段批注、数据字典和来源记录修正后复核","")</f>
        <v/>
      </c>
      <c r="H46" s="14">
        <f>IF(F46&lt;&gt;"","待处理","")</f>
        <v/>
      </c>
    </row>
    <row r="47">
      <c r="A47" s="14">
        <f>IF(F47&lt;&gt;"","ISSUE-"&amp;TEXT(ROW()-1,"00000"),"")</f>
        <v/>
      </c>
      <c r="B47" s="14">
        <f>IF(F47&lt;&gt;"","错误","")</f>
        <v/>
      </c>
      <c r="C47" s="14">
        <f>IF('02_固定地理'!A47&lt;&gt;"","02_固定地理","")</f>
        <v/>
      </c>
      <c r="D47" s="14">
        <f>IF('02_固定地理'!A47&lt;&gt;"",'02_固定地理'!A47,"")</f>
        <v/>
      </c>
      <c r="E47" s="14">
        <f>IF(F47&lt;&gt;"","综合校验","")</f>
        <v/>
      </c>
      <c r="F47" s="14">
        <f>IF('02_固定地理'!A47&lt;&gt;"",IF('02_固定地理'!A47="","缺少对象ID；","")&amp;IF('02_固定地理'!B47="","缺少中文名称；","")&amp;IF('02_固定地理'!D47="","缺少对象类型；","")&amp;IF(AND('02_固定地理'!F47&lt;&gt;"",OR('02_固定地理'!F47&lt;0,'02_固定地理'!F47&gt;WorldWidth)),"世界中心X越界；","")&amp;IF(AND('02_固定地理'!G47&lt;&gt;"",OR('02_固定地理'!G47&lt;0,'02_固定地理'!G47&gt;WorldHeight)),"世界中心Y越界；","")&amp;IF(AND('02_固定地理'!H47&lt;&gt;"",'02_固定地理'!J47&lt;&gt;"",'02_固定地理'!H47&gt;'02_固定地理'!J47),"最小X大于最大X；","")&amp;IF(AND('02_固定地理'!I47&lt;&gt;"",'02_固定地理'!K47&lt;&gt;"",'02_固定地理'!I47&gt;'02_固定地理'!K47),"最小Y大于最大Y；","")&amp;IF(AND('02_固定地理'!E47&lt;&gt;"",COUNTIF('02_固定地理'!$A$2:$A$501,'02_固定地理'!E47)=0),"父级对象不存在；","")&amp;IF(AND('02_固定地理'!A47&lt;&gt;"",COUNTIF('02_固定地理'!$A$2:$A$501,'02_固定地理'!A47)&gt;1),"ID重复；",""),"")</f>
        <v/>
      </c>
      <c r="G47" s="14">
        <f>IF(F47&lt;&gt;"","按字段批注、数据字典和来源记录修正后复核","")</f>
        <v/>
      </c>
      <c r="H47" s="14">
        <f>IF(F47&lt;&gt;"","待处理","")</f>
        <v/>
      </c>
    </row>
    <row r="48">
      <c r="A48" s="14">
        <f>IF(F48&lt;&gt;"","ISSUE-"&amp;TEXT(ROW()-1,"00000"),"")</f>
        <v/>
      </c>
      <c r="B48" s="14">
        <f>IF(F48&lt;&gt;"","错误","")</f>
        <v/>
      </c>
      <c r="C48" s="14">
        <f>IF('02_固定地理'!A48&lt;&gt;"","02_固定地理","")</f>
        <v/>
      </c>
      <c r="D48" s="14">
        <f>IF('02_固定地理'!A48&lt;&gt;"",'02_固定地理'!A48,"")</f>
        <v/>
      </c>
      <c r="E48" s="14">
        <f>IF(F48&lt;&gt;"","综合校验","")</f>
        <v/>
      </c>
      <c r="F48" s="14">
        <f>IF('02_固定地理'!A48&lt;&gt;"",IF('02_固定地理'!A48="","缺少对象ID；","")&amp;IF('02_固定地理'!B48="","缺少中文名称；","")&amp;IF('02_固定地理'!D48="","缺少对象类型；","")&amp;IF(AND('02_固定地理'!F48&lt;&gt;"",OR('02_固定地理'!F48&lt;0,'02_固定地理'!F48&gt;WorldWidth)),"世界中心X越界；","")&amp;IF(AND('02_固定地理'!G48&lt;&gt;"",OR('02_固定地理'!G48&lt;0,'02_固定地理'!G48&gt;WorldHeight)),"世界中心Y越界；","")&amp;IF(AND('02_固定地理'!H48&lt;&gt;"",'02_固定地理'!J48&lt;&gt;"",'02_固定地理'!H48&gt;'02_固定地理'!J48),"最小X大于最大X；","")&amp;IF(AND('02_固定地理'!I48&lt;&gt;"",'02_固定地理'!K48&lt;&gt;"",'02_固定地理'!I48&gt;'02_固定地理'!K48),"最小Y大于最大Y；","")&amp;IF(AND('02_固定地理'!E48&lt;&gt;"",COUNTIF('02_固定地理'!$A$2:$A$501,'02_固定地理'!E48)=0),"父级对象不存在；","")&amp;IF(AND('02_固定地理'!A48&lt;&gt;"",COUNTIF('02_固定地理'!$A$2:$A$501,'02_固定地理'!A48)&gt;1),"ID重复；",""),"")</f>
        <v/>
      </c>
      <c r="G48" s="14">
        <f>IF(F48&lt;&gt;"","按字段批注、数据字典和来源记录修正后复核","")</f>
        <v/>
      </c>
      <c r="H48" s="14">
        <f>IF(F48&lt;&gt;"","待处理","")</f>
        <v/>
      </c>
    </row>
    <row r="49">
      <c r="A49" s="14">
        <f>IF(F49&lt;&gt;"","ISSUE-"&amp;TEXT(ROW()-1,"00000"),"")</f>
        <v/>
      </c>
      <c r="B49" s="14">
        <f>IF(F49&lt;&gt;"","错误","")</f>
        <v/>
      </c>
      <c r="C49" s="14">
        <f>IF('02_固定地理'!A49&lt;&gt;"","02_固定地理","")</f>
        <v/>
      </c>
      <c r="D49" s="14">
        <f>IF('02_固定地理'!A49&lt;&gt;"",'02_固定地理'!A49,"")</f>
        <v/>
      </c>
      <c r="E49" s="14">
        <f>IF(F49&lt;&gt;"","综合校验","")</f>
        <v/>
      </c>
      <c r="F49" s="14">
        <f>IF('02_固定地理'!A49&lt;&gt;"",IF('02_固定地理'!A49="","缺少对象ID；","")&amp;IF('02_固定地理'!B49="","缺少中文名称；","")&amp;IF('02_固定地理'!D49="","缺少对象类型；","")&amp;IF(AND('02_固定地理'!F49&lt;&gt;"",OR('02_固定地理'!F49&lt;0,'02_固定地理'!F49&gt;WorldWidth)),"世界中心X越界；","")&amp;IF(AND('02_固定地理'!G49&lt;&gt;"",OR('02_固定地理'!G49&lt;0,'02_固定地理'!G49&gt;WorldHeight)),"世界中心Y越界；","")&amp;IF(AND('02_固定地理'!H49&lt;&gt;"",'02_固定地理'!J49&lt;&gt;"",'02_固定地理'!H49&gt;'02_固定地理'!J49),"最小X大于最大X；","")&amp;IF(AND('02_固定地理'!I49&lt;&gt;"",'02_固定地理'!K49&lt;&gt;"",'02_固定地理'!I49&gt;'02_固定地理'!K49),"最小Y大于最大Y；","")&amp;IF(AND('02_固定地理'!E49&lt;&gt;"",COUNTIF('02_固定地理'!$A$2:$A$501,'02_固定地理'!E49)=0),"父级对象不存在；","")&amp;IF(AND('02_固定地理'!A49&lt;&gt;"",COUNTIF('02_固定地理'!$A$2:$A$501,'02_固定地理'!A49)&gt;1),"ID重复；",""),"")</f>
        <v/>
      </c>
      <c r="G49" s="14">
        <f>IF(F49&lt;&gt;"","按字段批注、数据字典和来源记录修正后复核","")</f>
        <v/>
      </c>
      <c r="H49" s="14">
        <f>IF(F49&lt;&gt;"","待处理","")</f>
        <v/>
      </c>
    </row>
    <row r="50">
      <c r="A50" s="14">
        <f>IF(F50&lt;&gt;"","ISSUE-"&amp;TEXT(ROW()-1,"00000"),"")</f>
        <v/>
      </c>
      <c r="B50" s="14">
        <f>IF(F50&lt;&gt;"","错误","")</f>
        <v/>
      </c>
      <c r="C50" s="14">
        <f>IF('02_固定地理'!A50&lt;&gt;"","02_固定地理","")</f>
        <v/>
      </c>
      <c r="D50" s="14">
        <f>IF('02_固定地理'!A50&lt;&gt;"",'02_固定地理'!A50,"")</f>
        <v/>
      </c>
      <c r="E50" s="14">
        <f>IF(F50&lt;&gt;"","综合校验","")</f>
        <v/>
      </c>
      <c r="F50" s="14">
        <f>IF('02_固定地理'!A50&lt;&gt;"",IF('02_固定地理'!A50="","缺少对象ID；","")&amp;IF('02_固定地理'!B50="","缺少中文名称；","")&amp;IF('02_固定地理'!D50="","缺少对象类型；","")&amp;IF(AND('02_固定地理'!F50&lt;&gt;"",OR('02_固定地理'!F50&lt;0,'02_固定地理'!F50&gt;WorldWidth)),"世界中心X越界；","")&amp;IF(AND('02_固定地理'!G50&lt;&gt;"",OR('02_固定地理'!G50&lt;0,'02_固定地理'!G50&gt;WorldHeight)),"世界中心Y越界；","")&amp;IF(AND('02_固定地理'!H50&lt;&gt;"",'02_固定地理'!J50&lt;&gt;"",'02_固定地理'!H50&gt;'02_固定地理'!J50),"最小X大于最大X；","")&amp;IF(AND('02_固定地理'!I50&lt;&gt;"",'02_固定地理'!K50&lt;&gt;"",'02_固定地理'!I50&gt;'02_固定地理'!K50),"最小Y大于最大Y；","")&amp;IF(AND('02_固定地理'!E50&lt;&gt;"",COUNTIF('02_固定地理'!$A$2:$A$501,'02_固定地理'!E50)=0),"父级对象不存在；","")&amp;IF(AND('02_固定地理'!A50&lt;&gt;"",COUNTIF('02_固定地理'!$A$2:$A$501,'02_固定地理'!A50)&gt;1),"ID重复；",""),"")</f>
        <v/>
      </c>
      <c r="G50" s="14">
        <f>IF(F50&lt;&gt;"","按字段批注、数据字典和来源记录修正后复核","")</f>
        <v/>
      </c>
      <c r="H50" s="14">
        <f>IF(F50&lt;&gt;"","待处理","")</f>
        <v/>
      </c>
    </row>
    <row r="51">
      <c r="A51" s="14">
        <f>IF(F51&lt;&gt;"","ISSUE-"&amp;TEXT(ROW()-1,"00000"),"")</f>
        <v/>
      </c>
      <c r="B51" s="14">
        <f>IF(F51&lt;&gt;"","错误","")</f>
        <v/>
      </c>
      <c r="C51" s="14">
        <f>IF('02_固定地理'!A51&lt;&gt;"","02_固定地理","")</f>
        <v/>
      </c>
      <c r="D51" s="14">
        <f>IF('02_固定地理'!A51&lt;&gt;"",'02_固定地理'!A51,"")</f>
        <v/>
      </c>
      <c r="E51" s="14">
        <f>IF(F51&lt;&gt;"","综合校验","")</f>
        <v/>
      </c>
      <c r="F51" s="14">
        <f>IF('02_固定地理'!A51&lt;&gt;"",IF('02_固定地理'!A51="","缺少对象ID；","")&amp;IF('02_固定地理'!B51="","缺少中文名称；","")&amp;IF('02_固定地理'!D51="","缺少对象类型；","")&amp;IF(AND('02_固定地理'!F51&lt;&gt;"",OR('02_固定地理'!F51&lt;0,'02_固定地理'!F51&gt;WorldWidth)),"世界中心X越界；","")&amp;IF(AND('02_固定地理'!G51&lt;&gt;"",OR('02_固定地理'!G51&lt;0,'02_固定地理'!G51&gt;WorldHeight)),"世界中心Y越界；","")&amp;IF(AND('02_固定地理'!H51&lt;&gt;"",'02_固定地理'!J51&lt;&gt;"",'02_固定地理'!H51&gt;'02_固定地理'!J51),"最小X大于最大X；","")&amp;IF(AND('02_固定地理'!I51&lt;&gt;"",'02_固定地理'!K51&lt;&gt;"",'02_固定地理'!I51&gt;'02_固定地理'!K51),"最小Y大于最大Y；","")&amp;IF(AND('02_固定地理'!E51&lt;&gt;"",COUNTIF('02_固定地理'!$A$2:$A$501,'02_固定地理'!E51)=0),"父级对象不存在；","")&amp;IF(AND('02_固定地理'!A51&lt;&gt;"",COUNTIF('02_固定地理'!$A$2:$A$501,'02_固定地理'!A51)&gt;1),"ID重复；",""),"")</f>
        <v/>
      </c>
      <c r="G51" s="14">
        <f>IF(F51&lt;&gt;"","按字段批注、数据字典和来源记录修正后复核","")</f>
        <v/>
      </c>
      <c r="H51" s="14">
        <f>IF(F51&lt;&gt;"","待处理","")</f>
        <v/>
      </c>
    </row>
    <row r="52">
      <c r="A52" s="14">
        <f>IF(F52&lt;&gt;"","ISSUE-"&amp;TEXT(ROW()-1,"00000"),"")</f>
        <v/>
      </c>
      <c r="B52" s="14">
        <f>IF(F52&lt;&gt;"","错误","")</f>
        <v/>
      </c>
      <c r="C52" s="14">
        <f>IF('02_固定地理'!A52&lt;&gt;"","02_固定地理","")</f>
        <v/>
      </c>
      <c r="D52" s="14">
        <f>IF('02_固定地理'!A52&lt;&gt;"",'02_固定地理'!A52,"")</f>
        <v/>
      </c>
      <c r="E52" s="14">
        <f>IF(F52&lt;&gt;"","综合校验","")</f>
        <v/>
      </c>
      <c r="F52" s="14">
        <f>IF('02_固定地理'!A52&lt;&gt;"",IF('02_固定地理'!A52="","缺少对象ID；","")&amp;IF('02_固定地理'!B52="","缺少中文名称；","")&amp;IF('02_固定地理'!D52="","缺少对象类型；","")&amp;IF(AND('02_固定地理'!F52&lt;&gt;"",OR('02_固定地理'!F52&lt;0,'02_固定地理'!F52&gt;WorldWidth)),"世界中心X越界；","")&amp;IF(AND('02_固定地理'!G52&lt;&gt;"",OR('02_固定地理'!G52&lt;0,'02_固定地理'!G52&gt;WorldHeight)),"世界中心Y越界；","")&amp;IF(AND('02_固定地理'!H52&lt;&gt;"",'02_固定地理'!J52&lt;&gt;"",'02_固定地理'!H52&gt;'02_固定地理'!J52),"最小X大于最大X；","")&amp;IF(AND('02_固定地理'!I52&lt;&gt;"",'02_固定地理'!K52&lt;&gt;"",'02_固定地理'!I52&gt;'02_固定地理'!K52),"最小Y大于最大Y；","")&amp;IF(AND('02_固定地理'!E52&lt;&gt;"",COUNTIF('02_固定地理'!$A$2:$A$501,'02_固定地理'!E52)=0),"父级对象不存在；","")&amp;IF(AND('02_固定地理'!A52&lt;&gt;"",COUNTIF('02_固定地理'!$A$2:$A$501,'02_固定地理'!A52)&gt;1),"ID重复；",""),"")</f>
        <v/>
      </c>
      <c r="G52" s="14">
        <f>IF(F52&lt;&gt;"","按字段批注、数据字典和来源记录修正后复核","")</f>
        <v/>
      </c>
      <c r="H52" s="14">
        <f>IF(F52&lt;&gt;"","待处理","")</f>
        <v/>
      </c>
    </row>
    <row r="53">
      <c r="A53" s="14">
        <f>IF(F53&lt;&gt;"","ISSUE-"&amp;TEXT(ROW()-1,"00000"),"")</f>
        <v/>
      </c>
      <c r="B53" s="14">
        <f>IF(F53&lt;&gt;"","错误","")</f>
        <v/>
      </c>
      <c r="C53" s="14">
        <f>IF('02_固定地理'!A53&lt;&gt;"","02_固定地理","")</f>
        <v/>
      </c>
      <c r="D53" s="14">
        <f>IF('02_固定地理'!A53&lt;&gt;"",'02_固定地理'!A53,"")</f>
        <v/>
      </c>
      <c r="E53" s="14">
        <f>IF(F53&lt;&gt;"","综合校验","")</f>
        <v/>
      </c>
      <c r="F53" s="14">
        <f>IF('02_固定地理'!A53&lt;&gt;"",IF('02_固定地理'!A53="","缺少对象ID；","")&amp;IF('02_固定地理'!B53="","缺少中文名称；","")&amp;IF('02_固定地理'!D53="","缺少对象类型；","")&amp;IF(AND('02_固定地理'!F53&lt;&gt;"",OR('02_固定地理'!F53&lt;0,'02_固定地理'!F53&gt;WorldWidth)),"世界中心X越界；","")&amp;IF(AND('02_固定地理'!G53&lt;&gt;"",OR('02_固定地理'!G53&lt;0,'02_固定地理'!G53&gt;WorldHeight)),"世界中心Y越界；","")&amp;IF(AND('02_固定地理'!H53&lt;&gt;"",'02_固定地理'!J53&lt;&gt;"",'02_固定地理'!H53&gt;'02_固定地理'!J53),"最小X大于最大X；","")&amp;IF(AND('02_固定地理'!I53&lt;&gt;"",'02_固定地理'!K53&lt;&gt;"",'02_固定地理'!I53&gt;'02_固定地理'!K53),"最小Y大于最大Y；","")&amp;IF(AND('02_固定地理'!E53&lt;&gt;"",COUNTIF('02_固定地理'!$A$2:$A$501,'02_固定地理'!E53)=0),"父级对象不存在；","")&amp;IF(AND('02_固定地理'!A53&lt;&gt;"",COUNTIF('02_固定地理'!$A$2:$A$501,'02_固定地理'!A53)&gt;1),"ID重复；",""),"")</f>
        <v/>
      </c>
      <c r="G53" s="14">
        <f>IF(F53&lt;&gt;"","按字段批注、数据字典和来源记录修正后复核","")</f>
        <v/>
      </c>
      <c r="H53" s="14">
        <f>IF(F53&lt;&gt;"","待处理","")</f>
        <v/>
      </c>
    </row>
    <row r="54">
      <c r="A54" s="14">
        <f>IF(F54&lt;&gt;"","ISSUE-"&amp;TEXT(ROW()-1,"00000"),"")</f>
        <v/>
      </c>
      <c r="B54" s="14">
        <f>IF(F54&lt;&gt;"","错误","")</f>
        <v/>
      </c>
      <c r="C54" s="14">
        <f>IF('02_固定地理'!A54&lt;&gt;"","02_固定地理","")</f>
        <v/>
      </c>
      <c r="D54" s="14">
        <f>IF('02_固定地理'!A54&lt;&gt;"",'02_固定地理'!A54,"")</f>
        <v/>
      </c>
      <c r="E54" s="14">
        <f>IF(F54&lt;&gt;"","综合校验","")</f>
        <v/>
      </c>
      <c r="F54" s="14">
        <f>IF('02_固定地理'!A54&lt;&gt;"",IF('02_固定地理'!A54="","缺少对象ID；","")&amp;IF('02_固定地理'!B54="","缺少中文名称；","")&amp;IF('02_固定地理'!D54="","缺少对象类型；","")&amp;IF(AND('02_固定地理'!F54&lt;&gt;"",OR('02_固定地理'!F54&lt;0,'02_固定地理'!F54&gt;WorldWidth)),"世界中心X越界；","")&amp;IF(AND('02_固定地理'!G54&lt;&gt;"",OR('02_固定地理'!G54&lt;0,'02_固定地理'!G54&gt;WorldHeight)),"世界中心Y越界；","")&amp;IF(AND('02_固定地理'!H54&lt;&gt;"",'02_固定地理'!J54&lt;&gt;"",'02_固定地理'!H54&gt;'02_固定地理'!J54),"最小X大于最大X；","")&amp;IF(AND('02_固定地理'!I54&lt;&gt;"",'02_固定地理'!K54&lt;&gt;"",'02_固定地理'!I54&gt;'02_固定地理'!K54),"最小Y大于最大Y；","")&amp;IF(AND('02_固定地理'!E54&lt;&gt;"",COUNTIF('02_固定地理'!$A$2:$A$501,'02_固定地理'!E54)=0),"父级对象不存在；","")&amp;IF(AND('02_固定地理'!A54&lt;&gt;"",COUNTIF('02_固定地理'!$A$2:$A$501,'02_固定地理'!A54)&gt;1),"ID重复；",""),"")</f>
        <v/>
      </c>
      <c r="G54" s="14">
        <f>IF(F54&lt;&gt;"","按字段批注、数据字典和来源记录修正后复核","")</f>
        <v/>
      </c>
      <c r="H54" s="14">
        <f>IF(F54&lt;&gt;"","待处理","")</f>
        <v/>
      </c>
    </row>
    <row r="55">
      <c r="A55" s="14">
        <f>IF(F55&lt;&gt;"","ISSUE-"&amp;TEXT(ROW()-1,"00000"),"")</f>
        <v/>
      </c>
      <c r="B55" s="14">
        <f>IF(F55&lt;&gt;"","错误","")</f>
        <v/>
      </c>
      <c r="C55" s="14">
        <f>IF('02_固定地理'!A55&lt;&gt;"","02_固定地理","")</f>
        <v/>
      </c>
      <c r="D55" s="14">
        <f>IF('02_固定地理'!A55&lt;&gt;"",'02_固定地理'!A55,"")</f>
        <v/>
      </c>
      <c r="E55" s="14">
        <f>IF(F55&lt;&gt;"","综合校验","")</f>
        <v/>
      </c>
      <c r="F55" s="14">
        <f>IF('02_固定地理'!A55&lt;&gt;"",IF('02_固定地理'!A55="","缺少对象ID；","")&amp;IF('02_固定地理'!B55="","缺少中文名称；","")&amp;IF('02_固定地理'!D55="","缺少对象类型；","")&amp;IF(AND('02_固定地理'!F55&lt;&gt;"",OR('02_固定地理'!F55&lt;0,'02_固定地理'!F55&gt;WorldWidth)),"世界中心X越界；","")&amp;IF(AND('02_固定地理'!G55&lt;&gt;"",OR('02_固定地理'!G55&lt;0,'02_固定地理'!G55&gt;WorldHeight)),"世界中心Y越界；","")&amp;IF(AND('02_固定地理'!H55&lt;&gt;"",'02_固定地理'!J55&lt;&gt;"",'02_固定地理'!H55&gt;'02_固定地理'!J55),"最小X大于最大X；","")&amp;IF(AND('02_固定地理'!I55&lt;&gt;"",'02_固定地理'!K55&lt;&gt;"",'02_固定地理'!I55&gt;'02_固定地理'!K55),"最小Y大于最大Y；","")&amp;IF(AND('02_固定地理'!E55&lt;&gt;"",COUNTIF('02_固定地理'!$A$2:$A$501,'02_固定地理'!E55)=0),"父级对象不存在；","")&amp;IF(AND('02_固定地理'!A55&lt;&gt;"",COUNTIF('02_固定地理'!$A$2:$A$501,'02_固定地理'!A55)&gt;1),"ID重复；",""),"")</f>
        <v/>
      </c>
      <c r="G55" s="14">
        <f>IF(F55&lt;&gt;"","按字段批注、数据字典和来源记录修正后复核","")</f>
        <v/>
      </c>
      <c r="H55" s="14">
        <f>IF(F55&lt;&gt;"","待处理","")</f>
        <v/>
      </c>
    </row>
    <row r="56">
      <c r="A56" s="14">
        <f>IF(F56&lt;&gt;"","ISSUE-"&amp;TEXT(ROW()-1,"00000"),"")</f>
        <v/>
      </c>
      <c r="B56" s="14">
        <f>IF(F56&lt;&gt;"","错误","")</f>
        <v/>
      </c>
      <c r="C56" s="14">
        <f>IF('02_固定地理'!A56&lt;&gt;"","02_固定地理","")</f>
        <v/>
      </c>
      <c r="D56" s="14">
        <f>IF('02_固定地理'!A56&lt;&gt;"",'02_固定地理'!A56,"")</f>
        <v/>
      </c>
      <c r="E56" s="14">
        <f>IF(F56&lt;&gt;"","综合校验","")</f>
        <v/>
      </c>
      <c r="F56" s="14">
        <f>IF('02_固定地理'!A56&lt;&gt;"",IF('02_固定地理'!A56="","缺少对象ID；","")&amp;IF('02_固定地理'!B56="","缺少中文名称；","")&amp;IF('02_固定地理'!D56="","缺少对象类型；","")&amp;IF(AND('02_固定地理'!F56&lt;&gt;"",OR('02_固定地理'!F56&lt;0,'02_固定地理'!F56&gt;WorldWidth)),"世界中心X越界；","")&amp;IF(AND('02_固定地理'!G56&lt;&gt;"",OR('02_固定地理'!G56&lt;0,'02_固定地理'!G56&gt;WorldHeight)),"世界中心Y越界；","")&amp;IF(AND('02_固定地理'!H56&lt;&gt;"",'02_固定地理'!J56&lt;&gt;"",'02_固定地理'!H56&gt;'02_固定地理'!J56),"最小X大于最大X；","")&amp;IF(AND('02_固定地理'!I56&lt;&gt;"",'02_固定地理'!K56&lt;&gt;"",'02_固定地理'!I56&gt;'02_固定地理'!K56),"最小Y大于最大Y；","")&amp;IF(AND('02_固定地理'!E56&lt;&gt;"",COUNTIF('02_固定地理'!$A$2:$A$501,'02_固定地理'!E56)=0),"父级对象不存在；","")&amp;IF(AND('02_固定地理'!A56&lt;&gt;"",COUNTIF('02_固定地理'!$A$2:$A$501,'02_固定地理'!A56)&gt;1),"ID重复；",""),"")</f>
        <v/>
      </c>
      <c r="G56" s="14">
        <f>IF(F56&lt;&gt;"","按字段批注、数据字典和来源记录修正后复核","")</f>
        <v/>
      </c>
      <c r="H56" s="14">
        <f>IF(F56&lt;&gt;"","待处理","")</f>
        <v/>
      </c>
    </row>
    <row r="57">
      <c r="A57" s="14">
        <f>IF(F57&lt;&gt;"","ISSUE-"&amp;TEXT(ROW()-1,"00000"),"")</f>
        <v/>
      </c>
      <c r="B57" s="14">
        <f>IF(F57&lt;&gt;"","错误","")</f>
        <v/>
      </c>
      <c r="C57" s="14">
        <f>IF('02_固定地理'!A57&lt;&gt;"","02_固定地理","")</f>
        <v/>
      </c>
      <c r="D57" s="14">
        <f>IF('02_固定地理'!A57&lt;&gt;"",'02_固定地理'!A57,"")</f>
        <v/>
      </c>
      <c r="E57" s="14">
        <f>IF(F57&lt;&gt;"","综合校验","")</f>
        <v/>
      </c>
      <c r="F57" s="14">
        <f>IF('02_固定地理'!A57&lt;&gt;"",IF('02_固定地理'!A57="","缺少对象ID；","")&amp;IF('02_固定地理'!B57="","缺少中文名称；","")&amp;IF('02_固定地理'!D57="","缺少对象类型；","")&amp;IF(AND('02_固定地理'!F57&lt;&gt;"",OR('02_固定地理'!F57&lt;0,'02_固定地理'!F57&gt;WorldWidth)),"世界中心X越界；","")&amp;IF(AND('02_固定地理'!G57&lt;&gt;"",OR('02_固定地理'!G57&lt;0,'02_固定地理'!G57&gt;WorldHeight)),"世界中心Y越界；","")&amp;IF(AND('02_固定地理'!H57&lt;&gt;"",'02_固定地理'!J57&lt;&gt;"",'02_固定地理'!H57&gt;'02_固定地理'!J57),"最小X大于最大X；","")&amp;IF(AND('02_固定地理'!I57&lt;&gt;"",'02_固定地理'!K57&lt;&gt;"",'02_固定地理'!I57&gt;'02_固定地理'!K57),"最小Y大于最大Y；","")&amp;IF(AND('02_固定地理'!E57&lt;&gt;"",COUNTIF('02_固定地理'!$A$2:$A$501,'02_固定地理'!E57)=0),"父级对象不存在；","")&amp;IF(AND('02_固定地理'!A57&lt;&gt;"",COUNTIF('02_固定地理'!$A$2:$A$501,'02_固定地理'!A57)&gt;1),"ID重复；",""),"")</f>
        <v/>
      </c>
      <c r="G57" s="14">
        <f>IF(F57&lt;&gt;"","按字段批注、数据字典和来源记录修正后复核","")</f>
        <v/>
      </c>
      <c r="H57" s="14">
        <f>IF(F57&lt;&gt;"","待处理","")</f>
        <v/>
      </c>
    </row>
    <row r="58">
      <c r="A58" s="14">
        <f>IF(F58&lt;&gt;"","ISSUE-"&amp;TEXT(ROW()-1,"00000"),"")</f>
        <v/>
      </c>
      <c r="B58" s="14">
        <f>IF(F58&lt;&gt;"","错误","")</f>
        <v/>
      </c>
      <c r="C58" s="14">
        <f>IF('02_固定地理'!A58&lt;&gt;"","02_固定地理","")</f>
        <v/>
      </c>
      <c r="D58" s="14">
        <f>IF('02_固定地理'!A58&lt;&gt;"",'02_固定地理'!A58,"")</f>
        <v/>
      </c>
      <c r="E58" s="14">
        <f>IF(F58&lt;&gt;"","综合校验","")</f>
        <v/>
      </c>
      <c r="F58" s="14">
        <f>IF('02_固定地理'!A58&lt;&gt;"",IF('02_固定地理'!A58="","缺少对象ID；","")&amp;IF('02_固定地理'!B58="","缺少中文名称；","")&amp;IF('02_固定地理'!D58="","缺少对象类型；","")&amp;IF(AND('02_固定地理'!F58&lt;&gt;"",OR('02_固定地理'!F58&lt;0,'02_固定地理'!F58&gt;WorldWidth)),"世界中心X越界；","")&amp;IF(AND('02_固定地理'!G58&lt;&gt;"",OR('02_固定地理'!G58&lt;0,'02_固定地理'!G58&gt;WorldHeight)),"世界中心Y越界；","")&amp;IF(AND('02_固定地理'!H58&lt;&gt;"",'02_固定地理'!J58&lt;&gt;"",'02_固定地理'!H58&gt;'02_固定地理'!J58),"最小X大于最大X；","")&amp;IF(AND('02_固定地理'!I58&lt;&gt;"",'02_固定地理'!K58&lt;&gt;"",'02_固定地理'!I58&gt;'02_固定地理'!K58),"最小Y大于最大Y；","")&amp;IF(AND('02_固定地理'!E58&lt;&gt;"",COUNTIF('02_固定地理'!$A$2:$A$501,'02_固定地理'!E58)=0),"父级对象不存在；","")&amp;IF(AND('02_固定地理'!A58&lt;&gt;"",COUNTIF('02_固定地理'!$A$2:$A$501,'02_固定地理'!A58)&gt;1),"ID重复；",""),"")</f>
        <v/>
      </c>
      <c r="G58" s="14">
        <f>IF(F58&lt;&gt;"","按字段批注、数据字典和来源记录修正后复核","")</f>
        <v/>
      </c>
      <c r="H58" s="14">
        <f>IF(F58&lt;&gt;"","待处理","")</f>
        <v/>
      </c>
    </row>
    <row r="59">
      <c r="A59" s="14">
        <f>IF(F59&lt;&gt;"","ISSUE-"&amp;TEXT(ROW()-1,"00000"),"")</f>
        <v/>
      </c>
      <c r="B59" s="14">
        <f>IF(F59&lt;&gt;"","错误","")</f>
        <v/>
      </c>
      <c r="C59" s="14">
        <f>IF('02_固定地理'!A59&lt;&gt;"","02_固定地理","")</f>
        <v/>
      </c>
      <c r="D59" s="14">
        <f>IF('02_固定地理'!A59&lt;&gt;"",'02_固定地理'!A59,"")</f>
        <v/>
      </c>
      <c r="E59" s="14">
        <f>IF(F59&lt;&gt;"","综合校验","")</f>
        <v/>
      </c>
      <c r="F59" s="14">
        <f>IF('02_固定地理'!A59&lt;&gt;"",IF('02_固定地理'!A59="","缺少对象ID；","")&amp;IF('02_固定地理'!B59="","缺少中文名称；","")&amp;IF('02_固定地理'!D59="","缺少对象类型；","")&amp;IF(AND('02_固定地理'!F59&lt;&gt;"",OR('02_固定地理'!F59&lt;0,'02_固定地理'!F59&gt;WorldWidth)),"世界中心X越界；","")&amp;IF(AND('02_固定地理'!G59&lt;&gt;"",OR('02_固定地理'!G59&lt;0,'02_固定地理'!G59&gt;WorldHeight)),"世界中心Y越界；","")&amp;IF(AND('02_固定地理'!H59&lt;&gt;"",'02_固定地理'!J59&lt;&gt;"",'02_固定地理'!H59&gt;'02_固定地理'!J59),"最小X大于最大X；","")&amp;IF(AND('02_固定地理'!I59&lt;&gt;"",'02_固定地理'!K59&lt;&gt;"",'02_固定地理'!I59&gt;'02_固定地理'!K59),"最小Y大于最大Y；","")&amp;IF(AND('02_固定地理'!E59&lt;&gt;"",COUNTIF('02_固定地理'!$A$2:$A$501,'02_固定地理'!E59)=0),"父级对象不存在；","")&amp;IF(AND('02_固定地理'!A59&lt;&gt;"",COUNTIF('02_固定地理'!$A$2:$A$501,'02_固定地理'!A59)&gt;1),"ID重复；",""),"")</f>
        <v/>
      </c>
      <c r="G59" s="14">
        <f>IF(F59&lt;&gt;"","按字段批注、数据字典和来源记录修正后复核","")</f>
        <v/>
      </c>
      <c r="H59" s="14">
        <f>IF(F59&lt;&gt;"","待处理","")</f>
        <v/>
      </c>
    </row>
    <row r="60">
      <c r="A60" s="14">
        <f>IF(F60&lt;&gt;"","ISSUE-"&amp;TEXT(ROW()-1,"00000"),"")</f>
        <v/>
      </c>
      <c r="B60" s="14">
        <f>IF(F60&lt;&gt;"","错误","")</f>
        <v/>
      </c>
      <c r="C60" s="14">
        <f>IF('02_固定地理'!A60&lt;&gt;"","02_固定地理","")</f>
        <v/>
      </c>
      <c r="D60" s="14">
        <f>IF('02_固定地理'!A60&lt;&gt;"",'02_固定地理'!A60,"")</f>
        <v/>
      </c>
      <c r="E60" s="14">
        <f>IF(F60&lt;&gt;"","综合校验","")</f>
        <v/>
      </c>
      <c r="F60" s="14">
        <f>IF('02_固定地理'!A60&lt;&gt;"",IF('02_固定地理'!A60="","缺少对象ID；","")&amp;IF('02_固定地理'!B60="","缺少中文名称；","")&amp;IF('02_固定地理'!D60="","缺少对象类型；","")&amp;IF(AND('02_固定地理'!F60&lt;&gt;"",OR('02_固定地理'!F60&lt;0,'02_固定地理'!F60&gt;WorldWidth)),"世界中心X越界；","")&amp;IF(AND('02_固定地理'!G60&lt;&gt;"",OR('02_固定地理'!G60&lt;0,'02_固定地理'!G60&gt;WorldHeight)),"世界中心Y越界；","")&amp;IF(AND('02_固定地理'!H60&lt;&gt;"",'02_固定地理'!J60&lt;&gt;"",'02_固定地理'!H60&gt;'02_固定地理'!J60),"最小X大于最大X；","")&amp;IF(AND('02_固定地理'!I60&lt;&gt;"",'02_固定地理'!K60&lt;&gt;"",'02_固定地理'!I60&gt;'02_固定地理'!K60),"最小Y大于最大Y；","")&amp;IF(AND('02_固定地理'!E60&lt;&gt;"",COUNTIF('02_固定地理'!$A$2:$A$501,'02_固定地理'!E60)=0),"父级对象不存在；","")&amp;IF(AND('02_固定地理'!A60&lt;&gt;"",COUNTIF('02_固定地理'!$A$2:$A$501,'02_固定地理'!A60)&gt;1),"ID重复；",""),"")</f>
        <v/>
      </c>
      <c r="G60" s="14">
        <f>IF(F60&lt;&gt;"","按字段批注、数据字典和来源记录修正后复核","")</f>
        <v/>
      </c>
      <c r="H60" s="14">
        <f>IF(F60&lt;&gt;"","待处理","")</f>
        <v/>
      </c>
    </row>
    <row r="61">
      <c r="A61" s="14">
        <f>IF(F61&lt;&gt;"","ISSUE-"&amp;TEXT(ROW()-1,"00000"),"")</f>
        <v/>
      </c>
      <c r="B61" s="14">
        <f>IF(F61&lt;&gt;"","错误","")</f>
        <v/>
      </c>
      <c r="C61" s="14">
        <f>IF('02_固定地理'!A61&lt;&gt;"","02_固定地理","")</f>
        <v/>
      </c>
      <c r="D61" s="14">
        <f>IF('02_固定地理'!A61&lt;&gt;"",'02_固定地理'!A61,"")</f>
        <v/>
      </c>
      <c r="E61" s="14">
        <f>IF(F61&lt;&gt;"","综合校验","")</f>
        <v/>
      </c>
      <c r="F61" s="14">
        <f>IF('02_固定地理'!A61&lt;&gt;"",IF('02_固定地理'!A61="","缺少对象ID；","")&amp;IF('02_固定地理'!B61="","缺少中文名称；","")&amp;IF('02_固定地理'!D61="","缺少对象类型；","")&amp;IF(AND('02_固定地理'!F61&lt;&gt;"",OR('02_固定地理'!F61&lt;0,'02_固定地理'!F61&gt;WorldWidth)),"世界中心X越界；","")&amp;IF(AND('02_固定地理'!G61&lt;&gt;"",OR('02_固定地理'!G61&lt;0,'02_固定地理'!G61&gt;WorldHeight)),"世界中心Y越界；","")&amp;IF(AND('02_固定地理'!H61&lt;&gt;"",'02_固定地理'!J61&lt;&gt;"",'02_固定地理'!H61&gt;'02_固定地理'!J61),"最小X大于最大X；","")&amp;IF(AND('02_固定地理'!I61&lt;&gt;"",'02_固定地理'!K61&lt;&gt;"",'02_固定地理'!I61&gt;'02_固定地理'!K61),"最小Y大于最大Y；","")&amp;IF(AND('02_固定地理'!E61&lt;&gt;"",COUNTIF('02_固定地理'!$A$2:$A$501,'02_固定地理'!E61)=0),"父级对象不存在；","")&amp;IF(AND('02_固定地理'!A61&lt;&gt;"",COUNTIF('02_固定地理'!$A$2:$A$501,'02_固定地理'!A61)&gt;1),"ID重复；",""),"")</f>
        <v/>
      </c>
      <c r="G61" s="14">
        <f>IF(F61&lt;&gt;"","按字段批注、数据字典和来源记录修正后复核","")</f>
        <v/>
      </c>
      <c r="H61" s="14">
        <f>IF(F61&lt;&gt;"","待处理","")</f>
        <v/>
      </c>
    </row>
    <row r="62">
      <c r="A62" s="14">
        <f>IF(F62&lt;&gt;"","ISSUE-"&amp;TEXT(ROW()-1,"00000"),"")</f>
        <v/>
      </c>
      <c r="B62" s="14">
        <f>IF(F62&lt;&gt;"","错误","")</f>
        <v/>
      </c>
      <c r="C62" s="14">
        <f>IF('02_固定地理'!A62&lt;&gt;"","02_固定地理","")</f>
        <v/>
      </c>
      <c r="D62" s="14">
        <f>IF('02_固定地理'!A62&lt;&gt;"",'02_固定地理'!A62,"")</f>
        <v/>
      </c>
      <c r="E62" s="14">
        <f>IF(F62&lt;&gt;"","综合校验","")</f>
        <v/>
      </c>
      <c r="F62" s="14">
        <f>IF('02_固定地理'!A62&lt;&gt;"",IF('02_固定地理'!A62="","缺少对象ID；","")&amp;IF('02_固定地理'!B62="","缺少中文名称；","")&amp;IF('02_固定地理'!D62="","缺少对象类型；","")&amp;IF(AND('02_固定地理'!F62&lt;&gt;"",OR('02_固定地理'!F62&lt;0,'02_固定地理'!F62&gt;WorldWidth)),"世界中心X越界；","")&amp;IF(AND('02_固定地理'!G62&lt;&gt;"",OR('02_固定地理'!G62&lt;0,'02_固定地理'!G62&gt;WorldHeight)),"世界中心Y越界；","")&amp;IF(AND('02_固定地理'!H62&lt;&gt;"",'02_固定地理'!J62&lt;&gt;"",'02_固定地理'!H62&gt;'02_固定地理'!J62),"最小X大于最大X；","")&amp;IF(AND('02_固定地理'!I62&lt;&gt;"",'02_固定地理'!K62&lt;&gt;"",'02_固定地理'!I62&gt;'02_固定地理'!K62),"最小Y大于最大Y；","")&amp;IF(AND('02_固定地理'!E62&lt;&gt;"",COUNTIF('02_固定地理'!$A$2:$A$501,'02_固定地理'!E62)=0),"父级对象不存在；","")&amp;IF(AND('02_固定地理'!A62&lt;&gt;"",COUNTIF('02_固定地理'!$A$2:$A$501,'02_固定地理'!A62)&gt;1),"ID重复；",""),"")</f>
        <v/>
      </c>
      <c r="G62" s="14">
        <f>IF(F62&lt;&gt;"","按字段批注、数据字典和来源记录修正后复核","")</f>
        <v/>
      </c>
      <c r="H62" s="14">
        <f>IF(F62&lt;&gt;"","待处理","")</f>
        <v/>
      </c>
    </row>
    <row r="63">
      <c r="A63" s="14">
        <f>IF(F63&lt;&gt;"","ISSUE-"&amp;TEXT(ROW()-1,"00000"),"")</f>
        <v/>
      </c>
      <c r="B63" s="14">
        <f>IF(F63&lt;&gt;"","错误","")</f>
        <v/>
      </c>
      <c r="C63" s="14">
        <f>IF('02_固定地理'!A63&lt;&gt;"","02_固定地理","")</f>
        <v/>
      </c>
      <c r="D63" s="14">
        <f>IF('02_固定地理'!A63&lt;&gt;"",'02_固定地理'!A63,"")</f>
        <v/>
      </c>
      <c r="E63" s="14">
        <f>IF(F63&lt;&gt;"","综合校验","")</f>
        <v/>
      </c>
      <c r="F63" s="14">
        <f>IF('02_固定地理'!A63&lt;&gt;"",IF('02_固定地理'!A63="","缺少对象ID；","")&amp;IF('02_固定地理'!B63="","缺少中文名称；","")&amp;IF('02_固定地理'!D63="","缺少对象类型；","")&amp;IF(AND('02_固定地理'!F63&lt;&gt;"",OR('02_固定地理'!F63&lt;0,'02_固定地理'!F63&gt;WorldWidth)),"世界中心X越界；","")&amp;IF(AND('02_固定地理'!G63&lt;&gt;"",OR('02_固定地理'!G63&lt;0,'02_固定地理'!G63&gt;WorldHeight)),"世界中心Y越界；","")&amp;IF(AND('02_固定地理'!H63&lt;&gt;"",'02_固定地理'!J63&lt;&gt;"",'02_固定地理'!H63&gt;'02_固定地理'!J63),"最小X大于最大X；","")&amp;IF(AND('02_固定地理'!I63&lt;&gt;"",'02_固定地理'!K63&lt;&gt;"",'02_固定地理'!I63&gt;'02_固定地理'!K63),"最小Y大于最大Y；","")&amp;IF(AND('02_固定地理'!E63&lt;&gt;"",COUNTIF('02_固定地理'!$A$2:$A$501,'02_固定地理'!E63)=0),"父级对象不存在；","")&amp;IF(AND('02_固定地理'!A63&lt;&gt;"",COUNTIF('02_固定地理'!$A$2:$A$501,'02_固定地理'!A63)&gt;1),"ID重复；",""),"")</f>
        <v/>
      </c>
      <c r="G63" s="14">
        <f>IF(F63&lt;&gt;"","按字段批注、数据字典和来源记录修正后复核","")</f>
        <v/>
      </c>
      <c r="H63" s="14">
        <f>IF(F63&lt;&gt;"","待处理","")</f>
        <v/>
      </c>
    </row>
    <row r="64">
      <c r="A64" s="14">
        <f>IF(F64&lt;&gt;"","ISSUE-"&amp;TEXT(ROW()-1,"00000"),"")</f>
        <v/>
      </c>
      <c r="B64" s="14">
        <f>IF(F64&lt;&gt;"","错误","")</f>
        <v/>
      </c>
      <c r="C64" s="14">
        <f>IF('02_固定地理'!A64&lt;&gt;"","02_固定地理","")</f>
        <v/>
      </c>
      <c r="D64" s="14">
        <f>IF('02_固定地理'!A64&lt;&gt;"",'02_固定地理'!A64,"")</f>
        <v/>
      </c>
      <c r="E64" s="14">
        <f>IF(F64&lt;&gt;"","综合校验","")</f>
        <v/>
      </c>
      <c r="F64" s="14">
        <f>IF('02_固定地理'!A64&lt;&gt;"",IF('02_固定地理'!A64="","缺少对象ID；","")&amp;IF('02_固定地理'!B64="","缺少中文名称；","")&amp;IF('02_固定地理'!D64="","缺少对象类型；","")&amp;IF(AND('02_固定地理'!F64&lt;&gt;"",OR('02_固定地理'!F64&lt;0,'02_固定地理'!F64&gt;WorldWidth)),"世界中心X越界；","")&amp;IF(AND('02_固定地理'!G64&lt;&gt;"",OR('02_固定地理'!G64&lt;0,'02_固定地理'!G64&gt;WorldHeight)),"世界中心Y越界；","")&amp;IF(AND('02_固定地理'!H64&lt;&gt;"",'02_固定地理'!J64&lt;&gt;"",'02_固定地理'!H64&gt;'02_固定地理'!J64),"最小X大于最大X；","")&amp;IF(AND('02_固定地理'!I64&lt;&gt;"",'02_固定地理'!K64&lt;&gt;"",'02_固定地理'!I64&gt;'02_固定地理'!K64),"最小Y大于最大Y；","")&amp;IF(AND('02_固定地理'!E64&lt;&gt;"",COUNTIF('02_固定地理'!$A$2:$A$501,'02_固定地理'!E64)=0),"父级对象不存在；","")&amp;IF(AND('02_固定地理'!A64&lt;&gt;"",COUNTIF('02_固定地理'!$A$2:$A$501,'02_固定地理'!A64)&gt;1),"ID重复；",""),"")</f>
        <v/>
      </c>
      <c r="G64" s="14">
        <f>IF(F64&lt;&gt;"","按字段批注、数据字典和来源记录修正后复核","")</f>
        <v/>
      </c>
      <c r="H64" s="14">
        <f>IF(F64&lt;&gt;"","待处理","")</f>
        <v/>
      </c>
    </row>
    <row r="65">
      <c r="A65" s="14">
        <f>IF(F65&lt;&gt;"","ISSUE-"&amp;TEXT(ROW()-1,"00000"),"")</f>
        <v/>
      </c>
      <c r="B65" s="14">
        <f>IF(F65&lt;&gt;"","错误","")</f>
        <v/>
      </c>
      <c r="C65" s="14">
        <f>IF('02_固定地理'!A65&lt;&gt;"","02_固定地理","")</f>
        <v/>
      </c>
      <c r="D65" s="14">
        <f>IF('02_固定地理'!A65&lt;&gt;"",'02_固定地理'!A65,"")</f>
        <v/>
      </c>
      <c r="E65" s="14">
        <f>IF(F65&lt;&gt;"","综合校验","")</f>
        <v/>
      </c>
      <c r="F65" s="14">
        <f>IF('02_固定地理'!A65&lt;&gt;"",IF('02_固定地理'!A65="","缺少对象ID；","")&amp;IF('02_固定地理'!B65="","缺少中文名称；","")&amp;IF('02_固定地理'!D65="","缺少对象类型；","")&amp;IF(AND('02_固定地理'!F65&lt;&gt;"",OR('02_固定地理'!F65&lt;0,'02_固定地理'!F65&gt;WorldWidth)),"世界中心X越界；","")&amp;IF(AND('02_固定地理'!G65&lt;&gt;"",OR('02_固定地理'!G65&lt;0,'02_固定地理'!G65&gt;WorldHeight)),"世界中心Y越界；","")&amp;IF(AND('02_固定地理'!H65&lt;&gt;"",'02_固定地理'!J65&lt;&gt;"",'02_固定地理'!H65&gt;'02_固定地理'!J65),"最小X大于最大X；","")&amp;IF(AND('02_固定地理'!I65&lt;&gt;"",'02_固定地理'!K65&lt;&gt;"",'02_固定地理'!I65&gt;'02_固定地理'!K65),"最小Y大于最大Y；","")&amp;IF(AND('02_固定地理'!E65&lt;&gt;"",COUNTIF('02_固定地理'!$A$2:$A$501,'02_固定地理'!E65)=0),"父级对象不存在；","")&amp;IF(AND('02_固定地理'!A65&lt;&gt;"",COUNTIF('02_固定地理'!$A$2:$A$501,'02_固定地理'!A65)&gt;1),"ID重复；",""),"")</f>
        <v/>
      </c>
      <c r="G65" s="14">
        <f>IF(F65&lt;&gt;"","按字段批注、数据字典和来源记录修正后复核","")</f>
        <v/>
      </c>
      <c r="H65" s="14">
        <f>IF(F65&lt;&gt;"","待处理","")</f>
        <v/>
      </c>
    </row>
    <row r="66">
      <c r="A66" s="14">
        <f>IF(F66&lt;&gt;"","ISSUE-"&amp;TEXT(ROW()-1,"00000"),"")</f>
        <v/>
      </c>
      <c r="B66" s="14">
        <f>IF(F66&lt;&gt;"","错误","")</f>
        <v/>
      </c>
      <c r="C66" s="14">
        <f>IF('02_固定地理'!A66&lt;&gt;"","02_固定地理","")</f>
        <v/>
      </c>
      <c r="D66" s="14">
        <f>IF('02_固定地理'!A66&lt;&gt;"",'02_固定地理'!A66,"")</f>
        <v/>
      </c>
      <c r="E66" s="14">
        <f>IF(F66&lt;&gt;"","综合校验","")</f>
        <v/>
      </c>
      <c r="F66" s="14">
        <f>IF('02_固定地理'!A66&lt;&gt;"",IF('02_固定地理'!A66="","缺少对象ID；","")&amp;IF('02_固定地理'!B66="","缺少中文名称；","")&amp;IF('02_固定地理'!D66="","缺少对象类型；","")&amp;IF(AND('02_固定地理'!F66&lt;&gt;"",OR('02_固定地理'!F66&lt;0,'02_固定地理'!F66&gt;WorldWidth)),"世界中心X越界；","")&amp;IF(AND('02_固定地理'!G66&lt;&gt;"",OR('02_固定地理'!G66&lt;0,'02_固定地理'!G66&gt;WorldHeight)),"世界中心Y越界；","")&amp;IF(AND('02_固定地理'!H66&lt;&gt;"",'02_固定地理'!J66&lt;&gt;"",'02_固定地理'!H66&gt;'02_固定地理'!J66),"最小X大于最大X；","")&amp;IF(AND('02_固定地理'!I66&lt;&gt;"",'02_固定地理'!K66&lt;&gt;"",'02_固定地理'!I66&gt;'02_固定地理'!K66),"最小Y大于最大Y；","")&amp;IF(AND('02_固定地理'!E66&lt;&gt;"",COUNTIF('02_固定地理'!$A$2:$A$501,'02_固定地理'!E66)=0),"父级对象不存在；","")&amp;IF(AND('02_固定地理'!A66&lt;&gt;"",COUNTIF('02_固定地理'!$A$2:$A$501,'02_固定地理'!A66)&gt;1),"ID重复；",""),"")</f>
        <v/>
      </c>
      <c r="G66" s="14">
        <f>IF(F66&lt;&gt;"","按字段批注、数据字典和来源记录修正后复核","")</f>
        <v/>
      </c>
      <c r="H66" s="14">
        <f>IF(F66&lt;&gt;"","待处理","")</f>
        <v/>
      </c>
    </row>
    <row r="67">
      <c r="A67" s="14">
        <f>IF(F67&lt;&gt;"","ISSUE-"&amp;TEXT(ROW()-1,"00000"),"")</f>
        <v/>
      </c>
      <c r="B67" s="14">
        <f>IF(F67&lt;&gt;"","错误","")</f>
        <v/>
      </c>
      <c r="C67" s="14">
        <f>IF('02_固定地理'!A67&lt;&gt;"","02_固定地理","")</f>
        <v/>
      </c>
      <c r="D67" s="14">
        <f>IF('02_固定地理'!A67&lt;&gt;"",'02_固定地理'!A67,"")</f>
        <v/>
      </c>
      <c r="E67" s="14">
        <f>IF(F67&lt;&gt;"","综合校验","")</f>
        <v/>
      </c>
      <c r="F67" s="14">
        <f>IF('02_固定地理'!A67&lt;&gt;"",IF('02_固定地理'!A67="","缺少对象ID；","")&amp;IF('02_固定地理'!B67="","缺少中文名称；","")&amp;IF('02_固定地理'!D67="","缺少对象类型；","")&amp;IF(AND('02_固定地理'!F67&lt;&gt;"",OR('02_固定地理'!F67&lt;0,'02_固定地理'!F67&gt;WorldWidth)),"世界中心X越界；","")&amp;IF(AND('02_固定地理'!G67&lt;&gt;"",OR('02_固定地理'!G67&lt;0,'02_固定地理'!G67&gt;WorldHeight)),"世界中心Y越界；","")&amp;IF(AND('02_固定地理'!H67&lt;&gt;"",'02_固定地理'!J67&lt;&gt;"",'02_固定地理'!H67&gt;'02_固定地理'!J67),"最小X大于最大X；","")&amp;IF(AND('02_固定地理'!I67&lt;&gt;"",'02_固定地理'!K67&lt;&gt;"",'02_固定地理'!I67&gt;'02_固定地理'!K67),"最小Y大于最大Y；","")&amp;IF(AND('02_固定地理'!E67&lt;&gt;"",COUNTIF('02_固定地理'!$A$2:$A$501,'02_固定地理'!E67)=0),"父级对象不存在；","")&amp;IF(AND('02_固定地理'!A67&lt;&gt;"",COUNTIF('02_固定地理'!$A$2:$A$501,'02_固定地理'!A67)&gt;1),"ID重复；",""),"")</f>
        <v/>
      </c>
      <c r="G67" s="14">
        <f>IF(F67&lt;&gt;"","按字段批注、数据字典和来源记录修正后复核","")</f>
        <v/>
      </c>
      <c r="H67" s="14">
        <f>IF(F67&lt;&gt;"","待处理","")</f>
        <v/>
      </c>
    </row>
    <row r="68">
      <c r="A68" s="14">
        <f>IF(F68&lt;&gt;"","ISSUE-"&amp;TEXT(ROW()-1,"00000"),"")</f>
        <v/>
      </c>
      <c r="B68" s="14">
        <f>IF(F68&lt;&gt;"","错误","")</f>
        <v/>
      </c>
      <c r="C68" s="14">
        <f>IF('02_固定地理'!A68&lt;&gt;"","02_固定地理","")</f>
        <v/>
      </c>
      <c r="D68" s="14">
        <f>IF('02_固定地理'!A68&lt;&gt;"",'02_固定地理'!A68,"")</f>
        <v/>
      </c>
      <c r="E68" s="14">
        <f>IF(F68&lt;&gt;"","综合校验","")</f>
        <v/>
      </c>
      <c r="F68" s="14">
        <f>IF('02_固定地理'!A68&lt;&gt;"",IF('02_固定地理'!A68="","缺少对象ID；","")&amp;IF('02_固定地理'!B68="","缺少中文名称；","")&amp;IF('02_固定地理'!D68="","缺少对象类型；","")&amp;IF(AND('02_固定地理'!F68&lt;&gt;"",OR('02_固定地理'!F68&lt;0,'02_固定地理'!F68&gt;WorldWidth)),"世界中心X越界；","")&amp;IF(AND('02_固定地理'!G68&lt;&gt;"",OR('02_固定地理'!G68&lt;0,'02_固定地理'!G68&gt;WorldHeight)),"世界中心Y越界；","")&amp;IF(AND('02_固定地理'!H68&lt;&gt;"",'02_固定地理'!J68&lt;&gt;"",'02_固定地理'!H68&gt;'02_固定地理'!J68),"最小X大于最大X；","")&amp;IF(AND('02_固定地理'!I68&lt;&gt;"",'02_固定地理'!K68&lt;&gt;"",'02_固定地理'!I68&gt;'02_固定地理'!K68),"最小Y大于最大Y；","")&amp;IF(AND('02_固定地理'!E68&lt;&gt;"",COUNTIF('02_固定地理'!$A$2:$A$501,'02_固定地理'!E68)=0),"父级对象不存在；","")&amp;IF(AND('02_固定地理'!A68&lt;&gt;"",COUNTIF('02_固定地理'!$A$2:$A$501,'02_固定地理'!A68)&gt;1),"ID重复；",""),"")</f>
        <v/>
      </c>
      <c r="G68" s="14">
        <f>IF(F68&lt;&gt;"","按字段批注、数据字典和来源记录修正后复核","")</f>
        <v/>
      </c>
      <c r="H68" s="14">
        <f>IF(F68&lt;&gt;"","待处理","")</f>
        <v/>
      </c>
    </row>
    <row r="69">
      <c r="A69" s="14">
        <f>IF(F69&lt;&gt;"","ISSUE-"&amp;TEXT(ROW()-1,"00000"),"")</f>
        <v/>
      </c>
      <c r="B69" s="14">
        <f>IF(F69&lt;&gt;"","错误","")</f>
        <v/>
      </c>
      <c r="C69" s="14">
        <f>IF('02_固定地理'!A69&lt;&gt;"","02_固定地理","")</f>
        <v/>
      </c>
      <c r="D69" s="14">
        <f>IF('02_固定地理'!A69&lt;&gt;"",'02_固定地理'!A69,"")</f>
        <v/>
      </c>
      <c r="E69" s="14">
        <f>IF(F69&lt;&gt;"","综合校验","")</f>
        <v/>
      </c>
      <c r="F69" s="14">
        <f>IF('02_固定地理'!A69&lt;&gt;"",IF('02_固定地理'!A69="","缺少对象ID；","")&amp;IF('02_固定地理'!B69="","缺少中文名称；","")&amp;IF('02_固定地理'!D69="","缺少对象类型；","")&amp;IF(AND('02_固定地理'!F69&lt;&gt;"",OR('02_固定地理'!F69&lt;0,'02_固定地理'!F69&gt;WorldWidth)),"世界中心X越界；","")&amp;IF(AND('02_固定地理'!G69&lt;&gt;"",OR('02_固定地理'!G69&lt;0,'02_固定地理'!G69&gt;WorldHeight)),"世界中心Y越界；","")&amp;IF(AND('02_固定地理'!H69&lt;&gt;"",'02_固定地理'!J69&lt;&gt;"",'02_固定地理'!H69&gt;'02_固定地理'!J69),"最小X大于最大X；","")&amp;IF(AND('02_固定地理'!I69&lt;&gt;"",'02_固定地理'!K69&lt;&gt;"",'02_固定地理'!I69&gt;'02_固定地理'!K69),"最小Y大于最大Y；","")&amp;IF(AND('02_固定地理'!E69&lt;&gt;"",COUNTIF('02_固定地理'!$A$2:$A$501,'02_固定地理'!E69)=0),"父级对象不存在；","")&amp;IF(AND('02_固定地理'!A69&lt;&gt;"",COUNTIF('02_固定地理'!$A$2:$A$501,'02_固定地理'!A69)&gt;1),"ID重复；",""),"")</f>
        <v/>
      </c>
      <c r="G69" s="14">
        <f>IF(F69&lt;&gt;"","按字段批注、数据字典和来源记录修正后复核","")</f>
        <v/>
      </c>
      <c r="H69" s="14">
        <f>IF(F69&lt;&gt;"","待处理","")</f>
        <v/>
      </c>
    </row>
    <row r="70">
      <c r="A70" s="14">
        <f>IF(F70&lt;&gt;"","ISSUE-"&amp;TEXT(ROW()-1,"00000"),"")</f>
        <v/>
      </c>
      <c r="B70" s="14">
        <f>IF(F70&lt;&gt;"","错误","")</f>
        <v/>
      </c>
      <c r="C70" s="14">
        <f>IF('02_固定地理'!A70&lt;&gt;"","02_固定地理","")</f>
        <v/>
      </c>
      <c r="D70" s="14">
        <f>IF('02_固定地理'!A70&lt;&gt;"",'02_固定地理'!A70,"")</f>
        <v/>
      </c>
      <c r="E70" s="14">
        <f>IF(F70&lt;&gt;"","综合校验","")</f>
        <v/>
      </c>
      <c r="F70" s="14">
        <f>IF('02_固定地理'!A70&lt;&gt;"",IF('02_固定地理'!A70="","缺少对象ID；","")&amp;IF('02_固定地理'!B70="","缺少中文名称；","")&amp;IF('02_固定地理'!D70="","缺少对象类型；","")&amp;IF(AND('02_固定地理'!F70&lt;&gt;"",OR('02_固定地理'!F70&lt;0,'02_固定地理'!F70&gt;WorldWidth)),"世界中心X越界；","")&amp;IF(AND('02_固定地理'!G70&lt;&gt;"",OR('02_固定地理'!G70&lt;0,'02_固定地理'!G70&gt;WorldHeight)),"世界中心Y越界；","")&amp;IF(AND('02_固定地理'!H70&lt;&gt;"",'02_固定地理'!J70&lt;&gt;"",'02_固定地理'!H70&gt;'02_固定地理'!J70),"最小X大于最大X；","")&amp;IF(AND('02_固定地理'!I70&lt;&gt;"",'02_固定地理'!K70&lt;&gt;"",'02_固定地理'!I70&gt;'02_固定地理'!K70),"最小Y大于最大Y；","")&amp;IF(AND('02_固定地理'!E70&lt;&gt;"",COUNTIF('02_固定地理'!$A$2:$A$501,'02_固定地理'!E70)=0),"父级对象不存在；","")&amp;IF(AND('02_固定地理'!A70&lt;&gt;"",COUNTIF('02_固定地理'!$A$2:$A$501,'02_固定地理'!A70)&gt;1),"ID重复；",""),"")</f>
        <v/>
      </c>
      <c r="G70" s="14">
        <f>IF(F70&lt;&gt;"","按字段批注、数据字典和来源记录修正后复核","")</f>
        <v/>
      </c>
      <c r="H70" s="14">
        <f>IF(F70&lt;&gt;"","待处理","")</f>
        <v/>
      </c>
    </row>
    <row r="71">
      <c r="A71" s="14">
        <f>IF(F71&lt;&gt;"","ISSUE-"&amp;TEXT(ROW()-1,"00000"),"")</f>
        <v/>
      </c>
      <c r="B71" s="14">
        <f>IF(F71&lt;&gt;"","错误","")</f>
        <v/>
      </c>
      <c r="C71" s="14">
        <f>IF('02_固定地理'!A71&lt;&gt;"","02_固定地理","")</f>
        <v/>
      </c>
      <c r="D71" s="14">
        <f>IF('02_固定地理'!A71&lt;&gt;"",'02_固定地理'!A71,"")</f>
        <v/>
      </c>
      <c r="E71" s="14">
        <f>IF(F71&lt;&gt;"","综合校验","")</f>
        <v/>
      </c>
      <c r="F71" s="14">
        <f>IF('02_固定地理'!A71&lt;&gt;"",IF('02_固定地理'!A71="","缺少对象ID；","")&amp;IF('02_固定地理'!B71="","缺少中文名称；","")&amp;IF('02_固定地理'!D71="","缺少对象类型；","")&amp;IF(AND('02_固定地理'!F71&lt;&gt;"",OR('02_固定地理'!F71&lt;0,'02_固定地理'!F71&gt;WorldWidth)),"世界中心X越界；","")&amp;IF(AND('02_固定地理'!G71&lt;&gt;"",OR('02_固定地理'!G71&lt;0,'02_固定地理'!G71&gt;WorldHeight)),"世界中心Y越界；","")&amp;IF(AND('02_固定地理'!H71&lt;&gt;"",'02_固定地理'!J71&lt;&gt;"",'02_固定地理'!H71&gt;'02_固定地理'!J71),"最小X大于最大X；","")&amp;IF(AND('02_固定地理'!I71&lt;&gt;"",'02_固定地理'!K71&lt;&gt;"",'02_固定地理'!I71&gt;'02_固定地理'!K71),"最小Y大于最大Y；","")&amp;IF(AND('02_固定地理'!E71&lt;&gt;"",COUNTIF('02_固定地理'!$A$2:$A$501,'02_固定地理'!E71)=0),"父级对象不存在；","")&amp;IF(AND('02_固定地理'!A71&lt;&gt;"",COUNTIF('02_固定地理'!$A$2:$A$501,'02_固定地理'!A71)&gt;1),"ID重复；",""),"")</f>
        <v/>
      </c>
      <c r="G71" s="14">
        <f>IF(F71&lt;&gt;"","按字段批注、数据字典和来源记录修正后复核","")</f>
        <v/>
      </c>
      <c r="H71" s="14">
        <f>IF(F71&lt;&gt;"","待处理","")</f>
        <v/>
      </c>
    </row>
    <row r="72">
      <c r="A72" s="14">
        <f>IF(F72&lt;&gt;"","ISSUE-"&amp;TEXT(ROW()-1,"00000"),"")</f>
        <v/>
      </c>
      <c r="B72" s="14">
        <f>IF(F72&lt;&gt;"","错误","")</f>
        <v/>
      </c>
      <c r="C72" s="14">
        <f>IF('02_固定地理'!A72&lt;&gt;"","02_固定地理","")</f>
        <v/>
      </c>
      <c r="D72" s="14">
        <f>IF('02_固定地理'!A72&lt;&gt;"",'02_固定地理'!A72,"")</f>
        <v/>
      </c>
      <c r="E72" s="14">
        <f>IF(F72&lt;&gt;"","综合校验","")</f>
        <v/>
      </c>
      <c r="F72" s="14">
        <f>IF('02_固定地理'!A72&lt;&gt;"",IF('02_固定地理'!A72="","缺少对象ID；","")&amp;IF('02_固定地理'!B72="","缺少中文名称；","")&amp;IF('02_固定地理'!D72="","缺少对象类型；","")&amp;IF(AND('02_固定地理'!F72&lt;&gt;"",OR('02_固定地理'!F72&lt;0,'02_固定地理'!F72&gt;WorldWidth)),"世界中心X越界；","")&amp;IF(AND('02_固定地理'!G72&lt;&gt;"",OR('02_固定地理'!G72&lt;0,'02_固定地理'!G72&gt;WorldHeight)),"世界中心Y越界；","")&amp;IF(AND('02_固定地理'!H72&lt;&gt;"",'02_固定地理'!J72&lt;&gt;"",'02_固定地理'!H72&gt;'02_固定地理'!J72),"最小X大于最大X；","")&amp;IF(AND('02_固定地理'!I72&lt;&gt;"",'02_固定地理'!K72&lt;&gt;"",'02_固定地理'!I72&gt;'02_固定地理'!K72),"最小Y大于最大Y；","")&amp;IF(AND('02_固定地理'!E72&lt;&gt;"",COUNTIF('02_固定地理'!$A$2:$A$501,'02_固定地理'!E72)=0),"父级对象不存在；","")&amp;IF(AND('02_固定地理'!A72&lt;&gt;"",COUNTIF('02_固定地理'!$A$2:$A$501,'02_固定地理'!A72)&gt;1),"ID重复；",""),"")</f>
        <v/>
      </c>
      <c r="G72" s="14">
        <f>IF(F72&lt;&gt;"","按字段批注、数据字典和来源记录修正后复核","")</f>
        <v/>
      </c>
      <c r="H72" s="14">
        <f>IF(F72&lt;&gt;"","待处理","")</f>
        <v/>
      </c>
    </row>
    <row r="73">
      <c r="A73" s="14">
        <f>IF(F73&lt;&gt;"","ISSUE-"&amp;TEXT(ROW()-1,"00000"),"")</f>
        <v/>
      </c>
      <c r="B73" s="14">
        <f>IF(F73&lt;&gt;"","错误","")</f>
        <v/>
      </c>
      <c r="C73" s="14">
        <f>IF('02_固定地理'!A73&lt;&gt;"","02_固定地理","")</f>
        <v/>
      </c>
      <c r="D73" s="14">
        <f>IF('02_固定地理'!A73&lt;&gt;"",'02_固定地理'!A73,"")</f>
        <v/>
      </c>
      <c r="E73" s="14">
        <f>IF(F73&lt;&gt;"","综合校验","")</f>
        <v/>
      </c>
      <c r="F73" s="14">
        <f>IF('02_固定地理'!A73&lt;&gt;"",IF('02_固定地理'!A73="","缺少对象ID；","")&amp;IF('02_固定地理'!B73="","缺少中文名称；","")&amp;IF('02_固定地理'!D73="","缺少对象类型；","")&amp;IF(AND('02_固定地理'!F73&lt;&gt;"",OR('02_固定地理'!F73&lt;0,'02_固定地理'!F73&gt;WorldWidth)),"世界中心X越界；","")&amp;IF(AND('02_固定地理'!G73&lt;&gt;"",OR('02_固定地理'!G73&lt;0,'02_固定地理'!G73&gt;WorldHeight)),"世界中心Y越界；","")&amp;IF(AND('02_固定地理'!H73&lt;&gt;"",'02_固定地理'!J73&lt;&gt;"",'02_固定地理'!H73&gt;'02_固定地理'!J73),"最小X大于最大X；","")&amp;IF(AND('02_固定地理'!I73&lt;&gt;"",'02_固定地理'!K73&lt;&gt;"",'02_固定地理'!I73&gt;'02_固定地理'!K73),"最小Y大于最大Y；","")&amp;IF(AND('02_固定地理'!E73&lt;&gt;"",COUNTIF('02_固定地理'!$A$2:$A$501,'02_固定地理'!E73)=0),"父级对象不存在；","")&amp;IF(AND('02_固定地理'!A73&lt;&gt;"",COUNTIF('02_固定地理'!$A$2:$A$501,'02_固定地理'!A73)&gt;1),"ID重复；",""),"")</f>
        <v/>
      </c>
      <c r="G73" s="14">
        <f>IF(F73&lt;&gt;"","按字段批注、数据字典和来源记录修正后复核","")</f>
        <v/>
      </c>
      <c r="H73" s="14">
        <f>IF(F73&lt;&gt;"","待处理","")</f>
        <v/>
      </c>
    </row>
    <row r="74">
      <c r="A74" s="14">
        <f>IF(F74&lt;&gt;"","ISSUE-"&amp;TEXT(ROW()-1,"00000"),"")</f>
        <v/>
      </c>
      <c r="B74" s="14">
        <f>IF(F74&lt;&gt;"","错误","")</f>
        <v/>
      </c>
      <c r="C74" s="14">
        <f>IF('02_固定地理'!A74&lt;&gt;"","02_固定地理","")</f>
        <v/>
      </c>
      <c r="D74" s="14">
        <f>IF('02_固定地理'!A74&lt;&gt;"",'02_固定地理'!A74,"")</f>
        <v/>
      </c>
      <c r="E74" s="14">
        <f>IF(F74&lt;&gt;"","综合校验","")</f>
        <v/>
      </c>
      <c r="F74" s="14">
        <f>IF('02_固定地理'!A74&lt;&gt;"",IF('02_固定地理'!A74="","缺少对象ID；","")&amp;IF('02_固定地理'!B74="","缺少中文名称；","")&amp;IF('02_固定地理'!D74="","缺少对象类型；","")&amp;IF(AND('02_固定地理'!F74&lt;&gt;"",OR('02_固定地理'!F74&lt;0,'02_固定地理'!F74&gt;WorldWidth)),"世界中心X越界；","")&amp;IF(AND('02_固定地理'!G74&lt;&gt;"",OR('02_固定地理'!G74&lt;0,'02_固定地理'!G74&gt;WorldHeight)),"世界中心Y越界；","")&amp;IF(AND('02_固定地理'!H74&lt;&gt;"",'02_固定地理'!J74&lt;&gt;"",'02_固定地理'!H74&gt;'02_固定地理'!J74),"最小X大于最大X；","")&amp;IF(AND('02_固定地理'!I74&lt;&gt;"",'02_固定地理'!K74&lt;&gt;"",'02_固定地理'!I74&gt;'02_固定地理'!K74),"最小Y大于最大Y；","")&amp;IF(AND('02_固定地理'!E74&lt;&gt;"",COUNTIF('02_固定地理'!$A$2:$A$501,'02_固定地理'!E74)=0),"父级对象不存在；","")&amp;IF(AND('02_固定地理'!A74&lt;&gt;"",COUNTIF('02_固定地理'!$A$2:$A$501,'02_固定地理'!A74)&gt;1),"ID重复；",""),"")</f>
        <v/>
      </c>
      <c r="G74" s="14">
        <f>IF(F74&lt;&gt;"","按字段批注、数据字典和来源记录修正后复核","")</f>
        <v/>
      </c>
      <c r="H74" s="14">
        <f>IF(F74&lt;&gt;"","待处理","")</f>
        <v/>
      </c>
    </row>
    <row r="75">
      <c r="A75" s="14">
        <f>IF(F75&lt;&gt;"","ISSUE-"&amp;TEXT(ROW()-1,"00000"),"")</f>
        <v/>
      </c>
      <c r="B75" s="14">
        <f>IF(F75&lt;&gt;"","错误","")</f>
        <v/>
      </c>
      <c r="C75" s="14">
        <f>IF('02_固定地理'!A75&lt;&gt;"","02_固定地理","")</f>
        <v/>
      </c>
      <c r="D75" s="14">
        <f>IF('02_固定地理'!A75&lt;&gt;"",'02_固定地理'!A75,"")</f>
        <v/>
      </c>
      <c r="E75" s="14">
        <f>IF(F75&lt;&gt;"","综合校验","")</f>
        <v/>
      </c>
      <c r="F75" s="14">
        <f>IF('02_固定地理'!A75&lt;&gt;"",IF('02_固定地理'!A75="","缺少对象ID；","")&amp;IF('02_固定地理'!B75="","缺少中文名称；","")&amp;IF('02_固定地理'!D75="","缺少对象类型；","")&amp;IF(AND('02_固定地理'!F75&lt;&gt;"",OR('02_固定地理'!F75&lt;0,'02_固定地理'!F75&gt;WorldWidth)),"世界中心X越界；","")&amp;IF(AND('02_固定地理'!G75&lt;&gt;"",OR('02_固定地理'!G75&lt;0,'02_固定地理'!G75&gt;WorldHeight)),"世界中心Y越界；","")&amp;IF(AND('02_固定地理'!H75&lt;&gt;"",'02_固定地理'!J75&lt;&gt;"",'02_固定地理'!H75&gt;'02_固定地理'!J75),"最小X大于最大X；","")&amp;IF(AND('02_固定地理'!I75&lt;&gt;"",'02_固定地理'!K75&lt;&gt;"",'02_固定地理'!I75&gt;'02_固定地理'!K75),"最小Y大于最大Y；","")&amp;IF(AND('02_固定地理'!E75&lt;&gt;"",COUNTIF('02_固定地理'!$A$2:$A$501,'02_固定地理'!E75)=0),"父级对象不存在；","")&amp;IF(AND('02_固定地理'!A75&lt;&gt;"",COUNTIF('02_固定地理'!$A$2:$A$501,'02_固定地理'!A75)&gt;1),"ID重复；",""),"")</f>
        <v/>
      </c>
      <c r="G75" s="14">
        <f>IF(F75&lt;&gt;"","按字段批注、数据字典和来源记录修正后复核","")</f>
        <v/>
      </c>
      <c r="H75" s="14">
        <f>IF(F75&lt;&gt;"","待处理","")</f>
        <v/>
      </c>
    </row>
    <row r="76">
      <c r="A76" s="14">
        <f>IF(F76&lt;&gt;"","ISSUE-"&amp;TEXT(ROW()-1,"00000"),"")</f>
        <v/>
      </c>
      <c r="B76" s="14">
        <f>IF(F76&lt;&gt;"","错误","")</f>
        <v/>
      </c>
      <c r="C76" s="14">
        <f>IF('02_固定地理'!A76&lt;&gt;"","02_固定地理","")</f>
        <v/>
      </c>
      <c r="D76" s="14">
        <f>IF('02_固定地理'!A76&lt;&gt;"",'02_固定地理'!A76,"")</f>
        <v/>
      </c>
      <c r="E76" s="14">
        <f>IF(F76&lt;&gt;"","综合校验","")</f>
        <v/>
      </c>
      <c r="F76" s="14">
        <f>IF('02_固定地理'!A76&lt;&gt;"",IF('02_固定地理'!A76="","缺少对象ID；","")&amp;IF('02_固定地理'!B76="","缺少中文名称；","")&amp;IF('02_固定地理'!D76="","缺少对象类型；","")&amp;IF(AND('02_固定地理'!F76&lt;&gt;"",OR('02_固定地理'!F76&lt;0,'02_固定地理'!F76&gt;WorldWidth)),"世界中心X越界；","")&amp;IF(AND('02_固定地理'!G76&lt;&gt;"",OR('02_固定地理'!G76&lt;0,'02_固定地理'!G76&gt;WorldHeight)),"世界中心Y越界；","")&amp;IF(AND('02_固定地理'!H76&lt;&gt;"",'02_固定地理'!J76&lt;&gt;"",'02_固定地理'!H76&gt;'02_固定地理'!J76),"最小X大于最大X；","")&amp;IF(AND('02_固定地理'!I76&lt;&gt;"",'02_固定地理'!K76&lt;&gt;"",'02_固定地理'!I76&gt;'02_固定地理'!K76),"最小Y大于最大Y；","")&amp;IF(AND('02_固定地理'!E76&lt;&gt;"",COUNTIF('02_固定地理'!$A$2:$A$501,'02_固定地理'!E76)=0),"父级对象不存在；","")&amp;IF(AND('02_固定地理'!A76&lt;&gt;"",COUNTIF('02_固定地理'!$A$2:$A$501,'02_固定地理'!A76)&gt;1),"ID重复；",""),"")</f>
        <v/>
      </c>
      <c r="G76" s="14">
        <f>IF(F76&lt;&gt;"","按字段批注、数据字典和来源记录修正后复核","")</f>
        <v/>
      </c>
      <c r="H76" s="14">
        <f>IF(F76&lt;&gt;"","待处理","")</f>
        <v/>
      </c>
    </row>
    <row r="77">
      <c r="A77" s="14">
        <f>IF(F77&lt;&gt;"","ISSUE-"&amp;TEXT(ROW()-1,"00000"),"")</f>
        <v/>
      </c>
      <c r="B77" s="14">
        <f>IF(F77&lt;&gt;"","错误","")</f>
        <v/>
      </c>
      <c r="C77" s="14">
        <f>IF('02_固定地理'!A77&lt;&gt;"","02_固定地理","")</f>
        <v/>
      </c>
      <c r="D77" s="14">
        <f>IF('02_固定地理'!A77&lt;&gt;"",'02_固定地理'!A77,"")</f>
        <v/>
      </c>
      <c r="E77" s="14">
        <f>IF(F77&lt;&gt;"","综合校验","")</f>
        <v/>
      </c>
      <c r="F77" s="14">
        <f>IF('02_固定地理'!A77&lt;&gt;"",IF('02_固定地理'!A77="","缺少对象ID；","")&amp;IF('02_固定地理'!B77="","缺少中文名称；","")&amp;IF('02_固定地理'!D77="","缺少对象类型；","")&amp;IF(AND('02_固定地理'!F77&lt;&gt;"",OR('02_固定地理'!F77&lt;0,'02_固定地理'!F77&gt;WorldWidth)),"世界中心X越界；","")&amp;IF(AND('02_固定地理'!G77&lt;&gt;"",OR('02_固定地理'!G77&lt;0,'02_固定地理'!G77&gt;WorldHeight)),"世界中心Y越界；","")&amp;IF(AND('02_固定地理'!H77&lt;&gt;"",'02_固定地理'!J77&lt;&gt;"",'02_固定地理'!H77&gt;'02_固定地理'!J77),"最小X大于最大X；","")&amp;IF(AND('02_固定地理'!I77&lt;&gt;"",'02_固定地理'!K77&lt;&gt;"",'02_固定地理'!I77&gt;'02_固定地理'!K77),"最小Y大于最大Y；","")&amp;IF(AND('02_固定地理'!E77&lt;&gt;"",COUNTIF('02_固定地理'!$A$2:$A$501,'02_固定地理'!E77)=0),"父级对象不存在；","")&amp;IF(AND('02_固定地理'!A77&lt;&gt;"",COUNTIF('02_固定地理'!$A$2:$A$501,'02_固定地理'!A77)&gt;1),"ID重复；",""),"")</f>
        <v/>
      </c>
      <c r="G77" s="14">
        <f>IF(F77&lt;&gt;"","按字段批注、数据字典和来源记录修正后复核","")</f>
        <v/>
      </c>
      <c r="H77" s="14">
        <f>IF(F77&lt;&gt;"","待处理","")</f>
        <v/>
      </c>
    </row>
    <row r="78">
      <c r="A78" s="14">
        <f>IF(F78&lt;&gt;"","ISSUE-"&amp;TEXT(ROW()-1,"00000"),"")</f>
        <v/>
      </c>
      <c r="B78" s="14">
        <f>IF(F78&lt;&gt;"","错误","")</f>
        <v/>
      </c>
      <c r="C78" s="14">
        <f>IF('02_固定地理'!A78&lt;&gt;"","02_固定地理","")</f>
        <v/>
      </c>
      <c r="D78" s="14">
        <f>IF('02_固定地理'!A78&lt;&gt;"",'02_固定地理'!A78,"")</f>
        <v/>
      </c>
      <c r="E78" s="14">
        <f>IF(F78&lt;&gt;"","综合校验","")</f>
        <v/>
      </c>
      <c r="F78" s="14">
        <f>IF('02_固定地理'!A78&lt;&gt;"",IF('02_固定地理'!A78="","缺少对象ID；","")&amp;IF('02_固定地理'!B78="","缺少中文名称；","")&amp;IF('02_固定地理'!D78="","缺少对象类型；","")&amp;IF(AND('02_固定地理'!F78&lt;&gt;"",OR('02_固定地理'!F78&lt;0,'02_固定地理'!F78&gt;WorldWidth)),"世界中心X越界；","")&amp;IF(AND('02_固定地理'!G78&lt;&gt;"",OR('02_固定地理'!G78&lt;0,'02_固定地理'!G78&gt;WorldHeight)),"世界中心Y越界；","")&amp;IF(AND('02_固定地理'!H78&lt;&gt;"",'02_固定地理'!J78&lt;&gt;"",'02_固定地理'!H78&gt;'02_固定地理'!J78),"最小X大于最大X；","")&amp;IF(AND('02_固定地理'!I78&lt;&gt;"",'02_固定地理'!K78&lt;&gt;"",'02_固定地理'!I78&gt;'02_固定地理'!K78),"最小Y大于最大Y；","")&amp;IF(AND('02_固定地理'!E78&lt;&gt;"",COUNTIF('02_固定地理'!$A$2:$A$501,'02_固定地理'!E78)=0),"父级对象不存在；","")&amp;IF(AND('02_固定地理'!A78&lt;&gt;"",COUNTIF('02_固定地理'!$A$2:$A$501,'02_固定地理'!A78)&gt;1),"ID重复；",""),"")</f>
        <v/>
      </c>
      <c r="G78" s="14">
        <f>IF(F78&lt;&gt;"","按字段批注、数据字典和来源记录修正后复核","")</f>
        <v/>
      </c>
      <c r="H78" s="14">
        <f>IF(F78&lt;&gt;"","待处理","")</f>
        <v/>
      </c>
    </row>
    <row r="79">
      <c r="A79" s="14">
        <f>IF(F79&lt;&gt;"","ISSUE-"&amp;TEXT(ROW()-1,"00000"),"")</f>
        <v/>
      </c>
      <c r="B79" s="14">
        <f>IF(F79&lt;&gt;"","错误","")</f>
        <v/>
      </c>
      <c r="C79" s="14">
        <f>IF('02_固定地理'!A79&lt;&gt;"","02_固定地理","")</f>
        <v/>
      </c>
      <c r="D79" s="14">
        <f>IF('02_固定地理'!A79&lt;&gt;"",'02_固定地理'!A79,"")</f>
        <v/>
      </c>
      <c r="E79" s="14">
        <f>IF(F79&lt;&gt;"","综合校验","")</f>
        <v/>
      </c>
      <c r="F79" s="14">
        <f>IF('02_固定地理'!A79&lt;&gt;"",IF('02_固定地理'!A79="","缺少对象ID；","")&amp;IF('02_固定地理'!B79="","缺少中文名称；","")&amp;IF('02_固定地理'!D79="","缺少对象类型；","")&amp;IF(AND('02_固定地理'!F79&lt;&gt;"",OR('02_固定地理'!F79&lt;0,'02_固定地理'!F79&gt;WorldWidth)),"世界中心X越界；","")&amp;IF(AND('02_固定地理'!G79&lt;&gt;"",OR('02_固定地理'!G79&lt;0,'02_固定地理'!G79&gt;WorldHeight)),"世界中心Y越界；","")&amp;IF(AND('02_固定地理'!H79&lt;&gt;"",'02_固定地理'!J79&lt;&gt;"",'02_固定地理'!H79&gt;'02_固定地理'!J79),"最小X大于最大X；","")&amp;IF(AND('02_固定地理'!I79&lt;&gt;"",'02_固定地理'!K79&lt;&gt;"",'02_固定地理'!I79&gt;'02_固定地理'!K79),"最小Y大于最大Y；","")&amp;IF(AND('02_固定地理'!E79&lt;&gt;"",COUNTIF('02_固定地理'!$A$2:$A$501,'02_固定地理'!E79)=0),"父级对象不存在；","")&amp;IF(AND('02_固定地理'!A79&lt;&gt;"",COUNTIF('02_固定地理'!$A$2:$A$501,'02_固定地理'!A79)&gt;1),"ID重复；",""),"")</f>
        <v/>
      </c>
      <c r="G79" s="14">
        <f>IF(F79&lt;&gt;"","按字段批注、数据字典和来源记录修正后复核","")</f>
        <v/>
      </c>
      <c r="H79" s="14">
        <f>IF(F79&lt;&gt;"","待处理","")</f>
        <v/>
      </c>
    </row>
    <row r="80">
      <c r="A80" s="14">
        <f>IF(F80&lt;&gt;"","ISSUE-"&amp;TEXT(ROW()-1,"00000"),"")</f>
        <v/>
      </c>
      <c r="B80" s="14">
        <f>IF(F80&lt;&gt;"","错误","")</f>
        <v/>
      </c>
      <c r="C80" s="14">
        <f>IF('02_固定地理'!A80&lt;&gt;"","02_固定地理","")</f>
        <v/>
      </c>
      <c r="D80" s="14">
        <f>IF('02_固定地理'!A80&lt;&gt;"",'02_固定地理'!A80,"")</f>
        <v/>
      </c>
      <c r="E80" s="14">
        <f>IF(F80&lt;&gt;"","综合校验","")</f>
        <v/>
      </c>
      <c r="F80" s="14">
        <f>IF('02_固定地理'!A80&lt;&gt;"",IF('02_固定地理'!A80="","缺少对象ID；","")&amp;IF('02_固定地理'!B80="","缺少中文名称；","")&amp;IF('02_固定地理'!D80="","缺少对象类型；","")&amp;IF(AND('02_固定地理'!F80&lt;&gt;"",OR('02_固定地理'!F80&lt;0,'02_固定地理'!F80&gt;WorldWidth)),"世界中心X越界；","")&amp;IF(AND('02_固定地理'!G80&lt;&gt;"",OR('02_固定地理'!G80&lt;0,'02_固定地理'!G80&gt;WorldHeight)),"世界中心Y越界；","")&amp;IF(AND('02_固定地理'!H80&lt;&gt;"",'02_固定地理'!J80&lt;&gt;"",'02_固定地理'!H80&gt;'02_固定地理'!J80),"最小X大于最大X；","")&amp;IF(AND('02_固定地理'!I80&lt;&gt;"",'02_固定地理'!K80&lt;&gt;"",'02_固定地理'!I80&gt;'02_固定地理'!K80),"最小Y大于最大Y；","")&amp;IF(AND('02_固定地理'!E80&lt;&gt;"",COUNTIF('02_固定地理'!$A$2:$A$501,'02_固定地理'!E80)=0),"父级对象不存在；","")&amp;IF(AND('02_固定地理'!A80&lt;&gt;"",COUNTIF('02_固定地理'!$A$2:$A$501,'02_固定地理'!A80)&gt;1),"ID重复；",""),"")</f>
        <v/>
      </c>
      <c r="G80" s="14">
        <f>IF(F80&lt;&gt;"","按字段批注、数据字典和来源记录修正后复核","")</f>
        <v/>
      </c>
      <c r="H80" s="14">
        <f>IF(F80&lt;&gt;"","待处理","")</f>
        <v/>
      </c>
    </row>
    <row r="81">
      <c r="A81" s="14">
        <f>IF(F81&lt;&gt;"","ISSUE-"&amp;TEXT(ROW()-1,"00000"),"")</f>
        <v/>
      </c>
      <c r="B81" s="14">
        <f>IF(F81&lt;&gt;"","错误","")</f>
        <v/>
      </c>
      <c r="C81" s="14">
        <f>IF('02_固定地理'!A81&lt;&gt;"","02_固定地理","")</f>
        <v/>
      </c>
      <c r="D81" s="14">
        <f>IF('02_固定地理'!A81&lt;&gt;"",'02_固定地理'!A81,"")</f>
        <v/>
      </c>
      <c r="E81" s="14">
        <f>IF(F81&lt;&gt;"","综合校验","")</f>
        <v/>
      </c>
      <c r="F81" s="14">
        <f>IF('02_固定地理'!A81&lt;&gt;"",IF('02_固定地理'!A81="","缺少对象ID；","")&amp;IF('02_固定地理'!B81="","缺少中文名称；","")&amp;IF('02_固定地理'!D81="","缺少对象类型；","")&amp;IF(AND('02_固定地理'!F81&lt;&gt;"",OR('02_固定地理'!F81&lt;0,'02_固定地理'!F81&gt;WorldWidth)),"世界中心X越界；","")&amp;IF(AND('02_固定地理'!G81&lt;&gt;"",OR('02_固定地理'!G81&lt;0,'02_固定地理'!G81&gt;WorldHeight)),"世界中心Y越界；","")&amp;IF(AND('02_固定地理'!H81&lt;&gt;"",'02_固定地理'!J81&lt;&gt;"",'02_固定地理'!H81&gt;'02_固定地理'!J81),"最小X大于最大X；","")&amp;IF(AND('02_固定地理'!I81&lt;&gt;"",'02_固定地理'!K81&lt;&gt;"",'02_固定地理'!I81&gt;'02_固定地理'!K81),"最小Y大于最大Y；","")&amp;IF(AND('02_固定地理'!E81&lt;&gt;"",COUNTIF('02_固定地理'!$A$2:$A$501,'02_固定地理'!E81)=0),"父级对象不存在；","")&amp;IF(AND('02_固定地理'!A81&lt;&gt;"",COUNTIF('02_固定地理'!$A$2:$A$501,'02_固定地理'!A81)&gt;1),"ID重复；",""),"")</f>
        <v/>
      </c>
      <c r="G81" s="14">
        <f>IF(F81&lt;&gt;"","按字段批注、数据字典和来源记录修正后复核","")</f>
        <v/>
      </c>
      <c r="H81" s="14">
        <f>IF(F81&lt;&gt;"","待处理","")</f>
        <v/>
      </c>
    </row>
    <row r="82">
      <c r="A82" s="14">
        <f>IF(F82&lt;&gt;"","ISSUE-"&amp;TEXT(ROW()-1,"00000"),"")</f>
        <v/>
      </c>
      <c r="B82" s="14">
        <f>IF(F82&lt;&gt;"","错误","")</f>
        <v/>
      </c>
      <c r="C82" s="14">
        <f>IF('02_固定地理'!A82&lt;&gt;"","02_固定地理","")</f>
        <v/>
      </c>
      <c r="D82" s="14">
        <f>IF('02_固定地理'!A82&lt;&gt;"",'02_固定地理'!A82,"")</f>
        <v/>
      </c>
      <c r="E82" s="14">
        <f>IF(F82&lt;&gt;"","综合校验","")</f>
        <v/>
      </c>
      <c r="F82" s="14">
        <f>IF('02_固定地理'!A82&lt;&gt;"",IF('02_固定地理'!A82="","缺少对象ID；","")&amp;IF('02_固定地理'!B82="","缺少中文名称；","")&amp;IF('02_固定地理'!D82="","缺少对象类型；","")&amp;IF(AND('02_固定地理'!F82&lt;&gt;"",OR('02_固定地理'!F82&lt;0,'02_固定地理'!F82&gt;WorldWidth)),"世界中心X越界；","")&amp;IF(AND('02_固定地理'!G82&lt;&gt;"",OR('02_固定地理'!G82&lt;0,'02_固定地理'!G82&gt;WorldHeight)),"世界中心Y越界；","")&amp;IF(AND('02_固定地理'!H82&lt;&gt;"",'02_固定地理'!J82&lt;&gt;"",'02_固定地理'!H82&gt;'02_固定地理'!J82),"最小X大于最大X；","")&amp;IF(AND('02_固定地理'!I82&lt;&gt;"",'02_固定地理'!K82&lt;&gt;"",'02_固定地理'!I82&gt;'02_固定地理'!K82),"最小Y大于最大Y；","")&amp;IF(AND('02_固定地理'!E82&lt;&gt;"",COUNTIF('02_固定地理'!$A$2:$A$501,'02_固定地理'!E82)=0),"父级对象不存在；","")&amp;IF(AND('02_固定地理'!A82&lt;&gt;"",COUNTIF('02_固定地理'!$A$2:$A$501,'02_固定地理'!A82)&gt;1),"ID重复；",""),"")</f>
        <v/>
      </c>
      <c r="G82" s="14">
        <f>IF(F82&lt;&gt;"","按字段批注、数据字典和来源记录修正后复核","")</f>
        <v/>
      </c>
      <c r="H82" s="14">
        <f>IF(F82&lt;&gt;"","待处理","")</f>
        <v/>
      </c>
    </row>
    <row r="83">
      <c r="A83" s="14">
        <f>IF(F83&lt;&gt;"","ISSUE-"&amp;TEXT(ROW()-1,"00000"),"")</f>
        <v/>
      </c>
      <c r="B83" s="14">
        <f>IF(F83&lt;&gt;"","错误","")</f>
        <v/>
      </c>
      <c r="C83" s="14">
        <f>IF('02_固定地理'!A83&lt;&gt;"","02_固定地理","")</f>
        <v/>
      </c>
      <c r="D83" s="14">
        <f>IF('02_固定地理'!A83&lt;&gt;"",'02_固定地理'!A83,"")</f>
        <v/>
      </c>
      <c r="E83" s="14">
        <f>IF(F83&lt;&gt;"","综合校验","")</f>
        <v/>
      </c>
      <c r="F83" s="14">
        <f>IF('02_固定地理'!A83&lt;&gt;"",IF('02_固定地理'!A83="","缺少对象ID；","")&amp;IF('02_固定地理'!B83="","缺少中文名称；","")&amp;IF('02_固定地理'!D83="","缺少对象类型；","")&amp;IF(AND('02_固定地理'!F83&lt;&gt;"",OR('02_固定地理'!F83&lt;0,'02_固定地理'!F83&gt;WorldWidth)),"世界中心X越界；","")&amp;IF(AND('02_固定地理'!G83&lt;&gt;"",OR('02_固定地理'!G83&lt;0,'02_固定地理'!G83&gt;WorldHeight)),"世界中心Y越界；","")&amp;IF(AND('02_固定地理'!H83&lt;&gt;"",'02_固定地理'!J83&lt;&gt;"",'02_固定地理'!H83&gt;'02_固定地理'!J83),"最小X大于最大X；","")&amp;IF(AND('02_固定地理'!I83&lt;&gt;"",'02_固定地理'!K83&lt;&gt;"",'02_固定地理'!I83&gt;'02_固定地理'!K83),"最小Y大于最大Y；","")&amp;IF(AND('02_固定地理'!E83&lt;&gt;"",COUNTIF('02_固定地理'!$A$2:$A$501,'02_固定地理'!E83)=0),"父级对象不存在；","")&amp;IF(AND('02_固定地理'!A83&lt;&gt;"",COUNTIF('02_固定地理'!$A$2:$A$501,'02_固定地理'!A83)&gt;1),"ID重复；",""),"")</f>
        <v/>
      </c>
      <c r="G83" s="14">
        <f>IF(F83&lt;&gt;"","按字段批注、数据字典和来源记录修正后复核","")</f>
        <v/>
      </c>
      <c r="H83" s="14">
        <f>IF(F83&lt;&gt;"","待处理","")</f>
        <v/>
      </c>
    </row>
    <row r="84">
      <c r="A84" s="14">
        <f>IF(F84&lt;&gt;"","ISSUE-"&amp;TEXT(ROW()-1,"00000"),"")</f>
        <v/>
      </c>
      <c r="B84" s="14">
        <f>IF(F84&lt;&gt;"","错误","")</f>
        <v/>
      </c>
      <c r="C84" s="14">
        <f>IF('02_固定地理'!A84&lt;&gt;"","02_固定地理","")</f>
        <v/>
      </c>
      <c r="D84" s="14">
        <f>IF('02_固定地理'!A84&lt;&gt;"",'02_固定地理'!A84,"")</f>
        <v/>
      </c>
      <c r="E84" s="14">
        <f>IF(F84&lt;&gt;"","综合校验","")</f>
        <v/>
      </c>
      <c r="F84" s="14">
        <f>IF('02_固定地理'!A84&lt;&gt;"",IF('02_固定地理'!A84="","缺少对象ID；","")&amp;IF('02_固定地理'!B84="","缺少中文名称；","")&amp;IF('02_固定地理'!D84="","缺少对象类型；","")&amp;IF(AND('02_固定地理'!F84&lt;&gt;"",OR('02_固定地理'!F84&lt;0,'02_固定地理'!F84&gt;WorldWidth)),"世界中心X越界；","")&amp;IF(AND('02_固定地理'!G84&lt;&gt;"",OR('02_固定地理'!G84&lt;0,'02_固定地理'!G84&gt;WorldHeight)),"世界中心Y越界；","")&amp;IF(AND('02_固定地理'!H84&lt;&gt;"",'02_固定地理'!J84&lt;&gt;"",'02_固定地理'!H84&gt;'02_固定地理'!J84),"最小X大于最大X；","")&amp;IF(AND('02_固定地理'!I84&lt;&gt;"",'02_固定地理'!K84&lt;&gt;"",'02_固定地理'!I84&gt;'02_固定地理'!K84),"最小Y大于最大Y；","")&amp;IF(AND('02_固定地理'!E84&lt;&gt;"",COUNTIF('02_固定地理'!$A$2:$A$501,'02_固定地理'!E84)=0),"父级对象不存在；","")&amp;IF(AND('02_固定地理'!A84&lt;&gt;"",COUNTIF('02_固定地理'!$A$2:$A$501,'02_固定地理'!A84)&gt;1),"ID重复；",""),"")</f>
        <v/>
      </c>
      <c r="G84" s="14">
        <f>IF(F84&lt;&gt;"","按字段批注、数据字典和来源记录修正后复核","")</f>
        <v/>
      </c>
      <c r="H84" s="14">
        <f>IF(F84&lt;&gt;"","待处理","")</f>
        <v/>
      </c>
    </row>
    <row r="85">
      <c r="A85" s="14">
        <f>IF(F85&lt;&gt;"","ISSUE-"&amp;TEXT(ROW()-1,"00000"),"")</f>
        <v/>
      </c>
      <c r="B85" s="14">
        <f>IF(F85&lt;&gt;"","错误","")</f>
        <v/>
      </c>
      <c r="C85" s="14">
        <f>IF('02_固定地理'!A85&lt;&gt;"","02_固定地理","")</f>
        <v/>
      </c>
      <c r="D85" s="14">
        <f>IF('02_固定地理'!A85&lt;&gt;"",'02_固定地理'!A85,"")</f>
        <v/>
      </c>
      <c r="E85" s="14">
        <f>IF(F85&lt;&gt;"","综合校验","")</f>
        <v/>
      </c>
      <c r="F85" s="14">
        <f>IF('02_固定地理'!A85&lt;&gt;"",IF('02_固定地理'!A85="","缺少对象ID；","")&amp;IF('02_固定地理'!B85="","缺少中文名称；","")&amp;IF('02_固定地理'!D85="","缺少对象类型；","")&amp;IF(AND('02_固定地理'!F85&lt;&gt;"",OR('02_固定地理'!F85&lt;0,'02_固定地理'!F85&gt;WorldWidth)),"世界中心X越界；","")&amp;IF(AND('02_固定地理'!G85&lt;&gt;"",OR('02_固定地理'!G85&lt;0,'02_固定地理'!G85&gt;WorldHeight)),"世界中心Y越界；","")&amp;IF(AND('02_固定地理'!H85&lt;&gt;"",'02_固定地理'!J85&lt;&gt;"",'02_固定地理'!H85&gt;'02_固定地理'!J85),"最小X大于最大X；","")&amp;IF(AND('02_固定地理'!I85&lt;&gt;"",'02_固定地理'!K85&lt;&gt;"",'02_固定地理'!I85&gt;'02_固定地理'!K85),"最小Y大于最大Y；","")&amp;IF(AND('02_固定地理'!E85&lt;&gt;"",COUNTIF('02_固定地理'!$A$2:$A$501,'02_固定地理'!E85)=0),"父级对象不存在；","")&amp;IF(AND('02_固定地理'!A85&lt;&gt;"",COUNTIF('02_固定地理'!$A$2:$A$501,'02_固定地理'!A85)&gt;1),"ID重复；",""),"")</f>
        <v/>
      </c>
      <c r="G85" s="14">
        <f>IF(F85&lt;&gt;"","按字段批注、数据字典和来源记录修正后复核","")</f>
        <v/>
      </c>
      <c r="H85" s="14">
        <f>IF(F85&lt;&gt;"","待处理","")</f>
        <v/>
      </c>
    </row>
    <row r="86">
      <c r="A86" s="14">
        <f>IF(F86&lt;&gt;"","ISSUE-"&amp;TEXT(ROW()-1,"00000"),"")</f>
        <v/>
      </c>
      <c r="B86" s="14">
        <f>IF(F86&lt;&gt;"","错误","")</f>
        <v/>
      </c>
      <c r="C86" s="14">
        <f>IF('02_固定地理'!A86&lt;&gt;"","02_固定地理","")</f>
        <v/>
      </c>
      <c r="D86" s="14">
        <f>IF('02_固定地理'!A86&lt;&gt;"",'02_固定地理'!A86,"")</f>
        <v/>
      </c>
      <c r="E86" s="14">
        <f>IF(F86&lt;&gt;"","综合校验","")</f>
        <v/>
      </c>
      <c r="F86" s="14">
        <f>IF('02_固定地理'!A86&lt;&gt;"",IF('02_固定地理'!A86="","缺少对象ID；","")&amp;IF('02_固定地理'!B86="","缺少中文名称；","")&amp;IF('02_固定地理'!D86="","缺少对象类型；","")&amp;IF(AND('02_固定地理'!F86&lt;&gt;"",OR('02_固定地理'!F86&lt;0,'02_固定地理'!F86&gt;WorldWidth)),"世界中心X越界；","")&amp;IF(AND('02_固定地理'!G86&lt;&gt;"",OR('02_固定地理'!G86&lt;0,'02_固定地理'!G86&gt;WorldHeight)),"世界中心Y越界；","")&amp;IF(AND('02_固定地理'!H86&lt;&gt;"",'02_固定地理'!J86&lt;&gt;"",'02_固定地理'!H86&gt;'02_固定地理'!J86),"最小X大于最大X；","")&amp;IF(AND('02_固定地理'!I86&lt;&gt;"",'02_固定地理'!K86&lt;&gt;"",'02_固定地理'!I86&gt;'02_固定地理'!K86),"最小Y大于最大Y；","")&amp;IF(AND('02_固定地理'!E86&lt;&gt;"",COUNTIF('02_固定地理'!$A$2:$A$501,'02_固定地理'!E86)=0),"父级对象不存在；","")&amp;IF(AND('02_固定地理'!A86&lt;&gt;"",COUNTIF('02_固定地理'!$A$2:$A$501,'02_固定地理'!A86)&gt;1),"ID重复；",""),"")</f>
        <v/>
      </c>
      <c r="G86" s="14">
        <f>IF(F86&lt;&gt;"","按字段批注、数据字典和来源记录修正后复核","")</f>
        <v/>
      </c>
      <c r="H86" s="14">
        <f>IF(F86&lt;&gt;"","待处理","")</f>
        <v/>
      </c>
    </row>
    <row r="87">
      <c r="A87" s="14">
        <f>IF(F87&lt;&gt;"","ISSUE-"&amp;TEXT(ROW()-1,"00000"),"")</f>
        <v/>
      </c>
      <c r="B87" s="14">
        <f>IF(F87&lt;&gt;"","错误","")</f>
        <v/>
      </c>
      <c r="C87" s="14">
        <f>IF('02_固定地理'!A87&lt;&gt;"","02_固定地理","")</f>
        <v/>
      </c>
      <c r="D87" s="14">
        <f>IF('02_固定地理'!A87&lt;&gt;"",'02_固定地理'!A87,"")</f>
        <v/>
      </c>
      <c r="E87" s="14">
        <f>IF(F87&lt;&gt;"","综合校验","")</f>
        <v/>
      </c>
      <c r="F87" s="14">
        <f>IF('02_固定地理'!A87&lt;&gt;"",IF('02_固定地理'!A87="","缺少对象ID；","")&amp;IF('02_固定地理'!B87="","缺少中文名称；","")&amp;IF('02_固定地理'!D87="","缺少对象类型；","")&amp;IF(AND('02_固定地理'!F87&lt;&gt;"",OR('02_固定地理'!F87&lt;0,'02_固定地理'!F87&gt;WorldWidth)),"世界中心X越界；","")&amp;IF(AND('02_固定地理'!G87&lt;&gt;"",OR('02_固定地理'!G87&lt;0,'02_固定地理'!G87&gt;WorldHeight)),"世界中心Y越界；","")&amp;IF(AND('02_固定地理'!H87&lt;&gt;"",'02_固定地理'!J87&lt;&gt;"",'02_固定地理'!H87&gt;'02_固定地理'!J87),"最小X大于最大X；","")&amp;IF(AND('02_固定地理'!I87&lt;&gt;"",'02_固定地理'!K87&lt;&gt;"",'02_固定地理'!I87&gt;'02_固定地理'!K87),"最小Y大于最大Y；","")&amp;IF(AND('02_固定地理'!E87&lt;&gt;"",COUNTIF('02_固定地理'!$A$2:$A$501,'02_固定地理'!E87)=0),"父级对象不存在；","")&amp;IF(AND('02_固定地理'!A87&lt;&gt;"",COUNTIF('02_固定地理'!$A$2:$A$501,'02_固定地理'!A87)&gt;1),"ID重复；",""),"")</f>
        <v/>
      </c>
      <c r="G87" s="14">
        <f>IF(F87&lt;&gt;"","按字段批注、数据字典和来源记录修正后复核","")</f>
        <v/>
      </c>
      <c r="H87" s="14">
        <f>IF(F87&lt;&gt;"","待处理","")</f>
        <v/>
      </c>
    </row>
    <row r="88">
      <c r="A88" s="14">
        <f>IF(F88&lt;&gt;"","ISSUE-"&amp;TEXT(ROW()-1,"00000"),"")</f>
        <v/>
      </c>
      <c r="B88" s="14">
        <f>IF(F88&lt;&gt;"","错误","")</f>
        <v/>
      </c>
      <c r="C88" s="14">
        <f>IF('02_固定地理'!A88&lt;&gt;"","02_固定地理","")</f>
        <v/>
      </c>
      <c r="D88" s="14">
        <f>IF('02_固定地理'!A88&lt;&gt;"",'02_固定地理'!A88,"")</f>
        <v/>
      </c>
      <c r="E88" s="14">
        <f>IF(F88&lt;&gt;"","综合校验","")</f>
        <v/>
      </c>
      <c r="F88" s="14">
        <f>IF('02_固定地理'!A88&lt;&gt;"",IF('02_固定地理'!A88="","缺少对象ID；","")&amp;IF('02_固定地理'!B88="","缺少中文名称；","")&amp;IF('02_固定地理'!D88="","缺少对象类型；","")&amp;IF(AND('02_固定地理'!F88&lt;&gt;"",OR('02_固定地理'!F88&lt;0,'02_固定地理'!F88&gt;WorldWidth)),"世界中心X越界；","")&amp;IF(AND('02_固定地理'!G88&lt;&gt;"",OR('02_固定地理'!G88&lt;0,'02_固定地理'!G88&gt;WorldHeight)),"世界中心Y越界；","")&amp;IF(AND('02_固定地理'!H88&lt;&gt;"",'02_固定地理'!J88&lt;&gt;"",'02_固定地理'!H88&gt;'02_固定地理'!J88),"最小X大于最大X；","")&amp;IF(AND('02_固定地理'!I88&lt;&gt;"",'02_固定地理'!K88&lt;&gt;"",'02_固定地理'!I88&gt;'02_固定地理'!K88),"最小Y大于最大Y；","")&amp;IF(AND('02_固定地理'!E88&lt;&gt;"",COUNTIF('02_固定地理'!$A$2:$A$501,'02_固定地理'!E88)=0),"父级对象不存在；","")&amp;IF(AND('02_固定地理'!A88&lt;&gt;"",COUNTIF('02_固定地理'!$A$2:$A$501,'02_固定地理'!A88)&gt;1),"ID重复；",""),"")</f>
        <v/>
      </c>
      <c r="G88" s="14">
        <f>IF(F88&lt;&gt;"","按字段批注、数据字典和来源记录修正后复核","")</f>
        <v/>
      </c>
      <c r="H88" s="14">
        <f>IF(F88&lt;&gt;"","待处理","")</f>
        <v/>
      </c>
    </row>
    <row r="89">
      <c r="A89" s="14">
        <f>IF(F89&lt;&gt;"","ISSUE-"&amp;TEXT(ROW()-1,"00000"),"")</f>
        <v/>
      </c>
      <c r="B89" s="14">
        <f>IF(F89&lt;&gt;"","错误","")</f>
        <v/>
      </c>
      <c r="C89" s="14">
        <f>IF('02_固定地理'!A89&lt;&gt;"","02_固定地理","")</f>
        <v/>
      </c>
      <c r="D89" s="14">
        <f>IF('02_固定地理'!A89&lt;&gt;"",'02_固定地理'!A89,"")</f>
        <v/>
      </c>
      <c r="E89" s="14">
        <f>IF(F89&lt;&gt;"","综合校验","")</f>
        <v/>
      </c>
      <c r="F89" s="14">
        <f>IF('02_固定地理'!A89&lt;&gt;"",IF('02_固定地理'!A89="","缺少对象ID；","")&amp;IF('02_固定地理'!B89="","缺少中文名称；","")&amp;IF('02_固定地理'!D89="","缺少对象类型；","")&amp;IF(AND('02_固定地理'!F89&lt;&gt;"",OR('02_固定地理'!F89&lt;0,'02_固定地理'!F89&gt;WorldWidth)),"世界中心X越界；","")&amp;IF(AND('02_固定地理'!G89&lt;&gt;"",OR('02_固定地理'!G89&lt;0,'02_固定地理'!G89&gt;WorldHeight)),"世界中心Y越界；","")&amp;IF(AND('02_固定地理'!H89&lt;&gt;"",'02_固定地理'!J89&lt;&gt;"",'02_固定地理'!H89&gt;'02_固定地理'!J89),"最小X大于最大X；","")&amp;IF(AND('02_固定地理'!I89&lt;&gt;"",'02_固定地理'!K89&lt;&gt;"",'02_固定地理'!I89&gt;'02_固定地理'!K89),"最小Y大于最大Y；","")&amp;IF(AND('02_固定地理'!E89&lt;&gt;"",COUNTIF('02_固定地理'!$A$2:$A$501,'02_固定地理'!E89)=0),"父级对象不存在；","")&amp;IF(AND('02_固定地理'!A89&lt;&gt;"",COUNTIF('02_固定地理'!$A$2:$A$501,'02_固定地理'!A89)&gt;1),"ID重复；",""),"")</f>
        <v/>
      </c>
      <c r="G89" s="14">
        <f>IF(F89&lt;&gt;"","按字段批注、数据字典和来源记录修正后复核","")</f>
        <v/>
      </c>
      <c r="H89" s="14">
        <f>IF(F89&lt;&gt;"","待处理","")</f>
        <v/>
      </c>
    </row>
    <row r="90">
      <c r="A90" s="14">
        <f>IF(F90&lt;&gt;"","ISSUE-"&amp;TEXT(ROW()-1,"00000"),"")</f>
        <v/>
      </c>
      <c r="B90" s="14">
        <f>IF(F90&lt;&gt;"","错误","")</f>
        <v/>
      </c>
      <c r="C90" s="14">
        <f>IF('02_固定地理'!A90&lt;&gt;"","02_固定地理","")</f>
        <v/>
      </c>
      <c r="D90" s="14">
        <f>IF('02_固定地理'!A90&lt;&gt;"",'02_固定地理'!A90,"")</f>
        <v/>
      </c>
      <c r="E90" s="14">
        <f>IF(F90&lt;&gt;"","综合校验","")</f>
        <v/>
      </c>
      <c r="F90" s="14">
        <f>IF('02_固定地理'!A90&lt;&gt;"",IF('02_固定地理'!A90="","缺少对象ID；","")&amp;IF('02_固定地理'!B90="","缺少中文名称；","")&amp;IF('02_固定地理'!D90="","缺少对象类型；","")&amp;IF(AND('02_固定地理'!F90&lt;&gt;"",OR('02_固定地理'!F90&lt;0,'02_固定地理'!F90&gt;WorldWidth)),"世界中心X越界；","")&amp;IF(AND('02_固定地理'!G90&lt;&gt;"",OR('02_固定地理'!G90&lt;0,'02_固定地理'!G90&gt;WorldHeight)),"世界中心Y越界；","")&amp;IF(AND('02_固定地理'!H90&lt;&gt;"",'02_固定地理'!J90&lt;&gt;"",'02_固定地理'!H90&gt;'02_固定地理'!J90),"最小X大于最大X；","")&amp;IF(AND('02_固定地理'!I90&lt;&gt;"",'02_固定地理'!K90&lt;&gt;"",'02_固定地理'!I90&gt;'02_固定地理'!K90),"最小Y大于最大Y；","")&amp;IF(AND('02_固定地理'!E90&lt;&gt;"",COUNTIF('02_固定地理'!$A$2:$A$501,'02_固定地理'!E90)=0),"父级对象不存在；","")&amp;IF(AND('02_固定地理'!A90&lt;&gt;"",COUNTIF('02_固定地理'!$A$2:$A$501,'02_固定地理'!A90)&gt;1),"ID重复；",""),"")</f>
        <v/>
      </c>
      <c r="G90" s="14">
        <f>IF(F90&lt;&gt;"","按字段批注、数据字典和来源记录修正后复核","")</f>
        <v/>
      </c>
      <c r="H90" s="14">
        <f>IF(F90&lt;&gt;"","待处理","")</f>
        <v/>
      </c>
    </row>
    <row r="91">
      <c r="A91" s="14">
        <f>IF(F91&lt;&gt;"","ISSUE-"&amp;TEXT(ROW()-1,"00000"),"")</f>
        <v/>
      </c>
      <c r="B91" s="14">
        <f>IF(F91&lt;&gt;"","错误","")</f>
        <v/>
      </c>
      <c r="C91" s="14">
        <f>IF('02_固定地理'!A91&lt;&gt;"","02_固定地理","")</f>
        <v/>
      </c>
      <c r="D91" s="14">
        <f>IF('02_固定地理'!A91&lt;&gt;"",'02_固定地理'!A91,"")</f>
        <v/>
      </c>
      <c r="E91" s="14">
        <f>IF(F91&lt;&gt;"","综合校验","")</f>
        <v/>
      </c>
      <c r="F91" s="14">
        <f>IF('02_固定地理'!A91&lt;&gt;"",IF('02_固定地理'!A91="","缺少对象ID；","")&amp;IF('02_固定地理'!B91="","缺少中文名称；","")&amp;IF('02_固定地理'!D91="","缺少对象类型；","")&amp;IF(AND('02_固定地理'!F91&lt;&gt;"",OR('02_固定地理'!F91&lt;0,'02_固定地理'!F91&gt;WorldWidth)),"世界中心X越界；","")&amp;IF(AND('02_固定地理'!G91&lt;&gt;"",OR('02_固定地理'!G91&lt;0,'02_固定地理'!G91&gt;WorldHeight)),"世界中心Y越界；","")&amp;IF(AND('02_固定地理'!H91&lt;&gt;"",'02_固定地理'!J91&lt;&gt;"",'02_固定地理'!H91&gt;'02_固定地理'!J91),"最小X大于最大X；","")&amp;IF(AND('02_固定地理'!I91&lt;&gt;"",'02_固定地理'!K91&lt;&gt;"",'02_固定地理'!I91&gt;'02_固定地理'!K91),"最小Y大于最大Y；","")&amp;IF(AND('02_固定地理'!E91&lt;&gt;"",COUNTIF('02_固定地理'!$A$2:$A$501,'02_固定地理'!E91)=0),"父级对象不存在；","")&amp;IF(AND('02_固定地理'!A91&lt;&gt;"",COUNTIF('02_固定地理'!$A$2:$A$501,'02_固定地理'!A91)&gt;1),"ID重复；",""),"")</f>
        <v/>
      </c>
      <c r="G91" s="14">
        <f>IF(F91&lt;&gt;"","按字段批注、数据字典和来源记录修正后复核","")</f>
        <v/>
      </c>
      <c r="H91" s="14">
        <f>IF(F91&lt;&gt;"","待处理","")</f>
        <v/>
      </c>
    </row>
    <row r="92">
      <c r="A92" s="14">
        <f>IF(F92&lt;&gt;"","ISSUE-"&amp;TEXT(ROW()-1,"00000"),"")</f>
        <v/>
      </c>
      <c r="B92" s="14">
        <f>IF(F92&lt;&gt;"","错误","")</f>
        <v/>
      </c>
      <c r="C92" s="14">
        <f>IF('02_固定地理'!A92&lt;&gt;"","02_固定地理","")</f>
        <v/>
      </c>
      <c r="D92" s="14">
        <f>IF('02_固定地理'!A92&lt;&gt;"",'02_固定地理'!A92,"")</f>
        <v/>
      </c>
      <c r="E92" s="14">
        <f>IF(F92&lt;&gt;"","综合校验","")</f>
        <v/>
      </c>
      <c r="F92" s="14">
        <f>IF('02_固定地理'!A92&lt;&gt;"",IF('02_固定地理'!A92="","缺少对象ID；","")&amp;IF('02_固定地理'!B92="","缺少中文名称；","")&amp;IF('02_固定地理'!D92="","缺少对象类型；","")&amp;IF(AND('02_固定地理'!F92&lt;&gt;"",OR('02_固定地理'!F92&lt;0,'02_固定地理'!F92&gt;WorldWidth)),"世界中心X越界；","")&amp;IF(AND('02_固定地理'!G92&lt;&gt;"",OR('02_固定地理'!G92&lt;0,'02_固定地理'!G92&gt;WorldHeight)),"世界中心Y越界；","")&amp;IF(AND('02_固定地理'!H92&lt;&gt;"",'02_固定地理'!J92&lt;&gt;"",'02_固定地理'!H92&gt;'02_固定地理'!J92),"最小X大于最大X；","")&amp;IF(AND('02_固定地理'!I92&lt;&gt;"",'02_固定地理'!K92&lt;&gt;"",'02_固定地理'!I92&gt;'02_固定地理'!K92),"最小Y大于最大Y；","")&amp;IF(AND('02_固定地理'!E92&lt;&gt;"",COUNTIF('02_固定地理'!$A$2:$A$501,'02_固定地理'!E92)=0),"父级对象不存在；","")&amp;IF(AND('02_固定地理'!A92&lt;&gt;"",COUNTIF('02_固定地理'!$A$2:$A$501,'02_固定地理'!A92)&gt;1),"ID重复；",""),"")</f>
        <v/>
      </c>
      <c r="G92" s="14">
        <f>IF(F92&lt;&gt;"","按字段批注、数据字典和来源记录修正后复核","")</f>
        <v/>
      </c>
      <c r="H92" s="14">
        <f>IF(F92&lt;&gt;"","待处理","")</f>
        <v/>
      </c>
    </row>
    <row r="93">
      <c r="A93" s="14">
        <f>IF(F93&lt;&gt;"","ISSUE-"&amp;TEXT(ROW()-1,"00000"),"")</f>
        <v/>
      </c>
      <c r="B93" s="14">
        <f>IF(F93&lt;&gt;"","错误","")</f>
        <v/>
      </c>
      <c r="C93" s="14">
        <f>IF('02_固定地理'!A93&lt;&gt;"","02_固定地理","")</f>
        <v/>
      </c>
      <c r="D93" s="14">
        <f>IF('02_固定地理'!A93&lt;&gt;"",'02_固定地理'!A93,"")</f>
        <v/>
      </c>
      <c r="E93" s="14">
        <f>IF(F93&lt;&gt;"","综合校验","")</f>
        <v/>
      </c>
      <c r="F93" s="14">
        <f>IF('02_固定地理'!A93&lt;&gt;"",IF('02_固定地理'!A93="","缺少对象ID；","")&amp;IF('02_固定地理'!B93="","缺少中文名称；","")&amp;IF('02_固定地理'!D93="","缺少对象类型；","")&amp;IF(AND('02_固定地理'!F93&lt;&gt;"",OR('02_固定地理'!F93&lt;0,'02_固定地理'!F93&gt;WorldWidth)),"世界中心X越界；","")&amp;IF(AND('02_固定地理'!G93&lt;&gt;"",OR('02_固定地理'!G93&lt;0,'02_固定地理'!G93&gt;WorldHeight)),"世界中心Y越界；","")&amp;IF(AND('02_固定地理'!H93&lt;&gt;"",'02_固定地理'!J93&lt;&gt;"",'02_固定地理'!H93&gt;'02_固定地理'!J93),"最小X大于最大X；","")&amp;IF(AND('02_固定地理'!I93&lt;&gt;"",'02_固定地理'!K93&lt;&gt;"",'02_固定地理'!I93&gt;'02_固定地理'!K93),"最小Y大于最大Y；","")&amp;IF(AND('02_固定地理'!E93&lt;&gt;"",COUNTIF('02_固定地理'!$A$2:$A$501,'02_固定地理'!E93)=0),"父级对象不存在；","")&amp;IF(AND('02_固定地理'!A93&lt;&gt;"",COUNTIF('02_固定地理'!$A$2:$A$501,'02_固定地理'!A93)&gt;1),"ID重复；",""),"")</f>
        <v/>
      </c>
      <c r="G93" s="14">
        <f>IF(F93&lt;&gt;"","按字段批注、数据字典和来源记录修正后复核","")</f>
        <v/>
      </c>
      <c r="H93" s="14">
        <f>IF(F93&lt;&gt;"","待处理","")</f>
        <v/>
      </c>
    </row>
    <row r="94">
      <c r="A94" s="14">
        <f>IF(F94&lt;&gt;"","ISSUE-"&amp;TEXT(ROW()-1,"00000"),"")</f>
        <v/>
      </c>
      <c r="B94" s="14">
        <f>IF(F94&lt;&gt;"","错误","")</f>
        <v/>
      </c>
      <c r="C94" s="14">
        <f>IF('02_固定地理'!A94&lt;&gt;"","02_固定地理","")</f>
        <v/>
      </c>
      <c r="D94" s="14">
        <f>IF('02_固定地理'!A94&lt;&gt;"",'02_固定地理'!A94,"")</f>
        <v/>
      </c>
      <c r="E94" s="14">
        <f>IF(F94&lt;&gt;"","综合校验","")</f>
        <v/>
      </c>
      <c r="F94" s="14">
        <f>IF('02_固定地理'!A94&lt;&gt;"",IF('02_固定地理'!A94="","缺少对象ID；","")&amp;IF('02_固定地理'!B94="","缺少中文名称；","")&amp;IF('02_固定地理'!D94="","缺少对象类型；","")&amp;IF(AND('02_固定地理'!F94&lt;&gt;"",OR('02_固定地理'!F94&lt;0,'02_固定地理'!F94&gt;WorldWidth)),"世界中心X越界；","")&amp;IF(AND('02_固定地理'!G94&lt;&gt;"",OR('02_固定地理'!G94&lt;0,'02_固定地理'!G94&gt;WorldHeight)),"世界中心Y越界；","")&amp;IF(AND('02_固定地理'!H94&lt;&gt;"",'02_固定地理'!J94&lt;&gt;"",'02_固定地理'!H94&gt;'02_固定地理'!J94),"最小X大于最大X；","")&amp;IF(AND('02_固定地理'!I94&lt;&gt;"",'02_固定地理'!K94&lt;&gt;"",'02_固定地理'!I94&gt;'02_固定地理'!K94),"最小Y大于最大Y；","")&amp;IF(AND('02_固定地理'!E94&lt;&gt;"",COUNTIF('02_固定地理'!$A$2:$A$501,'02_固定地理'!E94)=0),"父级对象不存在；","")&amp;IF(AND('02_固定地理'!A94&lt;&gt;"",COUNTIF('02_固定地理'!$A$2:$A$501,'02_固定地理'!A94)&gt;1),"ID重复；",""),"")</f>
        <v/>
      </c>
      <c r="G94" s="14">
        <f>IF(F94&lt;&gt;"","按字段批注、数据字典和来源记录修正后复核","")</f>
        <v/>
      </c>
      <c r="H94" s="14">
        <f>IF(F94&lt;&gt;"","待处理","")</f>
        <v/>
      </c>
    </row>
    <row r="95">
      <c r="A95" s="14">
        <f>IF(F95&lt;&gt;"","ISSUE-"&amp;TEXT(ROW()-1,"00000"),"")</f>
        <v/>
      </c>
      <c r="B95" s="14">
        <f>IF(F95&lt;&gt;"","错误","")</f>
        <v/>
      </c>
      <c r="C95" s="14">
        <f>IF('02_固定地理'!A95&lt;&gt;"","02_固定地理","")</f>
        <v/>
      </c>
      <c r="D95" s="14">
        <f>IF('02_固定地理'!A95&lt;&gt;"",'02_固定地理'!A95,"")</f>
        <v/>
      </c>
      <c r="E95" s="14">
        <f>IF(F95&lt;&gt;"","综合校验","")</f>
        <v/>
      </c>
      <c r="F95" s="14">
        <f>IF('02_固定地理'!A95&lt;&gt;"",IF('02_固定地理'!A95="","缺少对象ID；","")&amp;IF('02_固定地理'!B95="","缺少中文名称；","")&amp;IF('02_固定地理'!D95="","缺少对象类型；","")&amp;IF(AND('02_固定地理'!F95&lt;&gt;"",OR('02_固定地理'!F95&lt;0,'02_固定地理'!F95&gt;WorldWidth)),"世界中心X越界；","")&amp;IF(AND('02_固定地理'!G95&lt;&gt;"",OR('02_固定地理'!G95&lt;0,'02_固定地理'!G95&gt;WorldHeight)),"世界中心Y越界；","")&amp;IF(AND('02_固定地理'!H95&lt;&gt;"",'02_固定地理'!J95&lt;&gt;"",'02_固定地理'!H95&gt;'02_固定地理'!J95),"最小X大于最大X；","")&amp;IF(AND('02_固定地理'!I95&lt;&gt;"",'02_固定地理'!K95&lt;&gt;"",'02_固定地理'!I95&gt;'02_固定地理'!K95),"最小Y大于最大Y；","")&amp;IF(AND('02_固定地理'!E95&lt;&gt;"",COUNTIF('02_固定地理'!$A$2:$A$501,'02_固定地理'!E95)=0),"父级对象不存在；","")&amp;IF(AND('02_固定地理'!A95&lt;&gt;"",COUNTIF('02_固定地理'!$A$2:$A$501,'02_固定地理'!A95)&gt;1),"ID重复；",""),"")</f>
        <v/>
      </c>
      <c r="G95" s="14">
        <f>IF(F95&lt;&gt;"","按字段批注、数据字典和来源记录修正后复核","")</f>
        <v/>
      </c>
      <c r="H95" s="14">
        <f>IF(F95&lt;&gt;"","待处理","")</f>
        <v/>
      </c>
    </row>
    <row r="96">
      <c r="A96" s="14">
        <f>IF(F96&lt;&gt;"","ISSUE-"&amp;TEXT(ROW()-1,"00000"),"")</f>
        <v/>
      </c>
      <c r="B96" s="14">
        <f>IF(F96&lt;&gt;"","错误","")</f>
        <v/>
      </c>
      <c r="C96" s="14">
        <f>IF('02_固定地理'!A96&lt;&gt;"","02_固定地理","")</f>
        <v/>
      </c>
      <c r="D96" s="14">
        <f>IF('02_固定地理'!A96&lt;&gt;"",'02_固定地理'!A96,"")</f>
        <v/>
      </c>
      <c r="E96" s="14">
        <f>IF(F96&lt;&gt;"","综合校验","")</f>
        <v/>
      </c>
      <c r="F96" s="14">
        <f>IF('02_固定地理'!A96&lt;&gt;"",IF('02_固定地理'!A96="","缺少对象ID；","")&amp;IF('02_固定地理'!B96="","缺少中文名称；","")&amp;IF('02_固定地理'!D96="","缺少对象类型；","")&amp;IF(AND('02_固定地理'!F96&lt;&gt;"",OR('02_固定地理'!F96&lt;0,'02_固定地理'!F96&gt;WorldWidth)),"世界中心X越界；","")&amp;IF(AND('02_固定地理'!G96&lt;&gt;"",OR('02_固定地理'!G96&lt;0,'02_固定地理'!G96&gt;WorldHeight)),"世界中心Y越界；","")&amp;IF(AND('02_固定地理'!H96&lt;&gt;"",'02_固定地理'!J96&lt;&gt;"",'02_固定地理'!H96&gt;'02_固定地理'!J96),"最小X大于最大X；","")&amp;IF(AND('02_固定地理'!I96&lt;&gt;"",'02_固定地理'!K96&lt;&gt;"",'02_固定地理'!I96&gt;'02_固定地理'!K96),"最小Y大于最大Y；","")&amp;IF(AND('02_固定地理'!E96&lt;&gt;"",COUNTIF('02_固定地理'!$A$2:$A$501,'02_固定地理'!E96)=0),"父级对象不存在；","")&amp;IF(AND('02_固定地理'!A96&lt;&gt;"",COUNTIF('02_固定地理'!$A$2:$A$501,'02_固定地理'!A96)&gt;1),"ID重复；",""),"")</f>
        <v/>
      </c>
      <c r="G96" s="14">
        <f>IF(F96&lt;&gt;"","按字段批注、数据字典和来源记录修正后复核","")</f>
        <v/>
      </c>
      <c r="H96" s="14">
        <f>IF(F96&lt;&gt;"","待处理","")</f>
        <v/>
      </c>
    </row>
    <row r="97">
      <c r="A97" s="14">
        <f>IF(F97&lt;&gt;"","ISSUE-"&amp;TEXT(ROW()-1,"00000"),"")</f>
        <v/>
      </c>
      <c r="B97" s="14">
        <f>IF(F97&lt;&gt;"","错误","")</f>
        <v/>
      </c>
      <c r="C97" s="14">
        <f>IF('02_固定地理'!A97&lt;&gt;"","02_固定地理","")</f>
        <v/>
      </c>
      <c r="D97" s="14">
        <f>IF('02_固定地理'!A97&lt;&gt;"",'02_固定地理'!A97,"")</f>
        <v/>
      </c>
      <c r="E97" s="14">
        <f>IF(F97&lt;&gt;"","综合校验","")</f>
        <v/>
      </c>
      <c r="F97" s="14">
        <f>IF('02_固定地理'!A97&lt;&gt;"",IF('02_固定地理'!A97="","缺少对象ID；","")&amp;IF('02_固定地理'!B97="","缺少中文名称；","")&amp;IF('02_固定地理'!D97="","缺少对象类型；","")&amp;IF(AND('02_固定地理'!F97&lt;&gt;"",OR('02_固定地理'!F97&lt;0,'02_固定地理'!F97&gt;WorldWidth)),"世界中心X越界；","")&amp;IF(AND('02_固定地理'!G97&lt;&gt;"",OR('02_固定地理'!G97&lt;0,'02_固定地理'!G97&gt;WorldHeight)),"世界中心Y越界；","")&amp;IF(AND('02_固定地理'!H97&lt;&gt;"",'02_固定地理'!J97&lt;&gt;"",'02_固定地理'!H97&gt;'02_固定地理'!J97),"最小X大于最大X；","")&amp;IF(AND('02_固定地理'!I97&lt;&gt;"",'02_固定地理'!K97&lt;&gt;"",'02_固定地理'!I97&gt;'02_固定地理'!K97),"最小Y大于最大Y；","")&amp;IF(AND('02_固定地理'!E97&lt;&gt;"",COUNTIF('02_固定地理'!$A$2:$A$501,'02_固定地理'!E97)=0),"父级对象不存在；","")&amp;IF(AND('02_固定地理'!A97&lt;&gt;"",COUNTIF('02_固定地理'!$A$2:$A$501,'02_固定地理'!A97)&gt;1),"ID重复；",""),"")</f>
        <v/>
      </c>
      <c r="G97" s="14">
        <f>IF(F97&lt;&gt;"","按字段批注、数据字典和来源记录修正后复核","")</f>
        <v/>
      </c>
      <c r="H97" s="14">
        <f>IF(F97&lt;&gt;"","待处理","")</f>
        <v/>
      </c>
    </row>
    <row r="98">
      <c r="A98" s="14">
        <f>IF(F98&lt;&gt;"","ISSUE-"&amp;TEXT(ROW()-1,"00000"),"")</f>
        <v/>
      </c>
      <c r="B98" s="14">
        <f>IF(F98&lt;&gt;"","错误","")</f>
        <v/>
      </c>
      <c r="C98" s="14">
        <f>IF('02_固定地理'!A98&lt;&gt;"","02_固定地理","")</f>
        <v/>
      </c>
      <c r="D98" s="14">
        <f>IF('02_固定地理'!A98&lt;&gt;"",'02_固定地理'!A98,"")</f>
        <v/>
      </c>
      <c r="E98" s="14">
        <f>IF(F98&lt;&gt;"","综合校验","")</f>
        <v/>
      </c>
      <c r="F98" s="14">
        <f>IF('02_固定地理'!A98&lt;&gt;"",IF('02_固定地理'!A98="","缺少对象ID；","")&amp;IF('02_固定地理'!B98="","缺少中文名称；","")&amp;IF('02_固定地理'!D98="","缺少对象类型；","")&amp;IF(AND('02_固定地理'!F98&lt;&gt;"",OR('02_固定地理'!F98&lt;0,'02_固定地理'!F98&gt;WorldWidth)),"世界中心X越界；","")&amp;IF(AND('02_固定地理'!G98&lt;&gt;"",OR('02_固定地理'!G98&lt;0,'02_固定地理'!G98&gt;WorldHeight)),"世界中心Y越界；","")&amp;IF(AND('02_固定地理'!H98&lt;&gt;"",'02_固定地理'!J98&lt;&gt;"",'02_固定地理'!H98&gt;'02_固定地理'!J98),"最小X大于最大X；","")&amp;IF(AND('02_固定地理'!I98&lt;&gt;"",'02_固定地理'!K98&lt;&gt;"",'02_固定地理'!I98&gt;'02_固定地理'!K98),"最小Y大于最大Y；","")&amp;IF(AND('02_固定地理'!E98&lt;&gt;"",COUNTIF('02_固定地理'!$A$2:$A$501,'02_固定地理'!E98)=0),"父级对象不存在；","")&amp;IF(AND('02_固定地理'!A98&lt;&gt;"",COUNTIF('02_固定地理'!$A$2:$A$501,'02_固定地理'!A98)&gt;1),"ID重复；",""),"")</f>
        <v/>
      </c>
      <c r="G98" s="14">
        <f>IF(F98&lt;&gt;"","按字段批注、数据字典和来源记录修正后复核","")</f>
        <v/>
      </c>
      <c r="H98" s="14">
        <f>IF(F98&lt;&gt;"","待处理","")</f>
        <v/>
      </c>
    </row>
    <row r="99">
      <c r="A99" s="14">
        <f>IF(F99&lt;&gt;"","ISSUE-"&amp;TEXT(ROW()-1,"00000"),"")</f>
        <v/>
      </c>
      <c r="B99" s="14">
        <f>IF(F99&lt;&gt;"","错误","")</f>
        <v/>
      </c>
      <c r="C99" s="14">
        <f>IF('02_固定地理'!A99&lt;&gt;"","02_固定地理","")</f>
        <v/>
      </c>
      <c r="D99" s="14">
        <f>IF('02_固定地理'!A99&lt;&gt;"",'02_固定地理'!A99,"")</f>
        <v/>
      </c>
      <c r="E99" s="14">
        <f>IF(F99&lt;&gt;"","综合校验","")</f>
        <v/>
      </c>
      <c r="F99" s="14">
        <f>IF('02_固定地理'!A99&lt;&gt;"",IF('02_固定地理'!A99="","缺少对象ID；","")&amp;IF('02_固定地理'!B99="","缺少中文名称；","")&amp;IF('02_固定地理'!D99="","缺少对象类型；","")&amp;IF(AND('02_固定地理'!F99&lt;&gt;"",OR('02_固定地理'!F99&lt;0,'02_固定地理'!F99&gt;WorldWidth)),"世界中心X越界；","")&amp;IF(AND('02_固定地理'!G99&lt;&gt;"",OR('02_固定地理'!G99&lt;0,'02_固定地理'!G99&gt;WorldHeight)),"世界中心Y越界；","")&amp;IF(AND('02_固定地理'!H99&lt;&gt;"",'02_固定地理'!J99&lt;&gt;"",'02_固定地理'!H99&gt;'02_固定地理'!J99),"最小X大于最大X；","")&amp;IF(AND('02_固定地理'!I99&lt;&gt;"",'02_固定地理'!K99&lt;&gt;"",'02_固定地理'!I99&gt;'02_固定地理'!K99),"最小Y大于最大Y；","")&amp;IF(AND('02_固定地理'!E99&lt;&gt;"",COUNTIF('02_固定地理'!$A$2:$A$501,'02_固定地理'!E99)=0),"父级对象不存在；","")&amp;IF(AND('02_固定地理'!A99&lt;&gt;"",COUNTIF('02_固定地理'!$A$2:$A$501,'02_固定地理'!A99)&gt;1),"ID重复；",""),"")</f>
        <v/>
      </c>
      <c r="G99" s="14">
        <f>IF(F99&lt;&gt;"","按字段批注、数据字典和来源记录修正后复核","")</f>
        <v/>
      </c>
      <c r="H99" s="14">
        <f>IF(F99&lt;&gt;"","待处理","")</f>
        <v/>
      </c>
    </row>
    <row r="100">
      <c r="A100" s="14">
        <f>IF(F100&lt;&gt;"","ISSUE-"&amp;TEXT(ROW()-1,"00000"),"")</f>
        <v/>
      </c>
      <c r="B100" s="14">
        <f>IF(F100&lt;&gt;"","错误","")</f>
        <v/>
      </c>
      <c r="C100" s="14">
        <f>IF('02_固定地理'!A100&lt;&gt;"","02_固定地理","")</f>
        <v/>
      </c>
      <c r="D100" s="14">
        <f>IF('02_固定地理'!A100&lt;&gt;"",'02_固定地理'!A100,"")</f>
        <v/>
      </c>
      <c r="E100" s="14">
        <f>IF(F100&lt;&gt;"","综合校验","")</f>
        <v/>
      </c>
      <c r="F100" s="14">
        <f>IF('02_固定地理'!A100&lt;&gt;"",IF('02_固定地理'!A100="","缺少对象ID；","")&amp;IF('02_固定地理'!B100="","缺少中文名称；","")&amp;IF('02_固定地理'!D100="","缺少对象类型；","")&amp;IF(AND('02_固定地理'!F100&lt;&gt;"",OR('02_固定地理'!F100&lt;0,'02_固定地理'!F100&gt;WorldWidth)),"世界中心X越界；","")&amp;IF(AND('02_固定地理'!G100&lt;&gt;"",OR('02_固定地理'!G100&lt;0,'02_固定地理'!G100&gt;WorldHeight)),"世界中心Y越界；","")&amp;IF(AND('02_固定地理'!H100&lt;&gt;"",'02_固定地理'!J100&lt;&gt;"",'02_固定地理'!H100&gt;'02_固定地理'!J100),"最小X大于最大X；","")&amp;IF(AND('02_固定地理'!I100&lt;&gt;"",'02_固定地理'!K100&lt;&gt;"",'02_固定地理'!I100&gt;'02_固定地理'!K100),"最小Y大于最大Y；","")&amp;IF(AND('02_固定地理'!E100&lt;&gt;"",COUNTIF('02_固定地理'!$A$2:$A$501,'02_固定地理'!E100)=0),"父级对象不存在；","")&amp;IF(AND('02_固定地理'!A100&lt;&gt;"",COUNTIF('02_固定地理'!$A$2:$A$501,'02_固定地理'!A100)&gt;1),"ID重复；",""),"")</f>
        <v/>
      </c>
      <c r="G100" s="14">
        <f>IF(F100&lt;&gt;"","按字段批注、数据字典和来源记录修正后复核","")</f>
        <v/>
      </c>
      <c r="H100" s="14">
        <f>IF(F100&lt;&gt;"","待处理","")</f>
        <v/>
      </c>
    </row>
    <row r="101">
      <c r="A101" s="14">
        <f>IF(F101&lt;&gt;"","ISSUE-"&amp;TEXT(ROW()-1,"00000"),"")</f>
        <v/>
      </c>
      <c r="B101" s="14">
        <f>IF(F101&lt;&gt;"","错误","")</f>
        <v/>
      </c>
      <c r="C101" s="14">
        <f>IF('02_固定地理'!A101&lt;&gt;"","02_固定地理","")</f>
        <v/>
      </c>
      <c r="D101" s="14">
        <f>IF('02_固定地理'!A101&lt;&gt;"",'02_固定地理'!A101,"")</f>
        <v/>
      </c>
      <c r="E101" s="14">
        <f>IF(F101&lt;&gt;"","综合校验","")</f>
        <v/>
      </c>
      <c r="F101" s="14">
        <f>IF('02_固定地理'!A101&lt;&gt;"",IF('02_固定地理'!A101="","缺少对象ID；","")&amp;IF('02_固定地理'!B101="","缺少中文名称；","")&amp;IF('02_固定地理'!D101="","缺少对象类型；","")&amp;IF(AND('02_固定地理'!F101&lt;&gt;"",OR('02_固定地理'!F101&lt;0,'02_固定地理'!F101&gt;WorldWidth)),"世界中心X越界；","")&amp;IF(AND('02_固定地理'!G101&lt;&gt;"",OR('02_固定地理'!G101&lt;0,'02_固定地理'!G101&gt;WorldHeight)),"世界中心Y越界；","")&amp;IF(AND('02_固定地理'!H101&lt;&gt;"",'02_固定地理'!J101&lt;&gt;"",'02_固定地理'!H101&gt;'02_固定地理'!J101),"最小X大于最大X；","")&amp;IF(AND('02_固定地理'!I101&lt;&gt;"",'02_固定地理'!K101&lt;&gt;"",'02_固定地理'!I101&gt;'02_固定地理'!K101),"最小Y大于最大Y；","")&amp;IF(AND('02_固定地理'!E101&lt;&gt;"",COUNTIF('02_固定地理'!$A$2:$A$501,'02_固定地理'!E101)=0),"父级对象不存在；","")&amp;IF(AND('02_固定地理'!A101&lt;&gt;"",COUNTIF('02_固定地理'!$A$2:$A$501,'02_固定地理'!A101)&gt;1),"ID重复；",""),"")</f>
        <v/>
      </c>
      <c r="G101" s="14">
        <f>IF(F101&lt;&gt;"","按字段批注、数据字典和来源记录修正后复核","")</f>
        <v/>
      </c>
      <c r="H101" s="14">
        <f>IF(F101&lt;&gt;"","待处理","")</f>
        <v/>
      </c>
    </row>
    <row r="102">
      <c r="A102" s="14">
        <f>IF(F102&lt;&gt;"","ISSUE-"&amp;TEXT(ROW()-1,"00000"),"")</f>
        <v/>
      </c>
      <c r="B102" s="14">
        <f>IF(F102&lt;&gt;"","错误","")</f>
        <v/>
      </c>
      <c r="C102" s="14">
        <f>IF('02_固定地理'!A102&lt;&gt;"","02_固定地理","")</f>
        <v/>
      </c>
      <c r="D102" s="14">
        <f>IF('02_固定地理'!A102&lt;&gt;"",'02_固定地理'!A102,"")</f>
        <v/>
      </c>
      <c r="E102" s="14">
        <f>IF(F102&lt;&gt;"","综合校验","")</f>
        <v/>
      </c>
      <c r="F102" s="14">
        <f>IF('02_固定地理'!A102&lt;&gt;"",IF('02_固定地理'!A102="","缺少对象ID；","")&amp;IF('02_固定地理'!B102="","缺少中文名称；","")&amp;IF('02_固定地理'!D102="","缺少对象类型；","")&amp;IF(AND('02_固定地理'!F102&lt;&gt;"",OR('02_固定地理'!F102&lt;0,'02_固定地理'!F102&gt;WorldWidth)),"世界中心X越界；","")&amp;IF(AND('02_固定地理'!G102&lt;&gt;"",OR('02_固定地理'!G102&lt;0,'02_固定地理'!G102&gt;WorldHeight)),"世界中心Y越界；","")&amp;IF(AND('02_固定地理'!H102&lt;&gt;"",'02_固定地理'!J102&lt;&gt;"",'02_固定地理'!H102&gt;'02_固定地理'!J102),"最小X大于最大X；","")&amp;IF(AND('02_固定地理'!I102&lt;&gt;"",'02_固定地理'!K102&lt;&gt;"",'02_固定地理'!I102&gt;'02_固定地理'!K102),"最小Y大于最大Y；","")&amp;IF(AND('02_固定地理'!E102&lt;&gt;"",COUNTIF('02_固定地理'!$A$2:$A$501,'02_固定地理'!E102)=0),"父级对象不存在；","")&amp;IF(AND('02_固定地理'!A102&lt;&gt;"",COUNTIF('02_固定地理'!$A$2:$A$501,'02_固定地理'!A102)&gt;1),"ID重复；",""),"")</f>
        <v/>
      </c>
      <c r="G102" s="14">
        <f>IF(F102&lt;&gt;"","按字段批注、数据字典和来源记录修正后复核","")</f>
        <v/>
      </c>
      <c r="H102" s="14">
        <f>IF(F102&lt;&gt;"","待处理","")</f>
        <v/>
      </c>
    </row>
    <row r="103">
      <c r="A103" s="14">
        <f>IF(F103&lt;&gt;"","ISSUE-"&amp;TEXT(ROW()-1,"00000"),"")</f>
        <v/>
      </c>
      <c r="B103" s="14">
        <f>IF(F103&lt;&gt;"","错误","")</f>
        <v/>
      </c>
      <c r="C103" s="14">
        <f>IF('02_固定地理'!A103&lt;&gt;"","02_固定地理","")</f>
        <v/>
      </c>
      <c r="D103" s="14">
        <f>IF('02_固定地理'!A103&lt;&gt;"",'02_固定地理'!A103,"")</f>
        <v/>
      </c>
      <c r="E103" s="14">
        <f>IF(F103&lt;&gt;"","综合校验","")</f>
        <v/>
      </c>
      <c r="F103" s="14">
        <f>IF('02_固定地理'!A103&lt;&gt;"",IF('02_固定地理'!A103="","缺少对象ID；","")&amp;IF('02_固定地理'!B103="","缺少中文名称；","")&amp;IF('02_固定地理'!D103="","缺少对象类型；","")&amp;IF(AND('02_固定地理'!F103&lt;&gt;"",OR('02_固定地理'!F103&lt;0,'02_固定地理'!F103&gt;WorldWidth)),"世界中心X越界；","")&amp;IF(AND('02_固定地理'!G103&lt;&gt;"",OR('02_固定地理'!G103&lt;0,'02_固定地理'!G103&gt;WorldHeight)),"世界中心Y越界；","")&amp;IF(AND('02_固定地理'!H103&lt;&gt;"",'02_固定地理'!J103&lt;&gt;"",'02_固定地理'!H103&gt;'02_固定地理'!J103),"最小X大于最大X；","")&amp;IF(AND('02_固定地理'!I103&lt;&gt;"",'02_固定地理'!K103&lt;&gt;"",'02_固定地理'!I103&gt;'02_固定地理'!K103),"最小Y大于最大Y；","")&amp;IF(AND('02_固定地理'!E103&lt;&gt;"",COUNTIF('02_固定地理'!$A$2:$A$501,'02_固定地理'!E103)=0),"父级对象不存在；","")&amp;IF(AND('02_固定地理'!A103&lt;&gt;"",COUNTIF('02_固定地理'!$A$2:$A$501,'02_固定地理'!A103)&gt;1),"ID重复；",""),"")</f>
        <v/>
      </c>
      <c r="G103" s="14">
        <f>IF(F103&lt;&gt;"","按字段批注、数据字典和来源记录修正后复核","")</f>
        <v/>
      </c>
      <c r="H103" s="14">
        <f>IF(F103&lt;&gt;"","待处理","")</f>
        <v/>
      </c>
    </row>
    <row r="104">
      <c r="A104" s="14">
        <f>IF(F104&lt;&gt;"","ISSUE-"&amp;TEXT(ROW()-1,"00000"),"")</f>
        <v/>
      </c>
      <c r="B104" s="14">
        <f>IF(F104&lt;&gt;"","错误","")</f>
        <v/>
      </c>
      <c r="C104" s="14">
        <f>IF('02_固定地理'!A104&lt;&gt;"","02_固定地理","")</f>
        <v/>
      </c>
      <c r="D104" s="14">
        <f>IF('02_固定地理'!A104&lt;&gt;"",'02_固定地理'!A104,"")</f>
        <v/>
      </c>
      <c r="E104" s="14">
        <f>IF(F104&lt;&gt;"","综合校验","")</f>
        <v/>
      </c>
      <c r="F104" s="14">
        <f>IF('02_固定地理'!A104&lt;&gt;"",IF('02_固定地理'!A104="","缺少对象ID；","")&amp;IF('02_固定地理'!B104="","缺少中文名称；","")&amp;IF('02_固定地理'!D104="","缺少对象类型；","")&amp;IF(AND('02_固定地理'!F104&lt;&gt;"",OR('02_固定地理'!F104&lt;0,'02_固定地理'!F104&gt;WorldWidth)),"世界中心X越界；","")&amp;IF(AND('02_固定地理'!G104&lt;&gt;"",OR('02_固定地理'!G104&lt;0,'02_固定地理'!G104&gt;WorldHeight)),"世界中心Y越界；","")&amp;IF(AND('02_固定地理'!H104&lt;&gt;"",'02_固定地理'!J104&lt;&gt;"",'02_固定地理'!H104&gt;'02_固定地理'!J104),"最小X大于最大X；","")&amp;IF(AND('02_固定地理'!I104&lt;&gt;"",'02_固定地理'!K104&lt;&gt;"",'02_固定地理'!I104&gt;'02_固定地理'!K104),"最小Y大于最大Y；","")&amp;IF(AND('02_固定地理'!E104&lt;&gt;"",COUNTIF('02_固定地理'!$A$2:$A$501,'02_固定地理'!E104)=0),"父级对象不存在；","")&amp;IF(AND('02_固定地理'!A104&lt;&gt;"",COUNTIF('02_固定地理'!$A$2:$A$501,'02_固定地理'!A104)&gt;1),"ID重复；",""),"")</f>
        <v/>
      </c>
      <c r="G104" s="14">
        <f>IF(F104&lt;&gt;"","按字段批注、数据字典和来源记录修正后复核","")</f>
        <v/>
      </c>
      <c r="H104" s="14">
        <f>IF(F104&lt;&gt;"","待处理","")</f>
        <v/>
      </c>
    </row>
    <row r="105">
      <c r="A105" s="14">
        <f>IF(F105&lt;&gt;"","ISSUE-"&amp;TEXT(ROW()-1,"00000"),"")</f>
        <v/>
      </c>
      <c r="B105" s="14">
        <f>IF(F105&lt;&gt;"","错误","")</f>
        <v/>
      </c>
      <c r="C105" s="14">
        <f>IF('02_固定地理'!A105&lt;&gt;"","02_固定地理","")</f>
        <v/>
      </c>
      <c r="D105" s="14">
        <f>IF('02_固定地理'!A105&lt;&gt;"",'02_固定地理'!A105,"")</f>
        <v/>
      </c>
      <c r="E105" s="14">
        <f>IF(F105&lt;&gt;"","综合校验","")</f>
        <v/>
      </c>
      <c r="F105" s="14">
        <f>IF('02_固定地理'!A105&lt;&gt;"",IF('02_固定地理'!A105="","缺少对象ID；","")&amp;IF('02_固定地理'!B105="","缺少中文名称；","")&amp;IF('02_固定地理'!D105="","缺少对象类型；","")&amp;IF(AND('02_固定地理'!F105&lt;&gt;"",OR('02_固定地理'!F105&lt;0,'02_固定地理'!F105&gt;WorldWidth)),"世界中心X越界；","")&amp;IF(AND('02_固定地理'!G105&lt;&gt;"",OR('02_固定地理'!G105&lt;0,'02_固定地理'!G105&gt;WorldHeight)),"世界中心Y越界；","")&amp;IF(AND('02_固定地理'!H105&lt;&gt;"",'02_固定地理'!J105&lt;&gt;"",'02_固定地理'!H105&gt;'02_固定地理'!J105),"最小X大于最大X；","")&amp;IF(AND('02_固定地理'!I105&lt;&gt;"",'02_固定地理'!K105&lt;&gt;"",'02_固定地理'!I105&gt;'02_固定地理'!K105),"最小Y大于最大Y；","")&amp;IF(AND('02_固定地理'!E105&lt;&gt;"",COUNTIF('02_固定地理'!$A$2:$A$501,'02_固定地理'!E105)=0),"父级对象不存在；","")&amp;IF(AND('02_固定地理'!A105&lt;&gt;"",COUNTIF('02_固定地理'!$A$2:$A$501,'02_固定地理'!A105)&gt;1),"ID重复；",""),"")</f>
        <v/>
      </c>
      <c r="G105" s="14">
        <f>IF(F105&lt;&gt;"","按字段批注、数据字典和来源记录修正后复核","")</f>
        <v/>
      </c>
      <c r="H105" s="14">
        <f>IF(F105&lt;&gt;"","待处理","")</f>
        <v/>
      </c>
    </row>
    <row r="106">
      <c r="A106" s="14">
        <f>IF(F106&lt;&gt;"","ISSUE-"&amp;TEXT(ROW()-1,"00000"),"")</f>
        <v/>
      </c>
      <c r="B106" s="14">
        <f>IF(F106&lt;&gt;"","错误","")</f>
        <v/>
      </c>
      <c r="C106" s="14">
        <f>IF('02_固定地理'!A106&lt;&gt;"","02_固定地理","")</f>
        <v/>
      </c>
      <c r="D106" s="14">
        <f>IF('02_固定地理'!A106&lt;&gt;"",'02_固定地理'!A106,"")</f>
        <v/>
      </c>
      <c r="E106" s="14">
        <f>IF(F106&lt;&gt;"","综合校验","")</f>
        <v/>
      </c>
      <c r="F106" s="14">
        <f>IF('02_固定地理'!A106&lt;&gt;"",IF('02_固定地理'!A106="","缺少对象ID；","")&amp;IF('02_固定地理'!B106="","缺少中文名称；","")&amp;IF('02_固定地理'!D106="","缺少对象类型；","")&amp;IF(AND('02_固定地理'!F106&lt;&gt;"",OR('02_固定地理'!F106&lt;0,'02_固定地理'!F106&gt;WorldWidth)),"世界中心X越界；","")&amp;IF(AND('02_固定地理'!G106&lt;&gt;"",OR('02_固定地理'!G106&lt;0,'02_固定地理'!G106&gt;WorldHeight)),"世界中心Y越界；","")&amp;IF(AND('02_固定地理'!H106&lt;&gt;"",'02_固定地理'!J106&lt;&gt;"",'02_固定地理'!H106&gt;'02_固定地理'!J106),"最小X大于最大X；","")&amp;IF(AND('02_固定地理'!I106&lt;&gt;"",'02_固定地理'!K106&lt;&gt;"",'02_固定地理'!I106&gt;'02_固定地理'!K106),"最小Y大于最大Y；","")&amp;IF(AND('02_固定地理'!E106&lt;&gt;"",COUNTIF('02_固定地理'!$A$2:$A$501,'02_固定地理'!E106)=0),"父级对象不存在；","")&amp;IF(AND('02_固定地理'!A106&lt;&gt;"",COUNTIF('02_固定地理'!$A$2:$A$501,'02_固定地理'!A106)&gt;1),"ID重复；",""),"")</f>
        <v/>
      </c>
      <c r="G106" s="14">
        <f>IF(F106&lt;&gt;"","按字段批注、数据字典和来源记录修正后复核","")</f>
        <v/>
      </c>
      <c r="H106" s="14">
        <f>IF(F106&lt;&gt;"","待处理","")</f>
        <v/>
      </c>
    </row>
    <row r="107">
      <c r="A107" s="14">
        <f>IF(F107&lt;&gt;"","ISSUE-"&amp;TEXT(ROW()-1,"00000"),"")</f>
        <v/>
      </c>
      <c r="B107" s="14">
        <f>IF(F107&lt;&gt;"","错误","")</f>
        <v/>
      </c>
      <c r="C107" s="14">
        <f>IF('02_固定地理'!A107&lt;&gt;"","02_固定地理","")</f>
        <v/>
      </c>
      <c r="D107" s="14">
        <f>IF('02_固定地理'!A107&lt;&gt;"",'02_固定地理'!A107,"")</f>
        <v/>
      </c>
      <c r="E107" s="14">
        <f>IF(F107&lt;&gt;"","综合校验","")</f>
        <v/>
      </c>
      <c r="F107" s="14">
        <f>IF('02_固定地理'!A107&lt;&gt;"",IF('02_固定地理'!A107="","缺少对象ID；","")&amp;IF('02_固定地理'!B107="","缺少中文名称；","")&amp;IF('02_固定地理'!D107="","缺少对象类型；","")&amp;IF(AND('02_固定地理'!F107&lt;&gt;"",OR('02_固定地理'!F107&lt;0,'02_固定地理'!F107&gt;WorldWidth)),"世界中心X越界；","")&amp;IF(AND('02_固定地理'!G107&lt;&gt;"",OR('02_固定地理'!G107&lt;0,'02_固定地理'!G107&gt;WorldHeight)),"世界中心Y越界；","")&amp;IF(AND('02_固定地理'!H107&lt;&gt;"",'02_固定地理'!J107&lt;&gt;"",'02_固定地理'!H107&gt;'02_固定地理'!J107),"最小X大于最大X；","")&amp;IF(AND('02_固定地理'!I107&lt;&gt;"",'02_固定地理'!K107&lt;&gt;"",'02_固定地理'!I107&gt;'02_固定地理'!K107),"最小Y大于最大Y；","")&amp;IF(AND('02_固定地理'!E107&lt;&gt;"",COUNTIF('02_固定地理'!$A$2:$A$501,'02_固定地理'!E107)=0),"父级对象不存在；","")&amp;IF(AND('02_固定地理'!A107&lt;&gt;"",COUNTIF('02_固定地理'!$A$2:$A$501,'02_固定地理'!A107)&gt;1),"ID重复；",""),"")</f>
        <v/>
      </c>
      <c r="G107" s="14">
        <f>IF(F107&lt;&gt;"","按字段批注、数据字典和来源记录修正后复核","")</f>
        <v/>
      </c>
      <c r="H107" s="14">
        <f>IF(F107&lt;&gt;"","待处理","")</f>
        <v/>
      </c>
    </row>
    <row r="108">
      <c r="A108" s="14">
        <f>IF(F108&lt;&gt;"","ISSUE-"&amp;TEXT(ROW()-1,"00000"),"")</f>
        <v/>
      </c>
      <c r="B108" s="14">
        <f>IF(F108&lt;&gt;"","错误","")</f>
        <v/>
      </c>
      <c r="C108" s="14">
        <f>IF('02_固定地理'!A108&lt;&gt;"","02_固定地理","")</f>
        <v/>
      </c>
      <c r="D108" s="14">
        <f>IF('02_固定地理'!A108&lt;&gt;"",'02_固定地理'!A108,"")</f>
        <v/>
      </c>
      <c r="E108" s="14">
        <f>IF(F108&lt;&gt;"","综合校验","")</f>
        <v/>
      </c>
      <c r="F108" s="14">
        <f>IF('02_固定地理'!A108&lt;&gt;"",IF('02_固定地理'!A108="","缺少对象ID；","")&amp;IF('02_固定地理'!B108="","缺少中文名称；","")&amp;IF('02_固定地理'!D108="","缺少对象类型；","")&amp;IF(AND('02_固定地理'!F108&lt;&gt;"",OR('02_固定地理'!F108&lt;0,'02_固定地理'!F108&gt;WorldWidth)),"世界中心X越界；","")&amp;IF(AND('02_固定地理'!G108&lt;&gt;"",OR('02_固定地理'!G108&lt;0,'02_固定地理'!G108&gt;WorldHeight)),"世界中心Y越界；","")&amp;IF(AND('02_固定地理'!H108&lt;&gt;"",'02_固定地理'!J108&lt;&gt;"",'02_固定地理'!H108&gt;'02_固定地理'!J108),"最小X大于最大X；","")&amp;IF(AND('02_固定地理'!I108&lt;&gt;"",'02_固定地理'!K108&lt;&gt;"",'02_固定地理'!I108&gt;'02_固定地理'!K108),"最小Y大于最大Y；","")&amp;IF(AND('02_固定地理'!E108&lt;&gt;"",COUNTIF('02_固定地理'!$A$2:$A$501,'02_固定地理'!E108)=0),"父级对象不存在；","")&amp;IF(AND('02_固定地理'!A108&lt;&gt;"",COUNTIF('02_固定地理'!$A$2:$A$501,'02_固定地理'!A108)&gt;1),"ID重复；",""),"")</f>
        <v/>
      </c>
      <c r="G108" s="14">
        <f>IF(F108&lt;&gt;"","按字段批注、数据字典和来源记录修正后复核","")</f>
        <v/>
      </c>
      <c r="H108" s="14">
        <f>IF(F108&lt;&gt;"","待处理","")</f>
        <v/>
      </c>
    </row>
    <row r="109">
      <c r="A109" s="14">
        <f>IF(F109&lt;&gt;"","ISSUE-"&amp;TEXT(ROW()-1,"00000"),"")</f>
        <v/>
      </c>
      <c r="B109" s="14">
        <f>IF(F109&lt;&gt;"","错误","")</f>
        <v/>
      </c>
      <c r="C109" s="14">
        <f>IF('02_固定地理'!A109&lt;&gt;"","02_固定地理","")</f>
        <v/>
      </c>
      <c r="D109" s="14">
        <f>IF('02_固定地理'!A109&lt;&gt;"",'02_固定地理'!A109,"")</f>
        <v/>
      </c>
      <c r="E109" s="14">
        <f>IF(F109&lt;&gt;"","综合校验","")</f>
        <v/>
      </c>
      <c r="F109" s="14">
        <f>IF('02_固定地理'!A109&lt;&gt;"",IF('02_固定地理'!A109="","缺少对象ID；","")&amp;IF('02_固定地理'!B109="","缺少中文名称；","")&amp;IF('02_固定地理'!D109="","缺少对象类型；","")&amp;IF(AND('02_固定地理'!F109&lt;&gt;"",OR('02_固定地理'!F109&lt;0,'02_固定地理'!F109&gt;WorldWidth)),"世界中心X越界；","")&amp;IF(AND('02_固定地理'!G109&lt;&gt;"",OR('02_固定地理'!G109&lt;0,'02_固定地理'!G109&gt;WorldHeight)),"世界中心Y越界；","")&amp;IF(AND('02_固定地理'!H109&lt;&gt;"",'02_固定地理'!J109&lt;&gt;"",'02_固定地理'!H109&gt;'02_固定地理'!J109),"最小X大于最大X；","")&amp;IF(AND('02_固定地理'!I109&lt;&gt;"",'02_固定地理'!K109&lt;&gt;"",'02_固定地理'!I109&gt;'02_固定地理'!K109),"最小Y大于最大Y；","")&amp;IF(AND('02_固定地理'!E109&lt;&gt;"",COUNTIF('02_固定地理'!$A$2:$A$501,'02_固定地理'!E109)=0),"父级对象不存在；","")&amp;IF(AND('02_固定地理'!A109&lt;&gt;"",COUNTIF('02_固定地理'!$A$2:$A$501,'02_固定地理'!A109)&gt;1),"ID重复；",""),"")</f>
        <v/>
      </c>
      <c r="G109" s="14">
        <f>IF(F109&lt;&gt;"","按字段批注、数据字典和来源记录修正后复核","")</f>
        <v/>
      </c>
      <c r="H109" s="14">
        <f>IF(F109&lt;&gt;"","待处理","")</f>
        <v/>
      </c>
    </row>
    <row r="110">
      <c r="A110" s="14">
        <f>IF(F110&lt;&gt;"","ISSUE-"&amp;TEXT(ROW()-1,"00000"),"")</f>
        <v/>
      </c>
      <c r="B110" s="14">
        <f>IF(F110&lt;&gt;"","错误","")</f>
        <v/>
      </c>
      <c r="C110" s="14">
        <f>IF('02_固定地理'!A110&lt;&gt;"","02_固定地理","")</f>
        <v/>
      </c>
      <c r="D110" s="14">
        <f>IF('02_固定地理'!A110&lt;&gt;"",'02_固定地理'!A110,"")</f>
        <v/>
      </c>
      <c r="E110" s="14">
        <f>IF(F110&lt;&gt;"","综合校验","")</f>
        <v/>
      </c>
      <c r="F110" s="14">
        <f>IF('02_固定地理'!A110&lt;&gt;"",IF('02_固定地理'!A110="","缺少对象ID；","")&amp;IF('02_固定地理'!B110="","缺少中文名称；","")&amp;IF('02_固定地理'!D110="","缺少对象类型；","")&amp;IF(AND('02_固定地理'!F110&lt;&gt;"",OR('02_固定地理'!F110&lt;0,'02_固定地理'!F110&gt;WorldWidth)),"世界中心X越界；","")&amp;IF(AND('02_固定地理'!G110&lt;&gt;"",OR('02_固定地理'!G110&lt;0,'02_固定地理'!G110&gt;WorldHeight)),"世界中心Y越界；","")&amp;IF(AND('02_固定地理'!H110&lt;&gt;"",'02_固定地理'!J110&lt;&gt;"",'02_固定地理'!H110&gt;'02_固定地理'!J110),"最小X大于最大X；","")&amp;IF(AND('02_固定地理'!I110&lt;&gt;"",'02_固定地理'!K110&lt;&gt;"",'02_固定地理'!I110&gt;'02_固定地理'!K110),"最小Y大于最大Y；","")&amp;IF(AND('02_固定地理'!E110&lt;&gt;"",COUNTIF('02_固定地理'!$A$2:$A$501,'02_固定地理'!E110)=0),"父级对象不存在；","")&amp;IF(AND('02_固定地理'!A110&lt;&gt;"",COUNTIF('02_固定地理'!$A$2:$A$501,'02_固定地理'!A110)&gt;1),"ID重复；",""),"")</f>
        <v/>
      </c>
      <c r="G110" s="14">
        <f>IF(F110&lt;&gt;"","按字段批注、数据字典和来源记录修正后复核","")</f>
        <v/>
      </c>
      <c r="H110" s="14">
        <f>IF(F110&lt;&gt;"","待处理","")</f>
        <v/>
      </c>
    </row>
    <row r="111">
      <c r="A111" s="14">
        <f>IF(F111&lt;&gt;"","ISSUE-"&amp;TEXT(ROW()-1,"00000"),"")</f>
        <v/>
      </c>
      <c r="B111" s="14">
        <f>IF(F111&lt;&gt;"","错误","")</f>
        <v/>
      </c>
      <c r="C111" s="14">
        <f>IF('02_固定地理'!A111&lt;&gt;"","02_固定地理","")</f>
        <v/>
      </c>
      <c r="D111" s="14">
        <f>IF('02_固定地理'!A111&lt;&gt;"",'02_固定地理'!A111,"")</f>
        <v/>
      </c>
      <c r="E111" s="14">
        <f>IF(F111&lt;&gt;"","综合校验","")</f>
        <v/>
      </c>
      <c r="F111" s="14">
        <f>IF('02_固定地理'!A111&lt;&gt;"",IF('02_固定地理'!A111="","缺少对象ID；","")&amp;IF('02_固定地理'!B111="","缺少中文名称；","")&amp;IF('02_固定地理'!D111="","缺少对象类型；","")&amp;IF(AND('02_固定地理'!F111&lt;&gt;"",OR('02_固定地理'!F111&lt;0,'02_固定地理'!F111&gt;WorldWidth)),"世界中心X越界；","")&amp;IF(AND('02_固定地理'!G111&lt;&gt;"",OR('02_固定地理'!G111&lt;0,'02_固定地理'!G111&gt;WorldHeight)),"世界中心Y越界；","")&amp;IF(AND('02_固定地理'!H111&lt;&gt;"",'02_固定地理'!J111&lt;&gt;"",'02_固定地理'!H111&gt;'02_固定地理'!J111),"最小X大于最大X；","")&amp;IF(AND('02_固定地理'!I111&lt;&gt;"",'02_固定地理'!K111&lt;&gt;"",'02_固定地理'!I111&gt;'02_固定地理'!K111),"最小Y大于最大Y；","")&amp;IF(AND('02_固定地理'!E111&lt;&gt;"",COUNTIF('02_固定地理'!$A$2:$A$501,'02_固定地理'!E111)=0),"父级对象不存在；","")&amp;IF(AND('02_固定地理'!A111&lt;&gt;"",COUNTIF('02_固定地理'!$A$2:$A$501,'02_固定地理'!A111)&gt;1),"ID重复；",""),"")</f>
        <v/>
      </c>
      <c r="G111" s="14">
        <f>IF(F111&lt;&gt;"","按字段批注、数据字典和来源记录修正后复核","")</f>
        <v/>
      </c>
      <c r="H111" s="14">
        <f>IF(F111&lt;&gt;"","待处理","")</f>
        <v/>
      </c>
    </row>
    <row r="112">
      <c r="A112" s="14">
        <f>IF(F112&lt;&gt;"","ISSUE-"&amp;TEXT(ROW()-1,"00000"),"")</f>
        <v/>
      </c>
      <c r="B112" s="14">
        <f>IF(F112&lt;&gt;"","错误","")</f>
        <v/>
      </c>
      <c r="C112" s="14">
        <f>IF('02_固定地理'!A112&lt;&gt;"","02_固定地理","")</f>
        <v/>
      </c>
      <c r="D112" s="14">
        <f>IF('02_固定地理'!A112&lt;&gt;"",'02_固定地理'!A112,"")</f>
        <v/>
      </c>
      <c r="E112" s="14">
        <f>IF(F112&lt;&gt;"","综合校验","")</f>
        <v/>
      </c>
      <c r="F112" s="14">
        <f>IF('02_固定地理'!A112&lt;&gt;"",IF('02_固定地理'!A112="","缺少对象ID；","")&amp;IF('02_固定地理'!B112="","缺少中文名称；","")&amp;IF('02_固定地理'!D112="","缺少对象类型；","")&amp;IF(AND('02_固定地理'!F112&lt;&gt;"",OR('02_固定地理'!F112&lt;0,'02_固定地理'!F112&gt;WorldWidth)),"世界中心X越界；","")&amp;IF(AND('02_固定地理'!G112&lt;&gt;"",OR('02_固定地理'!G112&lt;0,'02_固定地理'!G112&gt;WorldHeight)),"世界中心Y越界；","")&amp;IF(AND('02_固定地理'!H112&lt;&gt;"",'02_固定地理'!J112&lt;&gt;"",'02_固定地理'!H112&gt;'02_固定地理'!J112),"最小X大于最大X；","")&amp;IF(AND('02_固定地理'!I112&lt;&gt;"",'02_固定地理'!K112&lt;&gt;"",'02_固定地理'!I112&gt;'02_固定地理'!K112),"最小Y大于最大Y；","")&amp;IF(AND('02_固定地理'!E112&lt;&gt;"",COUNTIF('02_固定地理'!$A$2:$A$501,'02_固定地理'!E112)=0),"父级对象不存在；","")&amp;IF(AND('02_固定地理'!A112&lt;&gt;"",COUNTIF('02_固定地理'!$A$2:$A$501,'02_固定地理'!A112)&gt;1),"ID重复；",""),"")</f>
        <v/>
      </c>
      <c r="G112" s="14">
        <f>IF(F112&lt;&gt;"","按字段批注、数据字典和来源记录修正后复核","")</f>
        <v/>
      </c>
      <c r="H112" s="14">
        <f>IF(F112&lt;&gt;"","待处理","")</f>
        <v/>
      </c>
    </row>
    <row r="113">
      <c r="A113" s="14">
        <f>IF(F113&lt;&gt;"","ISSUE-"&amp;TEXT(ROW()-1,"00000"),"")</f>
        <v/>
      </c>
      <c r="B113" s="14">
        <f>IF(F113&lt;&gt;"","错误","")</f>
        <v/>
      </c>
      <c r="C113" s="14">
        <f>IF('02_固定地理'!A113&lt;&gt;"","02_固定地理","")</f>
        <v/>
      </c>
      <c r="D113" s="14">
        <f>IF('02_固定地理'!A113&lt;&gt;"",'02_固定地理'!A113,"")</f>
        <v/>
      </c>
      <c r="E113" s="14">
        <f>IF(F113&lt;&gt;"","综合校验","")</f>
        <v/>
      </c>
      <c r="F113" s="14">
        <f>IF('02_固定地理'!A113&lt;&gt;"",IF('02_固定地理'!A113="","缺少对象ID；","")&amp;IF('02_固定地理'!B113="","缺少中文名称；","")&amp;IF('02_固定地理'!D113="","缺少对象类型；","")&amp;IF(AND('02_固定地理'!F113&lt;&gt;"",OR('02_固定地理'!F113&lt;0,'02_固定地理'!F113&gt;WorldWidth)),"世界中心X越界；","")&amp;IF(AND('02_固定地理'!G113&lt;&gt;"",OR('02_固定地理'!G113&lt;0,'02_固定地理'!G113&gt;WorldHeight)),"世界中心Y越界；","")&amp;IF(AND('02_固定地理'!H113&lt;&gt;"",'02_固定地理'!J113&lt;&gt;"",'02_固定地理'!H113&gt;'02_固定地理'!J113),"最小X大于最大X；","")&amp;IF(AND('02_固定地理'!I113&lt;&gt;"",'02_固定地理'!K113&lt;&gt;"",'02_固定地理'!I113&gt;'02_固定地理'!K113),"最小Y大于最大Y；","")&amp;IF(AND('02_固定地理'!E113&lt;&gt;"",COUNTIF('02_固定地理'!$A$2:$A$501,'02_固定地理'!E113)=0),"父级对象不存在；","")&amp;IF(AND('02_固定地理'!A113&lt;&gt;"",COUNTIF('02_固定地理'!$A$2:$A$501,'02_固定地理'!A113)&gt;1),"ID重复；",""),"")</f>
        <v/>
      </c>
      <c r="G113" s="14">
        <f>IF(F113&lt;&gt;"","按字段批注、数据字典和来源记录修正后复核","")</f>
        <v/>
      </c>
      <c r="H113" s="14">
        <f>IF(F113&lt;&gt;"","待处理","")</f>
        <v/>
      </c>
    </row>
    <row r="114">
      <c r="A114" s="14">
        <f>IF(F114&lt;&gt;"","ISSUE-"&amp;TEXT(ROW()-1,"00000"),"")</f>
        <v/>
      </c>
      <c r="B114" s="14">
        <f>IF(F114&lt;&gt;"","错误","")</f>
        <v/>
      </c>
      <c r="C114" s="14">
        <f>IF('02_固定地理'!A114&lt;&gt;"","02_固定地理","")</f>
        <v/>
      </c>
      <c r="D114" s="14">
        <f>IF('02_固定地理'!A114&lt;&gt;"",'02_固定地理'!A114,"")</f>
        <v/>
      </c>
      <c r="E114" s="14">
        <f>IF(F114&lt;&gt;"","综合校验","")</f>
        <v/>
      </c>
      <c r="F114" s="14">
        <f>IF('02_固定地理'!A114&lt;&gt;"",IF('02_固定地理'!A114="","缺少对象ID；","")&amp;IF('02_固定地理'!B114="","缺少中文名称；","")&amp;IF('02_固定地理'!D114="","缺少对象类型；","")&amp;IF(AND('02_固定地理'!F114&lt;&gt;"",OR('02_固定地理'!F114&lt;0,'02_固定地理'!F114&gt;WorldWidth)),"世界中心X越界；","")&amp;IF(AND('02_固定地理'!G114&lt;&gt;"",OR('02_固定地理'!G114&lt;0,'02_固定地理'!G114&gt;WorldHeight)),"世界中心Y越界；","")&amp;IF(AND('02_固定地理'!H114&lt;&gt;"",'02_固定地理'!J114&lt;&gt;"",'02_固定地理'!H114&gt;'02_固定地理'!J114),"最小X大于最大X；","")&amp;IF(AND('02_固定地理'!I114&lt;&gt;"",'02_固定地理'!K114&lt;&gt;"",'02_固定地理'!I114&gt;'02_固定地理'!K114),"最小Y大于最大Y；","")&amp;IF(AND('02_固定地理'!E114&lt;&gt;"",COUNTIF('02_固定地理'!$A$2:$A$501,'02_固定地理'!E114)=0),"父级对象不存在；","")&amp;IF(AND('02_固定地理'!A114&lt;&gt;"",COUNTIF('02_固定地理'!$A$2:$A$501,'02_固定地理'!A114)&gt;1),"ID重复；",""),"")</f>
        <v/>
      </c>
      <c r="G114" s="14">
        <f>IF(F114&lt;&gt;"","按字段批注、数据字典和来源记录修正后复核","")</f>
        <v/>
      </c>
      <c r="H114" s="14">
        <f>IF(F114&lt;&gt;"","待处理","")</f>
        <v/>
      </c>
    </row>
    <row r="115">
      <c r="A115" s="14">
        <f>IF(F115&lt;&gt;"","ISSUE-"&amp;TEXT(ROW()-1,"00000"),"")</f>
        <v/>
      </c>
      <c r="B115" s="14">
        <f>IF(F115&lt;&gt;"","错误","")</f>
        <v/>
      </c>
      <c r="C115" s="14">
        <f>IF('02_固定地理'!A115&lt;&gt;"","02_固定地理","")</f>
        <v/>
      </c>
      <c r="D115" s="14">
        <f>IF('02_固定地理'!A115&lt;&gt;"",'02_固定地理'!A115,"")</f>
        <v/>
      </c>
      <c r="E115" s="14">
        <f>IF(F115&lt;&gt;"","综合校验","")</f>
        <v/>
      </c>
      <c r="F115" s="14">
        <f>IF('02_固定地理'!A115&lt;&gt;"",IF('02_固定地理'!A115="","缺少对象ID；","")&amp;IF('02_固定地理'!B115="","缺少中文名称；","")&amp;IF('02_固定地理'!D115="","缺少对象类型；","")&amp;IF(AND('02_固定地理'!F115&lt;&gt;"",OR('02_固定地理'!F115&lt;0,'02_固定地理'!F115&gt;WorldWidth)),"世界中心X越界；","")&amp;IF(AND('02_固定地理'!G115&lt;&gt;"",OR('02_固定地理'!G115&lt;0,'02_固定地理'!G115&gt;WorldHeight)),"世界中心Y越界；","")&amp;IF(AND('02_固定地理'!H115&lt;&gt;"",'02_固定地理'!J115&lt;&gt;"",'02_固定地理'!H115&gt;'02_固定地理'!J115),"最小X大于最大X；","")&amp;IF(AND('02_固定地理'!I115&lt;&gt;"",'02_固定地理'!K115&lt;&gt;"",'02_固定地理'!I115&gt;'02_固定地理'!K115),"最小Y大于最大Y；","")&amp;IF(AND('02_固定地理'!E115&lt;&gt;"",COUNTIF('02_固定地理'!$A$2:$A$501,'02_固定地理'!E115)=0),"父级对象不存在；","")&amp;IF(AND('02_固定地理'!A115&lt;&gt;"",COUNTIF('02_固定地理'!$A$2:$A$501,'02_固定地理'!A115)&gt;1),"ID重复；",""),"")</f>
        <v/>
      </c>
      <c r="G115" s="14">
        <f>IF(F115&lt;&gt;"","按字段批注、数据字典和来源记录修正后复核","")</f>
        <v/>
      </c>
      <c r="H115" s="14">
        <f>IF(F115&lt;&gt;"","待处理","")</f>
        <v/>
      </c>
    </row>
    <row r="116">
      <c r="A116" s="14">
        <f>IF(F116&lt;&gt;"","ISSUE-"&amp;TEXT(ROW()-1,"00000"),"")</f>
        <v/>
      </c>
      <c r="B116" s="14">
        <f>IF(F116&lt;&gt;"","错误","")</f>
        <v/>
      </c>
      <c r="C116" s="14">
        <f>IF('02_固定地理'!A116&lt;&gt;"","02_固定地理","")</f>
        <v/>
      </c>
      <c r="D116" s="14">
        <f>IF('02_固定地理'!A116&lt;&gt;"",'02_固定地理'!A116,"")</f>
        <v/>
      </c>
      <c r="E116" s="14">
        <f>IF(F116&lt;&gt;"","综合校验","")</f>
        <v/>
      </c>
      <c r="F116" s="14">
        <f>IF('02_固定地理'!A116&lt;&gt;"",IF('02_固定地理'!A116="","缺少对象ID；","")&amp;IF('02_固定地理'!B116="","缺少中文名称；","")&amp;IF('02_固定地理'!D116="","缺少对象类型；","")&amp;IF(AND('02_固定地理'!F116&lt;&gt;"",OR('02_固定地理'!F116&lt;0,'02_固定地理'!F116&gt;WorldWidth)),"世界中心X越界；","")&amp;IF(AND('02_固定地理'!G116&lt;&gt;"",OR('02_固定地理'!G116&lt;0,'02_固定地理'!G116&gt;WorldHeight)),"世界中心Y越界；","")&amp;IF(AND('02_固定地理'!H116&lt;&gt;"",'02_固定地理'!J116&lt;&gt;"",'02_固定地理'!H116&gt;'02_固定地理'!J116),"最小X大于最大X；","")&amp;IF(AND('02_固定地理'!I116&lt;&gt;"",'02_固定地理'!K116&lt;&gt;"",'02_固定地理'!I116&gt;'02_固定地理'!K116),"最小Y大于最大Y；","")&amp;IF(AND('02_固定地理'!E116&lt;&gt;"",COUNTIF('02_固定地理'!$A$2:$A$501,'02_固定地理'!E116)=0),"父级对象不存在；","")&amp;IF(AND('02_固定地理'!A116&lt;&gt;"",COUNTIF('02_固定地理'!$A$2:$A$501,'02_固定地理'!A116)&gt;1),"ID重复；",""),"")</f>
        <v/>
      </c>
      <c r="G116" s="14">
        <f>IF(F116&lt;&gt;"","按字段批注、数据字典和来源记录修正后复核","")</f>
        <v/>
      </c>
      <c r="H116" s="14">
        <f>IF(F116&lt;&gt;"","待处理","")</f>
        <v/>
      </c>
    </row>
    <row r="117">
      <c r="A117" s="14">
        <f>IF(F117&lt;&gt;"","ISSUE-"&amp;TEXT(ROW()-1,"00000"),"")</f>
        <v/>
      </c>
      <c r="B117" s="14">
        <f>IF(F117&lt;&gt;"","错误","")</f>
        <v/>
      </c>
      <c r="C117" s="14">
        <f>IF('02_固定地理'!A117&lt;&gt;"","02_固定地理","")</f>
        <v/>
      </c>
      <c r="D117" s="14">
        <f>IF('02_固定地理'!A117&lt;&gt;"",'02_固定地理'!A117,"")</f>
        <v/>
      </c>
      <c r="E117" s="14">
        <f>IF(F117&lt;&gt;"","综合校验","")</f>
        <v/>
      </c>
      <c r="F117" s="14">
        <f>IF('02_固定地理'!A117&lt;&gt;"",IF('02_固定地理'!A117="","缺少对象ID；","")&amp;IF('02_固定地理'!B117="","缺少中文名称；","")&amp;IF('02_固定地理'!D117="","缺少对象类型；","")&amp;IF(AND('02_固定地理'!F117&lt;&gt;"",OR('02_固定地理'!F117&lt;0,'02_固定地理'!F117&gt;WorldWidth)),"世界中心X越界；","")&amp;IF(AND('02_固定地理'!G117&lt;&gt;"",OR('02_固定地理'!G117&lt;0,'02_固定地理'!G117&gt;WorldHeight)),"世界中心Y越界；","")&amp;IF(AND('02_固定地理'!H117&lt;&gt;"",'02_固定地理'!J117&lt;&gt;"",'02_固定地理'!H117&gt;'02_固定地理'!J117),"最小X大于最大X；","")&amp;IF(AND('02_固定地理'!I117&lt;&gt;"",'02_固定地理'!K117&lt;&gt;"",'02_固定地理'!I117&gt;'02_固定地理'!K117),"最小Y大于最大Y；","")&amp;IF(AND('02_固定地理'!E117&lt;&gt;"",COUNTIF('02_固定地理'!$A$2:$A$501,'02_固定地理'!E117)=0),"父级对象不存在；","")&amp;IF(AND('02_固定地理'!A117&lt;&gt;"",COUNTIF('02_固定地理'!$A$2:$A$501,'02_固定地理'!A117)&gt;1),"ID重复；",""),"")</f>
        <v/>
      </c>
      <c r="G117" s="14">
        <f>IF(F117&lt;&gt;"","按字段批注、数据字典和来源记录修正后复核","")</f>
        <v/>
      </c>
      <c r="H117" s="14">
        <f>IF(F117&lt;&gt;"","待处理","")</f>
        <v/>
      </c>
    </row>
    <row r="118">
      <c r="A118" s="14">
        <f>IF(F118&lt;&gt;"","ISSUE-"&amp;TEXT(ROW()-1,"00000"),"")</f>
        <v/>
      </c>
      <c r="B118" s="14">
        <f>IF(F118&lt;&gt;"","错误","")</f>
        <v/>
      </c>
      <c r="C118" s="14">
        <f>IF('02_固定地理'!A118&lt;&gt;"","02_固定地理","")</f>
        <v/>
      </c>
      <c r="D118" s="14">
        <f>IF('02_固定地理'!A118&lt;&gt;"",'02_固定地理'!A118,"")</f>
        <v/>
      </c>
      <c r="E118" s="14">
        <f>IF(F118&lt;&gt;"","综合校验","")</f>
        <v/>
      </c>
      <c r="F118" s="14">
        <f>IF('02_固定地理'!A118&lt;&gt;"",IF('02_固定地理'!A118="","缺少对象ID；","")&amp;IF('02_固定地理'!B118="","缺少中文名称；","")&amp;IF('02_固定地理'!D118="","缺少对象类型；","")&amp;IF(AND('02_固定地理'!F118&lt;&gt;"",OR('02_固定地理'!F118&lt;0,'02_固定地理'!F118&gt;WorldWidth)),"世界中心X越界；","")&amp;IF(AND('02_固定地理'!G118&lt;&gt;"",OR('02_固定地理'!G118&lt;0,'02_固定地理'!G118&gt;WorldHeight)),"世界中心Y越界；","")&amp;IF(AND('02_固定地理'!H118&lt;&gt;"",'02_固定地理'!J118&lt;&gt;"",'02_固定地理'!H118&gt;'02_固定地理'!J118),"最小X大于最大X；","")&amp;IF(AND('02_固定地理'!I118&lt;&gt;"",'02_固定地理'!K118&lt;&gt;"",'02_固定地理'!I118&gt;'02_固定地理'!K118),"最小Y大于最大Y；","")&amp;IF(AND('02_固定地理'!E118&lt;&gt;"",COUNTIF('02_固定地理'!$A$2:$A$501,'02_固定地理'!E118)=0),"父级对象不存在；","")&amp;IF(AND('02_固定地理'!A118&lt;&gt;"",COUNTIF('02_固定地理'!$A$2:$A$501,'02_固定地理'!A118)&gt;1),"ID重复；",""),"")</f>
        <v/>
      </c>
      <c r="G118" s="14">
        <f>IF(F118&lt;&gt;"","按字段批注、数据字典和来源记录修正后复核","")</f>
        <v/>
      </c>
      <c r="H118" s="14">
        <f>IF(F118&lt;&gt;"","待处理","")</f>
        <v/>
      </c>
    </row>
    <row r="119">
      <c r="A119" s="14">
        <f>IF(F119&lt;&gt;"","ISSUE-"&amp;TEXT(ROW()-1,"00000"),"")</f>
        <v/>
      </c>
      <c r="B119" s="14">
        <f>IF(F119&lt;&gt;"","错误","")</f>
        <v/>
      </c>
      <c r="C119" s="14">
        <f>IF('02_固定地理'!A119&lt;&gt;"","02_固定地理","")</f>
        <v/>
      </c>
      <c r="D119" s="14">
        <f>IF('02_固定地理'!A119&lt;&gt;"",'02_固定地理'!A119,"")</f>
        <v/>
      </c>
      <c r="E119" s="14">
        <f>IF(F119&lt;&gt;"","综合校验","")</f>
        <v/>
      </c>
      <c r="F119" s="14">
        <f>IF('02_固定地理'!A119&lt;&gt;"",IF('02_固定地理'!A119="","缺少对象ID；","")&amp;IF('02_固定地理'!B119="","缺少中文名称；","")&amp;IF('02_固定地理'!D119="","缺少对象类型；","")&amp;IF(AND('02_固定地理'!F119&lt;&gt;"",OR('02_固定地理'!F119&lt;0,'02_固定地理'!F119&gt;WorldWidth)),"世界中心X越界；","")&amp;IF(AND('02_固定地理'!G119&lt;&gt;"",OR('02_固定地理'!G119&lt;0,'02_固定地理'!G119&gt;WorldHeight)),"世界中心Y越界；","")&amp;IF(AND('02_固定地理'!H119&lt;&gt;"",'02_固定地理'!J119&lt;&gt;"",'02_固定地理'!H119&gt;'02_固定地理'!J119),"最小X大于最大X；","")&amp;IF(AND('02_固定地理'!I119&lt;&gt;"",'02_固定地理'!K119&lt;&gt;"",'02_固定地理'!I119&gt;'02_固定地理'!K119),"最小Y大于最大Y；","")&amp;IF(AND('02_固定地理'!E119&lt;&gt;"",COUNTIF('02_固定地理'!$A$2:$A$501,'02_固定地理'!E119)=0),"父级对象不存在；","")&amp;IF(AND('02_固定地理'!A119&lt;&gt;"",COUNTIF('02_固定地理'!$A$2:$A$501,'02_固定地理'!A119)&gt;1),"ID重复；",""),"")</f>
        <v/>
      </c>
      <c r="G119" s="14">
        <f>IF(F119&lt;&gt;"","按字段批注、数据字典和来源记录修正后复核","")</f>
        <v/>
      </c>
      <c r="H119" s="14">
        <f>IF(F119&lt;&gt;"","待处理","")</f>
        <v/>
      </c>
    </row>
    <row r="120">
      <c r="A120" s="14">
        <f>IF(F120&lt;&gt;"","ISSUE-"&amp;TEXT(ROW()-1,"00000"),"")</f>
        <v/>
      </c>
      <c r="B120" s="14">
        <f>IF(F120&lt;&gt;"","错误","")</f>
        <v/>
      </c>
      <c r="C120" s="14">
        <f>IF('02_固定地理'!A120&lt;&gt;"","02_固定地理","")</f>
        <v/>
      </c>
      <c r="D120" s="14">
        <f>IF('02_固定地理'!A120&lt;&gt;"",'02_固定地理'!A120,"")</f>
        <v/>
      </c>
      <c r="E120" s="14">
        <f>IF(F120&lt;&gt;"","综合校验","")</f>
        <v/>
      </c>
      <c r="F120" s="14">
        <f>IF('02_固定地理'!A120&lt;&gt;"",IF('02_固定地理'!A120="","缺少对象ID；","")&amp;IF('02_固定地理'!B120="","缺少中文名称；","")&amp;IF('02_固定地理'!D120="","缺少对象类型；","")&amp;IF(AND('02_固定地理'!F120&lt;&gt;"",OR('02_固定地理'!F120&lt;0,'02_固定地理'!F120&gt;WorldWidth)),"世界中心X越界；","")&amp;IF(AND('02_固定地理'!G120&lt;&gt;"",OR('02_固定地理'!G120&lt;0,'02_固定地理'!G120&gt;WorldHeight)),"世界中心Y越界；","")&amp;IF(AND('02_固定地理'!H120&lt;&gt;"",'02_固定地理'!J120&lt;&gt;"",'02_固定地理'!H120&gt;'02_固定地理'!J120),"最小X大于最大X；","")&amp;IF(AND('02_固定地理'!I120&lt;&gt;"",'02_固定地理'!K120&lt;&gt;"",'02_固定地理'!I120&gt;'02_固定地理'!K120),"最小Y大于最大Y；","")&amp;IF(AND('02_固定地理'!E120&lt;&gt;"",COUNTIF('02_固定地理'!$A$2:$A$501,'02_固定地理'!E120)=0),"父级对象不存在；","")&amp;IF(AND('02_固定地理'!A120&lt;&gt;"",COUNTIF('02_固定地理'!$A$2:$A$501,'02_固定地理'!A120)&gt;1),"ID重复；",""),"")</f>
        <v/>
      </c>
      <c r="G120" s="14">
        <f>IF(F120&lt;&gt;"","按字段批注、数据字典和来源记录修正后复核","")</f>
        <v/>
      </c>
      <c r="H120" s="14">
        <f>IF(F120&lt;&gt;"","待处理","")</f>
        <v/>
      </c>
    </row>
    <row r="121">
      <c r="A121" s="14">
        <f>IF(F121&lt;&gt;"","ISSUE-"&amp;TEXT(ROW()-1,"00000"),"")</f>
        <v/>
      </c>
      <c r="B121" s="14">
        <f>IF(F121&lt;&gt;"","错误","")</f>
        <v/>
      </c>
      <c r="C121" s="14">
        <f>IF('02_固定地理'!A121&lt;&gt;"","02_固定地理","")</f>
        <v/>
      </c>
      <c r="D121" s="14">
        <f>IF('02_固定地理'!A121&lt;&gt;"",'02_固定地理'!A121,"")</f>
        <v/>
      </c>
      <c r="E121" s="14">
        <f>IF(F121&lt;&gt;"","综合校验","")</f>
        <v/>
      </c>
      <c r="F121" s="14">
        <f>IF('02_固定地理'!A121&lt;&gt;"",IF('02_固定地理'!A121="","缺少对象ID；","")&amp;IF('02_固定地理'!B121="","缺少中文名称；","")&amp;IF('02_固定地理'!D121="","缺少对象类型；","")&amp;IF(AND('02_固定地理'!F121&lt;&gt;"",OR('02_固定地理'!F121&lt;0,'02_固定地理'!F121&gt;WorldWidth)),"世界中心X越界；","")&amp;IF(AND('02_固定地理'!G121&lt;&gt;"",OR('02_固定地理'!G121&lt;0,'02_固定地理'!G121&gt;WorldHeight)),"世界中心Y越界；","")&amp;IF(AND('02_固定地理'!H121&lt;&gt;"",'02_固定地理'!J121&lt;&gt;"",'02_固定地理'!H121&gt;'02_固定地理'!J121),"最小X大于最大X；","")&amp;IF(AND('02_固定地理'!I121&lt;&gt;"",'02_固定地理'!K121&lt;&gt;"",'02_固定地理'!I121&gt;'02_固定地理'!K121),"最小Y大于最大Y；","")&amp;IF(AND('02_固定地理'!E121&lt;&gt;"",COUNTIF('02_固定地理'!$A$2:$A$501,'02_固定地理'!E121)=0),"父级对象不存在；","")&amp;IF(AND('02_固定地理'!A121&lt;&gt;"",COUNTIF('02_固定地理'!$A$2:$A$501,'02_固定地理'!A121)&gt;1),"ID重复；",""),"")</f>
        <v/>
      </c>
      <c r="G121" s="14">
        <f>IF(F121&lt;&gt;"","按字段批注、数据字典和来源记录修正后复核","")</f>
        <v/>
      </c>
      <c r="H121" s="14">
        <f>IF(F121&lt;&gt;"","待处理","")</f>
        <v/>
      </c>
    </row>
    <row r="122">
      <c r="A122" s="14">
        <f>IF(F122&lt;&gt;"","ISSUE-"&amp;TEXT(ROW()-1,"00000"),"")</f>
        <v/>
      </c>
      <c r="B122" s="14">
        <f>IF(F122&lt;&gt;"","错误","")</f>
        <v/>
      </c>
      <c r="C122" s="14">
        <f>IF('02_固定地理'!A122&lt;&gt;"","02_固定地理","")</f>
        <v/>
      </c>
      <c r="D122" s="14">
        <f>IF('02_固定地理'!A122&lt;&gt;"",'02_固定地理'!A122,"")</f>
        <v/>
      </c>
      <c r="E122" s="14">
        <f>IF(F122&lt;&gt;"","综合校验","")</f>
        <v/>
      </c>
      <c r="F122" s="14">
        <f>IF('02_固定地理'!A122&lt;&gt;"",IF('02_固定地理'!A122="","缺少对象ID；","")&amp;IF('02_固定地理'!B122="","缺少中文名称；","")&amp;IF('02_固定地理'!D122="","缺少对象类型；","")&amp;IF(AND('02_固定地理'!F122&lt;&gt;"",OR('02_固定地理'!F122&lt;0,'02_固定地理'!F122&gt;WorldWidth)),"世界中心X越界；","")&amp;IF(AND('02_固定地理'!G122&lt;&gt;"",OR('02_固定地理'!G122&lt;0,'02_固定地理'!G122&gt;WorldHeight)),"世界中心Y越界；","")&amp;IF(AND('02_固定地理'!H122&lt;&gt;"",'02_固定地理'!J122&lt;&gt;"",'02_固定地理'!H122&gt;'02_固定地理'!J122),"最小X大于最大X；","")&amp;IF(AND('02_固定地理'!I122&lt;&gt;"",'02_固定地理'!K122&lt;&gt;"",'02_固定地理'!I122&gt;'02_固定地理'!K122),"最小Y大于最大Y；","")&amp;IF(AND('02_固定地理'!E122&lt;&gt;"",COUNTIF('02_固定地理'!$A$2:$A$501,'02_固定地理'!E122)=0),"父级对象不存在；","")&amp;IF(AND('02_固定地理'!A122&lt;&gt;"",COUNTIF('02_固定地理'!$A$2:$A$501,'02_固定地理'!A122)&gt;1),"ID重复；",""),"")</f>
        <v/>
      </c>
      <c r="G122" s="14">
        <f>IF(F122&lt;&gt;"","按字段批注、数据字典和来源记录修正后复核","")</f>
        <v/>
      </c>
      <c r="H122" s="14">
        <f>IF(F122&lt;&gt;"","待处理","")</f>
        <v/>
      </c>
    </row>
    <row r="123">
      <c r="A123" s="14">
        <f>IF(F123&lt;&gt;"","ISSUE-"&amp;TEXT(ROW()-1,"00000"),"")</f>
        <v/>
      </c>
      <c r="B123" s="14">
        <f>IF(F123&lt;&gt;"","错误","")</f>
        <v/>
      </c>
      <c r="C123" s="14">
        <f>IF('02_固定地理'!A123&lt;&gt;"","02_固定地理","")</f>
        <v/>
      </c>
      <c r="D123" s="14">
        <f>IF('02_固定地理'!A123&lt;&gt;"",'02_固定地理'!A123,"")</f>
        <v/>
      </c>
      <c r="E123" s="14">
        <f>IF(F123&lt;&gt;"","综合校验","")</f>
        <v/>
      </c>
      <c r="F123" s="14">
        <f>IF('02_固定地理'!A123&lt;&gt;"",IF('02_固定地理'!A123="","缺少对象ID；","")&amp;IF('02_固定地理'!B123="","缺少中文名称；","")&amp;IF('02_固定地理'!D123="","缺少对象类型；","")&amp;IF(AND('02_固定地理'!F123&lt;&gt;"",OR('02_固定地理'!F123&lt;0,'02_固定地理'!F123&gt;WorldWidth)),"世界中心X越界；","")&amp;IF(AND('02_固定地理'!G123&lt;&gt;"",OR('02_固定地理'!G123&lt;0,'02_固定地理'!G123&gt;WorldHeight)),"世界中心Y越界；","")&amp;IF(AND('02_固定地理'!H123&lt;&gt;"",'02_固定地理'!J123&lt;&gt;"",'02_固定地理'!H123&gt;'02_固定地理'!J123),"最小X大于最大X；","")&amp;IF(AND('02_固定地理'!I123&lt;&gt;"",'02_固定地理'!K123&lt;&gt;"",'02_固定地理'!I123&gt;'02_固定地理'!K123),"最小Y大于最大Y；","")&amp;IF(AND('02_固定地理'!E123&lt;&gt;"",COUNTIF('02_固定地理'!$A$2:$A$501,'02_固定地理'!E123)=0),"父级对象不存在；","")&amp;IF(AND('02_固定地理'!A123&lt;&gt;"",COUNTIF('02_固定地理'!$A$2:$A$501,'02_固定地理'!A123)&gt;1),"ID重复；",""),"")</f>
        <v/>
      </c>
      <c r="G123" s="14">
        <f>IF(F123&lt;&gt;"","按字段批注、数据字典和来源记录修正后复核","")</f>
        <v/>
      </c>
      <c r="H123" s="14">
        <f>IF(F123&lt;&gt;"","待处理","")</f>
        <v/>
      </c>
    </row>
    <row r="124">
      <c r="A124" s="14">
        <f>IF(F124&lt;&gt;"","ISSUE-"&amp;TEXT(ROW()-1,"00000"),"")</f>
        <v/>
      </c>
      <c r="B124" s="14">
        <f>IF(F124&lt;&gt;"","错误","")</f>
        <v/>
      </c>
      <c r="C124" s="14">
        <f>IF('02_固定地理'!A124&lt;&gt;"","02_固定地理","")</f>
        <v/>
      </c>
      <c r="D124" s="14">
        <f>IF('02_固定地理'!A124&lt;&gt;"",'02_固定地理'!A124,"")</f>
        <v/>
      </c>
      <c r="E124" s="14">
        <f>IF(F124&lt;&gt;"","综合校验","")</f>
        <v/>
      </c>
      <c r="F124" s="14">
        <f>IF('02_固定地理'!A124&lt;&gt;"",IF('02_固定地理'!A124="","缺少对象ID；","")&amp;IF('02_固定地理'!B124="","缺少中文名称；","")&amp;IF('02_固定地理'!D124="","缺少对象类型；","")&amp;IF(AND('02_固定地理'!F124&lt;&gt;"",OR('02_固定地理'!F124&lt;0,'02_固定地理'!F124&gt;WorldWidth)),"世界中心X越界；","")&amp;IF(AND('02_固定地理'!G124&lt;&gt;"",OR('02_固定地理'!G124&lt;0,'02_固定地理'!G124&gt;WorldHeight)),"世界中心Y越界；","")&amp;IF(AND('02_固定地理'!H124&lt;&gt;"",'02_固定地理'!J124&lt;&gt;"",'02_固定地理'!H124&gt;'02_固定地理'!J124),"最小X大于最大X；","")&amp;IF(AND('02_固定地理'!I124&lt;&gt;"",'02_固定地理'!K124&lt;&gt;"",'02_固定地理'!I124&gt;'02_固定地理'!K124),"最小Y大于最大Y；","")&amp;IF(AND('02_固定地理'!E124&lt;&gt;"",COUNTIF('02_固定地理'!$A$2:$A$501,'02_固定地理'!E124)=0),"父级对象不存在；","")&amp;IF(AND('02_固定地理'!A124&lt;&gt;"",COUNTIF('02_固定地理'!$A$2:$A$501,'02_固定地理'!A124)&gt;1),"ID重复；",""),"")</f>
        <v/>
      </c>
      <c r="G124" s="14">
        <f>IF(F124&lt;&gt;"","按字段批注、数据字典和来源记录修正后复核","")</f>
        <v/>
      </c>
      <c r="H124" s="14">
        <f>IF(F124&lt;&gt;"","待处理","")</f>
        <v/>
      </c>
    </row>
    <row r="125">
      <c r="A125" s="14">
        <f>IF(F125&lt;&gt;"","ISSUE-"&amp;TEXT(ROW()-1,"00000"),"")</f>
        <v/>
      </c>
      <c r="B125" s="14">
        <f>IF(F125&lt;&gt;"","错误","")</f>
        <v/>
      </c>
      <c r="C125" s="14">
        <f>IF('02_固定地理'!A125&lt;&gt;"","02_固定地理","")</f>
        <v/>
      </c>
      <c r="D125" s="14">
        <f>IF('02_固定地理'!A125&lt;&gt;"",'02_固定地理'!A125,"")</f>
        <v/>
      </c>
      <c r="E125" s="14">
        <f>IF(F125&lt;&gt;"","综合校验","")</f>
        <v/>
      </c>
      <c r="F125" s="14">
        <f>IF('02_固定地理'!A125&lt;&gt;"",IF('02_固定地理'!A125="","缺少对象ID；","")&amp;IF('02_固定地理'!B125="","缺少中文名称；","")&amp;IF('02_固定地理'!D125="","缺少对象类型；","")&amp;IF(AND('02_固定地理'!F125&lt;&gt;"",OR('02_固定地理'!F125&lt;0,'02_固定地理'!F125&gt;WorldWidth)),"世界中心X越界；","")&amp;IF(AND('02_固定地理'!G125&lt;&gt;"",OR('02_固定地理'!G125&lt;0,'02_固定地理'!G125&gt;WorldHeight)),"世界中心Y越界；","")&amp;IF(AND('02_固定地理'!H125&lt;&gt;"",'02_固定地理'!J125&lt;&gt;"",'02_固定地理'!H125&gt;'02_固定地理'!J125),"最小X大于最大X；","")&amp;IF(AND('02_固定地理'!I125&lt;&gt;"",'02_固定地理'!K125&lt;&gt;"",'02_固定地理'!I125&gt;'02_固定地理'!K125),"最小Y大于最大Y；","")&amp;IF(AND('02_固定地理'!E125&lt;&gt;"",COUNTIF('02_固定地理'!$A$2:$A$501,'02_固定地理'!E125)=0),"父级对象不存在；","")&amp;IF(AND('02_固定地理'!A125&lt;&gt;"",COUNTIF('02_固定地理'!$A$2:$A$501,'02_固定地理'!A125)&gt;1),"ID重复；",""),"")</f>
        <v/>
      </c>
      <c r="G125" s="14">
        <f>IF(F125&lt;&gt;"","按字段批注、数据字典和来源记录修正后复核","")</f>
        <v/>
      </c>
      <c r="H125" s="14">
        <f>IF(F125&lt;&gt;"","待处理","")</f>
        <v/>
      </c>
    </row>
    <row r="126">
      <c r="A126" s="14">
        <f>IF(F126&lt;&gt;"","ISSUE-"&amp;TEXT(ROW()-1,"00000"),"")</f>
        <v/>
      </c>
      <c r="B126" s="14">
        <f>IF(F126&lt;&gt;"","错误","")</f>
        <v/>
      </c>
      <c r="C126" s="14">
        <f>IF('02_固定地理'!A126&lt;&gt;"","02_固定地理","")</f>
        <v/>
      </c>
      <c r="D126" s="14">
        <f>IF('02_固定地理'!A126&lt;&gt;"",'02_固定地理'!A126,"")</f>
        <v/>
      </c>
      <c r="E126" s="14">
        <f>IF(F126&lt;&gt;"","综合校验","")</f>
        <v/>
      </c>
      <c r="F126" s="14">
        <f>IF('02_固定地理'!A126&lt;&gt;"",IF('02_固定地理'!A126="","缺少对象ID；","")&amp;IF('02_固定地理'!B126="","缺少中文名称；","")&amp;IF('02_固定地理'!D126="","缺少对象类型；","")&amp;IF(AND('02_固定地理'!F126&lt;&gt;"",OR('02_固定地理'!F126&lt;0,'02_固定地理'!F126&gt;WorldWidth)),"世界中心X越界；","")&amp;IF(AND('02_固定地理'!G126&lt;&gt;"",OR('02_固定地理'!G126&lt;0,'02_固定地理'!G126&gt;WorldHeight)),"世界中心Y越界；","")&amp;IF(AND('02_固定地理'!H126&lt;&gt;"",'02_固定地理'!J126&lt;&gt;"",'02_固定地理'!H126&gt;'02_固定地理'!J126),"最小X大于最大X；","")&amp;IF(AND('02_固定地理'!I126&lt;&gt;"",'02_固定地理'!K126&lt;&gt;"",'02_固定地理'!I126&gt;'02_固定地理'!K126),"最小Y大于最大Y；","")&amp;IF(AND('02_固定地理'!E126&lt;&gt;"",COUNTIF('02_固定地理'!$A$2:$A$501,'02_固定地理'!E126)=0),"父级对象不存在；","")&amp;IF(AND('02_固定地理'!A126&lt;&gt;"",COUNTIF('02_固定地理'!$A$2:$A$501,'02_固定地理'!A126)&gt;1),"ID重复；",""),"")</f>
        <v/>
      </c>
      <c r="G126" s="14">
        <f>IF(F126&lt;&gt;"","按字段批注、数据字典和来源记录修正后复核","")</f>
        <v/>
      </c>
      <c r="H126" s="14">
        <f>IF(F126&lt;&gt;"","待处理","")</f>
        <v/>
      </c>
    </row>
    <row r="127">
      <c r="A127" s="14">
        <f>IF(F127&lt;&gt;"","ISSUE-"&amp;TEXT(ROW()-1,"00000"),"")</f>
        <v/>
      </c>
      <c r="B127" s="14">
        <f>IF(F127&lt;&gt;"","错误","")</f>
        <v/>
      </c>
      <c r="C127" s="14">
        <f>IF('02_固定地理'!A127&lt;&gt;"","02_固定地理","")</f>
        <v/>
      </c>
      <c r="D127" s="14">
        <f>IF('02_固定地理'!A127&lt;&gt;"",'02_固定地理'!A127,"")</f>
        <v/>
      </c>
      <c r="E127" s="14">
        <f>IF(F127&lt;&gt;"","综合校验","")</f>
        <v/>
      </c>
      <c r="F127" s="14">
        <f>IF('02_固定地理'!A127&lt;&gt;"",IF('02_固定地理'!A127="","缺少对象ID；","")&amp;IF('02_固定地理'!B127="","缺少中文名称；","")&amp;IF('02_固定地理'!D127="","缺少对象类型；","")&amp;IF(AND('02_固定地理'!F127&lt;&gt;"",OR('02_固定地理'!F127&lt;0,'02_固定地理'!F127&gt;WorldWidth)),"世界中心X越界；","")&amp;IF(AND('02_固定地理'!G127&lt;&gt;"",OR('02_固定地理'!G127&lt;0,'02_固定地理'!G127&gt;WorldHeight)),"世界中心Y越界；","")&amp;IF(AND('02_固定地理'!H127&lt;&gt;"",'02_固定地理'!J127&lt;&gt;"",'02_固定地理'!H127&gt;'02_固定地理'!J127),"最小X大于最大X；","")&amp;IF(AND('02_固定地理'!I127&lt;&gt;"",'02_固定地理'!K127&lt;&gt;"",'02_固定地理'!I127&gt;'02_固定地理'!K127),"最小Y大于最大Y；","")&amp;IF(AND('02_固定地理'!E127&lt;&gt;"",COUNTIF('02_固定地理'!$A$2:$A$501,'02_固定地理'!E127)=0),"父级对象不存在；","")&amp;IF(AND('02_固定地理'!A127&lt;&gt;"",COUNTIF('02_固定地理'!$A$2:$A$501,'02_固定地理'!A127)&gt;1),"ID重复；",""),"")</f>
        <v/>
      </c>
      <c r="G127" s="14">
        <f>IF(F127&lt;&gt;"","按字段批注、数据字典和来源记录修正后复核","")</f>
        <v/>
      </c>
      <c r="H127" s="14">
        <f>IF(F127&lt;&gt;"","待处理","")</f>
        <v/>
      </c>
    </row>
    <row r="128">
      <c r="A128" s="14">
        <f>IF(F128&lt;&gt;"","ISSUE-"&amp;TEXT(ROW()-1,"00000"),"")</f>
        <v/>
      </c>
      <c r="B128" s="14">
        <f>IF(F128&lt;&gt;"","错误","")</f>
        <v/>
      </c>
      <c r="C128" s="14">
        <f>IF('02_固定地理'!A128&lt;&gt;"","02_固定地理","")</f>
        <v/>
      </c>
      <c r="D128" s="14">
        <f>IF('02_固定地理'!A128&lt;&gt;"",'02_固定地理'!A128,"")</f>
        <v/>
      </c>
      <c r="E128" s="14">
        <f>IF(F128&lt;&gt;"","综合校验","")</f>
        <v/>
      </c>
      <c r="F128" s="14">
        <f>IF('02_固定地理'!A128&lt;&gt;"",IF('02_固定地理'!A128="","缺少对象ID；","")&amp;IF('02_固定地理'!B128="","缺少中文名称；","")&amp;IF('02_固定地理'!D128="","缺少对象类型；","")&amp;IF(AND('02_固定地理'!F128&lt;&gt;"",OR('02_固定地理'!F128&lt;0,'02_固定地理'!F128&gt;WorldWidth)),"世界中心X越界；","")&amp;IF(AND('02_固定地理'!G128&lt;&gt;"",OR('02_固定地理'!G128&lt;0,'02_固定地理'!G128&gt;WorldHeight)),"世界中心Y越界；","")&amp;IF(AND('02_固定地理'!H128&lt;&gt;"",'02_固定地理'!J128&lt;&gt;"",'02_固定地理'!H128&gt;'02_固定地理'!J128),"最小X大于最大X；","")&amp;IF(AND('02_固定地理'!I128&lt;&gt;"",'02_固定地理'!K128&lt;&gt;"",'02_固定地理'!I128&gt;'02_固定地理'!K128),"最小Y大于最大Y；","")&amp;IF(AND('02_固定地理'!E128&lt;&gt;"",COUNTIF('02_固定地理'!$A$2:$A$501,'02_固定地理'!E128)=0),"父级对象不存在；","")&amp;IF(AND('02_固定地理'!A128&lt;&gt;"",COUNTIF('02_固定地理'!$A$2:$A$501,'02_固定地理'!A128)&gt;1),"ID重复；",""),"")</f>
        <v/>
      </c>
      <c r="G128" s="14">
        <f>IF(F128&lt;&gt;"","按字段批注、数据字典和来源记录修正后复核","")</f>
        <v/>
      </c>
      <c r="H128" s="14">
        <f>IF(F128&lt;&gt;"","待处理","")</f>
        <v/>
      </c>
    </row>
    <row r="129">
      <c r="A129" s="14">
        <f>IF(F129&lt;&gt;"","ISSUE-"&amp;TEXT(ROW()-1,"00000"),"")</f>
        <v/>
      </c>
      <c r="B129" s="14">
        <f>IF(F129&lt;&gt;"","错误","")</f>
        <v/>
      </c>
      <c r="C129" s="14">
        <f>IF('02_固定地理'!A129&lt;&gt;"","02_固定地理","")</f>
        <v/>
      </c>
      <c r="D129" s="14">
        <f>IF('02_固定地理'!A129&lt;&gt;"",'02_固定地理'!A129,"")</f>
        <v/>
      </c>
      <c r="E129" s="14">
        <f>IF(F129&lt;&gt;"","综合校验","")</f>
        <v/>
      </c>
      <c r="F129" s="14">
        <f>IF('02_固定地理'!A129&lt;&gt;"",IF('02_固定地理'!A129="","缺少对象ID；","")&amp;IF('02_固定地理'!B129="","缺少中文名称；","")&amp;IF('02_固定地理'!D129="","缺少对象类型；","")&amp;IF(AND('02_固定地理'!F129&lt;&gt;"",OR('02_固定地理'!F129&lt;0,'02_固定地理'!F129&gt;WorldWidth)),"世界中心X越界；","")&amp;IF(AND('02_固定地理'!G129&lt;&gt;"",OR('02_固定地理'!G129&lt;0,'02_固定地理'!G129&gt;WorldHeight)),"世界中心Y越界；","")&amp;IF(AND('02_固定地理'!H129&lt;&gt;"",'02_固定地理'!J129&lt;&gt;"",'02_固定地理'!H129&gt;'02_固定地理'!J129),"最小X大于最大X；","")&amp;IF(AND('02_固定地理'!I129&lt;&gt;"",'02_固定地理'!K129&lt;&gt;"",'02_固定地理'!I129&gt;'02_固定地理'!K129),"最小Y大于最大Y；","")&amp;IF(AND('02_固定地理'!E129&lt;&gt;"",COUNTIF('02_固定地理'!$A$2:$A$501,'02_固定地理'!E129)=0),"父级对象不存在；","")&amp;IF(AND('02_固定地理'!A129&lt;&gt;"",COUNTIF('02_固定地理'!$A$2:$A$501,'02_固定地理'!A129)&gt;1),"ID重复；",""),"")</f>
        <v/>
      </c>
      <c r="G129" s="14">
        <f>IF(F129&lt;&gt;"","按字段批注、数据字典和来源记录修正后复核","")</f>
        <v/>
      </c>
      <c r="H129" s="14">
        <f>IF(F129&lt;&gt;"","待处理","")</f>
        <v/>
      </c>
    </row>
    <row r="130">
      <c r="A130" s="14">
        <f>IF(F130&lt;&gt;"","ISSUE-"&amp;TEXT(ROW()-1,"00000"),"")</f>
        <v/>
      </c>
      <c r="B130" s="14">
        <f>IF(F130&lt;&gt;"","错误","")</f>
        <v/>
      </c>
      <c r="C130" s="14">
        <f>IF('02_固定地理'!A130&lt;&gt;"","02_固定地理","")</f>
        <v/>
      </c>
      <c r="D130" s="14">
        <f>IF('02_固定地理'!A130&lt;&gt;"",'02_固定地理'!A130,"")</f>
        <v/>
      </c>
      <c r="E130" s="14">
        <f>IF(F130&lt;&gt;"","综合校验","")</f>
        <v/>
      </c>
      <c r="F130" s="14">
        <f>IF('02_固定地理'!A130&lt;&gt;"",IF('02_固定地理'!A130="","缺少对象ID；","")&amp;IF('02_固定地理'!B130="","缺少中文名称；","")&amp;IF('02_固定地理'!D130="","缺少对象类型；","")&amp;IF(AND('02_固定地理'!F130&lt;&gt;"",OR('02_固定地理'!F130&lt;0,'02_固定地理'!F130&gt;WorldWidth)),"世界中心X越界；","")&amp;IF(AND('02_固定地理'!G130&lt;&gt;"",OR('02_固定地理'!G130&lt;0,'02_固定地理'!G130&gt;WorldHeight)),"世界中心Y越界；","")&amp;IF(AND('02_固定地理'!H130&lt;&gt;"",'02_固定地理'!J130&lt;&gt;"",'02_固定地理'!H130&gt;'02_固定地理'!J130),"最小X大于最大X；","")&amp;IF(AND('02_固定地理'!I130&lt;&gt;"",'02_固定地理'!K130&lt;&gt;"",'02_固定地理'!I130&gt;'02_固定地理'!K130),"最小Y大于最大Y；","")&amp;IF(AND('02_固定地理'!E130&lt;&gt;"",COUNTIF('02_固定地理'!$A$2:$A$501,'02_固定地理'!E130)=0),"父级对象不存在；","")&amp;IF(AND('02_固定地理'!A130&lt;&gt;"",COUNTIF('02_固定地理'!$A$2:$A$501,'02_固定地理'!A130)&gt;1),"ID重复；",""),"")</f>
        <v/>
      </c>
      <c r="G130" s="14">
        <f>IF(F130&lt;&gt;"","按字段批注、数据字典和来源记录修正后复核","")</f>
        <v/>
      </c>
      <c r="H130" s="14">
        <f>IF(F130&lt;&gt;"","待处理","")</f>
        <v/>
      </c>
    </row>
    <row r="131">
      <c r="A131" s="14">
        <f>IF(F131&lt;&gt;"","ISSUE-"&amp;TEXT(ROW()-1,"00000"),"")</f>
        <v/>
      </c>
      <c r="B131" s="14">
        <f>IF(F131&lt;&gt;"","错误","")</f>
        <v/>
      </c>
      <c r="C131" s="14">
        <f>IF('02_固定地理'!A131&lt;&gt;"","02_固定地理","")</f>
        <v/>
      </c>
      <c r="D131" s="14">
        <f>IF('02_固定地理'!A131&lt;&gt;"",'02_固定地理'!A131,"")</f>
        <v/>
      </c>
      <c r="E131" s="14">
        <f>IF(F131&lt;&gt;"","综合校验","")</f>
        <v/>
      </c>
      <c r="F131" s="14">
        <f>IF('02_固定地理'!A131&lt;&gt;"",IF('02_固定地理'!A131="","缺少对象ID；","")&amp;IF('02_固定地理'!B131="","缺少中文名称；","")&amp;IF('02_固定地理'!D131="","缺少对象类型；","")&amp;IF(AND('02_固定地理'!F131&lt;&gt;"",OR('02_固定地理'!F131&lt;0,'02_固定地理'!F131&gt;WorldWidth)),"世界中心X越界；","")&amp;IF(AND('02_固定地理'!G131&lt;&gt;"",OR('02_固定地理'!G131&lt;0,'02_固定地理'!G131&gt;WorldHeight)),"世界中心Y越界；","")&amp;IF(AND('02_固定地理'!H131&lt;&gt;"",'02_固定地理'!J131&lt;&gt;"",'02_固定地理'!H131&gt;'02_固定地理'!J131),"最小X大于最大X；","")&amp;IF(AND('02_固定地理'!I131&lt;&gt;"",'02_固定地理'!K131&lt;&gt;"",'02_固定地理'!I131&gt;'02_固定地理'!K131),"最小Y大于最大Y；","")&amp;IF(AND('02_固定地理'!E131&lt;&gt;"",COUNTIF('02_固定地理'!$A$2:$A$501,'02_固定地理'!E131)=0),"父级对象不存在；","")&amp;IF(AND('02_固定地理'!A131&lt;&gt;"",COUNTIF('02_固定地理'!$A$2:$A$501,'02_固定地理'!A131)&gt;1),"ID重复；",""),"")</f>
        <v/>
      </c>
      <c r="G131" s="14">
        <f>IF(F131&lt;&gt;"","按字段批注、数据字典和来源记录修正后复核","")</f>
        <v/>
      </c>
      <c r="H131" s="14">
        <f>IF(F131&lt;&gt;"","待处理","")</f>
        <v/>
      </c>
    </row>
    <row r="132">
      <c r="A132" s="14">
        <f>IF(F132&lt;&gt;"","ISSUE-"&amp;TEXT(ROW()-1,"00000"),"")</f>
        <v/>
      </c>
      <c r="B132" s="14">
        <f>IF(F132&lt;&gt;"","错误","")</f>
        <v/>
      </c>
      <c r="C132" s="14">
        <f>IF('02_固定地理'!A132&lt;&gt;"","02_固定地理","")</f>
        <v/>
      </c>
      <c r="D132" s="14">
        <f>IF('02_固定地理'!A132&lt;&gt;"",'02_固定地理'!A132,"")</f>
        <v/>
      </c>
      <c r="E132" s="14">
        <f>IF(F132&lt;&gt;"","综合校验","")</f>
        <v/>
      </c>
      <c r="F132" s="14">
        <f>IF('02_固定地理'!A132&lt;&gt;"",IF('02_固定地理'!A132="","缺少对象ID；","")&amp;IF('02_固定地理'!B132="","缺少中文名称；","")&amp;IF('02_固定地理'!D132="","缺少对象类型；","")&amp;IF(AND('02_固定地理'!F132&lt;&gt;"",OR('02_固定地理'!F132&lt;0,'02_固定地理'!F132&gt;WorldWidth)),"世界中心X越界；","")&amp;IF(AND('02_固定地理'!G132&lt;&gt;"",OR('02_固定地理'!G132&lt;0,'02_固定地理'!G132&gt;WorldHeight)),"世界中心Y越界；","")&amp;IF(AND('02_固定地理'!H132&lt;&gt;"",'02_固定地理'!J132&lt;&gt;"",'02_固定地理'!H132&gt;'02_固定地理'!J132),"最小X大于最大X；","")&amp;IF(AND('02_固定地理'!I132&lt;&gt;"",'02_固定地理'!K132&lt;&gt;"",'02_固定地理'!I132&gt;'02_固定地理'!K132),"最小Y大于最大Y；","")&amp;IF(AND('02_固定地理'!E132&lt;&gt;"",COUNTIF('02_固定地理'!$A$2:$A$501,'02_固定地理'!E132)=0),"父级对象不存在；","")&amp;IF(AND('02_固定地理'!A132&lt;&gt;"",COUNTIF('02_固定地理'!$A$2:$A$501,'02_固定地理'!A132)&gt;1),"ID重复；",""),"")</f>
        <v/>
      </c>
      <c r="G132" s="14">
        <f>IF(F132&lt;&gt;"","按字段批注、数据字典和来源记录修正后复核","")</f>
        <v/>
      </c>
      <c r="H132" s="14">
        <f>IF(F132&lt;&gt;"","待处理","")</f>
        <v/>
      </c>
    </row>
    <row r="133">
      <c r="A133" s="14">
        <f>IF(F133&lt;&gt;"","ISSUE-"&amp;TEXT(ROW()-1,"00000"),"")</f>
        <v/>
      </c>
      <c r="B133" s="14">
        <f>IF(F133&lt;&gt;"","错误","")</f>
        <v/>
      </c>
      <c r="C133" s="14">
        <f>IF('02_固定地理'!A133&lt;&gt;"","02_固定地理","")</f>
        <v/>
      </c>
      <c r="D133" s="14">
        <f>IF('02_固定地理'!A133&lt;&gt;"",'02_固定地理'!A133,"")</f>
        <v/>
      </c>
      <c r="E133" s="14">
        <f>IF(F133&lt;&gt;"","综合校验","")</f>
        <v/>
      </c>
      <c r="F133" s="14">
        <f>IF('02_固定地理'!A133&lt;&gt;"",IF('02_固定地理'!A133="","缺少对象ID；","")&amp;IF('02_固定地理'!B133="","缺少中文名称；","")&amp;IF('02_固定地理'!D133="","缺少对象类型；","")&amp;IF(AND('02_固定地理'!F133&lt;&gt;"",OR('02_固定地理'!F133&lt;0,'02_固定地理'!F133&gt;WorldWidth)),"世界中心X越界；","")&amp;IF(AND('02_固定地理'!G133&lt;&gt;"",OR('02_固定地理'!G133&lt;0,'02_固定地理'!G133&gt;WorldHeight)),"世界中心Y越界；","")&amp;IF(AND('02_固定地理'!H133&lt;&gt;"",'02_固定地理'!J133&lt;&gt;"",'02_固定地理'!H133&gt;'02_固定地理'!J133),"最小X大于最大X；","")&amp;IF(AND('02_固定地理'!I133&lt;&gt;"",'02_固定地理'!K133&lt;&gt;"",'02_固定地理'!I133&gt;'02_固定地理'!K133),"最小Y大于最大Y；","")&amp;IF(AND('02_固定地理'!E133&lt;&gt;"",COUNTIF('02_固定地理'!$A$2:$A$501,'02_固定地理'!E133)=0),"父级对象不存在；","")&amp;IF(AND('02_固定地理'!A133&lt;&gt;"",COUNTIF('02_固定地理'!$A$2:$A$501,'02_固定地理'!A133)&gt;1),"ID重复；",""),"")</f>
        <v/>
      </c>
      <c r="G133" s="14">
        <f>IF(F133&lt;&gt;"","按字段批注、数据字典和来源记录修正后复核","")</f>
        <v/>
      </c>
      <c r="H133" s="14">
        <f>IF(F133&lt;&gt;"","待处理","")</f>
        <v/>
      </c>
    </row>
    <row r="134">
      <c r="A134" s="14">
        <f>IF(F134&lt;&gt;"","ISSUE-"&amp;TEXT(ROW()-1,"00000"),"")</f>
        <v/>
      </c>
      <c r="B134" s="14">
        <f>IF(F134&lt;&gt;"","错误","")</f>
        <v/>
      </c>
      <c r="C134" s="14">
        <f>IF('02_固定地理'!A134&lt;&gt;"","02_固定地理","")</f>
        <v/>
      </c>
      <c r="D134" s="14">
        <f>IF('02_固定地理'!A134&lt;&gt;"",'02_固定地理'!A134,"")</f>
        <v/>
      </c>
      <c r="E134" s="14">
        <f>IF(F134&lt;&gt;"","综合校验","")</f>
        <v/>
      </c>
      <c r="F134" s="14">
        <f>IF('02_固定地理'!A134&lt;&gt;"",IF('02_固定地理'!A134="","缺少对象ID；","")&amp;IF('02_固定地理'!B134="","缺少中文名称；","")&amp;IF('02_固定地理'!D134="","缺少对象类型；","")&amp;IF(AND('02_固定地理'!F134&lt;&gt;"",OR('02_固定地理'!F134&lt;0,'02_固定地理'!F134&gt;WorldWidth)),"世界中心X越界；","")&amp;IF(AND('02_固定地理'!G134&lt;&gt;"",OR('02_固定地理'!G134&lt;0,'02_固定地理'!G134&gt;WorldHeight)),"世界中心Y越界；","")&amp;IF(AND('02_固定地理'!H134&lt;&gt;"",'02_固定地理'!J134&lt;&gt;"",'02_固定地理'!H134&gt;'02_固定地理'!J134),"最小X大于最大X；","")&amp;IF(AND('02_固定地理'!I134&lt;&gt;"",'02_固定地理'!K134&lt;&gt;"",'02_固定地理'!I134&gt;'02_固定地理'!K134),"最小Y大于最大Y；","")&amp;IF(AND('02_固定地理'!E134&lt;&gt;"",COUNTIF('02_固定地理'!$A$2:$A$501,'02_固定地理'!E134)=0),"父级对象不存在；","")&amp;IF(AND('02_固定地理'!A134&lt;&gt;"",COUNTIF('02_固定地理'!$A$2:$A$501,'02_固定地理'!A134)&gt;1),"ID重复；",""),"")</f>
        <v/>
      </c>
      <c r="G134" s="14">
        <f>IF(F134&lt;&gt;"","按字段批注、数据字典和来源记录修正后复核","")</f>
        <v/>
      </c>
      <c r="H134" s="14">
        <f>IF(F134&lt;&gt;"","待处理","")</f>
        <v/>
      </c>
    </row>
    <row r="135">
      <c r="A135" s="14">
        <f>IF(F135&lt;&gt;"","ISSUE-"&amp;TEXT(ROW()-1,"00000"),"")</f>
        <v/>
      </c>
      <c r="B135" s="14">
        <f>IF(F135&lt;&gt;"","错误","")</f>
        <v/>
      </c>
      <c r="C135" s="14">
        <f>IF('02_固定地理'!A135&lt;&gt;"","02_固定地理","")</f>
        <v/>
      </c>
      <c r="D135" s="14">
        <f>IF('02_固定地理'!A135&lt;&gt;"",'02_固定地理'!A135,"")</f>
        <v/>
      </c>
      <c r="E135" s="14">
        <f>IF(F135&lt;&gt;"","综合校验","")</f>
        <v/>
      </c>
      <c r="F135" s="14">
        <f>IF('02_固定地理'!A135&lt;&gt;"",IF('02_固定地理'!A135="","缺少对象ID；","")&amp;IF('02_固定地理'!B135="","缺少中文名称；","")&amp;IF('02_固定地理'!D135="","缺少对象类型；","")&amp;IF(AND('02_固定地理'!F135&lt;&gt;"",OR('02_固定地理'!F135&lt;0,'02_固定地理'!F135&gt;WorldWidth)),"世界中心X越界；","")&amp;IF(AND('02_固定地理'!G135&lt;&gt;"",OR('02_固定地理'!G135&lt;0,'02_固定地理'!G135&gt;WorldHeight)),"世界中心Y越界；","")&amp;IF(AND('02_固定地理'!H135&lt;&gt;"",'02_固定地理'!J135&lt;&gt;"",'02_固定地理'!H135&gt;'02_固定地理'!J135),"最小X大于最大X；","")&amp;IF(AND('02_固定地理'!I135&lt;&gt;"",'02_固定地理'!K135&lt;&gt;"",'02_固定地理'!I135&gt;'02_固定地理'!K135),"最小Y大于最大Y；","")&amp;IF(AND('02_固定地理'!E135&lt;&gt;"",COUNTIF('02_固定地理'!$A$2:$A$501,'02_固定地理'!E135)=0),"父级对象不存在；","")&amp;IF(AND('02_固定地理'!A135&lt;&gt;"",COUNTIF('02_固定地理'!$A$2:$A$501,'02_固定地理'!A135)&gt;1),"ID重复；",""),"")</f>
        <v/>
      </c>
      <c r="G135" s="14">
        <f>IF(F135&lt;&gt;"","按字段批注、数据字典和来源记录修正后复核","")</f>
        <v/>
      </c>
      <c r="H135" s="14">
        <f>IF(F135&lt;&gt;"","待处理","")</f>
        <v/>
      </c>
    </row>
    <row r="136">
      <c r="A136" s="14">
        <f>IF(F136&lt;&gt;"","ISSUE-"&amp;TEXT(ROW()-1,"00000"),"")</f>
        <v/>
      </c>
      <c r="B136" s="14">
        <f>IF(F136&lt;&gt;"","错误","")</f>
        <v/>
      </c>
      <c r="C136" s="14">
        <f>IF('02_固定地理'!A136&lt;&gt;"","02_固定地理","")</f>
        <v/>
      </c>
      <c r="D136" s="14">
        <f>IF('02_固定地理'!A136&lt;&gt;"",'02_固定地理'!A136,"")</f>
        <v/>
      </c>
      <c r="E136" s="14">
        <f>IF(F136&lt;&gt;"","综合校验","")</f>
        <v/>
      </c>
      <c r="F136" s="14">
        <f>IF('02_固定地理'!A136&lt;&gt;"",IF('02_固定地理'!A136="","缺少对象ID；","")&amp;IF('02_固定地理'!B136="","缺少中文名称；","")&amp;IF('02_固定地理'!D136="","缺少对象类型；","")&amp;IF(AND('02_固定地理'!F136&lt;&gt;"",OR('02_固定地理'!F136&lt;0,'02_固定地理'!F136&gt;WorldWidth)),"世界中心X越界；","")&amp;IF(AND('02_固定地理'!G136&lt;&gt;"",OR('02_固定地理'!G136&lt;0,'02_固定地理'!G136&gt;WorldHeight)),"世界中心Y越界；","")&amp;IF(AND('02_固定地理'!H136&lt;&gt;"",'02_固定地理'!J136&lt;&gt;"",'02_固定地理'!H136&gt;'02_固定地理'!J136),"最小X大于最大X；","")&amp;IF(AND('02_固定地理'!I136&lt;&gt;"",'02_固定地理'!K136&lt;&gt;"",'02_固定地理'!I136&gt;'02_固定地理'!K136),"最小Y大于最大Y；","")&amp;IF(AND('02_固定地理'!E136&lt;&gt;"",COUNTIF('02_固定地理'!$A$2:$A$501,'02_固定地理'!E136)=0),"父级对象不存在；","")&amp;IF(AND('02_固定地理'!A136&lt;&gt;"",COUNTIF('02_固定地理'!$A$2:$A$501,'02_固定地理'!A136)&gt;1),"ID重复；",""),"")</f>
        <v/>
      </c>
      <c r="G136" s="14">
        <f>IF(F136&lt;&gt;"","按字段批注、数据字典和来源记录修正后复核","")</f>
        <v/>
      </c>
      <c r="H136" s="14">
        <f>IF(F136&lt;&gt;"","待处理","")</f>
        <v/>
      </c>
    </row>
    <row r="137">
      <c r="A137" s="14">
        <f>IF(F137&lt;&gt;"","ISSUE-"&amp;TEXT(ROW()-1,"00000"),"")</f>
        <v/>
      </c>
      <c r="B137" s="14">
        <f>IF(F137&lt;&gt;"","错误","")</f>
        <v/>
      </c>
      <c r="C137" s="14">
        <f>IF('02_固定地理'!A137&lt;&gt;"","02_固定地理","")</f>
        <v/>
      </c>
      <c r="D137" s="14">
        <f>IF('02_固定地理'!A137&lt;&gt;"",'02_固定地理'!A137,"")</f>
        <v/>
      </c>
      <c r="E137" s="14">
        <f>IF(F137&lt;&gt;"","综合校验","")</f>
        <v/>
      </c>
      <c r="F137" s="14">
        <f>IF('02_固定地理'!A137&lt;&gt;"",IF('02_固定地理'!A137="","缺少对象ID；","")&amp;IF('02_固定地理'!B137="","缺少中文名称；","")&amp;IF('02_固定地理'!D137="","缺少对象类型；","")&amp;IF(AND('02_固定地理'!F137&lt;&gt;"",OR('02_固定地理'!F137&lt;0,'02_固定地理'!F137&gt;WorldWidth)),"世界中心X越界；","")&amp;IF(AND('02_固定地理'!G137&lt;&gt;"",OR('02_固定地理'!G137&lt;0,'02_固定地理'!G137&gt;WorldHeight)),"世界中心Y越界；","")&amp;IF(AND('02_固定地理'!H137&lt;&gt;"",'02_固定地理'!J137&lt;&gt;"",'02_固定地理'!H137&gt;'02_固定地理'!J137),"最小X大于最大X；","")&amp;IF(AND('02_固定地理'!I137&lt;&gt;"",'02_固定地理'!K137&lt;&gt;"",'02_固定地理'!I137&gt;'02_固定地理'!K137),"最小Y大于最大Y；","")&amp;IF(AND('02_固定地理'!E137&lt;&gt;"",COUNTIF('02_固定地理'!$A$2:$A$501,'02_固定地理'!E137)=0),"父级对象不存在；","")&amp;IF(AND('02_固定地理'!A137&lt;&gt;"",COUNTIF('02_固定地理'!$A$2:$A$501,'02_固定地理'!A137)&gt;1),"ID重复；",""),"")</f>
        <v/>
      </c>
      <c r="G137" s="14">
        <f>IF(F137&lt;&gt;"","按字段批注、数据字典和来源记录修正后复核","")</f>
        <v/>
      </c>
      <c r="H137" s="14">
        <f>IF(F137&lt;&gt;"","待处理","")</f>
        <v/>
      </c>
    </row>
    <row r="138">
      <c r="A138" s="14">
        <f>IF(F138&lt;&gt;"","ISSUE-"&amp;TEXT(ROW()-1,"00000"),"")</f>
        <v/>
      </c>
      <c r="B138" s="14">
        <f>IF(F138&lt;&gt;"","错误","")</f>
        <v/>
      </c>
      <c r="C138" s="14">
        <f>IF('02_固定地理'!A138&lt;&gt;"","02_固定地理","")</f>
        <v/>
      </c>
      <c r="D138" s="14">
        <f>IF('02_固定地理'!A138&lt;&gt;"",'02_固定地理'!A138,"")</f>
        <v/>
      </c>
      <c r="E138" s="14">
        <f>IF(F138&lt;&gt;"","综合校验","")</f>
        <v/>
      </c>
      <c r="F138" s="14">
        <f>IF('02_固定地理'!A138&lt;&gt;"",IF('02_固定地理'!A138="","缺少对象ID；","")&amp;IF('02_固定地理'!B138="","缺少中文名称；","")&amp;IF('02_固定地理'!D138="","缺少对象类型；","")&amp;IF(AND('02_固定地理'!F138&lt;&gt;"",OR('02_固定地理'!F138&lt;0,'02_固定地理'!F138&gt;WorldWidth)),"世界中心X越界；","")&amp;IF(AND('02_固定地理'!G138&lt;&gt;"",OR('02_固定地理'!G138&lt;0,'02_固定地理'!G138&gt;WorldHeight)),"世界中心Y越界；","")&amp;IF(AND('02_固定地理'!H138&lt;&gt;"",'02_固定地理'!J138&lt;&gt;"",'02_固定地理'!H138&gt;'02_固定地理'!J138),"最小X大于最大X；","")&amp;IF(AND('02_固定地理'!I138&lt;&gt;"",'02_固定地理'!K138&lt;&gt;"",'02_固定地理'!I138&gt;'02_固定地理'!K138),"最小Y大于最大Y；","")&amp;IF(AND('02_固定地理'!E138&lt;&gt;"",COUNTIF('02_固定地理'!$A$2:$A$501,'02_固定地理'!E138)=0),"父级对象不存在；","")&amp;IF(AND('02_固定地理'!A138&lt;&gt;"",COUNTIF('02_固定地理'!$A$2:$A$501,'02_固定地理'!A138)&gt;1),"ID重复；",""),"")</f>
        <v/>
      </c>
      <c r="G138" s="14">
        <f>IF(F138&lt;&gt;"","按字段批注、数据字典和来源记录修正后复核","")</f>
        <v/>
      </c>
      <c r="H138" s="14">
        <f>IF(F138&lt;&gt;"","待处理","")</f>
        <v/>
      </c>
    </row>
    <row r="139">
      <c r="A139" s="14">
        <f>IF(F139&lt;&gt;"","ISSUE-"&amp;TEXT(ROW()-1,"00000"),"")</f>
        <v/>
      </c>
      <c r="B139" s="14">
        <f>IF(F139&lt;&gt;"","错误","")</f>
        <v/>
      </c>
      <c r="C139" s="14">
        <f>IF('02_固定地理'!A139&lt;&gt;"","02_固定地理","")</f>
        <v/>
      </c>
      <c r="D139" s="14">
        <f>IF('02_固定地理'!A139&lt;&gt;"",'02_固定地理'!A139,"")</f>
        <v/>
      </c>
      <c r="E139" s="14">
        <f>IF(F139&lt;&gt;"","综合校验","")</f>
        <v/>
      </c>
      <c r="F139" s="14">
        <f>IF('02_固定地理'!A139&lt;&gt;"",IF('02_固定地理'!A139="","缺少对象ID；","")&amp;IF('02_固定地理'!B139="","缺少中文名称；","")&amp;IF('02_固定地理'!D139="","缺少对象类型；","")&amp;IF(AND('02_固定地理'!F139&lt;&gt;"",OR('02_固定地理'!F139&lt;0,'02_固定地理'!F139&gt;WorldWidth)),"世界中心X越界；","")&amp;IF(AND('02_固定地理'!G139&lt;&gt;"",OR('02_固定地理'!G139&lt;0,'02_固定地理'!G139&gt;WorldHeight)),"世界中心Y越界；","")&amp;IF(AND('02_固定地理'!H139&lt;&gt;"",'02_固定地理'!J139&lt;&gt;"",'02_固定地理'!H139&gt;'02_固定地理'!J139),"最小X大于最大X；","")&amp;IF(AND('02_固定地理'!I139&lt;&gt;"",'02_固定地理'!K139&lt;&gt;"",'02_固定地理'!I139&gt;'02_固定地理'!K139),"最小Y大于最大Y；","")&amp;IF(AND('02_固定地理'!E139&lt;&gt;"",COUNTIF('02_固定地理'!$A$2:$A$501,'02_固定地理'!E139)=0),"父级对象不存在；","")&amp;IF(AND('02_固定地理'!A139&lt;&gt;"",COUNTIF('02_固定地理'!$A$2:$A$501,'02_固定地理'!A139)&gt;1),"ID重复；",""),"")</f>
        <v/>
      </c>
      <c r="G139" s="14">
        <f>IF(F139&lt;&gt;"","按字段批注、数据字典和来源记录修正后复核","")</f>
        <v/>
      </c>
      <c r="H139" s="14">
        <f>IF(F139&lt;&gt;"","待处理","")</f>
        <v/>
      </c>
    </row>
    <row r="140">
      <c r="A140" s="14">
        <f>IF(F140&lt;&gt;"","ISSUE-"&amp;TEXT(ROW()-1,"00000"),"")</f>
        <v/>
      </c>
      <c r="B140" s="14">
        <f>IF(F140&lt;&gt;"","错误","")</f>
        <v/>
      </c>
      <c r="C140" s="14">
        <f>IF('02_固定地理'!A140&lt;&gt;"","02_固定地理","")</f>
        <v/>
      </c>
      <c r="D140" s="14">
        <f>IF('02_固定地理'!A140&lt;&gt;"",'02_固定地理'!A140,"")</f>
        <v/>
      </c>
      <c r="E140" s="14">
        <f>IF(F140&lt;&gt;"","综合校验","")</f>
        <v/>
      </c>
      <c r="F140" s="14">
        <f>IF('02_固定地理'!A140&lt;&gt;"",IF('02_固定地理'!A140="","缺少对象ID；","")&amp;IF('02_固定地理'!B140="","缺少中文名称；","")&amp;IF('02_固定地理'!D140="","缺少对象类型；","")&amp;IF(AND('02_固定地理'!F140&lt;&gt;"",OR('02_固定地理'!F140&lt;0,'02_固定地理'!F140&gt;WorldWidth)),"世界中心X越界；","")&amp;IF(AND('02_固定地理'!G140&lt;&gt;"",OR('02_固定地理'!G140&lt;0,'02_固定地理'!G140&gt;WorldHeight)),"世界中心Y越界；","")&amp;IF(AND('02_固定地理'!H140&lt;&gt;"",'02_固定地理'!J140&lt;&gt;"",'02_固定地理'!H140&gt;'02_固定地理'!J140),"最小X大于最大X；","")&amp;IF(AND('02_固定地理'!I140&lt;&gt;"",'02_固定地理'!K140&lt;&gt;"",'02_固定地理'!I140&gt;'02_固定地理'!K140),"最小Y大于最大Y；","")&amp;IF(AND('02_固定地理'!E140&lt;&gt;"",COUNTIF('02_固定地理'!$A$2:$A$501,'02_固定地理'!E140)=0),"父级对象不存在；","")&amp;IF(AND('02_固定地理'!A140&lt;&gt;"",COUNTIF('02_固定地理'!$A$2:$A$501,'02_固定地理'!A140)&gt;1),"ID重复；",""),"")</f>
        <v/>
      </c>
      <c r="G140" s="14">
        <f>IF(F140&lt;&gt;"","按字段批注、数据字典和来源记录修正后复核","")</f>
        <v/>
      </c>
      <c r="H140" s="14">
        <f>IF(F140&lt;&gt;"","待处理","")</f>
        <v/>
      </c>
    </row>
    <row r="141">
      <c r="A141" s="14">
        <f>IF(F141&lt;&gt;"","ISSUE-"&amp;TEXT(ROW()-1,"00000"),"")</f>
        <v/>
      </c>
      <c r="B141" s="14">
        <f>IF(F141&lt;&gt;"","错误","")</f>
        <v/>
      </c>
      <c r="C141" s="14">
        <f>IF('02_固定地理'!A141&lt;&gt;"","02_固定地理","")</f>
        <v/>
      </c>
      <c r="D141" s="14">
        <f>IF('02_固定地理'!A141&lt;&gt;"",'02_固定地理'!A141,"")</f>
        <v/>
      </c>
      <c r="E141" s="14">
        <f>IF(F141&lt;&gt;"","综合校验","")</f>
        <v/>
      </c>
      <c r="F141" s="14">
        <f>IF('02_固定地理'!A141&lt;&gt;"",IF('02_固定地理'!A141="","缺少对象ID；","")&amp;IF('02_固定地理'!B141="","缺少中文名称；","")&amp;IF('02_固定地理'!D141="","缺少对象类型；","")&amp;IF(AND('02_固定地理'!F141&lt;&gt;"",OR('02_固定地理'!F141&lt;0,'02_固定地理'!F141&gt;WorldWidth)),"世界中心X越界；","")&amp;IF(AND('02_固定地理'!G141&lt;&gt;"",OR('02_固定地理'!G141&lt;0,'02_固定地理'!G141&gt;WorldHeight)),"世界中心Y越界；","")&amp;IF(AND('02_固定地理'!H141&lt;&gt;"",'02_固定地理'!J141&lt;&gt;"",'02_固定地理'!H141&gt;'02_固定地理'!J141),"最小X大于最大X；","")&amp;IF(AND('02_固定地理'!I141&lt;&gt;"",'02_固定地理'!K141&lt;&gt;"",'02_固定地理'!I141&gt;'02_固定地理'!K141),"最小Y大于最大Y；","")&amp;IF(AND('02_固定地理'!E141&lt;&gt;"",COUNTIF('02_固定地理'!$A$2:$A$501,'02_固定地理'!E141)=0),"父级对象不存在；","")&amp;IF(AND('02_固定地理'!A141&lt;&gt;"",COUNTIF('02_固定地理'!$A$2:$A$501,'02_固定地理'!A141)&gt;1),"ID重复；",""),"")</f>
        <v/>
      </c>
      <c r="G141" s="14">
        <f>IF(F141&lt;&gt;"","按字段批注、数据字典和来源记录修正后复核","")</f>
        <v/>
      </c>
      <c r="H141" s="14">
        <f>IF(F141&lt;&gt;"","待处理","")</f>
        <v/>
      </c>
    </row>
    <row r="142">
      <c r="A142" s="14">
        <f>IF(F142&lt;&gt;"","ISSUE-"&amp;TEXT(ROW()-1,"00000"),"")</f>
        <v/>
      </c>
      <c r="B142" s="14">
        <f>IF(F142&lt;&gt;"","错误","")</f>
        <v/>
      </c>
      <c r="C142" s="14">
        <f>IF('02_固定地理'!A142&lt;&gt;"","02_固定地理","")</f>
        <v/>
      </c>
      <c r="D142" s="14">
        <f>IF('02_固定地理'!A142&lt;&gt;"",'02_固定地理'!A142,"")</f>
        <v/>
      </c>
      <c r="E142" s="14">
        <f>IF(F142&lt;&gt;"","综合校验","")</f>
        <v/>
      </c>
      <c r="F142" s="14">
        <f>IF('02_固定地理'!A142&lt;&gt;"",IF('02_固定地理'!A142="","缺少对象ID；","")&amp;IF('02_固定地理'!B142="","缺少中文名称；","")&amp;IF('02_固定地理'!D142="","缺少对象类型；","")&amp;IF(AND('02_固定地理'!F142&lt;&gt;"",OR('02_固定地理'!F142&lt;0,'02_固定地理'!F142&gt;WorldWidth)),"世界中心X越界；","")&amp;IF(AND('02_固定地理'!G142&lt;&gt;"",OR('02_固定地理'!G142&lt;0,'02_固定地理'!G142&gt;WorldHeight)),"世界中心Y越界；","")&amp;IF(AND('02_固定地理'!H142&lt;&gt;"",'02_固定地理'!J142&lt;&gt;"",'02_固定地理'!H142&gt;'02_固定地理'!J142),"最小X大于最大X；","")&amp;IF(AND('02_固定地理'!I142&lt;&gt;"",'02_固定地理'!K142&lt;&gt;"",'02_固定地理'!I142&gt;'02_固定地理'!K142),"最小Y大于最大Y；","")&amp;IF(AND('02_固定地理'!E142&lt;&gt;"",COUNTIF('02_固定地理'!$A$2:$A$501,'02_固定地理'!E142)=0),"父级对象不存在；","")&amp;IF(AND('02_固定地理'!A142&lt;&gt;"",COUNTIF('02_固定地理'!$A$2:$A$501,'02_固定地理'!A142)&gt;1),"ID重复；",""),"")</f>
        <v/>
      </c>
      <c r="G142" s="14">
        <f>IF(F142&lt;&gt;"","按字段批注、数据字典和来源记录修正后复核","")</f>
        <v/>
      </c>
      <c r="H142" s="14">
        <f>IF(F142&lt;&gt;"","待处理","")</f>
        <v/>
      </c>
    </row>
    <row r="143">
      <c r="A143" s="14">
        <f>IF(F143&lt;&gt;"","ISSUE-"&amp;TEXT(ROW()-1,"00000"),"")</f>
        <v/>
      </c>
      <c r="B143" s="14">
        <f>IF(F143&lt;&gt;"","错误","")</f>
        <v/>
      </c>
      <c r="C143" s="14">
        <f>IF('02_固定地理'!A143&lt;&gt;"","02_固定地理","")</f>
        <v/>
      </c>
      <c r="D143" s="14">
        <f>IF('02_固定地理'!A143&lt;&gt;"",'02_固定地理'!A143,"")</f>
        <v/>
      </c>
      <c r="E143" s="14">
        <f>IF(F143&lt;&gt;"","综合校验","")</f>
        <v/>
      </c>
      <c r="F143" s="14">
        <f>IF('02_固定地理'!A143&lt;&gt;"",IF('02_固定地理'!A143="","缺少对象ID；","")&amp;IF('02_固定地理'!B143="","缺少中文名称；","")&amp;IF('02_固定地理'!D143="","缺少对象类型；","")&amp;IF(AND('02_固定地理'!F143&lt;&gt;"",OR('02_固定地理'!F143&lt;0,'02_固定地理'!F143&gt;WorldWidth)),"世界中心X越界；","")&amp;IF(AND('02_固定地理'!G143&lt;&gt;"",OR('02_固定地理'!G143&lt;0,'02_固定地理'!G143&gt;WorldHeight)),"世界中心Y越界；","")&amp;IF(AND('02_固定地理'!H143&lt;&gt;"",'02_固定地理'!J143&lt;&gt;"",'02_固定地理'!H143&gt;'02_固定地理'!J143),"最小X大于最大X；","")&amp;IF(AND('02_固定地理'!I143&lt;&gt;"",'02_固定地理'!K143&lt;&gt;"",'02_固定地理'!I143&gt;'02_固定地理'!K143),"最小Y大于最大Y；","")&amp;IF(AND('02_固定地理'!E143&lt;&gt;"",COUNTIF('02_固定地理'!$A$2:$A$501,'02_固定地理'!E143)=0),"父级对象不存在；","")&amp;IF(AND('02_固定地理'!A143&lt;&gt;"",COUNTIF('02_固定地理'!$A$2:$A$501,'02_固定地理'!A143)&gt;1),"ID重复；",""),"")</f>
        <v/>
      </c>
      <c r="G143" s="14">
        <f>IF(F143&lt;&gt;"","按字段批注、数据字典和来源记录修正后复核","")</f>
        <v/>
      </c>
      <c r="H143" s="14">
        <f>IF(F143&lt;&gt;"","待处理","")</f>
        <v/>
      </c>
    </row>
    <row r="144">
      <c r="A144" s="14">
        <f>IF(F144&lt;&gt;"","ISSUE-"&amp;TEXT(ROW()-1,"00000"),"")</f>
        <v/>
      </c>
      <c r="B144" s="14">
        <f>IF(F144&lt;&gt;"","错误","")</f>
        <v/>
      </c>
      <c r="C144" s="14">
        <f>IF('02_固定地理'!A144&lt;&gt;"","02_固定地理","")</f>
        <v/>
      </c>
      <c r="D144" s="14">
        <f>IF('02_固定地理'!A144&lt;&gt;"",'02_固定地理'!A144,"")</f>
        <v/>
      </c>
      <c r="E144" s="14">
        <f>IF(F144&lt;&gt;"","综合校验","")</f>
        <v/>
      </c>
      <c r="F144" s="14">
        <f>IF('02_固定地理'!A144&lt;&gt;"",IF('02_固定地理'!A144="","缺少对象ID；","")&amp;IF('02_固定地理'!B144="","缺少中文名称；","")&amp;IF('02_固定地理'!D144="","缺少对象类型；","")&amp;IF(AND('02_固定地理'!F144&lt;&gt;"",OR('02_固定地理'!F144&lt;0,'02_固定地理'!F144&gt;WorldWidth)),"世界中心X越界；","")&amp;IF(AND('02_固定地理'!G144&lt;&gt;"",OR('02_固定地理'!G144&lt;0,'02_固定地理'!G144&gt;WorldHeight)),"世界中心Y越界；","")&amp;IF(AND('02_固定地理'!H144&lt;&gt;"",'02_固定地理'!J144&lt;&gt;"",'02_固定地理'!H144&gt;'02_固定地理'!J144),"最小X大于最大X；","")&amp;IF(AND('02_固定地理'!I144&lt;&gt;"",'02_固定地理'!K144&lt;&gt;"",'02_固定地理'!I144&gt;'02_固定地理'!K144),"最小Y大于最大Y；","")&amp;IF(AND('02_固定地理'!E144&lt;&gt;"",COUNTIF('02_固定地理'!$A$2:$A$501,'02_固定地理'!E144)=0),"父级对象不存在；","")&amp;IF(AND('02_固定地理'!A144&lt;&gt;"",COUNTIF('02_固定地理'!$A$2:$A$501,'02_固定地理'!A144)&gt;1),"ID重复；",""),"")</f>
        <v/>
      </c>
      <c r="G144" s="14">
        <f>IF(F144&lt;&gt;"","按字段批注、数据字典和来源记录修正后复核","")</f>
        <v/>
      </c>
      <c r="H144" s="14">
        <f>IF(F144&lt;&gt;"","待处理","")</f>
        <v/>
      </c>
    </row>
    <row r="145">
      <c r="A145" s="14">
        <f>IF(F145&lt;&gt;"","ISSUE-"&amp;TEXT(ROW()-1,"00000"),"")</f>
        <v/>
      </c>
      <c r="B145" s="14">
        <f>IF(F145&lt;&gt;"","错误","")</f>
        <v/>
      </c>
      <c r="C145" s="14">
        <f>IF('02_固定地理'!A145&lt;&gt;"","02_固定地理","")</f>
        <v/>
      </c>
      <c r="D145" s="14">
        <f>IF('02_固定地理'!A145&lt;&gt;"",'02_固定地理'!A145,"")</f>
        <v/>
      </c>
      <c r="E145" s="14">
        <f>IF(F145&lt;&gt;"","综合校验","")</f>
        <v/>
      </c>
      <c r="F145" s="14">
        <f>IF('02_固定地理'!A145&lt;&gt;"",IF('02_固定地理'!A145="","缺少对象ID；","")&amp;IF('02_固定地理'!B145="","缺少中文名称；","")&amp;IF('02_固定地理'!D145="","缺少对象类型；","")&amp;IF(AND('02_固定地理'!F145&lt;&gt;"",OR('02_固定地理'!F145&lt;0,'02_固定地理'!F145&gt;WorldWidth)),"世界中心X越界；","")&amp;IF(AND('02_固定地理'!G145&lt;&gt;"",OR('02_固定地理'!G145&lt;0,'02_固定地理'!G145&gt;WorldHeight)),"世界中心Y越界；","")&amp;IF(AND('02_固定地理'!H145&lt;&gt;"",'02_固定地理'!J145&lt;&gt;"",'02_固定地理'!H145&gt;'02_固定地理'!J145),"最小X大于最大X；","")&amp;IF(AND('02_固定地理'!I145&lt;&gt;"",'02_固定地理'!K145&lt;&gt;"",'02_固定地理'!I145&gt;'02_固定地理'!K145),"最小Y大于最大Y；","")&amp;IF(AND('02_固定地理'!E145&lt;&gt;"",COUNTIF('02_固定地理'!$A$2:$A$501,'02_固定地理'!E145)=0),"父级对象不存在；","")&amp;IF(AND('02_固定地理'!A145&lt;&gt;"",COUNTIF('02_固定地理'!$A$2:$A$501,'02_固定地理'!A145)&gt;1),"ID重复；",""),"")</f>
        <v/>
      </c>
      <c r="G145" s="14">
        <f>IF(F145&lt;&gt;"","按字段批注、数据字典和来源记录修正后复核","")</f>
        <v/>
      </c>
      <c r="H145" s="14">
        <f>IF(F145&lt;&gt;"","待处理","")</f>
        <v/>
      </c>
    </row>
    <row r="146">
      <c r="A146" s="14">
        <f>IF(F146&lt;&gt;"","ISSUE-"&amp;TEXT(ROW()-1,"00000"),"")</f>
        <v/>
      </c>
      <c r="B146" s="14">
        <f>IF(F146&lt;&gt;"","错误","")</f>
        <v/>
      </c>
      <c r="C146" s="14">
        <f>IF('02_固定地理'!A146&lt;&gt;"","02_固定地理","")</f>
        <v/>
      </c>
      <c r="D146" s="14">
        <f>IF('02_固定地理'!A146&lt;&gt;"",'02_固定地理'!A146,"")</f>
        <v/>
      </c>
      <c r="E146" s="14">
        <f>IF(F146&lt;&gt;"","综合校验","")</f>
        <v/>
      </c>
      <c r="F146" s="14">
        <f>IF('02_固定地理'!A146&lt;&gt;"",IF('02_固定地理'!A146="","缺少对象ID；","")&amp;IF('02_固定地理'!B146="","缺少中文名称；","")&amp;IF('02_固定地理'!D146="","缺少对象类型；","")&amp;IF(AND('02_固定地理'!F146&lt;&gt;"",OR('02_固定地理'!F146&lt;0,'02_固定地理'!F146&gt;WorldWidth)),"世界中心X越界；","")&amp;IF(AND('02_固定地理'!G146&lt;&gt;"",OR('02_固定地理'!G146&lt;0,'02_固定地理'!G146&gt;WorldHeight)),"世界中心Y越界；","")&amp;IF(AND('02_固定地理'!H146&lt;&gt;"",'02_固定地理'!J146&lt;&gt;"",'02_固定地理'!H146&gt;'02_固定地理'!J146),"最小X大于最大X；","")&amp;IF(AND('02_固定地理'!I146&lt;&gt;"",'02_固定地理'!K146&lt;&gt;"",'02_固定地理'!I146&gt;'02_固定地理'!K146),"最小Y大于最大Y；","")&amp;IF(AND('02_固定地理'!E146&lt;&gt;"",COUNTIF('02_固定地理'!$A$2:$A$501,'02_固定地理'!E146)=0),"父级对象不存在；","")&amp;IF(AND('02_固定地理'!A146&lt;&gt;"",COUNTIF('02_固定地理'!$A$2:$A$501,'02_固定地理'!A146)&gt;1),"ID重复；",""),"")</f>
        <v/>
      </c>
      <c r="G146" s="14">
        <f>IF(F146&lt;&gt;"","按字段批注、数据字典和来源记录修正后复核","")</f>
        <v/>
      </c>
      <c r="H146" s="14">
        <f>IF(F146&lt;&gt;"","待处理","")</f>
        <v/>
      </c>
    </row>
    <row r="147">
      <c r="A147" s="14">
        <f>IF(F147&lt;&gt;"","ISSUE-"&amp;TEXT(ROW()-1,"00000"),"")</f>
        <v/>
      </c>
      <c r="B147" s="14">
        <f>IF(F147&lt;&gt;"","错误","")</f>
        <v/>
      </c>
      <c r="C147" s="14">
        <f>IF('02_固定地理'!A147&lt;&gt;"","02_固定地理","")</f>
        <v/>
      </c>
      <c r="D147" s="14">
        <f>IF('02_固定地理'!A147&lt;&gt;"",'02_固定地理'!A147,"")</f>
        <v/>
      </c>
      <c r="E147" s="14">
        <f>IF(F147&lt;&gt;"","综合校验","")</f>
        <v/>
      </c>
      <c r="F147" s="14">
        <f>IF('02_固定地理'!A147&lt;&gt;"",IF('02_固定地理'!A147="","缺少对象ID；","")&amp;IF('02_固定地理'!B147="","缺少中文名称；","")&amp;IF('02_固定地理'!D147="","缺少对象类型；","")&amp;IF(AND('02_固定地理'!F147&lt;&gt;"",OR('02_固定地理'!F147&lt;0,'02_固定地理'!F147&gt;WorldWidth)),"世界中心X越界；","")&amp;IF(AND('02_固定地理'!G147&lt;&gt;"",OR('02_固定地理'!G147&lt;0,'02_固定地理'!G147&gt;WorldHeight)),"世界中心Y越界；","")&amp;IF(AND('02_固定地理'!H147&lt;&gt;"",'02_固定地理'!J147&lt;&gt;"",'02_固定地理'!H147&gt;'02_固定地理'!J147),"最小X大于最大X；","")&amp;IF(AND('02_固定地理'!I147&lt;&gt;"",'02_固定地理'!K147&lt;&gt;"",'02_固定地理'!I147&gt;'02_固定地理'!K147),"最小Y大于最大Y；","")&amp;IF(AND('02_固定地理'!E147&lt;&gt;"",COUNTIF('02_固定地理'!$A$2:$A$501,'02_固定地理'!E147)=0),"父级对象不存在；","")&amp;IF(AND('02_固定地理'!A147&lt;&gt;"",COUNTIF('02_固定地理'!$A$2:$A$501,'02_固定地理'!A147)&gt;1),"ID重复；",""),"")</f>
        <v/>
      </c>
      <c r="G147" s="14">
        <f>IF(F147&lt;&gt;"","按字段批注、数据字典和来源记录修正后复核","")</f>
        <v/>
      </c>
      <c r="H147" s="14">
        <f>IF(F147&lt;&gt;"","待处理","")</f>
        <v/>
      </c>
    </row>
    <row r="148">
      <c r="A148" s="14">
        <f>IF(F148&lt;&gt;"","ISSUE-"&amp;TEXT(ROW()-1,"00000"),"")</f>
        <v/>
      </c>
      <c r="B148" s="14">
        <f>IF(F148&lt;&gt;"","错误","")</f>
        <v/>
      </c>
      <c r="C148" s="14">
        <f>IF('02_固定地理'!A148&lt;&gt;"","02_固定地理","")</f>
        <v/>
      </c>
      <c r="D148" s="14">
        <f>IF('02_固定地理'!A148&lt;&gt;"",'02_固定地理'!A148,"")</f>
        <v/>
      </c>
      <c r="E148" s="14">
        <f>IF(F148&lt;&gt;"","综合校验","")</f>
        <v/>
      </c>
      <c r="F148" s="14">
        <f>IF('02_固定地理'!A148&lt;&gt;"",IF('02_固定地理'!A148="","缺少对象ID；","")&amp;IF('02_固定地理'!B148="","缺少中文名称；","")&amp;IF('02_固定地理'!D148="","缺少对象类型；","")&amp;IF(AND('02_固定地理'!F148&lt;&gt;"",OR('02_固定地理'!F148&lt;0,'02_固定地理'!F148&gt;WorldWidth)),"世界中心X越界；","")&amp;IF(AND('02_固定地理'!G148&lt;&gt;"",OR('02_固定地理'!G148&lt;0,'02_固定地理'!G148&gt;WorldHeight)),"世界中心Y越界；","")&amp;IF(AND('02_固定地理'!H148&lt;&gt;"",'02_固定地理'!J148&lt;&gt;"",'02_固定地理'!H148&gt;'02_固定地理'!J148),"最小X大于最大X；","")&amp;IF(AND('02_固定地理'!I148&lt;&gt;"",'02_固定地理'!K148&lt;&gt;"",'02_固定地理'!I148&gt;'02_固定地理'!K148),"最小Y大于最大Y；","")&amp;IF(AND('02_固定地理'!E148&lt;&gt;"",COUNTIF('02_固定地理'!$A$2:$A$501,'02_固定地理'!E148)=0),"父级对象不存在；","")&amp;IF(AND('02_固定地理'!A148&lt;&gt;"",COUNTIF('02_固定地理'!$A$2:$A$501,'02_固定地理'!A148)&gt;1),"ID重复；",""),"")</f>
        <v/>
      </c>
      <c r="G148" s="14">
        <f>IF(F148&lt;&gt;"","按字段批注、数据字典和来源记录修正后复核","")</f>
        <v/>
      </c>
      <c r="H148" s="14">
        <f>IF(F148&lt;&gt;"","待处理","")</f>
        <v/>
      </c>
    </row>
    <row r="149">
      <c r="A149" s="14">
        <f>IF(F149&lt;&gt;"","ISSUE-"&amp;TEXT(ROW()-1,"00000"),"")</f>
        <v/>
      </c>
      <c r="B149" s="14">
        <f>IF(F149&lt;&gt;"","错误","")</f>
        <v/>
      </c>
      <c r="C149" s="14">
        <f>IF('02_固定地理'!A149&lt;&gt;"","02_固定地理","")</f>
        <v/>
      </c>
      <c r="D149" s="14">
        <f>IF('02_固定地理'!A149&lt;&gt;"",'02_固定地理'!A149,"")</f>
        <v/>
      </c>
      <c r="E149" s="14">
        <f>IF(F149&lt;&gt;"","综合校验","")</f>
        <v/>
      </c>
      <c r="F149" s="14">
        <f>IF('02_固定地理'!A149&lt;&gt;"",IF('02_固定地理'!A149="","缺少对象ID；","")&amp;IF('02_固定地理'!B149="","缺少中文名称；","")&amp;IF('02_固定地理'!D149="","缺少对象类型；","")&amp;IF(AND('02_固定地理'!F149&lt;&gt;"",OR('02_固定地理'!F149&lt;0,'02_固定地理'!F149&gt;WorldWidth)),"世界中心X越界；","")&amp;IF(AND('02_固定地理'!G149&lt;&gt;"",OR('02_固定地理'!G149&lt;0,'02_固定地理'!G149&gt;WorldHeight)),"世界中心Y越界；","")&amp;IF(AND('02_固定地理'!H149&lt;&gt;"",'02_固定地理'!J149&lt;&gt;"",'02_固定地理'!H149&gt;'02_固定地理'!J149),"最小X大于最大X；","")&amp;IF(AND('02_固定地理'!I149&lt;&gt;"",'02_固定地理'!K149&lt;&gt;"",'02_固定地理'!I149&gt;'02_固定地理'!K149),"最小Y大于最大Y；","")&amp;IF(AND('02_固定地理'!E149&lt;&gt;"",COUNTIF('02_固定地理'!$A$2:$A$501,'02_固定地理'!E149)=0),"父级对象不存在；","")&amp;IF(AND('02_固定地理'!A149&lt;&gt;"",COUNTIF('02_固定地理'!$A$2:$A$501,'02_固定地理'!A149)&gt;1),"ID重复；",""),"")</f>
        <v/>
      </c>
      <c r="G149" s="14">
        <f>IF(F149&lt;&gt;"","按字段批注、数据字典和来源记录修正后复核","")</f>
        <v/>
      </c>
      <c r="H149" s="14">
        <f>IF(F149&lt;&gt;"","待处理","")</f>
        <v/>
      </c>
    </row>
    <row r="150">
      <c r="A150" s="14">
        <f>IF(F150&lt;&gt;"","ISSUE-"&amp;TEXT(ROW()-1,"00000"),"")</f>
        <v/>
      </c>
      <c r="B150" s="14">
        <f>IF(F150&lt;&gt;"","错误","")</f>
        <v/>
      </c>
      <c r="C150" s="14">
        <f>IF('02_固定地理'!A150&lt;&gt;"","02_固定地理","")</f>
        <v/>
      </c>
      <c r="D150" s="14">
        <f>IF('02_固定地理'!A150&lt;&gt;"",'02_固定地理'!A150,"")</f>
        <v/>
      </c>
      <c r="E150" s="14">
        <f>IF(F150&lt;&gt;"","综合校验","")</f>
        <v/>
      </c>
      <c r="F150" s="14">
        <f>IF('02_固定地理'!A150&lt;&gt;"",IF('02_固定地理'!A150="","缺少对象ID；","")&amp;IF('02_固定地理'!B150="","缺少中文名称；","")&amp;IF('02_固定地理'!D150="","缺少对象类型；","")&amp;IF(AND('02_固定地理'!F150&lt;&gt;"",OR('02_固定地理'!F150&lt;0,'02_固定地理'!F150&gt;WorldWidth)),"世界中心X越界；","")&amp;IF(AND('02_固定地理'!G150&lt;&gt;"",OR('02_固定地理'!G150&lt;0,'02_固定地理'!G150&gt;WorldHeight)),"世界中心Y越界；","")&amp;IF(AND('02_固定地理'!H150&lt;&gt;"",'02_固定地理'!J150&lt;&gt;"",'02_固定地理'!H150&gt;'02_固定地理'!J150),"最小X大于最大X；","")&amp;IF(AND('02_固定地理'!I150&lt;&gt;"",'02_固定地理'!K150&lt;&gt;"",'02_固定地理'!I150&gt;'02_固定地理'!K150),"最小Y大于最大Y；","")&amp;IF(AND('02_固定地理'!E150&lt;&gt;"",COUNTIF('02_固定地理'!$A$2:$A$501,'02_固定地理'!E150)=0),"父级对象不存在；","")&amp;IF(AND('02_固定地理'!A150&lt;&gt;"",COUNTIF('02_固定地理'!$A$2:$A$501,'02_固定地理'!A150)&gt;1),"ID重复；",""),"")</f>
        <v/>
      </c>
      <c r="G150" s="14">
        <f>IF(F150&lt;&gt;"","按字段批注、数据字典和来源记录修正后复核","")</f>
        <v/>
      </c>
      <c r="H150" s="14">
        <f>IF(F150&lt;&gt;"","待处理","")</f>
        <v/>
      </c>
    </row>
    <row r="151">
      <c r="A151" s="14">
        <f>IF(F151&lt;&gt;"","ISSUE-"&amp;TEXT(ROW()-1,"00000"),"")</f>
        <v/>
      </c>
      <c r="B151" s="14">
        <f>IF(F151&lt;&gt;"","错误","")</f>
        <v/>
      </c>
      <c r="C151" s="14">
        <f>IF('02_固定地理'!A151&lt;&gt;"","02_固定地理","")</f>
        <v/>
      </c>
      <c r="D151" s="14">
        <f>IF('02_固定地理'!A151&lt;&gt;"",'02_固定地理'!A151,"")</f>
        <v/>
      </c>
      <c r="E151" s="14">
        <f>IF(F151&lt;&gt;"","综合校验","")</f>
        <v/>
      </c>
      <c r="F151" s="14">
        <f>IF('02_固定地理'!A151&lt;&gt;"",IF('02_固定地理'!A151="","缺少对象ID；","")&amp;IF('02_固定地理'!B151="","缺少中文名称；","")&amp;IF('02_固定地理'!D151="","缺少对象类型；","")&amp;IF(AND('02_固定地理'!F151&lt;&gt;"",OR('02_固定地理'!F151&lt;0,'02_固定地理'!F151&gt;WorldWidth)),"世界中心X越界；","")&amp;IF(AND('02_固定地理'!G151&lt;&gt;"",OR('02_固定地理'!G151&lt;0,'02_固定地理'!G151&gt;WorldHeight)),"世界中心Y越界；","")&amp;IF(AND('02_固定地理'!H151&lt;&gt;"",'02_固定地理'!J151&lt;&gt;"",'02_固定地理'!H151&gt;'02_固定地理'!J151),"最小X大于最大X；","")&amp;IF(AND('02_固定地理'!I151&lt;&gt;"",'02_固定地理'!K151&lt;&gt;"",'02_固定地理'!I151&gt;'02_固定地理'!K151),"最小Y大于最大Y；","")&amp;IF(AND('02_固定地理'!E151&lt;&gt;"",COUNTIF('02_固定地理'!$A$2:$A$501,'02_固定地理'!E151)=0),"父级对象不存在；","")&amp;IF(AND('02_固定地理'!A151&lt;&gt;"",COUNTIF('02_固定地理'!$A$2:$A$501,'02_固定地理'!A151)&gt;1),"ID重复；",""),"")</f>
        <v/>
      </c>
      <c r="G151" s="14">
        <f>IF(F151&lt;&gt;"","按字段批注、数据字典和来源记录修正后复核","")</f>
        <v/>
      </c>
      <c r="H151" s="14">
        <f>IF(F151&lt;&gt;"","待处理","")</f>
        <v/>
      </c>
    </row>
    <row r="152">
      <c r="A152" s="14">
        <f>IF(F152&lt;&gt;"","ISSUE-"&amp;TEXT(ROW()-1,"00000"),"")</f>
        <v/>
      </c>
      <c r="B152" s="14">
        <f>IF(F152&lt;&gt;"","错误","")</f>
        <v/>
      </c>
      <c r="C152" s="14">
        <f>IF('02_固定地理'!A152&lt;&gt;"","02_固定地理","")</f>
        <v/>
      </c>
      <c r="D152" s="14">
        <f>IF('02_固定地理'!A152&lt;&gt;"",'02_固定地理'!A152,"")</f>
        <v/>
      </c>
      <c r="E152" s="14">
        <f>IF(F152&lt;&gt;"","综合校验","")</f>
        <v/>
      </c>
      <c r="F152" s="14">
        <f>IF('02_固定地理'!A152&lt;&gt;"",IF('02_固定地理'!A152="","缺少对象ID；","")&amp;IF('02_固定地理'!B152="","缺少中文名称；","")&amp;IF('02_固定地理'!D152="","缺少对象类型；","")&amp;IF(AND('02_固定地理'!F152&lt;&gt;"",OR('02_固定地理'!F152&lt;0,'02_固定地理'!F152&gt;WorldWidth)),"世界中心X越界；","")&amp;IF(AND('02_固定地理'!G152&lt;&gt;"",OR('02_固定地理'!G152&lt;0,'02_固定地理'!G152&gt;WorldHeight)),"世界中心Y越界；","")&amp;IF(AND('02_固定地理'!H152&lt;&gt;"",'02_固定地理'!J152&lt;&gt;"",'02_固定地理'!H152&gt;'02_固定地理'!J152),"最小X大于最大X；","")&amp;IF(AND('02_固定地理'!I152&lt;&gt;"",'02_固定地理'!K152&lt;&gt;"",'02_固定地理'!I152&gt;'02_固定地理'!K152),"最小Y大于最大Y；","")&amp;IF(AND('02_固定地理'!E152&lt;&gt;"",COUNTIF('02_固定地理'!$A$2:$A$501,'02_固定地理'!E152)=0),"父级对象不存在；","")&amp;IF(AND('02_固定地理'!A152&lt;&gt;"",COUNTIF('02_固定地理'!$A$2:$A$501,'02_固定地理'!A152)&gt;1),"ID重复；",""),"")</f>
        <v/>
      </c>
      <c r="G152" s="14">
        <f>IF(F152&lt;&gt;"","按字段批注、数据字典和来源记录修正后复核","")</f>
        <v/>
      </c>
      <c r="H152" s="14">
        <f>IF(F152&lt;&gt;"","待处理","")</f>
        <v/>
      </c>
    </row>
    <row r="153">
      <c r="A153" s="14">
        <f>IF(F153&lt;&gt;"","ISSUE-"&amp;TEXT(ROW()-1,"00000"),"")</f>
        <v/>
      </c>
      <c r="B153" s="14">
        <f>IF(F153&lt;&gt;"","错误","")</f>
        <v/>
      </c>
      <c r="C153" s="14">
        <f>IF('02_固定地理'!A153&lt;&gt;"","02_固定地理","")</f>
        <v/>
      </c>
      <c r="D153" s="14">
        <f>IF('02_固定地理'!A153&lt;&gt;"",'02_固定地理'!A153,"")</f>
        <v/>
      </c>
      <c r="E153" s="14">
        <f>IF(F153&lt;&gt;"","综合校验","")</f>
        <v/>
      </c>
      <c r="F153" s="14">
        <f>IF('02_固定地理'!A153&lt;&gt;"",IF('02_固定地理'!A153="","缺少对象ID；","")&amp;IF('02_固定地理'!B153="","缺少中文名称；","")&amp;IF('02_固定地理'!D153="","缺少对象类型；","")&amp;IF(AND('02_固定地理'!F153&lt;&gt;"",OR('02_固定地理'!F153&lt;0,'02_固定地理'!F153&gt;WorldWidth)),"世界中心X越界；","")&amp;IF(AND('02_固定地理'!G153&lt;&gt;"",OR('02_固定地理'!G153&lt;0,'02_固定地理'!G153&gt;WorldHeight)),"世界中心Y越界；","")&amp;IF(AND('02_固定地理'!H153&lt;&gt;"",'02_固定地理'!J153&lt;&gt;"",'02_固定地理'!H153&gt;'02_固定地理'!J153),"最小X大于最大X；","")&amp;IF(AND('02_固定地理'!I153&lt;&gt;"",'02_固定地理'!K153&lt;&gt;"",'02_固定地理'!I153&gt;'02_固定地理'!K153),"最小Y大于最大Y；","")&amp;IF(AND('02_固定地理'!E153&lt;&gt;"",COUNTIF('02_固定地理'!$A$2:$A$501,'02_固定地理'!E153)=0),"父级对象不存在；","")&amp;IF(AND('02_固定地理'!A153&lt;&gt;"",COUNTIF('02_固定地理'!$A$2:$A$501,'02_固定地理'!A153)&gt;1),"ID重复；",""),"")</f>
        <v/>
      </c>
      <c r="G153" s="14">
        <f>IF(F153&lt;&gt;"","按字段批注、数据字典和来源记录修正后复核","")</f>
        <v/>
      </c>
      <c r="H153" s="14">
        <f>IF(F153&lt;&gt;"","待处理","")</f>
        <v/>
      </c>
    </row>
    <row r="154">
      <c r="A154" s="14">
        <f>IF(F154&lt;&gt;"","ISSUE-"&amp;TEXT(ROW()-1,"00000"),"")</f>
        <v/>
      </c>
      <c r="B154" s="14">
        <f>IF(F154&lt;&gt;"","错误","")</f>
        <v/>
      </c>
      <c r="C154" s="14">
        <f>IF('02_固定地理'!A154&lt;&gt;"","02_固定地理","")</f>
        <v/>
      </c>
      <c r="D154" s="14">
        <f>IF('02_固定地理'!A154&lt;&gt;"",'02_固定地理'!A154,"")</f>
        <v/>
      </c>
      <c r="E154" s="14">
        <f>IF(F154&lt;&gt;"","综合校验","")</f>
        <v/>
      </c>
      <c r="F154" s="14">
        <f>IF('02_固定地理'!A154&lt;&gt;"",IF('02_固定地理'!A154="","缺少对象ID；","")&amp;IF('02_固定地理'!B154="","缺少中文名称；","")&amp;IF('02_固定地理'!D154="","缺少对象类型；","")&amp;IF(AND('02_固定地理'!F154&lt;&gt;"",OR('02_固定地理'!F154&lt;0,'02_固定地理'!F154&gt;WorldWidth)),"世界中心X越界；","")&amp;IF(AND('02_固定地理'!G154&lt;&gt;"",OR('02_固定地理'!G154&lt;0,'02_固定地理'!G154&gt;WorldHeight)),"世界中心Y越界；","")&amp;IF(AND('02_固定地理'!H154&lt;&gt;"",'02_固定地理'!J154&lt;&gt;"",'02_固定地理'!H154&gt;'02_固定地理'!J154),"最小X大于最大X；","")&amp;IF(AND('02_固定地理'!I154&lt;&gt;"",'02_固定地理'!K154&lt;&gt;"",'02_固定地理'!I154&gt;'02_固定地理'!K154),"最小Y大于最大Y；","")&amp;IF(AND('02_固定地理'!E154&lt;&gt;"",COUNTIF('02_固定地理'!$A$2:$A$501,'02_固定地理'!E154)=0),"父级对象不存在；","")&amp;IF(AND('02_固定地理'!A154&lt;&gt;"",COUNTIF('02_固定地理'!$A$2:$A$501,'02_固定地理'!A154)&gt;1),"ID重复；",""),"")</f>
        <v/>
      </c>
      <c r="G154" s="14">
        <f>IF(F154&lt;&gt;"","按字段批注、数据字典和来源记录修正后复核","")</f>
        <v/>
      </c>
      <c r="H154" s="14">
        <f>IF(F154&lt;&gt;"","待处理","")</f>
        <v/>
      </c>
    </row>
    <row r="155">
      <c r="A155" s="14">
        <f>IF(F155&lt;&gt;"","ISSUE-"&amp;TEXT(ROW()-1,"00000"),"")</f>
        <v/>
      </c>
      <c r="B155" s="14">
        <f>IF(F155&lt;&gt;"","错误","")</f>
        <v/>
      </c>
      <c r="C155" s="14">
        <f>IF('02_固定地理'!A155&lt;&gt;"","02_固定地理","")</f>
        <v/>
      </c>
      <c r="D155" s="14">
        <f>IF('02_固定地理'!A155&lt;&gt;"",'02_固定地理'!A155,"")</f>
        <v/>
      </c>
      <c r="E155" s="14">
        <f>IF(F155&lt;&gt;"","综合校验","")</f>
        <v/>
      </c>
      <c r="F155" s="14">
        <f>IF('02_固定地理'!A155&lt;&gt;"",IF('02_固定地理'!A155="","缺少对象ID；","")&amp;IF('02_固定地理'!B155="","缺少中文名称；","")&amp;IF('02_固定地理'!D155="","缺少对象类型；","")&amp;IF(AND('02_固定地理'!F155&lt;&gt;"",OR('02_固定地理'!F155&lt;0,'02_固定地理'!F155&gt;WorldWidth)),"世界中心X越界；","")&amp;IF(AND('02_固定地理'!G155&lt;&gt;"",OR('02_固定地理'!G155&lt;0,'02_固定地理'!G155&gt;WorldHeight)),"世界中心Y越界；","")&amp;IF(AND('02_固定地理'!H155&lt;&gt;"",'02_固定地理'!J155&lt;&gt;"",'02_固定地理'!H155&gt;'02_固定地理'!J155),"最小X大于最大X；","")&amp;IF(AND('02_固定地理'!I155&lt;&gt;"",'02_固定地理'!K155&lt;&gt;"",'02_固定地理'!I155&gt;'02_固定地理'!K155),"最小Y大于最大Y；","")&amp;IF(AND('02_固定地理'!E155&lt;&gt;"",COUNTIF('02_固定地理'!$A$2:$A$501,'02_固定地理'!E155)=0),"父级对象不存在；","")&amp;IF(AND('02_固定地理'!A155&lt;&gt;"",COUNTIF('02_固定地理'!$A$2:$A$501,'02_固定地理'!A155)&gt;1),"ID重复；",""),"")</f>
        <v/>
      </c>
      <c r="G155" s="14">
        <f>IF(F155&lt;&gt;"","按字段批注、数据字典和来源记录修正后复核","")</f>
        <v/>
      </c>
      <c r="H155" s="14">
        <f>IF(F155&lt;&gt;"","待处理","")</f>
        <v/>
      </c>
    </row>
    <row r="156">
      <c r="A156" s="14">
        <f>IF(F156&lt;&gt;"","ISSUE-"&amp;TEXT(ROW()-1,"00000"),"")</f>
        <v/>
      </c>
      <c r="B156" s="14">
        <f>IF(F156&lt;&gt;"","错误","")</f>
        <v/>
      </c>
      <c r="C156" s="14">
        <f>IF('02_固定地理'!A156&lt;&gt;"","02_固定地理","")</f>
        <v/>
      </c>
      <c r="D156" s="14">
        <f>IF('02_固定地理'!A156&lt;&gt;"",'02_固定地理'!A156,"")</f>
        <v/>
      </c>
      <c r="E156" s="14">
        <f>IF(F156&lt;&gt;"","综合校验","")</f>
        <v/>
      </c>
      <c r="F156" s="14">
        <f>IF('02_固定地理'!A156&lt;&gt;"",IF('02_固定地理'!A156="","缺少对象ID；","")&amp;IF('02_固定地理'!B156="","缺少中文名称；","")&amp;IF('02_固定地理'!D156="","缺少对象类型；","")&amp;IF(AND('02_固定地理'!F156&lt;&gt;"",OR('02_固定地理'!F156&lt;0,'02_固定地理'!F156&gt;WorldWidth)),"世界中心X越界；","")&amp;IF(AND('02_固定地理'!G156&lt;&gt;"",OR('02_固定地理'!G156&lt;0,'02_固定地理'!G156&gt;WorldHeight)),"世界中心Y越界；","")&amp;IF(AND('02_固定地理'!H156&lt;&gt;"",'02_固定地理'!J156&lt;&gt;"",'02_固定地理'!H156&gt;'02_固定地理'!J156),"最小X大于最大X；","")&amp;IF(AND('02_固定地理'!I156&lt;&gt;"",'02_固定地理'!K156&lt;&gt;"",'02_固定地理'!I156&gt;'02_固定地理'!K156),"最小Y大于最大Y；","")&amp;IF(AND('02_固定地理'!E156&lt;&gt;"",COUNTIF('02_固定地理'!$A$2:$A$501,'02_固定地理'!E156)=0),"父级对象不存在；","")&amp;IF(AND('02_固定地理'!A156&lt;&gt;"",COUNTIF('02_固定地理'!$A$2:$A$501,'02_固定地理'!A156)&gt;1),"ID重复；",""),"")</f>
        <v/>
      </c>
      <c r="G156" s="14">
        <f>IF(F156&lt;&gt;"","按字段批注、数据字典和来源记录修正后复核","")</f>
        <v/>
      </c>
      <c r="H156" s="14">
        <f>IF(F156&lt;&gt;"","待处理","")</f>
        <v/>
      </c>
    </row>
    <row r="157">
      <c r="A157" s="14">
        <f>IF(F157&lt;&gt;"","ISSUE-"&amp;TEXT(ROW()-1,"00000"),"")</f>
        <v/>
      </c>
      <c r="B157" s="14">
        <f>IF(F157&lt;&gt;"","错误","")</f>
        <v/>
      </c>
      <c r="C157" s="14">
        <f>IF('02_固定地理'!A157&lt;&gt;"","02_固定地理","")</f>
        <v/>
      </c>
      <c r="D157" s="14">
        <f>IF('02_固定地理'!A157&lt;&gt;"",'02_固定地理'!A157,"")</f>
        <v/>
      </c>
      <c r="E157" s="14">
        <f>IF(F157&lt;&gt;"","综合校验","")</f>
        <v/>
      </c>
      <c r="F157" s="14">
        <f>IF('02_固定地理'!A157&lt;&gt;"",IF('02_固定地理'!A157="","缺少对象ID；","")&amp;IF('02_固定地理'!B157="","缺少中文名称；","")&amp;IF('02_固定地理'!D157="","缺少对象类型；","")&amp;IF(AND('02_固定地理'!F157&lt;&gt;"",OR('02_固定地理'!F157&lt;0,'02_固定地理'!F157&gt;WorldWidth)),"世界中心X越界；","")&amp;IF(AND('02_固定地理'!G157&lt;&gt;"",OR('02_固定地理'!G157&lt;0,'02_固定地理'!G157&gt;WorldHeight)),"世界中心Y越界；","")&amp;IF(AND('02_固定地理'!H157&lt;&gt;"",'02_固定地理'!J157&lt;&gt;"",'02_固定地理'!H157&gt;'02_固定地理'!J157),"最小X大于最大X；","")&amp;IF(AND('02_固定地理'!I157&lt;&gt;"",'02_固定地理'!K157&lt;&gt;"",'02_固定地理'!I157&gt;'02_固定地理'!K157),"最小Y大于最大Y；","")&amp;IF(AND('02_固定地理'!E157&lt;&gt;"",COUNTIF('02_固定地理'!$A$2:$A$501,'02_固定地理'!E157)=0),"父级对象不存在；","")&amp;IF(AND('02_固定地理'!A157&lt;&gt;"",COUNTIF('02_固定地理'!$A$2:$A$501,'02_固定地理'!A157)&gt;1),"ID重复；",""),"")</f>
        <v/>
      </c>
      <c r="G157" s="14">
        <f>IF(F157&lt;&gt;"","按字段批注、数据字典和来源记录修正后复核","")</f>
        <v/>
      </c>
      <c r="H157" s="14">
        <f>IF(F157&lt;&gt;"","待处理","")</f>
        <v/>
      </c>
    </row>
    <row r="158">
      <c r="A158" s="14">
        <f>IF(F158&lt;&gt;"","ISSUE-"&amp;TEXT(ROW()-1,"00000"),"")</f>
        <v/>
      </c>
      <c r="B158" s="14">
        <f>IF(F158&lt;&gt;"","错误","")</f>
        <v/>
      </c>
      <c r="C158" s="14">
        <f>IF('02_固定地理'!A158&lt;&gt;"","02_固定地理","")</f>
        <v/>
      </c>
      <c r="D158" s="14">
        <f>IF('02_固定地理'!A158&lt;&gt;"",'02_固定地理'!A158,"")</f>
        <v/>
      </c>
      <c r="E158" s="14">
        <f>IF(F158&lt;&gt;"","综合校验","")</f>
        <v/>
      </c>
      <c r="F158" s="14">
        <f>IF('02_固定地理'!A158&lt;&gt;"",IF('02_固定地理'!A158="","缺少对象ID；","")&amp;IF('02_固定地理'!B158="","缺少中文名称；","")&amp;IF('02_固定地理'!D158="","缺少对象类型；","")&amp;IF(AND('02_固定地理'!F158&lt;&gt;"",OR('02_固定地理'!F158&lt;0,'02_固定地理'!F158&gt;WorldWidth)),"世界中心X越界；","")&amp;IF(AND('02_固定地理'!G158&lt;&gt;"",OR('02_固定地理'!G158&lt;0,'02_固定地理'!G158&gt;WorldHeight)),"世界中心Y越界；","")&amp;IF(AND('02_固定地理'!H158&lt;&gt;"",'02_固定地理'!J158&lt;&gt;"",'02_固定地理'!H158&gt;'02_固定地理'!J158),"最小X大于最大X；","")&amp;IF(AND('02_固定地理'!I158&lt;&gt;"",'02_固定地理'!K158&lt;&gt;"",'02_固定地理'!I158&gt;'02_固定地理'!K158),"最小Y大于最大Y；","")&amp;IF(AND('02_固定地理'!E158&lt;&gt;"",COUNTIF('02_固定地理'!$A$2:$A$501,'02_固定地理'!E158)=0),"父级对象不存在；","")&amp;IF(AND('02_固定地理'!A158&lt;&gt;"",COUNTIF('02_固定地理'!$A$2:$A$501,'02_固定地理'!A158)&gt;1),"ID重复；",""),"")</f>
        <v/>
      </c>
      <c r="G158" s="14">
        <f>IF(F158&lt;&gt;"","按字段批注、数据字典和来源记录修正后复核","")</f>
        <v/>
      </c>
      <c r="H158" s="14">
        <f>IF(F158&lt;&gt;"","待处理","")</f>
        <v/>
      </c>
    </row>
    <row r="159">
      <c r="A159" s="14">
        <f>IF(F159&lt;&gt;"","ISSUE-"&amp;TEXT(ROW()-1,"00000"),"")</f>
        <v/>
      </c>
      <c r="B159" s="14">
        <f>IF(F159&lt;&gt;"","错误","")</f>
        <v/>
      </c>
      <c r="C159" s="14">
        <f>IF('02_固定地理'!A159&lt;&gt;"","02_固定地理","")</f>
        <v/>
      </c>
      <c r="D159" s="14">
        <f>IF('02_固定地理'!A159&lt;&gt;"",'02_固定地理'!A159,"")</f>
        <v/>
      </c>
      <c r="E159" s="14">
        <f>IF(F159&lt;&gt;"","综合校验","")</f>
        <v/>
      </c>
      <c r="F159" s="14">
        <f>IF('02_固定地理'!A159&lt;&gt;"",IF('02_固定地理'!A159="","缺少对象ID；","")&amp;IF('02_固定地理'!B159="","缺少中文名称；","")&amp;IF('02_固定地理'!D159="","缺少对象类型；","")&amp;IF(AND('02_固定地理'!F159&lt;&gt;"",OR('02_固定地理'!F159&lt;0,'02_固定地理'!F159&gt;WorldWidth)),"世界中心X越界；","")&amp;IF(AND('02_固定地理'!G159&lt;&gt;"",OR('02_固定地理'!G159&lt;0,'02_固定地理'!G159&gt;WorldHeight)),"世界中心Y越界；","")&amp;IF(AND('02_固定地理'!H159&lt;&gt;"",'02_固定地理'!J159&lt;&gt;"",'02_固定地理'!H159&gt;'02_固定地理'!J159),"最小X大于最大X；","")&amp;IF(AND('02_固定地理'!I159&lt;&gt;"",'02_固定地理'!K159&lt;&gt;"",'02_固定地理'!I159&gt;'02_固定地理'!K159),"最小Y大于最大Y；","")&amp;IF(AND('02_固定地理'!E159&lt;&gt;"",COUNTIF('02_固定地理'!$A$2:$A$501,'02_固定地理'!E159)=0),"父级对象不存在；","")&amp;IF(AND('02_固定地理'!A159&lt;&gt;"",COUNTIF('02_固定地理'!$A$2:$A$501,'02_固定地理'!A159)&gt;1),"ID重复；",""),"")</f>
        <v/>
      </c>
      <c r="G159" s="14">
        <f>IF(F159&lt;&gt;"","按字段批注、数据字典和来源记录修正后复核","")</f>
        <v/>
      </c>
      <c r="H159" s="14">
        <f>IF(F159&lt;&gt;"","待处理","")</f>
        <v/>
      </c>
    </row>
    <row r="160">
      <c r="A160" s="14">
        <f>IF(F160&lt;&gt;"","ISSUE-"&amp;TEXT(ROW()-1,"00000"),"")</f>
        <v/>
      </c>
      <c r="B160" s="14">
        <f>IF(F160&lt;&gt;"","错误","")</f>
        <v/>
      </c>
      <c r="C160" s="14">
        <f>IF('02_固定地理'!A160&lt;&gt;"","02_固定地理","")</f>
        <v/>
      </c>
      <c r="D160" s="14">
        <f>IF('02_固定地理'!A160&lt;&gt;"",'02_固定地理'!A160,"")</f>
        <v/>
      </c>
      <c r="E160" s="14">
        <f>IF(F160&lt;&gt;"","综合校验","")</f>
        <v/>
      </c>
      <c r="F160" s="14">
        <f>IF('02_固定地理'!A160&lt;&gt;"",IF('02_固定地理'!A160="","缺少对象ID；","")&amp;IF('02_固定地理'!B160="","缺少中文名称；","")&amp;IF('02_固定地理'!D160="","缺少对象类型；","")&amp;IF(AND('02_固定地理'!F160&lt;&gt;"",OR('02_固定地理'!F160&lt;0,'02_固定地理'!F160&gt;WorldWidth)),"世界中心X越界；","")&amp;IF(AND('02_固定地理'!G160&lt;&gt;"",OR('02_固定地理'!G160&lt;0,'02_固定地理'!G160&gt;WorldHeight)),"世界中心Y越界；","")&amp;IF(AND('02_固定地理'!H160&lt;&gt;"",'02_固定地理'!J160&lt;&gt;"",'02_固定地理'!H160&gt;'02_固定地理'!J160),"最小X大于最大X；","")&amp;IF(AND('02_固定地理'!I160&lt;&gt;"",'02_固定地理'!K160&lt;&gt;"",'02_固定地理'!I160&gt;'02_固定地理'!K160),"最小Y大于最大Y；","")&amp;IF(AND('02_固定地理'!E160&lt;&gt;"",COUNTIF('02_固定地理'!$A$2:$A$501,'02_固定地理'!E160)=0),"父级对象不存在；","")&amp;IF(AND('02_固定地理'!A160&lt;&gt;"",COUNTIF('02_固定地理'!$A$2:$A$501,'02_固定地理'!A160)&gt;1),"ID重复；",""),"")</f>
        <v/>
      </c>
      <c r="G160" s="14">
        <f>IF(F160&lt;&gt;"","按字段批注、数据字典和来源记录修正后复核","")</f>
        <v/>
      </c>
      <c r="H160" s="14">
        <f>IF(F160&lt;&gt;"","待处理","")</f>
        <v/>
      </c>
    </row>
    <row r="161">
      <c r="A161" s="14">
        <f>IF(F161&lt;&gt;"","ISSUE-"&amp;TEXT(ROW()-1,"00000"),"")</f>
        <v/>
      </c>
      <c r="B161" s="14">
        <f>IF(F161&lt;&gt;"","错误","")</f>
        <v/>
      </c>
      <c r="C161" s="14">
        <f>IF('02_固定地理'!A161&lt;&gt;"","02_固定地理","")</f>
        <v/>
      </c>
      <c r="D161" s="14">
        <f>IF('02_固定地理'!A161&lt;&gt;"",'02_固定地理'!A161,"")</f>
        <v/>
      </c>
      <c r="E161" s="14">
        <f>IF(F161&lt;&gt;"","综合校验","")</f>
        <v/>
      </c>
      <c r="F161" s="14">
        <f>IF('02_固定地理'!A161&lt;&gt;"",IF('02_固定地理'!A161="","缺少对象ID；","")&amp;IF('02_固定地理'!B161="","缺少中文名称；","")&amp;IF('02_固定地理'!D161="","缺少对象类型；","")&amp;IF(AND('02_固定地理'!F161&lt;&gt;"",OR('02_固定地理'!F161&lt;0,'02_固定地理'!F161&gt;WorldWidth)),"世界中心X越界；","")&amp;IF(AND('02_固定地理'!G161&lt;&gt;"",OR('02_固定地理'!G161&lt;0,'02_固定地理'!G161&gt;WorldHeight)),"世界中心Y越界；","")&amp;IF(AND('02_固定地理'!H161&lt;&gt;"",'02_固定地理'!J161&lt;&gt;"",'02_固定地理'!H161&gt;'02_固定地理'!J161),"最小X大于最大X；","")&amp;IF(AND('02_固定地理'!I161&lt;&gt;"",'02_固定地理'!K161&lt;&gt;"",'02_固定地理'!I161&gt;'02_固定地理'!K161),"最小Y大于最大Y；","")&amp;IF(AND('02_固定地理'!E161&lt;&gt;"",COUNTIF('02_固定地理'!$A$2:$A$501,'02_固定地理'!E161)=0),"父级对象不存在；","")&amp;IF(AND('02_固定地理'!A161&lt;&gt;"",COUNTIF('02_固定地理'!$A$2:$A$501,'02_固定地理'!A161)&gt;1),"ID重复；",""),"")</f>
        <v/>
      </c>
      <c r="G161" s="14">
        <f>IF(F161&lt;&gt;"","按字段批注、数据字典和来源记录修正后复核","")</f>
        <v/>
      </c>
      <c r="H161" s="14">
        <f>IF(F161&lt;&gt;"","待处理","")</f>
        <v/>
      </c>
    </row>
    <row r="162">
      <c r="A162" s="14">
        <f>IF(F162&lt;&gt;"","ISSUE-"&amp;TEXT(ROW()-1,"00000"),"")</f>
        <v/>
      </c>
      <c r="B162" s="14">
        <f>IF(F162&lt;&gt;"","错误","")</f>
        <v/>
      </c>
      <c r="C162" s="14">
        <f>IF('02_固定地理'!A162&lt;&gt;"","02_固定地理","")</f>
        <v/>
      </c>
      <c r="D162" s="14">
        <f>IF('02_固定地理'!A162&lt;&gt;"",'02_固定地理'!A162,"")</f>
        <v/>
      </c>
      <c r="E162" s="14">
        <f>IF(F162&lt;&gt;"","综合校验","")</f>
        <v/>
      </c>
      <c r="F162" s="14">
        <f>IF('02_固定地理'!A162&lt;&gt;"",IF('02_固定地理'!A162="","缺少对象ID；","")&amp;IF('02_固定地理'!B162="","缺少中文名称；","")&amp;IF('02_固定地理'!D162="","缺少对象类型；","")&amp;IF(AND('02_固定地理'!F162&lt;&gt;"",OR('02_固定地理'!F162&lt;0,'02_固定地理'!F162&gt;WorldWidth)),"世界中心X越界；","")&amp;IF(AND('02_固定地理'!G162&lt;&gt;"",OR('02_固定地理'!G162&lt;0,'02_固定地理'!G162&gt;WorldHeight)),"世界中心Y越界；","")&amp;IF(AND('02_固定地理'!H162&lt;&gt;"",'02_固定地理'!J162&lt;&gt;"",'02_固定地理'!H162&gt;'02_固定地理'!J162),"最小X大于最大X；","")&amp;IF(AND('02_固定地理'!I162&lt;&gt;"",'02_固定地理'!K162&lt;&gt;"",'02_固定地理'!I162&gt;'02_固定地理'!K162),"最小Y大于最大Y；","")&amp;IF(AND('02_固定地理'!E162&lt;&gt;"",COUNTIF('02_固定地理'!$A$2:$A$501,'02_固定地理'!E162)=0),"父级对象不存在；","")&amp;IF(AND('02_固定地理'!A162&lt;&gt;"",COUNTIF('02_固定地理'!$A$2:$A$501,'02_固定地理'!A162)&gt;1),"ID重复；",""),"")</f>
        <v/>
      </c>
      <c r="G162" s="14">
        <f>IF(F162&lt;&gt;"","按字段批注、数据字典和来源记录修正后复核","")</f>
        <v/>
      </c>
      <c r="H162" s="14">
        <f>IF(F162&lt;&gt;"","待处理","")</f>
        <v/>
      </c>
    </row>
    <row r="163">
      <c r="A163" s="14">
        <f>IF(F163&lt;&gt;"","ISSUE-"&amp;TEXT(ROW()-1,"00000"),"")</f>
        <v/>
      </c>
      <c r="B163" s="14">
        <f>IF(F163&lt;&gt;"","错误","")</f>
        <v/>
      </c>
      <c r="C163" s="14">
        <f>IF('02_固定地理'!A163&lt;&gt;"","02_固定地理","")</f>
        <v/>
      </c>
      <c r="D163" s="14">
        <f>IF('02_固定地理'!A163&lt;&gt;"",'02_固定地理'!A163,"")</f>
        <v/>
      </c>
      <c r="E163" s="14">
        <f>IF(F163&lt;&gt;"","综合校验","")</f>
        <v/>
      </c>
      <c r="F163" s="14">
        <f>IF('02_固定地理'!A163&lt;&gt;"",IF('02_固定地理'!A163="","缺少对象ID；","")&amp;IF('02_固定地理'!B163="","缺少中文名称；","")&amp;IF('02_固定地理'!D163="","缺少对象类型；","")&amp;IF(AND('02_固定地理'!F163&lt;&gt;"",OR('02_固定地理'!F163&lt;0,'02_固定地理'!F163&gt;WorldWidth)),"世界中心X越界；","")&amp;IF(AND('02_固定地理'!G163&lt;&gt;"",OR('02_固定地理'!G163&lt;0,'02_固定地理'!G163&gt;WorldHeight)),"世界中心Y越界；","")&amp;IF(AND('02_固定地理'!H163&lt;&gt;"",'02_固定地理'!J163&lt;&gt;"",'02_固定地理'!H163&gt;'02_固定地理'!J163),"最小X大于最大X；","")&amp;IF(AND('02_固定地理'!I163&lt;&gt;"",'02_固定地理'!K163&lt;&gt;"",'02_固定地理'!I163&gt;'02_固定地理'!K163),"最小Y大于最大Y；","")&amp;IF(AND('02_固定地理'!E163&lt;&gt;"",COUNTIF('02_固定地理'!$A$2:$A$501,'02_固定地理'!E163)=0),"父级对象不存在；","")&amp;IF(AND('02_固定地理'!A163&lt;&gt;"",COUNTIF('02_固定地理'!$A$2:$A$501,'02_固定地理'!A163)&gt;1),"ID重复；",""),"")</f>
        <v/>
      </c>
      <c r="G163" s="14">
        <f>IF(F163&lt;&gt;"","按字段批注、数据字典和来源记录修正后复核","")</f>
        <v/>
      </c>
      <c r="H163" s="14">
        <f>IF(F163&lt;&gt;"","待处理","")</f>
        <v/>
      </c>
    </row>
    <row r="164">
      <c r="A164" s="14">
        <f>IF(F164&lt;&gt;"","ISSUE-"&amp;TEXT(ROW()-1,"00000"),"")</f>
        <v/>
      </c>
      <c r="B164" s="14">
        <f>IF(F164&lt;&gt;"","错误","")</f>
        <v/>
      </c>
      <c r="C164" s="14">
        <f>IF('02_固定地理'!A164&lt;&gt;"","02_固定地理","")</f>
        <v/>
      </c>
      <c r="D164" s="14">
        <f>IF('02_固定地理'!A164&lt;&gt;"",'02_固定地理'!A164,"")</f>
        <v/>
      </c>
      <c r="E164" s="14">
        <f>IF(F164&lt;&gt;"","综合校验","")</f>
        <v/>
      </c>
      <c r="F164" s="14">
        <f>IF('02_固定地理'!A164&lt;&gt;"",IF('02_固定地理'!A164="","缺少对象ID；","")&amp;IF('02_固定地理'!B164="","缺少中文名称；","")&amp;IF('02_固定地理'!D164="","缺少对象类型；","")&amp;IF(AND('02_固定地理'!F164&lt;&gt;"",OR('02_固定地理'!F164&lt;0,'02_固定地理'!F164&gt;WorldWidth)),"世界中心X越界；","")&amp;IF(AND('02_固定地理'!G164&lt;&gt;"",OR('02_固定地理'!G164&lt;0,'02_固定地理'!G164&gt;WorldHeight)),"世界中心Y越界；","")&amp;IF(AND('02_固定地理'!H164&lt;&gt;"",'02_固定地理'!J164&lt;&gt;"",'02_固定地理'!H164&gt;'02_固定地理'!J164),"最小X大于最大X；","")&amp;IF(AND('02_固定地理'!I164&lt;&gt;"",'02_固定地理'!K164&lt;&gt;"",'02_固定地理'!I164&gt;'02_固定地理'!K164),"最小Y大于最大Y；","")&amp;IF(AND('02_固定地理'!E164&lt;&gt;"",COUNTIF('02_固定地理'!$A$2:$A$501,'02_固定地理'!E164)=0),"父级对象不存在；","")&amp;IF(AND('02_固定地理'!A164&lt;&gt;"",COUNTIF('02_固定地理'!$A$2:$A$501,'02_固定地理'!A164)&gt;1),"ID重复；",""),"")</f>
        <v/>
      </c>
      <c r="G164" s="14">
        <f>IF(F164&lt;&gt;"","按字段批注、数据字典和来源记录修正后复核","")</f>
        <v/>
      </c>
      <c r="H164" s="14">
        <f>IF(F164&lt;&gt;"","待处理","")</f>
        <v/>
      </c>
    </row>
    <row r="165">
      <c r="A165" s="14">
        <f>IF(F165&lt;&gt;"","ISSUE-"&amp;TEXT(ROW()-1,"00000"),"")</f>
        <v/>
      </c>
      <c r="B165" s="14">
        <f>IF(F165&lt;&gt;"","错误","")</f>
        <v/>
      </c>
      <c r="C165" s="14">
        <f>IF('02_固定地理'!A165&lt;&gt;"","02_固定地理","")</f>
        <v/>
      </c>
      <c r="D165" s="14">
        <f>IF('02_固定地理'!A165&lt;&gt;"",'02_固定地理'!A165,"")</f>
        <v/>
      </c>
      <c r="E165" s="14">
        <f>IF(F165&lt;&gt;"","综合校验","")</f>
        <v/>
      </c>
      <c r="F165" s="14">
        <f>IF('02_固定地理'!A165&lt;&gt;"",IF('02_固定地理'!A165="","缺少对象ID；","")&amp;IF('02_固定地理'!B165="","缺少中文名称；","")&amp;IF('02_固定地理'!D165="","缺少对象类型；","")&amp;IF(AND('02_固定地理'!F165&lt;&gt;"",OR('02_固定地理'!F165&lt;0,'02_固定地理'!F165&gt;WorldWidth)),"世界中心X越界；","")&amp;IF(AND('02_固定地理'!G165&lt;&gt;"",OR('02_固定地理'!G165&lt;0,'02_固定地理'!G165&gt;WorldHeight)),"世界中心Y越界；","")&amp;IF(AND('02_固定地理'!H165&lt;&gt;"",'02_固定地理'!J165&lt;&gt;"",'02_固定地理'!H165&gt;'02_固定地理'!J165),"最小X大于最大X；","")&amp;IF(AND('02_固定地理'!I165&lt;&gt;"",'02_固定地理'!K165&lt;&gt;"",'02_固定地理'!I165&gt;'02_固定地理'!K165),"最小Y大于最大Y；","")&amp;IF(AND('02_固定地理'!E165&lt;&gt;"",COUNTIF('02_固定地理'!$A$2:$A$501,'02_固定地理'!E165)=0),"父级对象不存在；","")&amp;IF(AND('02_固定地理'!A165&lt;&gt;"",COUNTIF('02_固定地理'!$A$2:$A$501,'02_固定地理'!A165)&gt;1),"ID重复；",""),"")</f>
        <v/>
      </c>
      <c r="G165" s="14">
        <f>IF(F165&lt;&gt;"","按字段批注、数据字典和来源记录修正后复核","")</f>
        <v/>
      </c>
      <c r="H165" s="14">
        <f>IF(F165&lt;&gt;"","待处理","")</f>
        <v/>
      </c>
    </row>
    <row r="166">
      <c r="A166" s="14">
        <f>IF(F166&lt;&gt;"","ISSUE-"&amp;TEXT(ROW()-1,"00000"),"")</f>
        <v/>
      </c>
      <c r="B166" s="14">
        <f>IF(F166&lt;&gt;"","错误","")</f>
        <v/>
      </c>
      <c r="C166" s="14">
        <f>IF('02_固定地理'!A166&lt;&gt;"","02_固定地理","")</f>
        <v/>
      </c>
      <c r="D166" s="14">
        <f>IF('02_固定地理'!A166&lt;&gt;"",'02_固定地理'!A166,"")</f>
        <v/>
      </c>
      <c r="E166" s="14">
        <f>IF(F166&lt;&gt;"","综合校验","")</f>
        <v/>
      </c>
      <c r="F166" s="14">
        <f>IF('02_固定地理'!A166&lt;&gt;"",IF('02_固定地理'!A166="","缺少对象ID；","")&amp;IF('02_固定地理'!B166="","缺少中文名称；","")&amp;IF('02_固定地理'!D166="","缺少对象类型；","")&amp;IF(AND('02_固定地理'!F166&lt;&gt;"",OR('02_固定地理'!F166&lt;0,'02_固定地理'!F166&gt;WorldWidth)),"世界中心X越界；","")&amp;IF(AND('02_固定地理'!G166&lt;&gt;"",OR('02_固定地理'!G166&lt;0,'02_固定地理'!G166&gt;WorldHeight)),"世界中心Y越界；","")&amp;IF(AND('02_固定地理'!H166&lt;&gt;"",'02_固定地理'!J166&lt;&gt;"",'02_固定地理'!H166&gt;'02_固定地理'!J166),"最小X大于最大X；","")&amp;IF(AND('02_固定地理'!I166&lt;&gt;"",'02_固定地理'!K166&lt;&gt;"",'02_固定地理'!I166&gt;'02_固定地理'!K166),"最小Y大于最大Y；","")&amp;IF(AND('02_固定地理'!E166&lt;&gt;"",COUNTIF('02_固定地理'!$A$2:$A$501,'02_固定地理'!E166)=0),"父级对象不存在；","")&amp;IF(AND('02_固定地理'!A166&lt;&gt;"",COUNTIF('02_固定地理'!$A$2:$A$501,'02_固定地理'!A166)&gt;1),"ID重复；",""),"")</f>
        <v/>
      </c>
      <c r="G166" s="14">
        <f>IF(F166&lt;&gt;"","按字段批注、数据字典和来源记录修正后复核","")</f>
        <v/>
      </c>
      <c r="H166" s="14">
        <f>IF(F166&lt;&gt;"","待处理","")</f>
        <v/>
      </c>
    </row>
    <row r="167">
      <c r="A167" s="14">
        <f>IF(F167&lt;&gt;"","ISSUE-"&amp;TEXT(ROW()-1,"00000"),"")</f>
        <v/>
      </c>
      <c r="B167" s="14">
        <f>IF(F167&lt;&gt;"","错误","")</f>
        <v/>
      </c>
      <c r="C167" s="14">
        <f>IF('02_固定地理'!A167&lt;&gt;"","02_固定地理","")</f>
        <v/>
      </c>
      <c r="D167" s="14">
        <f>IF('02_固定地理'!A167&lt;&gt;"",'02_固定地理'!A167,"")</f>
        <v/>
      </c>
      <c r="E167" s="14">
        <f>IF(F167&lt;&gt;"","综合校验","")</f>
        <v/>
      </c>
      <c r="F167" s="14">
        <f>IF('02_固定地理'!A167&lt;&gt;"",IF('02_固定地理'!A167="","缺少对象ID；","")&amp;IF('02_固定地理'!B167="","缺少中文名称；","")&amp;IF('02_固定地理'!D167="","缺少对象类型；","")&amp;IF(AND('02_固定地理'!F167&lt;&gt;"",OR('02_固定地理'!F167&lt;0,'02_固定地理'!F167&gt;WorldWidth)),"世界中心X越界；","")&amp;IF(AND('02_固定地理'!G167&lt;&gt;"",OR('02_固定地理'!G167&lt;0,'02_固定地理'!G167&gt;WorldHeight)),"世界中心Y越界；","")&amp;IF(AND('02_固定地理'!H167&lt;&gt;"",'02_固定地理'!J167&lt;&gt;"",'02_固定地理'!H167&gt;'02_固定地理'!J167),"最小X大于最大X；","")&amp;IF(AND('02_固定地理'!I167&lt;&gt;"",'02_固定地理'!K167&lt;&gt;"",'02_固定地理'!I167&gt;'02_固定地理'!K167),"最小Y大于最大Y；","")&amp;IF(AND('02_固定地理'!E167&lt;&gt;"",COUNTIF('02_固定地理'!$A$2:$A$501,'02_固定地理'!E167)=0),"父级对象不存在；","")&amp;IF(AND('02_固定地理'!A167&lt;&gt;"",COUNTIF('02_固定地理'!$A$2:$A$501,'02_固定地理'!A167)&gt;1),"ID重复；",""),"")</f>
        <v/>
      </c>
      <c r="G167" s="14">
        <f>IF(F167&lt;&gt;"","按字段批注、数据字典和来源记录修正后复核","")</f>
        <v/>
      </c>
      <c r="H167" s="14">
        <f>IF(F167&lt;&gt;"","待处理","")</f>
        <v/>
      </c>
    </row>
    <row r="168">
      <c r="A168" s="14">
        <f>IF(F168&lt;&gt;"","ISSUE-"&amp;TEXT(ROW()-1,"00000"),"")</f>
        <v/>
      </c>
      <c r="B168" s="14">
        <f>IF(F168&lt;&gt;"","错误","")</f>
        <v/>
      </c>
      <c r="C168" s="14">
        <f>IF('02_固定地理'!A168&lt;&gt;"","02_固定地理","")</f>
        <v/>
      </c>
      <c r="D168" s="14">
        <f>IF('02_固定地理'!A168&lt;&gt;"",'02_固定地理'!A168,"")</f>
        <v/>
      </c>
      <c r="E168" s="14">
        <f>IF(F168&lt;&gt;"","综合校验","")</f>
        <v/>
      </c>
      <c r="F168" s="14">
        <f>IF('02_固定地理'!A168&lt;&gt;"",IF('02_固定地理'!A168="","缺少对象ID；","")&amp;IF('02_固定地理'!B168="","缺少中文名称；","")&amp;IF('02_固定地理'!D168="","缺少对象类型；","")&amp;IF(AND('02_固定地理'!F168&lt;&gt;"",OR('02_固定地理'!F168&lt;0,'02_固定地理'!F168&gt;WorldWidth)),"世界中心X越界；","")&amp;IF(AND('02_固定地理'!G168&lt;&gt;"",OR('02_固定地理'!G168&lt;0,'02_固定地理'!G168&gt;WorldHeight)),"世界中心Y越界；","")&amp;IF(AND('02_固定地理'!H168&lt;&gt;"",'02_固定地理'!J168&lt;&gt;"",'02_固定地理'!H168&gt;'02_固定地理'!J168),"最小X大于最大X；","")&amp;IF(AND('02_固定地理'!I168&lt;&gt;"",'02_固定地理'!K168&lt;&gt;"",'02_固定地理'!I168&gt;'02_固定地理'!K168),"最小Y大于最大Y；","")&amp;IF(AND('02_固定地理'!E168&lt;&gt;"",COUNTIF('02_固定地理'!$A$2:$A$501,'02_固定地理'!E168)=0),"父级对象不存在；","")&amp;IF(AND('02_固定地理'!A168&lt;&gt;"",COUNTIF('02_固定地理'!$A$2:$A$501,'02_固定地理'!A168)&gt;1),"ID重复；",""),"")</f>
        <v/>
      </c>
      <c r="G168" s="14">
        <f>IF(F168&lt;&gt;"","按字段批注、数据字典和来源记录修正后复核","")</f>
        <v/>
      </c>
      <c r="H168" s="14">
        <f>IF(F168&lt;&gt;"","待处理","")</f>
        <v/>
      </c>
    </row>
    <row r="169">
      <c r="A169" s="14">
        <f>IF(F169&lt;&gt;"","ISSUE-"&amp;TEXT(ROW()-1,"00000"),"")</f>
        <v/>
      </c>
      <c r="B169" s="14">
        <f>IF(F169&lt;&gt;"","错误","")</f>
        <v/>
      </c>
      <c r="C169" s="14">
        <f>IF('02_固定地理'!A169&lt;&gt;"","02_固定地理","")</f>
        <v/>
      </c>
      <c r="D169" s="14">
        <f>IF('02_固定地理'!A169&lt;&gt;"",'02_固定地理'!A169,"")</f>
        <v/>
      </c>
      <c r="E169" s="14">
        <f>IF(F169&lt;&gt;"","综合校验","")</f>
        <v/>
      </c>
      <c r="F169" s="14">
        <f>IF('02_固定地理'!A169&lt;&gt;"",IF('02_固定地理'!A169="","缺少对象ID；","")&amp;IF('02_固定地理'!B169="","缺少中文名称；","")&amp;IF('02_固定地理'!D169="","缺少对象类型；","")&amp;IF(AND('02_固定地理'!F169&lt;&gt;"",OR('02_固定地理'!F169&lt;0,'02_固定地理'!F169&gt;WorldWidth)),"世界中心X越界；","")&amp;IF(AND('02_固定地理'!G169&lt;&gt;"",OR('02_固定地理'!G169&lt;0,'02_固定地理'!G169&gt;WorldHeight)),"世界中心Y越界；","")&amp;IF(AND('02_固定地理'!H169&lt;&gt;"",'02_固定地理'!J169&lt;&gt;"",'02_固定地理'!H169&gt;'02_固定地理'!J169),"最小X大于最大X；","")&amp;IF(AND('02_固定地理'!I169&lt;&gt;"",'02_固定地理'!K169&lt;&gt;"",'02_固定地理'!I169&gt;'02_固定地理'!K169),"最小Y大于最大Y；","")&amp;IF(AND('02_固定地理'!E169&lt;&gt;"",COUNTIF('02_固定地理'!$A$2:$A$501,'02_固定地理'!E169)=0),"父级对象不存在；","")&amp;IF(AND('02_固定地理'!A169&lt;&gt;"",COUNTIF('02_固定地理'!$A$2:$A$501,'02_固定地理'!A169)&gt;1),"ID重复；",""),"")</f>
        <v/>
      </c>
      <c r="G169" s="14">
        <f>IF(F169&lt;&gt;"","按字段批注、数据字典和来源记录修正后复核","")</f>
        <v/>
      </c>
      <c r="H169" s="14">
        <f>IF(F169&lt;&gt;"","待处理","")</f>
        <v/>
      </c>
    </row>
    <row r="170">
      <c r="A170" s="14">
        <f>IF(F170&lt;&gt;"","ISSUE-"&amp;TEXT(ROW()-1,"00000"),"")</f>
        <v/>
      </c>
      <c r="B170" s="14">
        <f>IF(F170&lt;&gt;"","错误","")</f>
        <v/>
      </c>
      <c r="C170" s="14">
        <f>IF('02_固定地理'!A170&lt;&gt;"","02_固定地理","")</f>
        <v/>
      </c>
      <c r="D170" s="14">
        <f>IF('02_固定地理'!A170&lt;&gt;"",'02_固定地理'!A170,"")</f>
        <v/>
      </c>
      <c r="E170" s="14">
        <f>IF(F170&lt;&gt;"","综合校验","")</f>
        <v/>
      </c>
      <c r="F170" s="14">
        <f>IF('02_固定地理'!A170&lt;&gt;"",IF('02_固定地理'!A170="","缺少对象ID；","")&amp;IF('02_固定地理'!B170="","缺少中文名称；","")&amp;IF('02_固定地理'!D170="","缺少对象类型；","")&amp;IF(AND('02_固定地理'!F170&lt;&gt;"",OR('02_固定地理'!F170&lt;0,'02_固定地理'!F170&gt;WorldWidth)),"世界中心X越界；","")&amp;IF(AND('02_固定地理'!G170&lt;&gt;"",OR('02_固定地理'!G170&lt;0,'02_固定地理'!G170&gt;WorldHeight)),"世界中心Y越界；","")&amp;IF(AND('02_固定地理'!H170&lt;&gt;"",'02_固定地理'!J170&lt;&gt;"",'02_固定地理'!H170&gt;'02_固定地理'!J170),"最小X大于最大X；","")&amp;IF(AND('02_固定地理'!I170&lt;&gt;"",'02_固定地理'!K170&lt;&gt;"",'02_固定地理'!I170&gt;'02_固定地理'!K170),"最小Y大于最大Y；","")&amp;IF(AND('02_固定地理'!E170&lt;&gt;"",COUNTIF('02_固定地理'!$A$2:$A$501,'02_固定地理'!E170)=0),"父级对象不存在；","")&amp;IF(AND('02_固定地理'!A170&lt;&gt;"",COUNTIF('02_固定地理'!$A$2:$A$501,'02_固定地理'!A170)&gt;1),"ID重复；",""),"")</f>
        <v/>
      </c>
      <c r="G170" s="14">
        <f>IF(F170&lt;&gt;"","按字段批注、数据字典和来源记录修正后复核","")</f>
        <v/>
      </c>
      <c r="H170" s="14">
        <f>IF(F170&lt;&gt;"","待处理","")</f>
        <v/>
      </c>
    </row>
    <row r="171">
      <c r="A171" s="14">
        <f>IF(F171&lt;&gt;"","ISSUE-"&amp;TEXT(ROW()-1,"00000"),"")</f>
        <v/>
      </c>
      <c r="B171" s="14">
        <f>IF(F171&lt;&gt;"","错误","")</f>
        <v/>
      </c>
      <c r="C171" s="14">
        <f>IF('02_固定地理'!A171&lt;&gt;"","02_固定地理","")</f>
        <v/>
      </c>
      <c r="D171" s="14">
        <f>IF('02_固定地理'!A171&lt;&gt;"",'02_固定地理'!A171,"")</f>
        <v/>
      </c>
      <c r="E171" s="14">
        <f>IF(F171&lt;&gt;"","综合校验","")</f>
        <v/>
      </c>
      <c r="F171" s="14">
        <f>IF('02_固定地理'!A171&lt;&gt;"",IF('02_固定地理'!A171="","缺少对象ID；","")&amp;IF('02_固定地理'!B171="","缺少中文名称；","")&amp;IF('02_固定地理'!D171="","缺少对象类型；","")&amp;IF(AND('02_固定地理'!F171&lt;&gt;"",OR('02_固定地理'!F171&lt;0,'02_固定地理'!F171&gt;WorldWidth)),"世界中心X越界；","")&amp;IF(AND('02_固定地理'!G171&lt;&gt;"",OR('02_固定地理'!G171&lt;0,'02_固定地理'!G171&gt;WorldHeight)),"世界中心Y越界；","")&amp;IF(AND('02_固定地理'!H171&lt;&gt;"",'02_固定地理'!J171&lt;&gt;"",'02_固定地理'!H171&gt;'02_固定地理'!J171),"最小X大于最大X；","")&amp;IF(AND('02_固定地理'!I171&lt;&gt;"",'02_固定地理'!K171&lt;&gt;"",'02_固定地理'!I171&gt;'02_固定地理'!K171),"最小Y大于最大Y；","")&amp;IF(AND('02_固定地理'!E171&lt;&gt;"",COUNTIF('02_固定地理'!$A$2:$A$501,'02_固定地理'!E171)=0),"父级对象不存在；","")&amp;IF(AND('02_固定地理'!A171&lt;&gt;"",COUNTIF('02_固定地理'!$A$2:$A$501,'02_固定地理'!A171)&gt;1),"ID重复；",""),"")</f>
        <v/>
      </c>
      <c r="G171" s="14">
        <f>IF(F171&lt;&gt;"","按字段批注、数据字典和来源记录修正后复核","")</f>
        <v/>
      </c>
      <c r="H171" s="14">
        <f>IF(F171&lt;&gt;"","待处理","")</f>
        <v/>
      </c>
    </row>
    <row r="172">
      <c r="A172" s="14">
        <f>IF(F172&lt;&gt;"","ISSUE-"&amp;TEXT(ROW()-1,"00000"),"")</f>
        <v/>
      </c>
      <c r="B172" s="14">
        <f>IF(F172&lt;&gt;"","错误","")</f>
        <v/>
      </c>
      <c r="C172" s="14">
        <f>IF('02_固定地理'!A172&lt;&gt;"","02_固定地理","")</f>
        <v/>
      </c>
      <c r="D172" s="14">
        <f>IF('02_固定地理'!A172&lt;&gt;"",'02_固定地理'!A172,"")</f>
        <v/>
      </c>
      <c r="E172" s="14">
        <f>IF(F172&lt;&gt;"","综合校验","")</f>
        <v/>
      </c>
      <c r="F172" s="14">
        <f>IF('02_固定地理'!A172&lt;&gt;"",IF('02_固定地理'!A172="","缺少对象ID；","")&amp;IF('02_固定地理'!B172="","缺少中文名称；","")&amp;IF('02_固定地理'!D172="","缺少对象类型；","")&amp;IF(AND('02_固定地理'!F172&lt;&gt;"",OR('02_固定地理'!F172&lt;0,'02_固定地理'!F172&gt;WorldWidth)),"世界中心X越界；","")&amp;IF(AND('02_固定地理'!G172&lt;&gt;"",OR('02_固定地理'!G172&lt;0,'02_固定地理'!G172&gt;WorldHeight)),"世界中心Y越界；","")&amp;IF(AND('02_固定地理'!H172&lt;&gt;"",'02_固定地理'!J172&lt;&gt;"",'02_固定地理'!H172&gt;'02_固定地理'!J172),"最小X大于最大X；","")&amp;IF(AND('02_固定地理'!I172&lt;&gt;"",'02_固定地理'!K172&lt;&gt;"",'02_固定地理'!I172&gt;'02_固定地理'!K172),"最小Y大于最大Y；","")&amp;IF(AND('02_固定地理'!E172&lt;&gt;"",COUNTIF('02_固定地理'!$A$2:$A$501,'02_固定地理'!E172)=0),"父级对象不存在；","")&amp;IF(AND('02_固定地理'!A172&lt;&gt;"",COUNTIF('02_固定地理'!$A$2:$A$501,'02_固定地理'!A172)&gt;1),"ID重复；",""),"")</f>
        <v/>
      </c>
      <c r="G172" s="14">
        <f>IF(F172&lt;&gt;"","按字段批注、数据字典和来源记录修正后复核","")</f>
        <v/>
      </c>
      <c r="H172" s="14">
        <f>IF(F172&lt;&gt;"","待处理","")</f>
        <v/>
      </c>
    </row>
    <row r="173">
      <c r="A173" s="14">
        <f>IF(F173&lt;&gt;"","ISSUE-"&amp;TEXT(ROW()-1,"00000"),"")</f>
        <v/>
      </c>
      <c r="B173" s="14">
        <f>IF(F173&lt;&gt;"","错误","")</f>
        <v/>
      </c>
      <c r="C173" s="14">
        <f>IF('02_固定地理'!A173&lt;&gt;"","02_固定地理","")</f>
        <v/>
      </c>
      <c r="D173" s="14">
        <f>IF('02_固定地理'!A173&lt;&gt;"",'02_固定地理'!A173,"")</f>
        <v/>
      </c>
      <c r="E173" s="14">
        <f>IF(F173&lt;&gt;"","综合校验","")</f>
        <v/>
      </c>
      <c r="F173" s="14">
        <f>IF('02_固定地理'!A173&lt;&gt;"",IF('02_固定地理'!A173="","缺少对象ID；","")&amp;IF('02_固定地理'!B173="","缺少中文名称；","")&amp;IF('02_固定地理'!D173="","缺少对象类型；","")&amp;IF(AND('02_固定地理'!F173&lt;&gt;"",OR('02_固定地理'!F173&lt;0,'02_固定地理'!F173&gt;WorldWidth)),"世界中心X越界；","")&amp;IF(AND('02_固定地理'!G173&lt;&gt;"",OR('02_固定地理'!G173&lt;0,'02_固定地理'!G173&gt;WorldHeight)),"世界中心Y越界；","")&amp;IF(AND('02_固定地理'!H173&lt;&gt;"",'02_固定地理'!J173&lt;&gt;"",'02_固定地理'!H173&gt;'02_固定地理'!J173),"最小X大于最大X；","")&amp;IF(AND('02_固定地理'!I173&lt;&gt;"",'02_固定地理'!K173&lt;&gt;"",'02_固定地理'!I173&gt;'02_固定地理'!K173),"最小Y大于最大Y；","")&amp;IF(AND('02_固定地理'!E173&lt;&gt;"",COUNTIF('02_固定地理'!$A$2:$A$501,'02_固定地理'!E173)=0),"父级对象不存在；","")&amp;IF(AND('02_固定地理'!A173&lt;&gt;"",COUNTIF('02_固定地理'!$A$2:$A$501,'02_固定地理'!A173)&gt;1),"ID重复；",""),"")</f>
        <v/>
      </c>
      <c r="G173" s="14">
        <f>IF(F173&lt;&gt;"","按字段批注、数据字典和来源记录修正后复核","")</f>
        <v/>
      </c>
      <c r="H173" s="14">
        <f>IF(F173&lt;&gt;"","待处理","")</f>
        <v/>
      </c>
    </row>
    <row r="174">
      <c r="A174" s="14">
        <f>IF(F174&lt;&gt;"","ISSUE-"&amp;TEXT(ROW()-1,"00000"),"")</f>
        <v/>
      </c>
      <c r="B174" s="14">
        <f>IF(F174&lt;&gt;"","错误","")</f>
        <v/>
      </c>
      <c r="C174" s="14">
        <f>IF('02_固定地理'!A174&lt;&gt;"","02_固定地理","")</f>
        <v/>
      </c>
      <c r="D174" s="14">
        <f>IF('02_固定地理'!A174&lt;&gt;"",'02_固定地理'!A174,"")</f>
        <v/>
      </c>
      <c r="E174" s="14">
        <f>IF(F174&lt;&gt;"","综合校验","")</f>
        <v/>
      </c>
      <c r="F174" s="14">
        <f>IF('02_固定地理'!A174&lt;&gt;"",IF('02_固定地理'!A174="","缺少对象ID；","")&amp;IF('02_固定地理'!B174="","缺少中文名称；","")&amp;IF('02_固定地理'!D174="","缺少对象类型；","")&amp;IF(AND('02_固定地理'!F174&lt;&gt;"",OR('02_固定地理'!F174&lt;0,'02_固定地理'!F174&gt;WorldWidth)),"世界中心X越界；","")&amp;IF(AND('02_固定地理'!G174&lt;&gt;"",OR('02_固定地理'!G174&lt;0,'02_固定地理'!G174&gt;WorldHeight)),"世界中心Y越界；","")&amp;IF(AND('02_固定地理'!H174&lt;&gt;"",'02_固定地理'!J174&lt;&gt;"",'02_固定地理'!H174&gt;'02_固定地理'!J174),"最小X大于最大X；","")&amp;IF(AND('02_固定地理'!I174&lt;&gt;"",'02_固定地理'!K174&lt;&gt;"",'02_固定地理'!I174&gt;'02_固定地理'!K174),"最小Y大于最大Y；","")&amp;IF(AND('02_固定地理'!E174&lt;&gt;"",COUNTIF('02_固定地理'!$A$2:$A$501,'02_固定地理'!E174)=0),"父级对象不存在；","")&amp;IF(AND('02_固定地理'!A174&lt;&gt;"",COUNTIF('02_固定地理'!$A$2:$A$501,'02_固定地理'!A174)&gt;1),"ID重复；",""),"")</f>
        <v/>
      </c>
      <c r="G174" s="14">
        <f>IF(F174&lt;&gt;"","按字段批注、数据字典和来源记录修正后复核","")</f>
        <v/>
      </c>
      <c r="H174" s="14">
        <f>IF(F174&lt;&gt;"","待处理","")</f>
        <v/>
      </c>
    </row>
    <row r="175">
      <c r="A175" s="14">
        <f>IF(F175&lt;&gt;"","ISSUE-"&amp;TEXT(ROW()-1,"00000"),"")</f>
        <v/>
      </c>
      <c r="B175" s="14">
        <f>IF(F175&lt;&gt;"","错误","")</f>
        <v/>
      </c>
      <c r="C175" s="14">
        <f>IF('02_固定地理'!A175&lt;&gt;"","02_固定地理","")</f>
        <v/>
      </c>
      <c r="D175" s="14">
        <f>IF('02_固定地理'!A175&lt;&gt;"",'02_固定地理'!A175,"")</f>
        <v/>
      </c>
      <c r="E175" s="14">
        <f>IF(F175&lt;&gt;"","综合校验","")</f>
        <v/>
      </c>
      <c r="F175" s="14">
        <f>IF('02_固定地理'!A175&lt;&gt;"",IF('02_固定地理'!A175="","缺少对象ID；","")&amp;IF('02_固定地理'!B175="","缺少中文名称；","")&amp;IF('02_固定地理'!D175="","缺少对象类型；","")&amp;IF(AND('02_固定地理'!F175&lt;&gt;"",OR('02_固定地理'!F175&lt;0,'02_固定地理'!F175&gt;WorldWidth)),"世界中心X越界；","")&amp;IF(AND('02_固定地理'!G175&lt;&gt;"",OR('02_固定地理'!G175&lt;0,'02_固定地理'!G175&gt;WorldHeight)),"世界中心Y越界；","")&amp;IF(AND('02_固定地理'!H175&lt;&gt;"",'02_固定地理'!J175&lt;&gt;"",'02_固定地理'!H175&gt;'02_固定地理'!J175),"最小X大于最大X；","")&amp;IF(AND('02_固定地理'!I175&lt;&gt;"",'02_固定地理'!K175&lt;&gt;"",'02_固定地理'!I175&gt;'02_固定地理'!K175),"最小Y大于最大Y；","")&amp;IF(AND('02_固定地理'!E175&lt;&gt;"",COUNTIF('02_固定地理'!$A$2:$A$501,'02_固定地理'!E175)=0),"父级对象不存在；","")&amp;IF(AND('02_固定地理'!A175&lt;&gt;"",COUNTIF('02_固定地理'!$A$2:$A$501,'02_固定地理'!A175)&gt;1),"ID重复；",""),"")</f>
        <v/>
      </c>
      <c r="G175" s="14">
        <f>IF(F175&lt;&gt;"","按字段批注、数据字典和来源记录修正后复核","")</f>
        <v/>
      </c>
      <c r="H175" s="14">
        <f>IF(F175&lt;&gt;"","待处理","")</f>
        <v/>
      </c>
    </row>
    <row r="176">
      <c r="A176" s="14">
        <f>IF(F176&lt;&gt;"","ISSUE-"&amp;TEXT(ROW()-1,"00000"),"")</f>
        <v/>
      </c>
      <c r="B176" s="14">
        <f>IF(F176&lt;&gt;"","错误","")</f>
        <v/>
      </c>
      <c r="C176" s="14">
        <f>IF('02_固定地理'!A176&lt;&gt;"","02_固定地理","")</f>
        <v/>
      </c>
      <c r="D176" s="14">
        <f>IF('02_固定地理'!A176&lt;&gt;"",'02_固定地理'!A176,"")</f>
        <v/>
      </c>
      <c r="E176" s="14">
        <f>IF(F176&lt;&gt;"","综合校验","")</f>
        <v/>
      </c>
      <c r="F176" s="14">
        <f>IF('02_固定地理'!A176&lt;&gt;"",IF('02_固定地理'!A176="","缺少对象ID；","")&amp;IF('02_固定地理'!B176="","缺少中文名称；","")&amp;IF('02_固定地理'!D176="","缺少对象类型；","")&amp;IF(AND('02_固定地理'!F176&lt;&gt;"",OR('02_固定地理'!F176&lt;0,'02_固定地理'!F176&gt;WorldWidth)),"世界中心X越界；","")&amp;IF(AND('02_固定地理'!G176&lt;&gt;"",OR('02_固定地理'!G176&lt;0,'02_固定地理'!G176&gt;WorldHeight)),"世界中心Y越界；","")&amp;IF(AND('02_固定地理'!H176&lt;&gt;"",'02_固定地理'!J176&lt;&gt;"",'02_固定地理'!H176&gt;'02_固定地理'!J176),"最小X大于最大X；","")&amp;IF(AND('02_固定地理'!I176&lt;&gt;"",'02_固定地理'!K176&lt;&gt;"",'02_固定地理'!I176&gt;'02_固定地理'!K176),"最小Y大于最大Y；","")&amp;IF(AND('02_固定地理'!E176&lt;&gt;"",COUNTIF('02_固定地理'!$A$2:$A$501,'02_固定地理'!E176)=0),"父级对象不存在；","")&amp;IF(AND('02_固定地理'!A176&lt;&gt;"",COUNTIF('02_固定地理'!$A$2:$A$501,'02_固定地理'!A176)&gt;1),"ID重复；",""),"")</f>
        <v/>
      </c>
      <c r="G176" s="14">
        <f>IF(F176&lt;&gt;"","按字段批注、数据字典和来源记录修正后复核","")</f>
        <v/>
      </c>
      <c r="H176" s="14">
        <f>IF(F176&lt;&gt;"","待处理","")</f>
        <v/>
      </c>
    </row>
    <row r="177">
      <c r="A177" s="14">
        <f>IF(F177&lt;&gt;"","ISSUE-"&amp;TEXT(ROW()-1,"00000"),"")</f>
        <v/>
      </c>
      <c r="B177" s="14">
        <f>IF(F177&lt;&gt;"","错误","")</f>
        <v/>
      </c>
      <c r="C177" s="14">
        <f>IF('02_固定地理'!A177&lt;&gt;"","02_固定地理","")</f>
        <v/>
      </c>
      <c r="D177" s="14">
        <f>IF('02_固定地理'!A177&lt;&gt;"",'02_固定地理'!A177,"")</f>
        <v/>
      </c>
      <c r="E177" s="14">
        <f>IF(F177&lt;&gt;"","综合校验","")</f>
        <v/>
      </c>
      <c r="F177" s="14">
        <f>IF('02_固定地理'!A177&lt;&gt;"",IF('02_固定地理'!A177="","缺少对象ID；","")&amp;IF('02_固定地理'!B177="","缺少中文名称；","")&amp;IF('02_固定地理'!D177="","缺少对象类型；","")&amp;IF(AND('02_固定地理'!F177&lt;&gt;"",OR('02_固定地理'!F177&lt;0,'02_固定地理'!F177&gt;WorldWidth)),"世界中心X越界；","")&amp;IF(AND('02_固定地理'!G177&lt;&gt;"",OR('02_固定地理'!G177&lt;0,'02_固定地理'!G177&gt;WorldHeight)),"世界中心Y越界；","")&amp;IF(AND('02_固定地理'!H177&lt;&gt;"",'02_固定地理'!J177&lt;&gt;"",'02_固定地理'!H177&gt;'02_固定地理'!J177),"最小X大于最大X；","")&amp;IF(AND('02_固定地理'!I177&lt;&gt;"",'02_固定地理'!K177&lt;&gt;"",'02_固定地理'!I177&gt;'02_固定地理'!K177),"最小Y大于最大Y；","")&amp;IF(AND('02_固定地理'!E177&lt;&gt;"",COUNTIF('02_固定地理'!$A$2:$A$501,'02_固定地理'!E177)=0),"父级对象不存在；","")&amp;IF(AND('02_固定地理'!A177&lt;&gt;"",COUNTIF('02_固定地理'!$A$2:$A$501,'02_固定地理'!A177)&gt;1),"ID重复；",""),"")</f>
        <v/>
      </c>
      <c r="G177" s="14">
        <f>IF(F177&lt;&gt;"","按字段批注、数据字典和来源记录修正后复核","")</f>
        <v/>
      </c>
      <c r="H177" s="14">
        <f>IF(F177&lt;&gt;"","待处理","")</f>
        <v/>
      </c>
    </row>
    <row r="178">
      <c r="A178" s="14">
        <f>IF(F178&lt;&gt;"","ISSUE-"&amp;TEXT(ROW()-1,"00000"),"")</f>
        <v/>
      </c>
      <c r="B178" s="14">
        <f>IF(F178&lt;&gt;"","错误","")</f>
        <v/>
      </c>
      <c r="C178" s="14">
        <f>IF('02_固定地理'!A178&lt;&gt;"","02_固定地理","")</f>
        <v/>
      </c>
      <c r="D178" s="14">
        <f>IF('02_固定地理'!A178&lt;&gt;"",'02_固定地理'!A178,"")</f>
        <v/>
      </c>
      <c r="E178" s="14">
        <f>IF(F178&lt;&gt;"","综合校验","")</f>
        <v/>
      </c>
      <c r="F178" s="14">
        <f>IF('02_固定地理'!A178&lt;&gt;"",IF('02_固定地理'!A178="","缺少对象ID；","")&amp;IF('02_固定地理'!B178="","缺少中文名称；","")&amp;IF('02_固定地理'!D178="","缺少对象类型；","")&amp;IF(AND('02_固定地理'!F178&lt;&gt;"",OR('02_固定地理'!F178&lt;0,'02_固定地理'!F178&gt;WorldWidth)),"世界中心X越界；","")&amp;IF(AND('02_固定地理'!G178&lt;&gt;"",OR('02_固定地理'!G178&lt;0,'02_固定地理'!G178&gt;WorldHeight)),"世界中心Y越界；","")&amp;IF(AND('02_固定地理'!H178&lt;&gt;"",'02_固定地理'!J178&lt;&gt;"",'02_固定地理'!H178&gt;'02_固定地理'!J178),"最小X大于最大X；","")&amp;IF(AND('02_固定地理'!I178&lt;&gt;"",'02_固定地理'!K178&lt;&gt;"",'02_固定地理'!I178&gt;'02_固定地理'!K178),"最小Y大于最大Y；","")&amp;IF(AND('02_固定地理'!E178&lt;&gt;"",COUNTIF('02_固定地理'!$A$2:$A$501,'02_固定地理'!E178)=0),"父级对象不存在；","")&amp;IF(AND('02_固定地理'!A178&lt;&gt;"",COUNTIF('02_固定地理'!$A$2:$A$501,'02_固定地理'!A178)&gt;1),"ID重复；",""),"")</f>
        <v/>
      </c>
      <c r="G178" s="14">
        <f>IF(F178&lt;&gt;"","按字段批注、数据字典和来源记录修正后复核","")</f>
        <v/>
      </c>
      <c r="H178" s="14">
        <f>IF(F178&lt;&gt;"","待处理","")</f>
        <v/>
      </c>
    </row>
    <row r="179">
      <c r="A179" s="14">
        <f>IF(F179&lt;&gt;"","ISSUE-"&amp;TEXT(ROW()-1,"00000"),"")</f>
        <v/>
      </c>
      <c r="B179" s="14">
        <f>IF(F179&lt;&gt;"","错误","")</f>
        <v/>
      </c>
      <c r="C179" s="14">
        <f>IF('02_固定地理'!A179&lt;&gt;"","02_固定地理","")</f>
        <v/>
      </c>
      <c r="D179" s="14">
        <f>IF('02_固定地理'!A179&lt;&gt;"",'02_固定地理'!A179,"")</f>
        <v/>
      </c>
      <c r="E179" s="14">
        <f>IF(F179&lt;&gt;"","综合校验","")</f>
        <v/>
      </c>
      <c r="F179" s="14">
        <f>IF('02_固定地理'!A179&lt;&gt;"",IF('02_固定地理'!A179="","缺少对象ID；","")&amp;IF('02_固定地理'!B179="","缺少中文名称；","")&amp;IF('02_固定地理'!D179="","缺少对象类型；","")&amp;IF(AND('02_固定地理'!F179&lt;&gt;"",OR('02_固定地理'!F179&lt;0,'02_固定地理'!F179&gt;WorldWidth)),"世界中心X越界；","")&amp;IF(AND('02_固定地理'!G179&lt;&gt;"",OR('02_固定地理'!G179&lt;0,'02_固定地理'!G179&gt;WorldHeight)),"世界中心Y越界；","")&amp;IF(AND('02_固定地理'!H179&lt;&gt;"",'02_固定地理'!J179&lt;&gt;"",'02_固定地理'!H179&gt;'02_固定地理'!J179),"最小X大于最大X；","")&amp;IF(AND('02_固定地理'!I179&lt;&gt;"",'02_固定地理'!K179&lt;&gt;"",'02_固定地理'!I179&gt;'02_固定地理'!K179),"最小Y大于最大Y；","")&amp;IF(AND('02_固定地理'!E179&lt;&gt;"",COUNTIF('02_固定地理'!$A$2:$A$501,'02_固定地理'!E179)=0),"父级对象不存在；","")&amp;IF(AND('02_固定地理'!A179&lt;&gt;"",COUNTIF('02_固定地理'!$A$2:$A$501,'02_固定地理'!A179)&gt;1),"ID重复；",""),"")</f>
        <v/>
      </c>
      <c r="G179" s="14">
        <f>IF(F179&lt;&gt;"","按字段批注、数据字典和来源记录修正后复核","")</f>
        <v/>
      </c>
      <c r="H179" s="14">
        <f>IF(F179&lt;&gt;"","待处理","")</f>
        <v/>
      </c>
    </row>
    <row r="180">
      <c r="A180" s="14">
        <f>IF(F180&lt;&gt;"","ISSUE-"&amp;TEXT(ROW()-1,"00000"),"")</f>
        <v/>
      </c>
      <c r="B180" s="14">
        <f>IF(F180&lt;&gt;"","错误","")</f>
        <v/>
      </c>
      <c r="C180" s="14">
        <f>IF('02_固定地理'!A180&lt;&gt;"","02_固定地理","")</f>
        <v/>
      </c>
      <c r="D180" s="14">
        <f>IF('02_固定地理'!A180&lt;&gt;"",'02_固定地理'!A180,"")</f>
        <v/>
      </c>
      <c r="E180" s="14">
        <f>IF(F180&lt;&gt;"","综合校验","")</f>
        <v/>
      </c>
      <c r="F180" s="14">
        <f>IF('02_固定地理'!A180&lt;&gt;"",IF('02_固定地理'!A180="","缺少对象ID；","")&amp;IF('02_固定地理'!B180="","缺少中文名称；","")&amp;IF('02_固定地理'!D180="","缺少对象类型；","")&amp;IF(AND('02_固定地理'!F180&lt;&gt;"",OR('02_固定地理'!F180&lt;0,'02_固定地理'!F180&gt;WorldWidth)),"世界中心X越界；","")&amp;IF(AND('02_固定地理'!G180&lt;&gt;"",OR('02_固定地理'!G180&lt;0,'02_固定地理'!G180&gt;WorldHeight)),"世界中心Y越界；","")&amp;IF(AND('02_固定地理'!H180&lt;&gt;"",'02_固定地理'!J180&lt;&gt;"",'02_固定地理'!H180&gt;'02_固定地理'!J180),"最小X大于最大X；","")&amp;IF(AND('02_固定地理'!I180&lt;&gt;"",'02_固定地理'!K180&lt;&gt;"",'02_固定地理'!I180&gt;'02_固定地理'!K180),"最小Y大于最大Y；","")&amp;IF(AND('02_固定地理'!E180&lt;&gt;"",COUNTIF('02_固定地理'!$A$2:$A$501,'02_固定地理'!E180)=0),"父级对象不存在；","")&amp;IF(AND('02_固定地理'!A180&lt;&gt;"",COUNTIF('02_固定地理'!$A$2:$A$501,'02_固定地理'!A180)&gt;1),"ID重复；",""),"")</f>
        <v/>
      </c>
      <c r="G180" s="14">
        <f>IF(F180&lt;&gt;"","按字段批注、数据字典和来源记录修正后复核","")</f>
        <v/>
      </c>
      <c r="H180" s="14">
        <f>IF(F180&lt;&gt;"","待处理","")</f>
        <v/>
      </c>
    </row>
    <row r="181">
      <c r="A181" s="14">
        <f>IF(F181&lt;&gt;"","ISSUE-"&amp;TEXT(ROW()-1,"00000"),"")</f>
        <v/>
      </c>
      <c r="B181" s="14">
        <f>IF(F181&lt;&gt;"","错误","")</f>
        <v/>
      </c>
      <c r="C181" s="14">
        <f>IF('02_固定地理'!A181&lt;&gt;"","02_固定地理","")</f>
        <v/>
      </c>
      <c r="D181" s="14">
        <f>IF('02_固定地理'!A181&lt;&gt;"",'02_固定地理'!A181,"")</f>
        <v/>
      </c>
      <c r="E181" s="14">
        <f>IF(F181&lt;&gt;"","综合校验","")</f>
        <v/>
      </c>
      <c r="F181" s="14">
        <f>IF('02_固定地理'!A181&lt;&gt;"",IF('02_固定地理'!A181="","缺少对象ID；","")&amp;IF('02_固定地理'!B181="","缺少中文名称；","")&amp;IF('02_固定地理'!D181="","缺少对象类型；","")&amp;IF(AND('02_固定地理'!F181&lt;&gt;"",OR('02_固定地理'!F181&lt;0,'02_固定地理'!F181&gt;WorldWidth)),"世界中心X越界；","")&amp;IF(AND('02_固定地理'!G181&lt;&gt;"",OR('02_固定地理'!G181&lt;0,'02_固定地理'!G181&gt;WorldHeight)),"世界中心Y越界；","")&amp;IF(AND('02_固定地理'!H181&lt;&gt;"",'02_固定地理'!J181&lt;&gt;"",'02_固定地理'!H181&gt;'02_固定地理'!J181),"最小X大于最大X；","")&amp;IF(AND('02_固定地理'!I181&lt;&gt;"",'02_固定地理'!K181&lt;&gt;"",'02_固定地理'!I181&gt;'02_固定地理'!K181),"最小Y大于最大Y；","")&amp;IF(AND('02_固定地理'!E181&lt;&gt;"",COUNTIF('02_固定地理'!$A$2:$A$501,'02_固定地理'!E181)=0),"父级对象不存在；","")&amp;IF(AND('02_固定地理'!A181&lt;&gt;"",COUNTIF('02_固定地理'!$A$2:$A$501,'02_固定地理'!A181)&gt;1),"ID重复；",""),"")</f>
        <v/>
      </c>
      <c r="G181" s="14">
        <f>IF(F181&lt;&gt;"","按字段批注、数据字典和来源记录修正后复核","")</f>
        <v/>
      </c>
      <c r="H181" s="14">
        <f>IF(F181&lt;&gt;"","待处理","")</f>
        <v/>
      </c>
    </row>
    <row r="182">
      <c r="A182" s="14">
        <f>IF(F182&lt;&gt;"","ISSUE-"&amp;TEXT(ROW()-1,"00000"),"")</f>
        <v/>
      </c>
      <c r="B182" s="14">
        <f>IF(F182&lt;&gt;"","错误","")</f>
        <v/>
      </c>
      <c r="C182" s="14">
        <f>IF('02_固定地理'!A182&lt;&gt;"","02_固定地理","")</f>
        <v/>
      </c>
      <c r="D182" s="14">
        <f>IF('02_固定地理'!A182&lt;&gt;"",'02_固定地理'!A182,"")</f>
        <v/>
      </c>
      <c r="E182" s="14">
        <f>IF(F182&lt;&gt;"","综合校验","")</f>
        <v/>
      </c>
      <c r="F182" s="14">
        <f>IF('02_固定地理'!A182&lt;&gt;"",IF('02_固定地理'!A182="","缺少对象ID；","")&amp;IF('02_固定地理'!B182="","缺少中文名称；","")&amp;IF('02_固定地理'!D182="","缺少对象类型；","")&amp;IF(AND('02_固定地理'!F182&lt;&gt;"",OR('02_固定地理'!F182&lt;0,'02_固定地理'!F182&gt;WorldWidth)),"世界中心X越界；","")&amp;IF(AND('02_固定地理'!G182&lt;&gt;"",OR('02_固定地理'!G182&lt;0,'02_固定地理'!G182&gt;WorldHeight)),"世界中心Y越界；","")&amp;IF(AND('02_固定地理'!H182&lt;&gt;"",'02_固定地理'!J182&lt;&gt;"",'02_固定地理'!H182&gt;'02_固定地理'!J182),"最小X大于最大X；","")&amp;IF(AND('02_固定地理'!I182&lt;&gt;"",'02_固定地理'!K182&lt;&gt;"",'02_固定地理'!I182&gt;'02_固定地理'!K182),"最小Y大于最大Y；","")&amp;IF(AND('02_固定地理'!E182&lt;&gt;"",COUNTIF('02_固定地理'!$A$2:$A$501,'02_固定地理'!E182)=0),"父级对象不存在；","")&amp;IF(AND('02_固定地理'!A182&lt;&gt;"",COUNTIF('02_固定地理'!$A$2:$A$501,'02_固定地理'!A182)&gt;1),"ID重复；",""),"")</f>
        <v/>
      </c>
      <c r="G182" s="14">
        <f>IF(F182&lt;&gt;"","按字段批注、数据字典和来源记录修正后复核","")</f>
        <v/>
      </c>
      <c r="H182" s="14">
        <f>IF(F182&lt;&gt;"","待处理","")</f>
        <v/>
      </c>
    </row>
    <row r="183">
      <c r="A183" s="14">
        <f>IF(F183&lt;&gt;"","ISSUE-"&amp;TEXT(ROW()-1,"00000"),"")</f>
        <v/>
      </c>
      <c r="B183" s="14">
        <f>IF(F183&lt;&gt;"","错误","")</f>
        <v/>
      </c>
      <c r="C183" s="14">
        <f>IF('02_固定地理'!A183&lt;&gt;"","02_固定地理","")</f>
        <v/>
      </c>
      <c r="D183" s="14">
        <f>IF('02_固定地理'!A183&lt;&gt;"",'02_固定地理'!A183,"")</f>
        <v/>
      </c>
      <c r="E183" s="14">
        <f>IF(F183&lt;&gt;"","综合校验","")</f>
        <v/>
      </c>
      <c r="F183" s="14">
        <f>IF('02_固定地理'!A183&lt;&gt;"",IF('02_固定地理'!A183="","缺少对象ID；","")&amp;IF('02_固定地理'!B183="","缺少中文名称；","")&amp;IF('02_固定地理'!D183="","缺少对象类型；","")&amp;IF(AND('02_固定地理'!F183&lt;&gt;"",OR('02_固定地理'!F183&lt;0,'02_固定地理'!F183&gt;WorldWidth)),"世界中心X越界；","")&amp;IF(AND('02_固定地理'!G183&lt;&gt;"",OR('02_固定地理'!G183&lt;0,'02_固定地理'!G183&gt;WorldHeight)),"世界中心Y越界；","")&amp;IF(AND('02_固定地理'!H183&lt;&gt;"",'02_固定地理'!J183&lt;&gt;"",'02_固定地理'!H183&gt;'02_固定地理'!J183),"最小X大于最大X；","")&amp;IF(AND('02_固定地理'!I183&lt;&gt;"",'02_固定地理'!K183&lt;&gt;"",'02_固定地理'!I183&gt;'02_固定地理'!K183),"最小Y大于最大Y；","")&amp;IF(AND('02_固定地理'!E183&lt;&gt;"",COUNTIF('02_固定地理'!$A$2:$A$501,'02_固定地理'!E183)=0),"父级对象不存在；","")&amp;IF(AND('02_固定地理'!A183&lt;&gt;"",COUNTIF('02_固定地理'!$A$2:$A$501,'02_固定地理'!A183)&gt;1),"ID重复；",""),"")</f>
        <v/>
      </c>
      <c r="G183" s="14">
        <f>IF(F183&lt;&gt;"","按字段批注、数据字典和来源记录修正后复核","")</f>
        <v/>
      </c>
      <c r="H183" s="14">
        <f>IF(F183&lt;&gt;"","待处理","")</f>
        <v/>
      </c>
    </row>
    <row r="184">
      <c r="A184" s="14">
        <f>IF(F184&lt;&gt;"","ISSUE-"&amp;TEXT(ROW()-1,"00000"),"")</f>
        <v/>
      </c>
      <c r="B184" s="14">
        <f>IF(F184&lt;&gt;"","错误","")</f>
        <v/>
      </c>
      <c r="C184" s="14">
        <f>IF('02_固定地理'!A184&lt;&gt;"","02_固定地理","")</f>
        <v/>
      </c>
      <c r="D184" s="14">
        <f>IF('02_固定地理'!A184&lt;&gt;"",'02_固定地理'!A184,"")</f>
        <v/>
      </c>
      <c r="E184" s="14">
        <f>IF(F184&lt;&gt;"","综合校验","")</f>
        <v/>
      </c>
      <c r="F184" s="14">
        <f>IF('02_固定地理'!A184&lt;&gt;"",IF('02_固定地理'!A184="","缺少对象ID；","")&amp;IF('02_固定地理'!B184="","缺少中文名称；","")&amp;IF('02_固定地理'!D184="","缺少对象类型；","")&amp;IF(AND('02_固定地理'!F184&lt;&gt;"",OR('02_固定地理'!F184&lt;0,'02_固定地理'!F184&gt;WorldWidth)),"世界中心X越界；","")&amp;IF(AND('02_固定地理'!G184&lt;&gt;"",OR('02_固定地理'!G184&lt;0,'02_固定地理'!G184&gt;WorldHeight)),"世界中心Y越界；","")&amp;IF(AND('02_固定地理'!H184&lt;&gt;"",'02_固定地理'!J184&lt;&gt;"",'02_固定地理'!H184&gt;'02_固定地理'!J184),"最小X大于最大X；","")&amp;IF(AND('02_固定地理'!I184&lt;&gt;"",'02_固定地理'!K184&lt;&gt;"",'02_固定地理'!I184&gt;'02_固定地理'!K184),"最小Y大于最大Y；","")&amp;IF(AND('02_固定地理'!E184&lt;&gt;"",COUNTIF('02_固定地理'!$A$2:$A$501,'02_固定地理'!E184)=0),"父级对象不存在；","")&amp;IF(AND('02_固定地理'!A184&lt;&gt;"",COUNTIF('02_固定地理'!$A$2:$A$501,'02_固定地理'!A184)&gt;1),"ID重复；",""),"")</f>
        <v/>
      </c>
      <c r="G184" s="14">
        <f>IF(F184&lt;&gt;"","按字段批注、数据字典和来源记录修正后复核","")</f>
        <v/>
      </c>
      <c r="H184" s="14">
        <f>IF(F184&lt;&gt;"","待处理","")</f>
        <v/>
      </c>
    </row>
    <row r="185">
      <c r="A185" s="14">
        <f>IF(F185&lt;&gt;"","ISSUE-"&amp;TEXT(ROW()-1,"00000"),"")</f>
        <v/>
      </c>
      <c r="B185" s="14">
        <f>IF(F185&lt;&gt;"","错误","")</f>
        <v/>
      </c>
      <c r="C185" s="14">
        <f>IF('02_固定地理'!A185&lt;&gt;"","02_固定地理","")</f>
        <v/>
      </c>
      <c r="D185" s="14">
        <f>IF('02_固定地理'!A185&lt;&gt;"",'02_固定地理'!A185,"")</f>
        <v/>
      </c>
      <c r="E185" s="14">
        <f>IF(F185&lt;&gt;"","综合校验","")</f>
        <v/>
      </c>
      <c r="F185" s="14">
        <f>IF('02_固定地理'!A185&lt;&gt;"",IF('02_固定地理'!A185="","缺少对象ID；","")&amp;IF('02_固定地理'!B185="","缺少中文名称；","")&amp;IF('02_固定地理'!D185="","缺少对象类型；","")&amp;IF(AND('02_固定地理'!F185&lt;&gt;"",OR('02_固定地理'!F185&lt;0,'02_固定地理'!F185&gt;WorldWidth)),"世界中心X越界；","")&amp;IF(AND('02_固定地理'!G185&lt;&gt;"",OR('02_固定地理'!G185&lt;0,'02_固定地理'!G185&gt;WorldHeight)),"世界中心Y越界；","")&amp;IF(AND('02_固定地理'!H185&lt;&gt;"",'02_固定地理'!J185&lt;&gt;"",'02_固定地理'!H185&gt;'02_固定地理'!J185),"最小X大于最大X；","")&amp;IF(AND('02_固定地理'!I185&lt;&gt;"",'02_固定地理'!K185&lt;&gt;"",'02_固定地理'!I185&gt;'02_固定地理'!K185),"最小Y大于最大Y；","")&amp;IF(AND('02_固定地理'!E185&lt;&gt;"",COUNTIF('02_固定地理'!$A$2:$A$501,'02_固定地理'!E185)=0),"父级对象不存在；","")&amp;IF(AND('02_固定地理'!A185&lt;&gt;"",COUNTIF('02_固定地理'!$A$2:$A$501,'02_固定地理'!A185)&gt;1),"ID重复；",""),"")</f>
        <v/>
      </c>
      <c r="G185" s="14">
        <f>IF(F185&lt;&gt;"","按字段批注、数据字典和来源记录修正后复核","")</f>
        <v/>
      </c>
      <c r="H185" s="14">
        <f>IF(F185&lt;&gt;"","待处理","")</f>
        <v/>
      </c>
    </row>
    <row r="186">
      <c r="A186" s="14">
        <f>IF(F186&lt;&gt;"","ISSUE-"&amp;TEXT(ROW()-1,"00000"),"")</f>
        <v/>
      </c>
      <c r="B186" s="14">
        <f>IF(F186&lt;&gt;"","错误","")</f>
        <v/>
      </c>
      <c r="C186" s="14">
        <f>IF('02_固定地理'!A186&lt;&gt;"","02_固定地理","")</f>
        <v/>
      </c>
      <c r="D186" s="14">
        <f>IF('02_固定地理'!A186&lt;&gt;"",'02_固定地理'!A186,"")</f>
        <v/>
      </c>
      <c r="E186" s="14">
        <f>IF(F186&lt;&gt;"","综合校验","")</f>
        <v/>
      </c>
      <c r="F186" s="14">
        <f>IF('02_固定地理'!A186&lt;&gt;"",IF('02_固定地理'!A186="","缺少对象ID；","")&amp;IF('02_固定地理'!B186="","缺少中文名称；","")&amp;IF('02_固定地理'!D186="","缺少对象类型；","")&amp;IF(AND('02_固定地理'!F186&lt;&gt;"",OR('02_固定地理'!F186&lt;0,'02_固定地理'!F186&gt;WorldWidth)),"世界中心X越界；","")&amp;IF(AND('02_固定地理'!G186&lt;&gt;"",OR('02_固定地理'!G186&lt;0,'02_固定地理'!G186&gt;WorldHeight)),"世界中心Y越界；","")&amp;IF(AND('02_固定地理'!H186&lt;&gt;"",'02_固定地理'!J186&lt;&gt;"",'02_固定地理'!H186&gt;'02_固定地理'!J186),"最小X大于最大X；","")&amp;IF(AND('02_固定地理'!I186&lt;&gt;"",'02_固定地理'!K186&lt;&gt;"",'02_固定地理'!I186&gt;'02_固定地理'!K186),"最小Y大于最大Y；","")&amp;IF(AND('02_固定地理'!E186&lt;&gt;"",COUNTIF('02_固定地理'!$A$2:$A$501,'02_固定地理'!E186)=0),"父级对象不存在；","")&amp;IF(AND('02_固定地理'!A186&lt;&gt;"",COUNTIF('02_固定地理'!$A$2:$A$501,'02_固定地理'!A186)&gt;1),"ID重复；",""),"")</f>
        <v/>
      </c>
      <c r="G186" s="14">
        <f>IF(F186&lt;&gt;"","按字段批注、数据字典和来源记录修正后复核","")</f>
        <v/>
      </c>
      <c r="H186" s="14">
        <f>IF(F186&lt;&gt;"","待处理","")</f>
        <v/>
      </c>
    </row>
    <row r="187">
      <c r="A187" s="14">
        <f>IF(F187&lt;&gt;"","ISSUE-"&amp;TEXT(ROW()-1,"00000"),"")</f>
        <v/>
      </c>
      <c r="B187" s="14">
        <f>IF(F187&lt;&gt;"","错误","")</f>
        <v/>
      </c>
      <c r="C187" s="14">
        <f>IF('02_固定地理'!A187&lt;&gt;"","02_固定地理","")</f>
        <v/>
      </c>
      <c r="D187" s="14">
        <f>IF('02_固定地理'!A187&lt;&gt;"",'02_固定地理'!A187,"")</f>
        <v/>
      </c>
      <c r="E187" s="14">
        <f>IF(F187&lt;&gt;"","综合校验","")</f>
        <v/>
      </c>
      <c r="F187" s="14">
        <f>IF('02_固定地理'!A187&lt;&gt;"",IF('02_固定地理'!A187="","缺少对象ID；","")&amp;IF('02_固定地理'!B187="","缺少中文名称；","")&amp;IF('02_固定地理'!D187="","缺少对象类型；","")&amp;IF(AND('02_固定地理'!F187&lt;&gt;"",OR('02_固定地理'!F187&lt;0,'02_固定地理'!F187&gt;WorldWidth)),"世界中心X越界；","")&amp;IF(AND('02_固定地理'!G187&lt;&gt;"",OR('02_固定地理'!G187&lt;0,'02_固定地理'!G187&gt;WorldHeight)),"世界中心Y越界；","")&amp;IF(AND('02_固定地理'!H187&lt;&gt;"",'02_固定地理'!J187&lt;&gt;"",'02_固定地理'!H187&gt;'02_固定地理'!J187),"最小X大于最大X；","")&amp;IF(AND('02_固定地理'!I187&lt;&gt;"",'02_固定地理'!K187&lt;&gt;"",'02_固定地理'!I187&gt;'02_固定地理'!K187),"最小Y大于最大Y；","")&amp;IF(AND('02_固定地理'!E187&lt;&gt;"",COUNTIF('02_固定地理'!$A$2:$A$501,'02_固定地理'!E187)=0),"父级对象不存在；","")&amp;IF(AND('02_固定地理'!A187&lt;&gt;"",COUNTIF('02_固定地理'!$A$2:$A$501,'02_固定地理'!A187)&gt;1),"ID重复；",""),"")</f>
        <v/>
      </c>
      <c r="G187" s="14">
        <f>IF(F187&lt;&gt;"","按字段批注、数据字典和来源记录修正后复核","")</f>
        <v/>
      </c>
      <c r="H187" s="14">
        <f>IF(F187&lt;&gt;"","待处理","")</f>
        <v/>
      </c>
    </row>
    <row r="188">
      <c r="A188" s="14">
        <f>IF(F188&lt;&gt;"","ISSUE-"&amp;TEXT(ROW()-1,"00000"),"")</f>
        <v/>
      </c>
      <c r="B188" s="14">
        <f>IF(F188&lt;&gt;"","错误","")</f>
        <v/>
      </c>
      <c r="C188" s="14">
        <f>IF('02_固定地理'!A188&lt;&gt;"","02_固定地理","")</f>
        <v/>
      </c>
      <c r="D188" s="14">
        <f>IF('02_固定地理'!A188&lt;&gt;"",'02_固定地理'!A188,"")</f>
        <v/>
      </c>
      <c r="E188" s="14">
        <f>IF(F188&lt;&gt;"","综合校验","")</f>
        <v/>
      </c>
      <c r="F188" s="14">
        <f>IF('02_固定地理'!A188&lt;&gt;"",IF('02_固定地理'!A188="","缺少对象ID；","")&amp;IF('02_固定地理'!B188="","缺少中文名称；","")&amp;IF('02_固定地理'!D188="","缺少对象类型；","")&amp;IF(AND('02_固定地理'!F188&lt;&gt;"",OR('02_固定地理'!F188&lt;0,'02_固定地理'!F188&gt;WorldWidth)),"世界中心X越界；","")&amp;IF(AND('02_固定地理'!G188&lt;&gt;"",OR('02_固定地理'!G188&lt;0,'02_固定地理'!G188&gt;WorldHeight)),"世界中心Y越界；","")&amp;IF(AND('02_固定地理'!H188&lt;&gt;"",'02_固定地理'!J188&lt;&gt;"",'02_固定地理'!H188&gt;'02_固定地理'!J188),"最小X大于最大X；","")&amp;IF(AND('02_固定地理'!I188&lt;&gt;"",'02_固定地理'!K188&lt;&gt;"",'02_固定地理'!I188&gt;'02_固定地理'!K188),"最小Y大于最大Y；","")&amp;IF(AND('02_固定地理'!E188&lt;&gt;"",COUNTIF('02_固定地理'!$A$2:$A$501,'02_固定地理'!E188)=0),"父级对象不存在；","")&amp;IF(AND('02_固定地理'!A188&lt;&gt;"",COUNTIF('02_固定地理'!$A$2:$A$501,'02_固定地理'!A188)&gt;1),"ID重复；",""),"")</f>
        <v/>
      </c>
      <c r="G188" s="14">
        <f>IF(F188&lt;&gt;"","按字段批注、数据字典和来源记录修正后复核","")</f>
        <v/>
      </c>
      <c r="H188" s="14">
        <f>IF(F188&lt;&gt;"","待处理","")</f>
        <v/>
      </c>
    </row>
    <row r="189">
      <c r="A189" s="14">
        <f>IF(F189&lt;&gt;"","ISSUE-"&amp;TEXT(ROW()-1,"00000"),"")</f>
        <v/>
      </c>
      <c r="B189" s="14">
        <f>IF(F189&lt;&gt;"","错误","")</f>
        <v/>
      </c>
      <c r="C189" s="14">
        <f>IF('02_固定地理'!A189&lt;&gt;"","02_固定地理","")</f>
        <v/>
      </c>
      <c r="D189" s="14">
        <f>IF('02_固定地理'!A189&lt;&gt;"",'02_固定地理'!A189,"")</f>
        <v/>
      </c>
      <c r="E189" s="14">
        <f>IF(F189&lt;&gt;"","综合校验","")</f>
        <v/>
      </c>
      <c r="F189" s="14">
        <f>IF('02_固定地理'!A189&lt;&gt;"",IF('02_固定地理'!A189="","缺少对象ID；","")&amp;IF('02_固定地理'!B189="","缺少中文名称；","")&amp;IF('02_固定地理'!D189="","缺少对象类型；","")&amp;IF(AND('02_固定地理'!F189&lt;&gt;"",OR('02_固定地理'!F189&lt;0,'02_固定地理'!F189&gt;WorldWidth)),"世界中心X越界；","")&amp;IF(AND('02_固定地理'!G189&lt;&gt;"",OR('02_固定地理'!G189&lt;0,'02_固定地理'!G189&gt;WorldHeight)),"世界中心Y越界；","")&amp;IF(AND('02_固定地理'!H189&lt;&gt;"",'02_固定地理'!J189&lt;&gt;"",'02_固定地理'!H189&gt;'02_固定地理'!J189),"最小X大于最大X；","")&amp;IF(AND('02_固定地理'!I189&lt;&gt;"",'02_固定地理'!K189&lt;&gt;"",'02_固定地理'!I189&gt;'02_固定地理'!K189),"最小Y大于最大Y；","")&amp;IF(AND('02_固定地理'!E189&lt;&gt;"",COUNTIF('02_固定地理'!$A$2:$A$501,'02_固定地理'!E189)=0),"父级对象不存在；","")&amp;IF(AND('02_固定地理'!A189&lt;&gt;"",COUNTIF('02_固定地理'!$A$2:$A$501,'02_固定地理'!A189)&gt;1),"ID重复；",""),"")</f>
        <v/>
      </c>
      <c r="G189" s="14">
        <f>IF(F189&lt;&gt;"","按字段批注、数据字典和来源记录修正后复核","")</f>
        <v/>
      </c>
      <c r="H189" s="14">
        <f>IF(F189&lt;&gt;"","待处理","")</f>
        <v/>
      </c>
    </row>
    <row r="190">
      <c r="A190" s="14">
        <f>IF(F190&lt;&gt;"","ISSUE-"&amp;TEXT(ROW()-1,"00000"),"")</f>
        <v/>
      </c>
      <c r="B190" s="14">
        <f>IF(F190&lt;&gt;"","错误","")</f>
        <v/>
      </c>
      <c r="C190" s="14">
        <f>IF('02_固定地理'!A190&lt;&gt;"","02_固定地理","")</f>
        <v/>
      </c>
      <c r="D190" s="14">
        <f>IF('02_固定地理'!A190&lt;&gt;"",'02_固定地理'!A190,"")</f>
        <v/>
      </c>
      <c r="E190" s="14">
        <f>IF(F190&lt;&gt;"","综合校验","")</f>
        <v/>
      </c>
      <c r="F190" s="14">
        <f>IF('02_固定地理'!A190&lt;&gt;"",IF('02_固定地理'!A190="","缺少对象ID；","")&amp;IF('02_固定地理'!B190="","缺少中文名称；","")&amp;IF('02_固定地理'!D190="","缺少对象类型；","")&amp;IF(AND('02_固定地理'!F190&lt;&gt;"",OR('02_固定地理'!F190&lt;0,'02_固定地理'!F190&gt;WorldWidth)),"世界中心X越界；","")&amp;IF(AND('02_固定地理'!G190&lt;&gt;"",OR('02_固定地理'!G190&lt;0,'02_固定地理'!G190&gt;WorldHeight)),"世界中心Y越界；","")&amp;IF(AND('02_固定地理'!H190&lt;&gt;"",'02_固定地理'!J190&lt;&gt;"",'02_固定地理'!H190&gt;'02_固定地理'!J190),"最小X大于最大X；","")&amp;IF(AND('02_固定地理'!I190&lt;&gt;"",'02_固定地理'!K190&lt;&gt;"",'02_固定地理'!I190&gt;'02_固定地理'!K190),"最小Y大于最大Y；","")&amp;IF(AND('02_固定地理'!E190&lt;&gt;"",COUNTIF('02_固定地理'!$A$2:$A$501,'02_固定地理'!E190)=0),"父级对象不存在；","")&amp;IF(AND('02_固定地理'!A190&lt;&gt;"",COUNTIF('02_固定地理'!$A$2:$A$501,'02_固定地理'!A190)&gt;1),"ID重复；",""),"")</f>
        <v/>
      </c>
      <c r="G190" s="14">
        <f>IF(F190&lt;&gt;"","按字段批注、数据字典和来源记录修正后复核","")</f>
        <v/>
      </c>
      <c r="H190" s="14">
        <f>IF(F190&lt;&gt;"","待处理","")</f>
        <v/>
      </c>
    </row>
    <row r="191">
      <c r="A191" s="14">
        <f>IF(F191&lt;&gt;"","ISSUE-"&amp;TEXT(ROW()-1,"00000"),"")</f>
        <v/>
      </c>
      <c r="B191" s="14">
        <f>IF(F191&lt;&gt;"","错误","")</f>
        <v/>
      </c>
      <c r="C191" s="14">
        <f>IF('02_固定地理'!A191&lt;&gt;"","02_固定地理","")</f>
        <v/>
      </c>
      <c r="D191" s="14">
        <f>IF('02_固定地理'!A191&lt;&gt;"",'02_固定地理'!A191,"")</f>
        <v/>
      </c>
      <c r="E191" s="14">
        <f>IF(F191&lt;&gt;"","综合校验","")</f>
        <v/>
      </c>
      <c r="F191" s="14">
        <f>IF('02_固定地理'!A191&lt;&gt;"",IF('02_固定地理'!A191="","缺少对象ID；","")&amp;IF('02_固定地理'!B191="","缺少中文名称；","")&amp;IF('02_固定地理'!D191="","缺少对象类型；","")&amp;IF(AND('02_固定地理'!F191&lt;&gt;"",OR('02_固定地理'!F191&lt;0,'02_固定地理'!F191&gt;WorldWidth)),"世界中心X越界；","")&amp;IF(AND('02_固定地理'!G191&lt;&gt;"",OR('02_固定地理'!G191&lt;0,'02_固定地理'!G191&gt;WorldHeight)),"世界中心Y越界；","")&amp;IF(AND('02_固定地理'!H191&lt;&gt;"",'02_固定地理'!J191&lt;&gt;"",'02_固定地理'!H191&gt;'02_固定地理'!J191),"最小X大于最大X；","")&amp;IF(AND('02_固定地理'!I191&lt;&gt;"",'02_固定地理'!K191&lt;&gt;"",'02_固定地理'!I191&gt;'02_固定地理'!K191),"最小Y大于最大Y；","")&amp;IF(AND('02_固定地理'!E191&lt;&gt;"",COUNTIF('02_固定地理'!$A$2:$A$501,'02_固定地理'!E191)=0),"父级对象不存在；","")&amp;IF(AND('02_固定地理'!A191&lt;&gt;"",COUNTIF('02_固定地理'!$A$2:$A$501,'02_固定地理'!A191)&gt;1),"ID重复；",""),"")</f>
        <v/>
      </c>
      <c r="G191" s="14">
        <f>IF(F191&lt;&gt;"","按字段批注、数据字典和来源记录修正后复核","")</f>
        <v/>
      </c>
      <c r="H191" s="14">
        <f>IF(F191&lt;&gt;"","待处理","")</f>
        <v/>
      </c>
    </row>
    <row r="192">
      <c r="A192" s="14">
        <f>IF(F192&lt;&gt;"","ISSUE-"&amp;TEXT(ROW()-1,"00000"),"")</f>
        <v/>
      </c>
      <c r="B192" s="14">
        <f>IF(F192&lt;&gt;"","错误","")</f>
        <v/>
      </c>
      <c r="C192" s="14">
        <f>IF('02_固定地理'!A192&lt;&gt;"","02_固定地理","")</f>
        <v/>
      </c>
      <c r="D192" s="14">
        <f>IF('02_固定地理'!A192&lt;&gt;"",'02_固定地理'!A192,"")</f>
        <v/>
      </c>
      <c r="E192" s="14">
        <f>IF(F192&lt;&gt;"","综合校验","")</f>
        <v/>
      </c>
      <c r="F192" s="14">
        <f>IF('02_固定地理'!A192&lt;&gt;"",IF('02_固定地理'!A192="","缺少对象ID；","")&amp;IF('02_固定地理'!B192="","缺少中文名称；","")&amp;IF('02_固定地理'!D192="","缺少对象类型；","")&amp;IF(AND('02_固定地理'!F192&lt;&gt;"",OR('02_固定地理'!F192&lt;0,'02_固定地理'!F192&gt;WorldWidth)),"世界中心X越界；","")&amp;IF(AND('02_固定地理'!G192&lt;&gt;"",OR('02_固定地理'!G192&lt;0,'02_固定地理'!G192&gt;WorldHeight)),"世界中心Y越界；","")&amp;IF(AND('02_固定地理'!H192&lt;&gt;"",'02_固定地理'!J192&lt;&gt;"",'02_固定地理'!H192&gt;'02_固定地理'!J192),"最小X大于最大X；","")&amp;IF(AND('02_固定地理'!I192&lt;&gt;"",'02_固定地理'!K192&lt;&gt;"",'02_固定地理'!I192&gt;'02_固定地理'!K192),"最小Y大于最大Y；","")&amp;IF(AND('02_固定地理'!E192&lt;&gt;"",COUNTIF('02_固定地理'!$A$2:$A$501,'02_固定地理'!E192)=0),"父级对象不存在；","")&amp;IF(AND('02_固定地理'!A192&lt;&gt;"",COUNTIF('02_固定地理'!$A$2:$A$501,'02_固定地理'!A192)&gt;1),"ID重复；",""),"")</f>
        <v/>
      </c>
      <c r="G192" s="14">
        <f>IF(F192&lt;&gt;"","按字段批注、数据字典和来源记录修正后复核","")</f>
        <v/>
      </c>
      <c r="H192" s="14">
        <f>IF(F192&lt;&gt;"","待处理","")</f>
        <v/>
      </c>
    </row>
    <row r="193">
      <c r="A193" s="14">
        <f>IF(F193&lt;&gt;"","ISSUE-"&amp;TEXT(ROW()-1,"00000"),"")</f>
        <v/>
      </c>
      <c r="B193" s="14">
        <f>IF(F193&lt;&gt;"","错误","")</f>
        <v/>
      </c>
      <c r="C193" s="14">
        <f>IF('02_固定地理'!A193&lt;&gt;"","02_固定地理","")</f>
        <v/>
      </c>
      <c r="D193" s="14">
        <f>IF('02_固定地理'!A193&lt;&gt;"",'02_固定地理'!A193,"")</f>
        <v/>
      </c>
      <c r="E193" s="14">
        <f>IF(F193&lt;&gt;"","综合校验","")</f>
        <v/>
      </c>
      <c r="F193" s="14">
        <f>IF('02_固定地理'!A193&lt;&gt;"",IF('02_固定地理'!A193="","缺少对象ID；","")&amp;IF('02_固定地理'!B193="","缺少中文名称；","")&amp;IF('02_固定地理'!D193="","缺少对象类型；","")&amp;IF(AND('02_固定地理'!F193&lt;&gt;"",OR('02_固定地理'!F193&lt;0,'02_固定地理'!F193&gt;WorldWidth)),"世界中心X越界；","")&amp;IF(AND('02_固定地理'!G193&lt;&gt;"",OR('02_固定地理'!G193&lt;0,'02_固定地理'!G193&gt;WorldHeight)),"世界中心Y越界；","")&amp;IF(AND('02_固定地理'!H193&lt;&gt;"",'02_固定地理'!J193&lt;&gt;"",'02_固定地理'!H193&gt;'02_固定地理'!J193),"最小X大于最大X；","")&amp;IF(AND('02_固定地理'!I193&lt;&gt;"",'02_固定地理'!K193&lt;&gt;"",'02_固定地理'!I193&gt;'02_固定地理'!K193),"最小Y大于最大Y；","")&amp;IF(AND('02_固定地理'!E193&lt;&gt;"",COUNTIF('02_固定地理'!$A$2:$A$501,'02_固定地理'!E193)=0),"父级对象不存在；","")&amp;IF(AND('02_固定地理'!A193&lt;&gt;"",COUNTIF('02_固定地理'!$A$2:$A$501,'02_固定地理'!A193)&gt;1),"ID重复；",""),"")</f>
        <v/>
      </c>
      <c r="G193" s="14">
        <f>IF(F193&lt;&gt;"","按字段批注、数据字典和来源记录修正后复核","")</f>
        <v/>
      </c>
      <c r="H193" s="14">
        <f>IF(F193&lt;&gt;"","待处理","")</f>
        <v/>
      </c>
    </row>
    <row r="194">
      <c r="A194" s="14">
        <f>IF(F194&lt;&gt;"","ISSUE-"&amp;TEXT(ROW()-1,"00000"),"")</f>
        <v/>
      </c>
      <c r="B194" s="14">
        <f>IF(F194&lt;&gt;"","错误","")</f>
        <v/>
      </c>
      <c r="C194" s="14">
        <f>IF('02_固定地理'!A194&lt;&gt;"","02_固定地理","")</f>
        <v/>
      </c>
      <c r="D194" s="14">
        <f>IF('02_固定地理'!A194&lt;&gt;"",'02_固定地理'!A194,"")</f>
        <v/>
      </c>
      <c r="E194" s="14">
        <f>IF(F194&lt;&gt;"","综合校验","")</f>
        <v/>
      </c>
      <c r="F194" s="14">
        <f>IF('02_固定地理'!A194&lt;&gt;"",IF('02_固定地理'!A194="","缺少对象ID；","")&amp;IF('02_固定地理'!B194="","缺少中文名称；","")&amp;IF('02_固定地理'!D194="","缺少对象类型；","")&amp;IF(AND('02_固定地理'!F194&lt;&gt;"",OR('02_固定地理'!F194&lt;0,'02_固定地理'!F194&gt;WorldWidth)),"世界中心X越界；","")&amp;IF(AND('02_固定地理'!G194&lt;&gt;"",OR('02_固定地理'!G194&lt;0,'02_固定地理'!G194&gt;WorldHeight)),"世界中心Y越界；","")&amp;IF(AND('02_固定地理'!H194&lt;&gt;"",'02_固定地理'!J194&lt;&gt;"",'02_固定地理'!H194&gt;'02_固定地理'!J194),"最小X大于最大X；","")&amp;IF(AND('02_固定地理'!I194&lt;&gt;"",'02_固定地理'!K194&lt;&gt;"",'02_固定地理'!I194&gt;'02_固定地理'!K194),"最小Y大于最大Y；","")&amp;IF(AND('02_固定地理'!E194&lt;&gt;"",COUNTIF('02_固定地理'!$A$2:$A$501,'02_固定地理'!E194)=0),"父级对象不存在；","")&amp;IF(AND('02_固定地理'!A194&lt;&gt;"",COUNTIF('02_固定地理'!$A$2:$A$501,'02_固定地理'!A194)&gt;1),"ID重复；",""),"")</f>
        <v/>
      </c>
      <c r="G194" s="14">
        <f>IF(F194&lt;&gt;"","按字段批注、数据字典和来源记录修正后复核","")</f>
        <v/>
      </c>
      <c r="H194" s="14">
        <f>IF(F194&lt;&gt;"","待处理","")</f>
        <v/>
      </c>
    </row>
    <row r="195">
      <c r="A195" s="14">
        <f>IF(F195&lt;&gt;"","ISSUE-"&amp;TEXT(ROW()-1,"00000"),"")</f>
        <v/>
      </c>
      <c r="B195" s="14">
        <f>IF(F195&lt;&gt;"","错误","")</f>
        <v/>
      </c>
      <c r="C195" s="14">
        <f>IF('02_固定地理'!A195&lt;&gt;"","02_固定地理","")</f>
        <v/>
      </c>
      <c r="D195" s="14">
        <f>IF('02_固定地理'!A195&lt;&gt;"",'02_固定地理'!A195,"")</f>
        <v/>
      </c>
      <c r="E195" s="14">
        <f>IF(F195&lt;&gt;"","综合校验","")</f>
        <v/>
      </c>
      <c r="F195" s="14">
        <f>IF('02_固定地理'!A195&lt;&gt;"",IF('02_固定地理'!A195="","缺少对象ID；","")&amp;IF('02_固定地理'!B195="","缺少中文名称；","")&amp;IF('02_固定地理'!D195="","缺少对象类型；","")&amp;IF(AND('02_固定地理'!F195&lt;&gt;"",OR('02_固定地理'!F195&lt;0,'02_固定地理'!F195&gt;WorldWidth)),"世界中心X越界；","")&amp;IF(AND('02_固定地理'!G195&lt;&gt;"",OR('02_固定地理'!G195&lt;0,'02_固定地理'!G195&gt;WorldHeight)),"世界中心Y越界；","")&amp;IF(AND('02_固定地理'!H195&lt;&gt;"",'02_固定地理'!J195&lt;&gt;"",'02_固定地理'!H195&gt;'02_固定地理'!J195),"最小X大于最大X；","")&amp;IF(AND('02_固定地理'!I195&lt;&gt;"",'02_固定地理'!K195&lt;&gt;"",'02_固定地理'!I195&gt;'02_固定地理'!K195),"最小Y大于最大Y；","")&amp;IF(AND('02_固定地理'!E195&lt;&gt;"",COUNTIF('02_固定地理'!$A$2:$A$501,'02_固定地理'!E195)=0),"父级对象不存在；","")&amp;IF(AND('02_固定地理'!A195&lt;&gt;"",COUNTIF('02_固定地理'!$A$2:$A$501,'02_固定地理'!A195)&gt;1),"ID重复；",""),"")</f>
        <v/>
      </c>
      <c r="G195" s="14">
        <f>IF(F195&lt;&gt;"","按字段批注、数据字典和来源记录修正后复核","")</f>
        <v/>
      </c>
      <c r="H195" s="14">
        <f>IF(F195&lt;&gt;"","待处理","")</f>
        <v/>
      </c>
    </row>
    <row r="196">
      <c r="A196" s="14">
        <f>IF(F196&lt;&gt;"","ISSUE-"&amp;TEXT(ROW()-1,"00000"),"")</f>
        <v/>
      </c>
      <c r="B196" s="14">
        <f>IF(F196&lt;&gt;"","错误","")</f>
        <v/>
      </c>
      <c r="C196" s="14">
        <f>IF('02_固定地理'!A196&lt;&gt;"","02_固定地理","")</f>
        <v/>
      </c>
      <c r="D196" s="14">
        <f>IF('02_固定地理'!A196&lt;&gt;"",'02_固定地理'!A196,"")</f>
        <v/>
      </c>
      <c r="E196" s="14">
        <f>IF(F196&lt;&gt;"","综合校验","")</f>
        <v/>
      </c>
      <c r="F196" s="14">
        <f>IF('02_固定地理'!A196&lt;&gt;"",IF('02_固定地理'!A196="","缺少对象ID；","")&amp;IF('02_固定地理'!B196="","缺少中文名称；","")&amp;IF('02_固定地理'!D196="","缺少对象类型；","")&amp;IF(AND('02_固定地理'!F196&lt;&gt;"",OR('02_固定地理'!F196&lt;0,'02_固定地理'!F196&gt;WorldWidth)),"世界中心X越界；","")&amp;IF(AND('02_固定地理'!G196&lt;&gt;"",OR('02_固定地理'!G196&lt;0,'02_固定地理'!G196&gt;WorldHeight)),"世界中心Y越界；","")&amp;IF(AND('02_固定地理'!H196&lt;&gt;"",'02_固定地理'!J196&lt;&gt;"",'02_固定地理'!H196&gt;'02_固定地理'!J196),"最小X大于最大X；","")&amp;IF(AND('02_固定地理'!I196&lt;&gt;"",'02_固定地理'!K196&lt;&gt;"",'02_固定地理'!I196&gt;'02_固定地理'!K196),"最小Y大于最大Y；","")&amp;IF(AND('02_固定地理'!E196&lt;&gt;"",COUNTIF('02_固定地理'!$A$2:$A$501,'02_固定地理'!E196)=0),"父级对象不存在；","")&amp;IF(AND('02_固定地理'!A196&lt;&gt;"",COUNTIF('02_固定地理'!$A$2:$A$501,'02_固定地理'!A196)&gt;1),"ID重复；",""),"")</f>
        <v/>
      </c>
      <c r="G196" s="14">
        <f>IF(F196&lt;&gt;"","按字段批注、数据字典和来源记录修正后复核","")</f>
        <v/>
      </c>
      <c r="H196" s="14">
        <f>IF(F196&lt;&gt;"","待处理","")</f>
        <v/>
      </c>
    </row>
    <row r="197">
      <c r="A197" s="14">
        <f>IF(F197&lt;&gt;"","ISSUE-"&amp;TEXT(ROW()-1,"00000"),"")</f>
        <v/>
      </c>
      <c r="B197" s="14">
        <f>IF(F197&lt;&gt;"","错误","")</f>
        <v/>
      </c>
      <c r="C197" s="14">
        <f>IF('02_固定地理'!A197&lt;&gt;"","02_固定地理","")</f>
        <v/>
      </c>
      <c r="D197" s="14">
        <f>IF('02_固定地理'!A197&lt;&gt;"",'02_固定地理'!A197,"")</f>
        <v/>
      </c>
      <c r="E197" s="14">
        <f>IF(F197&lt;&gt;"","综合校验","")</f>
        <v/>
      </c>
      <c r="F197" s="14">
        <f>IF('02_固定地理'!A197&lt;&gt;"",IF('02_固定地理'!A197="","缺少对象ID；","")&amp;IF('02_固定地理'!B197="","缺少中文名称；","")&amp;IF('02_固定地理'!D197="","缺少对象类型；","")&amp;IF(AND('02_固定地理'!F197&lt;&gt;"",OR('02_固定地理'!F197&lt;0,'02_固定地理'!F197&gt;WorldWidth)),"世界中心X越界；","")&amp;IF(AND('02_固定地理'!G197&lt;&gt;"",OR('02_固定地理'!G197&lt;0,'02_固定地理'!G197&gt;WorldHeight)),"世界中心Y越界；","")&amp;IF(AND('02_固定地理'!H197&lt;&gt;"",'02_固定地理'!J197&lt;&gt;"",'02_固定地理'!H197&gt;'02_固定地理'!J197),"最小X大于最大X；","")&amp;IF(AND('02_固定地理'!I197&lt;&gt;"",'02_固定地理'!K197&lt;&gt;"",'02_固定地理'!I197&gt;'02_固定地理'!K197),"最小Y大于最大Y；","")&amp;IF(AND('02_固定地理'!E197&lt;&gt;"",COUNTIF('02_固定地理'!$A$2:$A$501,'02_固定地理'!E197)=0),"父级对象不存在；","")&amp;IF(AND('02_固定地理'!A197&lt;&gt;"",COUNTIF('02_固定地理'!$A$2:$A$501,'02_固定地理'!A197)&gt;1),"ID重复；",""),"")</f>
        <v/>
      </c>
      <c r="G197" s="14">
        <f>IF(F197&lt;&gt;"","按字段批注、数据字典和来源记录修正后复核","")</f>
        <v/>
      </c>
      <c r="H197" s="14">
        <f>IF(F197&lt;&gt;"","待处理","")</f>
        <v/>
      </c>
    </row>
    <row r="198">
      <c r="A198" s="14">
        <f>IF(F198&lt;&gt;"","ISSUE-"&amp;TEXT(ROW()-1,"00000"),"")</f>
        <v/>
      </c>
      <c r="B198" s="14">
        <f>IF(F198&lt;&gt;"","错误","")</f>
        <v/>
      </c>
      <c r="C198" s="14">
        <f>IF('02_固定地理'!A198&lt;&gt;"","02_固定地理","")</f>
        <v/>
      </c>
      <c r="D198" s="14">
        <f>IF('02_固定地理'!A198&lt;&gt;"",'02_固定地理'!A198,"")</f>
        <v/>
      </c>
      <c r="E198" s="14">
        <f>IF(F198&lt;&gt;"","综合校验","")</f>
        <v/>
      </c>
      <c r="F198" s="14">
        <f>IF('02_固定地理'!A198&lt;&gt;"",IF('02_固定地理'!A198="","缺少对象ID；","")&amp;IF('02_固定地理'!B198="","缺少中文名称；","")&amp;IF('02_固定地理'!D198="","缺少对象类型；","")&amp;IF(AND('02_固定地理'!F198&lt;&gt;"",OR('02_固定地理'!F198&lt;0,'02_固定地理'!F198&gt;WorldWidth)),"世界中心X越界；","")&amp;IF(AND('02_固定地理'!G198&lt;&gt;"",OR('02_固定地理'!G198&lt;0,'02_固定地理'!G198&gt;WorldHeight)),"世界中心Y越界；","")&amp;IF(AND('02_固定地理'!H198&lt;&gt;"",'02_固定地理'!J198&lt;&gt;"",'02_固定地理'!H198&gt;'02_固定地理'!J198),"最小X大于最大X；","")&amp;IF(AND('02_固定地理'!I198&lt;&gt;"",'02_固定地理'!K198&lt;&gt;"",'02_固定地理'!I198&gt;'02_固定地理'!K198),"最小Y大于最大Y；","")&amp;IF(AND('02_固定地理'!E198&lt;&gt;"",COUNTIF('02_固定地理'!$A$2:$A$501,'02_固定地理'!E198)=0),"父级对象不存在；","")&amp;IF(AND('02_固定地理'!A198&lt;&gt;"",COUNTIF('02_固定地理'!$A$2:$A$501,'02_固定地理'!A198)&gt;1),"ID重复；",""),"")</f>
        <v/>
      </c>
      <c r="G198" s="14">
        <f>IF(F198&lt;&gt;"","按字段批注、数据字典和来源记录修正后复核","")</f>
        <v/>
      </c>
      <c r="H198" s="14">
        <f>IF(F198&lt;&gt;"","待处理","")</f>
        <v/>
      </c>
    </row>
    <row r="199">
      <c r="A199" s="14">
        <f>IF(F199&lt;&gt;"","ISSUE-"&amp;TEXT(ROW()-1,"00000"),"")</f>
        <v/>
      </c>
      <c r="B199" s="14">
        <f>IF(F199&lt;&gt;"","错误","")</f>
        <v/>
      </c>
      <c r="C199" s="14">
        <f>IF('02_固定地理'!A199&lt;&gt;"","02_固定地理","")</f>
        <v/>
      </c>
      <c r="D199" s="14">
        <f>IF('02_固定地理'!A199&lt;&gt;"",'02_固定地理'!A199,"")</f>
        <v/>
      </c>
      <c r="E199" s="14">
        <f>IF(F199&lt;&gt;"","综合校验","")</f>
        <v/>
      </c>
      <c r="F199" s="14">
        <f>IF('02_固定地理'!A199&lt;&gt;"",IF('02_固定地理'!A199="","缺少对象ID；","")&amp;IF('02_固定地理'!B199="","缺少中文名称；","")&amp;IF('02_固定地理'!D199="","缺少对象类型；","")&amp;IF(AND('02_固定地理'!F199&lt;&gt;"",OR('02_固定地理'!F199&lt;0,'02_固定地理'!F199&gt;WorldWidth)),"世界中心X越界；","")&amp;IF(AND('02_固定地理'!G199&lt;&gt;"",OR('02_固定地理'!G199&lt;0,'02_固定地理'!G199&gt;WorldHeight)),"世界中心Y越界；","")&amp;IF(AND('02_固定地理'!H199&lt;&gt;"",'02_固定地理'!J199&lt;&gt;"",'02_固定地理'!H199&gt;'02_固定地理'!J199),"最小X大于最大X；","")&amp;IF(AND('02_固定地理'!I199&lt;&gt;"",'02_固定地理'!K199&lt;&gt;"",'02_固定地理'!I199&gt;'02_固定地理'!K199),"最小Y大于最大Y；","")&amp;IF(AND('02_固定地理'!E199&lt;&gt;"",COUNTIF('02_固定地理'!$A$2:$A$501,'02_固定地理'!E199)=0),"父级对象不存在；","")&amp;IF(AND('02_固定地理'!A199&lt;&gt;"",COUNTIF('02_固定地理'!$A$2:$A$501,'02_固定地理'!A199)&gt;1),"ID重复；",""),"")</f>
        <v/>
      </c>
      <c r="G199" s="14">
        <f>IF(F199&lt;&gt;"","按字段批注、数据字典和来源记录修正后复核","")</f>
        <v/>
      </c>
      <c r="H199" s="14">
        <f>IF(F199&lt;&gt;"","待处理","")</f>
        <v/>
      </c>
    </row>
    <row r="200">
      <c r="A200" s="14">
        <f>IF(F200&lt;&gt;"","ISSUE-"&amp;TEXT(ROW()-1,"00000"),"")</f>
        <v/>
      </c>
      <c r="B200" s="14">
        <f>IF(F200&lt;&gt;"","错误","")</f>
        <v/>
      </c>
      <c r="C200" s="14">
        <f>IF('02_固定地理'!A200&lt;&gt;"","02_固定地理","")</f>
        <v/>
      </c>
      <c r="D200" s="14">
        <f>IF('02_固定地理'!A200&lt;&gt;"",'02_固定地理'!A200,"")</f>
        <v/>
      </c>
      <c r="E200" s="14">
        <f>IF(F200&lt;&gt;"","综合校验","")</f>
        <v/>
      </c>
      <c r="F200" s="14">
        <f>IF('02_固定地理'!A200&lt;&gt;"",IF('02_固定地理'!A200="","缺少对象ID；","")&amp;IF('02_固定地理'!B200="","缺少中文名称；","")&amp;IF('02_固定地理'!D200="","缺少对象类型；","")&amp;IF(AND('02_固定地理'!F200&lt;&gt;"",OR('02_固定地理'!F200&lt;0,'02_固定地理'!F200&gt;WorldWidth)),"世界中心X越界；","")&amp;IF(AND('02_固定地理'!G200&lt;&gt;"",OR('02_固定地理'!G200&lt;0,'02_固定地理'!G200&gt;WorldHeight)),"世界中心Y越界；","")&amp;IF(AND('02_固定地理'!H200&lt;&gt;"",'02_固定地理'!J200&lt;&gt;"",'02_固定地理'!H200&gt;'02_固定地理'!J200),"最小X大于最大X；","")&amp;IF(AND('02_固定地理'!I200&lt;&gt;"",'02_固定地理'!K200&lt;&gt;"",'02_固定地理'!I200&gt;'02_固定地理'!K200),"最小Y大于最大Y；","")&amp;IF(AND('02_固定地理'!E200&lt;&gt;"",COUNTIF('02_固定地理'!$A$2:$A$501,'02_固定地理'!E200)=0),"父级对象不存在；","")&amp;IF(AND('02_固定地理'!A200&lt;&gt;"",COUNTIF('02_固定地理'!$A$2:$A$501,'02_固定地理'!A200)&gt;1),"ID重复；",""),"")</f>
        <v/>
      </c>
      <c r="G200" s="14">
        <f>IF(F200&lt;&gt;"","按字段批注、数据字典和来源记录修正后复核","")</f>
        <v/>
      </c>
      <c r="H200" s="14">
        <f>IF(F200&lt;&gt;"","待处理","")</f>
        <v/>
      </c>
    </row>
    <row r="201">
      <c r="A201" s="14">
        <f>IF(F201&lt;&gt;"","ISSUE-"&amp;TEXT(ROW()-1,"00000"),"")</f>
        <v/>
      </c>
      <c r="B201" s="14">
        <f>IF(F201&lt;&gt;"","错误","")</f>
        <v/>
      </c>
      <c r="C201" s="14">
        <f>IF('02_固定地理'!A201&lt;&gt;"","02_固定地理","")</f>
        <v/>
      </c>
      <c r="D201" s="14">
        <f>IF('02_固定地理'!A201&lt;&gt;"",'02_固定地理'!A201,"")</f>
        <v/>
      </c>
      <c r="E201" s="14">
        <f>IF(F201&lt;&gt;"","综合校验","")</f>
        <v/>
      </c>
      <c r="F201" s="14">
        <f>IF('02_固定地理'!A201&lt;&gt;"",IF('02_固定地理'!A201="","缺少对象ID；","")&amp;IF('02_固定地理'!B201="","缺少中文名称；","")&amp;IF('02_固定地理'!D201="","缺少对象类型；","")&amp;IF(AND('02_固定地理'!F201&lt;&gt;"",OR('02_固定地理'!F201&lt;0,'02_固定地理'!F201&gt;WorldWidth)),"世界中心X越界；","")&amp;IF(AND('02_固定地理'!G201&lt;&gt;"",OR('02_固定地理'!G201&lt;0,'02_固定地理'!G201&gt;WorldHeight)),"世界中心Y越界；","")&amp;IF(AND('02_固定地理'!H201&lt;&gt;"",'02_固定地理'!J201&lt;&gt;"",'02_固定地理'!H201&gt;'02_固定地理'!J201),"最小X大于最大X；","")&amp;IF(AND('02_固定地理'!I201&lt;&gt;"",'02_固定地理'!K201&lt;&gt;"",'02_固定地理'!I201&gt;'02_固定地理'!K201),"最小Y大于最大Y；","")&amp;IF(AND('02_固定地理'!E201&lt;&gt;"",COUNTIF('02_固定地理'!$A$2:$A$501,'02_固定地理'!E201)=0),"父级对象不存在；","")&amp;IF(AND('02_固定地理'!A201&lt;&gt;"",COUNTIF('02_固定地理'!$A$2:$A$501,'02_固定地理'!A201)&gt;1),"ID重复；",""),"")</f>
        <v/>
      </c>
      <c r="G201" s="14">
        <f>IF(F201&lt;&gt;"","按字段批注、数据字典和来源记录修正后复核","")</f>
        <v/>
      </c>
      <c r="H201" s="14">
        <f>IF(F201&lt;&gt;"","待处理","")</f>
        <v/>
      </c>
    </row>
    <row r="202">
      <c r="A202" s="14">
        <f>IF(F202&lt;&gt;"","ISSUE-"&amp;TEXT(ROW()-1,"00000"),"")</f>
        <v/>
      </c>
      <c r="B202" s="14">
        <f>IF(F202&lt;&gt;"","错误","")</f>
        <v/>
      </c>
      <c r="C202" s="14">
        <f>IF('02_固定地理'!A202&lt;&gt;"","02_固定地理","")</f>
        <v/>
      </c>
      <c r="D202" s="14">
        <f>IF('02_固定地理'!A202&lt;&gt;"",'02_固定地理'!A202,"")</f>
        <v/>
      </c>
      <c r="E202" s="14">
        <f>IF(F202&lt;&gt;"","综合校验","")</f>
        <v/>
      </c>
      <c r="F202" s="14">
        <f>IF('02_固定地理'!A202&lt;&gt;"",IF('02_固定地理'!A202="","缺少对象ID；","")&amp;IF('02_固定地理'!B202="","缺少中文名称；","")&amp;IF('02_固定地理'!D202="","缺少对象类型；","")&amp;IF(AND('02_固定地理'!F202&lt;&gt;"",OR('02_固定地理'!F202&lt;0,'02_固定地理'!F202&gt;WorldWidth)),"世界中心X越界；","")&amp;IF(AND('02_固定地理'!G202&lt;&gt;"",OR('02_固定地理'!G202&lt;0,'02_固定地理'!G202&gt;WorldHeight)),"世界中心Y越界；","")&amp;IF(AND('02_固定地理'!H202&lt;&gt;"",'02_固定地理'!J202&lt;&gt;"",'02_固定地理'!H202&gt;'02_固定地理'!J202),"最小X大于最大X；","")&amp;IF(AND('02_固定地理'!I202&lt;&gt;"",'02_固定地理'!K202&lt;&gt;"",'02_固定地理'!I202&gt;'02_固定地理'!K202),"最小Y大于最大Y；","")&amp;IF(AND('02_固定地理'!E202&lt;&gt;"",COUNTIF('02_固定地理'!$A$2:$A$501,'02_固定地理'!E202)=0),"父级对象不存在；","")&amp;IF(AND('02_固定地理'!A202&lt;&gt;"",COUNTIF('02_固定地理'!$A$2:$A$501,'02_固定地理'!A202)&gt;1),"ID重复；",""),"")</f>
        <v/>
      </c>
      <c r="G202" s="14">
        <f>IF(F202&lt;&gt;"","按字段批注、数据字典和来源记录修正后复核","")</f>
        <v/>
      </c>
      <c r="H202" s="14">
        <f>IF(F202&lt;&gt;"","待处理","")</f>
        <v/>
      </c>
    </row>
    <row r="203">
      <c r="A203" s="14">
        <f>IF(F203&lt;&gt;"","ISSUE-"&amp;TEXT(ROW()-1,"00000"),"")</f>
        <v/>
      </c>
      <c r="B203" s="14">
        <f>IF(F203&lt;&gt;"","错误","")</f>
        <v/>
      </c>
      <c r="C203" s="14">
        <f>IF('02_固定地理'!A203&lt;&gt;"","02_固定地理","")</f>
        <v/>
      </c>
      <c r="D203" s="14">
        <f>IF('02_固定地理'!A203&lt;&gt;"",'02_固定地理'!A203,"")</f>
        <v/>
      </c>
      <c r="E203" s="14">
        <f>IF(F203&lt;&gt;"","综合校验","")</f>
        <v/>
      </c>
      <c r="F203" s="14">
        <f>IF('02_固定地理'!A203&lt;&gt;"",IF('02_固定地理'!A203="","缺少对象ID；","")&amp;IF('02_固定地理'!B203="","缺少中文名称；","")&amp;IF('02_固定地理'!D203="","缺少对象类型；","")&amp;IF(AND('02_固定地理'!F203&lt;&gt;"",OR('02_固定地理'!F203&lt;0,'02_固定地理'!F203&gt;WorldWidth)),"世界中心X越界；","")&amp;IF(AND('02_固定地理'!G203&lt;&gt;"",OR('02_固定地理'!G203&lt;0,'02_固定地理'!G203&gt;WorldHeight)),"世界中心Y越界；","")&amp;IF(AND('02_固定地理'!H203&lt;&gt;"",'02_固定地理'!J203&lt;&gt;"",'02_固定地理'!H203&gt;'02_固定地理'!J203),"最小X大于最大X；","")&amp;IF(AND('02_固定地理'!I203&lt;&gt;"",'02_固定地理'!K203&lt;&gt;"",'02_固定地理'!I203&gt;'02_固定地理'!K203),"最小Y大于最大Y；","")&amp;IF(AND('02_固定地理'!E203&lt;&gt;"",COUNTIF('02_固定地理'!$A$2:$A$501,'02_固定地理'!E203)=0),"父级对象不存在；","")&amp;IF(AND('02_固定地理'!A203&lt;&gt;"",COUNTIF('02_固定地理'!$A$2:$A$501,'02_固定地理'!A203)&gt;1),"ID重复；",""),"")</f>
        <v/>
      </c>
      <c r="G203" s="14">
        <f>IF(F203&lt;&gt;"","按字段批注、数据字典和来源记录修正后复核","")</f>
        <v/>
      </c>
      <c r="H203" s="14">
        <f>IF(F203&lt;&gt;"","待处理","")</f>
        <v/>
      </c>
    </row>
    <row r="204">
      <c r="A204" s="14">
        <f>IF(F204&lt;&gt;"","ISSUE-"&amp;TEXT(ROW()-1,"00000"),"")</f>
        <v/>
      </c>
      <c r="B204" s="14">
        <f>IF(F204&lt;&gt;"","错误","")</f>
        <v/>
      </c>
      <c r="C204" s="14">
        <f>IF('02_固定地理'!A204&lt;&gt;"","02_固定地理","")</f>
        <v/>
      </c>
      <c r="D204" s="14">
        <f>IF('02_固定地理'!A204&lt;&gt;"",'02_固定地理'!A204,"")</f>
        <v/>
      </c>
      <c r="E204" s="14">
        <f>IF(F204&lt;&gt;"","综合校验","")</f>
        <v/>
      </c>
      <c r="F204" s="14">
        <f>IF('02_固定地理'!A204&lt;&gt;"",IF('02_固定地理'!A204="","缺少对象ID；","")&amp;IF('02_固定地理'!B204="","缺少中文名称；","")&amp;IF('02_固定地理'!D204="","缺少对象类型；","")&amp;IF(AND('02_固定地理'!F204&lt;&gt;"",OR('02_固定地理'!F204&lt;0,'02_固定地理'!F204&gt;WorldWidth)),"世界中心X越界；","")&amp;IF(AND('02_固定地理'!G204&lt;&gt;"",OR('02_固定地理'!G204&lt;0,'02_固定地理'!G204&gt;WorldHeight)),"世界中心Y越界；","")&amp;IF(AND('02_固定地理'!H204&lt;&gt;"",'02_固定地理'!J204&lt;&gt;"",'02_固定地理'!H204&gt;'02_固定地理'!J204),"最小X大于最大X；","")&amp;IF(AND('02_固定地理'!I204&lt;&gt;"",'02_固定地理'!K204&lt;&gt;"",'02_固定地理'!I204&gt;'02_固定地理'!K204),"最小Y大于最大Y；","")&amp;IF(AND('02_固定地理'!E204&lt;&gt;"",COUNTIF('02_固定地理'!$A$2:$A$501,'02_固定地理'!E204)=0),"父级对象不存在；","")&amp;IF(AND('02_固定地理'!A204&lt;&gt;"",COUNTIF('02_固定地理'!$A$2:$A$501,'02_固定地理'!A204)&gt;1),"ID重复；",""),"")</f>
        <v/>
      </c>
      <c r="G204" s="14">
        <f>IF(F204&lt;&gt;"","按字段批注、数据字典和来源记录修正后复核","")</f>
        <v/>
      </c>
      <c r="H204" s="14">
        <f>IF(F204&lt;&gt;"","待处理","")</f>
        <v/>
      </c>
    </row>
    <row r="205">
      <c r="A205" s="14">
        <f>IF(F205&lt;&gt;"","ISSUE-"&amp;TEXT(ROW()-1,"00000"),"")</f>
        <v/>
      </c>
      <c r="B205" s="14">
        <f>IF(F205&lt;&gt;"","错误","")</f>
        <v/>
      </c>
      <c r="C205" s="14">
        <f>IF('02_固定地理'!A205&lt;&gt;"","02_固定地理","")</f>
        <v/>
      </c>
      <c r="D205" s="14">
        <f>IF('02_固定地理'!A205&lt;&gt;"",'02_固定地理'!A205,"")</f>
        <v/>
      </c>
      <c r="E205" s="14">
        <f>IF(F205&lt;&gt;"","综合校验","")</f>
        <v/>
      </c>
      <c r="F205" s="14">
        <f>IF('02_固定地理'!A205&lt;&gt;"",IF('02_固定地理'!A205="","缺少对象ID；","")&amp;IF('02_固定地理'!B205="","缺少中文名称；","")&amp;IF('02_固定地理'!D205="","缺少对象类型；","")&amp;IF(AND('02_固定地理'!F205&lt;&gt;"",OR('02_固定地理'!F205&lt;0,'02_固定地理'!F205&gt;WorldWidth)),"世界中心X越界；","")&amp;IF(AND('02_固定地理'!G205&lt;&gt;"",OR('02_固定地理'!G205&lt;0,'02_固定地理'!G205&gt;WorldHeight)),"世界中心Y越界；","")&amp;IF(AND('02_固定地理'!H205&lt;&gt;"",'02_固定地理'!J205&lt;&gt;"",'02_固定地理'!H205&gt;'02_固定地理'!J205),"最小X大于最大X；","")&amp;IF(AND('02_固定地理'!I205&lt;&gt;"",'02_固定地理'!K205&lt;&gt;"",'02_固定地理'!I205&gt;'02_固定地理'!K205),"最小Y大于最大Y；","")&amp;IF(AND('02_固定地理'!E205&lt;&gt;"",COUNTIF('02_固定地理'!$A$2:$A$501,'02_固定地理'!E205)=0),"父级对象不存在；","")&amp;IF(AND('02_固定地理'!A205&lt;&gt;"",COUNTIF('02_固定地理'!$A$2:$A$501,'02_固定地理'!A205)&gt;1),"ID重复；",""),"")</f>
        <v/>
      </c>
      <c r="G205" s="14">
        <f>IF(F205&lt;&gt;"","按字段批注、数据字典和来源记录修正后复核","")</f>
        <v/>
      </c>
      <c r="H205" s="14">
        <f>IF(F205&lt;&gt;"","待处理","")</f>
        <v/>
      </c>
    </row>
    <row r="206">
      <c r="A206" s="14">
        <f>IF(F206&lt;&gt;"","ISSUE-"&amp;TEXT(ROW()-1,"00000"),"")</f>
        <v/>
      </c>
      <c r="B206" s="14">
        <f>IF(F206&lt;&gt;"","错误","")</f>
        <v/>
      </c>
      <c r="C206" s="14">
        <f>IF('02_固定地理'!A206&lt;&gt;"","02_固定地理","")</f>
        <v/>
      </c>
      <c r="D206" s="14">
        <f>IF('02_固定地理'!A206&lt;&gt;"",'02_固定地理'!A206,"")</f>
        <v/>
      </c>
      <c r="E206" s="14">
        <f>IF(F206&lt;&gt;"","综合校验","")</f>
        <v/>
      </c>
      <c r="F206" s="14">
        <f>IF('02_固定地理'!A206&lt;&gt;"",IF('02_固定地理'!A206="","缺少对象ID；","")&amp;IF('02_固定地理'!B206="","缺少中文名称；","")&amp;IF('02_固定地理'!D206="","缺少对象类型；","")&amp;IF(AND('02_固定地理'!F206&lt;&gt;"",OR('02_固定地理'!F206&lt;0,'02_固定地理'!F206&gt;WorldWidth)),"世界中心X越界；","")&amp;IF(AND('02_固定地理'!G206&lt;&gt;"",OR('02_固定地理'!G206&lt;0,'02_固定地理'!G206&gt;WorldHeight)),"世界中心Y越界；","")&amp;IF(AND('02_固定地理'!H206&lt;&gt;"",'02_固定地理'!J206&lt;&gt;"",'02_固定地理'!H206&gt;'02_固定地理'!J206),"最小X大于最大X；","")&amp;IF(AND('02_固定地理'!I206&lt;&gt;"",'02_固定地理'!K206&lt;&gt;"",'02_固定地理'!I206&gt;'02_固定地理'!K206),"最小Y大于最大Y；","")&amp;IF(AND('02_固定地理'!E206&lt;&gt;"",COUNTIF('02_固定地理'!$A$2:$A$501,'02_固定地理'!E206)=0),"父级对象不存在；","")&amp;IF(AND('02_固定地理'!A206&lt;&gt;"",COUNTIF('02_固定地理'!$A$2:$A$501,'02_固定地理'!A206)&gt;1),"ID重复；",""),"")</f>
        <v/>
      </c>
      <c r="G206" s="14">
        <f>IF(F206&lt;&gt;"","按字段批注、数据字典和来源记录修正后复核","")</f>
        <v/>
      </c>
      <c r="H206" s="14">
        <f>IF(F206&lt;&gt;"","待处理","")</f>
        <v/>
      </c>
    </row>
    <row r="207">
      <c r="A207" s="14">
        <f>IF(F207&lt;&gt;"","ISSUE-"&amp;TEXT(ROW()-1,"00000"),"")</f>
        <v/>
      </c>
      <c r="B207" s="14">
        <f>IF(F207&lt;&gt;"","错误","")</f>
        <v/>
      </c>
      <c r="C207" s="14">
        <f>IF('02_固定地理'!A207&lt;&gt;"","02_固定地理","")</f>
        <v/>
      </c>
      <c r="D207" s="14">
        <f>IF('02_固定地理'!A207&lt;&gt;"",'02_固定地理'!A207,"")</f>
        <v/>
      </c>
      <c r="E207" s="14">
        <f>IF(F207&lt;&gt;"","综合校验","")</f>
        <v/>
      </c>
      <c r="F207" s="14">
        <f>IF('02_固定地理'!A207&lt;&gt;"",IF('02_固定地理'!A207="","缺少对象ID；","")&amp;IF('02_固定地理'!B207="","缺少中文名称；","")&amp;IF('02_固定地理'!D207="","缺少对象类型；","")&amp;IF(AND('02_固定地理'!F207&lt;&gt;"",OR('02_固定地理'!F207&lt;0,'02_固定地理'!F207&gt;WorldWidth)),"世界中心X越界；","")&amp;IF(AND('02_固定地理'!G207&lt;&gt;"",OR('02_固定地理'!G207&lt;0,'02_固定地理'!G207&gt;WorldHeight)),"世界中心Y越界；","")&amp;IF(AND('02_固定地理'!H207&lt;&gt;"",'02_固定地理'!J207&lt;&gt;"",'02_固定地理'!H207&gt;'02_固定地理'!J207),"最小X大于最大X；","")&amp;IF(AND('02_固定地理'!I207&lt;&gt;"",'02_固定地理'!K207&lt;&gt;"",'02_固定地理'!I207&gt;'02_固定地理'!K207),"最小Y大于最大Y；","")&amp;IF(AND('02_固定地理'!E207&lt;&gt;"",COUNTIF('02_固定地理'!$A$2:$A$501,'02_固定地理'!E207)=0),"父级对象不存在；","")&amp;IF(AND('02_固定地理'!A207&lt;&gt;"",COUNTIF('02_固定地理'!$A$2:$A$501,'02_固定地理'!A207)&gt;1),"ID重复；",""),"")</f>
        <v/>
      </c>
      <c r="G207" s="14">
        <f>IF(F207&lt;&gt;"","按字段批注、数据字典和来源记录修正后复核","")</f>
        <v/>
      </c>
      <c r="H207" s="14">
        <f>IF(F207&lt;&gt;"","待处理","")</f>
        <v/>
      </c>
    </row>
    <row r="208">
      <c r="A208" s="14">
        <f>IF(F208&lt;&gt;"","ISSUE-"&amp;TEXT(ROW()-1,"00000"),"")</f>
        <v/>
      </c>
      <c r="B208" s="14">
        <f>IF(F208&lt;&gt;"","错误","")</f>
        <v/>
      </c>
      <c r="C208" s="14">
        <f>IF('02_固定地理'!A208&lt;&gt;"","02_固定地理","")</f>
        <v/>
      </c>
      <c r="D208" s="14">
        <f>IF('02_固定地理'!A208&lt;&gt;"",'02_固定地理'!A208,"")</f>
        <v/>
      </c>
      <c r="E208" s="14">
        <f>IF(F208&lt;&gt;"","综合校验","")</f>
        <v/>
      </c>
      <c r="F208" s="14">
        <f>IF('02_固定地理'!A208&lt;&gt;"",IF('02_固定地理'!A208="","缺少对象ID；","")&amp;IF('02_固定地理'!B208="","缺少中文名称；","")&amp;IF('02_固定地理'!D208="","缺少对象类型；","")&amp;IF(AND('02_固定地理'!F208&lt;&gt;"",OR('02_固定地理'!F208&lt;0,'02_固定地理'!F208&gt;WorldWidth)),"世界中心X越界；","")&amp;IF(AND('02_固定地理'!G208&lt;&gt;"",OR('02_固定地理'!G208&lt;0,'02_固定地理'!G208&gt;WorldHeight)),"世界中心Y越界；","")&amp;IF(AND('02_固定地理'!H208&lt;&gt;"",'02_固定地理'!J208&lt;&gt;"",'02_固定地理'!H208&gt;'02_固定地理'!J208),"最小X大于最大X；","")&amp;IF(AND('02_固定地理'!I208&lt;&gt;"",'02_固定地理'!K208&lt;&gt;"",'02_固定地理'!I208&gt;'02_固定地理'!K208),"最小Y大于最大Y；","")&amp;IF(AND('02_固定地理'!E208&lt;&gt;"",COUNTIF('02_固定地理'!$A$2:$A$501,'02_固定地理'!E208)=0),"父级对象不存在；","")&amp;IF(AND('02_固定地理'!A208&lt;&gt;"",COUNTIF('02_固定地理'!$A$2:$A$501,'02_固定地理'!A208)&gt;1),"ID重复；",""),"")</f>
        <v/>
      </c>
      <c r="G208" s="14">
        <f>IF(F208&lt;&gt;"","按字段批注、数据字典和来源记录修正后复核","")</f>
        <v/>
      </c>
      <c r="H208" s="14">
        <f>IF(F208&lt;&gt;"","待处理","")</f>
        <v/>
      </c>
    </row>
    <row r="209">
      <c r="A209" s="14">
        <f>IF(F209&lt;&gt;"","ISSUE-"&amp;TEXT(ROW()-1,"00000"),"")</f>
        <v/>
      </c>
      <c r="B209" s="14">
        <f>IF(F209&lt;&gt;"","错误","")</f>
        <v/>
      </c>
      <c r="C209" s="14">
        <f>IF('02_固定地理'!A209&lt;&gt;"","02_固定地理","")</f>
        <v/>
      </c>
      <c r="D209" s="14">
        <f>IF('02_固定地理'!A209&lt;&gt;"",'02_固定地理'!A209,"")</f>
        <v/>
      </c>
      <c r="E209" s="14">
        <f>IF(F209&lt;&gt;"","综合校验","")</f>
        <v/>
      </c>
      <c r="F209" s="14">
        <f>IF('02_固定地理'!A209&lt;&gt;"",IF('02_固定地理'!A209="","缺少对象ID；","")&amp;IF('02_固定地理'!B209="","缺少中文名称；","")&amp;IF('02_固定地理'!D209="","缺少对象类型；","")&amp;IF(AND('02_固定地理'!F209&lt;&gt;"",OR('02_固定地理'!F209&lt;0,'02_固定地理'!F209&gt;WorldWidth)),"世界中心X越界；","")&amp;IF(AND('02_固定地理'!G209&lt;&gt;"",OR('02_固定地理'!G209&lt;0,'02_固定地理'!G209&gt;WorldHeight)),"世界中心Y越界；","")&amp;IF(AND('02_固定地理'!H209&lt;&gt;"",'02_固定地理'!J209&lt;&gt;"",'02_固定地理'!H209&gt;'02_固定地理'!J209),"最小X大于最大X；","")&amp;IF(AND('02_固定地理'!I209&lt;&gt;"",'02_固定地理'!K209&lt;&gt;"",'02_固定地理'!I209&gt;'02_固定地理'!K209),"最小Y大于最大Y；","")&amp;IF(AND('02_固定地理'!E209&lt;&gt;"",COUNTIF('02_固定地理'!$A$2:$A$501,'02_固定地理'!E209)=0),"父级对象不存在；","")&amp;IF(AND('02_固定地理'!A209&lt;&gt;"",COUNTIF('02_固定地理'!$A$2:$A$501,'02_固定地理'!A209)&gt;1),"ID重复；",""),"")</f>
        <v/>
      </c>
      <c r="G209" s="14">
        <f>IF(F209&lt;&gt;"","按字段批注、数据字典和来源记录修正后复核","")</f>
        <v/>
      </c>
      <c r="H209" s="14">
        <f>IF(F209&lt;&gt;"","待处理","")</f>
        <v/>
      </c>
    </row>
    <row r="210">
      <c r="A210" s="14">
        <f>IF(F210&lt;&gt;"","ISSUE-"&amp;TEXT(ROW()-1,"00000"),"")</f>
        <v/>
      </c>
      <c r="B210" s="14">
        <f>IF(F210&lt;&gt;"","错误","")</f>
        <v/>
      </c>
      <c r="C210" s="14">
        <f>IF('02_固定地理'!A210&lt;&gt;"","02_固定地理","")</f>
        <v/>
      </c>
      <c r="D210" s="14">
        <f>IF('02_固定地理'!A210&lt;&gt;"",'02_固定地理'!A210,"")</f>
        <v/>
      </c>
      <c r="E210" s="14">
        <f>IF(F210&lt;&gt;"","综合校验","")</f>
        <v/>
      </c>
      <c r="F210" s="14">
        <f>IF('02_固定地理'!A210&lt;&gt;"",IF('02_固定地理'!A210="","缺少对象ID；","")&amp;IF('02_固定地理'!B210="","缺少中文名称；","")&amp;IF('02_固定地理'!D210="","缺少对象类型；","")&amp;IF(AND('02_固定地理'!F210&lt;&gt;"",OR('02_固定地理'!F210&lt;0,'02_固定地理'!F210&gt;WorldWidth)),"世界中心X越界；","")&amp;IF(AND('02_固定地理'!G210&lt;&gt;"",OR('02_固定地理'!G210&lt;0,'02_固定地理'!G210&gt;WorldHeight)),"世界中心Y越界；","")&amp;IF(AND('02_固定地理'!H210&lt;&gt;"",'02_固定地理'!J210&lt;&gt;"",'02_固定地理'!H210&gt;'02_固定地理'!J210),"最小X大于最大X；","")&amp;IF(AND('02_固定地理'!I210&lt;&gt;"",'02_固定地理'!K210&lt;&gt;"",'02_固定地理'!I210&gt;'02_固定地理'!K210),"最小Y大于最大Y；","")&amp;IF(AND('02_固定地理'!E210&lt;&gt;"",COUNTIF('02_固定地理'!$A$2:$A$501,'02_固定地理'!E210)=0),"父级对象不存在；","")&amp;IF(AND('02_固定地理'!A210&lt;&gt;"",COUNTIF('02_固定地理'!$A$2:$A$501,'02_固定地理'!A210)&gt;1),"ID重复；",""),"")</f>
        <v/>
      </c>
      <c r="G210" s="14">
        <f>IF(F210&lt;&gt;"","按字段批注、数据字典和来源记录修正后复核","")</f>
        <v/>
      </c>
      <c r="H210" s="14">
        <f>IF(F210&lt;&gt;"","待处理","")</f>
        <v/>
      </c>
    </row>
    <row r="211">
      <c r="A211" s="14">
        <f>IF(F211&lt;&gt;"","ISSUE-"&amp;TEXT(ROW()-1,"00000"),"")</f>
        <v/>
      </c>
      <c r="B211" s="14">
        <f>IF(F211&lt;&gt;"","错误","")</f>
        <v/>
      </c>
      <c r="C211" s="14">
        <f>IF('02_固定地理'!A211&lt;&gt;"","02_固定地理","")</f>
        <v/>
      </c>
      <c r="D211" s="14">
        <f>IF('02_固定地理'!A211&lt;&gt;"",'02_固定地理'!A211,"")</f>
        <v/>
      </c>
      <c r="E211" s="14">
        <f>IF(F211&lt;&gt;"","综合校验","")</f>
        <v/>
      </c>
      <c r="F211" s="14">
        <f>IF('02_固定地理'!A211&lt;&gt;"",IF('02_固定地理'!A211="","缺少对象ID；","")&amp;IF('02_固定地理'!B211="","缺少中文名称；","")&amp;IF('02_固定地理'!D211="","缺少对象类型；","")&amp;IF(AND('02_固定地理'!F211&lt;&gt;"",OR('02_固定地理'!F211&lt;0,'02_固定地理'!F211&gt;WorldWidth)),"世界中心X越界；","")&amp;IF(AND('02_固定地理'!G211&lt;&gt;"",OR('02_固定地理'!G211&lt;0,'02_固定地理'!G211&gt;WorldHeight)),"世界中心Y越界；","")&amp;IF(AND('02_固定地理'!H211&lt;&gt;"",'02_固定地理'!J211&lt;&gt;"",'02_固定地理'!H211&gt;'02_固定地理'!J211),"最小X大于最大X；","")&amp;IF(AND('02_固定地理'!I211&lt;&gt;"",'02_固定地理'!K211&lt;&gt;"",'02_固定地理'!I211&gt;'02_固定地理'!K211),"最小Y大于最大Y；","")&amp;IF(AND('02_固定地理'!E211&lt;&gt;"",COUNTIF('02_固定地理'!$A$2:$A$501,'02_固定地理'!E211)=0),"父级对象不存在；","")&amp;IF(AND('02_固定地理'!A211&lt;&gt;"",COUNTIF('02_固定地理'!$A$2:$A$501,'02_固定地理'!A211)&gt;1),"ID重复；",""),"")</f>
        <v/>
      </c>
      <c r="G211" s="14">
        <f>IF(F211&lt;&gt;"","按字段批注、数据字典和来源记录修正后复核","")</f>
        <v/>
      </c>
      <c r="H211" s="14">
        <f>IF(F211&lt;&gt;"","待处理","")</f>
        <v/>
      </c>
    </row>
    <row r="212">
      <c r="A212" s="14">
        <f>IF(F212&lt;&gt;"","ISSUE-"&amp;TEXT(ROW()-1,"00000"),"")</f>
        <v/>
      </c>
      <c r="B212" s="14">
        <f>IF(F212&lt;&gt;"","错误","")</f>
        <v/>
      </c>
      <c r="C212" s="14">
        <f>IF('02_固定地理'!A212&lt;&gt;"","02_固定地理","")</f>
        <v/>
      </c>
      <c r="D212" s="14">
        <f>IF('02_固定地理'!A212&lt;&gt;"",'02_固定地理'!A212,"")</f>
        <v/>
      </c>
      <c r="E212" s="14">
        <f>IF(F212&lt;&gt;"","综合校验","")</f>
        <v/>
      </c>
      <c r="F212" s="14">
        <f>IF('02_固定地理'!A212&lt;&gt;"",IF('02_固定地理'!A212="","缺少对象ID；","")&amp;IF('02_固定地理'!B212="","缺少中文名称；","")&amp;IF('02_固定地理'!D212="","缺少对象类型；","")&amp;IF(AND('02_固定地理'!F212&lt;&gt;"",OR('02_固定地理'!F212&lt;0,'02_固定地理'!F212&gt;WorldWidth)),"世界中心X越界；","")&amp;IF(AND('02_固定地理'!G212&lt;&gt;"",OR('02_固定地理'!G212&lt;0,'02_固定地理'!G212&gt;WorldHeight)),"世界中心Y越界；","")&amp;IF(AND('02_固定地理'!H212&lt;&gt;"",'02_固定地理'!J212&lt;&gt;"",'02_固定地理'!H212&gt;'02_固定地理'!J212),"最小X大于最大X；","")&amp;IF(AND('02_固定地理'!I212&lt;&gt;"",'02_固定地理'!K212&lt;&gt;"",'02_固定地理'!I212&gt;'02_固定地理'!K212),"最小Y大于最大Y；","")&amp;IF(AND('02_固定地理'!E212&lt;&gt;"",COUNTIF('02_固定地理'!$A$2:$A$501,'02_固定地理'!E212)=0),"父级对象不存在；","")&amp;IF(AND('02_固定地理'!A212&lt;&gt;"",COUNTIF('02_固定地理'!$A$2:$A$501,'02_固定地理'!A212)&gt;1),"ID重复；",""),"")</f>
        <v/>
      </c>
      <c r="G212" s="14">
        <f>IF(F212&lt;&gt;"","按字段批注、数据字典和来源记录修正后复核","")</f>
        <v/>
      </c>
      <c r="H212" s="14">
        <f>IF(F212&lt;&gt;"","待处理","")</f>
        <v/>
      </c>
    </row>
    <row r="213">
      <c r="A213" s="14">
        <f>IF(F213&lt;&gt;"","ISSUE-"&amp;TEXT(ROW()-1,"00000"),"")</f>
        <v/>
      </c>
      <c r="B213" s="14">
        <f>IF(F213&lt;&gt;"","错误","")</f>
        <v/>
      </c>
      <c r="C213" s="14">
        <f>IF('02_固定地理'!A213&lt;&gt;"","02_固定地理","")</f>
        <v/>
      </c>
      <c r="D213" s="14">
        <f>IF('02_固定地理'!A213&lt;&gt;"",'02_固定地理'!A213,"")</f>
        <v/>
      </c>
      <c r="E213" s="14">
        <f>IF(F213&lt;&gt;"","综合校验","")</f>
        <v/>
      </c>
      <c r="F213" s="14">
        <f>IF('02_固定地理'!A213&lt;&gt;"",IF('02_固定地理'!A213="","缺少对象ID；","")&amp;IF('02_固定地理'!B213="","缺少中文名称；","")&amp;IF('02_固定地理'!D213="","缺少对象类型；","")&amp;IF(AND('02_固定地理'!F213&lt;&gt;"",OR('02_固定地理'!F213&lt;0,'02_固定地理'!F213&gt;WorldWidth)),"世界中心X越界；","")&amp;IF(AND('02_固定地理'!G213&lt;&gt;"",OR('02_固定地理'!G213&lt;0,'02_固定地理'!G213&gt;WorldHeight)),"世界中心Y越界；","")&amp;IF(AND('02_固定地理'!H213&lt;&gt;"",'02_固定地理'!J213&lt;&gt;"",'02_固定地理'!H213&gt;'02_固定地理'!J213),"最小X大于最大X；","")&amp;IF(AND('02_固定地理'!I213&lt;&gt;"",'02_固定地理'!K213&lt;&gt;"",'02_固定地理'!I213&gt;'02_固定地理'!K213),"最小Y大于最大Y；","")&amp;IF(AND('02_固定地理'!E213&lt;&gt;"",COUNTIF('02_固定地理'!$A$2:$A$501,'02_固定地理'!E213)=0),"父级对象不存在；","")&amp;IF(AND('02_固定地理'!A213&lt;&gt;"",COUNTIF('02_固定地理'!$A$2:$A$501,'02_固定地理'!A213)&gt;1),"ID重复；",""),"")</f>
        <v/>
      </c>
      <c r="G213" s="14">
        <f>IF(F213&lt;&gt;"","按字段批注、数据字典和来源记录修正后复核","")</f>
        <v/>
      </c>
      <c r="H213" s="14">
        <f>IF(F213&lt;&gt;"","待处理","")</f>
        <v/>
      </c>
    </row>
    <row r="214">
      <c r="A214" s="14">
        <f>IF(F214&lt;&gt;"","ISSUE-"&amp;TEXT(ROW()-1,"00000"),"")</f>
        <v/>
      </c>
      <c r="B214" s="14">
        <f>IF(F214&lt;&gt;"","错误","")</f>
        <v/>
      </c>
      <c r="C214" s="14">
        <f>IF('02_固定地理'!A214&lt;&gt;"","02_固定地理","")</f>
        <v/>
      </c>
      <c r="D214" s="14">
        <f>IF('02_固定地理'!A214&lt;&gt;"",'02_固定地理'!A214,"")</f>
        <v/>
      </c>
      <c r="E214" s="14">
        <f>IF(F214&lt;&gt;"","综合校验","")</f>
        <v/>
      </c>
      <c r="F214" s="14">
        <f>IF('02_固定地理'!A214&lt;&gt;"",IF('02_固定地理'!A214="","缺少对象ID；","")&amp;IF('02_固定地理'!B214="","缺少中文名称；","")&amp;IF('02_固定地理'!D214="","缺少对象类型；","")&amp;IF(AND('02_固定地理'!F214&lt;&gt;"",OR('02_固定地理'!F214&lt;0,'02_固定地理'!F214&gt;WorldWidth)),"世界中心X越界；","")&amp;IF(AND('02_固定地理'!G214&lt;&gt;"",OR('02_固定地理'!G214&lt;0,'02_固定地理'!G214&gt;WorldHeight)),"世界中心Y越界；","")&amp;IF(AND('02_固定地理'!H214&lt;&gt;"",'02_固定地理'!J214&lt;&gt;"",'02_固定地理'!H214&gt;'02_固定地理'!J214),"最小X大于最大X；","")&amp;IF(AND('02_固定地理'!I214&lt;&gt;"",'02_固定地理'!K214&lt;&gt;"",'02_固定地理'!I214&gt;'02_固定地理'!K214),"最小Y大于最大Y；","")&amp;IF(AND('02_固定地理'!E214&lt;&gt;"",COUNTIF('02_固定地理'!$A$2:$A$501,'02_固定地理'!E214)=0),"父级对象不存在；","")&amp;IF(AND('02_固定地理'!A214&lt;&gt;"",COUNTIF('02_固定地理'!$A$2:$A$501,'02_固定地理'!A214)&gt;1),"ID重复；",""),"")</f>
        <v/>
      </c>
      <c r="G214" s="14">
        <f>IF(F214&lt;&gt;"","按字段批注、数据字典和来源记录修正后复核","")</f>
        <v/>
      </c>
      <c r="H214" s="14">
        <f>IF(F214&lt;&gt;"","待处理","")</f>
        <v/>
      </c>
    </row>
    <row r="215">
      <c r="A215" s="14">
        <f>IF(F215&lt;&gt;"","ISSUE-"&amp;TEXT(ROW()-1,"00000"),"")</f>
        <v/>
      </c>
      <c r="B215" s="14">
        <f>IF(F215&lt;&gt;"","错误","")</f>
        <v/>
      </c>
      <c r="C215" s="14">
        <f>IF('02_固定地理'!A215&lt;&gt;"","02_固定地理","")</f>
        <v/>
      </c>
      <c r="D215" s="14">
        <f>IF('02_固定地理'!A215&lt;&gt;"",'02_固定地理'!A215,"")</f>
        <v/>
      </c>
      <c r="E215" s="14">
        <f>IF(F215&lt;&gt;"","综合校验","")</f>
        <v/>
      </c>
      <c r="F215" s="14">
        <f>IF('02_固定地理'!A215&lt;&gt;"",IF('02_固定地理'!A215="","缺少对象ID；","")&amp;IF('02_固定地理'!B215="","缺少中文名称；","")&amp;IF('02_固定地理'!D215="","缺少对象类型；","")&amp;IF(AND('02_固定地理'!F215&lt;&gt;"",OR('02_固定地理'!F215&lt;0,'02_固定地理'!F215&gt;WorldWidth)),"世界中心X越界；","")&amp;IF(AND('02_固定地理'!G215&lt;&gt;"",OR('02_固定地理'!G215&lt;0,'02_固定地理'!G215&gt;WorldHeight)),"世界中心Y越界；","")&amp;IF(AND('02_固定地理'!H215&lt;&gt;"",'02_固定地理'!J215&lt;&gt;"",'02_固定地理'!H215&gt;'02_固定地理'!J215),"最小X大于最大X；","")&amp;IF(AND('02_固定地理'!I215&lt;&gt;"",'02_固定地理'!K215&lt;&gt;"",'02_固定地理'!I215&gt;'02_固定地理'!K215),"最小Y大于最大Y；","")&amp;IF(AND('02_固定地理'!E215&lt;&gt;"",COUNTIF('02_固定地理'!$A$2:$A$501,'02_固定地理'!E215)=0),"父级对象不存在；","")&amp;IF(AND('02_固定地理'!A215&lt;&gt;"",COUNTIF('02_固定地理'!$A$2:$A$501,'02_固定地理'!A215)&gt;1),"ID重复；",""),"")</f>
        <v/>
      </c>
      <c r="G215" s="14">
        <f>IF(F215&lt;&gt;"","按字段批注、数据字典和来源记录修正后复核","")</f>
        <v/>
      </c>
      <c r="H215" s="14">
        <f>IF(F215&lt;&gt;"","待处理","")</f>
        <v/>
      </c>
    </row>
    <row r="216">
      <c r="A216" s="14">
        <f>IF(F216&lt;&gt;"","ISSUE-"&amp;TEXT(ROW()-1,"00000"),"")</f>
        <v/>
      </c>
      <c r="B216" s="14">
        <f>IF(F216&lt;&gt;"","错误","")</f>
        <v/>
      </c>
      <c r="C216" s="14">
        <f>IF('02_固定地理'!A216&lt;&gt;"","02_固定地理","")</f>
        <v/>
      </c>
      <c r="D216" s="14">
        <f>IF('02_固定地理'!A216&lt;&gt;"",'02_固定地理'!A216,"")</f>
        <v/>
      </c>
      <c r="E216" s="14">
        <f>IF(F216&lt;&gt;"","综合校验","")</f>
        <v/>
      </c>
      <c r="F216" s="14">
        <f>IF('02_固定地理'!A216&lt;&gt;"",IF('02_固定地理'!A216="","缺少对象ID；","")&amp;IF('02_固定地理'!B216="","缺少中文名称；","")&amp;IF('02_固定地理'!D216="","缺少对象类型；","")&amp;IF(AND('02_固定地理'!F216&lt;&gt;"",OR('02_固定地理'!F216&lt;0,'02_固定地理'!F216&gt;WorldWidth)),"世界中心X越界；","")&amp;IF(AND('02_固定地理'!G216&lt;&gt;"",OR('02_固定地理'!G216&lt;0,'02_固定地理'!G216&gt;WorldHeight)),"世界中心Y越界；","")&amp;IF(AND('02_固定地理'!H216&lt;&gt;"",'02_固定地理'!J216&lt;&gt;"",'02_固定地理'!H216&gt;'02_固定地理'!J216),"最小X大于最大X；","")&amp;IF(AND('02_固定地理'!I216&lt;&gt;"",'02_固定地理'!K216&lt;&gt;"",'02_固定地理'!I216&gt;'02_固定地理'!K216),"最小Y大于最大Y；","")&amp;IF(AND('02_固定地理'!E216&lt;&gt;"",COUNTIF('02_固定地理'!$A$2:$A$501,'02_固定地理'!E216)=0),"父级对象不存在；","")&amp;IF(AND('02_固定地理'!A216&lt;&gt;"",COUNTIF('02_固定地理'!$A$2:$A$501,'02_固定地理'!A216)&gt;1),"ID重复；",""),"")</f>
        <v/>
      </c>
      <c r="G216" s="14">
        <f>IF(F216&lt;&gt;"","按字段批注、数据字典和来源记录修正后复核","")</f>
        <v/>
      </c>
      <c r="H216" s="14">
        <f>IF(F216&lt;&gt;"","待处理","")</f>
        <v/>
      </c>
    </row>
    <row r="217">
      <c r="A217" s="14">
        <f>IF(F217&lt;&gt;"","ISSUE-"&amp;TEXT(ROW()-1,"00000"),"")</f>
        <v/>
      </c>
      <c r="B217" s="14">
        <f>IF(F217&lt;&gt;"","错误","")</f>
        <v/>
      </c>
      <c r="C217" s="14">
        <f>IF('02_固定地理'!A217&lt;&gt;"","02_固定地理","")</f>
        <v/>
      </c>
      <c r="D217" s="14">
        <f>IF('02_固定地理'!A217&lt;&gt;"",'02_固定地理'!A217,"")</f>
        <v/>
      </c>
      <c r="E217" s="14">
        <f>IF(F217&lt;&gt;"","综合校验","")</f>
        <v/>
      </c>
      <c r="F217" s="14">
        <f>IF('02_固定地理'!A217&lt;&gt;"",IF('02_固定地理'!A217="","缺少对象ID；","")&amp;IF('02_固定地理'!B217="","缺少中文名称；","")&amp;IF('02_固定地理'!D217="","缺少对象类型；","")&amp;IF(AND('02_固定地理'!F217&lt;&gt;"",OR('02_固定地理'!F217&lt;0,'02_固定地理'!F217&gt;WorldWidth)),"世界中心X越界；","")&amp;IF(AND('02_固定地理'!G217&lt;&gt;"",OR('02_固定地理'!G217&lt;0,'02_固定地理'!G217&gt;WorldHeight)),"世界中心Y越界；","")&amp;IF(AND('02_固定地理'!H217&lt;&gt;"",'02_固定地理'!J217&lt;&gt;"",'02_固定地理'!H217&gt;'02_固定地理'!J217),"最小X大于最大X；","")&amp;IF(AND('02_固定地理'!I217&lt;&gt;"",'02_固定地理'!K217&lt;&gt;"",'02_固定地理'!I217&gt;'02_固定地理'!K217),"最小Y大于最大Y；","")&amp;IF(AND('02_固定地理'!E217&lt;&gt;"",COUNTIF('02_固定地理'!$A$2:$A$501,'02_固定地理'!E217)=0),"父级对象不存在；","")&amp;IF(AND('02_固定地理'!A217&lt;&gt;"",COUNTIF('02_固定地理'!$A$2:$A$501,'02_固定地理'!A217)&gt;1),"ID重复；",""),"")</f>
        <v/>
      </c>
      <c r="G217" s="14">
        <f>IF(F217&lt;&gt;"","按字段批注、数据字典和来源记录修正后复核","")</f>
        <v/>
      </c>
      <c r="H217" s="14">
        <f>IF(F217&lt;&gt;"","待处理","")</f>
        <v/>
      </c>
    </row>
    <row r="218">
      <c r="A218" s="14">
        <f>IF(F218&lt;&gt;"","ISSUE-"&amp;TEXT(ROW()-1,"00000"),"")</f>
        <v/>
      </c>
      <c r="B218" s="14">
        <f>IF(F218&lt;&gt;"","错误","")</f>
        <v/>
      </c>
      <c r="C218" s="14">
        <f>IF('02_固定地理'!A218&lt;&gt;"","02_固定地理","")</f>
        <v/>
      </c>
      <c r="D218" s="14">
        <f>IF('02_固定地理'!A218&lt;&gt;"",'02_固定地理'!A218,"")</f>
        <v/>
      </c>
      <c r="E218" s="14">
        <f>IF(F218&lt;&gt;"","综合校验","")</f>
        <v/>
      </c>
      <c r="F218" s="14">
        <f>IF('02_固定地理'!A218&lt;&gt;"",IF('02_固定地理'!A218="","缺少对象ID；","")&amp;IF('02_固定地理'!B218="","缺少中文名称；","")&amp;IF('02_固定地理'!D218="","缺少对象类型；","")&amp;IF(AND('02_固定地理'!F218&lt;&gt;"",OR('02_固定地理'!F218&lt;0,'02_固定地理'!F218&gt;WorldWidth)),"世界中心X越界；","")&amp;IF(AND('02_固定地理'!G218&lt;&gt;"",OR('02_固定地理'!G218&lt;0,'02_固定地理'!G218&gt;WorldHeight)),"世界中心Y越界；","")&amp;IF(AND('02_固定地理'!H218&lt;&gt;"",'02_固定地理'!J218&lt;&gt;"",'02_固定地理'!H218&gt;'02_固定地理'!J218),"最小X大于最大X；","")&amp;IF(AND('02_固定地理'!I218&lt;&gt;"",'02_固定地理'!K218&lt;&gt;"",'02_固定地理'!I218&gt;'02_固定地理'!K218),"最小Y大于最大Y；","")&amp;IF(AND('02_固定地理'!E218&lt;&gt;"",COUNTIF('02_固定地理'!$A$2:$A$501,'02_固定地理'!E218)=0),"父级对象不存在；","")&amp;IF(AND('02_固定地理'!A218&lt;&gt;"",COUNTIF('02_固定地理'!$A$2:$A$501,'02_固定地理'!A218)&gt;1),"ID重复；",""),"")</f>
        <v/>
      </c>
      <c r="G218" s="14">
        <f>IF(F218&lt;&gt;"","按字段批注、数据字典和来源记录修正后复核","")</f>
        <v/>
      </c>
      <c r="H218" s="14">
        <f>IF(F218&lt;&gt;"","待处理","")</f>
        <v/>
      </c>
    </row>
    <row r="219">
      <c r="A219" s="14">
        <f>IF(F219&lt;&gt;"","ISSUE-"&amp;TEXT(ROW()-1,"00000"),"")</f>
        <v/>
      </c>
      <c r="B219" s="14">
        <f>IF(F219&lt;&gt;"","错误","")</f>
        <v/>
      </c>
      <c r="C219" s="14">
        <f>IF('02_固定地理'!A219&lt;&gt;"","02_固定地理","")</f>
        <v/>
      </c>
      <c r="D219" s="14">
        <f>IF('02_固定地理'!A219&lt;&gt;"",'02_固定地理'!A219,"")</f>
        <v/>
      </c>
      <c r="E219" s="14">
        <f>IF(F219&lt;&gt;"","综合校验","")</f>
        <v/>
      </c>
      <c r="F219" s="14">
        <f>IF('02_固定地理'!A219&lt;&gt;"",IF('02_固定地理'!A219="","缺少对象ID；","")&amp;IF('02_固定地理'!B219="","缺少中文名称；","")&amp;IF('02_固定地理'!D219="","缺少对象类型；","")&amp;IF(AND('02_固定地理'!F219&lt;&gt;"",OR('02_固定地理'!F219&lt;0,'02_固定地理'!F219&gt;WorldWidth)),"世界中心X越界；","")&amp;IF(AND('02_固定地理'!G219&lt;&gt;"",OR('02_固定地理'!G219&lt;0,'02_固定地理'!G219&gt;WorldHeight)),"世界中心Y越界；","")&amp;IF(AND('02_固定地理'!H219&lt;&gt;"",'02_固定地理'!J219&lt;&gt;"",'02_固定地理'!H219&gt;'02_固定地理'!J219),"最小X大于最大X；","")&amp;IF(AND('02_固定地理'!I219&lt;&gt;"",'02_固定地理'!K219&lt;&gt;"",'02_固定地理'!I219&gt;'02_固定地理'!K219),"最小Y大于最大Y；","")&amp;IF(AND('02_固定地理'!E219&lt;&gt;"",COUNTIF('02_固定地理'!$A$2:$A$501,'02_固定地理'!E219)=0),"父级对象不存在；","")&amp;IF(AND('02_固定地理'!A219&lt;&gt;"",COUNTIF('02_固定地理'!$A$2:$A$501,'02_固定地理'!A219)&gt;1),"ID重复；",""),"")</f>
        <v/>
      </c>
      <c r="G219" s="14">
        <f>IF(F219&lt;&gt;"","按字段批注、数据字典和来源记录修正后复核","")</f>
        <v/>
      </c>
      <c r="H219" s="14">
        <f>IF(F219&lt;&gt;"","待处理","")</f>
        <v/>
      </c>
    </row>
    <row r="220">
      <c r="A220" s="14">
        <f>IF(F220&lt;&gt;"","ISSUE-"&amp;TEXT(ROW()-1,"00000"),"")</f>
        <v/>
      </c>
      <c r="B220" s="14">
        <f>IF(F220&lt;&gt;"","错误","")</f>
        <v/>
      </c>
      <c r="C220" s="14">
        <f>IF('02_固定地理'!A220&lt;&gt;"","02_固定地理","")</f>
        <v/>
      </c>
      <c r="D220" s="14">
        <f>IF('02_固定地理'!A220&lt;&gt;"",'02_固定地理'!A220,"")</f>
        <v/>
      </c>
      <c r="E220" s="14">
        <f>IF(F220&lt;&gt;"","综合校验","")</f>
        <v/>
      </c>
      <c r="F220" s="14">
        <f>IF('02_固定地理'!A220&lt;&gt;"",IF('02_固定地理'!A220="","缺少对象ID；","")&amp;IF('02_固定地理'!B220="","缺少中文名称；","")&amp;IF('02_固定地理'!D220="","缺少对象类型；","")&amp;IF(AND('02_固定地理'!F220&lt;&gt;"",OR('02_固定地理'!F220&lt;0,'02_固定地理'!F220&gt;WorldWidth)),"世界中心X越界；","")&amp;IF(AND('02_固定地理'!G220&lt;&gt;"",OR('02_固定地理'!G220&lt;0,'02_固定地理'!G220&gt;WorldHeight)),"世界中心Y越界；","")&amp;IF(AND('02_固定地理'!H220&lt;&gt;"",'02_固定地理'!J220&lt;&gt;"",'02_固定地理'!H220&gt;'02_固定地理'!J220),"最小X大于最大X；","")&amp;IF(AND('02_固定地理'!I220&lt;&gt;"",'02_固定地理'!K220&lt;&gt;"",'02_固定地理'!I220&gt;'02_固定地理'!K220),"最小Y大于最大Y；","")&amp;IF(AND('02_固定地理'!E220&lt;&gt;"",COUNTIF('02_固定地理'!$A$2:$A$501,'02_固定地理'!E220)=0),"父级对象不存在；","")&amp;IF(AND('02_固定地理'!A220&lt;&gt;"",COUNTIF('02_固定地理'!$A$2:$A$501,'02_固定地理'!A220)&gt;1),"ID重复；",""),"")</f>
        <v/>
      </c>
      <c r="G220" s="14">
        <f>IF(F220&lt;&gt;"","按字段批注、数据字典和来源记录修正后复核","")</f>
        <v/>
      </c>
      <c r="H220" s="14">
        <f>IF(F220&lt;&gt;"","待处理","")</f>
        <v/>
      </c>
    </row>
    <row r="221">
      <c r="A221" s="14">
        <f>IF(F221&lt;&gt;"","ISSUE-"&amp;TEXT(ROW()-1,"00000"),"")</f>
        <v/>
      </c>
      <c r="B221" s="14">
        <f>IF(F221&lt;&gt;"","错误","")</f>
        <v/>
      </c>
      <c r="C221" s="14">
        <f>IF('02_固定地理'!A221&lt;&gt;"","02_固定地理","")</f>
        <v/>
      </c>
      <c r="D221" s="14">
        <f>IF('02_固定地理'!A221&lt;&gt;"",'02_固定地理'!A221,"")</f>
        <v/>
      </c>
      <c r="E221" s="14">
        <f>IF(F221&lt;&gt;"","综合校验","")</f>
        <v/>
      </c>
      <c r="F221" s="14">
        <f>IF('02_固定地理'!A221&lt;&gt;"",IF('02_固定地理'!A221="","缺少对象ID；","")&amp;IF('02_固定地理'!B221="","缺少中文名称；","")&amp;IF('02_固定地理'!D221="","缺少对象类型；","")&amp;IF(AND('02_固定地理'!F221&lt;&gt;"",OR('02_固定地理'!F221&lt;0,'02_固定地理'!F221&gt;WorldWidth)),"世界中心X越界；","")&amp;IF(AND('02_固定地理'!G221&lt;&gt;"",OR('02_固定地理'!G221&lt;0,'02_固定地理'!G221&gt;WorldHeight)),"世界中心Y越界；","")&amp;IF(AND('02_固定地理'!H221&lt;&gt;"",'02_固定地理'!J221&lt;&gt;"",'02_固定地理'!H221&gt;'02_固定地理'!J221),"最小X大于最大X；","")&amp;IF(AND('02_固定地理'!I221&lt;&gt;"",'02_固定地理'!K221&lt;&gt;"",'02_固定地理'!I221&gt;'02_固定地理'!K221),"最小Y大于最大Y；","")&amp;IF(AND('02_固定地理'!E221&lt;&gt;"",COUNTIF('02_固定地理'!$A$2:$A$501,'02_固定地理'!E221)=0),"父级对象不存在；","")&amp;IF(AND('02_固定地理'!A221&lt;&gt;"",COUNTIF('02_固定地理'!$A$2:$A$501,'02_固定地理'!A221)&gt;1),"ID重复；",""),"")</f>
        <v/>
      </c>
      <c r="G221" s="14">
        <f>IF(F221&lt;&gt;"","按字段批注、数据字典和来源记录修正后复核","")</f>
        <v/>
      </c>
      <c r="H221" s="14">
        <f>IF(F221&lt;&gt;"","待处理","")</f>
        <v/>
      </c>
    </row>
    <row r="222">
      <c r="A222" s="14">
        <f>IF(F222&lt;&gt;"","ISSUE-"&amp;TEXT(ROW()-1,"00000"),"")</f>
        <v/>
      </c>
      <c r="B222" s="14">
        <f>IF(F222&lt;&gt;"","错误","")</f>
        <v/>
      </c>
      <c r="C222" s="14">
        <f>IF('02_固定地理'!A222&lt;&gt;"","02_固定地理","")</f>
        <v/>
      </c>
      <c r="D222" s="14">
        <f>IF('02_固定地理'!A222&lt;&gt;"",'02_固定地理'!A222,"")</f>
        <v/>
      </c>
      <c r="E222" s="14">
        <f>IF(F222&lt;&gt;"","综合校验","")</f>
        <v/>
      </c>
      <c r="F222" s="14">
        <f>IF('02_固定地理'!A222&lt;&gt;"",IF('02_固定地理'!A222="","缺少对象ID；","")&amp;IF('02_固定地理'!B222="","缺少中文名称；","")&amp;IF('02_固定地理'!D222="","缺少对象类型；","")&amp;IF(AND('02_固定地理'!F222&lt;&gt;"",OR('02_固定地理'!F222&lt;0,'02_固定地理'!F222&gt;WorldWidth)),"世界中心X越界；","")&amp;IF(AND('02_固定地理'!G222&lt;&gt;"",OR('02_固定地理'!G222&lt;0,'02_固定地理'!G222&gt;WorldHeight)),"世界中心Y越界；","")&amp;IF(AND('02_固定地理'!H222&lt;&gt;"",'02_固定地理'!J222&lt;&gt;"",'02_固定地理'!H222&gt;'02_固定地理'!J222),"最小X大于最大X；","")&amp;IF(AND('02_固定地理'!I222&lt;&gt;"",'02_固定地理'!K222&lt;&gt;"",'02_固定地理'!I222&gt;'02_固定地理'!K222),"最小Y大于最大Y；","")&amp;IF(AND('02_固定地理'!E222&lt;&gt;"",COUNTIF('02_固定地理'!$A$2:$A$501,'02_固定地理'!E222)=0),"父级对象不存在；","")&amp;IF(AND('02_固定地理'!A222&lt;&gt;"",COUNTIF('02_固定地理'!$A$2:$A$501,'02_固定地理'!A222)&gt;1),"ID重复；",""),"")</f>
        <v/>
      </c>
      <c r="G222" s="14">
        <f>IF(F222&lt;&gt;"","按字段批注、数据字典和来源记录修正后复核","")</f>
        <v/>
      </c>
      <c r="H222" s="14">
        <f>IF(F222&lt;&gt;"","待处理","")</f>
        <v/>
      </c>
    </row>
    <row r="223">
      <c r="A223" s="14">
        <f>IF(F223&lt;&gt;"","ISSUE-"&amp;TEXT(ROW()-1,"00000"),"")</f>
        <v/>
      </c>
      <c r="B223" s="14">
        <f>IF(F223&lt;&gt;"","错误","")</f>
        <v/>
      </c>
      <c r="C223" s="14">
        <f>IF('02_固定地理'!A223&lt;&gt;"","02_固定地理","")</f>
        <v/>
      </c>
      <c r="D223" s="14">
        <f>IF('02_固定地理'!A223&lt;&gt;"",'02_固定地理'!A223,"")</f>
        <v/>
      </c>
      <c r="E223" s="14">
        <f>IF(F223&lt;&gt;"","综合校验","")</f>
        <v/>
      </c>
      <c r="F223" s="14">
        <f>IF('02_固定地理'!A223&lt;&gt;"",IF('02_固定地理'!A223="","缺少对象ID；","")&amp;IF('02_固定地理'!B223="","缺少中文名称；","")&amp;IF('02_固定地理'!D223="","缺少对象类型；","")&amp;IF(AND('02_固定地理'!F223&lt;&gt;"",OR('02_固定地理'!F223&lt;0,'02_固定地理'!F223&gt;WorldWidth)),"世界中心X越界；","")&amp;IF(AND('02_固定地理'!G223&lt;&gt;"",OR('02_固定地理'!G223&lt;0,'02_固定地理'!G223&gt;WorldHeight)),"世界中心Y越界；","")&amp;IF(AND('02_固定地理'!H223&lt;&gt;"",'02_固定地理'!J223&lt;&gt;"",'02_固定地理'!H223&gt;'02_固定地理'!J223),"最小X大于最大X；","")&amp;IF(AND('02_固定地理'!I223&lt;&gt;"",'02_固定地理'!K223&lt;&gt;"",'02_固定地理'!I223&gt;'02_固定地理'!K223),"最小Y大于最大Y；","")&amp;IF(AND('02_固定地理'!E223&lt;&gt;"",COUNTIF('02_固定地理'!$A$2:$A$501,'02_固定地理'!E223)=0),"父级对象不存在；","")&amp;IF(AND('02_固定地理'!A223&lt;&gt;"",COUNTIF('02_固定地理'!$A$2:$A$501,'02_固定地理'!A223)&gt;1),"ID重复；",""),"")</f>
        <v/>
      </c>
      <c r="G223" s="14">
        <f>IF(F223&lt;&gt;"","按字段批注、数据字典和来源记录修正后复核","")</f>
        <v/>
      </c>
      <c r="H223" s="14">
        <f>IF(F223&lt;&gt;"","待处理","")</f>
        <v/>
      </c>
    </row>
    <row r="224">
      <c r="A224" s="14">
        <f>IF(F224&lt;&gt;"","ISSUE-"&amp;TEXT(ROW()-1,"00000"),"")</f>
        <v/>
      </c>
      <c r="B224" s="14">
        <f>IF(F224&lt;&gt;"","错误","")</f>
        <v/>
      </c>
      <c r="C224" s="14">
        <f>IF('02_固定地理'!A224&lt;&gt;"","02_固定地理","")</f>
        <v/>
      </c>
      <c r="D224" s="14">
        <f>IF('02_固定地理'!A224&lt;&gt;"",'02_固定地理'!A224,"")</f>
        <v/>
      </c>
      <c r="E224" s="14">
        <f>IF(F224&lt;&gt;"","综合校验","")</f>
        <v/>
      </c>
      <c r="F224" s="14">
        <f>IF('02_固定地理'!A224&lt;&gt;"",IF('02_固定地理'!A224="","缺少对象ID；","")&amp;IF('02_固定地理'!B224="","缺少中文名称；","")&amp;IF('02_固定地理'!D224="","缺少对象类型；","")&amp;IF(AND('02_固定地理'!F224&lt;&gt;"",OR('02_固定地理'!F224&lt;0,'02_固定地理'!F224&gt;WorldWidth)),"世界中心X越界；","")&amp;IF(AND('02_固定地理'!G224&lt;&gt;"",OR('02_固定地理'!G224&lt;0,'02_固定地理'!G224&gt;WorldHeight)),"世界中心Y越界；","")&amp;IF(AND('02_固定地理'!H224&lt;&gt;"",'02_固定地理'!J224&lt;&gt;"",'02_固定地理'!H224&gt;'02_固定地理'!J224),"最小X大于最大X；","")&amp;IF(AND('02_固定地理'!I224&lt;&gt;"",'02_固定地理'!K224&lt;&gt;"",'02_固定地理'!I224&gt;'02_固定地理'!K224),"最小Y大于最大Y；","")&amp;IF(AND('02_固定地理'!E224&lt;&gt;"",COUNTIF('02_固定地理'!$A$2:$A$501,'02_固定地理'!E224)=0),"父级对象不存在；","")&amp;IF(AND('02_固定地理'!A224&lt;&gt;"",COUNTIF('02_固定地理'!$A$2:$A$501,'02_固定地理'!A224)&gt;1),"ID重复；",""),"")</f>
        <v/>
      </c>
      <c r="G224" s="14">
        <f>IF(F224&lt;&gt;"","按字段批注、数据字典和来源记录修正后复核","")</f>
        <v/>
      </c>
      <c r="H224" s="14">
        <f>IF(F224&lt;&gt;"","待处理","")</f>
        <v/>
      </c>
    </row>
    <row r="225">
      <c r="A225" s="14">
        <f>IF(F225&lt;&gt;"","ISSUE-"&amp;TEXT(ROW()-1,"00000"),"")</f>
        <v/>
      </c>
      <c r="B225" s="14">
        <f>IF(F225&lt;&gt;"","错误","")</f>
        <v/>
      </c>
      <c r="C225" s="14">
        <f>IF('02_固定地理'!A225&lt;&gt;"","02_固定地理","")</f>
        <v/>
      </c>
      <c r="D225" s="14">
        <f>IF('02_固定地理'!A225&lt;&gt;"",'02_固定地理'!A225,"")</f>
        <v/>
      </c>
      <c r="E225" s="14">
        <f>IF(F225&lt;&gt;"","综合校验","")</f>
        <v/>
      </c>
      <c r="F225" s="14">
        <f>IF('02_固定地理'!A225&lt;&gt;"",IF('02_固定地理'!A225="","缺少对象ID；","")&amp;IF('02_固定地理'!B225="","缺少中文名称；","")&amp;IF('02_固定地理'!D225="","缺少对象类型；","")&amp;IF(AND('02_固定地理'!F225&lt;&gt;"",OR('02_固定地理'!F225&lt;0,'02_固定地理'!F225&gt;WorldWidth)),"世界中心X越界；","")&amp;IF(AND('02_固定地理'!G225&lt;&gt;"",OR('02_固定地理'!G225&lt;0,'02_固定地理'!G225&gt;WorldHeight)),"世界中心Y越界；","")&amp;IF(AND('02_固定地理'!H225&lt;&gt;"",'02_固定地理'!J225&lt;&gt;"",'02_固定地理'!H225&gt;'02_固定地理'!J225),"最小X大于最大X；","")&amp;IF(AND('02_固定地理'!I225&lt;&gt;"",'02_固定地理'!K225&lt;&gt;"",'02_固定地理'!I225&gt;'02_固定地理'!K225),"最小Y大于最大Y；","")&amp;IF(AND('02_固定地理'!E225&lt;&gt;"",COUNTIF('02_固定地理'!$A$2:$A$501,'02_固定地理'!E225)=0),"父级对象不存在；","")&amp;IF(AND('02_固定地理'!A225&lt;&gt;"",COUNTIF('02_固定地理'!$A$2:$A$501,'02_固定地理'!A225)&gt;1),"ID重复；",""),"")</f>
        <v/>
      </c>
      <c r="G225" s="14">
        <f>IF(F225&lt;&gt;"","按字段批注、数据字典和来源记录修正后复核","")</f>
        <v/>
      </c>
      <c r="H225" s="14">
        <f>IF(F225&lt;&gt;"","待处理","")</f>
        <v/>
      </c>
    </row>
    <row r="226">
      <c r="A226" s="14">
        <f>IF(F226&lt;&gt;"","ISSUE-"&amp;TEXT(ROW()-1,"00000"),"")</f>
        <v/>
      </c>
      <c r="B226" s="14">
        <f>IF(F226&lt;&gt;"","错误","")</f>
        <v/>
      </c>
      <c r="C226" s="14">
        <f>IF('02_固定地理'!A226&lt;&gt;"","02_固定地理","")</f>
        <v/>
      </c>
      <c r="D226" s="14">
        <f>IF('02_固定地理'!A226&lt;&gt;"",'02_固定地理'!A226,"")</f>
        <v/>
      </c>
      <c r="E226" s="14">
        <f>IF(F226&lt;&gt;"","综合校验","")</f>
        <v/>
      </c>
      <c r="F226" s="14">
        <f>IF('02_固定地理'!A226&lt;&gt;"",IF('02_固定地理'!A226="","缺少对象ID；","")&amp;IF('02_固定地理'!B226="","缺少中文名称；","")&amp;IF('02_固定地理'!D226="","缺少对象类型；","")&amp;IF(AND('02_固定地理'!F226&lt;&gt;"",OR('02_固定地理'!F226&lt;0,'02_固定地理'!F226&gt;WorldWidth)),"世界中心X越界；","")&amp;IF(AND('02_固定地理'!G226&lt;&gt;"",OR('02_固定地理'!G226&lt;0,'02_固定地理'!G226&gt;WorldHeight)),"世界中心Y越界；","")&amp;IF(AND('02_固定地理'!H226&lt;&gt;"",'02_固定地理'!J226&lt;&gt;"",'02_固定地理'!H226&gt;'02_固定地理'!J226),"最小X大于最大X；","")&amp;IF(AND('02_固定地理'!I226&lt;&gt;"",'02_固定地理'!K226&lt;&gt;"",'02_固定地理'!I226&gt;'02_固定地理'!K226),"最小Y大于最大Y；","")&amp;IF(AND('02_固定地理'!E226&lt;&gt;"",COUNTIF('02_固定地理'!$A$2:$A$501,'02_固定地理'!E226)=0),"父级对象不存在；","")&amp;IF(AND('02_固定地理'!A226&lt;&gt;"",COUNTIF('02_固定地理'!$A$2:$A$501,'02_固定地理'!A226)&gt;1),"ID重复；",""),"")</f>
        <v/>
      </c>
      <c r="G226" s="14">
        <f>IF(F226&lt;&gt;"","按字段批注、数据字典和来源记录修正后复核","")</f>
        <v/>
      </c>
      <c r="H226" s="14">
        <f>IF(F226&lt;&gt;"","待处理","")</f>
        <v/>
      </c>
    </row>
    <row r="227">
      <c r="A227" s="14">
        <f>IF(F227&lt;&gt;"","ISSUE-"&amp;TEXT(ROW()-1,"00000"),"")</f>
        <v/>
      </c>
      <c r="B227" s="14">
        <f>IF(F227&lt;&gt;"","错误","")</f>
        <v/>
      </c>
      <c r="C227" s="14">
        <f>IF('02_固定地理'!A227&lt;&gt;"","02_固定地理","")</f>
        <v/>
      </c>
      <c r="D227" s="14">
        <f>IF('02_固定地理'!A227&lt;&gt;"",'02_固定地理'!A227,"")</f>
        <v/>
      </c>
      <c r="E227" s="14">
        <f>IF(F227&lt;&gt;"","综合校验","")</f>
        <v/>
      </c>
      <c r="F227" s="14">
        <f>IF('02_固定地理'!A227&lt;&gt;"",IF('02_固定地理'!A227="","缺少对象ID；","")&amp;IF('02_固定地理'!B227="","缺少中文名称；","")&amp;IF('02_固定地理'!D227="","缺少对象类型；","")&amp;IF(AND('02_固定地理'!F227&lt;&gt;"",OR('02_固定地理'!F227&lt;0,'02_固定地理'!F227&gt;WorldWidth)),"世界中心X越界；","")&amp;IF(AND('02_固定地理'!G227&lt;&gt;"",OR('02_固定地理'!G227&lt;0,'02_固定地理'!G227&gt;WorldHeight)),"世界中心Y越界；","")&amp;IF(AND('02_固定地理'!H227&lt;&gt;"",'02_固定地理'!J227&lt;&gt;"",'02_固定地理'!H227&gt;'02_固定地理'!J227),"最小X大于最大X；","")&amp;IF(AND('02_固定地理'!I227&lt;&gt;"",'02_固定地理'!K227&lt;&gt;"",'02_固定地理'!I227&gt;'02_固定地理'!K227),"最小Y大于最大Y；","")&amp;IF(AND('02_固定地理'!E227&lt;&gt;"",COUNTIF('02_固定地理'!$A$2:$A$501,'02_固定地理'!E227)=0),"父级对象不存在；","")&amp;IF(AND('02_固定地理'!A227&lt;&gt;"",COUNTIF('02_固定地理'!$A$2:$A$501,'02_固定地理'!A227)&gt;1),"ID重复；",""),"")</f>
        <v/>
      </c>
      <c r="G227" s="14">
        <f>IF(F227&lt;&gt;"","按字段批注、数据字典和来源记录修正后复核","")</f>
        <v/>
      </c>
      <c r="H227" s="14">
        <f>IF(F227&lt;&gt;"","待处理","")</f>
        <v/>
      </c>
    </row>
    <row r="228">
      <c r="A228" s="14">
        <f>IF(F228&lt;&gt;"","ISSUE-"&amp;TEXT(ROW()-1,"00000"),"")</f>
        <v/>
      </c>
      <c r="B228" s="14">
        <f>IF(F228&lt;&gt;"","错误","")</f>
        <v/>
      </c>
      <c r="C228" s="14">
        <f>IF('02_固定地理'!A228&lt;&gt;"","02_固定地理","")</f>
        <v/>
      </c>
      <c r="D228" s="14">
        <f>IF('02_固定地理'!A228&lt;&gt;"",'02_固定地理'!A228,"")</f>
        <v/>
      </c>
      <c r="E228" s="14">
        <f>IF(F228&lt;&gt;"","综合校验","")</f>
        <v/>
      </c>
      <c r="F228" s="14">
        <f>IF('02_固定地理'!A228&lt;&gt;"",IF('02_固定地理'!A228="","缺少对象ID；","")&amp;IF('02_固定地理'!B228="","缺少中文名称；","")&amp;IF('02_固定地理'!D228="","缺少对象类型；","")&amp;IF(AND('02_固定地理'!F228&lt;&gt;"",OR('02_固定地理'!F228&lt;0,'02_固定地理'!F228&gt;WorldWidth)),"世界中心X越界；","")&amp;IF(AND('02_固定地理'!G228&lt;&gt;"",OR('02_固定地理'!G228&lt;0,'02_固定地理'!G228&gt;WorldHeight)),"世界中心Y越界；","")&amp;IF(AND('02_固定地理'!H228&lt;&gt;"",'02_固定地理'!J228&lt;&gt;"",'02_固定地理'!H228&gt;'02_固定地理'!J228),"最小X大于最大X；","")&amp;IF(AND('02_固定地理'!I228&lt;&gt;"",'02_固定地理'!K228&lt;&gt;"",'02_固定地理'!I228&gt;'02_固定地理'!K228),"最小Y大于最大Y；","")&amp;IF(AND('02_固定地理'!E228&lt;&gt;"",COUNTIF('02_固定地理'!$A$2:$A$501,'02_固定地理'!E228)=0),"父级对象不存在；","")&amp;IF(AND('02_固定地理'!A228&lt;&gt;"",COUNTIF('02_固定地理'!$A$2:$A$501,'02_固定地理'!A228)&gt;1),"ID重复；",""),"")</f>
        <v/>
      </c>
      <c r="G228" s="14">
        <f>IF(F228&lt;&gt;"","按字段批注、数据字典和来源记录修正后复核","")</f>
        <v/>
      </c>
      <c r="H228" s="14">
        <f>IF(F228&lt;&gt;"","待处理","")</f>
        <v/>
      </c>
    </row>
    <row r="229">
      <c r="A229" s="14">
        <f>IF(F229&lt;&gt;"","ISSUE-"&amp;TEXT(ROW()-1,"00000"),"")</f>
        <v/>
      </c>
      <c r="B229" s="14">
        <f>IF(F229&lt;&gt;"","错误","")</f>
        <v/>
      </c>
      <c r="C229" s="14">
        <f>IF('02_固定地理'!A229&lt;&gt;"","02_固定地理","")</f>
        <v/>
      </c>
      <c r="D229" s="14">
        <f>IF('02_固定地理'!A229&lt;&gt;"",'02_固定地理'!A229,"")</f>
        <v/>
      </c>
      <c r="E229" s="14">
        <f>IF(F229&lt;&gt;"","综合校验","")</f>
        <v/>
      </c>
      <c r="F229" s="14">
        <f>IF('02_固定地理'!A229&lt;&gt;"",IF('02_固定地理'!A229="","缺少对象ID；","")&amp;IF('02_固定地理'!B229="","缺少中文名称；","")&amp;IF('02_固定地理'!D229="","缺少对象类型；","")&amp;IF(AND('02_固定地理'!F229&lt;&gt;"",OR('02_固定地理'!F229&lt;0,'02_固定地理'!F229&gt;WorldWidth)),"世界中心X越界；","")&amp;IF(AND('02_固定地理'!G229&lt;&gt;"",OR('02_固定地理'!G229&lt;0,'02_固定地理'!G229&gt;WorldHeight)),"世界中心Y越界；","")&amp;IF(AND('02_固定地理'!H229&lt;&gt;"",'02_固定地理'!J229&lt;&gt;"",'02_固定地理'!H229&gt;'02_固定地理'!J229),"最小X大于最大X；","")&amp;IF(AND('02_固定地理'!I229&lt;&gt;"",'02_固定地理'!K229&lt;&gt;"",'02_固定地理'!I229&gt;'02_固定地理'!K229),"最小Y大于最大Y；","")&amp;IF(AND('02_固定地理'!E229&lt;&gt;"",COUNTIF('02_固定地理'!$A$2:$A$501,'02_固定地理'!E229)=0),"父级对象不存在；","")&amp;IF(AND('02_固定地理'!A229&lt;&gt;"",COUNTIF('02_固定地理'!$A$2:$A$501,'02_固定地理'!A229)&gt;1),"ID重复；",""),"")</f>
        <v/>
      </c>
      <c r="G229" s="14">
        <f>IF(F229&lt;&gt;"","按字段批注、数据字典和来源记录修正后复核","")</f>
        <v/>
      </c>
      <c r="H229" s="14">
        <f>IF(F229&lt;&gt;"","待处理","")</f>
        <v/>
      </c>
    </row>
    <row r="230">
      <c r="A230" s="14">
        <f>IF(F230&lt;&gt;"","ISSUE-"&amp;TEXT(ROW()-1,"00000"),"")</f>
        <v/>
      </c>
      <c r="B230" s="14">
        <f>IF(F230&lt;&gt;"","错误","")</f>
        <v/>
      </c>
      <c r="C230" s="14">
        <f>IF('02_固定地理'!A230&lt;&gt;"","02_固定地理","")</f>
        <v/>
      </c>
      <c r="D230" s="14">
        <f>IF('02_固定地理'!A230&lt;&gt;"",'02_固定地理'!A230,"")</f>
        <v/>
      </c>
      <c r="E230" s="14">
        <f>IF(F230&lt;&gt;"","综合校验","")</f>
        <v/>
      </c>
      <c r="F230" s="14">
        <f>IF('02_固定地理'!A230&lt;&gt;"",IF('02_固定地理'!A230="","缺少对象ID；","")&amp;IF('02_固定地理'!B230="","缺少中文名称；","")&amp;IF('02_固定地理'!D230="","缺少对象类型；","")&amp;IF(AND('02_固定地理'!F230&lt;&gt;"",OR('02_固定地理'!F230&lt;0,'02_固定地理'!F230&gt;WorldWidth)),"世界中心X越界；","")&amp;IF(AND('02_固定地理'!G230&lt;&gt;"",OR('02_固定地理'!G230&lt;0,'02_固定地理'!G230&gt;WorldHeight)),"世界中心Y越界；","")&amp;IF(AND('02_固定地理'!H230&lt;&gt;"",'02_固定地理'!J230&lt;&gt;"",'02_固定地理'!H230&gt;'02_固定地理'!J230),"最小X大于最大X；","")&amp;IF(AND('02_固定地理'!I230&lt;&gt;"",'02_固定地理'!K230&lt;&gt;"",'02_固定地理'!I230&gt;'02_固定地理'!K230),"最小Y大于最大Y；","")&amp;IF(AND('02_固定地理'!E230&lt;&gt;"",COUNTIF('02_固定地理'!$A$2:$A$501,'02_固定地理'!E230)=0),"父级对象不存在；","")&amp;IF(AND('02_固定地理'!A230&lt;&gt;"",COUNTIF('02_固定地理'!$A$2:$A$501,'02_固定地理'!A230)&gt;1),"ID重复；",""),"")</f>
        <v/>
      </c>
      <c r="G230" s="14">
        <f>IF(F230&lt;&gt;"","按字段批注、数据字典和来源记录修正后复核","")</f>
        <v/>
      </c>
      <c r="H230" s="14">
        <f>IF(F230&lt;&gt;"","待处理","")</f>
        <v/>
      </c>
    </row>
    <row r="231">
      <c r="A231" s="14">
        <f>IF(F231&lt;&gt;"","ISSUE-"&amp;TEXT(ROW()-1,"00000"),"")</f>
        <v/>
      </c>
      <c r="B231" s="14">
        <f>IF(F231&lt;&gt;"","错误","")</f>
        <v/>
      </c>
      <c r="C231" s="14">
        <f>IF('02_固定地理'!A231&lt;&gt;"","02_固定地理","")</f>
        <v/>
      </c>
      <c r="D231" s="14">
        <f>IF('02_固定地理'!A231&lt;&gt;"",'02_固定地理'!A231,"")</f>
        <v/>
      </c>
      <c r="E231" s="14">
        <f>IF(F231&lt;&gt;"","综合校验","")</f>
        <v/>
      </c>
      <c r="F231" s="14">
        <f>IF('02_固定地理'!A231&lt;&gt;"",IF('02_固定地理'!A231="","缺少对象ID；","")&amp;IF('02_固定地理'!B231="","缺少中文名称；","")&amp;IF('02_固定地理'!D231="","缺少对象类型；","")&amp;IF(AND('02_固定地理'!F231&lt;&gt;"",OR('02_固定地理'!F231&lt;0,'02_固定地理'!F231&gt;WorldWidth)),"世界中心X越界；","")&amp;IF(AND('02_固定地理'!G231&lt;&gt;"",OR('02_固定地理'!G231&lt;0,'02_固定地理'!G231&gt;WorldHeight)),"世界中心Y越界；","")&amp;IF(AND('02_固定地理'!H231&lt;&gt;"",'02_固定地理'!J231&lt;&gt;"",'02_固定地理'!H231&gt;'02_固定地理'!J231),"最小X大于最大X；","")&amp;IF(AND('02_固定地理'!I231&lt;&gt;"",'02_固定地理'!K231&lt;&gt;"",'02_固定地理'!I231&gt;'02_固定地理'!K231),"最小Y大于最大Y；","")&amp;IF(AND('02_固定地理'!E231&lt;&gt;"",COUNTIF('02_固定地理'!$A$2:$A$501,'02_固定地理'!E231)=0),"父级对象不存在；","")&amp;IF(AND('02_固定地理'!A231&lt;&gt;"",COUNTIF('02_固定地理'!$A$2:$A$501,'02_固定地理'!A231)&gt;1),"ID重复；",""),"")</f>
        <v/>
      </c>
      <c r="G231" s="14">
        <f>IF(F231&lt;&gt;"","按字段批注、数据字典和来源记录修正后复核","")</f>
        <v/>
      </c>
      <c r="H231" s="14">
        <f>IF(F231&lt;&gt;"","待处理","")</f>
        <v/>
      </c>
    </row>
    <row r="232">
      <c r="A232" s="14">
        <f>IF(F232&lt;&gt;"","ISSUE-"&amp;TEXT(ROW()-1,"00000"),"")</f>
        <v/>
      </c>
      <c r="B232" s="14">
        <f>IF(F232&lt;&gt;"","错误","")</f>
        <v/>
      </c>
      <c r="C232" s="14">
        <f>IF('02_固定地理'!A232&lt;&gt;"","02_固定地理","")</f>
        <v/>
      </c>
      <c r="D232" s="14">
        <f>IF('02_固定地理'!A232&lt;&gt;"",'02_固定地理'!A232,"")</f>
        <v/>
      </c>
      <c r="E232" s="14">
        <f>IF(F232&lt;&gt;"","综合校验","")</f>
        <v/>
      </c>
      <c r="F232" s="14">
        <f>IF('02_固定地理'!A232&lt;&gt;"",IF('02_固定地理'!A232="","缺少对象ID；","")&amp;IF('02_固定地理'!B232="","缺少中文名称；","")&amp;IF('02_固定地理'!D232="","缺少对象类型；","")&amp;IF(AND('02_固定地理'!F232&lt;&gt;"",OR('02_固定地理'!F232&lt;0,'02_固定地理'!F232&gt;WorldWidth)),"世界中心X越界；","")&amp;IF(AND('02_固定地理'!G232&lt;&gt;"",OR('02_固定地理'!G232&lt;0,'02_固定地理'!G232&gt;WorldHeight)),"世界中心Y越界；","")&amp;IF(AND('02_固定地理'!H232&lt;&gt;"",'02_固定地理'!J232&lt;&gt;"",'02_固定地理'!H232&gt;'02_固定地理'!J232),"最小X大于最大X；","")&amp;IF(AND('02_固定地理'!I232&lt;&gt;"",'02_固定地理'!K232&lt;&gt;"",'02_固定地理'!I232&gt;'02_固定地理'!K232),"最小Y大于最大Y；","")&amp;IF(AND('02_固定地理'!E232&lt;&gt;"",COUNTIF('02_固定地理'!$A$2:$A$501,'02_固定地理'!E232)=0),"父级对象不存在；","")&amp;IF(AND('02_固定地理'!A232&lt;&gt;"",COUNTIF('02_固定地理'!$A$2:$A$501,'02_固定地理'!A232)&gt;1),"ID重复；",""),"")</f>
        <v/>
      </c>
      <c r="G232" s="14">
        <f>IF(F232&lt;&gt;"","按字段批注、数据字典和来源记录修正后复核","")</f>
        <v/>
      </c>
      <c r="H232" s="14">
        <f>IF(F232&lt;&gt;"","待处理","")</f>
        <v/>
      </c>
    </row>
    <row r="233">
      <c r="A233" s="14">
        <f>IF(F233&lt;&gt;"","ISSUE-"&amp;TEXT(ROW()-1,"00000"),"")</f>
        <v/>
      </c>
      <c r="B233" s="14">
        <f>IF(F233&lt;&gt;"","错误","")</f>
        <v/>
      </c>
      <c r="C233" s="14">
        <f>IF('02_固定地理'!A233&lt;&gt;"","02_固定地理","")</f>
        <v/>
      </c>
      <c r="D233" s="14">
        <f>IF('02_固定地理'!A233&lt;&gt;"",'02_固定地理'!A233,"")</f>
        <v/>
      </c>
      <c r="E233" s="14">
        <f>IF(F233&lt;&gt;"","综合校验","")</f>
        <v/>
      </c>
      <c r="F233" s="14">
        <f>IF('02_固定地理'!A233&lt;&gt;"",IF('02_固定地理'!A233="","缺少对象ID；","")&amp;IF('02_固定地理'!B233="","缺少中文名称；","")&amp;IF('02_固定地理'!D233="","缺少对象类型；","")&amp;IF(AND('02_固定地理'!F233&lt;&gt;"",OR('02_固定地理'!F233&lt;0,'02_固定地理'!F233&gt;WorldWidth)),"世界中心X越界；","")&amp;IF(AND('02_固定地理'!G233&lt;&gt;"",OR('02_固定地理'!G233&lt;0,'02_固定地理'!G233&gt;WorldHeight)),"世界中心Y越界；","")&amp;IF(AND('02_固定地理'!H233&lt;&gt;"",'02_固定地理'!J233&lt;&gt;"",'02_固定地理'!H233&gt;'02_固定地理'!J233),"最小X大于最大X；","")&amp;IF(AND('02_固定地理'!I233&lt;&gt;"",'02_固定地理'!K233&lt;&gt;"",'02_固定地理'!I233&gt;'02_固定地理'!K233),"最小Y大于最大Y；","")&amp;IF(AND('02_固定地理'!E233&lt;&gt;"",COUNTIF('02_固定地理'!$A$2:$A$501,'02_固定地理'!E233)=0),"父级对象不存在；","")&amp;IF(AND('02_固定地理'!A233&lt;&gt;"",COUNTIF('02_固定地理'!$A$2:$A$501,'02_固定地理'!A233)&gt;1),"ID重复；",""),"")</f>
        <v/>
      </c>
      <c r="G233" s="14">
        <f>IF(F233&lt;&gt;"","按字段批注、数据字典和来源记录修正后复核","")</f>
        <v/>
      </c>
      <c r="H233" s="14">
        <f>IF(F233&lt;&gt;"","待处理","")</f>
        <v/>
      </c>
    </row>
    <row r="234">
      <c r="A234" s="14">
        <f>IF(F234&lt;&gt;"","ISSUE-"&amp;TEXT(ROW()-1,"00000"),"")</f>
        <v/>
      </c>
      <c r="B234" s="14">
        <f>IF(F234&lt;&gt;"","错误","")</f>
        <v/>
      </c>
      <c r="C234" s="14">
        <f>IF('02_固定地理'!A234&lt;&gt;"","02_固定地理","")</f>
        <v/>
      </c>
      <c r="D234" s="14">
        <f>IF('02_固定地理'!A234&lt;&gt;"",'02_固定地理'!A234,"")</f>
        <v/>
      </c>
      <c r="E234" s="14">
        <f>IF(F234&lt;&gt;"","综合校验","")</f>
        <v/>
      </c>
      <c r="F234" s="14">
        <f>IF('02_固定地理'!A234&lt;&gt;"",IF('02_固定地理'!A234="","缺少对象ID；","")&amp;IF('02_固定地理'!B234="","缺少中文名称；","")&amp;IF('02_固定地理'!D234="","缺少对象类型；","")&amp;IF(AND('02_固定地理'!F234&lt;&gt;"",OR('02_固定地理'!F234&lt;0,'02_固定地理'!F234&gt;WorldWidth)),"世界中心X越界；","")&amp;IF(AND('02_固定地理'!G234&lt;&gt;"",OR('02_固定地理'!G234&lt;0,'02_固定地理'!G234&gt;WorldHeight)),"世界中心Y越界；","")&amp;IF(AND('02_固定地理'!H234&lt;&gt;"",'02_固定地理'!J234&lt;&gt;"",'02_固定地理'!H234&gt;'02_固定地理'!J234),"最小X大于最大X；","")&amp;IF(AND('02_固定地理'!I234&lt;&gt;"",'02_固定地理'!K234&lt;&gt;"",'02_固定地理'!I234&gt;'02_固定地理'!K234),"最小Y大于最大Y；","")&amp;IF(AND('02_固定地理'!E234&lt;&gt;"",COUNTIF('02_固定地理'!$A$2:$A$501,'02_固定地理'!E234)=0),"父级对象不存在；","")&amp;IF(AND('02_固定地理'!A234&lt;&gt;"",COUNTIF('02_固定地理'!$A$2:$A$501,'02_固定地理'!A234)&gt;1),"ID重复；",""),"")</f>
        <v/>
      </c>
      <c r="G234" s="14">
        <f>IF(F234&lt;&gt;"","按字段批注、数据字典和来源记录修正后复核","")</f>
        <v/>
      </c>
      <c r="H234" s="14">
        <f>IF(F234&lt;&gt;"","待处理","")</f>
        <v/>
      </c>
    </row>
    <row r="235">
      <c r="A235" s="14">
        <f>IF(F235&lt;&gt;"","ISSUE-"&amp;TEXT(ROW()-1,"00000"),"")</f>
        <v/>
      </c>
      <c r="B235" s="14">
        <f>IF(F235&lt;&gt;"","错误","")</f>
        <v/>
      </c>
      <c r="C235" s="14">
        <f>IF('02_固定地理'!A235&lt;&gt;"","02_固定地理","")</f>
        <v/>
      </c>
      <c r="D235" s="14">
        <f>IF('02_固定地理'!A235&lt;&gt;"",'02_固定地理'!A235,"")</f>
        <v/>
      </c>
      <c r="E235" s="14">
        <f>IF(F235&lt;&gt;"","综合校验","")</f>
        <v/>
      </c>
      <c r="F235" s="14">
        <f>IF('02_固定地理'!A235&lt;&gt;"",IF('02_固定地理'!A235="","缺少对象ID；","")&amp;IF('02_固定地理'!B235="","缺少中文名称；","")&amp;IF('02_固定地理'!D235="","缺少对象类型；","")&amp;IF(AND('02_固定地理'!F235&lt;&gt;"",OR('02_固定地理'!F235&lt;0,'02_固定地理'!F235&gt;WorldWidth)),"世界中心X越界；","")&amp;IF(AND('02_固定地理'!G235&lt;&gt;"",OR('02_固定地理'!G235&lt;0,'02_固定地理'!G235&gt;WorldHeight)),"世界中心Y越界；","")&amp;IF(AND('02_固定地理'!H235&lt;&gt;"",'02_固定地理'!J235&lt;&gt;"",'02_固定地理'!H235&gt;'02_固定地理'!J235),"最小X大于最大X；","")&amp;IF(AND('02_固定地理'!I235&lt;&gt;"",'02_固定地理'!K235&lt;&gt;"",'02_固定地理'!I235&gt;'02_固定地理'!K235),"最小Y大于最大Y；","")&amp;IF(AND('02_固定地理'!E235&lt;&gt;"",COUNTIF('02_固定地理'!$A$2:$A$501,'02_固定地理'!E235)=0),"父级对象不存在；","")&amp;IF(AND('02_固定地理'!A235&lt;&gt;"",COUNTIF('02_固定地理'!$A$2:$A$501,'02_固定地理'!A235)&gt;1),"ID重复；",""),"")</f>
        <v/>
      </c>
      <c r="G235" s="14">
        <f>IF(F235&lt;&gt;"","按字段批注、数据字典和来源记录修正后复核","")</f>
        <v/>
      </c>
      <c r="H235" s="14">
        <f>IF(F235&lt;&gt;"","待处理","")</f>
        <v/>
      </c>
    </row>
    <row r="236">
      <c r="A236" s="14">
        <f>IF(F236&lt;&gt;"","ISSUE-"&amp;TEXT(ROW()-1,"00000"),"")</f>
        <v/>
      </c>
      <c r="B236" s="14">
        <f>IF(F236&lt;&gt;"","错误","")</f>
        <v/>
      </c>
      <c r="C236" s="14">
        <f>IF('02_固定地理'!A236&lt;&gt;"","02_固定地理","")</f>
        <v/>
      </c>
      <c r="D236" s="14">
        <f>IF('02_固定地理'!A236&lt;&gt;"",'02_固定地理'!A236,"")</f>
        <v/>
      </c>
      <c r="E236" s="14">
        <f>IF(F236&lt;&gt;"","综合校验","")</f>
        <v/>
      </c>
      <c r="F236" s="14">
        <f>IF('02_固定地理'!A236&lt;&gt;"",IF('02_固定地理'!A236="","缺少对象ID；","")&amp;IF('02_固定地理'!B236="","缺少中文名称；","")&amp;IF('02_固定地理'!D236="","缺少对象类型；","")&amp;IF(AND('02_固定地理'!F236&lt;&gt;"",OR('02_固定地理'!F236&lt;0,'02_固定地理'!F236&gt;WorldWidth)),"世界中心X越界；","")&amp;IF(AND('02_固定地理'!G236&lt;&gt;"",OR('02_固定地理'!G236&lt;0,'02_固定地理'!G236&gt;WorldHeight)),"世界中心Y越界；","")&amp;IF(AND('02_固定地理'!H236&lt;&gt;"",'02_固定地理'!J236&lt;&gt;"",'02_固定地理'!H236&gt;'02_固定地理'!J236),"最小X大于最大X；","")&amp;IF(AND('02_固定地理'!I236&lt;&gt;"",'02_固定地理'!K236&lt;&gt;"",'02_固定地理'!I236&gt;'02_固定地理'!K236),"最小Y大于最大Y；","")&amp;IF(AND('02_固定地理'!E236&lt;&gt;"",COUNTIF('02_固定地理'!$A$2:$A$501,'02_固定地理'!E236)=0),"父级对象不存在；","")&amp;IF(AND('02_固定地理'!A236&lt;&gt;"",COUNTIF('02_固定地理'!$A$2:$A$501,'02_固定地理'!A236)&gt;1),"ID重复；",""),"")</f>
        <v/>
      </c>
      <c r="G236" s="14">
        <f>IF(F236&lt;&gt;"","按字段批注、数据字典和来源记录修正后复核","")</f>
        <v/>
      </c>
      <c r="H236" s="14">
        <f>IF(F236&lt;&gt;"","待处理","")</f>
        <v/>
      </c>
    </row>
    <row r="237">
      <c r="A237" s="14">
        <f>IF(F237&lt;&gt;"","ISSUE-"&amp;TEXT(ROW()-1,"00000"),"")</f>
        <v/>
      </c>
      <c r="B237" s="14">
        <f>IF(F237&lt;&gt;"","错误","")</f>
        <v/>
      </c>
      <c r="C237" s="14">
        <f>IF('02_固定地理'!A237&lt;&gt;"","02_固定地理","")</f>
        <v/>
      </c>
      <c r="D237" s="14">
        <f>IF('02_固定地理'!A237&lt;&gt;"",'02_固定地理'!A237,"")</f>
        <v/>
      </c>
      <c r="E237" s="14">
        <f>IF(F237&lt;&gt;"","综合校验","")</f>
        <v/>
      </c>
      <c r="F237" s="14">
        <f>IF('02_固定地理'!A237&lt;&gt;"",IF('02_固定地理'!A237="","缺少对象ID；","")&amp;IF('02_固定地理'!B237="","缺少中文名称；","")&amp;IF('02_固定地理'!D237="","缺少对象类型；","")&amp;IF(AND('02_固定地理'!F237&lt;&gt;"",OR('02_固定地理'!F237&lt;0,'02_固定地理'!F237&gt;WorldWidth)),"世界中心X越界；","")&amp;IF(AND('02_固定地理'!G237&lt;&gt;"",OR('02_固定地理'!G237&lt;0,'02_固定地理'!G237&gt;WorldHeight)),"世界中心Y越界；","")&amp;IF(AND('02_固定地理'!H237&lt;&gt;"",'02_固定地理'!J237&lt;&gt;"",'02_固定地理'!H237&gt;'02_固定地理'!J237),"最小X大于最大X；","")&amp;IF(AND('02_固定地理'!I237&lt;&gt;"",'02_固定地理'!K237&lt;&gt;"",'02_固定地理'!I237&gt;'02_固定地理'!K237),"最小Y大于最大Y；","")&amp;IF(AND('02_固定地理'!E237&lt;&gt;"",COUNTIF('02_固定地理'!$A$2:$A$501,'02_固定地理'!E237)=0),"父级对象不存在；","")&amp;IF(AND('02_固定地理'!A237&lt;&gt;"",COUNTIF('02_固定地理'!$A$2:$A$501,'02_固定地理'!A237)&gt;1),"ID重复；",""),"")</f>
        <v/>
      </c>
      <c r="G237" s="14">
        <f>IF(F237&lt;&gt;"","按字段批注、数据字典和来源记录修正后复核","")</f>
        <v/>
      </c>
      <c r="H237" s="14">
        <f>IF(F237&lt;&gt;"","待处理","")</f>
        <v/>
      </c>
    </row>
    <row r="238">
      <c r="A238" s="14">
        <f>IF(F238&lt;&gt;"","ISSUE-"&amp;TEXT(ROW()-1,"00000"),"")</f>
        <v/>
      </c>
      <c r="B238" s="14">
        <f>IF(F238&lt;&gt;"","错误","")</f>
        <v/>
      </c>
      <c r="C238" s="14">
        <f>IF('02_固定地理'!A238&lt;&gt;"","02_固定地理","")</f>
        <v/>
      </c>
      <c r="D238" s="14">
        <f>IF('02_固定地理'!A238&lt;&gt;"",'02_固定地理'!A238,"")</f>
        <v/>
      </c>
      <c r="E238" s="14">
        <f>IF(F238&lt;&gt;"","综合校验","")</f>
        <v/>
      </c>
      <c r="F238" s="14">
        <f>IF('02_固定地理'!A238&lt;&gt;"",IF('02_固定地理'!A238="","缺少对象ID；","")&amp;IF('02_固定地理'!B238="","缺少中文名称；","")&amp;IF('02_固定地理'!D238="","缺少对象类型；","")&amp;IF(AND('02_固定地理'!F238&lt;&gt;"",OR('02_固定地理'!F238&lt;0,'02_固定地理'!F238&gt;WorldWidth)),"世界中心X越界；","")&amp;IF(AND('02_固定地理'!G238&lt;&gt;"",OR('02_固定地理'!G238&lt;0,'02_固定地理'!G238&gt;WorldHeight)),"世界中心Y越界；","")&amp;IF(AND('02_固定地理'!H238&lt;&gt;"",'02_固定地理'!J238&lt;&gt;"",'02_固定地理'!H238&gt;'02_固定地理'!J238),"最小X大于最大X；","")&amp;IF(AND('02_固定地理'!I238&lt;&gt;"",'02_固定地理'!K238&lt;&gt;"",'02_固定地理'!I238&gt;'02_固定地理'!K238),"最小Y大于最大Y；","")&amp;IF(AND('02_固定地理'!E238&lt;&gt;"",COUNTIF('02_固定地理'!$A$2:$A$501,'02_固定地理'!E238)=0),"父级对象不存在；","")&amp;IF(AND('02_固定地理'!A238&lt;&gt;"",COUNTIF('02_固定地理'!$A$2:$A$501,'02_固定地理'!A238)&gt;1),"ID重复；",""),"")</f>
        <v/>
      </c>
      <c r="G238" s="14">
        <f>IF(F238&lt;&gt;"","按字段批注、数据字典和来源记录修正后复核","")</f>
        <v/>
      </c>
      <c r="H238" s="14">
        <f>IF(F238&lt;&gt;"","待处理","")</f>
        <v/>
      </c>
    </row>
    <row r="239">
      <c r="A239" s="14">
        <f>IF(F239&lt;&gt;"","ISSUE-"&amp;TEXT(ROW()-1,"00000"),"")</f>
        <v/>
      </c>
      <c r="B239" s="14">
        <f>IF(F239&lt;&gt;"","错误","")</f>
        <v/>
      </c>
      <c r="C239" s="14">
        <f>IF('02_固定地理'!A239&lt;&gt;"","02_固定地理","")</f>
        <v/>
      </c>
      <c r="D239" s="14">
        <f>IF('02_固定地理'!A239&lt;&gt;"",'02_固定地理'!A239,"")</f>
        <v/>
      </c>
      <c r="E239" s="14">
        <f>IF(F239&lt;&gt;"","综合校验","")</f>
        <v/>
      </c>
      <c r="F239" s="14">
        <f>IF('02_固定地理'!A239&lt;&gt;"",IF('02_固定地理'!A239="","缺少对象ID；","")&amp;IF('02_固定地理'!B239="","缺少中文名称；","")&amp;IF('02_固定地理'!D239="","缺少对象类型；","")&amp;IF(AND('02_固定地理'!F239&lt;&gt;"",OR('02_固定地理'!F239&lt;0,'02_固定地理'!F239&gt;WorldWidth)),"世界中心X越界；","")&amp;IF(AND('02_固定地理'!G239&lt;&gt;"",OR('02_固定地理'!G239&lt;0,'02_固定地理'!G239&gt;WorldHeight)),"世界中心Y越界；","")&amp;IF(AND('02_固定地理'!H239&lt;&gt;"",'02_固定地理'!J239&lt;&gt;"",'02_固定地理'!H239&gt;'02_固定地理'!J239),"最小X大于最大X；","")&amp;IF(AND('02_固定地理'!I239&lt;&gt;"",'02_固定地理'!K239&lt;&gt;"",'02_固定地理'!I239&gt;'02_固定地理'!K239),"最小Y大于最大Y；","")&amp;IF(AND('02_固定地理'!E239&lt;&gt;"",COUNTIF('02_固定地理'!$A$2:$A$501,'02_固定地理'!E239)=0),"父级对象不存在；","")&amp;IF(AND('02_固定地理'!A239&lt;&gt;"",COUNTIF('02_固定地理'!$A$2:$A$501,'02_固定地理'!A239)&gt;1),"ID重复；",""),"")</f>
        <v/>
      </c>
      <c r="G239" s="14">
        <f>IF(F239&lt;&gt;"","按字段批注、数据字典和来源记录修正后复核","")</f>
        <v/>
      </c>
      <c r="H239" s="14">
        <f>IF(F239&lt;&gt;"","待处理","")</f>
        <v/>
      </c>
    </row>
    <row r="240">
      <c r="A240" s="14">
        <f>IF(F240&lt;&gt;"","ISSUE-"&amp;TEXT(ROW()-1,"00000"),"")</f>
        <v/>
      </c>
      <c r="B240" s="14">
        <f>IF(F240&lt;&gt;"","错误","")</f>
        <v/>
      </c>
      <c r="C240" s="14">
        <f>IF('02_固定地理'!A240&lt;&gt;"","02_固定地理","")</f>
        <v/>
      </c>
      <c r="D240" s="14">
        <f>IF('02_固定地理'!A240&lt;&gt;"",'02_固定地理'!A240,"")</f>
        <v/>
      </c>
      <c r="E240" s="14">
        <f>IF(F240&lt;&gt;"","综合校验","")</f>
        <v/>
      </c>
      <c r="F240" s="14">
        <f>IF('02_固定地理'!A240&lt;&gt;"",IF('02_固定地理'!A240="","缺少对象ID；","")&amp;IF('02_固定地理'!B240="","缺少中文名称；","")&amp;IF('02_固定地理'!D240="","缺少对象类型；","")&amp;IF(AND('02_固定地理'!F240&lt;&gt;"",OR('02_固定地理'!F240&lt;0,'02_固定地理'!F240&gt;WorldWidth)),"世界中心X越界；","")&amp;IF(AND('02_固定地理'!G240&lt;&gt;"",OR('02_固定地理'!G240&lt;0,'02_固定地理'!G240&gt;WorldHeight)),"世界中心Y越界；","")&amp;IF(AND('02_固定地理'!H240&lt;&gt;"",'02_固定地理'!J240&lt;&gt;"",'02_固定地理'!H240&gt;'02_固定地理'!J240),"最小X大于最大X；","")&amp;IF(AND('02_固定地理'!I240&lt;&gt;"",'02_固定地理'!K240&lt;&gt;"",'02_固定地理'!I240&gt;'02_固定地理'!K240),"最小Y大于最大Y；","")&amp;IF(AND('02_固定地理'!E240&lt;&gt;"",COUNTIF('02_固定地理'!$A$2:$A$501,'02_固定地理'!E240)=0),"父级对象不存在；","")&amp;IF(AND('02_固定地理'!A240&lt;&gt;"",COUNTIF('02_固定地理'!$A$2:$A$501,'02_固定地理'!A240)&gt;1),"ID重复；",""),"")</f>
        <v/>
      </c>
      <c r="G240" s="14">
        <f>IF(F240&lt;&gt;"","按字段批注、数据字典和来源记录修正后复核","")</f>
        <v/>
      </c>
      <c r="H240" s="14">
        <f>IF(F240&lt;&gt;"","待处理","")</f>
        <v/>
      </c>
    </row>
    <row r="241">
      <c r="A241" s="14">
        <f>IF(F241&lt;&gt;"","ISSUE-"&amp;TEXT(ROW()-1,"00000"),"")</f>
        <v/>
      </c>
      <c r="B241" s="14">
        <f>IF(F241&lt;&gt;"","错误","")</f>
        <v/>
      </c>
      <c r="C241" s="14">
        <f>IF('02_固定地理'!A241&lt;&gt;"","02_固定地理","")</f>
        <v/>
      </c>
      <c r="D241" s="14">
        <f>IF('02_固定地理'!A241&lt;&gt;"",'02_固定地理'!A241,"")</f>
        <v/>
      </c>
      <c r="E241" s="14">
        <f>IF(F241&lt;&gt;"","综合校验","")</f>
        <v/>
      </c>
      <c r="F241" s="14">
        <f>IF('02_固定地理'!A241&lt;&gt;"",IF('02_固定地理'!A241="","缺少对象ID；","")&amp;IF('02_固定地理'!B241="","缺少中文名称；","")&amp;IF('02_固定地理'!D241="","缺少对象类型；","")&amp;IF(AND('02_固定地理'!F241&lt;&gt;"",OR('02_固定地理'!F241&lt;0,'02_固定地理'!F241&gt;WorldWidth)),"世界中心X越界；","")&amp;IF(AND('02_固定地理'!G241&lt;&gt;"",OR('02_固定地理'!G241&lt;0,'02_固定地理'!G241&gt;WorldHeight)),"世界中心Y越界；","")&amp;IF(AND('02_固定地理'!H241&lt;&gt;"",'02_固定地理'!J241&lt;&gt;"",'02_固定地理'!H241&gt;'02_固定地理'!J241),"最小X大于最大X；","")&amp;IF(AND('02_固定地理'!I241&lt;&gt;"",'02_固定地理'!K241&lt;&gt;"",'02_固定地理'!I241&gt;'02_固定地理'!K241),"最小Y大于最大Y；","")&amp;IF(AND('02_固定地理'!E241&lt;&gt;"",COUNTIF('02_固定地理'!$A$2:$A$501,'02_固定地理'!E241)=0),"父级对象不存在；","")&amp;IF(AND('02_固定地理'!A241&lt;&gt;"",COUNTIF('02_固定地理'!$A$2:$A$501,'02_固定地理'!A241)&gt;1),"ID重复；",""),"")</f>
        <v/>
      </c>
      <c r="G241" s="14">
        <f>IF(F241&lt;&gt;"","按字段批注、数据字典和来源记录修正后复核","")</f>
        <v/>
      </c>
      <c r="H241" s="14">
        <f>IF(F241&lt;&gt;"","待处理","")</f>
        <v/>
      </c>
    </row>
    <row r="242">
      <c r="A242" s="14">
        <f>IF(F242&lt;&gt;"","ISSUE-"&amp;TEXT(ROW()-1,"00000"),"")</f>
        <v/>
      </c>
      <c r="B242" s="14">
        <f>IF(F242&lt;&gt;"","错误","")</f>
        <v/>
      </c>
      <c r="C242" s="14">
        <f>IF('02_固定地理'!A242&lt;&gt;"","02_固定地理","")</f>
        <v/>
      </c>
      <c r="D242" s="14">
        <f>IF('02_固定地理'!A242&lt;&gt;"",'02_固定地理'!A242,"")</f>
        <v/>
      </c>
      <c r="E242" s="14">
        <f>IF(F242&lt;&gt;"","综合校验","")</f>
        <v/>
      </c>
      <c r="F242" s="14">
        <f>IF('02_固定地理'!A242&lt;&gt;"",IF('02_固定地理'!A242="","缺少对象ID；","")&amp;IF('02_固定地理'!B242="","缺少中文名称；","")&amp;IF('02_固定地理'!D242="","缺少对象类型；","")&amp;IF(AND('02_固定地理'!F242&lt;&gt;"",OR('02_固定地理'!F242&lt;0,'02_固定地理'!F242&gt;WorldWidth)),"世界中心X越界；","")&amp;IF(AND('02_固定地理'!G242&lt;&gt;"",OR('02_固定地理'!G242&lt;0,'02_固定地理'!G242&gt;WorldHeight)),"世界中心Y越界；","")&amp;IF(AND('02_固定地理'!H242&lt;&gt;"",'02_固定地理'!J242&lt;&gt;"",'02_固定地理'!H242&gt;'02_固定地理'!J242),"最小X大于最大X；","")&amp;IF(AND('02_固定地理'!I242&lt;&gt;"",'02_固定地理'!K242&lt;&gt;"",'02_固定地理'!I242&gt;'02_固定地理'!K242),"最小Y大于最大Y；","")&amp;IF(AND('02_固定地理'!E242&lt;&gt;"",COUNTIF('02_固定地理'!$A$2:$A$501,'02_固定地理'!E242)=0),"父级对象不存在；","")&amp;IF(AND('02_固定地理'!A242&lt;&gt;"",COUNTIF('02_固定地理'!$A$2:$A$501,'02_固定地理'!A242)&gt;1),"ID重复；",""),"")</f>
        <v/>
      </c>
      <c r="G242" s="14">
        <f>IF(F242&lt;&gt;"","按字段批注、数据字典和来源记录修正后复核","")</f>
        <v/>
      </c>
      <c r="H242" s="14">
        <f>IF(F242&lt;&gt;"","待处理","")</f>
        <v/>
      </c>
    </row>
    <row r="243">
      <c r="A243" s="14">
        <f>IF(F243&lt;&gt;"","ISSUE-"&amp;TEXT(ROW()-1,"00000"),"")</f>
        <v/>
      </c>
      <c r="B243" s="14">
        <f>IF(F243&lt;&gt;"","错误","")</f>
        <v/>
      </c>
      <c r="C243" s="14">
        <f>IF('02_固定地理'!A243&lt;&gt;"","02_固定地理","")</f>
        <v/>
      </c>
      <c r="D243" s="14">
        <f>IF('02_固定地理'!A243&lt;&gt;"",'02_固定地理'!A243,"")</f>
        <v/>
      </c>
      <c r="E243" s="14">
        <f>IF(F243&lt;&gt;"","综合校验","")</f>
        <v/>
      </c>
      <c r="F243" s="14">
        <f>IF('02_固定地理'!A243&lt;&gt;"",IF('02_固定地理'!A243="","缺少对象ID；","")&amp;IF('02_固定地理'!B243="","缺少中文名称；","")&amp;IF('02_固定地理'!D243="","缺少对象类型；","")&amp;IF(AND('02_固定地理'!F243&lt;&gt;"",OR('02_固定地理'!F243&lt;0,'02_固定地理'!F243&gt;WorldWidth)),"世界中心X越界；","")&amp;IF(AND('02_固定地理'!G243&lt;&gt;"",OR('02_固定地理'!G243&lt;0,'02_固定地理'!G243&gt;WorldHeight)),"世界中心Y越界；","")&amp;IF(AND('02_固定地理'!H243&lt;&gt;"",'02_固定地理'!J243&lt;&gt;"",'02_固定地理'!H243&gt;'02_固定地理'!J243),"最小X大于最大X；","")&amp;IF(AND('02_固定地理'!I243&lt;&gt;"",'02_固定地理'!K243&lt;&gt;"",'02_固定地理'!I243&gt;'02_固定地理'!K243),"最小Y大于最大Y；","")&amp;IF(AND('02_固定地理'!E243&lt;&gt;"",COUNTIF('02_固定地理'!$A$2:$A$501,'02_固定地理'!E243)=0),"父级对象不存在；","")&amp;IF(AND('02_固定地理'!A243&lt;&gt;"",COUNTIF('02_固定地理'!$A$2:$A$501,'02_固定地理'!A243)&gt;1),"ID重复；",""),"")</f>
        <v/>
      </c>
      <c r="G243" s="14">
        <f>IF(F243&lt;&gt;"","按字段批注、数据字典和来源记录修正后复核","")</f>
        <v/>
      </c>
      <c r="H243" s="14">
        <f>IF(F243&lt;&gt;"","待处理","")</f>
        <v/>
      </c>
    </row>
    <row r="244">
      <c r="A244" s="14">
        <f>IF(F244&lt;&gt;"","ISSUE-"&amp;TEXT(ROW()-1,"00000"),"")</f>
        <v/>
      </c>
      <c r="B244" s="14">
        <f>IF(F244&lt;&gt;"","错误","")</f>
        <v/>
      </c>
      <c r="C244" s="14">
        <f>IF('02_固定地理'!A244&lt;&gt;"","02_固定地理","")</f>
        <v/>
      </c>
      <c r="D244" s="14">
        <f>IF('02_固定地理'!A244&lt;&gt;"",'02_固定地理'!A244,"")</f>
        <v/>
      </c>
      <c r="E244" s="14">
        <f>IF(F244&lt;&gt;"","综合校验","")</f>
        <v/>
      </c>
      <c r="F244" s="14">
        <f>IF('02_固定地理'!A244&lt;&gt;"",IF('02_固定地理'!A244="","缺少对象ID；","")&amp;IF('02_固定地理'!B244="","缺少中文名称；","")&amp;IF('02_固定地理'!D244="","缺少对象类型；","")&amp;IF(AND('02_固定地理'!F244&lt;&gt;"",OR('02_固定地理'!F244&lt;0,'02_固定地理'!F244&gt;WorldWidth)),"世界中心X越界；","")&amp;IF(AND('02_固定地理'!G244&lt;&gt;"",OR('02_固定地理'!G244&lt;0,'02_固定地理'!G244&gt;WorldHeight)),"世界中心Y越界；","")&amp;IF(AND('02_固定地理'!H244&lt;&gt;"",'02_固定地理'!J244&lt;&gt;"",'02_固定地理'!H244&gt;'02_固定地理'!J244),"最小X大于最大X；","")&amp;IF(AND('02_固定地理'!I244&lt;&gt;"",'02_固定地理'!K244&lt;&gt;"",'02_固定地理'!I244&gt;'02_固定地理'!K244),"最小Y大于最大Y；","")&amp;IF(AND('02_固定地理'!E244&lt;&gt;"",COUNTIF('02_固定地理'!$A$2:$A$501,'02_固定地理'!E244)=0),"父级对象不存在；","")&amp;IF(AND('02_固定地理'!A244&lt;&gt;"",COUNTIF('02_固定地理'!$A$2:$A$501,'02_固定地理'!A244)&gt;1),"ID重复；",""),"")</f>
        <v/>
      </c>
      <c r="G244" s="14">
        <f>IF(F244&lt;&gt;"","按字段批注、数据字典和来源记录修正后复核","")</f>
        <v/>
      </c>
      <c r="H244" s="14">
        <f>IF(F244&lt;&gt;"","待处理","")</f>
        <v/>
      </c>
    </row>
    <row r="245">
      <c r="A245" s="14">
        <f>IF(F245&lt;&gt;"","ISSUE-"&amp;TEXT(ROW()-1,"00000"),"")</f>
        <v/>
      </c>
      <c r="B245" s="14">
        <f>IF(F245&lt;&gt;"","错误","")</f>
        <v/>
      </c>
      <c r="C245" s="14">
        <f>IF('02_固定地理'!A245&lt;&gt;"","02_固定地理","")</f>
        <v/>
      </c>
      <c r="D245" s="14">
        <f>IF('02_固定地理'!A245&lt;&gt;"",'02_固定地理'!A245,"")</f>
        <v/>
      </c>
      <c r="E245" s="14">
        <f>IF(F245&lt;&gt;"","综合校验","")</f>
        <v/>
      </c>
      <c r="F245" s="14">
        <f>IF('02_固定地理'!A245&lt;&gt;"",IF('02_固定地理'!A245="","缺少对象ID；","")&amp;IF('02_固定地理'!B245="","缺少中文名称；","")&amp;IF('02_固定地理'!D245="","缺少对象类型；","")&amp;IF(AND('02_固定地理'!F245&lt;&gt;"",OR('02_固定地理'!F245&lt;0,'02_固定地理'!F245&gt;WorldWidth)),"世界中心X越界；","")&amp;IF(AND('02_固定地理'!G245&lt;&gt;"",OR('02_固定地理'!G245&lt;0,'02_固定地理'!G245&gt;WorldHeight)),"世界中心Y越界；","")&amp;IF(AND('02_固定地理'!H245&lt;&gt;"",'02_固定地理'!J245&lt;&gt;"",'02_固定地理'!H245&gt;'02_固定地理'!J245),"最小X大于最大X；","")&amp;IF(AND('02_固定地理'!I245&lt;&gt;"",'02_固定地理'!K245&lt;&gt;"",'02_固定地理'!I245&gt;'02_固定地理'!K245),"最小Y大于最大Y；","")&amp;IF(AND('02_固定地理'!E245&lt;&gt;"",COUNTIF('02_固定地理'!$A$2:$A$501,'02_固定地理'!E245)=0),"父级对象不存在；","")&amp;IF(AND('02_固定地理'!A245&lt;&gt;"",COUNTIF('02_固定地理'!$A$2:$A$501,'02_固定地理'!A245)&gt;1),"ID重复；",""),"")</f>
        <v/>
      </c>
      <c r="G245" s="14">
        <f>IF(F245&lt;&gt;"","按字段批注、数据字典和来源记录修正后复核","")</f>
        <v/>
      </c>
      <c r="H245" s="14">
        <f>IF(F245&lt;&gt;"","待处理","")</f>
        <v/>
      </c>
    </row>
    <row r="246">
      <c r="A246" s="14">
        <f>IF(F246&lt;&gt;"","ISSUE-"&amp;TEXT(ROW()-1,"00000"),"")</f>
        <v/>
      </c>
      <c r="B246" s="14">
        <f>IF(F246&lt;&gt;"","错误","")</f>
        <v/>
      </c>
      <c r="C246" s="14">
        <f>IF('02_固定地理'!A246&lt;&gt;"","02_固定地理","")</f>
        <v/>
      </c>
      <c r="D246" s="14">
        <f>IF('02_固定地理'!A246&lt;&gt;"",'02_固定地理'!A246,"")</f>
        <v/>
      </c>
      <c r="E246" s="14">
        <f>IF(F246&lt;&gt;"","综合校验","")</f>
        <v/>
      </c>
      <c r="F246" s="14">
        <f>IF('02_固定地理'!A246&lt;&gt;"",IF('02_固定地理'!A246="","缺少对象ID；","")&amp;IF('02_固定地理'!B246="","缺少中文名称；","")&amp;IF('02_固定地理'!D246="","缺少对象类型；","")&amp;IF(AND('02_固定地理'!F246&lt;&gt;"",OR('02_固定地理'!F246&lt;0,'02_固定地理'!F246&gt;WorldWidth)),"世界中心X越界；","")&amp;IF(AND('02_固定地理'!G246&lt;&gt;"",OR('02_固定地理'!G246&lt;0,'02_固定地理'!G246&gt;WorldHeight)),"世界中心Y越界；","")&amp;IF(AND('02_固定地理'!H246&lt;&gt;"",'02_固定地理'!J246&lt;&gt;"",'02_固定地理'!H246&gt;'02_固定地理'!J246),"最小X大于最大X；","")&amp;IF(AND('02_固定地理'!I246&lt;&gt;"",'02_固定地理'!K246&lt;&gt;"",'02_固定地理'!I246&gt;'02_固定地理'!K246),"最小Y大于最大Y；","")&amp;IF(AND('02_固定地理'!E246&lt;&gt;"",COUNTIF('02_固定地理'!$A$2:$A$501,'02_固定地理'!E246)=0),"父级对象不存在；","")&amp;IF(AND('02_固定地理'!A246&lt;&gt;"",COUNTIF('02_固定地理'!$A$2:$A$501,'02_固定地理'!A246)&gt;1),"ID重复；",""),"")</f>
        <v/>
      </c>
      <c r="G246" s="14">
        <f>IF(F246&lt;&gt;"","按字段批注、数据字典和来源记录修正后复核","")</f>
        <v/>
      </c>
      <c r="H246" s="14">
        <f>IF(F246&lt;&gt;"","待处理","")</f>
        <v/>
      </c>
    </row>
    <row r="247">
      <c r="A247" s="14">
        <f>IF(F247&lt;&gt;"","ISSUE-"&amp;TEXT(ROW()-1,"00000"),"")</f>
        <v/>
      </c>
      <c r="B247" s="14">
        <f>IF(F247&lt;&gt;"","错误","")</f>
        <v/>
      </c>
      <c r="C247" s="14">
        <f>IF('02_固定地理'!A247&lt;&gt;"","02_固定地理","")</f>
        <v/>
      </c>
      <c r="D247" s="14">
        <f>IF('02_固定地理'!A247&lt;&gt;"",'02_固定地理'!A247,"")</f>
        <v/>
      </c>
      <c r="E247" s="14">
        <f>IF(F247&lt;&gt;"","综合校验","")</f>
        <v/>
      </c>
      <c r="F247" s="14">
        <f>IF('02_固定地理'!A247&lt;&gt;"",IF('02_固定地理'!A247="","缺少对象ID；","")&amp;IF('02_固定地理'!B247="","缺少中文名称；","")&amp;IF('02_固定地理'!D247="","缺少对象类型；","")&amp;IF(AND('02_固定地理'!F247&lt;&gt;"",OR('02_固定地理'!F247&lt;0,'02_固定地理'!F247&gt;WorldWidth)),"世界中心X越界；","")&amp;IF(AND('02_固定地理'!G247&lt;&gt;"",OR('02_固定地理'!G247&lt;0,'02_固定地理'!G247&gt;WorldHeight)),"世界中心Y越界；","")&amp;IF(AND('02_固定地理'!H247&lt;&gt;"",'02_固定地理'!J247&lt;&gt;"",'02_固定地理'!H247&gt;'02_固定地理'!J247),"最小X大于最大X；","")&amp;IF(AND('02_固定地理'!I247&lt;&gt;"",'02_固定地理'!K247&lt;&gt;"",'02_固定地理'!I247&gt;'02_固定地理'!K247),"最小Y大于最大Y；","")&amp;IF(AND('02_固定地理'!E247&lt;&gt;"",COUNTIF('02_固定地理'!$A$2:$A$501,'02_固定地理'!E247)=0),"父级对象不存在；","")&amp;IF(AND('02_固定地理'!A247&lt;&gt;"",COUNTIF('02_固定地理'!$A$2:$A$501,'02_固定地理'!A247)&gt;1),"ID重复；",""),"")</f>
        <v/>
      </c>
      <c r="G247" s="14">
        <f>IF(F247&lt;&gt;"","按字段批注、数据字典和来源记录修正后复核","")</f>
        <v/>
      </c>
      <c r="H247" s="14">
        <f>IF(F247&lt;&gt;"","待处理","")</f>
        <v/>
      </c>
    </row>
    <row r="248">
      <c r="A248" s="14">
        <f>IF(F248&lt;&gt;"","ISSUE-"&amp;TEXT(ROW()-1,"00000"),"")</f>
        <v/>
      </c>
      <c r="B248" s="14">
        <f>IF(F248&lt;&gt;"","错误","")</f>
        <v/>
      </c>
      <c r="C248" s="14">
        <f>IF('02_固定地理'!A248&lt;&gt;"","02_固定地理","")</f>
        <v/>
      </c>
      <c r="D248" s="14">
        <f>IF('02_固定地理'!A248&lt;&gt;"",'02_固定地理'!A248,"")</f>
        <v/>
      </c>
      <c r="E248" s="14">
        <f>IF(F248&lt;&gt;"","综合校验","")</f>
        <v/>
      </c>
      <c r="F248" s="14">
        <f>IF('02_固定地理'!A248&lt;&gt;"",IF('02_固定地理'!A248="","缺少对象ID；","")&amp;IF('02_固定地理'!B248="","缺少中文名称；","")&amp;IF('02_固定地理'!D248="","缺少对象类型；","")&amp;IF(AND('02_固定地理'!F248&lt;&gt;"",OR('02_固定地理'!F248&lt;0,'02_固定地理'!F248&gt;WorldWidth)),"世界中心X越界；","")&amp;IF(AND('02_固定地理'!G248&lt;&gt;"",OR('02_固定地理'!G248&lt;0,'02_固定地理'!G248&gt;WorldHeight)),"世界中心Y越界；","")&amp;IF(AND('02_固定地理'!H248&lt;&gt;"",'02_固定地理'!J248&lt;&gt;"",'02_固定地理'!H248&gt;'02_固定地理'!J248),"最小X大于最大X；","")&amp;IF(AND('02_固定地理'!I248&lt;&gt;"",'02_固定地理'!K248&lt;&gt;"",'02_固定地理'!I248&gt;'02_固定地理'!K248),"最小Y大于最大Y；","")&amp;IF(AND('02_固定地理'!E248&lt;&gt;"",COUNTIF('02_固定地理'!$A$2:$A$501,'02_固定地理'!E248)=0),"父级对象不存在；","")&amp;IF(AND('02_固定地理'!A248&lt;&gt;"",COUNTIF('02_固定地理'!$A$2:$A$501,'02_固定地理'!A248)&gt;1),"ID重复；",""),"")</f>
        <v/>
      </c>
      <c r="G248" s="14">
        <f>IF(F248&lt;&gt;"","按字段批注、数据字典和来源记录修正后复核","")</f>
        <v/>
      </c>
      <c r="H248" s="14">
        <f>IF(F248&lt;&gt;"","待处理","")</f>
        <v/>
      </c>
    </row>
    <row r="249">
      <c r="A249" s="14">
        <f>IF(F249&lt;&gt;"","ISSUE-"&amp;TEXT(ROW()-1,"00000"),"")</f>
        <v/>
      </c>
      <c r="B249" s="14">
        <f>IF(F249&lt;&gt;"","错误","")</f>
        <v/>
      </c>
      <c r="C249" s="14">
        <f>IF('02_固定地理'!A249&lt;&gt;"","02_固定地理","")</f>
        <v/>
      </c>
      <c r="D249" s="14">
        <f>IF('02_固定地理'!A249&lt;&gt;"",'02_固定地理'!A249,"")</f>
        <v/>
      </c>
      <c r="E249" s="14">
        <f>IF(F249&lt;&gt;"","综合校验","")</f>
        <v/>
      </c>
      <c r="F249" s="14">
        <f>IF('02_固定地理'!A249&lt;&gt;"",IF('02_固定地理'!A249="","缺少对象ID；","")&amp;IF('02_固定地理'!B249="","缺少中文名称；","")&amp;IF('02_固定地理'!D249="","缺少对象类型；","")&amp;IF(AND('02_固定地理'!F249&lt;&gt;"",OR('02_固定地理'!F249&lt;0,'02_固定地理'!F249&gt;WorldWidth)),"世界中心X越界；","")&amp;IF(AND('02_固定地理'!G249&lt;&gt;"",OR('02_固定地理'!G249&lt;0,'02_固定地理'!G249&gt;WorldHeight)),"世界中心Y越界；","")&amp;IF(AND('02_固定地理'!H249&lt;&gt;"",'02_固定地理'!J249&lt;&gt;"",'02_固定地理'!H249&gt;'02_固定地理'!J249),"最小X大于最大X；","")&amp;IF(AND('02_固定地理'!I249&lt;&gt;"",'02_固定地理'!K249&lt;&gt;"",'02_固定地理'!I249&gt;'02_固定地理'!K249),"最小Y大于最大Y；","")&amp;IF(AND('02_固定地理'!E249&lt;&gt;"",COUNTIF('02_固定地理'!$A$2:$A$501,'02_固定地理'!E249)=0),"父级对象不存在；","")&amp;IF(AND('02_固定地理'!A249&lt;&gt;"",COUNTIF('02_固定地理'!$A$2:$A$501,'02_固定地理'!A249)&gt;1),"ID重复；",""),"")</f>
        <v/>
      </c>
      <c r="G249" s="14">
        <f>IF(F249&lt;&gt;"","按字段批注、数据字典和来源记录修正后复核","")</f>
        <v/>
      </c>
      <c r="H249" s="14">
        <f>IF(F249&lt;&gt;"","待处理","")</f>
        <v/>
      </c>
    </row>
    <row r="250">
      <c r="A250" s="14">
        <f>IF(F250&lt;&gt;"","ISSUE-"&amp;TEXT(ROW()-1,"00000"),"")</f>
        <v/>
      </c>
      <c r="B250" s="14">
        <f>IF(F250&lt;&gt;"","错误","")</f>
        <v/>
      </c>
      <c r="C250" s="14">
        <f>IF('02_固定地理'!A250&lt;&gt;"","02_固定地理","")</f>
        <v/>
      </c>
      <c r="D250" s="14">
        <f>IF('02_固定地理'!A250&lt;&gt;"",'02_固定地理'!A250,"")</f>
        <v/>
      </c>
      <c r="E250" s="14">
        <f>IF(F250&lt;&gt;"","综合校验","")</f>
        <v/>
      </c>
      <c r="F250" s="14">
        <f>IF('02_固定地理'!A250&lt;&gt;"",IF('02_固定地理'!A250="","缺少对象ID；","")&amp;IF('02_固定地理'!B250="","缺少中文名称；","")&amp;IF('02_固定地理'!D250="","缺少对象类型；","")&amp;IF(AND('02_固定地理'!F250&lt;&gt;"",OR('02_固定地理'!F250&lt;0,'02_固定地理'!F250&gt;WorldWidth)),"世界中心X越界；","")&amp;IF(AND('02_固定地理'!G250&lt;&gt;"",OR('02_固定地理'!G250&lt;0,'02_固定地理'!G250&gt;WorldHeight)),"世界中心Y越界；","")&amp;IF(AND('02_固定地理'!H250&lt;&gt;"",'02_固定地理'!J250&lt;&gt;"",'02_固定地理'!H250&gt;'02_固定地理'!J250),"最小X大于最大X；","")&amp;IF(AND('02_固定地理'!I250&lt;&gt;"",'02_固定地理'!K250&lt;&gt;"",'02_固定地理'!I250&gt;'02_固定地理'!K250),"最小Y大于最大Y；","")&amp;IF(AND('02_固定地理'!E250&lt;&gt;"",COUNTIF('02_固定地理'!$A$2:$A$501,'02_固定地理'!E250)=0),"父级对象不存在；","")&amp;IF(AND('02_固定地理'!A250&lt;&gt;"",COUNTIF('02_固定地理'!$A$2:$A$501,'02_固定地理'!A250)&gt;1),"ID重复；",""),"")</f>
        <v/>
      </c>
      <c r="G250" s="14">
        <f>IF(F250&lt;&gt;"","按字段批注、数据字典和来源记录修正后复核","")</f>
        <v/>
      </c>
      <c r="H250" s="14">
        <f>IF(F250&lt;&gt;"","待处理","")</f>
        <v/>
      </c>
    </row>
    <row r="251">
      <c r="A251" s="14">
        <f>IF(F251&lt;&gt;"","ISSUE-"&amp;TEXT(ROW()-1,"00000"),"")</f>
        <v/>
      </c>
      <c r="B251" s="14">
        <f>IF(F251&lt;&gt;"","错误","")</f>
        <v/>
      </c>
      <c r="C251" s="14">
        <f>IF('02_固定地理'!A251&lt;&gt;"","02_固定地理","")</f>
        <v/>
      </c>
      <c r="D251" s="14">
        <f>IF('02_固定地理'!A251&lt;&gt;"",'02_固定地理'!A251,"")</f>
        <v/>
      </c>
      <c r="E251" s="14">
        <f>IF(F251&lt;&gt;"","综合校验","")</f>
        <v/>
      </c>
      <c r="F251" s="14">
        <f>IF('02_固定地理'!A251&lt;&gt;"",IF('02_固定地理'!A251="","缺少对象ID；","")&amp;IF('02_固定地理'!B251="","缺少中文名称；","")&amp;IF('02_固定地理'!D251="","缺少对象类型；","")&amp;IF(AND('02_固定地理'!F251&lt;&gt;"",OR('02_固定地理'!F251&lt;0,'02_固定地理'!F251&gt;WorldWidth)),"世界中心X越界；","")&amp;IF(AND('02_固定地理'!G251&lt;&gt;"",OR('02_固定地理'!G251&lt;0,'02_固定地理'!G251&gt;WorldHeight)),"世界中心Y越界；","")&amp;IF(AND('02_固定地理'!H251&lt;&gt;"",'02_固定地理'!J251&lt;&gt;"",'02_固定地理'!H251&gt;'02_固定地理'!J251),"最小X大于最大X；","")&amp;IF(AND('02_固定地理'!I251&lt;&gt;"",'02_固定地理'!K251&lt;&gt;"",'02_固定地理'!I251&gt;'02_固定地理'!K251),"最小Y大于最大Y；","")&amp;IF(AND('02_固定地理'!E251&lt;&gt;"",COUNTIF('02_固定地理'!$A$2:$A$501,'02_固定地理'!E251)=0),"父级对象不存在；","")&amp;IF(AND('02_固定地理'!A251&lt;&gt;"",COUNTIF('02_固定地理'!$A$2:$A$501,'02_固定地理'!A251)&gt;1),"ID重复；",""),"")</f>
        <v/>
      </c>
      <c r="G251" s="14">
        <f>IF(F251&lt;&gt;"","按字段批注、数据字典和来源记录修正后复核","")</f>
        <v/>
      </c>
      <c r="H251" s="14">
        <f>IF(F251&lt;&gt;"","待处理","")</f>
        <v/>
      </c>
    </row>
    <row r="252">
      <c r="A252" s="14">
        <f>IF(F252&lt;&gt;"","ISSUE-"&amp;TEXT(ROW()-1,"00000"),"")</f>
        <v/>
      </c>
      <c r="B252" s="14">
        <f>IF(F252&lt;&gt;"","错误","")</f>
        <v/>
      </c>
      <c r="C252" s="14">
        <f>IF('02_固定地理'!A252&lt;&gt;"","02_固定地理","")</f>
        <v/>
      </c>
      <c r="D252" s="14">
        <f>IF('02_固定地理'!A252&lt;&gt;"",'02_固定地理'!A252,"")</f>
        <v/>
      </c>
      <c r="E252" s="14">
        <f>IF(F252&lt;&gt;"","综合校验","")</f>
        <v/>
      </c>
      <c r="F252" s="14">
        <f>IF('02_固定地理'!A252&lt;&gt;"",IF('02_固定地理'!A252="","缺少对象ID；","")&amp;IF('02_固定地理'!B252="","缺少中文名称；","")&amp;IF('02_固定地理'!D252="","缺少对象类型；","")&amp;IF(AND('02_固定地理'!F252&lt;&gt;"",OR('02_固定地理'!F252&lt;0,'02_固定地理'!F252&gt;WorldWidth)),"世界中心X越界；","")&amp;IF(AND('02_固定地理'!G252&lt;&gt;"",OR('02_固定地理'!G252&lt;0,'02_固定地理'!G252&gt;WorldHeight)),"世界中心Y越界；","")&amp;IF(AND('02_固定地理'!H252&lt;&gt;"",'02_固定地理'!J252&lt;&gt;"",'02_固定地理'!H252&gt;'02_固定地理'!J252),"最小X大于最大X；","")&amp;IF(AND('02_固定地理'!I252&lt;&gt;"",'02_固定地理'!K252&lt;&gt;"",'02_固定地理'!I252&gt;'02_固定地理'!K252),"最小Y大于最大Y；","")&amp;IF(AND('02_固定地理'!E252&lt;&gt;"",COUNTIF('02_固定地理'!$A$2:$A$501,'02_固定地理'!E252)=0),"父级对象不存在；","")&amp;IF(AND('02_固定地理'!A252&lt;&gt;"",COUNTIF('02_固定地理'!$A$2:$A$501,'02_固定地理'!A252)&gt;1),"ID重复；",""),"")</f>
        <v/>
      </c>
      <c r="G252" s="14">
        <f>IF(F252&lt;&gt;"","按字段批注、数据字典和来源记录修正后复核","")</f>
        <v/>
      </c>
      <c r="H252" s="14">
        <f>IF(F252&lt;&gt;"","待处理","")</f>
        <v/>
      </c>
    </row>
    <row r="253">
      <c r="A253" s="14">
        <f>IF(F253&lt;&gt;"","ISSUE-"&amp;TEXT(ROW()-1,"00000"),"")</f>
        <v/>
      </c>
      <c r="B253" s="14">
        <f>IF(F253&lt;&gt;"","错误","")</f>
        <v/>
      </c>
      <c r="C253" s="14">
        <f>IF('02_固定地理'!A253&lt;&gt;"","02_固定地理","")</f>
        <v/>
      </c>
      <c r="D253" s="14">
        <f>IF('02_固定地理'!A253&lt;&gt;"",'02_固定地理'!A253,"")</f>
        <v/>
      </c>
      <c r="E253" s="14">
        <f>IF(F253&lt;&gt;"","综合校验","")</f>
        <v/>
      </c>
      <c r="F253" s="14">
        <f>IF('02_固定地理'!A253&lt;&gt;"",IF('02_固定地理'!A253="","缺少对象ID；","")&amp;IF('02_固定地理'!B253="","缺少中文名称；","")&amp;IF('02_固定地理'!D253="","缺少对象类型；","")&amp;IF(AND('02_固定地理'!F253&lt;&gt;"",OR('02_固定地理'!F253&lt;0,'02_固定地理'!F253&gt;WorldWidth)),"世界中心X越界；","")&amp;IF(AND('02_固定地理'!G253&lt;&gt;"",OR('02_固定地理'!G253&lt;0,'02_固定地理'!G253&gt;WorldHeight)),"世界中心Y越界；","")&amp;IF(AND('02_固定地理'!H253&lt;&gt;"",'02_固定地理'!J253&lt;&gt;"",'02_固定地理'!H253&gt;'02_固定地理'!J253),"最小X大于最大X；","")&amp;IF(AND('02_固定地理'!I253&lt;&gt;"",'02_固定地理'!K253&lt;&gt;"",'02_固定地理'!I253&gt;'02_固定地理'!K253),"最小Y大于最大Y；","")&amp;IF(AND('02_固定地理'!E253&lt;&gt;"",COUNTIF('02_固定地理'!$A$2:$A$501,'02_固定地理'!E253)=0),"父级对象不存在；","")&amp;IF(AND('02_固定地理'!A253&lt;&gt;"",COUNTIF('02_固定地理'!$A$2:$A$501,'02_固定地理'!A253)&gt;1),"ID重复；",""),"")</f>
        <v/>
      </c>
      <c r="G253" s="14">
        <f>IF(F253&lt;&gt;"","按字段批注、数据字典和来源记录修正后复核","")</f>
        <v/>
      </c>
      <c r="H253" s="14">
        <f>IF(F253&lt;&gt;"","待处理","")</f>
        <v/>
      </c>
    </row>
    <row r="254">
      <c r="A254" s="14">
        <f>IF(F254&lt;&gt;"","ISSUE-"&amp;TEXT(ROW()-1,"00000"),"")</f>
        <v/>
      </c>
      <c r="B254" s="14">
        <f>IF(F254&lt;&gt;"","错误","")</f>
        <v/>
      </c>
      <c r="C254" s="14">
        <f>IF('02_固定地理'!A254&lt;&gt;"","02_固定地理","")</f>
        <v/>
      </c>
      <c r="D254" s="14">
        <f>IF('02_固定地理'!A254&lt;&gt;"",'02_固定地理'!A254,"")</f>
        <v/>
      </c>
      <c r="E254" s="14">
        <f>IF(F254&lt;&gt;"","综合校验","")</f>
        <v/>
      </c>
      <c r="F254" s="14">
        <f>IF('02_固定地理'!A254&lt;&gt;"",IF('02_固定地理'!A254="","缺少对象ID；","")&amp;IF('02_固定地理'!B254="","缺少中文名称；","")&amp;IF('02_固定地理'!D254="","缺少对象类型；","")&amp;IF(AND('02_固定地理'!F254&lt;&gt;"",OR('02_固定地理'!F254&lt;0,'02_固定地理'!F254&gt;WorldWidth)),"世界中心X越界；","")&amp;IF(AND('02_固定地理'!G254&lt;&gt;"",OR('02_固定地理'!G254&lt;0,'02_固定地理'!G254&gt;WorldHeight)),"世界中心Y越界；","")&amp;IF(AND('02_固定地理'!H254&lt;&gt;"",'02_固定地理'!J254&lt;&gt;"",'02_固定地理'!H254&gt;'02_固定地理'!J254),"最小X大于最大X；","")&amp;IF(AND('02_固定地理'!I254&lt;&gt;"",'02_固定地理'!K254&lt;&gt;"",'02_固定地理'!I254&gt;'02_固定地理'!K254),"最小Y大于最大Y；","")&amp;IF(AND('02_固定地理'!E254&lt;&gt;"",COUNTIF('02_固定地理'!$A$2:$A$501,'02_固定地理'!E254)=0),"父级对象不存在；","")&amp;IF(AND('02_固定地理'!A254&lt;&gt;"",COUNTIF('02_固定地理'!$A$2:$A$501,'02_固定地理'!A254)&gt;1),"ID重复；",""),"")</f>
        <v/>
      </c>
      <c r="G254" s="14">
        <f>IF(F254&lt;&gt;"","按字段批注、数据字典和来源记录修正后复核","")</f>
        <v/>
      </c>
      <c r="H254" s="14">
        <f>IF(F254&lt;&gt;"","待处理","")</f>
        <v/>
      </c>
    </row>
    <row r="255">
      <c r="A255" s="14">
        <f>IF(F255&lt;&gt;"","ISSUE-"&amp;TEXT(ROW()-1,"00000"),"")</f>
        <v/>
      </c>
      <c r="B255" s="14">
        <f>IF(F255&lt;&gt;"","错误","")</f>
        <v/>
      </c>
      <c r="C255" s="14">
        <f>IF('02_固定地理'!A255&lt;&gt;"","02_固定地理","")</f>
        <v/>
      </c>
      <c r="D255" s="14">
        <f>IF('02_固定地理'!A255&lt;&gt;"",'02_固定地理'!A255,"")</f>
        <v/>
      </c>
      <c r="E255" s="14">
        <f>IF(F255&lt;&gt;"","综合校验","")</f>
        <v/>
      </c>
      <c r="F255" s="14">
        <f>IF('02_固定地理'!A255&lt;&gt;"",IF('02_固定地理'!A255="","缺少对象ID；","")&amp;IF('02_固定地理'!B255="","缺少中文名称；","")&amp;IF('02_固定地理'!D255="","缺少对象类型；","")&amp;IF(AND('02_固定地理'!F255&lt;&gt;"",OR('02_固定地理'!F255&lt;0,'02_固定地理'!F255&gt;WorldWidth)),"世界中心X越界；","")&amp;IF(AND('02_固定地理'!G255&lt;&gt;"",OR('02_固定地理'!G255&lt;0,'02_固定地理'!G255&gt;WorldHeight)),"世界中心Y越界；","")&amp;IF(AND('02_固定地理'!H255&lt;&gt;"",'02_固定地理'!J255&lt;&gt;"",'02_固定地理'!H255&gt;'02_固定地理'!J255),"最小X大于最大X；","")&amp;IF(AND('02_固定地理'!I255&lt;&gt;"",'02_固定地理'!K255&lt;&gt;"",'02_固定地理'!I255&gt;'02_固定地理'!K255),"最小Y大于最大Y；","")&amp;IF(AND('02_固定地理'!E255&lt;&gt;"",COUNTIF('02_固定地理'!$A$2:$A$501,'02_固定地理'!E255)=0),"父级对象不存在；","")&amp;IF(AND('02_固定地理'!A255&lt;&gt;"",COUNTIF('02_固定地理'!$A$2:$A$501,'02_固定地理'!A255)&gt;1),"ID重复；",""),"")</f>
        <v/>
      </c>
      <c r="G255" s="14">
        <f>IF(F255&lt;&gt;"","按字段批注、数据字典和来源记录修正后复核","")</f>
        <v/>
      </c>
      <c r="H255" s="14">
        <f>IF(F255&lt;&gt;"","待处理","")</f>
        <v/>
      </c>
    </row>
    <row r="256">
      <c r="A256" s="14">
        <f>IF(F256&lt;&gt;"","ISSUE-"&amp;TEXT(ROW()-1,"00000"),"")</f>
        <v/>
      </c>
      <c r="B256" s="14">
        <f>IF(F256&lt;&gt;"","错误","")</f>
        <v/>
      </c>
      <c r="C256" s="14">
        <f>IF('02_固定地理'!A256&lt;&gt;"","02_固定地理","")</f>
        <v/>
      </c>
      <c r="D256" s="14">
        <f>IF('02_固定地理'!A256&lt;&gt;"",'02_固定地理'!A256,"")</f>
        <v/>
      </c>
      <c r="E256" s="14">
        <f>IF(F256&lt;&gt;"","综合校验","")</f>
        <v/>
      </c>
      <c r="F256" s="14">
        <f>IF('02_固定地理'!A256&lt;&gt;"",IF('02_固定地理'!A256="","缺少对象ID；","")&amp;IF('02_固定地理'!B256="","缺少中文名称；","")&amp;IF('02_固定地理'!D256="","缺少对象类型；","")&amp;IF(AND('02_固定地理'!F256&lt;&gt;"",OR('02_固定地理'!F256&lt;0,'02_固定地理'!F256&gt;WorldWidth)),"世界中心X越界；","")&amp;IF(AND('02_固定地理'!G256&lt;&gt;"",OR('02_固定地理'!G256&lt;0,'02_固定地理'!G256&gt;WorldHeight)),"世界中心Y越界；","")&amp;IF(AND('02_固定地理'!H256&lt;&gt;"",'02_固定地理'!J256&lt;&gt;"",'02_固定地理'!H256&gt;'02_固定地理'!J256),"最小X大于最大X；","")&amp;IF(AND('02_固定地理'!I256&lt;&gt;"",'02_固定地理'!K256&lt;&gt;"",'02_固定地理'!I256&gt;'02_固定地理'!K256),"最小Y大于最大Y；","")&amp;IF(AND('02_固定地理'!E256&lt;&gt;"",COUNTIF('02_固定地理'!$A$2:$A$501,'02_固定地理'!E256)=0),"父级对象不存在；","")&amp;IF(AND('02_固定地理'!A256&lt;&gt;"",COUNTIF('02_固定地理'!$A$2:$A$501,'02_固定地理'!A256)&gt;1),"ID重复；",""),"")</f>
        <v/>
      </c>
      <c r="G256" s="14">
        <f>IF(F256&lt;&gt;"","按字段批注、数据字典和来源记录修正后复核","")</f>
        <v/>
      </c>
      <c r="H256" s="14">
        <f>IF(F256&lt;&gt;"","待处理","")</f>
        <v/>
      </c>
    </row>
    <row r="257">
      <c r="A257" s="14">
        <f>IF(F257&lt;&gt;"","ISSUE-"&amp;TEXT(ROW()-1,"00000"),"")</f>
        <v/>
      </c>
      <c r="B257" s="14">
        <f>IF(F257&lt;&gt;"","错误","")</f>
        <v/>
      </c>
      <c r="C257" s="14">
        <f>IF('02_固定地理'!A257&lt;&gt;"","02_固定地理","")</f>
        <v/>
      </c>
      <c r="D257" s="14">
        <f>IF('02_固定地理'!A257&lt;&gt;"",'02_固定地理'!A257,"")</f>
        <v/>
      </c>
      <c r="E257" s="14">
        <f>IF(F257&lt;&gt;"","综合校验","")</f>
        <v/>
      </c>
      <c r="F257" s="14">
        <f>IF('02_固定地理'!A257&lt;&gt;"",IF('02_固定地理'!A257="","缺少对象ID；","")&amp;IF('02_固定地理'!B257="","缺少中文名称；","")&amp;IF('02_固定地理'!D257="","缺少对象类型；","")&amp;IF(AND('02_固定地理'!F257&lt;&gt;"",OR('02_固定地理'!F257&lt;0,'02_固定地理'!F257&gt;WorldWidth)),"世界中心X越界；","")&amp;IF(AND('02_固定地理'!G257&lt;&gt;"",OR('02_固定地理'!G257&lt;0,'02_固定地理'!G257&gt;WorldHeight)),"世界中心Y越界；","")&amp;IF(AND('02_固定地理'!H257&lt;&gt;"",'02_固定地理'!J257&lt;&gt;"",'02_固定地理'!H257&gt;'02_固定地理'!J257),"最小X大于最大X；","")&amp;IF(AND('02_固定地理'!I257&lt;&gt;"",'02_固定地理'!K257&lt;&gt;"",'02_固定地理'!I257&gt;'02_固定地理'!K257),"最小Y大于最大Y；","")&amp;IF(AND('02_固定地理'!E257&lt;&gt;"",COUNTIF('02_固定地理'!$A$2:$A$501,'02_固定地理'!E257)=0),"父级对象不存在；","")&amp;IF(AND('02_固定地理'!A257&lt;&gt;"",COUNTIF('02_固定地理'!$A$2:$A$501,'02_固定地理'!A257)&gt;1),"ID重复；",""),"")</f>
        <v/>
      </c>
      <c r="G257" s="14">
        <f>IF(F257&lt;&gt;"","按字段批注、数据字典和来源记录修正后复核","")</f>
        <v/>
      </c>
      <c r="H257" s="14">
        <f>IF(F257&lt;&gt;"","待处理","")</f>
        <v/>
      </c>
    </row>
    <row r="258">
      <c r="A258" s="14">
        <f>IF(F258&lt;&gt;"","ISSUE-"&amp;TEXT(ROW()-1,"00000"),"")</f>
        <v/>
      </c>
      <c r="B258" s="14">
        <f>IF(F258&lt;&gt;"","错误","")</f>
        <v/>
      </c>
      <c r="C258" s="14">
        <f>IF('02_固定地理'!A258&lt;&gt;"","02_固定地理","")</f>
        <v/>
      </c>
      <c r="D258" s="14">
        <f>IF('02_固定地理'!A258&lt;&gt;"",'02_固定地理'!A258,"")</f>
        <v/>
      </c>
      <c r="E258" s="14">
        <f>IF(F258&lt;&gt;"","综合校验","")</f>
        <v/>
      </c>
      <c r="F258" s="14">
        <f>IF('02_固定地理'!A258&lt;&gt;"",IF('02_固定地理'!A258="","缺少对象ID；","")&amp;IF('02_固定地理'!B258="","缺少中文名称；","")&amp;IF('02_固定地理'!D258="","缺少对象类型；","")&amp;IF(AND('02_固定地理'!F258&lt;&gt;"",OR('02_固定地理'!F258&lt;0,'02_固定地理'!F258&gt;WorldWidth)),"世界中心X越界；","")&amp;IF(AND('02_固定地理'!G258&lt;&gt;"",OR('02_固定地理'!G258&lt;0,'02_固定地理'!G258&gt;WorldHeight)),"世界中心Y越界；","")&amp;IF(AND('02_固定地理'!H258&lt;&gt;"",'02_固定地理'!J258&lt;&gt;"",'02_固定地理'!H258&gt;'02_固定地理'!J258),"最小X大于最大X；","")&amp;IF(AND('02_固定地理'!I258&lt;&gt;"",'02_固定地理'!K258&lt;&gt;"",'02_固定地理'!I258&gt;'02_固定地理'!K258),"最小Y大于最大Y；","")&amp;IF(AND('02_固定地理'!E258&lt;&gt;"",COUNTIF('02_固定地理'!$A$2:$A$501,'02_固定地理'!E258)=0),"父级对象不存在；","")&amp;IF(AND('02_固定地理'!A258&lt;&gt;"",COUNTIF('02_固定地理'!$A$2:$A$501,'02_固定地理'!A258)&gt;1),"ID重复；",""),"")</f>
        <v/>
      </c>
      <c r="G258" s="14">
        <f>IF(F258&lt;&gt;"","按字段批注、数据字典和来源记录修正后复核","")</f>
        <v/>
      </c>
      <c r="H258" s="14">
        <f>IF(F258&lt;&gt;"","待处理","")</f>
        <v/>
      </c>
    </row>
    <row r="259">
      <c r="A259" s="14">
        <f>IF(F259&lt;&gt;"","ISSUE-"&amp;TEXT(ROW()-1,"00000"),"")</f>
        <v/>
      </c>
      <c r="B259" s="14">
        <f>IF(F259&lt;&gt;"","错误","")</f>
        <v/>
      </c>
      <c r="C259" s="14">
        <f>IF('02_固定地理'!A259&lt;&gt;"","02_固定地理","")</f>
        <v/>
      </c>
      <c r="D259" s="14">
        <f>IF('02_固定地理'!A259&lt;&gt;"",'02_固定地理'!A259,"")</f>
        <v/>
      </c>
      <c r="E259" s="14">
        <f>IF(F259&lt;&gt;"","综合校验","")</f>
        <v/>
      </c>
      <c r="F259" s="14">
        <f>IF('02_固定地理'!A259&lt;&gt;"",IF('02_固定地理'!A259="","缺少对象ID；","")&amp;IF('02_固定地理'!B259="","缺少中文名称；","")&amp;IF('02_固定地理'!D259="","缺少对象类型；","")&amp;IF(AND('02_固定地理'!F259&lt;&gt;"",OR('02_固定地理'!F259&lt;0,'02_固定地理'!F259&gt;WorldWidth)),"世界中心X越界；","")&amp;IF(AND('02_固定地理'!G259&lt;&gt;"",OR('02_固定地理'!G259&lt;0,'02_固定地理'!G259&gt;WorldHeight)),"世界中心Y越界；","")&amp;IF(AND('02_固定地理'!H259&lt;&gt;"",'02_固定地理'!J259&lt;&gt;"",'02_固定地理'!H259&gt;'02_固定地理'!J259),"最小X大于最大X；","")&amp;IF(AND('02_固定地理'!I259&lt;&gt;"",'02_固定地理'!K259&lt;&gt;"",'02_固定地理'!I259&gt;'02_固定地理'!K259),"最小Y大于最大Y；","")&amp;IF(AND('02_固定地理'!E259&lt;&gt;"",COUNTIF('02_固定地理'!$A$2:$A$501,'02_固定地理'!E259)=0),"父级对象不存在；","")&amp;IF(AND('02_固定地理'!A259&lt;&gt;"",COUNTIF('02_固定地理'!$A$2:$A$501,'02_固定地理'!A259)&gt;1),"ID重复；",""),"")</f>
        <v/>
      </c>
      <c r="G259" s="14">
        <f>IF(F259&lt;&gt;"","按字段批注、数据字典和来源记录修正后复核","")</f>
        <v/>
      </c>
      <c r="H259" s="14">
        <f>IF(F259&lt;&gt;"","待处理","")</f>
        <v/>
      </c>
    </row>
    <row r="260">
      <c r="A260" s="14">
        <f>IF(F260&lt;&gt;"","ISSUE-"&amp;TEXT(ROW()-1,"00000"),"")</f>
        <v/>
      </c>
      <c r="B260" s="14">
        <f>IF(F260&lt;&gt;"","错误","")</f>
        <v/>
      </c>
      <c r="C260" s="14">
        <f>IF('02_固定地理'!A260&lt;&gt;"","02_固定地理","")</f>
        <v/>
      </c>
      <c r="D260" s="14">
        <f>IF('02_固定地理'!A260&lt;&gt;"",'02_固定地理'!A260,"")</f>
        <v/>
      </c>
      <c r="E260" s="14">
        <f>IF(F260&lt;&gt;"","综合校验","")</f>
        <v/>
      </c>
      <c r="F260" s="14">
        <f>IF('02_固定地理'!A260&lt;&gt;"",IF('02_固定地理'!A260="","缺少对象ID；","")&amp;IF('02_固定地理'!B260="","缺少中文名称；","")&amp;IF('02_固定地理'!D260="","缺少对象类型；","")&amp;IF(AND('02_固定地理'!F260&lt;&gt;"",OR('02_固定地理'!F260&lt;0,'02_固定地理'!F260&gt;WorldWidth)),"世界中心X越界；","")&amp;IF(AND('02_固定地理'!G260&lt;&gt;"",OR('02_固定地理'!G260&lt;0,'02_固定地理'!G260&gt;WorldHeight)),"世界中心Y越界；","")&amp;IF(AND('02_固定地理'!H260&lt;&gt;"",'02_固定地理'!J260&lt;&gt;"",'02_固定地理'!H260&gt;'02_固定地理'!J260),"最小X大于最大X；","")&amp;IF(AND('02_固定地理'!I260&lt;&gt;"",'02_固定地理'!K260&lt;&gt;"",'02_固定地理'!I260&gt;'02_固定地理'!K260),"最小Y大于最大Y；","")&amp;IF(AND('02_固定地理'!E260&lt;&gt;"",COUNTIF('02_固定地理'!$A$2:$A$501,'02_固定地理'!E260)=0),"父级对象不存在；","")&amp;IF(AND('02_固定地理'!A260&lt;&gt;"",COUNTIF('02_固定地理'!$A$2:$A$501,'02_固定地理'!A260)&gt;1),"ID重复；",""),"")</f>
        <v/>
      </c>
      <c r="G260" s="14">
        <f>IF(F260&lt;&gt;"","按字段批注、数据字典和来源记录修正后复核","")</f>
        <v/>
      </c>
      <c r="H260" s="14">
        <f>IF(F260&lt;&gt;"","待处理","")</f>
        <v/>
      </c>
    </row>
    <row r="261">
      <c r="A261" s="14">
        <f>IF(F261&lt;&gt;"","ISSUE-"&amp;TEXT(ROW()-1,"00000"),"")</f>
        <v/>
      </c>
      <c r="B261" s="14">
        <f>IF(F261&lt;&gt;"","错误","")</f>
        <v/>
      </c>
      <c r="C261" s="14">
        <f>IF('02_固定地理'!A261&lt;&gt;"","02_固定地理","")</f>
        <v/>
      </c>
      <c r="D261" s="14">
        <f>IF('02_固定地理'!A261&lt;&gt;"",'02_固定地理'!A261,"")</f>
        <v/>
      </c>
      <c r="E261" s="14">
        <f>IF(F261&lt;&gt;"","综合校验","")</f>
        <v/>
      </c>
      <c r="F261" s="14">
        <f>IF('02_固定地理'!A261&lt;&gt;"",IF('02_固定地理'!A261="","缺少对象ID；","")&amp;IF('02_固定地理'!B261="","缺少中文名称；","")&amp;IF('02_固定地理'!D261="","缺少对象类型；","")&amp;IF(AND('02_固定地理'!F261&lt;&gt;"",OR('02_固定地理'!F261&lt;0,'02_固定地理'!F261&gt;WorldWidth)),"世界中心X越界；","")&amp;IF(AND('02_固定地理'!G261&lt;&gt;"",OR('02_固定地理'!G261&lt;0,'02_固定地理'!G261&gt;WorldHeight)),"世界中心Y越界；","")&amp;IF(AND('02_固定地理'!H261&lt;&gt;"",'02_固定地理'!J261&lt;&gt;"",'02_固定地理'!H261&gt;'02_固定地理'!J261),"最小X大于最大X；","")&amp;IF(AND('02_固定地理'!I261&lt;&gt;"",'02_固定地理'!K261&lt;&gt;"",'02_固定地理'!I261&gt;'02_固定地理'!K261),"最小Y大于最大Y；","")&amp;IF(AND('02_固定地理'!E261&lt;&gt;"",COUNTIF('02_固定地理'!$A$2:$A$501,'02_固定地理'!E261)=0),"父级对象不存在；","")&amp;IF(AND('02_固定地理'!A261&lt;&gt;"",COUNTIF('02_固定地理'!$A$2:$A$501,'02_固定地理'!A261)&gt;1),"ID重复；",""),"")</f>
        <v/>
      </c>
      <c r="G261" s="14">
        <f>IF(F261&lt;&gt;"","按字段批注、数据字典和来源记录修正后复核","")</f>
        <v/>
      </c>
      <c r="H261" s="14">
        <f>IF(F261&lt;&gt;"","待处理","")</f>
        <v/>
      </c>
    </row>
    <row r="262">
      <c r="A262" s="14">
        <f>IF(F262&lt;&gt;"","ISSUE-"&amp;TEXT(ROW()-1,"00000"),"")</f>
        <v/>
      </c>
      <c r="B262" s="14">
        <f>IF(F262&lt;&gt;"","错误","")</f>
        <v/>
      </c>
      <c r="C262" s="14">
        <f>IF('02_固定地理'!A262&lt;&gt;"","02_固定地理","")</f>
        <v/>
      </c>
      <c r="D262" s="14">
        <f>IF('02_固定地理'!A262&lt;&gt;"",'02_固定地理'!A262,"")</f>
        <v/>
      </c>
      <c r="E262" s="14">
        <f>IF(F262&lt;&gt;"","综合校验","")</f>
        <v/>
      </c>
      <c r="F262" s="14">
        <f>IF('02_固定地理'!A262&lt;&gt;"",IF('02_固定地理'!A262="","缺少对象ID；","")&amp;IF('02_固定地理'!B262="","缺少中文名称；","")&amp;IF('02_固定地理'!D262="","缺少对象类型；","")&amp;IF(AND('02_固定地理'!F262&lt;&gt;"",OR('02_固定地理'!F262&lt;0,'02_固定地理'!F262&gt;WorldWidth)),"世界中心X越界；","")&amp;IF(AND('02_固定地理'!G262&lt;&gt;"",OR('02_固定地理'!G262&lt;0,'02_固定地理'!G262&gt;WorldHeight)),"世界中心Y越界；","")&amp;IF(AND('02_固定地理'!H262&lt;&gt;"",'02_固定地理'!J262&lt;&gt;"",'02_固定地理'!H262&gt;'02_固定地理'!J262),"最小X大于最大X；","")&amp;IF(AND('02_固定地理'!I262&lt;&gt;"",'02_固定地理'!K262&lt;&gt;"",'02_固定地理'!I262&gt;'02_固定地理'!K262),"最小Y大于最大Y；","")&amp;IF(AND('02_固定地理'!E262&lt;&gt;"",COUNTIF('02_固定地理'!$A$2:$A$501,'02_固定地理'!E262)=0),"父级对象不存在；","")&amp;IF(AND('02_固定地理'!A262&lt;&gt;"",COUNTIF('02_固定地理'!$A$2:$A$501,'02_固定地理'!A262)&gt;1),"ID重复；",""),"")</f>
        <v/>
      </c>
      <c r="G262" s="14">
        <f>IF(F262&lt;&gt;"","按字段批注、数据字典和来源记录修正后复核","")</f>
        <v/>
      </c>
      <c r="H262" s="14">
        <f>IF(F262&lt;&gt;"","待处理","")</f>
        <v/>
      </c>
    </row>
    <row r="263">
      <c r="A263" s="14">
        <f>IF(F263&lt;&gt;"","ISSUE-"&amp;TEXT(ROW()-1,"00000"),"")</f>
        <v/>
      </c>
      <c r="B263" s="14">
        <f>IF(F263&lt;&gt;"","错误","")</f>
        <v/>
      </c>
      <c r="C263" s="14">
        <f>IF('02_固定地理'!A263&lt;&gt;"","02_固定地理","")</f>
        <v/>
      </c>
      <c r="D263" s="14">
        <f>IF('02_固定地理'!A263&lt;&gt;"",'02_固定地理'!A263,"")</f>
        <v/>
      </c>
      <c r="E263" s="14">
        <f>IF(F263&lt;&gt;"","综合校验","")</f>
        <v/>
      </c>
      <c r="F263" s="14">
        <f>IF('02_固定地理'!A263&lt;&gt;"",IF('02_固定地理'!A263="","缺少对象ID；","")&amp;IF('02_固定地理'!B263="","缺少中文名称；","")&amp;IF('02_固定地理'!D263="","缺少对象类型；","")&amp;IF(AND('02_固定地理'!F263&lt;&gt;"",OR('02_固定地理'!F263&lt;0,'02_固定地理'!F263&gt;WorldWidth)),"世界中心X越界；","")&amp;IF(AND('02_固定地理'!G263&lt;&gt;"",OR('02_固定地理'!G263&lt;0,'02_固定地理'!G263&gt;WorldHeight)),"世界中心Y越界；","")&amp;IF(AND('02_固定地理'!H263&lt;&gt;"",'02_固定地理'!J263&lt;&gt;"",'02_固定地理'!H263&gt;'02_固定地理'!J263),"最小X大于最大X；","")&amp;IF(AND('02_固定地理'!I263&lt;&gt;"",'02_固定地理'!K263&lt;&gt;"",'02_固定地理'!I263&gt;'02_固定地理'!K263),"最小Y大于最大Y；","")&amp;IF(AND('02_固定地理'!E263&lt;&gt;"",COUNTIF('02_固定地理'!$A$2:$A$501,'02_固定地理'!E263)=0),"父级对象不存在；","")&amp;IF(AND('02_固定地理'!A263&lt;&gt;"",COUNTIF('02_固定地理'!$A$2:$A$501,'02_固定地理'!A263)&gt;1),"ID重复；",""),"")</f>
        <v/>
      </c>
      <c r="G263" s="14">
        <f>IF(F263&lt;&gt;"","按字段批注、数据字典和来源记录修正后复核","")</f>
        <v/>
      </c>
      <c r="H263" s="14">
        <f>IF(F263&lt;&gt;"","待处理","")</f>
        <v/>
      </c>
    </row>
    <row r="264">
      <c r="A264" s="14">
        <f>IF(F264&lt;&gt;"","ISSUE-"&amp;TEXT(ROW()-1,"00000"),"")</f>
        <v/>
      </c>
      <c r="B264" s="14">
        <f>IF(F264&lt;&gt;"","错误","")</f>
        <v/>
      </c>
      <c r="C264" s="14">
        <f>IF('02_固定地理'!A264&lt;&gt;"","02_固定地理","")</f>
        <v/>
      </c>
      <c r="D264" s="14">
        <f>IF('02_固定地理'!A264&lt;&gt;"",'02_固定地理'!A264,"")</f>
        <v/>
      </c>
      <c r="E264" s="14">
        <f>IF(F264&lt;&gt;"","综合校验","")</f>
        <v/>
      </c>
      <c r="F264" s="14">
        <f>IF('02_固定地理'!A264&lt;&gt;"",IF('02_固定地理'!A264="","缺少对象ID；","")&amp;IF('02_固定地理'!B264="","缺少中文名称；","")&amp;IF('02_固定地理'!D264="","缺少对象类型；","")&amp;IF(AND('02_固定地理'!F264&lt;&gt;"",OR('02_固定地理'!F264&lt;0,'02_固定地理'!F264&gt;WorldWidth)),"世界中心X越界；","")&amp;IF(AND('02_固定地理'!G264&lt;&gt;"",OR('02_固定地理'!G264&lt;0,'02_固定地理'!G264&gt;WorldHeight)),"世界中心Y越界；","")&amp;IF(AND('02_固定地理'!H264&lt;&gt;"",'02_固定地理'!J264&lt;&gt;"",'02_固定地理'!H264&gt;'02_固定地理'!J264),"最小X大于最大X；","")&amp;IF(AND('02_固定地理'!I264&lt;&gt;"",'02_固定地理'!K264&lt;&gt;"",'02_固定地理'!I264&gt;'02_固定地理'!K264),"最小Y大于最大Y；","")&amp;IF(AND('02_固定地理'!E264&lt;&gt;"",COUNTIF('02_固定地理'!$A$2:$A$501,'02_固定地理'!E264)=0),"父级对象不存在；","")&amp;IF(AND('02_固定地理'!A264&lt;&gt;"",COUNTIF('02_固定地理'!$A$2:$A$501,'02_固定地理'!A264)&gt;1),"ID重复；",""),"")</f>
        <v/>
      </c>
      <c r="G264" s="14">
        <f>IF(F264&lt;&gt;"","按字段批注、数据字典和来源记录修正后复核","")</f>
        <v/>
      </c>
      <c r="H264" s="14">
        <f>IF(F264&lt;&gt;"","待处理","")</f>
        <v/>
      </c>
    </row>
    <row r="265">
      <c r="A265" s="14">
        <f>IF(F265&lt;&gt;"","ISSUE-"&amp;TEXT(ROW()-1,"00000"),"")</f>
        <v/>
      </c>
      <c r="B265" s="14">
        <f>IF(F265&lt;&gt;"","错误","")</f>
        <v/>
      </c>
      <c r="C265" s="14">
        <f>IF('02_固定地理'!A265&lt;&gt;"","02_固定地理","")</f>
        <v/>
      </c>
      <c r="D265" s="14">
        <f>IF('02_固定地理'!A265&lt;&gt;"",'02_固定地理'!A265,"")</f>
        <v/>
      </c>
      <c r="E265" s="14">
        <f>IF(F265&lt;&gt;"","综合校验","")</f>
        <v/>
      </c>
      <c r="F265" s="14">
        <f>IF('02_固定地理'!A265&lt;&gt;"",IF('02_固定地理'!A265="","缺少对象ID；","")&amp;IF('02_固定地理'!B265="","缺少中文名称；","")&amp;IF('02_固定地理'!D265="","缺少对象类型；","")&amp;IF(AND('02_固定地理'!F265&lt;&gt;"",OR('02_固定地理'!F265&lt;0,'02_固定地理'!F265&gt;WorldWidth)),"世界中心X越界；","")&amp;IF(AND('02_固定地理'!G265&lt;&gt;"",OR('02_固定地理'!G265&lt;0,'02_固定地理'!G265&gt;WorldHeight)),"世界中心Y越界；","")&amp;IF(AND('02_固定地理'!H265&lt;&gt;"",'02_固定地理'!J265&lt;&gt;"",'02_固定地理'!H265&gt;'02_固定地理'!J265),"最小X大于最大X；","")&amp;IF(AND('02_固定地理'!I265&lt;&gt;"",'02_固定地理'!K265&lt;&gt;"",'02_固定地理'!I265&gt;'02_固定地理'!K265),"最小Y大于最大Y；","")&amp;IF(AND('02_固定地理'!E265&lt;&gt;"",COUNTIF('02_固定地理'!$A$2:$A$501,'02_固定地理'!E265)=0),"父级对象不存在；","")&amp;IF(AND('02_固定地理'!A265&lt;&gt;"",COUNTIF('02_固定地理'!$A$2:$A$501,'02_固定地理'!A265)&gt;1),"ID重复；",""),"")</f>
        <v/>
      </c>
      <c r="G265" s="14">
        <f>IF(F265&lt;&gt;"","按字段批注、数据字典和来源记录修正后复核","")</f>
        <v/>
      </c>
      <c r="H265" s="14">
        <f>IF(F265&lt;&gt;"","待处理","")</f>
        <v/>
      </c>
    </row>
    <row r="266">
      <c r="A266" s="14">
        <f>IF(F266&lt;&gt;"","ISSUE-"&amp;TEXT(ROW()-1,"00000"),"")</f>
        <v/>
      </c>
      <c r="B266" s="14">
        <f>IF(F266&lt;&gt;"","错误","")</f>
        <v/>
      </c>
      <c r="C266" s="14">
        <f>IF('02_固定地理'!A266&lt;&gt;"","02_固定地理","")</f>
        <v/>
      </c>
      <c r="D266" s="14">
        <f>IF('02_固定地理'!A266&lt;&gt;"",'02_固定地理'!A266,"")</f>
        <v/>
      </c>
      <c r="E266" s="14">
        <f>IF(F266&lt;&gt;"","综合校验","")</f>
        <v/>
      </c>
      <c r="F266" s="14">
        <f>IF('02_固定地理'!A266&lt;&gt;"",IF('02_固定地理'!A266="","缺少对象ID；","")&amp;IF('02_固定地理'!B266="","缺少中文名称；","")&amp;IF('02_固定地理'!D266="","缺少对象类型；","")&amp;IF(AND('02_固定地理'!F266&lt;&gt;"",OR('02_固定地理'!F266&lt;0,'02_固定地理'!F266&gt;WorldWidth)),"世界中心X越界；","")&amp;IF(AND('02_固定地理'!G266&lt;&gt;"",OR('02_固定地理'!G266&lt;0,'02_固定地理'!G266&gt;WorldHeight)),"世界中心Y越界；","")&amp;IF(AND('02_固定地理'!H266&lt;&gt;"",'02_固定地理'!J266&lt;&gt;"",'02_固定地理'!H266&gt;'02_固定地理'!J266),"最小X大于最大X；","")&amp;IF(AND('02_固定地理'!I266&lt;&gt;"",'02_固定地理'!K266&lt;&gt;"",'02_固定地理'!I266&gt;'02_固定地理'!K266),"最小Y大于最大Y；","")&amp;IF(AND('02_固定地理'!E266&lt;&gt;"",COUNTIF('02_固定地理'!$A$2:$A$501,'02_固定地理'!E266)=0),"父级对象不存在；","")&amp;IF(AND('02_固定地理'!A266&lt;&gt;"",COUNTIF('02_固定地理'!$A$2:$A$501,'02_固定地理'!A266)&gt;1),"ID重复；",""),"")</f>
        <v/>
      </c>
      <c r="G266" s="14">
        <f>IF(F266&lt;&gt;"","按字段批注、数据字典和来源记录修正后复核","")</f>
        <v/>
      </c>
      <c r="H266" s="14">
        <f>IF(F266&lt;&gt;"","待处理","")</f>
        <v/>
      </c>
    </row>
    <row r="267">
      <c r="A267" s="14">
        <f>IF(F267&lt;&gt;"","ISSUE-"&amp;TEXT(ROW()-1,"00000"),"")</f>
        <v/>
      </c>
      <c r="B267" s="14">
        <f>IF(F267&lt;&gt;"","错误","")</f>
        <v/>
      </c>
      <c r="C267" s="14">
        <f>IF('02_固定地理'!A267&lt;&gt;"","02_固定地理","")</f>
        <v/>
      </c>
      <c r="D267" s="14">
        <f>IF('02_固定地理'!A267&lt;&gt;"",'02_固定地理'!A267,"")</f>
        <v/>
      </c>
      <c r="E267" s="14">
        <f>IF(F267&lt;&gt;"","综合校验","")</f>
        <v/>
      </c>
      <c r="F267" s="14">
        <f>IF('02_固定地理'!A267&lt;&gt;"",IF('02_固定地理'!A267="","缺少对象ID；","")&amp;IF('02_固定地理'!B267="","缺少中文名称；","")&amp;IF('02_固定地理'!D267="","缺少对象类型；","")&amp;IF(AND('02_固定地理'!F267&lt;&gt;"",OR('02_固定地理'!F267&lt;0,'02_固定地理'!F267&gt;WorldWidth)),"世界中心X越界；","")&amp;IF(AND('02_固定地理'!G267&lt;&gt;"",OR('02_固定地理'!G267&lt;0,'02_固定地理'!G267&gt;WorldHeight)),"世界中心Y越界；","")&amp;IF(AND('02_固定地理'!H267&lt;&gt;"",'02_固定地理'!J267&lt;&gt;"",'02_固定地理'!H267&gt;'02_固定地理'!J267),"最小X大于最大X；","")&amp;IF(AND('02_固定地理'!I267&lt;&gt;"",'02_固定地理'!K267&lt;&gt;"",'02_固定地理'!I267&gt;'02_固定地理'!K267),"最小Y大于最大Y；","")&amp;IF(AND('02_固定地理'!E267&lt;&gt;"",COUNTIF('02_固定地理'!$A$2:$A$501,'02_固定地理'!E267)=0),"父级对象不存在；","")&amp;IF(AND('02_固定地理'!A267&lt;&gt;"",COUNTIF('02_固定地理'!$A$2:$A$501,'02_固定地理'!A267)&gt;1),"ID重复；",""),"")</f>
        <v/>
      </c>
      <c r="G267" s="14">
        <f>IF(F267&lt;&gt;"","按字段批注、数据字典和来源记录修正后复核","")</f>
        <v/>
      </c>
      <c r="H267" s="14">
        <f>IF(F267&lt;&gt;"","待处理","")</f>
        <v/>
      </c>
    </row>
    <row r="268">
      <c r="A268" s="14">
        <f>IF(F268&lt;&gt;"","ISSUE-"&amp;TEXT(ROW()-1,"00000"),"")</f>
        <v/>
      </c>
      <c r="B268" s="14">
        <f>IF(F268&lt;&gt;"","错误","")</f>
        <v/>
      </c>
      <c r="C268" s="14">
        <f>IF('02_固定地理'!A268&lt;&gt;"","02_固定地理","")</f>
        <v/>
      </c>
      <c r="D268" s="14">
        <f>IF('02_固定地理'!A268&lt;&gt;"",'02_固定地理'!A268,"")</f>
        <v/>
      </c>
      <c r="E268" s="14">
        <f>IF(F268&lt;&gt;"","综合校验","")</f>
        <v/>
      </c>
      <c r="F268" s="14">
        <f>IF('02_固定地理'!A268&lt;&gt;"",IF('02_固定地理'!A268="","缺少对象ID；","")&amp;IF('02_固定地理'!B268="","缺少中文名称；","")&amp;IF('02_固定地理'!D268="","缺少对象类型；","")&amp;IF(AND('02_固定地理'!F268&lt;&gt;"",OR('02_固定地理'!F268&lt;0,'02_固定地理'!F268&gt;WorldWidth)),"世界中心X越界；","")&amp;IF(AND('02_固定地理'!G268&lt;&gt;"",OR('02_固定地理'!G268&lt;0,'02_固定地理'!G268&gt;WorldHeight)),"世界中心Y越界；","")&amp;IF(AND('02_固定地理'!H268&lt;&gt;"",'02_固定地理'!J268&lt;&gt;"",'02_固定地理'!H268&gt;'02_固定地理'!J268),"最小X大于最大X；","")&amp;IF(AND('02_固定地理'!I268&lt;&gt;"",'02_固定地理'!K268&lt;&gt;"",'02_固定地理'!I268&gt;'02_固定地理'!K268),"最小Y大于最大Y；","")&amp;IF(AND('02_固定地理'!E268&lt;&gt;"",COUNTIF('02_固定地理'!$A$2:$A$501,'02_固定地理'!E268)=0),"父级对象不存在；","")&amp;IF(AND('02_固定地理'!A268&lt;&gt;"",COUNTIF('02_固定地理'!$A$2:$A$501,'02_固定地理'!A268)&gt;1),"ID重复；",""),"")</f>
        <v/>
      </c>
      <c r="G268" s="14">
        <f>IF(F268&lt;&gt;"","按字段批注、数据字典和来源记录修正后复核","")</f>
        <v/>
      </c>
      <c r="H268" s="14">
        <f>IF(F268&lt;&gt;"","待处理","")</f>
        <v/>
      </c>
    </row>
    <row r="269">
      <c r="A269" s="14">
        <f>IF(F269&lt;&gt;"","ISSUE-"&amp;TEXT(ROW()-1,"00000"),"")</f>
        <v/>
      </c>
      <c r="B269" s="14">
        <f>IF(F269&lt;&gt;"","错误","")</f>
        <v/>
      </c>
      <c r="C269" s="14">
        <f>IF('02_固定地理'!A269&lt;&gt;"","02_固定地理","")</f>
        <v/>
      </c>
      <c r="D269" s="14">
        <f>IF('02_固定地理'!A269&lt;&gt;"",'02_固定地理'!A269,"")</f>
        <v/>
      </c>
      <c r="E269" s="14">
        <f>IF(F269&lt;&gt;"","综合校验","")</f>
        <v/>
      </c>
      <c r="F269" s="14">
        <f>IF('02_固定地理'!A269&lt;&gt;"",IF('02_固定地理'!A269="","缺少对象ID；","")&amp;IF('02_固定地理'!B269="","缺少中文名称；","")&amp;IF('02_固定地理'!D269="","缺少对象类型；","")&amp;IF(AND('02_固定地理'!F269&lt;&gt;"",OR('02_固定地理'!F269&lt;0,'02_固定地理'!F269&gt;WorldWidth)),"世界中心X越界；","")&amp;IF(AND('02_固定地理'!G269&lt;&gt;"",OR('02_固定地理'!G269&lt;0,'02_固定地理'!G269&gt;WorldHeight)),"世界中心Y越界；","")&amp;IF(AND('02_固定地理'!H269&lt;&gt;"",'02_固定地理'!J269&lt;&gt;"",'02_固定地理'!H269&gt;'02_固定地理'!J269),"最小X大于最大X；","")&amp;IF(AND('02_固定地理'!I269&lt;&gt;"",'02_固定地理'!K269&lt;&gt;"",'02_固定地理'!I269&gt;'02_固定地理'!K269),"最小Y大于最大Y；","")&amp;IF(AND('02_固定地理'!E269&lt;&gt;"",COUNTIF('02_固定地理'!$A$2:$A$501,'02_固定地理'!E269)=0),"父级对象不存在；","")&amp;IF(AND('02_固定地理'!A269&lt;&gt;"",COUNTIF('02_固定地理'!$A$2:$A$501,'02_固定地理'!A269)&gt;1),"ID重复；",""),"")</f>
        <v/>
      </c>
      <c r="G269" s="14">
        <f>IF(F269&lt;&gt;"","按字段批注、数据字典和来源记录修正后复核","")</f>
        <v/>
      </c>
      <c r="H269" s="14">
        <f>IF(F269&lt;&gt;"","待处理","")</f>
        <v/>
      </c>
    </row>
    <row r="270">
      <c r="A270" s="14">
        <f>IF(F270&lt;&gt;"","ISSUE-"&amp;TEXT(ROW()-1,"00000"),"")</f>
        <v/>
      </c>
      <c r="B270" s="14">
        <f>IF(F270&lt;&gt;"","错误","")</f>
        <v/>
      </c>
      <c r="C270" s="14">
        <f>IF('02_固定地理'!A270&lt;&gt;"","02_固定地理","")</f>
        <v/>
      </c>
      <c r="D270" s="14">
        <f>IF('02_固定地理'!A270&lt;&gt;"",'02_固定地理'!A270,"")</f>
        <v/>
      </c>
      <c r="E270" s="14">
        <f>IF(F270&lt;&gt;"","综合校验","")</f>
        <v/>
      </c>
      <c r="F270" s="14">
        <f>IF('02_固定地理'!A270&lt;&gt;"",IF('02_固定地理'!A270="","缺少对象ID；","")&amp;IF('02_固定地理'!B270="","缺少中文名称；","")&amp;IF('02_固定地理'!D270="","缺少对象类型；","")&amp;IF(AND('02_固定地理'!F270&lt;&gt;"",OR('02_固定地理'!F270&lt;0,'02_固定地理'!F270&gt;WorldWidth)),"世界中心X越界；","")&amp;IF(AND('02_固定地理'!G270&lt;&gt;"",OR('02_固定地理'!G270&lt;0,'02_固定地理'!G270&gt;WorldHeight)),"世界中心Y越界；","")&amp;IF(AND('02_固定地理'!H270&lt;&gt;"",'02_固定地理'!J270&lt;&gt;"",'02_固定地理'!H270&gt;'02_固定地理'!J270),"最小X大于最大X；","")&amp;IF(AND('02_固定地理'!I270&lt;&gt;"",'02_固定地理'!K270&lt;&gt;"",'02_固定地理'!I270&gt;'02_固定地理'!K270),"最小Y大于最大Y；","")&amp;IF(AND('02_固定地理'!E270&lt;&gt;"",COUNTIF('02_固定地理'!$A$2:$A$501,'02_固定地理'!E270)=0),"父级对象不存在；","")&amp;IF(AND('02_固定地理'!A270&lt;&gt;"",COUNTIF('02_固定地理'!$A$2:$A$501,'02_固定地理'!A270)&gt;1),"ID重复；",""),"")</f>
        <v/>
      </c>
      <c r="G270" s="14">
        <f>IF(F270&lt;&gt;"","按字段批注、数据字典和来源记录修正后复核","")</f>
        <v/>
      </c>
      <c r="H270" s="14">
        <f>IF(F270&lt;&gt;"","待处理","")</f>
        <v/>
      </c>
    </row>
    <row r="271">
      <c r="A271" s="14">
        <f>IF(F271&lt;&gt;"","ISSUE-"&amp;TEXT(ROW()-1,"00000"),"")</f>
        <v/>
      </c>
      <c r="B271" s="14">
        <f>IF(F271&lt;&gt;"","错误","")</f>
        <v/>
      </c>
      <c r="C271" s="14">
        <f>IF('02_固定地理'!A271&lt;&gt;"","02_固定地理","")</f>
        <v/>
      </c>
      <c r="D271" s="14">
        <f>IF('02_固定地理'!A271&lt;&gt;"",'02_固定地理'!A271,"")</f>
        <v/>
      </c>
      <c r="E271" s="14">
        <f>IF(F271&lt;&gt;"","综合校验","")</f>
        <v/>
      </c>
      <c r="F271" s="14">
        <f>IF('02_固定地理'!A271&lt;&gt;"",IF('02_固定地理'!A271="","缺少对象ID；","")&amp;IF('02_固定地理'!B271="","缺少中文名称；","")&amp;IF('02_固定地理'!D271="","缺少对象类型；","")&amp;IF(AND('02_固定地理'!F271&lt;&gt;"",OR('02_固定地理'!F271&lt;0,'02_固定地理'!F271&gt;WorldWidth)),"世界中心X越界；","")&amp;IF(AND('02_固定地理'!G271&lt;&gt;"",OR('02_固定地理'!G271&lt;0,'02_固定地理'!G271&gt;WorldHeight)),"世界中心Y越界；","")&amp;IF(AND('02_固定地理'!H271&lt;&gt;"",'02_固定地理'!J271&lt;&gt;"",'02_固定地理'!H271&gt;'02_固定地理'!J271),"最小X大于最大X；","")&amp;IF(AND('02_固定地理'!I271&lt;&gt;"",'02_固定地理'!K271&lt;&gt;"",'02_固定地理'!I271&gt;'02_固定地理'!K271),"最小Y大于最大Y；","")&amp;IF(AND('02_固定地理'!E271&lt;&gt;"",COUNTIF('02_固定地理'!$A$2:$A$501,'02_固定地理'!E271)=0),"父级对象不存在；","")&amp;IF(AND('02_固定地理'!A271&lt;&gt;"",COUNTIF('02_固定地理'!$A$2:$A$501,'02_固定地理'!A271)&gt;1),"ID重复；",""),"")</f>
        <v/>
      </c>
      <c r="G271" s="14">
        <f>IF(F271&lt;&gt;"","按字段批注、数据字典和来源记录修正后复核","")</f>
        <v/>
      </c>
      <c r="H271" s="14">
        <f>IF(F271&lt;&gt;"","待处理","")</f>
        <v/>
      </c>
    </row>
    <row r="272">
      <c r="A272" s="14">
        <f>IF(F272&lt;&gt;"","ISSUE-"&amp;TEXT(ROW()-1,"00000"),"")</f>
        <v/>
      </c>
      <c r="B272" s="14">
        <f>IF(F272&lt;&gt;"","错误","")</f>
        <v/>
      </c>
      <c r="C272" s="14">
        <f>IF('02_固定地理'!A272&lt;&gt;"","02_固定地理","")</f>
        <v/>
      </c>
      <c r="D272" s="14">
        <f>IF('02_固定地理'!A272&lt;&gt;"",'02_固定地理'!A272,"")</f>
        <v/>
      </c>
      <c r="E272" s="14">
        <f>IF(F272&lt;&gt;"","综合校验","")</f>
        <v/>
      </c>
      <c r="F272" s="14">
        <f>IF('02_固定地理'!A272&lt;&gt;"",IF('02_固定地理'!A272="","缺少对象ID；","")&amp;IF('02_固定地理'!B272="","缺少中文名称；","")&amp;IF('02_固定地理'!D272="","缺少对象类型；","")&amp;IF(AND('02_固定地理'!F272&lt;&gt;"",OR('02_固定地理'!F272&lt;0,'02_固定地理'!F272&gt;WorldWidth)),"世界中心X越界；","")&amp;IF(AND('02_固定地理'!G272&lt;&gt;"",OR('02_固定地理'!G272&lt;0,'02_固定地理'!G272&gt;WorldHeight)),"世界中心Y越界；","")&amp;IF(AND('02_固定地理'!H272&lt;&gt;"",'02_固定地理'!J272&lt;&gt;"",'02_固定地理'!H272&gt;'02_固定地理'!J272),"最小X大于最大X；","")&amp;IF(AND('02_固定地理'!I272&lt;&gt;"",'02_固定地理'!K272&lt;&gt;"",'02_固定地理'!I272&gt;'02_固定地理'!K272),"最小Y大于最大Y；","")&amp;IF(AND('02_固定地理'!E272&lt;&gt;"",COUNTIF('02_固定地理'!$A$2:$A$501,'02_固定地理'!E272)=0),"父级对象不存在；","")&amp;IF(AND('02_固定地理'!A272&lt;&gt;"",COUNTIF('02_固定地理'!$A$2:$A$501,'02_固定地理'!A272)&gt;1),"ID重复；",""),"")</f>
        <v/>
      </c>
      <c r="G272" s="14">
        <f>IF(F272&lt;&gt;"","按字段批注、数据字典和来源记录修正后复核","")</f>
        <v/>
      </c>
      <c r="H272" s="14">
        <f>IF(F272&lt;&gt;"","待处理","")</f>
        <v/>
      </c>
    </row>
    <row r="273">
      <c r="A273" s="14">
        <f>IF(F273&lt;&gt;"","ISSUE-"&amp;TEXT(ROW()-1,"00000"),"")</f>
        <v/>
      </c>
      <c r="B273" s="14">
        <f>IF(F273&lt;&gt;"","错误","")</f>
        <v/>
      </c>
      <c r="C273" s="14">
        <f>IF('02_固定地理'!A273&lt;&gt;"","02_固定地理","")</f>
        <v/>
      </c>
      <c r="D273" s="14">
        <f>IF('02_固定地理'!A273&lt;&gt;"",'02_固定地理'!A273,"")</f>
        <v/>
      </c>
      <c r="E273" s="14">
        <f>IF(F273&lt;&gt;"","综合校验","")</f>
        <v/>
      </c>
      <c r="F273" s="14">
        <f>IF('02_固定地理'!A273&lt;&gt;"",IF('02_固定地理'!A273="","缺少对象ID；","")&amp;IF('02_固定地理'!B273="","缺少中文名称；","")&amp;IF('02_固定地理'!D273="","缺少对象类型；","")&amp;IF(AND('02_固定地理'!F273&lt;&gt;"",OR('02_固定地理'!F273&lt;0,'02_固定地理'!F273&gt;WorldWidth)),"世界中心X越界；","")&amp;IF(AND('02_固定地理'!G273&lt;&gt;"",OR('02_固定地理'!G273&lt;0,'02_固定地理'!G273&gt;WorldHeight)),"世界中心Y越界；","")&amp;IF(AND('02_固定地理'!H273&lt;&gt;"",'02_固定地理'!J273&lt;&gt;"",'02_固定地理'!H273&gt;'02_固定地理'!J273),"最小X大于最大X；","")&amp;IF(AND('02_固定地理'!I273&lt;&gt;"",'02_固定地理'!K273&lt;&gt;"",'02_固定地理'!I273&gt;'02_固定地理'!K273),"最小Y大于最大Y；","")&amp;IF(AND('02_固定地理'!E273&lt;&gt;"",COUNTIF('02_固定地理'!$A$2:$A$501,'02_固定地理'!E273)=0),"父级对象不存在；","")&amp;IF(AND('02_固定地理'!A273&lt;&gt;"",COUNTIF('02_固定地理'!$A$2:$A$501,'02_固定地理'!A273)&gt;1),"ID重复；",""),"")</f>
        <v/>
      </c>
      <c r="G273" s="14">
        <f>IF(F273&lt;&gt;"","按字段批注、数据字典和来源记录修正后复核","")</f>
        <v/>
      </c>
      <c r="H273" s="14">
        <f>IF(F273&lt;&gt;"","待处理","")</f>
        <v/>
      </c>
    </row>
    <row r="274">
      <c r="A274" s="14">
        <f>IF(F274&lt;&gt;"","ISSUE-"&amp;TEXT(ROW()-1,"00000"),"")</f>
        <v/>
      </c>
      <c r="B274" s="14">
        <f>IF(F274&lt;&gt;"","错误","")</f>
        <v/>
      </c>
      <c r="C274" s="14">
        <f>IF('02_固定地理'!A274&lt;&gt;"","02_固定地理","")</f>
        <v/>
      </c>
      <c r="D274" s="14">
        <f>IF('02_固定地理'!A274&lt;&gt;"",'02_固定地理'!A274,"")</f>
        <v/>
      </c>
      <c r="E274" s="14">
        <f>IF(F274&lt;&gt;"","综合校验","")</f>
        <v/>
      </c>
      <c r="F274" s="14">
        <f>IF('02_固定地理'!A274&lt;&gt;"",IF('02_固定地理'!A274="","缺少对象ID；","")&amp;IF('02_固定地理'!B274="","缺少中文名称；","")&amp;IF('02_固定地理'!D274="","缺少对象类型；","")&amp;IF(AND('02_固定地理'!F274&lt;&gt;"",OR('02_固定地理'!F274&lt;0,'02_固定地理'!F274&gt;WorldWidth)),"世界中心X越界；","")&amp;IF(AND('02_固定地理'!G274&lt;&gt;"",OR('02_固定地理'!G274&lt;0,'02_固定地理'!G274&gt;WorldHeight)),"世界中心Y越界；","")&amp;IF(AND('02_固定地理'!H274&lt;&gt;"",'02_固定地理'!J274&lt;&gt;"",'02_固定地理'!H274&gt;'02_固定地理'!J274),"最小X大于最大X；","")&amp;IF(AND('02_固定地理'!I274&lt;&gt;"",'02_固定地理'!K274&lt;&gt;"",'02_固定地理'!I274&gt;'02_固定地理'!K274),"最小Y大于最大Y；","")&amp;IF(AND('02_固定地理'!E274&lt;&gt;"",COUNTIF('02_固定地理'!$A$2:$A$501,'02_固定地理'!E274)=0),"父级对象不存在；","")&amp;IF(AND('02_固定地理'!A274&lt;&gt;"",COUNTIF('02_固定地理'!$A$2:$A$501,'02_固定地理'!A274)&gt;1),"ID重复；",""),"")</f>
        <v/>
      </c>
      <c r="G274" s="14">
        <f>IF(F274&lt;&gt;"","按字段批注、数据字典和来源记录修正后复核","")</f>
        <v/>
      </c>
      <c r="H274" s="14">
        <f>IF(F274&lt;&gt;"","待处理","")</f>
        <v/>
      </c>
    </row>
    <row r="275">
      <c r="A275" s="14">
        <f>IF(F275&lt;&gt;"","ISSUE-"&amp;TEXT(ROW()-1,"00000"),"")</f>
        <v/>
      </c>
      <c r="B275" s="14">
        <f>IF(F275&lt;&gt;"","错误","")</f>
        <v/>
      </c>
      <c r="C275" s="14">
        <f>IF('02_固定地理'!A275&lt;&gt;"","02_固定地理","")</f>
        <v/>
      </c>
      <c r="D275" s="14">
        <f>IF('02_固定地理'!A275&lt;&gt;"",'02_固定地理'!A275,"")</f>
        <v/>
      </c>
      <c r="E275" s="14">
        <f>IF(F275&lt;&gt;"","综合校验","")</f>
        <v/>
      </c>
      <c r="F275" s="14">
        <f>IF('02_固定地理'!A275&lt;&gt;"",IF('02_固定地理'!A275="","缺少对象ID；","")&amp;IF('02_固定地理'!B275="","缺少中文名称；","")&amp;IF('02_固定地理'!D275="","缺少对象类型；","")&amp;IF(AND('02_固定地理'!F275&lt;&gt;"",OR('02_固定地理'!F275&lt;0,'02_固定地理'!F275&gt;WorldWidth)),"世界中心X越界；","")&amp;IF(AND('02_固定地理'!G275&lt;&gt;"",OR('02_固定地理'!G275&lt;0,'02_固定地理'!G275&gt;WorldHeight)),"世界中心Y越界；","")&amp;IF(AND('02_固定地理'!H275&lt;&gt;"",'02_固定地理'!J275&lt;&gt;"",'02_固定地理'!H275&gt;'02_固定地理'!J275),"最小X大于最大X；","")&amp;IF(AND('02_固定地理'!I275&lt;&gt;"",'02_固定地理'!K275&lt;&gt;"",'02_固定地理'!I275&gt;'02_固定地理'!K275),"最小Y大于最大Y；","")&amp;IF(AND('02_固定地理'!E275&lt;&gt;"",COUNTIF('02_固定地理'!$A$2:$A$501,'02_固定地理'!E275)=0),"父级对象不存在；","")&amp;IF(AND('02_固定地理'!A275&lt;&gt;"",COUNTIF('02_固定地理'!$A$2:$A$501,'02_固定地理'!A275)&gt;1),"ID重复；",""),"")</f>
        <v/>
      </c>
      <c r="G275" s="14">
        <f>IF(F275&lt;&gt;"","按字段批注、数据字典和来源记录修正后复核","")</f>
        <v/>
      </c>
      <c r="H275" s="14">
        <f>IF(F275&lt;&gt;"","待处理","")</f>
        <v/>
      </c>
    </row>
    <row r="276">
      <c r="A276" s="14">
        <f>IF(F276&lt;&gt;"","ISSUE-"&amp;TEXT(ROW()-1,"00000"),"")</f>
        <v/>
      </c>
      <c r="B276" s="14">
        <f>IF(F276&lt;&gt;"","错误","")</f>
        <v/>
      </c>
      <c r="C276" s="14">
        <f>IF('02_固定地理'!A276&lt;&gt;"","02_固定地理","")</f>
        <v/>
      </c>
      <c r="D276" s="14">
        <f>IF('02_固定地理'!A276&lt;&gt;"",'02_固定地理'!A276,"")</f>
        <v/>
      </c>
      <c r="E276" s="14">
        <f>IF(F276&lt;&gt;"","综合校验","")</f>
        <v/>
      </c>
      <c r="F276" s="14">
        <f>IF('02_固定地理'!A276&lt;&gt;"",IF('02_固定地理'!A276="","缺少对象ID；","")&amp;IF('02_固定地理'!B276="","缺少中文名称；","")&amp;IF('02_固定地理'!D276="","缺少对象类型；","")&amp;IF(AND('02_固定地理'!F276&lt;&gt;"",OR('02_固定地理'!F276&lt;0,'02_固定地理'!F276&gt;WorldWidth)),"世界中心X越界；","")&amp;IF(AND('02_固定地理'!G276&lt;&gt;"",OR('02_固定地理'!G276&lt;0,'02_固定地理'!G276&gt;WorldHeight)),"世界中心Y越界；","")&amp;IF(AND('02_固定地理'!H276&lt;&gt;"",'02_固定地理'!J276&lt;&gt;"",'02_固定地理'!H276&gt;'02_固定地理'!J276),"最小X大于最大X；","")&amp;IF(AND('02_固定地理'!I276&lt;&gt;"",'02_固定地理'!K276&lt;&gt;"",'02_固定地理'!I276&gt;'02_固定地理'!K276),"最小Y大于最大Y；","")&amp;IF(AND('02_固定地理'!E276&lt;&gt;"",COUNTIF('02_固定地理'!$A$2:$A$501,'02_固定地理'!E276)=0),"父级对象不存在；","")&amp;IF(AND('02_固定地理'!A276&lt;&gt;"",COUNTIF('02_固定地理'!$A$2:$A$501,'02_固定地理'!A276)&gt;1),"ID重复；",""),"")</f>
        <v/>
      </c>
      <c r="G276" s="14">
        <f>IF(F276&lt;&gt;"","按字段批注、数据字典和来源记录修正后复核","")</f>
        <v/>
      </c>
      <c r="H276" s="14">
        <f>IF(F276&lt;&gt;"","待处理","")</f>
        <v/>
      </c>
    </row>
    <row r="277">
      <c r="A277" s="14">
        <f>IF(F277&lt;&gt;"","ISSUE-"&amp;TEXT(ROW()-1,"00000"),"")</f>
        <v/>
      </c>
      <c r="B277" s="14">
        <f>IF(F277&lt;&gt;"","错误","")</f>
        <v/>
      </c>
      <c r="C277" s="14">
        <f>IF('02_固定地理'!A277&lt;&gt;"","02_固定地理","")</f>
        <v/>
      </c>
      <c r="D277" s="14">
        <f>IF('02_固定地理'!A277&lt;&gt;"",'02_固定地理'!A277,"")</f>
        <v/>
      </c>
      <c r="E277" s="14">
        <f>IF(F277&lt;&gt;"","综合校验","")</f>
        <v/>
      </c>
      <c r="F277" s="14">
        <f>IF('02_固定地理'!A277&lt;&gt;"",IF('02_固定地理'!A277="","缺少对象ID；","")&amp;IF('02_固定地理'!B277="","缺少中文名称；","")&amp;IF('02_固定地理'!D277="","缺少对象类型；","")&amp;IF(AND('02_固定地理'!F277&lt;&gt;"",OR('02_固定地理'!F277&lt;0,'02_固定地理'!F277&gt;WorldWidth)),"世界中心X越界；","")&amp;IF(AND('02_固定地理'!G277&lt;&gt;"",OR('02_固定地理'!G277&lt;0,'02_固定地理'!G277&gt;WorldHeight)),"世界中心Y越界；","")&amp;IF(AND('02_固定地理'!H277&lt;&gt;"",'02_固定地理'!J277&lt;&gt;"",'02_固定地理'!H277&gt;'02_固定地理'!J277),"最小X大于最大X；","")&amp;IF(AND('02_固定地理'!I277&lt;&gt;"",'02_固定地理'!K277&lt;&gt;"",'02_固定地理'!I277&gt;'02_固定地理'!K277),"最小Y大于最大Y；","")&amp;IF(AND('02_固定地理'!E277&lt;&gt;"",COUNTIF('02_固定地理'!$A$2:$A$501,'02_固定地理'!E277)=0),"父级对象不存在；","")&amp;IF(AND('02_固定地理'!A277&lt;&gt;"",COUNTIF('02_固定地理'!$A$2:$A$501,'02_固定地理'!A277)&gt;1),"ID重复；",""),"")</f>
        <v/>
      </c>
      <c r="G277" s="14">
        <f>IF(F277&lt;&gt;"","按字段批注、数据字典和来源记录修正后复核","")</f>
        <v/>
      </c>
      <c r="H277" s="14">
        <f>IF(F277&lt;&gt;"","待处理","")</f>
        <v/>
      </c>
    </row>
    <row r="278">
      <c r="A278" s="14">
        <f>IF(F278&lt;&gt;"","ISSUE-"&amp;TEXT(ROW()-1,"00000"),"")</f>
        <v/>
      </c>
      <c r="B278" s="14">
        <f>IF(F278&lt;&gt;"","错误","")</f>
        <v/>
      </c>
      <c r="C278" s="14">
        <f>IF('02_固定地理'!A278&lt;&gt;"","02_固定地理","")</f>
        <v/>
      </c>
      <c r="D278" s="14">
        <f>IF('02_固定地理'!A278&lt;&gt;"",'02_固定地理'!A278,"")</f>
        <v/>
      </c>
      <c r="E278" s="14">
        <f>IF(F278&lt;&gt;"","综合校验","")</f>
        <v/>
      </c>
      <c r="F278" s="14">
        <f>IF('02_固定地理'!A278&lt;&gt;"",IF('02_固定地理'!A278="","缺少对象ID；","")&amp;IF('02_固定地理'!B278="","缺少中文名称；","")&amp;IF('02_固定地理'!D278="","缺少对象类型；","")&amp;IF(AND('02_固定地理'!F278&lt;&gt;"",OR('02_固定地理'!F278&lt;0,'02_固定地理'!F278&gt;WorldWidth)),"世界中心X越界；","")&amp;IF(AND('02_固定地理'!G278&lt;&gt;"",OR('02_固定地理'!G278&lt;0,'02_固定地理'!G278&gt;WorldHeight)),"世界中心Y越界；","")&amp;IF(AND('02_固定地理'!H278&lt;&gt;"",'02_固定地理'!J278&lt;&gt;"",'02_固定地理'!H278&gt;'02_固定地理'!J278),"最小X大于最大X；","")&amp;IF(AND('02_固定地理'!I278&lt;&gt;"",'02_固定地理'!K278&lt;&gt;"",'02_固定地理'!I278&gt;'02_固定地理'!K278),"最小Y大于最大Y；","")&amp;IF(AND('02_固定地理'!E278&lt;&gt;"",COUNTIF('02_固定地理'!$A$2:$A$501,'02_固定地理'!E278)=0),"父级对象不存在；","")&amp;IF(AND('02_固定地理'!A278&lt;&gt;"",COUNTIF('02_固定地理'!$A$2:$A$501,'02_固定地理'!A278)&gt;1),"ID重复；",""),"")</f>
        <v/>
      </c>
      <c r="G278" s="14">
        <f>IF(F278&lt;&gt;"","按字段批注、数据字典和来源记录修正后复核","")</f>
        <v/>
      </c>
      <c r="H278" s="14">
        <f>IF(F278&lt;&gt;"","待处理","")</f>
        <v/>
      </c>
    </row>
    <row r="279">
      <c r="A279" s="14">
        <f>IF(F279&lt;&gt;"","ISSUE-"&amp;TEXT(ROW()-1,"00000"),"")</f>
        <v/>
      </c>
      <c r="B279" s="14">
        <f>IF(F279&lt;&gt;"","错误","")</f>
        <v/>
      </c>
      <c r="C279" s="14">
        <f>IF('02_固定地理'!A279&lt;&gt;"","02_固定地理","")</f>
        <v/>
      </c>
      <c r="D279" s="14">
        <f>IF('02_固定地理'!A279&lt;&gt;"",'02_固定地理'!A279,"")</f>
        <v/>
      </c>
      <c r="E279" s="14">
        <f>IF(F279&lt;&gt;"","综合校验","")</f>
        <v/>
      </c>
      <c r="F279" s="14">
        <f>IF('02_固定地理'!A279&lt;&gt;"",IF('02_固定地理'!A279="","缺少对象ID；","")&amp;IF('02_固定地理'!B279="","缺少中文名称；","")&amp;IF('02_固定地理'!D279="","缺少对象类型；","")&amp;IF(AND('02_固定地理'!F279&lt;&gt;"",OR('02_固定地理'!F279&lt;0,'02_固定地理'!F279&gt;WorldWidth)),"世界中心X越界；","")&amp;IF(AND('02_固定地理'!G279&lt;&gt;"",OR('02_固定地理'!G279&lt;0,'02_固定地理'!G279&gt;WorldHeight)),"世界中心Y越界；","")&amp;IF(AND('02_固定地理'!H279&lt;&gt;"",'02_固定地理'!J279&lt;&gt;"",'02_固定地理'!H279&gt;'02_固定地理'!J279),"最小X大于最大X；","")&amp;IF(AND('02_固定地理'!I279&lt;&gt;"",'02_固定地理'!K279&lt;&gt;"",'02_固定地理'!I279&gt;'02_固定地理'!K279),"最小Y大于最大Y；","")&amp;IF(AND('02_固定地理'!E279&lt;&gt;"",COUNTIF('02_固定地理'!$A$2:$A$501,'02_固定地理'!E279)=0),"父级对象不存在；","")&amp;IF(AND('02_固定地理'!A279&lt;&gt;"",COUNTIF('02_固定地理'!$A$2:$A$501,'02_固定地理'!A279)&gt;1),"ID重复；",""),"")</f>
        <v/>
      </c>
      <c r="G279" s="14">
        <f>IF(F279&lt;&gt;"","按字段批注、数据字典和来源记录修正后复核","")</f>
        <v/>
      </c>
      <c r="H279" s="14">
        <f>IF(F279&lt;&gt;"","待处理","")</f>
        <v/>
      </c>
    </row>
    <row r="280">
      <c r="A280" s="14">
        <f>IF(F280&lt;&gt;"","ISSUE-"&amp;TEXT(ROW()-1,"00000"),"")</f>
        <v/>
      </c>
      <c r="B280" s="14">
        <f>IF(F280&lt;&gt;"","错误","")</f>
        <v/>
      </c>
      <c r="C280" s="14">
        <f>IF('02_固定地理'!A280&lt;&gt;"","02_固定地理","")</f>
        <v/>
      </c>
      <c r="D280" s="14">
        <f>IF('02_固定地理'!A280&lt;&gt;"",'02_固定地理'!A280,"")</f>
        <v/>
      </c>
      <c r="E280" s="14">
        <f>IF(F280&lt;&gt;"","综合校验","")</f>
        <v/>
      </c>
      <c r="F280" s="14">
        <f>IF('02_固定地理'!A280&lt;&gt;"",IF('02_固定地理'!A280="","缺少对象ID；","")&amp;IF('02_固定地理'!B280="","缺少中文名称；","")&amp;IF('02_固定地理'!D280="","缺少对象类型；","")&amp;IF(AND('02_固定地理'!F280&lt;&gt;"",OR('02_固定地理'!F280&lt;0,'02_固定地理'!F280&gt;WorldWidth)),"世界中心X越界；","")&amp;IF(AND('02_固定地理'!G280&lt;&gt;"",OR('02_固定地理'!G280&lt;0,'02_固定地理'!G280&gt;WorldHeight)),"世界中心Y越界；","")&amp;IF(AND('02_固定地理'!H280&lt;&gt;"",'02_固定地理'!J280&lt;&gt;"",'02_固定地理'!H280&gt;'02_固定地理'!J280),"最小X大于最大X；","")&amp;IF(AND('02_固定地理'!I280&lt;&gt;"",'02_固定地理'!K280&lt;&gt;"",'02_固定地理'!I280&gt;'02_固定地理'!K280),"最小Y大于最大Y；","")&amp;IF(AND('02_固定地理'!E280&lt;&gt;"",COUNTIF('02_固定地理'!$A$2:$A$501,'02_固定地理'!E280)=0),"父级对象不存在；","")&amp;IF(AND('02_固定地理'!A280&lt;&gt;"",COUNTIF('02_固定地理'!$A$2:$A$501,'02_固定地理'!A280)&gt;1),"ID重复；",""),"")</f>
        <v/>
      </c>
      <c r="G280" s="14">
        <f>IF(F280&lt;&gt;"","按字段批注、数据字典和来源记录修正后复核","")</f>
        <v/>
      </c>
      <c r="H280" s="14">
        <f>IF(F280&lt;&gt;"","待处理","")</f>
        <v/>
      </c>
    </row>
    <row r="281">
      <c r="A281" s="14">
        <f>IF(F281&lt;&gt;"","ISSUE-"&amp;TEXT(ROW()-1,"00000"),"")</f>
        <v/>
      </c>
      <c r="B281" s="14">
        <f>IF(F281&lt;&gt;"","错误","")</f>
        <v/>
      </c>
      <c r="C281" s="14">
        <f>IF('02_固定地理'!A281&lt;&gt;"","02_固定地理","")</f>
        <v/>
      </c>
      <c r="D281" s="14">
        <f>IF('02_固定地理'!A281&lt;&gt;"",'02_固定地理'!A281,"")</f>
        <v/>
      </c>
      <c r="E281" s="14">
        <f>IF(F281&lt;&gt;"","综合校验","")</f>
        <v/>
      </c>
      <c r="F281" s="14">
        <f>IF('02_固定地理'!A281&lt;&gt;"",IF('02_固定地理'!A281="","缺少对象ID；","")&amp;IF('02_固定地理'!B281="","缺少中文名称；","")&amp;IF('02_固定地理'!D281="","缺少对象类型；","")&amp;IF(AND('02_固定地理'!F281&lt;&gt;"",OR('02_固定地理'!F281&lt;0,'02_固定地理'!F281&gt;WorldWidth)),"世界中心X越界；","")&amp;IF(AND('02_固定地理'!G281&lt;&gt;"",OR('02_固定地理'!G281&lt;0,'02_固定地理'!G281&gt;WorldHeight)),"世界中心Y越界；","")&amp;IF(AND('02_固定地理'!H281&lt;&gt;"",'02_固定地理'!J281&lt;&gt;"",'02_固定地理'!H281&gt;'02_固定地理'!J281),"最小X大于最大X；","")&amp;IF(AND('02_固定地理'!I281&lt;&gt;"",'02_固定地理'!K281&lt;&gt;"",'02_固定地理'!I281&gt;'02_固定地理'!K281),"最小Y大于最大Y；","")&amp;IF(AND('02_固定地理'!E281&lt;&gt;"",COUNTIF('02_固定地理'!$A$2:$A$501,'02_固定地理'!E281)=0),"父级对象不存在；","")&amp;IF(AND('02_固定地理'!A281&lt;&gt;"",COUNTIF('02_固定地理'!$A$2:$A$501,'02_固定地理'!A281)&gt;1),"ID重复；",""),"")</f>
        <v/>
      </c>
      <c r="G281" s="14">
        <f>IF(F281&lt;&gt;"","按字段批注、数据字典和来源记录修正后复核","")</f>
        <v/>
      </c>
      <c r="H281" s="14">
        <f>IF(F281&lt;&gt;"","待处理","")</f>
        <v/>
      </c>
    </row>
    <row r="282">
      <c r="A282" s="14">
        <f>IF(F282&lt;&gt;"","ISSUE-"&amp;TEXT(ROW()-1,"00000"),"")</f>
        <v/>
      </c>
      <c r="B282" s="14">
        <f>IF(F282&lt;&gt;"","错误","")</f>
        <v/>
      </c>
      <c r="C282" s="14">
        <f>IF('02_固定地理'!A282&lt;&gt;"","02_固定地理","")</f>
        <v/>
      </c>
      <c r="D282" s="14">
        <f>IF('02_固定地理'!A282&lt;&gt;"",'02_固定地理'!A282,"")</f>
        <v/>
      </c>
      <c r="E282" s="14">
        <f>IF(F282&lt;&gt;"","综合校验","")</f>
        <v/>
      </c>
      <c r="F282" s="14">
        <f>IF('02_固定地理'!A282&lt;&gt;"",IF('02_固定地理'!A282="","缺少对象ID；","")&amp;IF('02_固定地理'!B282="","缺少中文名称；","")&amp;IF('02_固定地理'!D282="","缺少对象类型；","")&amp;IF(AND('02_固定地理'!F282&lt;&gt;"",OR('02_固定地理'!F282&lt;0,'02_固定地理'!F282&gt;WorldWidth)),"世界中心X越界；","")&amp;IF(AND('02_固定地理'!G282&lt;&gt;"",OR('02_固定地理'!G282&lt;0,'02_固定地理'!G282&gt;WorldHeight)),"世界中心Y越界；","")&amp;IF(AND('02_固定地理'!H282&lt;&gt;"",'02_固定地理'!J282&lt;&gt;"",'02_固定地理'!H282&gt;'02_固定地理'!J282),"最小X大于最大X；","")&amp;IF(AND('02_固定地理'!I282&lt;&gt;"",'02_固定地理'!K282&lt;&gt;"",'02_固定地理'!I282&gt;'02_固定地理'!K282),"最小Y大于最大Y；","")&amp;IF(AND('02_固定地理'!E282&lt;&gt;"",COUNTIF('02_固定地理'!$A$2:$A$501,'02_固定地理'!E282)=0),"父级对象不存在；","")&amp;IF(AND('02_固定地理'!A282&lt;&gt;"",COUNTIF('02_固定地理'!$A$2:$A$501,'02_固定地理'!A282)&gt;1),"ID重复；",""),"")</f>
        <v/>
      </c>
      <c r="G282" s="14">
        <f>IF(F282&lt;&gt;"","按字段批注、数据字典和来源记录修正后复核","")</f>
        <v/>
      </c>
      <c r="H282" s="14">
        <f>IF(F282&lt;&gt;"","待处理","")</f>
        <v/>
      </c>
    </row>
    <row r="283">
      <c r="A283" s="14">
        <f>IF(F283&lt;&gt;"","ISSUE-"&amp;TEXT(ROW()-1,"00000"),"")</f>
        <v/>
      </c>
      <c r="B283" s="14">
        <f>IF(F283&lt;&gt;"","错误","")</f>
        <v/>
      </c>
      <c r="C283" s="14">
        <f>IF('02_固定地理'!A283&lt;&gt;"","02_固定地理","")</f>
        <v/>
      </c>
      <c r="D283" s="14">
        <f>IF('02_固定地理'!A283&lt;&gt;"",'02_固定地理'!A283,"")</f>
        <v/>
      </c>
      <c r="E283" s="14">
        <f>IF(F283&lt;&gt;"","综合校验","")</f>
        <v/>
      </c>
      <c r="F283" s="14">
        <f>IF('02_固定地理'!A283&lt;&gt;"",IF('02_固定地理'!A283="","缺少对象ID；","")&amp;IF('02_固定地理'!B283="","缺少中文名称；","")&amp;IF('02_固定地理'!D283="","缺少对象类型；","")&amp;IF(AND('02_固定地理'!F283&lt;&gt;"",OR('02_固定地理'!F283&lt;0,'02_固定地理'!F283&gt;WorldWidth)),"世界中心X越界；","")&amp;IF(AND('02_固定地理'!G283&lt;&gt;"",OR('02_固定地理'!G283&lt;0,'02_固定地理'!G283&gt;WorldHeight)),"世界中心Y越界；","")&amp;IF(AND('02_固定地理'!H283&lt;&gt;"",'02_固定地理'!J283&lt;&gt;"",'02_固定地理'!H283&gt;'02_固定地理'!J283),"最小X大于最大X；","")&amp;IF(AND('02_固定地理'!I283&lt;&gt;"",'02_固定地理'!K283&lt;&gt;"",'02_固定地理'!I283&gt;'02_固定地理'!K283),"最小Y大于最大Y；","")&amp;IF(AND('02_固定地理'!E283&lt;&gt;"",COUNTIF('02_固定地理'!$A$2:$A$501,'02_固定地理'!E283)=0),"父级对象不存在；","")&amp;IF(AND('02_固定地理'!A283&lt;&gt;"",COUNTIF('02_固定地理'!$A$2:$A$501,'02_固定地理'!A283)&gt;1),"ID重复；",""),"")</f>
        <v/>
      </c>
      <c r="G283" s="14">
        <f>IF(F283&lt;&gt;"","按字段批注、数据字典和来源记录修正后复核","")</f>
        <v/>
      </c>
      <c r="H283" s="14">
        <f>IF(F283&lt;&gt;"","待处理","")</f>
        <v/>
      </c>
    </row>
    <row r="284">
      <c r="A284" s="14">
        <f>IF(F284&lt;&gt;"","ISSUE-"&amp;TEXT(ROW()-1,"00000"),"")</f>
        <v/>
      </c>
      <c r="B284" s="14">
        <f>IF(F284&lt;&gt;"","错误","")</f>
        <v/>
      </c>
      <c r="C284" s="14">
        <f>IF('02_固定地理'!A284&lt;&gt;"","02_固定地理","")</f>
        <v/>
      </c>
      <c r="D284" s="14">
        <f>IF('02_固定地理'!A284&lt;&gt;"",'02_固定地理'!A284,"")</f>
        <v/>
      </c>
      <c r="E284" s="14">
        <f>IF(F284&lt;&gt;"","综合校验","")</f>
        <v/>
      </c>
      <c r="F284" s="14">
        <f>IF('02_固定地理'!A284&lt;&gt;"",IF('02_固定地理'!A284="","缺少对象ID；","")&amp;IF('02_固定地理'!B284="","缺少中文名称；","")&amp;IF('02_固定地理'!D284="","缺少对象类型；","")&amp;IF(AND('02_固定地理'!F284&lt;&gt;"",OR('02_固定地理'!F284&lt;0,'02_固定地理'!F284&gt;WorldWidth)),"世界中心X越界；","")&amp;IF(AND('02_固定地理'!G284&lt;&gt;"",OR('02_固定地理'!G284&lt;0,'02_固定地理'!G284&gt;WorldHeight)),"世界中心Y越界；","")&amp;IF(AND('02_固定地理'!H284&lt;&gt;"",'02_固定地理'!J284&lt;&gt;"",'02_固定地理'!H284&gt;'02_固定地理'!J284),"最小X大于最大X；","")&amp;IF(AND('02_固定地理'!I284&lt;&gt;"",'02_固定地理'!K284&lt;&gt;"",'02_固定地理'!I284&gt;'02_固定地理'!K284),"最小Y大于最大Y；","")&amp;IF(AND('02_固定地理'!E284&lt;&gt;"",COUNTIF('02_固定地理'!$A$2:$A$501,'02_固定地理'!E284)=0),"父级对象不存在；","")&amp;IF(AND('02_固定地理'!A284&lt;&gt;"",COUNTIF('02_固定地理'!$A$2:$A$501,'02_固定地理'!A284)&gt;1),"ID重复；",""),"")</f>
        <v/>
      </c>
      <c r="G284" s="14">
        <f>IF(F284&lt;&gt;"","按字段批注、数据字典和来源记录修正后复核","")</f>
        <v/>
      </c>
      <c r="H284" s="14">
        <f>IF(F284&lt;&gt;"","待处理","")</f>
        <v/>
      </c>
    </row>
    <row r="285">
      <c r="A285" s="14">
        <f>IF(F285&lt;&gt;"","ISSUE-"&amp;TEXT(ROW()-1,"00000"),"")</f>
        <v/>
      </c>
      <c r="B285" s="14">
        <f>IF(F285&lt;&gt;"","错误","")</f>
        <v/>
      </c>
      <c r="C285" s="14">
        <f>IF('02_固定地理'!A285&lt;&gt;"","02_固定地理","")</f>
        <v/>
      </c>
      <c r="D285" s="14">
        <f>IF('02_固定地理'!A285&lt;&gt;"",'02_固定地理'!A285,"")</f>
        <v/>
      </c>
      <c r="E285" s="14">
        <f>IF(F285&lt;&gt;"","综合校验","")</f>
        <v/>
      </c>
      <c r="F285" s="14">
        <f>IF('02_固定地理'!A285&lt;&gt;"",IF('02_固定地理'!A285="","缺少对象ID；","")&amp;IF('02_固定地理'!B285="","缺少中文名称；","")&amp;IF('02_固定地理'!D285="","缺少对象类型；","")&amp;IF(AND('02_固定地理'!F285&lt;&gt;"",OR('02_固定地理'!F285&lt;0,'02_固定地理'!F285&gt;WorldWidth)),"世界中心X越界；","")&amp;IF(AND('02_固定地理'!G285&lt;&gt;"",OR('02_固定地理'!G285&lt;0,'02_固定地理'!G285&gt;WorldHeight)),"世界中心Y越界；","")&amp;IF(AND('02_固定地理'!H285&lt;&gt;"",'02_固定地理'!J285&lt;&gt;"",'02_固定地理'!H285&gt;'02_固定地理'!J285),"最小X大于最大X；","")&amp;IF(AND('02_固定地理'!I285&lt;&gt;"",'02_固定地理'!K285&lt;&gt;"",'02_固定地理'!I285&gt;'02_固定地理'!K285),"最小Y大于最大Y；","")&amp;IF(AND('02_固定地理'!E285&lt;&gt;"",COUNTIF('02_固定地理'!$A$2:$A$501,'02_固定地理'!E285)=0),"父级对象不存在；","")&amp;IF(AND('02_固定地理'!A285&lt;&gt;"",COUNTIF('02_固定地理'!$A$2:$A$501,'02_固定地理'!A285)&gt;1),"ID重复；",""),"")</f>
        <v/>
      </c>
      <c r="G285" s="14">
        <f>IF(F285&lt;&gt;"","按字段批注、数据字典和来源记录修正后复核","")</f>
        <v/>
      </c>
      <c r="H285" s="14">
        <f>IF(F285&lt;&gt;"","待处理","")</f>
        <v/>
      </c>
    </row>
    <row r="286">
      <c r="A286" s="14">
        <f>IF(F286&lt;&gt;"","ISSUE-"&amp;TEXT(ROW()-1,"00000"),"")</f>
        <v/>
      </c>
      <c r="B286" s="14">
        <f>IF(F286&lt;&gt;"","错误","")</f>
        <v/>
      </c>
      <c r="C286" s="14">
        <f>IF('02_固定地理'!A286&lt;&gt;"","02_固定地理","")</f>
        <v/>
      </c>
      <c r="D286" s="14">
        <f>IF('02_固定地理'!A286&lt;&gt;"",'02_固定地理'!A286,"")</f>
        <v/>
      </c>
      <c r="E286" s="14">
        <f>IF(F286&lt;&gt;"","综合校验","")</f>
        <v/>
      </c>
      <c r="F286" s="14">
        <f>IF('02_固定地理'!A286&lt;&gt;"",IF('02_固定地理'!A286="","缺少对象ID；","")&amp;IF('02_固定地理'!B286="","缺少中文名称；","")&amp;IF('02_固定地理'!D286="","缺少对象类型；","")&amp;IF(AND('02_固定地理'!F286&lt;&gt;"",OR('02_固定地理'!F286&lt;0,'02_固定地理'!F286&gt;WorldWidth)),"世界中心X越界；","")&amp;IF(AND('02_固定地理'!G286&lt;&gt;"",OR('02_固定地理'!G286&lt;0,'02_固定地理'!G286&gt;WorldHeight)),"世界中心Y越界；","")&amp;IF(AND('02_固定地理'!H286&lt;&gt;"",'02_固定地理'!J286&lt;&gt;"",'02_固定地理'!H286&gt;'02_固定地理'!J286),"最小X大于最大X；","")&amp;IF(AND('02_固定地理'!I286&lt;&gt;"",'02_固定地理'!K286&lt;&gt;"",'02_固定地理'!I286&gt;'02_固定地理'!K286),"最小Y大于最大Y；","")&amp;IF(AND('02_固定地理'!E286&lt;&gt;"",COUNTIF('02_固定地理'!$A$2:$A$501,'02_固定地理'!E286)=0),"父级对象不存在；","")&amp;IF(AND('02_固定地理'!A286&lt;&gt;"",COUNTIF('02_固定地理'!$A$2:$A$501,'02_固定地理'!A286)&gt;1),"ID重复；",""),"")</f>
        <v/>
      </c>
      <c r="G286" s="14">
        <f>IF(F286&lt;&gt;"","按字段批注、数据字典和来源记录修正后复核","")</f>
        <v/>
      </c>
      <c r="H286" s="14">
        <f>IF(F286&lt;&gt;"","待处理","")</f>
        <v/>
      </c>
    </row>
    <row r="287">
      <c r="A287" s="14">
        <f>IF(F287&lt;&gt;"","ISSUE-"&amp;TEXT(ROW()-1,"00000"),"")</f>
        <v/>
      </c>
      <c r="B287" s="14">
        <f>IF(F287&lt;&gt;"","错误","")</f>
        <v/>
      </c>
      <c r="C287" s="14">
        <f>IF('02_固定地理'!A287&lt;&gt;"","02_固定地理","")</f>
        <v/>
      </c>
      <c r="D287" s="14">
        <f>IF('02_固定地理'!A287&lt;&gt;"",'02_固定地理'!A287,"")</f>
        <v/>
      </c>
      <c r="E287" s="14">
        <f>IF(F287&lt;&gt;"","综合校验","")</f>
        <v/>
      </c>
      <c r="F287" s="14">
        <f>IF('02_固定地理'!A287&lt;&gt;"",IF('02_固定地理'!A287="","缺少对象ID；","")&amp;IF('02_固定地理'!B287="","缺少中文名称；","")&amp;IF('02_固定地理'!D287="","缺少对象类型；","")&amp;IF(AND('02_固定地理'!F287&lt;&gt;"",OR('02_固定地理'!F287&lt;0,'02_固定地理'!F287&gt;WorldWidth)),"世界中心X越界；","")&amp;IF(AND('02_固定地理'!G287&lt;&gt;"",OR('02_固定地理'!G287&lt;0,'02_固定地理'!G287&gt;WorldHeight)),"世界中心Y越界；","")&amp;IF(AND('02_固定地理'!H287&lt;&gt;"",'02_固定地理'!J287&lt;&gt;"",'02_固定地理'!H287&gt;'02_固定地理'!J287),"最小X大于最大X；","")&amp;IF(AND('02_固定地理'!I287&lt;&gt;"",'02_固定地理'!K287&lt;&gt;"",'02_固定地理'!I287&gt;'02_固定地理'!K287),"最小Y大于最大Y；","")&amp;IF(AND('02_固定地理'!E287&lt;&gt;"",COUNTIF('02_固定地理'!$A$2:$A$501,'02_固定地理'!E287)=0),"父级对象不存在；","")&amp;IF(AND('02_固定地理'!A287&lt;&gt;"",COUNTIF('02_固定地理'!$A$2:$A$501,'02_固定地理'!A287)&gt;1),"ID重复；",""),"")</f>
        <v/>
      </c>
      <c r="G287" s="14">
        <f>IF(F287&lt;&gt;"","按字段批注、数据字典和来源记录修正后复核","")</f>
        <v/>
      </c>
      <c r="H287" s="14">
        <f>IF(F287&lt;&gt;"","待处理","")</f>
        <v/>
      </c>
    </row>
    <row r="288">
      <c r="A288" s="14">
        <f>IF(F288&lt;&gt;"","ISSUE-"&amp;TEXT(ROW()-1,"00000"),"")</f>
        <v/>
      </c>
      <c r="B288" s="14">
        <f>IF(F288&lt;&gt;"","错误","")</f>
        <v/>
      </c>
      <c r="C288" s="14">
        <f>IF('02_固定地理'!A288&lt;&gt;"","02_固定地理","")</f>
        <v/>
      </c>
      <c r="D288" s="14">
        <f>IF('02_固定地理'!A288&lt;&gt;"",'02_固定地理'!A288,"")</f>
        <v/>
      </c>
      <c r="E288" s="14">
        <f>IF(F288&lt;&gt;"","综合校验","")</f>
        <v/>
      </c>
      <c r="F288" s="14">
        <f>IF('02_固定地理'!A288&lt;&gt;"",IF('02_固定地理'!A288="","缺少对象ID；","")&amp;IF('02_固定地理'!B288="","缺少中文名称；","")&amp;IF('02_固定地理'!D288="","缺少对象类型；","")&amp;IF(AND('02_固定地理'!F288&lt;&gt;"",OR('02_固定地理'!F288&lt;0,'02_固定地理'!F288&gt;WorldWidth)),"世界中心X越界；","")&amp;IF(AND('02_固定地理'!G288&lt;&gt;"",OR('02_固定地理'!G288&lt;0,'02_固定地理'!G288&gt;WorldHeight)),"世界中心Y越界；","")&amp;IF(AND('02_固定地理'!H288&lt;&gt;"",'02_固定地理'!J288&lt;&gt;"",'02_固定地理'!H288&gt;'02_固定地理'!J288),"最小X大于最大X；","")&amp;IF(AND('02_固定地理'!I288&lt;&gt;"",'02_固定地理'!K288&lt;&gt;"",'02_固定地理'!I288&gt;'02_固定地理'!K288),"最小Y大于最大Y；","")&amp;IF(AND('02_固定地理'!E288&lt;&gt;"",COUNTIF('02_固定地理'!$A$2:$A$501,'02_固定地理'!E288)=0),"父级对象不存在；","")&amp;IF(AND('02_固定地理'!A288&lt;&gt;"",COUNTIF('02_固定地理'!$A$2:$A$501,'02_固定地理'!A288)&gt;1),"ID重复；",""),"")</f>
        <v/>
      </c>
      <c r="G288" s="14">
        <f>IF(F288&lt;&gt;"","按字段批注、数据字典和来源记录修正后复核","")</f>
        <v/>
      </c>
      <c r="H288" s="14">
        <f>IF(F288&lt;&gt;"","待处理","")</f>
        <v/>
      </c>
    </row>
    <row r="289">
      <c r="A289" s="14">
        <f>IF(F289&lt;&gt;"","ISSUE-"&amp;TEXT(ROW()-1,"00000"),"")</f>
        <v/>
      </c>
      <c r="B289" s="14">
        <f>IF(F289&lt;&gt;"","错误","")</f>
        <v/>
      </c>
      <c r="C289" s="14">
        <f>IF('02_固定地理'!A289&lt;&gt;"","02_固定地理","")</f>
        <v/>
      </c>
      <c r="D289" s="14">
        <f>IF('02_固定地理'!A289&lt;&gt;"",'02_固定地理'!A289,"")</f>
        <v/>
      </c>
      <c r="E289" s="14">
        <f>IF(F289&lt;&gt;"","综合校验","")</f>
        <v/>
      </c>
      <c r="F289" s="14">
        <f>IF('02_固定地理'!A289&lt;&gt;"",IF('02_固定地理'!A289="","缺少对象ID；","")&amp;IF('02_固定地理'!B289="","缺少中文名称；","")&amp;IF('02_固定地理'!D289="","缺少对象类型；","")&amp;IF(AND('02_固定地理'!F289&lt;&gt;"",OR('02_固定地理'!F289&lt;0,'02_固定地理'!F289&gt;WorldWidth)),"世界中心X越界；","")&amp;IF(AND('02_固定地理'!G289&lt;&gt;"",OR('02_固定地理'!G289&lt;0,'02_固定地理'!G289&gt;WorldHeight)),"世界中心Y越界；","")&amp;IF(AND('02_固定地理'!H289&lt;&gt;"",'02_固定地理'!J289&lt;&gt;"",'02_固定地理'!H289&gt;'02_固定地理'!J289),"最小X大于最大X；","")&amp;IF(AND('02_固定地理'!I289&lt;&gt;"",'02_固定地理'!K289&lt;&gt;"",'02_固定地理'!I289&gt;'02_固定地理'!K289),"最小Y大于最大Y；","")&amp;IF(AND('02_固定地理'!E289&lt;&gt;"",COUNTIF('02_固定地理'!$A$2:$A$501,'02_固定地理'!E289)=0),"父级对象不存在；","")&amp;IF(AND('02_固定地理'!A289&lt;&gt;"",COUNTIF('02_固定地理'!$A$2:$A$501,'02_固定地理'!A289)&gt;1),"ID重复；",""),"")</f>
        <v/>
      </c>
      <c r="G289" s="14">
        <f>IF(F289&lt;&gt;"","按字段批注、数据字典和来源记录修正后复核","")</f>
        <v/>
      </c>
      <c r="H289" s="14">
        <f>IF(F289&lt;&gt;"","待处理","")</f>
        <v/>
      </c>
    </row>
    <row r="290">
      <c r="A290" s="14">
        <f>IF(F290&lt;&gt;"","ISSUE-"&amp;TEXT(ROW()-1,"00000"),"")</f>
        <v/>
      </c>
      <c r="B290" s="14">
        <f>IF(F290&lt;&gt;"","错误","")</f>
        <v/>
      </c>
      <c r="C290" s="14">
        <f>IF('02_固定地理'!A290&lt;&gt;"","02_固定地理","")</f>
        <v/>
      </c>
      <c r="D290" s="14">
        <f>IF('02_固定地理'!A290&lt;&gt;"",'02_固定地理'!A290,"")</f>
        <v/>
      </c>
      <c r="E290" s="14">
        <f>IF(F290&lt;&gt;"","综合校验","")</f>
        <v/>
      </c>
      <c r="F290" s="14">
        <f>IF('02_固定地理'!A290&lt;&gt;"",IF('02_固定地理'!A290="","缺少对象ID；","")&amp;IF('02_固定地理'!B290="","缺少中文名称；","")&amp;IF('02_固定地理'!D290="","缺少对象类型；","")&amp;IF(AND('02_固定地理'!F290&lt;&gt;"",OR('02_固定地理'!F290&lt;0,'02_固定地理'!F290&gt;WorldWidth)),"世界中心X越界；","")&amp;IF(AND('02_固定地理'!G290&lt;&gt;"",OR('02_固定地理'!G290&lt;0,'02_固定地理'!G290&gt;WorldHeight)),"世界中心Y越界；","")&amp;IF(AND('02_固定地理'!H290&lt;&gt;"",'02_固定地理'!J290&lt;&gt;"",'02_固定地理'!H290&gt;'02_固定地理'!J290),"最小X大于最大X；","")&amp;IF(AND('02_固定地理'!I290&lt;&gt;"",'02_固定地理'!K290&lt;&gt;"",'02_固定地理'!I290&gt;'02_固定地理'!K290),"最小Y大于最大Y；","")&amp;IF(AND('02_固定地理'!E290&lt;&gt;"",COUNTIF('02_固定地理'!$A$2:$A$501,'02_固定地理'!E290)=0),"父级对象不存在；","")&amp;IF(AND('02_固定地理'!A290&lt;&gt;"",COUNTIF('02_固定地理'!$A$2:$A$501,'02_固定地理'!A290)&gt;1),"ID重复；",""),"")</f>
        <v/>
      </c>
      <c r="G290" s="14">
        <f>IF(F290&lt;&gt;"","按字段批注、数据字典和来源记录修正后复核","")</f>
        <v/>
      </c>
      <c r="H290" s="14">
        <f>IF(F290&lt;&gt;"","待处理","")</f>
        <v/>
      </c>
    </row>
    <row r="291">
      <c r="A291" s="14">
        <f>IF(F291&lt;&gt;"","ISSUE-"&amp;TEXT(ROW()-1,"00000"),"")</f>
        <v/>
      </c>
      <c r="B291" s="14">
        <f>IF(F291&lt;&gt;"","错误","")</f>
        <v/>
      </c>
      <c r="C291" s="14">
        <f>IF('02_固定地理'!A291&lt;&gt;"","02_固定地理","")</f>
        <v/>
      </c>
      <c r="D291" s="14">
        <f>IF('02_固定地理'!A291&lt;&gt;"",'02_固定地理'!A291,"")</f>
        <v/>
      </c>
      <c r="E291" s="14">
        <f>IF(F291&lt;&gt;"","综合校验","")</f>
        <v/>
      </c>
      <c r="F291" s="14">
        <f>IF('02_固定地理'!A291&lt;&gt;"",IF('02_固定地理'!A291="","缺少对象ID；","")&amp;IF('02_固定地理'!B291="","缺少中文名称；","")&amp;IF('02_固定地理'!D291="","缺少对象类型；","")&amp;IF(AND('02_固定地理'!F291&lt;&gt;"",OR('02_固定地理'!F291&lt;0,'02_固定地理'!F291&gt;WorldWidth)),"世界中心X越界；","")&amp;IF(AND('02_固定地理'!G291&lt;&gt;"",OR('02_固定地理'!G291&lt;0,'02_固定地理'!G291&gt;WorldHeight)),"世界中心Y越界；","")&amp;IF(AND('02_固定地理'!H291&lt;&gt;"",'02_固定地理'!J291&lt;&gt;"",'02_固定地理'!H291&gt;'02_固定地理'!J291),"最小X大于最大X；","")&amp;IF(AND('02_固定地理'!I291&lt;&gt;"",'02_固定地理'!K291&lt;&gt;"",'02_固定地理'!I291&gt;'02_固定地理'!K291),"最小Y大于最大Y；","")&amp;IF(AND('02_固定地理'!E291&lt;&gt;"",COUNTIF('02_固定地理'!$A$2:$A$501,'02_固定地理'!E291)=0),"父级对象不存在；","")&amp;IF(AND('02_固定地理'!A291&lt;&gt;"",COUNTIF('02_固定地理'!$A$2:$A$501,'02_固定地理'!A291)&gt;1),"ID重复；",""),"")</f>
        <v/>
      </c>
      <c r="G291" s="14">
        <f>IF(F291&lt;&gt;"","按字段批注、数据字典和来源记录修正后复核","")</f>
        <v/>
      </c>
      <c r="H291" s="14">
        <f>IF(F291&lt;&gt;"","待处理","")</f>
        <v/>
      </c>
    </row>
    <row r="292">
      <c r="A292" s="14">
        <f>IF(F292&lt;&gt;"","ISSUE-"&amp;TEXT(ROW()-1,"00000"),"")</f>
        <v/>
      </c>
      <c r="B292" s="14">
        <f>IF(F292&lt;&gt;"","错误","")</f>
        <v/>
      </c>
      <c r="C292" s="14">
        <f>IF('02_固定地理'!A292&lt;&gt;"","02_固定地理","")</f>
        <v/>
      </c>
      <c r="D292" s="14">
        <f>IF('02_固定地理'!A292&lt;&gt;"",'02_固定地理'!A292,"")</f>
        <v/>
      </c>
      <c r="E292" s="14">
        <f>IF(F292&lt;&gt;"","综合校验","")</f>
        <v/>
      </c>
      <c r="F292" s="14">
        <f>IF('02_固定地理'!A292&lt;&gt;"",IF('02_固定地理'!A292="","缺少对象ID；","")&amp;IF('02_固定地理'!B292="","缺少中文名称；","")&amp;IF('02_固定地理'!D292="","缺少对象类型；","")&amp;IF(AND('02_固定地理'!F292&lt;&gt;"",OR('02_固定地理'!F292&lt;0,'02_固定地理'!F292&gt;WorldWidth)),"世界中心X越界；","")&amp;IF(AND('02_固定地理'!G292&lt;&gt;"",OR('02_固定地理'!G292&lt;0,'02_固定地理'!G292&gt;WorldHeight)),"世界中心Y越界；","")&amp;IF(AND('02_固定地理'!H292&lt;&gt;"",'02_固定地理'!J292&lt;&gt;"",'02_固定地理'!H292&gt;'02_固定地理'!J292),"最小X大于最大X；","")&amp;IF(AND('02_固定地理'!I292&lt;&gt;"",'02_固定地理'!K292&lt;&gt;"",'02_固定地理'!I292&gt;'02_固定地理'!K292),"最小Y大于最大Y；","")&amp;IF(AND('02_固定地理'!E292&lt;&gt;"",COUNTIF('02_固定地理'!$A$2:$A$501,'02_固定地理'!E292)=0),"父级对象不存在；","")&amp;IF(AND('02_固定地理'!A292&lt;&gt;"",COUNTIF('02_固定地理'!$A$2:$A$501,'02_固定地理'!A292)&gt;1),"ID重复；",""),"")</f>
        <v/>
      </c>
      <c r="G292" s="14">
        <f>IF(F292&lt;&gt;"","按字段批注、数据字典和来源记录修正后复核","")</f>
        <v/>
      </c>
      <c r="H292" s="14">
        <f>IF(F292&lt;&gt;"","待处理","")</f>
        <v/>
      </c>
    </row>
    <row r="293">
      <c r="A293" s="14">
        <f>IF(F293&lt;&gt;"","ISSUE-"&amp;TEXT(ROW()-1,"00000"),"")</f>
        <v/>
      </c>
      <c r="B293" s="14">
        <f>IF(F293&lt;&gt;"","错误","")</f>
        <v/>
      </c>
      <c r="C293" s="14">
        <f>IF('02_固定地理'!A293&lt;&gt;"","02_固定地理","")</f>
        <v/>
      </c>
      <c r="D293" s="14">
        <f>IF('02_固定地理'!A293&lt;&gt;"",'02_固定地理'!A293,"")</f>
        <v/>
      </c>
      <c r="E293" s="14">
        <f>IF(F293&lt;&gt;"","综合校验","")</f>
        <v/>
      </c>
      <c r="F293" s="14">
        <f>IF('02_固定地理'!A293&lt;&gt;"",IF('02_固定地理'!A293="","缺少对象ID；","")&amp;IF('02_固定地理'!B293="","缺少中文名称；","")&amp;IF('02_固定地理'!D293="","缺少对象类型；","")&amp;IF(AND('02_固定地理'!F293&lt;&gt;"",OR('02_固定地理'!F293&lt;0,'02_固定地理'!F293&gt;WorldWidth)),"世界中心X越界；","")&amp;IF(AND('02_固定地理'!G293&lt;&gt;"",OR('02_固定地理'!G293&lt;0,'02_固定地理'!G293&gt;WorldHeight)),"世界中心Y越界；","")&amp;IF(AND('02_固定地理'!H293&lt;&gt;"",'02_固定地理'!J293&lt;&gt;"",'02_固定地理'!H293&gt;'02_固定地理'!J293),"最小X大于最大X；","")&amp;IF(AND('02_固定地理'!I293&lt;&gt;"",'02_固定地理'!K293&lt;&gt;"",'02_固定地理'!I293&gt;'02_固定地理'!K293),"最小Y大于最大Y；","")&amp;IF(AND('02_固定地理'!E293&lt;&gt;"",COUNTIF('02_固定地理'!$A$2:$A$501,'02_固定地理'!E293)=0),"父级对象不存在；","")&amp;IF(AND('02_固定地理'!A293&lt;&gt;"",COUNTIF('02_固定地理'!$A$2:$A$501,'02_固定地理'!A293)&gt;1),"ID重复；",""),"")</f>
        <v/>
      </c>
      <c r="G293" s="14">
        <f>IF(F293&lt;&gt;"","按字段批注、数据字典和来源记录修正后复核","")</f>
        <v/>
      </c>
      <c r="H293" s="14">
        <f>IF(F293&lt;&gt;"","待处理","")</f>
        <v/>
      </c>
    </row>
    <row r="294">
      <c r="A294" s="14">
        <f>IF(F294&lt;&gt;"","ISSUE-"&amp;TEXT(ROW()-1,"00000"),"")</f>
        <v/>
      </c>
      <c r="B294" s="14">
        <f>IF(F294&lt;&gt;"","错误","")</f>
        <v/>
      </c>
      <c r="C294" s="14">
        <f>IF('02_固定地理'!A294&lt;&gt;"","02_固定地理","")</f>
        <v/>
      </c>
      <c r="D294" s="14">
        <f>IF('02_固定地理'!A294&lt;&gt;"",'02_固定地理'!A294,"")</f>
        <v/>
      </c>
      <c r="E294" s="14">
        <f>IF(F294&lt;&gt;"","综合校验","")</f>
        <v/>
      </c>
      <c r="F294" s="14">
        <f>IF('02_固定地理'!A294&lt;&gt;"",IF('02_固定地理'!A294="","缺少对象ID；","")&amp;IF('02_固定地理'!B294="","缺少中文名称；","")&amp;IF('02_固定地理'!D294="","缺少对象类型；","")&amp;IF(AND('02_固定地理'!F294&lt;&gt;"",OR('02_固定地理'!F294&lt;0,'02_固定地理'!F294&gt;WorldWidth)),"世界中心X越界；","")&amp;IF(AND('02_固定地理'!G294&lt;&gt;"",OR('02_固定地理'!G294&lt;0,'02_固定地理'!G294&gt;WorldHeight)),"世界中心Y越界；","")&amp;IF(AND('02_固定地理'!H294&lt;&gt;"",'02_固定地理'!J294&lt;&gt;"",'02_固定地理'!H294&gt;'02_固定地理'!J294),"最小X大于最大X；","")&amp;IF(AND('02_固定地理'!I294&lt;&gt;"",'02_固定地理'!K294&lt;&gt;"",'02_固定地理'!I294&gt;'02_固定地理'!K294),"最小Y大于最大Y；","")&amp;IF(AND('02_固定地理'!E294&lt;&gt;"",COUNTIF('02_固定地理'!$A$2:$A$501,'02_固定地理'!E294)=0),"父级对象不存在；","")&amp;IF(AND('02_固定地理'!A294&lt;&gt;"",COUNTIF('02_固定地理'!$A$2:$A$501,'02_固定地理'!A294)&gt;1),"ID重复；",""),"")</f>
        <v/>
      </c>
      <c r="G294" s="14">
        <f>IF(F294&lt;&gt;"","按字段批注、数据字典和来源记录修正后复核","")</f>
        <v/>
      </c>
      <c r="H294" s="14">
        <f>IF(F294&lt;&gt;"","待处理","")</f>
        <v/>
      </c>
    </row>
    <row r="295">
      <c r="A295" s="14">
        <f>IF(F295&lt;&gt;"","ISSUE-"&amp;TEXT(ROW()-1,"00000"),"")</f>
        <v/>
      </c>
      <c r="B295" s="14">
        <f>IF(F295&lt;&gt;"","错误","")</f>
        <v/>
      </c>
      <c r="C295" s="14">
        <f>IF('02_固定地理'!A295&lt;&gt;"","02_固定地理","")</f>
        <v/>
      </c>
      <c r="D295" s="14">
        <f>IF('02_固定地理'!A295&lt;&gt;"",'02_固定地理'!A295,"")</f>
        <v/>
      </c>
      <c r="E295" s="14">
        <f>IF(F295&lt;&gt;"","综合校验","")</f>
        <v/>
      </c>
      <c r="F295" s="14">
        <f>IF('02_固定地理'!A295&lt;&gt;"",IF('02_固定地理'!A295="","缺少对象ID；","")&amp;IF('02_固定地理'!B295="","缺少中文名称；","")&amp;IF('02_固定地理'!D295="","缺少对象类型；","")&amp;IF(AND('02_固定地理'!F295&lt;&gt;"",OR('02_固定地理'!F295&lt;0,'02_固定地理'!F295&gt;WorldWidth)),"世界中心X越界；","")&amp;IF(AND('02_固定地理'!G295&lt;&gt;"",OR('02_固定地理'!G295&lt;0,'02_固定地理'!G295&gt;WorldHeight)),"世界中心Y越界；","")&amp;IF(AND('02_固定地理'!H295&lt;&gt;"",'02_固定地理'!J295&lt;&gt;"",'02_固定地理'!H295&gt;'02_固定地理'!J295),"最小X大于最大X；","")&amp;IF(AND('02_固定地理'!I295&lt;&gt;"",'02_固定地理'!K295&lt;&gt;"",'02_固定地理'!I295&gt;'02_固定地理'!K295),"最小Y大于最大Y；","")&amp;IF(AND('02_固定地理'!E295&lt;&gt;"",COUNTIF('02_固定地理'!$A$2:$A$501,'02_固定地理'!E295)=0),"父级对象不存在；","")&amp;IF(AND('02_固定地理'!A295&lt;&gt;"",COUNTIF('02_固定地理'!$A$2:$A$501,'02_固定地理'!A295)&gt;1),"ID重复；",""),"")</f>
        <v/>
      </c>
      <c r="G295" s="14">
        <f>IF(F295&lt;&gt;"","按字段批注、数据字典和来源记录修正后复核","")</f>
        <v/>
      </c>
      <c r="H295" s="14">
        <f>IF(F295&lt;&gt;"","待处理","")</f>
        <v/>
      </c>
    </row>
    <row r="296">
      <c r="A296" s="14">
        <f>IF(F296&lt;&gt;"","ISSUE-"&amp;TEXT(ROW()-1,"00000"),"")</f>
        <v/>
      </c>
      <c r="B296" s="14">
        <f>IF(F296&lt;&gt;"","错误","")</f>
        <v/>
      </c>
      <c r="C296" s="14">
        <f>IF('02_固定地理'!A296&lt;&gt;"","02_固定地理","")</f>
        <v/>
      </c>
      <c r="D296" s="14">
        <f>IF('02_固定地理'!A296&lt;&gt;"",'02_固定地理'!A296,"")</f>
        <v/>
      </c>
      <c r="E296" s="14">
        <f>IF(F296&lt;&gt;"","综合校验","")</f>
        <v/>
      </c>
      <c r="F296" s="14">
        <f>IF('02_固定地理'!A296&lt;&gt;"",IF('02_固定地理'!A296="","缺少对象ID；","")&amp;IF('02_固定地理'!B296="","缺少中文名称；","")&amp;IF('02_固定地理'!D296="","缺少对象类型；","")&amp;IF(AND('02_固定地理'!F296&lt;&gt;"",OR('02_固定地理'!F296&lt;0,'02_固定地理'!F296&gt;WorldWidth)),"世界中心X越界；","")&amp;IF(AND('02_固定地理'!G296&lt;&gt;"",OR('02_固定地理'!G296&lt;0,'02_固定地理'!G296&gt;WorldHeight)),"世界中心Y越界；","")&amp;IF(AND('02_固定地理'!H296&lt;&gt;"",'02_固定地理'!J296&lt;&gt;"",'02_固定地理'!H296&gt;'02_固定地理'!J296),"最小X大于最大X；","")&amp;IF(AND('02_固定地理'!I296&lt;&gt;"",'02_固定地理'!K296&lt;&gt;"",'02_固定地理'!I296&gt;'02_固定地理'!K296),"最小Y大于最大Y；","")&amp;IF(AND('02_固定地理'!E296&lt;&gt;"",COUNTIF('02_固定地理'!$A$2:$A$501,'02_固定地理'!E296)=0),"父级对象不存在；","")&amp;IF(AND('02_固定地理'!A296&lt;&gt;"",COUNTIF('02_固定地理'!$A$2:$A$501,'02_固定地理'!A296)&gt;1),"ID重复；",""),"")</f>
        <v/>
      </c>
      <c r="G296" s="14">
        <f>IF(F296&lt;&gt;"","按字段批注、数据字典和来源记录修正后复核","")</f>
        <v/>
      </c>
      <c r="H296" s="14">
        <f>IF(F296&lt;&gt;"","待处理","")</f>
        <v/>
      </c>
    </row>
    <row r="297">
      <c r="A297" s="14">
        <f>IF(F297&lt;&gt;"","ISSUE-"&amp;TEXT(ROW()-1,"00000"),"")</f>
        <v/>
      </c>
      <c r="B297" s="14">
        <f>IF(F297&lt;&gt;"","错误","")</f>
        <v/>
      </c>
      <c r="C297" s="14">
        <f>IF('02_固定地理'!A297&lt;&gt;"","02_固定地理","")</f>
        <v/>
      </c>
      <c r="D297" s="14">
        <f>IF('02_固定地理'!A297&lt;&gt;"",'02_固定地理'!A297,"")</f>
        <v/>
      </c>
      <c r="E297" s="14">
        <f>IF(F297&lt;&gt;"","综合校验","")</f>
        <v/>
      </c>
      <c r="F297" s="14">
        <f>IF('02_固定地理'!A297&lt;&gt;"",IF('02_固定地理'!A297="","缺少对象ID；","")&amp;IF('02_固定地理'!B297="","缺少中文名称；","")&amp;IF('02_固定地理'!D297="","缺少对象类型；","")&amp;IF(AND('02_固定地理'!F297&lt;&gt;"",OR('02_固定地理'!F297&lt;0,'02_固定地理'!F297&gt;WorldWidth)),"世界中心X越界；","")&amp;IF(AND('02_固定地理'!G297&lt;&gt;"",OR('02_固定地理'!G297&lt;0,'02_固定地理'!G297&gt;WorldHeight)),"世界中心Y越界；","")&amp;IF(AND('02_固定地理'!H297&lt;&gt;"",'02_固定地理'!J297&lt;&gt;"",'02_固定地理'!H297&gt;'02_固定地理'!J297),"最小X大于最大X；","")&amp;IF(AND('02_固定地理'!I297&lt;&gt;"",'02_固定地理'!K297&lt;&gt;"",'02_固定地理'!I297&gt;'02_固定地理'!K297),"最小Y大于最大Y；","")&amp;IF(AND('02_固定地理'!E297&lt;&gt;"",COUNTIF('02_固定地理'!$A$2:$A$501,'02_固定地理'!E297)=0),"父级对象不存在；","")&amp;IF(AND('02_固定地理'!A297&lt;&gt;"",COUNTIF('02_固定地理'!$A$2:$A$501,'02_固定地理'!A297)&gt;1),"ID重复；",""),"")</f>
        <v/>
      </c>
      <c r="G297" s="14">
        <f>IF(F297&lt;&gt;"","按字段批注、数据字典和来源记录修正后复核","")</f>
        <v/>
      </c>
      <c r="H297" s="14">
        <f>IF(F297&lt;&gt;"","待处理","")</f>
        <v/>
      </c>
    </row>
    <row r="298">
      <c r="A298" s="14">
        <f>IF(F298&lt;&gt;"","ISSUE-"&amp;TEXT(ROW()-1,"00000"),"")</f>
        <v/>
      </c>
      <c r="B298" s="14">
        <f>IF(F298&lt;&gt;"","错误","")</f>
        <v/>
      </c>
      <c r="C298" s="14">
        <f>IF('02_固定地理'!A298&lt;&gt;"","02_固定地理","")</f>
        <v/>
      </c>
      <c r="D298" s="14">
        <f>IF('02_固定地理'!A298&lt;&gt;"",'02_固定地理'!A298,"")</f>
        <v/>
      </c>
      <c r="E298" s="14">
        <f>IF(F298&lt;&gt;"","综合校验","")</f>
        <v/>
      </c>
      <c r="F298" s="14">
        <f>IF('02_固定地理'!A298&lt;&gt;"",IF('02_固定地理'!A298="","缺少对象ID；","")&amp;IF('02_固定地理'!B298="","缺少中文名称；","")&amp;IF('02_固定地理'!D298="","缺少对象类型；","")&amp;IF(AND('02_固定地理'!F298&lt;&gt;"",OR('02_固定地理'!F298&lt;0,'02_固定地理'!F298&gt;WorldWidth)),"世界中心X越界；","")&amp;IF(AND('02_固定地理'!G298&lt;&gt;"",OR('02_固定地理'!G298&lt;0,'02_固定地理'!G298&gt;WorldHeight)),"世界中心Y越界；","")&amp;IF(AND('02_固定地理'!H298&lt;&gt;"",'02_固定地理'!J298&lt;&gt;"",'02_固定地理'!H298&gt;'02_固定地理'!J298),"最小X大于最大X；","")&amp;IF(AND('02_固定地理'!I298&lt;&gt;"",'02_固定地理'!K298&lt;&gt;"",'02_固定地理'!I298&gt;'02_固定地理'!K298),"最小Y大于最大Y；","")&amp;IF(AND('02_固定地理'!E298&lt;&gt;"",COUNTIF('02_固定地理'!$A$2:$A$501,'02_固定地理'!E298)=0),"父级对象不存在；","")&amp;IF(AND('02_固定地理'!A298&lt;&gt;"",COUNTIF('02_固定地理'!$A$2:$A$501,'02_固定地理'!A298)&gt;1),"ID重复；",""),"")</f>
        <v/>
      </c>
      <c r="G298" s="14">
        <f>IF(F298&lt;&gt;"","按字段批注、数据字典和来源记录修正后复核","")</f>
        <v/>
      </c>
      <c r="H298" s="14">
        <f>IF(F298&lt;&gt;"","待处理","")</f>
        <v/>
      </c>
    </row>
    <row r="299">
      <c r="A299" s="14">
        <f>IF(F299&lt;&gt;"","ISSUE-"&amp;TEXT(ROW()-1,"00000"),"")</f>
        <v/>
      </c>
      <c r="B299" s="14">
        <f>IF(F299&lt;&gt;"","错误","")</f>
        <v/>
      </c>
      <c r="C299" s="14">
        <f>IF('02_固定地理'!A299&lt;&gt;"","02_固定地理","")</f>
        <v/>
      </c>
      <c r="D299" s="14">
        <f>IF('02_固定地理'!A299&lt;&gt;"",'02_固定地理'!A299,"")</f>
        <v/>
      </c>
      <c r="E299" s="14">
        <f>IF(F299&lt;&gt;"","综合校验","")</f>
        <v/>
      </c>
      <c r="F299" s="14">
        <f>IF('02_固定地理'!A299&lt;&gt;"",IF('02_固定地理'!A299="","缺少对象ID；","")&amp;IF('02_固定地理'!B299="","缺少中文名称；","")&amp;IF('02_固定地理'!D299="","缺少对象类型；","")&amp;IF(AND('02_固定地理'!F299&lt;&gt;"",OR('02_固定地理'!F299&lt;0,'02_固定地理'!F299&gt;WorldWidth)),"世界中心X越界；","")&amp;IF(AND('02_固定地理'!G299&lt;&gt;"",OR('02_固定地理'!G299&lt;0,'02_固定地理'!G299&gt;WorldHeight)),"世界中心Y越界；","")&amp;IF(AND('02_固定地理'!H299&lt;&gt;"",'02_固定地理'!J299&lt;&gt;"",'02_固定地理'!H299&gt;'02_固定地理'!J299),"最小X大于最大X；","")&amp;IF(AND('02_固定地理'!I299&lt;&gt;"",'02_固定地理'!K299&lt;&gt;"",'02_固定地理'!I299&gt;'02_固定地理'!K299),"最小Y大于最大Y；","")&amp;IF(AND('02_固定地理'!E299&lt;&gt;"",COUNTIF('02_固定地理'!$A$2:$A$501,'02_固定地理'!E299)=0),"父级对象不存在；","")&amp;IF(AND('02_固定地理'!A299&lt;&gt;"",COUNTIF('02_固定地理'!$A$2:$A$501,'02_固定地理'!A299)&gt;1),"ID重复；",""),"")</f>
        <v/>
      </c>
      <c r="G299" s="14">
        <f>IF(F299&lt;&gt;"","按字段批注、数据字典和来源记录修正后复核","")</f>
        <v/>
      </c>
      <c r="H299" s="14">
        <f>IF(F299&lt;&gt;"","待处理","")</f>
        <v/>
      </c>
    </row>
    <row r="300">
      <c r="A300" s="14">
        <f>IF(F300&lt;&gt;"","ISSUE-"&amp;TEXT(ROW()-1,"00000"),"")</f>
        <v/>
      </c>
      <c r="B300" s="14">
        <f>IF(F300&lt;&gt;"","错误","")</f>
        <v/>
      </c>
      <c r="C300" s="14">
        <f>IF('02_固定地理'!A300&lt;&gt;"","02_固定地理","")</f>
        <v/>
      </c>
      <c r="D300" s="14">
        <f>IF('02_固定地理'!A300&lt;&gt;"",'02_固定地理'!A300,"")</f>
        <v/>
      </c>
      <c r="E300" s="14">
        <f>IF(F300&lt;&gt;"","综合校验","")</f>
        <v/>
      </c>
      <c r="F300" s="14">
        <f>IF('02_固定地理'!A300&lt;&gt;"",IF('02_固定地理'!A300="","缺少对象ID；","")&amp;IF('02_固定地理'!B300="","缺少中文名称；","")&amp;IF('02_固定地理'!D300="","缺少对象类型；","")&amp;IF(AND('02_固定地理'!F300&lt;&gt;"",OR('02_固定地理'!F300&lt;0,'02_固定地理'!F300&gt;WorldWidth)),"世界中心X越界；","")&amp;IF(AND('02_固定地理'!G300&lt;&gt;"",OR('02_固定地理'!G300&lt;0,'02_固定地理'!G300&gt;WorldHeight)),"世界中心Y越界；","")&amp;IF(AND('02_固定地理'!H300&lt;&gt;"",'02_固定地理'!J300&lt;&gt;"",'02_固定地理'!H300&gt;'02_固定地理'!J300),"最小X大于最大X；","")&amp;IF(AND('02_固定地理'!I300&lt;&gt;"",'02_固定地理'!K300&lt;&gt;"",'02_固定地理'!I300&gt;'02_固定地理'!K300),"最小Y大于最大Y；","")&amp;IF(AND('02_固定地理'!E300&lt;&gt;"",COUNTIF('02_固定地理'!$A$2:$A$501,'02_固定地理'!E300)=0),"父级对象不存在；","")&amp;IF(AND('02_固定地理'!A300&lt;&gt;"",COUNTIF('02_固定地理'!$A$2:$A$501,'02_固定地理'!A300)&gt;1),"ID重复；",""),"")</f>
        <v/>
      </c>
      <c r="G300" s="14">
        <f>IF(F300&lt;&gt;"","按字段批注、数据字典和来源记录修正后复核","")</f>
        <v/>
      </c>
      <c r="H300" s="14">
        <f>IF(F300&lt;&gt;"","待处理","")</f>
        <v/>
      </c>
    </row>
    <row r="301">
      <c r="A301" s="14">
        <f>IF(F301&lt;&gt;"","ISSUE-"&amp;TEXT(ROW()-1,"00000"),"")</f>
        <v/>
      </c>
      <c r="B301" s="14">
        <f>IF(F301&lt;&gt;"","错误","")</f>
        <v/>
      </c>
      <c r="C301" s="14">
        <f>IF('02_固定地理'!A301&lt;&gt;"","02_固定地理","")</f>
        <v/>
      </c>
      <c r="D301" s="14">
        <f>IF('02_固定地理'!A301&lt;&gt;"",'02_固定地理'!A301,"")</f>
        <v/>
      </c>
      <c r="E301" s="14">
        <f>IF(F301&lt;&gt;"","综合校验","")</f>
        <v/>
      </c>
      <c r="F301" s="14">
        <f>IF('02_固定地理'!A301&lt;&gt;"",IF('02_固定地理'!A301="","缺少对象ID；","")&amp;IF('02_固定地理'!B301="","缺少中文名称；","")&amp;IF('02_固定地理'!D301="","缺少对象类型；","")&amp;IF(AND('02_固定地理'!F301&lt;&gt;"",OR('02_固定地理'!F301&lt;0,'02_固定地理'!F301&gt;WorldWidth)),"世界中心X越界；","")&amp;IF(AND('02_固定地理'!G301&lt;&gt;"",OR('02_固定地理'!G301&lt;0,'02_固定地理'!G301&gt;WorldHeight)),"世界中心Y越界；","")&amp;IF(AND('02_固定地理'!H301&lt;&gt;"",'02_固定地理'!J301&lt;&gt;"",'02_固定地理'!H301&gt;'02_固定地理'!J301),"最小X大于最大X；","")&amp;IF(AND('02_固定地理'!I301&lt;&gt;"",'02_固定地理'!K301&lt;&gt;"",'02_固定地理'!I301&gt;'02_固定地理'!K301),"最小Y大于最大Y；","")&amp;IF(AND('02_固定地理'!E301&lt;&gt;"",COUNTIF('02_固定地理'!$A$2:$A$501,'02_固定地理'!E301)=0),"父级对象不存在；","")&amp;IF(AND('02_固定地理'!A301&lt;&gt;"",COUNTIF('02_固定地理'!$A$2:$A$501,'02_固定地理'!A301)&gt;1),"ID重复；",""),"")</f>
        <v/>
      </c>
      <c r="G301" s="14">
        <f>IF(F301&lt;&gt;"","按字段批注、数据字典和来源记录修正后复核","")</f>
        <v/>
      </c>
      <c r="H301" s="14">
        <f>IF(F301&lt;&gt;"","待处理","")</f>
        <v/>
      </c>
    </row>
    <row r="302">
      <c r="A302" s="14">
        <f>IF(F302&lt;&gt;"","ISSUE-"&amp;TEXT(ROW()-1,"00000"),"")</f>
        <v/>
      </c>
      <c r="B302" s="14">
        <f>IF(F302&lt;&gt;"","错误","")</f>
        <v/>
      </c>
      <c r="C302" s="14">
        <f>IF('02_固定地理'!A302&lt;&gt;"","02_固定地理","")</f>
        <v/>
      </c>
      <c r="D302" s="14">
        <f>IF('02_固定地理'!A302&lt;&gt;"",'02_固定地理'!A302,"")</f>
        <v/>
      </c>
      <c r="E302" s="14">
        <f>IF(F302&lt;&gt;"","综合校验","")</f>
        <v/>
      </c>
      <c r="F302" s="14">
        <f>IF('02_固定地理'!A302&lt;&gt;"",IF('02_固定地理'!A302="","缺少对象ID；","")&amp;IF('02_固定地理'!B302="","缺少中文名称；","")&amp;IF('02_固定地理'!D302="","缺少对象类型；","")&amp;IF(AND('02_固定地理'!F302&lt;&gt;"",OR('02_固定地理'!F302&lt;0,'02_固定地理'!F302&gt;WorldWidth)),"世界中心X越界；","")&amp;IF(AND('02_固定地理'!G302&lt;&gt;"",OR('02_固定地理'!G302&lt;0,'02_固定地理'!G302&gt;WorldHeight)),"世界中心Y越界；","")&amp;IF(AND('02_固定地理'!H302&lt;&gt;"",'02_固定地理'!J302&lt;&gt;"",'02_固定地理'!H302&gt;'02_固定地理'!J302),"最小X大于最大X；","")&amp;IF(AND('02_固定地理'!I302&lt;&gt;"",'02_固定地理'!K302&lt;&gt;"",'02_固定地理'!I302&gt;'02_固定地理'!K302),"最小Y大于最大Y；","")&amp;IF(AND('02_固定地理'!E302&lt;&gt;"",COUNTIF('02_固定地理'!$A$2:$A$501,'02_固定地理'!E302)=0),"父级对象不存在；","")&amp;IF(AND('02_固定地理'!A302&lt;&gt;"",COUNTIF('02_固定地理'!$A$2:$A$501,'02_固定地理'!A302)&gt;1),"ID重复；",""),"")</f>
        <v/>
      </c>
      <c r="G302" s="14">
        <f>IF(F302&lt;&gt;"","按字段批注、数据字典和来源记录修正后复核","")</f>
        <v/>
      </c>
      <c r="H302" s="14">
        <f>IF(F302&lt;&gt;"","待处理","")</f>
        <v/>
      </c>
    </row>
    <row r="303">
      <c r="A303" s="14">
        <f>IF(F303&lt;&gt;"","ISSUE-"&amp;TEXT(ROW()-1,"00000"),"")</f>
        <v/>
      </c>
      <c r="B303" s="14">
        <f>IF(F303&lt;&gt;"","错误","")</f>
        <v/>
      </c>
      <c r="C303" s="14">
        <f>IF('02_固定地理'!A303&lt;&gt;"","02_固定地理","")</f>
        <v/>
      </c>
      <c r="D303" s="14">
        <f>IF('02_固定地理'!A303&lt;&gt;"",'02_固定地理'!A303,"")</f>
        <v/>
      </c>
      <c r="E303" s="14">
        <f>IF(F303&lt;&gt;"","综合校验","")</f>
        <v/>
      </c>
      <c r="F303" s="14">
        <f>IF('02_固定地理'!A303&lt;&gt;"",IF('02_固定地理'!A303="","缺少对象ID；","")&amp;IF('02_固定地理'!B303="","缺少中文名称；","")&amp;IF('02_固定地理'!D303="","缺少对象类型；","")&amp;IF(AND('02_固定地理'!F303&lt;&gt;"",OR('02_固定地理'!F303&lt;0,'02_固定地理'!F303&gt;WorldWidth)),"世界中心X越界；","")&amp;IF(AND('02_固定地理'!G303&lt;&gt;"",OR('02_固定地理'!G303&lt;0,'02_固定地理'!G303&gt;WorldHeight)),"世界中心Y越界；","")&amp;IF(AND('02_固定地理'!H303&lt;&gt;"",'02_固定地理'!J303&lt;&gt;"",'02_固定地理'!H303&gt;'02_固定地理'!J303),"最小X大于最大X；","")&amp;IF(AND('02_固定地理'!I303&lt;&gt;"",'02_固定地理'!K303&lt;&gt;"",'02_固定地理'!I303&gt;'02_固定地理'!K303),"最小Y大于最大Y；","")&amp;IF(AND('02_固定地理'!E303&lt;&gt;"",COUNTIF('02_固定地理'!$A$2:$A$501,'02_固定地理'!E303)=0),"父级对象不存在；","")&amp;IF(AND('02_固定地理'!A303&lt;&gt;"",COUNTIF('02_固定地理'!$A$2:$A$501,'02_固定地理'!A303)&gt;1),"ID重复；",""),"")</f>
        <v/>
      </c>
      <c r="G303" s="14">
        <f>IF(F303&lt;&gt;"","按字段批注、数据字典和来源记录修正后复核","")</f>
        <v/>
      </c>
      <c r="H303" s="14">
        <f>IF(F303&lt;&gt;"","待处理","")</f>
        <v/>
      </c>
    </row>
    <row r="304">
      <c r="A304" s="14">
        <f>IF(F304&lt;&gt;"","ISSUE-"&amp;TEXT(ROW()-1,"00000"),"")</f>
        <v/>
      </c>
      <c r="B304" s="14">
        <f>IF(F304&lt;&gt;"","错误","")</f>
        <v/>
      </c>
      <c r="C304" s="14">
        <f>IF('02_固定地理'!A304&lt;&gt;"","02_固定地理","")</f>
        <v/>
      </c>
      <c r="D304" s="14">
        <f>IF('02_固定地理'!A304&lt;&gt;"",'02_固定地理'!A304,"")</f>
        <v/>
      </c>
      <c r="E304" s="14">
        <f>IF(F304&lt;&gt;"","综合校验","")</f>
        <v/>
      </c>
      <c r="F304" s="14">
        <f>IF('02_固定地理'!A304&lt;&gt;"",IF('02_固定地理'!A304="","缺少对象ID；","")&amp;IF('02_固定地理'!B304="","缺少中文名称；","")&amp;IF('02_固定地理'!D304="","缺少对象类型；","")&amp;IF(AND('02_固定地理'!F304&lt;&gt;"",OR('02_固定地理'!F304&lt;0,'02_固定地理'!F304&gt;WorldWidth)),"世界中心X越界；","")&amp;IF(AND('02_固定地理'!G304&lt;&gt;"",OR('02_固定地理'!G304&lt;0,'02_固定地理'!G304&gt;WorldHeight)),"世界中心Y越界；","")&amp;IF(AND('02_固定地理'!H304&lt;&gt;"",'02_固定地理'!J304&lt;&gt;"",'02_固定地理'!H304&gt;'02_固定地理'!J304),"最小X大于最大X；","")&amp;IF(AND('02_固定地理'!I304&lt;&gt;"",'02_固定地理'!K304&lt;&gt;"",'02_固定地理'!I304&gt;'02_固定地理'!K304),"最小Y大于最大Y；","")&amp;IF(AND('02_固定地理'!E304&lt;&gt;"",COUNTIF('02_固定地理'!$A$2:$A$501,'02_固定地理'!E304)=0),"父级对象不存在；","")&amp;IF(AND('02_固定地理'!A304&lt;&gt;"",COUNTIF('02_固定地理'!$A$2:$A$501,'02_固定地理'!A304)&gt;1),"ID重复；",""),"")</f>
        <v/>
      </c>
      <c r="G304" s="14">
        <f>IF(F304&lt;&gt;"","按字段批注、数据字典和来源记录修正后复核","")</f>
        <v/>
      </c>
      <c r="H304" s="14">
        <f>IF(F304&lt;&gt;"","待处理","")</f>
        <v/>
      </c>
    </row>
    <row r="305">
      <c r="A305" s="14">
        <f>IF(F305&lt;&gt;"","ISSUE-"&amp;TEXT(ROW()-1,"00000"),"")</f>
        <v/>
      </c>
      <c r="B305" s="14">
        <f>IF(F305&lt;&gt;"","错误","")</f>
        <v/>
      </c>
      <c r="C305" s="14">
        <f>IF('02_固定地理'!A305&lt;&gt;"","02_固定地理","")</f>
        <v/>
      </c>
      <c r="D305" s="14">
        <f>IF('02_固定地理'!A305&lt;&gt;"",'02_固定地理'!A305,"")</f>
        <v/>
      </c>
      <c r="E305" s="14">
        <f>IF(F305&lt;&gt;"","综合校验","")</f>
        <v/>
      </c>
      <c r="F305" s="14">
        <f>IF('02_固定地理'!A305&lt;&gt;"",IF('02_固定地理'!A305="","缺少对象ID；","")&amp;IF('02_固定地理'!B305="","缺少中文名称；","")&amp;IF('02_固定地理'!D305="","缺少对象类型；","")&amp;IF(AND('02_固定地理'!F305&lt;&gt;"",OR('02_固定地理'!F305&lt;0,'02_固定地理'!F305&gt;WorldWidth)),"世界中心X越界；","")&amp;IF(AND('02_固定地理'!G305&lt;&gt;"",OR('02_固定地理'!G305&lt;0,'02_固定地理'!G305&gt;WorldHeight)),"世界中心Y越界；","")&amp;IF(AND('02_固定地理'!H305&lt;&gt;"",'02_固定地理'!J305&lt;&gt;"",'02_固定地理'!H305&gt;'02_固定地理'!J305),"最小X大于最大X；","")&amp;IF(AND('02_固定地理'!I305&lt;&gt;"",'02_固定地理'!K305&lt;&gt;"",'02_固定地理'!I305&gt;'02_固定地理'!K305),"最小Y大于最大Y；","")&amp;IF(AND('02_固定地理'!E305&lt;&gt;"",COUNTIF('02_固定地理'!$A$2:$A$501,'02_固定地理'!E305)=0),"父级对象不存在；","")&amp;IF(AND('02_固定地理'!A305&lt;&gt;"",COUNTIF('02_固定地理'!$A$2:$A$501,'02_固定地理'!A305)&gt;1),"ID重复；",""),"")</f>
        <v/>
      </c>
      <c r="G305" s="14">
        <f>IF(F305&lt;&gt;"","按字段批注、数据字典和来源记录修正后复核","")</f>
        <v/>
      </c>
      <c r="H305" s="14">
        <f>IF(F305&lt;&gt;"","待处理","")</f>
        <v/>
      </c>
    </row>
    <row r="306">
      <c r="A306" s="14">
        <f>IF(F306&lt;&gt;"","ISSUE-"&amp;TEXT(ROW()-1,"00000"),"")</f>
        <v/>
      </c>
      <c r="B306" s="14">
        <f>IF(F306&lt;&gt;"","错误","")</f>
        <v/>
      </c>
      <c r="C306" s="14">
        <f>IF('02_固定地理'!A306&lt;&gt;"","02_固定地理","")</f>
        <v/>
      </c>
      <c r="D306" s="14">
        <f>IF('02_固定地理'!A306&lt;&gt;"",'02_固定地理'!A306,"")</f>
        <v/>
      </c>
      <c r="E306" s="14">
        <f>IF(F306&lt;&gt;"","综合校验","")</f>
        <v/>
      </c>
      <c r="F306" s="14">
        <f>IF('02_固定地理'!A306&lt;&gt;"",IF('02_固定地理'!A306="","缺少对象ID；","")&amp;IF('02_固定地理'!B306="","缺少中文名称；","")&amp;IF('02_固定地理'!D306="","缺少对象类型；","")&amp;IF(AND('02_固定地理'!F306&lt;&gt;"",OR('02_固定地理'!F306&lt;0,'02_固定地理'!F306&gt;WorldWidth)),"世界中心X越界；","")&amp;IF(AND('02_固定地理'!G306&lt;&gt;"",OR('02_固定地理'!G306&lt;0,'02_固定地理'!G306&gt;WorldHeight)),"世界中心Y越界；","")&amp;IF(AND('02_固定地理'!H306&lt;&gt;"",'02_固定地理'!J306&lt;&gt;"",'02_固定地理'!H306&gt;'02_固定地理'!J306),"最小X大于最大X；","")&amp;IF(AND('02_固定地理'!I306&lt;&gt;"",'02_固定地理'!K306&lt;&gt;"",'02_固定地理'!I306&gt;'02_固定地理'!K306),"最小Y大于最大Y；","")&amp;IF(AND('02_固定地理'!E306&lt;&gt;"",COUNTIF('02_固定地理'!$A$2:$A$501,'02_固定地理'!E306)=0),"父级对象不存在；","")&amp;IF(AND('02_固定地理'!A306&lt;&gt;"",COUNTIF('02_固定地理'!$A$2:$A$501,'02_固定地理'!A306)&gt;1),"ID重复；",""),"")</f>
        <v/>
      </c>
      <c r="G306" s="14">
        <f>IF(F306&lt;&gt;"","按字段批注、数据字典和来源记录修正后复核","")</f>
        <v/>
      </c>
      <c r="H306" s="14">
        <f>IF(F306&lt;&gt;"","待处理","")</f>
        <v/>
      </c>
    </row>
    <row r="307">
      <c r="A307" s="14">
        <f>IF(F307&lt;&gt;"","ISSUE-"&amp;TEXT(ROW()-1,"00000"),"")</f>
        <v/>
      </c>
      <c r="B307" s="14">
        <f>IF(F307&lt;&gt;"","错误","")</f>
        <v/>
      </c>
      <c r="C307" s="14">
        <f>IF('02_固定地理'!A307&lt;&gt;"","02_固定地理","")</f>
        <v/>
      </c>
      <c r="D307" s="14">
        <f>IF('02_固定地理'!A307&lt;&gt;"",'02_固定地理'!A307,"")</f>
        <v/>
      </c>
      <c r="E307" s="14">
        <f>IF(F307&lt;&gt;"","综合校验","")</f>
        <v/>
      </c>
      <c r="F307" s="14">
        <f>IF('02_固定地理'!A307&lt;&gt;"",IF('02_固定地理'!A307="","缺少对象ID；","")&amp;IF('02_固定地理'!B307="","缺少中文名称；","")&amp;IF('02_固定地理'!D307="","缺少对象类型；","")&amp;IF(AND('02_固定地理'!F307&lt;&gt;"",OR('02_固定地理'!F307&lt;0,'02_固定地理'!F307&gt;WorldWidth)),"世界中心X越界；","")&amp;IF(AND('02_固定地理'!G307&lt;&gt;"",OR('02_固定地理'!G307&lt;0,'02_固定地理'!G307&gt;WorldHeight)),"世界中心Y越界；","")&amp;IF(AND('02_固定地理'!H307&lt;&gt;"",'02_固定地理'!J307&lt;&gt;"",'02_固定地理'!H307&gt;'02_固定地理'!J307),"最小X大于最大X；","")&amp;IF(AND('02_固定地理'!I307&lt;&gt;"",'02_固定地理'!K307&lt;&gt;"",'02_固定地理'!I307&gt;'02_固定地理'!K307),"最小Y大于最大Y；","")&amp;IF(AND('02_固定地理'!E307&lt;&gt;"",COUNTIF('02_固定地理'!$A$2:$A$501,'02_固定地理'!E307)=0),"父级对象不存在；","")&amp;IF(AND('02_固定地理'!A307&lt;&gt;"",COUNTIF('02_固定地理'!$A$2:$A$501,'02_固定地理'!A307)&gt;1),"ID重复；",""),"")</f>
        <v/>
      </c>
      <c r="G307" s="14">
        <f>IF(F307&lt;&gt;"","按字段批注、数据字典和来源记录修正后复核","")</f>
        <v/>
      </c>
      <c r="H307" s="14">
        <f>IF(F307&lt;&gt;"","待处理","")</f>
        <v/>
      </c>
    </row>
    <row r="308">
      <c r="A308" s="14">
        <f>IF(F308&lt;&gt;"","ISSUE-"&amp;TEXT(ROW()-1,"00000"),"")</f>
        <v/>
      </c>
      <c r="B308" s="14">
        <f>IF(F308&lt;&gt;"","错误","")</f>
        <v/>
      </c>
      <c r="C308" s="14">
        <f>IF('02_固定地理'!A308&lt;&gt;"","02_固定地理","")</f>
        <v/>
      </c>
      <c r="D308" s="14">
        <f>IF('02_固定地理'!A308&lt;&gt;"",'02_固定地理'!A308,"")</f>
        <v/>
      </c>
      <c r="E308" s="14">
        <f>IF(F308&lt;&gt;"","综合校验","")</f>
        <v/>
      </c>
      <c r="F308" s="14">
        <f>IF('02_固定地理'!A308&lt;&gt;"",IF('02_固定地理'!A308="","缺少对象ID；","")&amp;IF('02_固定地理'!B308="","缺少中文名称；","")&amp;IF('02_固定地理'!D308="","缺少对象类型；","")&amp;IF(AND('02_固定地理'!F308&lt;&gt;"",OR('02_固定地理'!F308&lt;0,'02_固定地理'!F308&gt;WorldWidth)),"世界中心X越界；","")&amp;IF(AND('02_固定地理'!G308&lt;&gt;"",OR('02_固定地理'!G308&lt;0,'02_固定地理'!G308&gt;WorldHeight)),"世界中心Y越界；","")&amp;IF(AND('02_固定地理'!H308&lt;&gt;"",'02_固定地理'!J308&lt;&gt;"",'02_固定地理'!H308&gt;'02_固定地理'!J308),"最小X大于最大X；","")&amp;IF(AND('02_固定地理'!I308&lt;&gt;"",'02_固定地理'!K308&lt;&gt;"",'02_固定地理'!I308&gt;'02_固定地理'!K308),"最小Y大于最大Y；","")&amp;IF(AND('02_固定地理'!E308&lt;&gt;"",COUNTIF('02_固定地理'!$A$2:$A$501,'02_固定地理'!E308)=0),"父级对象不存在；","")&amp;IF(AND('02_固定地理'!A308&lt;&gt;"",COUNTIF('02_固定地理'!$A$2:$A$501,'02_固定地理'!A308)&gt;1),"ID重复；",""),"")</f>
        <v/>
      </c>
      <c r="G308" s="14">
        <f>IF(F308&lt;&gt;"","按字段批注、数据字典和来源记录修正后复核","")</f>
        <v/>
      </c>
      <c r="H308" s="14">
        <f>IF(F308&lt;&gt;"","待处理","")</f>
        <v/>
      </c>
    </row>
    <row r="309">
      <c r="A309" s="14">
        <f>IF(F309&lt;&gt;"","ISSUE-"&amp;TEXT(ROW()-1,"00000"),"")</f>
        <v/>
      </c>
      <c r="B309" s="14">
        <f>IF(F309&lt;&gt;"","错误","")</f>
        <v/>
      </c>
      <c r="C309" s="14">
        <f>IF('02_固定地理'!A309&lt;&gt;"","02_固定地理","")</f>
        <v/>
      </c>
      <c r="D309" s="14">
        <f>IF('02_固定地理'!A309&lt;&gt;"",'02_固定地理'!A309,"")</f>
        <v/>
      </c>
      <c r="E309" s="14">
        <f>IF(F309&lt;&gt;"","综合校验","")</f>
        <v/>
      </c>
      <c r="F309" s="14">
        <f>IF('02_固定地理'!A309&lt;&gt;"",IF('02_固定地理'!A309="","缺少对象ID；","")&amp;IF('02_固定地理'!B309="","缺少中文名称；","")&amp;IF('02_固定地理'!D309="","缺少对象类型；","")&amp;IF(AND('02_固定地理'!F309&lt;&gt;"",OR('02_固定地理'!F309&lt;0,'02_固定地理'!F309&gt;WorldWidth)),"世界中心X越界；","")&amp;IF(AND('02_固定地理'!G309&lt;&gt;"",OR('02_固定地理'!G309&lt;0,'02_固定地理'!G309&gt;WorldHeight)),"世界中心Y越界；","")&amp;IF(AND('02_固定地理'!H309&lt;&gt;"",'02_固定地理'!J309&lt;&gt;"",'02_固定地理'!H309&gt;'02_固定地理'!J309),"最小X大于最大X；","")&amp;IF(AND('02_固定地理'!I309&lt;&gt;"",'02_固定地理'!K309&lt;&gt;"",'02_固定地理'!I309&gt;'02_固定地理'!K309),"最小Y大于最大Y；","")&amp;IF(AND('02_固定地理'!E309&lt;&gt;"",COUNTIF('02_固定地理'!$A$2:$A$501,'02_固定地理'!E309)=0),"父级对象不存在；","")&amp;IF(AND('02_固定地理'!A309&lt;&gt;"",COUNTIF('02_固定地理'!$A$2:$A$501,'02_固定地理'!A309)&gt;1),"ID重复；",""),"")</f>
        <v/>
      </c>
      <c r="G309" s="14">
        <f>IF(F309&lt;&gt;"","按字段批注、数据字典和来源记录修正后复核","")</f>
        <v/>
      </c>
      <c r="H309" s="14">
        <f>IF(F309&lt;&gt;"","待处理","")</f>
        <v/>
      </c>
    </row>
    <row r="310">
      <c r="A310" s="14">
        <f>IF(F310&lt;&gt;"","ISSUE-"&amp;TEXT(ROW()-1,"00000"),"")</f>
        <v/>
      </c>
      <c r="B310" s="14">
        <f>IF(F310&lt;&gt;"","错误","")</f>
        <v/>
      </c>
      <c r="C310" s="14">
        <f>IF('02_固定地理'!A310&lt;&gt;"","02_固定地理","")</f>
        <v/>
      </c>
      <c r="D310" s="14">
        <f>IF('02_固定地理'!A310&lt;&gt;"",'02_固定地理'!A310,"")</f>
        <v/>
      </c>
      <c r="E310" s="14">
        <f>IF(F310&lt;&gt;"","综合校验","")</f>
        <v/>
      </c>
      <c r="F310" s="14">
        <f>IF('02_固定地理'!A310&lt;&gt;"",IF('02_固定地理'!A310="","缺少对象ID；","")&amp;IF('02_固定地理'!B310="","缺少中文名称；","")&amp;IF('02_固定地理'!D310="","缺少对象类型；","")&amp;IF(AND('02_固定地理'!F310&lt;&gt;"",OR('02_固定地理'!F310&lt;0,'02_固定地理'!F310&gt;WorldWidth)),"世界中心X越界；","")&amp;IF(AND('02_固定地理'!G310&lt;&gt;"",OR('02_固定地理'!G310&lt;0,'02_固定地理'!G310&gt;WorldHeight)),"世界中心Y越界；","")&amp;IF(AND('02_固定地理'!H310&lt;&gt;"",'02_固定地理'!J310&lt;&gt;"",'02_固定地理'!H310&gt;'02_固定地理'!J310),"最小X大于最大X；","")&amp;IF(AND('02_固定地理'!I310&lt;&gt;"",'02_固定地理'!K310&lt;&gt;"",'02_固定地理'!I310&gt;'02_固定地理'!K310),"最小Y大于最大Y；","")&amp;IF(AND('02_固定地理'!E310&lt;&gt;"",COUNTIF('02_固定地理'!$A$2:$A$501,'02_固定地理'!E310)=0),"父级对象不存在；","")&amp;IF(AND('02_固定地理'!A310&lt;&gt;"",COUNTIF('02_固定地理'!$A$2:$A$501,'02_固定地理'!A310)&gt;1),"ID重复；",""),"")</f>
        <v/>
      </c>
      <c r="G310" s="14">
        <f>IF(F310&lt;&gt;"","按字段批注、数据字典和来源记录修正后复核","")</f>
        <v/>
      </c>
      <c r="H310" s="14">
        <f>IF(F310&lt;&gt;"","待处理","")</f>
        <v/>
      </c>
    </row>
    <row r="311">
      <c r="A311" s="14">
        <f>IF(F311&lt;&gt;"","ISSUE-"&amp;TEXT(ROW()-1,"00000"),"")</f>
        <v/>
      </c>
      <c r="B311" s="14">
        <f>IF(F311&lt;&gt;"","错误","")</f>
        <v/>
      </c>
      <c r="C311" s="14">
        <f>IF('02_固定地理'!A311&lt;&gt;"","02_固定地理","")</f>
        <v/>
      </c>
      <c r="D311" s="14">
        <f>IF('02_固定地理'!A311&lt;&gt;"",'02_固定地理'!A311,"")</f>
        <v/>
      </c>
      <c r="E311" s="14">
        <f>IF(F311&lt;&gt;"","综合校验","")</f>
        <v/>
      </c>
      <c r="F311" s="14">
        <f>IF('02_固定地理'!A311&lt;&gt;"",IF('02_固定地理'!A311="","缺少对象ID；","")&amp;IF('02_固定地理'!B311="","缺少中文名称；","")&amp;IF('02_固定地理'!D311="","缺少对象类型；","")&amp;IF(AND('02_固定地理'!F311&lt;&gt;"",OR('02_固定地理'!F311&lt;0,'02_固定地理'!F311&gt;WorldWidth)),"世界中心X越界；","")&amp;IF(AND('02_固定地理'!G311&lt;&gt;"",OR('02_固定地理'!G311&lt;0,'02_固定地理'!G311&gt;WorldHeight)),"世界中心Y越界；","")&amp;IF(AND('02_固定地理'!H311&lt;&gt;"",'02_固定地理'!J311&lt;&gt;"",'02_固定地理'!H311&gt;'02_固定地理'!J311),"最小X大于最大X；","")&amp;IF(AND('02_固定地理'!I311&lt;&gt;"",'02_固定地理'!K311&lt;&gt;"",'02_固定地理'!I311&gt;'02_固定地理'!K311),"最小Y大于最大Y；","")&amp;IF(AND('02_固定地理'!E311&lt;&gt;"",COUNTIF('02_固定地理'!$A$2:$A$501,'02_固定地理'!E311)=0),"父级对象不存在；","")&amp;IF(AND('02_固定地理'!A311&lt;&gt;"",COUNTIF('02_固定地理'!$A$2:$A$501,'02_固定地理'!A311)&gt;1),"ID重复；",""),"")</f>
        <v/>
      </c>
      <c r="G311" s="14">
        <f>IF(F311&lt;&gt;"","按字段批注、数据字典和来源记录修正后复核","")</f>
        <v/>
      </c>
      <c r="H311" s="14">
        <f>IF(F311&lt;&gt;"","待处理","")</f>
        <v/>
      </c>
    </row>
    <row r="312">
      <c r="A312" s="14">
        <f>IF(F312&lt;&gt;"","ISSUE-"&amp;TEXT(ROW()-1,"00000"),"")</f>
        <v/>
      </c>
      <c r="B312" s="14">
        <f>IF(F312&lt;&gt;"","错误","")</f>
        <v/>
      </c>
      <c r="C312" s="14">
        <f>IF('02_固定地理'!A312&lt;&gt;"","02_固定地理","")</f>
        <v/>
      </c>
      <c r="D312" s="14">
        <f>IF('02_固定地理'!A312&lt;&gt;"",'02_固定地理'!A312,"")</f>
        <v/>
      </c>
      <c r="E312" s="14">
        <f>IF(F312&lt;&gt;"","综合校验","")</f>
        <v/>
      </c>
      <c r="F312" s="14">
        <f>IF('02_固定地理'!A312&lt;&gt;"",IF('02_固定地理'!A312="","缺少对象ID；","")&amp;IF('02_固定地理'!B312="","缺少中文名称；","")&amp;IF('02_固定地理'!D312="","缺少对象类型；","")&amp;IF(AND('02_固定地理'!F312&lt;&gt;"",OR('02_固定地理'!F312&lt;0,'02_固定地理'!F312&gt;WorldWidth)),"世界中心X越界；","")&amp;IF(AND('02_固定地理'!G312&lt;&gt;"",OR('02_固定地理'!G312&lt;0,'02_固定地理'!G312&gt;WorldHeight)),"世界中心Y越界；","")&amp;IF(AND('02_固定地理'!H312&lt;&gt;"",'02_固定地理'!J312&lt;&gt;"",'02_固定地理'!H312&gt;'02_固定地理'!J312),"最小X大于最大X；","")&amp;IF(AND('02_固定地理'!I312&lt;&gt;"",'02_固定地理'!K312&lt;&gt;"",'02_固定地理'!I312&gt;'02_固定地理'!K312),"最小Y大于最大Y；","")&amp;IF(AND('02_固定地理'!E312&lt;&gt;"",COUNTIF('02_固定地理'!$A$2:$A$501,'02_固定地理'!E312)=0),"父级对象不存在；","")&amp;IF(AND('02_固定地理'!A312&lt;&gt;"",COUNTIF('02_固定地理'!$A$2:$A$501,'02_固定地理'!A312)&gt;1),"ID重复；",""),"")</f>
        <v/>
      </c>
      <c r="G312" s="14">
        <f>IF(F312&lt;&gt;"","按字段批注、数据字典和来源记录修正后复核","")</f>
        <v/>
      </c>
      <c r="H312" s="14">
        <f>IF(F312&lt;&gt;"","待处理","")</f>
        <v/>
      </c>
    </row>
    <row r="313">
      <c r="A313" s="14">
        <f>IF(F313&lt;&gt;"","ISSUE-"&amp;TEXT(ROW()-1,"00000"),"")</f>
        <v/>
      </c>
      <c r="B313" s="14">
        <f>IF(F313&lt;&gt;"","错误","")</f>
        <v/>
      </c>
      <c r="C313" s="14">
        <f>IF('02_固定地理'!A313&lt;&gt;"","02_固定地理","")</f>
        <v/>
      </c>
      <c r="D313" s="14">
        <f>IF('02_固定地理'!A313&lt;&gt;"",'02_固定地理'!A313,"")</f>
        <v/>
      </c>
      <c r="E313" s="14">
        <f>IF(F313&lt;&gt;"","综合校验","")</f>
        <v/>
      </c>
      <c r="F313" s="14">
        <f>IF('02_固定地理'!A313&lt;&gt;"",IF('02_固定地理'!A313="","缺少对象ID；","")&amp;IF('02_固定地理'!B313="","缺少中文名称；","")&amp;IF('02_固定地理'!D313="","缺少对象类型；","")&amp;IF(AND('02_固定地理'!F313&lt;&gt;"",OR('02_固定地理'!F313&lt;0,'02_固定地理'!F313&gt;WorldWidth)),"世界中心X越界；","")&amp;IF(AND('02_固定地理'!G313&lt;&gt;"",OR('02_固定地理'!G313&lt;0,'02_固定地理'!G313&gt;WorldHeight)),"世界中心Y越界；","")&amp;IF(AND('02_固定地理'!H313&lt;&gt;"",'02_固定地理'!J313&lt;&gt;"",'02_固定地理'!H313&gt;'02_固定地理'!J313),"最小X大于最大X；","")&amp;IF(AND('02_固定地理'!I313&lt;&gt;"",'02_固定地理'!K313&lt;&gt;"",'02_固定地理'!I313&gt;'02_固定地理'!K313),"最小Y大于最大Y；","")&amp;IF(AND('02_固定地理'!E313&lt;&gt;"",COUNTIF('02_固定地理'!$A$2:$A$501,'02_固定地理'!E313)=0),"父级对象不存在；","")&amp;IF(AND('02_固定地理'!A313&lt;&gt;"",COUNTIF('02_固定地理'!$A$2:$A$501,'02_固定地理'!A313)&gt;1),"ID重复；",""),"")</f>
        <v/>
      </c>
      <c r="G313" s="14">
        <f>IF(F313&lt;&gt;"","按字段批注、数据字典和来源记录修正后复核","")</f>
        <v/>
      </c>
      <c r="H313" s="14">
        <f>IF(F313&lt;&gt;"","待处理","")</f>
        <v/>
      </c>
    </row>
    <row r="314">
      <c r="A314" s="14">
        <f>IF(F314&lt;&gt;"","ISSUE-"&amp;TEXT(ROW()-1,"00000"),"")</f>
        <v/>
      </c>
      <c r="B314" s="14">
        <f>IF(F314&lt;&gt;"","错误","")</f>
        <v/>
      </c>
      <c r="C314" s="14">
        <f>IF('02_固定地理'!A314&lt;&gt;"","02_固定地理","")</f>
        <v/>
      </c>
      <c r="D314" s="14">
        <f>IF('02_固定地理'!A314&lt;&gt;"",'02_固定地理'!A314,"")</f>
        <v/>
      </c>
      <c r="E314" s="14">
        <f>IF(F314&lt;&gt;"","综合校验","")</f>
        <v/>
      </c>
      <c r="F314" s="14">
        <f>IF('02_固定地理'!A314&lt;&gt;"",IF('02_固定地理'!A314="","缺少对象ID；","")&amp;IF('02_固定地理'!B314="","缺少中文名称；","")&amp;IF('02_固定地理'!D314="","缺少对象类型；","")&amp;IF(AND('02_固定地理'!F314&lt;&gt;"",OR('02_固定地理'!F314&lt;0,'02_固定地理'!F314&gt;WorldWidth)),"世界中心X越界；","")&amp;IF(AND('02_固定地理'!G314&lt;&gt;"",OR('02_固定地理'!G314&lt;0,'02_固定地理'!G314&gt;WorldHeight)),"世界中心Y越界；","")&amp;IF(AND('02_固定地理'!H314&lt;&gt;"",'02_固定地理'!J314&lt;&gt;"",'02_固定地理'!H314&gt;'02_固定地理'!J314),"最小X大于最大X；","")&amp;IF(AND('02_固定地理'!I314&lt;&gt;"",'02_固定地理'!K314&lt;&gt;"",'02_固定地理'!I314&gt;'02_固定地理'!K314),"最小Y大于最大Y；","")&amp;IF(AND('02_固定地理'!E314&lt;&gt;"",COUNTIF('02_固定地理'!$A$2:$A$501,'02_固定地理'!E314)=0),"父级对象不存在；","")&amp;IF(AND('02_固定地理'!A314&lt;&gt;"",COUNTIF('02_固定地理'!$A$2:$A$501,'02_固定地理'!A314)&gt;1),"ID重复；",""),"")</f>
        <v/>
      </c>
      <c r="G314" s="14">
        <f>IF(F314&lt;&gt;"","按字段批注、数据字典和来源记录修正后复核","")</f>
        <v/>
      </c>
      <c r="H314" s="14">
        <f>IF(F314&lt;&gt;"","待处理","")</f>
        <v/>
      </c>
    </row>
    <row r="315">
      <c r="A315" s="14">
        <f>IF(F315&lt;&gt;"","ISSUE-"&amp;TEXT(ROW()-1,"00000"),"")</f>
        <v/>
      </c>
      <c r="B315" s="14">
        <f>IF(F315&lt;&gt;"","错误","")</f>
        <v/>
      </c>
      <c r="C315" s="14">
        <f>IF('02_固定地理'!A315&lt;&gt;"","02_固定地理","")</f>
        <v/>
      </c>
      <c r="D315" s="14">
        <f>IF('02_固定地理'!A315&lt;&gt;"",'02_固定地理'!A315,"")</f>
        <v/>
      </c>
      <c r="E315" s="14">
        <f>IF(F315&lt;&gt;"","综合校验","")</f>
        <v/>
      </c>
      <c r="F315" s="14">
        <f>IF('02_固定地理'!A315&lt;&gt;"",IF('02_固定地理'!A315="","缺少对象ID；","")&amp;IF('02_固定地理'!B315="","缺少中文名称；","")&amp;IF('02_固定地理'!D315="","缺少对象类型；","")&amp;IF(AND('02_固定地理'!F315&lt;&gt;"",OR('02_固定地理'!F315&lt;0,'02_固定地理'!F315&gt;WorldWidth)),"世界中心X越界；","")&amp;IF(AND('02_固定地理'!G315&lt;&gt;"",OR('02_固定地理'!G315&lt;0,'02_固定地理'!G315&gt;WorldHeight)),"世界中心Y越界；","")&amp;IF(AND('02_固定地理'!H315&lt;&gt;"",'02_固定地理'!J315&lt;&gt;"",'02_固定地理'!H315&gt;'02_固定地理'!J315),"最小X大于最大X；","")&amp;IF(AND('02_固定地理'!I315&lt;&gt;"",'02_固定地理'!K315&lt;&gt;"",'02_固定地理'!I315&gt;'02_固定地理'!K315),"最小Y大于最大Y；","")&amp;IF(AND('02_固定地理'!E315&lt;&gt;"",COUNTIF('02_固定地理'!$A$2:$A$501,'02_固定地理'!E315)=0),"父级对象不存在；","")&amp;IF(AND('02_固定地理'!A315&lt;&gt;"",COUNTIF('02_固定地理'!$A$2:$A$501,'02_固定地理'!A315)&gt;1),"ID重复；",""),"")</f>
        <v/>
      </c>
      <c r="G315" s="14">
        <f>IF(F315&lt;&gt;"","按字段批注、数据字典和来源记录修正后复核","")</f>
        <v/>
      </c>
      <c r="H315" s="14">
        <f>IF(F315&lt;&gt;"","待处理","")</f>
        <v/>
      </c>
    </row>
    <row r="316">
      <c r="A316" s="14">
        <f>IF(F316&lt;&gt;"","ISSUE-"&amp;TEXT(ROW()-1,"00000"),"")</f>
        <v/>
      </c>
      <c r="B316" s="14">
        <f>IF(F316&lt;&gt;"","错误","")</f>
        <v/>
      </c>
      <c r="C316" s="14">
        <f>IF('02_固定地理'!A316&lt;&gt;"","02_固定地理","")</f>
        <v/>
      </c>
      <c r="D316" s="14">
        <f>IF('02_固定地理'!A316&lt;&gt;"",'02_固定地理'!A316,"")</f>
        <v/>
      </c>
      <c r="E316" s="14">
        <f>IF(F316&lt;&gt;"","综合校验","")</f>
        <v/>
      </c>
      <c r="F316" s="14">
        <f>IF('02_固定地理'!A316&lt;&gt;"",IF('02_固定地理'!A316="","缺少对象ID；","")&amp;IF('02_固定地理'!B316="","缺少中文名称；","")&amp;IF('02_固定地理'!D316="","缺少对象类型；","")&amp;IF(AND('02_固定地理'!F316&lt;&gt;"",OR('02_固定地理'!F316&lt;0,'02_固定地理'!F316&gt;WorldWidth)),"世界中心X越界；","")&amp;IF(AND('02_固定地理'!G316&lt;&gt;"",OR('02_固定地理'!G316&lt;0,'02_固定地理'!G316&gt;WorldHeight)),"世界中心Y越界；","")&amp;IF(AND('02_固定地理'!H316&lt;&gt;"",'02_固定地理'!J316&lt;&gt;"",'02_固定地理'!H316&gt;'02_固定地理'!J316),"最小X大于最大X；","")&amp;IF(AND('02_固定地理'!I316&lt;&gt;"",'02_固定地理'!K316&lt;&gt;"",'02_固定地理'!I316&gt;'02_固定地理'!K316),"最小Y大于最大Y；","")&amp;IF(AND('02_固定地理'!E316&lt;&gt;"",COUNTIF('02_固定地理'!$A$2:$A$501,'02_固定地理'!E316)=0),"父级对象不存在；","")&amp;IF(AND('02_固定地理'!A316&lt;&gt;"",COUNTIF('02_固定地理'!$A$2:$A$501,'02_固定地理'!A316)&gt;1),"ID重复；",""),"")</f>
        <v/>
      </c>
      <c r="G316" s="14">
        <f>IF(F316&lt;&gt;"","按字段批注、数据字典和来源记录修正后复核","")</f>
        <v/>
      </c>
      <c r="H316" s="14">
        <f>IF(F316&lt;&gt;"","待处理","")</f>
        <v/>
      </c>
    </row>
    <row r="317">
      <c r="A317" s="14">
        <f>IF(F317&lt;&gt;"","ISSUE-"&amp;TEXT(ROW()-1,"00000"),"")</f>
        <v/>
      </c>
      <c r="B317" s="14">
        <f>IF(F317&lt;&gt;"","错误","")</f>
        <v/>
      </c>
      <c r="C317" s="14">
        <f>IF('02_固定地理'!A317&lt;&gt;"","02_固定地理","")</f>
        <v/>
      </c>
      <c r="D317" s="14">
        <f>IF('02_固定地理'!A317&lt;&gt;"",'02_固定地理'!A317,"")</f>
        <v/>
      </c>
      <c r="E317" s="14">
        <f>IF(F317&lt;&gt;"","综合校验","")</f>
        <v/>
      </c>
      <c r="F317" s="14">
        <f>IF('02_固定地理'!A317&lt;&gt;"",IF('02_固定地理'!A317="","缺少对象ID；","")&amp;IF('02_固定地理'!B317="","缺少中文名称；","")&amp;IF('02_固定地理'!D317="","缺少对象类型；","")&amp;IF(AND('02_固定地理'!F317&lt;&gt;"",OR('02_固定地理'!F317&lt;0,'02_固定地理'!F317&gt;WorldWidth)),"世界中心X越界；","")&amp;IF(AND('02_固定地理'!G317&lt;&gt;"",OR('02_固定地理'!G317&lt;0,'02_固定地理'!G317&gt;WorldHeight)),"世界中心Y越界；","")&amp;IF(AND('02_固定地理'!H317&lt;&gt;"",'02_固定地理'!J317&lt;&gt;"",'02_固定地理'!H317&gt;'02_固定地理'!J317),"最小X大于最大X；","")&amp;IF(AND('02_固定地理'!I317&lt;&gt;"",'02_固定地理'!K317&lt;&gt;"",'02_固定地理'!I317&gt;'02_固定地理'!K317),"最小Y大于最大Y；","")&amp;IF(AND('02_固定地理'!E317&lt;&gt;"",COUNTIF('02_固定地理'!$A$2:$A$501,'02_固定地理'!E317)=0),"父级对象不存在；","")&amp;IF(AND('02_固定地理'!A317&lt;&gt;"",COUNTIF('02_固定地理'!$A$2:$A$501,'02_固定地理'!A317)&gt;1),"ID重复；",""),"")</f>
        <v/>
      </c>
      <c r="G317" s="14">
        <f>IF(F317&lt;&gt;"","按字段批注、数据字典和来源记录修正后复核","")</f>
        <v/>
      </c>
      <c r="H317" s="14">
        <f>IF(F317&lt;&gt;"","待处理","")</f>
        <v/>
      </c>
    </row>
    <row r="318">
      <c r="A318" s="14">
        <f>IF(F318&lt;&gt;"","ISSUE-"&amp;TEXT(ROW()-1,"00000"),"")</f>
        <v/>
      </c>
      <c r="B318" s="14">
        <f>IF(F318&lt;&gt;"","错误","")</f>
        <v/>
      </c>
      <c r="C318" s="14">
        <f>IF('02_固定地理'!A318&lt;&gt;"","02_固定地理","")</f>
        <v/>
      </c>
      <c r="D318" s="14">
        <f>IF('02_固定地理'!A318&lt;&gt;"",'02_固定地理'!A318,"")</f>
        <v/>
      </c>
      <c r="E318" s="14">
        <f>IF(F318&lt;&gt;"","综合校验","")</f>
        <v/>
      </c>
      <c r="F318" s="14">
        <f>IF('02_固定地理'!A318&lt;&gt;"",IF('02_固定地理'!A318="","缺少对象ID；","")&amp;IF('02_固定地理'!B318="","缺少中文名称；","")&amp;IF('02_固定地理'!D318="","缺少对象类型；","")&amp;IF(AND('02_固定地理'!F318&lt;&gt;"",OR('02_固定地理'!F318&lt;0,'02_固定地理'!F318&gt;WorldWidth)),"世界中心X越界；","")&amp;IF(AND('02_固定地理'!G318&lt;&gt;"",OR('02_固定地理'!G318&lt;0,'02_固定地理'!G318&gt;WorldHeight)),"世界中心Y越界；","")&amp;IF(AND('02_固定地理'!H318&lt;&gt;"",'02_固定地理'!J318&lt;&gt;"",'02_固定地理'!H318&gt;'02_固定地理'!J318),"最小X大于最大X；","")&amp;IF(AND('02_固定地理'!I318&lt;&gt;"",'02_固定地理'!K318&lt;&gt;"",'02_固定地理'!I318&gt;'02_固定地理'!K318),"最小Y大于最大Y；","")&amp;IF(AND('02_固定地理'!E318&lt;&gt;"",COUNTIF('02_固定地理'!$A$2:$A$501,'02_固定地理'!E318)=0),"父级对象不存在；","")&amp;IF(AND('02_固定地理'!A318&lt;&gt;"",COUNTIF('02_固定地理'!$A$2:$A$501,'02_固定地理'!A318)&gt;1),"ID重复；",""),"")</f>
        <v/>
      </c>
      <c r="G318" s="14">
        <f>IF(F318&lt;&gt;"","按字段批注、数据字典和来源记录修正后复核","")</f>
        <v/>
      </c>
      <c r="H318" s="14">
        <f>IF(F318&lt;&gt;"","待处理","")</f>
        <v/>
      </c>
    </row>
    <row r="319">
      <c r="A319" s="14">
        <f>IF(F319&lt;&gt;"","ISSUE-"&amp;TEXT(ROW()-1,"00000"),"")</f>
        <v/>
      </c>
      <c r="B319" s="14">
        <f>IF(F319&lt;&gt;"","错误","")</f>
        <v/>
      </c>
      <c r="C319" s="14">
        <f>IF('02_固定地理'!A319&lt;&gt;"","02_固定地理","")</f>
        <v/>
      </c>
      <c r="D319" s="14">
        <f>IF('02_固定地理'!A319&lt;&gt;"",'02_固定地理'!A319,"")</f>
        <v/>
      </c>
      <c r="E319" s="14">
        <f>IF(F319&lt;&gt;"","综合校验","")</f>
        <v/>
      </c>
      <c r="F319" s="14">
        <f>IF('02_固定地理'!A319&lt;&gt;"",IF('02_固定地理'!A319="","缺少对象ID；","")&amp;IF('02_固定地理'!B319="","缺少中文名称；","")&amp;IF('02_固定地理'!D319="","缺少对象类型；","")&amp;IF(AND('02_固定地理'!F319&lt;&gt;"",OR('02_固定地理'!F319&lt;0,'02_固定地理'!F319&gt;WorldWidth)),"世界中心X越界；","")&amp;IF(AND('02_固定地理'!G319&lt;&gt;"",OR('02_固定地理'!G319&lt;0,'02_固定地理'!G319&gt;WorldHeight)),"世界中心Y越界；","")&amp;IF(AND('02_固定地理'!H319&lt;&gt;"",'02_固定地理'!J319&lt;&gt;"",'02_固定地理'!H319&gt;'02_固定地理'!J319),"最小X大于最大X；","")&amp;IF(AND('02_固定地理'!I319&lt;&gt;"",'02_固定地理'!K319&lt;&gt;"",'02_固定地理'!I319&gt;'02_固定地理'!K319),"最小Y大于最大Y；","")&amp;IF(AND('02_固定地理'!E319&lt;&gt;"",COUNTIF('02_固定地理'!$A$2:$A$501,'02_固定地理'!E319)=0),"父级对象不存在；","")&amp;IF(AND('02_固定地理'!A319&lt;&gt;"",COUNTIF('02_固定地理'!$A$2:$A$501,'02_固定地理'!A319)&gt;1),"ID重复；",""),"")</f>
        <v/>
      </c>
      <c r="G319" s="14">
        <f>IF(F319&lt;&gt;"","按字段批注、数据字典和来源记录修正后复核","")</f>
        <v/>
      </c>
      <c r="H319" s="14">
        <f>IF(F319&lt;&gt;"","待处理","")</f>
        <v/>
      </c>
    </row>
    <row r="320">
      <c r="A320" s="14">
        <f>IF(F320&lt;&gt;"","ISSUE-"&amp;TEXT(ROW()-1,"00000"),"")</f>
        <v/>
      </c>
      <c r="B320" s="14">
        <f>IF(F320&lt;&gt;"","错误","")</f>
        <v/>
      </c>
      <c r="C320" s="14">
        <f>IF('02_固定地理'!A320&lt;&gt;"","02_固定地理","")</f>
        <v/>
      </c>
      <c r="D320" s="14">
        <f>IF('02_固定地理'!A320&lt;&gt;"",'02_固定地理'!A320,"")</f>
        <v/>
      </c>
      <c r="E320" s="14">
        <f>IF(F320&lt;&gt;"","综合校验","")</f>
        <v/>
      </c>
      <c r="F320" s="14">
        <f>IF('02_固定地理'!A320&lt;&gt;"",IF('02_固定地理'!A320="","缺少对象ID；","")&amp;IF('02_固定地理'!B320="","缺少中文名称；","")&amp;IF('02_固定地理'!D320="","缺少对象类型；","")&amp;IF(AND('02_固定地理'!F320&lt;&gt;"",OR('02_固定地理'!F320&lt;0,'02_固定地理'!F320&gt;WorldWidth)),"世界中心X越界；","")&amp;IF(AND('02_固定地理'!G320&lt;&gt;"",OR('02_固定地理'!G320&lt;0,'02_固定地理'!G320&gt;WorldHeight)),"世界中心Y越界；","")&amp;IF(AND('02_固定地理'!H320&lt;&gt;"",'02_固定地理'!J320&lt;&gt;"",'02_固定地理'!H320&gt;'02_固定地理'!J320),"最小X大于最大X；","")&amp;IF(AND('02_固定地理'!I320&lt;&gt;"",'02_固定地理'!K320&lt;&gt;"",'02_固定地理'!I320&gt;'02_固定地理'!K320),"最小Y大于最大Y；","")&amp;IF(AND('02_固定地理'!E320&lt;&gt;"",COUNTIF('02_固定地理'!$A$2:$A$501,'02_固定地理'!E320)=0),"父级对象不存在；","")&amp;IF(AND('02_固定地理'!A320&lt;&gt;"",COUNTIF('02_固定地理'!$A$2:$A$501,'02_固定地理'!A320)&gt;1),"ID重复；",""),"")</f>
        <v/>
      </c>
      <c r="G320" s="14">
        <f>IF(F320&lt;&gt;"","按字段批注、数据字典和来源记录修正后复核","")</f>
        <v/>
      </c>
      <c r="H320" s="14">
        <f>IF(F320&lt;&gt;"","待处理","")</f>
        <v/>
      </c>
    </row>
    <row r="321">
      <c r="A321" s="14">
        <f>IF(F321&lt;&gt;"","ISSUE-"&amp;TEXT(ROW()-1,"00000"),"")</f>
        <v/>
      </c>
      <c r="B321" s="14">
        <f>IF(F321&lt;&gt;"","错误","")</f>
        <v/>
      </c>
      <c r="C321" s="14">
        <f>IF('02_固定地理'!A321&lt;&gt;"","02_固定地理","")</f>
        <v/>
      </c>
      <c r="D321" s="14">
        <f>IF('02_固定地理'!A321&lt;&gt;"",'02_固定地理'!A321,"")</f>
        <v/>
      </c>
      <c r="E321" s="14">
        <f>IF(F321&lt;&gt;"","综合校验","")</f>
        <v/>
      </c>
      <c r="F321" s="14">
        <f>IF('02_固定地理'!A321&lt;&gt;"",IF('02_固定地理'!A321="","缺少对象ID；","")&amp;IF('02_固定地理'!B321="","缺少中文名称；","")&amp;IF('02_固定地理'!D321="","缺少对象类型；","")&amp;IF(AND('02_固定地理'!F321&lt;&gt;"",OR('02_固定地理'!F321&lt;0,'02_固定地理'!F321&gt;WorldWidth)),"世界中心X越界；","")&amp;IF(AND('02_固定地理'!G321&lt;&gt;"",OR('02_固定地理'!G321&lt;0,'02_固定地理'!G321&gt;WorldHeight)),"世界中心Y越界；","")&amp;IF(AND('02_固定地理'!H321&lt;&gt;"",'02_固定地理'!J321&lt;&gt;"",'02_固定地理'!H321&gt;'02_固定地理'!J321),"最小X大于最大X；","")&amp;IF(AND('02_固定地理'!I321&lt;&gt;"",'02_固定地理'!K321&lt;&gt;"",'02_固定地理'!I321&gt;'02_固定地理'!K321),"最小Y大于最大Y；","")&amp;IF(AND('02_固定地理'!E321&lt;&gt;"",COUNTIF('02_固定地理'!$A$2:$A$501,'02_固定地理'!E321)=0),"父级对象不存在；","")&amp;IF(AND('02_固定地理'!A321&lt;&gt;"",COUNTIF('02_固定地理'!$A$2:$A$501,'02_固定地理'!A321)&gt;1),"ID重复；",""),"")</f>
        <v/>
      </c>
      <c r="G321" s="14">
        <f>IF(F321&lt;&gt;"","按字段批注、数据字典和来源记录修正后复核","")</f>
        <v/>
      </c>
      <c r="H321" s="14">
        <f>IF(F321&lt;&gt;"","待处理","")</f>
        <v/>
      </c>
    </row>
    <row r="322">
      <c r="A322" s="14">
        <f>IF(F322&lt;&gt;"","ISSUE-"&amp;TEXT(ROW()-1,"00000"),"")</f>
        <v/>
      </c>
      <c r="B322" s="14">
        <f>IF(F322&lt;&gt;"","错误","")</f>
        <v/>
      </c>
      <c r="C322" s="14">
        <f>IF('02_固定地理'!A322&lt;&gt;"","02_固定地理","")</f>
        <v/>
      </c>
      <c r="D322" s="14">
        <f>IF('02_固定地理'!A322&lt;&gt;"",'02_固定地理'!A322,"")</f>
        <v/>
      </c>
      <c r="E322" s="14">
        <f>IF(F322&lt;&gt;"","综合校验","")</f>
        <v/>
      </c>
      <c r="F322" s="14">
        <f>IF('02_固定地理'!A322&lt;&gt;"",IF('02_固定地理'!A322="","缺少对象ID；","")&amp;IF('02_固定地理'!B322="","缺少中文名称；","")&amp;IF('02_固定地理'!D322="","缺少对象类型；","")&amp;IF(AND('02_固定地理'!F322&lt;&gt;"",OR('02_固定地理'!F322&lt;0,'02_固定地理'!F322&gt;WorldWidth)),"世界中心X越界；","")&amp;IF(AND('02_固定地理'!G322&lt;&gt;"",OR('02_固定地理'!G322&lt;0,'02_固定地理'!G322&gt;WorldHeight)),"世界中心Y越界；","")&amp;IF(AND('02_固定地理'!H322&lt;&gt;"",'02_固定地理'!J322&lt;&gt;"",'02_固定地理'!H322&gt;'02_固定地理'!J322),"最小X大于最大X；","")&amp;IF(AND('02_固定地理'!I322&lt;&gt;"",'02_固定地理'!K322&lt;&gt;"",'02_固定地理'!I322&gt;'02_固定地理'!K322),"最小Y大于最大Y；","")&amp;IF(AND('02_固定地理'!E322&lt;&gt;"",COUNTIF('02_固定地理'!$A$2:$A$501,'02_固定地理'!E322)=0),"父级对象不存在；","")&amp;IF(AND('02_固定地理'!A322&lt;&gt;"",COUNTIF('02_固定地理'!$A$2:$A$501,'02_固定地理'!A322)&gt;1),"ID重复；",""),"")</f>
        <v/>
      </c>
      <c r="G322" s="14">
        <f>IF(F322&lt;&gt;"","按字段批注、数据字典和来源记录修正后复核","")</f>
        <v/>
      </c>
      <c r="H322" s="14">
        <f>IF(F322&lt;&gt;"","待处理","")</f>
        <v/>
      </c>
    </row>
    <row r="323">
      <c r="A323" s="14">
        <f>IF(F323&lt;&gt;"","ISSUE-"&amp;TEXT(ROW()-1,"00000"),"")</f>
        <v/>
      </c>
      <c r="B323" s="14">
        <f>IF(F323&lt;&gt;"","错误","")</f>
        <v/>
      </c>
      <c r="C323" s="14">
        <f>IF('02_固定地理'!A323&lt;&gt;"","02_固定地理","")</f>
        <v/>
      </c>
      <c r="D323" s="14">
        <f>IF('02_固定地理'!A323&lt;&gt;"",'02_固定地理'!A323,"")</f>
        <v/>
      </c>
      <c r="E323" s="14">
        <f>IF(F323&lt;&gt;"","综合校验","")</f>
        <v/>
      </c>
      <c r="F323" s="14">
        <f>IF('02_固定地理'!A323&lt;&gt;"",IF('02_固定地理'!A323="","缺少对象ID；","")&amp;IF('02_固定地理'!B323="","缺少中文名称；","")&amp;IF('02_固定地理'!D323="","缺少对象类型；","")&amp;IF(AND('02_固定地理'!F323&lt;&gt;"",OR('02_固定地理'!F323&lt;0,'02_固定地理'!F323&gt;WorldWidth)),"世界中心X越界；","")&amp;IF(AND('02_固定地理'!G323&lt;&gt;"",OR('02_固定地理'!G323&lt;0,'02_固定地理'!G323&gt;WorldHeight)),"世界中心Y越界；","")&amp;IF(AND('02_固定地理'!H323&lt;&gt;"",'02_固定地理'!J323&lt;&gt;"",'02_固定地理'!H323&gt;'02_固定地理'!J323),"最小X大于最大X；","")&amp;IF(AND('02_固定地理'!I323&lt;&gt;"",'02_固定地理'!K323&lt;&gt;"",'02_固定地理'!I323&gt;'02_固定地理'!K323),"最小Y大于最大Y；","")&amp;IF(AND('02_固定地理'!E323&lt;&gt;"",COUNTIF('02_固定地理'!$A$2:$A$501,'02_固定地理'!E323)=0),"父级对象不存在；","")&amp;IF(AND('02_固定地理'!A323&lt;&gt;"",COUNTIF('02_固定地理'!$A$2:$A$501,'02_固定地理'!A323)&gt;1),"ID重复；",""),"")</f>
        <v/>
      </c>
      <c r="G323" s="14">
        <f>IF(F323&lt;&gt;"","按字段批注、数据字典和来源记录修正后复核","")</f>
        <v/>
      </c>
      <c r="H323" s="14">
        <f>IF(F323&lt;&gt;"","待处理","")</f>
        <v/>
      </c>
    </row>
    <row r="324">
      <c r="A324" s="14">
        <f>IF(F324&lt;&gt;"","ISSUE-"&amp;TEXT(ROW()-1,"00000"),"")</f>
        <v/>
      </c>
      <c r="B324" s="14">
        <f>IF(F324&lt;&gt;"","错误","")</f>
        <v/>
      </c>
      <c r="C324" s="14">
        <f>IF('02_固定地理'!A324&lt;&gt;"","02_固定地理","")</f>
        <v/>
      </c>
      <c r="D324" s="14">
        <f>IF('02_固定地理'!A324&lt;&gt;"",'02_固定地理'!A324,"")</f>
        <v/>
      </c>
      <c r="E324" s="14">
        <f>IF(F324&lt;&gt;"","综合校验","")</f>
        <v/>
      </c>
      <c r="F324" s="14">
        <f>IF('02_固定地理'!A324&lt;&gt;"",IF('02_固定地理'!A324="","缺少对象ID；","")&amp;IF('02_固定地理'!B324="","缺少中文名称；","")&amp;IF('02_固定地理'!D324="","缺少对象类型；","")&amp;IF(AND('02_固定地理'!F324&lt;&gt;"",OR('02_固定地理'!F324&lt;0,'02_固定地理'!F324&gt;WorldWidth)),"世界中心X越界；","")&amp;IF(AND('02_固定地理'!G324&lt;&gt;"",OR('02_固定地理'!G324&lt;0,'02_固定地理'!G324&gt;WorldHeight)),"世界中心Y越界；","")&amp;IF(AND('02_固定地理'!H324&lt;&gt;"",'02_固定地理'!J324&lt;&gt;"",'02_固定地理'!H324&gt;'02_固定地理'!J324),"最小X大于最大X；","")&amp;IF(AND('02_固定地理'!I324&lt;&gt;"",'02_固定地理'!K324&lt;&gt;"",'02_固定地理'!I324&gt;'02_固定地理'!K324),"最小Y大于最大Y；","")&amp;IF(AND('02_固定地理'!E324&lt;&gt;"",COUNTIF('02_固定地理'!$A$2:$A$501,'02_固定地理'!E324)=0),"父级对象不存在；","")&amp;IF(AND('02_固定地理'!A324&lt;&gt;"",COUNTIF('02_固定地理'!$A$2:$A$501,'02_固定地理'!A324)&gt;1),"ID重复；",""),"")</f>
        <v/>
      </c>
      <c r="G324" s="14">
        <f>IF(F324&lt;&gt;"","按字段批注、数据字典和来源记录修正后复核","")</f>
        <v/>
      </c>
      <c r="H324" s="14">
        <f>IF(F324&lt;&gt;"","待处理","")</f>
        <v/>
      </c>
    </row>
    <row r="325">
      <c r="A325" s="14">
        <f>IF(F325&lt;&gt;"","ISSUE-"&amp;TEXT(ROW()-1,"00000"),"")</f>
        <v/>
      </c>
      <c r="B325" s="14">
        <f>IF(F325&lt;&gt;"","错误","")</f>
        <v/>
      </c>
      <c r="C325" s="14">
        <f>IF('02_固定地理'!A325&lt;&gt;"","02_固定地理","")</f>
        <v/>
      </c>
      <c r="D325" s="14">
        <f>IF('02_固定地理'!A325&lt;&gt;"",'02_固定地理'!A325,"")</f>
        <v/>
      </c>
      <c r="E325" s="14">
        <f>IF(F325&lt;&gt;"","综合校验","")</f>
        <v/>
      </c>
      <c r="F325" s="14">
        <f>IF('02_固定地理'!A325&lt;&gt;"",IF('02_固定地理'!A325="","缺少对象ID；","")&amp;IF('02_固定地理'!B325="","缺少中文名称；","")&amp;IF('02_固定地理'!D325="","缺少对象类型；","")&amp;IF(AND('02_固定地理'!F325&lt;&gt;"",OR('02_固定地理'!F325&lt;0,'02_固定地理'!F325&gt;WorldWidth)),"世界中心X越界；","")&amp;IF(AND('02_固定地理'!G325&lt;&gt;"",OR('02_固定地理'!G325&lt;0,'02_固定地理'!G325&gt;WorldHeight)),"世界中心Y越界；","")&amp;IF(AND('02_固定地理'!H325&lt;&gt;"",'02_固定地理'!J325&lt;&gt;"",'02_固定地理'!H325&gt;'02_固定地理'!J325),"最小X大于最大X；","")&amp;IF(AND('02_固定地理'!I325&lt;&gt;"",'02_固定地理'!K325&lt;&gt;"",'02_固定地理'!I325&gt;'02_固定地理'!K325),"最小Y大于最大Y；","")&amp;IF(AND('02_固定地理'!E325&lt;&gt;"",COUNTIF('02_固定地理'!$A$2:$A$501,'02_固定地理'!E325)=0),"父级对象不存在；","")&amp;IF(AND('02_固定地理'!A325&lt;&gt;"",COUNTIF('02_固定地理'!$A$2:$A$501,'02_固定地理'!A325)&gt;1),"ID重复；",""),"")</f>
        <v/>
      </c>
      <c r="G325" s="14">
        <f>IF(F325&lt;&gt;"","按字段批注、数据字典和来源记录修正后复核","")</f>
        <v/>
      </c>
      <c r="H325" s="14">
        <f>IF(F325&lt;&gt;"","待处理","")</f>
        <v/>
      </c>
    </row>
    <row r="326">
      <c r="A326" s="14">
        <f>IF(F326&lt;&gt;"","ISSUE-"&amp;TEXT(ROW()-1,"00000"),"")</f>
        <v/>
      </c>
      <c r="B326" s="14">
        <f>IF(F326&lt;&gt;"","错误","")</f>
        <v/>
      </c>
      <c r="C326" s="14">
        <f>IF('02_固定地理'!A326&lt;&gt;"","02_固定地理","")</f>
        <v/>
      </c>
      <c r="D326" s="14">
        <f>IF('02_固定地理'!A326&lt;&gt;"",'02_固定地理'!A326,"")</f>
        <v/>
      </c>
      <c r="E326" s="14">
        <f>IF(F326&lt;&gt;"","综合校验","")</f>
        <v/>
      </c>
      <c r="F326" s="14">
        <f>IF('02_固定地理'!A326&lt;&gt;"",IF('02_固定地理'!A326="","缺少对象ID；","")&amp;IF('02_固定地理'!B326="","缺少中文名称；","")&amp;IF('02_固定地理'!D326="","缺少对象类型；","")&amp;IF(AND('02_固定地理'!F326&lt;&gt;"",OR('02_固定地理'!F326&lt;0,'02_固定地理'!F326&gt;WorldWidth)),"世界中心X越界；","")&amp;IF(AND('02_固定地理'!G326&lt;&gt;"",OR('02_固定地理'!G326&lt;0,'02_固定地理'!G326&gt;WorldHeight)),"世界中心Y越界；","")&amp;IF(AND('02_固定地理'!H326&lt;&gt;"",'02_固定地理'!J326&lt;&gt;"",'02_固定地理'!H326&gt;'02_固定地理'!J326),"最小X大于最大X；","")&amp;IF(AND('02_固定地理'!I326&lt;&gt;"",'02_固定地理'!K326&lt;&gt;"",'02_固定地理'!I326&gt;'02_固定地理'!K326),"最小Y大于最大Y；","")&amp;IF(AND('02_固定地理'!E326&lt;&gt;"",COUNTIF('02_固定地理'!$A$2:$A$501,'02_固定地理'!E326)=0),"父级对象不存在；","")&amp;IF(AND('02_固定地理'!A326&lt;&gt;"",COUNTIF('02_固定地理'!$A$2:$A$501,'02_固定地理'!A326)&gt;1),"ID重复；",""),"")</f>
        <v/>
      </c>
      <c r="G326" s="14">
        <f>IF(F326&lt;&gt;"","按字段批注、数据字典和来源记录修正后复核","")</f>
        <v/>
      </c>
      <c r="H326" s="14">
        <f>IF(F326&lt;&gt;"","待处理","")</f>
        <v/>
      </c>
    </row>
    <row r="327">
      <c r="A327" s="14">
        <f>IF(F327&lt;&gt;"","ISSUE-"&amp;TEXT(ROW()-1,"00000"),"")</f>
        <v/>
      </c>
      <c r="B327" s="14">
        <f>IF(F327&lt;&gt;"","错误","")</f>
        <v/>
      </c>
      <c r="C327" s="14">
        <f>IF('02_固定地理'!A327&lt;&gt;"","02_固定地理","")</f>
        <v/>
      </c>
      <c r="D327" s="14">
        <f>IF('02_固定地理'!A327&lt;&gt;"",'02_固定地理'!A327,"")</f>
        <v/>
      </c>
      <c r="E327" s="14">
        <f>IF(F327&lt;&gt;"","综合校验","")</f>
        <v/>
      </c>
      <c r="F327" s="14">
        <f>IF('02_固定地理'!A327&lt;&gt;"",IF('02_固定地理'!A327="","缺少对象ID；","")&amp;IF('02_固定地理'!B327="","缺少中文名称；","")&amp;IF('02_固定地理'!D327="","缺少对象类型；","")&amp;IF(AND('02_固定地理'!F327&lt;&gt;"",OR('02_固定地理'!F327&lt;0,'02_固定地理'!F327&gt;WorldWidth)),"世界中心X越界；","")&amp;IF(AND('02_固定地理'!G327&lt;&gt;"",OR('02_固定地理'!G327&lt;0,'02_固定地理'!G327&gt;WorldHeight)),"世界中心Y越界；","")&amp;IF(AND('02_固定地理'!H327&lt;&gt;"",'02_固定地理'!J327&lt;&gt;"",'02_固定地理'!H327&gt;'02_固定地理'!J327),"最小X大于最大X；","")&amp;IF(AND('02_固定地理'!I327&lt;&gt;"",'02_固定地理'!K327&lt;&gt;"",'02_固定地理'!I327&gt;'02_固定地理'!K327),"最小Y大于最大Y；","")&amp;IF(AND('02_固定地理'!E327&lt;&gt;"",COUNTIF('02_固定地理'!$A$2:$A$501,'02_固定地理'!E327)=0),"父级对象不存在；","")&amp;IF(AND('02_固定地理'!A327&lt;&gt;"",COUNTIF('02_固定地理'!$A$2:$A$501,'02_固定地理'!A327)&gt;1),"ID重复；",""),"")</f>
        <v/>
      </c>
      <c r="G327" s="14">
        <f>IF(F327&lt;&gt;"","按字段批注、数据字典和来源记录修正后复核","")</f>
        <v/>
      </c>
      <c r="H327" s="14">
        <f>IF(F327&lt;&gt;"","待处理","")</f>
        <v/>
      </c>
    </row>
    <row r="328">
      <c r="A328" s="14">
        <f>IF(F328&lt;&gt;"","ISSUE-"&amp;TEXT(ROW()-1,"00000"),"")</f>
        <v/>
      </c>
      <c r="B328" s="14">
        <f>IF(F328&lt;&gt;"","错误","")</f>
        <v/>
      </c>
      <c r="C328" s="14">
        <f>IF('02_固定地理'!A328&lt;&gt;"","02_固定地理","")</f>
        <v/>
      </c>
      <c r="D328" s="14">
        <f>IF('02_固定地理'!A328&lt;&gt;"",'02_固定地理'!A328,"")</f>
        <v/>
      </c>
      <c r="E328" s="14">
        <f>IF(F328&lt;&gt;"","综合校验","")</f>
        <v/>
      </c>
      <c r="F328" s="14">
        <f>IF('02_固定地理'!A328&lt;&gt;"",IF('02_固定地理'!A328="","缺少对象ID；","")&amp;IF('02_固定地理'!B328="","缺少中文名称；","")&amp;IF('02_固定地理'!D328="","缺少对象类型；","")&amp;IF(AND('02_固定地理'!F328&lt;&gt;"",OR('02_固定地理'!F328&lt;0,'02_固定地理'!F328&gt;WorldWidth)),"世界中心X越界；","")&amp;IF(AND('02_固定地理'!G328&lt;&gt;"",OR('02_固定地理'!G328&lt;0,'02_固定地理'!G328&gt;WorldHeight)),"世界中心Y越界；","")&amp;IF(AND('02_固定地理'!H328&lt;&gt;"",'02_固定地理'!J328&lt;&gt;"",'02_固定地理'!H328&gt;'02_固定地理'!J328),"最小X大于最大X；","")&amp;IF(AND('02_固定地理'!I328&lt;&gt;"",'02_固定地理'!K328&lt;&gt;"",'02_固定地理'!I328&gt;'02_固定地理'!K328),"最小Y大于最大Y；","")&amp;IF(AND('02_固定地理'!E328&lt;&gt;"",COUNTIF('02_固定地理'!$A$2:$A$501,'02_固定地理'!E328)=0),"父级对象不存在；","")&amp;IF(AND('02_固定地理'!A328&lt;&gt;"",COUNTIF('02_固定地理'!$A$2:$A$501,'02_固定地理'!A328)&gt;1),"ID重复；",""),"")</f>
        <v/>
      </c>
      <c r="G328" s="14">
        <f>IF(F328&lt;&gt;"","按字段批注、数据字典和来源记录修正后复核","")</f>
        <v/>
      </c>
      <c r="H328" s="14">
        <f>IF(F328&lt;&gt;"","待处理","")</f>
        <v/>
      </c>
    </row>
    <row r="329">
      <c r="A329" s="14">
        <f>IF(F329&lt;&gt;"","ISSUE-"&amp;TEXT(ROW()-1,"00000"),"")</f>
        <v/>
      </c>
      <c r="B329" s="14">
        <f>IF(F329&lt;&gt;"","错误","")</f>
        <v/>
      </c>
      <c r="C329" s="14">
        <f>IF('02_固定地理'!A329&lt;&gt;"","02_固定地理","")</f>
        <v/>
      </c>
      <c r="D329" s="14">
        <f>IF('02_固定地理'!A329&lt;&gt;"",'02_固定地理'!A329,"")</f>
        <v/>
      </c>
      <c r="E329" s="14">
        <f>IF(F329&lt;&gt;"","综合校验","")</f>
        <v/>
      </c>
      <c r="F329" s="14">
        <f>IF('02_固定地理'!A329&lt;&gt;"",IF('02_固定地理'!A329="","缺少对象ID；","")&amp;IF('02_固定地理'!B329="","缺少中文名称；","")&amp;IF('02_固定地理'!D329="","缺少对象类型；","")&amp;IF(AND('02_固定地理'!F329&lt;&gt;"",OR('02_固定地理'!F329&lt;0,'02_固定地理'!F329&gt;WorldWidth)),"世界中心X越界；","")&amp;IF(AND('02_固定地理'!G329&lt;&gt;"",OR('02_固定地理'!G329&lt;0,'02_固定地理'!G329&gt;WorldHeight)),"世界中心Y越界；","")&amp;IF(AND('02_固定地理'!H329&lt;&gt;"",'02_固定地理'!J329&lt;&gt;"",'02_固定地理'!H329&gt;'02_固定地理'!J329),"最小X大于最大X；","")&amp;IF(AND('02_固定地理'!I329&lt;&gt;"",'02_固定地理'!K329&lt;&gt;"",'02_固定地理'!I329&gt;'02_固定地理'!K329),"最小Y大于最大Y；","")&amp;IF(AND('02_固定地理'!E329&lt;&gt;"",COUNTIF('02_固定地理'!$A$2:$A$501,'02_固定地理'!E329)=0),"父级对象不存在；","")&amp;IF(AND('02_固定地理'!A329&lt;&gt;"",COUNTIF('02_固定地理'!$A$2:$A$501,'02_固定地理'!A329)&gt;1),"ID重复；",""),"")</f>
        <v/>
      </c>
      <c r="G329" s="14">
        <f>IF(F329&lt;&gt;"","按字段批注、数据字典和来源记录修正后复核","")</f>
        <v/>
      </c>
      <c r="H329" s="14">
        <f>IF(F329&lt;&gt;"","待处理","")</f>
        <v/>
      </c>
    </row>
    <row r="330">
      <c r="A330" s="14">
        <f>IF(F330&lt;&gt;"","ISSUE-"&amp;TEXT(ROW()-1,"00000"),"")</f>
        <v/>
      </c>
      <c r="B330" s="14">
        <f>IF(F330&lt;&gt;"","错误","")</f>
        <v/>
      </c>
      <c r="C330" s="14">
        <f>IF('02_固定地理'!A330&lt;&gt;"","02_固定地理","")</f>
        <v/>
      </c>
      <c r="D330" s="14">
        <f>IF('02_固定地理'!A330&lt;&gt;"",'02_固定地理'!A330,"")</f>
        <v/>
      </c>
      <c r="E330" s="14">
        <f>IF(F330&lt;&gt;"","综合校验","")</f>
        <v/>
      </c>
      <c r="F330" s="14">
        <f>IF('02_固定地理'!A330&lt;&gt;"",IF('02_固定地理'!A330="","缺少对象ID；","")&amp;IF('02_固定地理'!B330="","缺少中文名称；","")&amp;IF('02_固定地理'!D330="","缺少对象类型；","")&amp;IF(AND('02_固定地理'!F330&lt;&gt;"",OR('02_固定地理'!F330&lt;0,'02_固定地理'!F330&gt;WorldWidth)),"世界中心X越界；","")&amp;IF(AND('02_固定地理'!G330&lt;&gt;"",OR('02_固定地理'!G330&lt;0,'02_固定地理'!G330&gt;WorldHeight)),"世界中心Y越界；","")&amp;IF(AND('02_固定地理'!H330&lt;&gt;"",'02_固定地理'!J330&lt;&gt;"",'02_固定地理'!H330&gt;'02_固定地理'!J330),"最小X大于最大X；","")&amp;IF(AND('02_固定地理'!I330&lt;&gt;"",'02_固定地理'!K330&lt;&gt;"",'02_固定地理'!I330&gt;'02_固定地理'!K330),"最小Y大于最大Y；","")&amp;IF(AND('02_固定地理'!E330&lt;&gt;"",COUNTIF('02_固定地理'!$A$2:$A$501,'02_固定地理'!E330)=0),"父级对象不存在；","")&amp;IF(AND('02_固定地理'!A330&lt;&gt;"",COUNTIF('02_固定地理'!$A$2:$A$501,'02_固定地理'!A330)&gt;1),"ID重复；",""),"")</f>
        <v/>
      </c>
      <c r="G330" s="14">
        <f>IF(F330&lt;&gt;"","按字段批注、数据字典和来源记录修正后复核","")</f>
        <v/>
      </c>
      <c r="H330" s="14">
        <f>IF(F330&lt;&gt;"","待处理","")</f>
        <v/>
      </c>
    </row>
    <row r="331">
      <c r="A331" s="14">
        <f>IF(F331&lt;&gt;"","ISSUE-"&amp;TEXT(ROW()-1,"00000"),"")</f>
        <v/>
      </c>
      <c r="B331" s="14">
        <f>IF(F331&lt;&gt;"","错误","")</f>
        <v/>
      </c>
      <c r="C331" s="14">
        <f>IF('02_固定地理'!A331&lt;&gt;"","02_固定地理","")</f>
        <v/>
      </c>
      <c r="D331" s="14">
        <f>IF('02_固定地理'!A331&lt;&gt;"",'02_固定地理'!A331,"")</f>
        <v/>
      </c>
      <c r="E331" s="14">
        <f>IF(F331&lt;&gt;"","综合校验","")</f>
        <v/>
      </c>
      <c r="F331" s="14">
        <f>IF('02_固定地理'!A331&lt;&gt;"",IF('02_固定地理'!A331="","缺少对象ID；","")&amp;IF('02_固定地理'!B331="","缺少中文名称；","")&amp;IF('02_固定地理'!D331="","缺少对象类型；","")&amp;IF(AND('02_固定地理'!F331&lt;&gt;"",OR('02_固定地理'!F331&lt;0,'02_固定地理'!F331&gt;WorldWidth)),"世界中心X越界；","")&amp;IF(AND('02_固定地理'!G331&lt;&gt;"",OR('02_固定地理'!G331&lt;0,'02_固定地理'!G331&gt;WorldHeight)),"世界中心Y越界；","")&amp;IF(AND('02_固定地理'!H331&lt;&gt;"",'02_固定地理'!J331&lt;&gt;"",'02_固定地理'!H331&gt;'02_固定地理'!J331),"最小X大于最大X；","")&amp;IF(AND('02_固定地理'!I331&lt;&gt;"",'02_固定地理'!K331&lt;&gt;"",'02_固定地理'!I331&gt;'02_固定地理'!K331),"最小Y大于最大Y；","")&amp;IF(AND('02_固定地理'!E331&lt;&gt;"",COUNTIF('02_固定地理'!$A$2:$A$501,'02_固定地理'!E331)=0),"父级对象不存在；","")&amp;IF(AND('02_固定地理'!A331&lt;&gt;"",COUNTIF('02_固定地理'!$A$2:$A$501,'02_固定地理'!A331)&gt;1),"ID重复；",""),"")</f>
        <v/>
      </c>
      <c r="G331" s="14">
        <f>IF(F331&lt;&gt;"","按字段批注、数据字典和来源记录修正后复核","")</f>
        <v/>
      </c>
      <c r="H331" s="14">
        <f>IF(F331&lt;&gt;"","待处理","")</f>
        <v/>
      </c>
    </row>
    <row r="332">
      <c r="A332" s="14">
        <f>IF(F332&lt;&gt;"","ISSUE-"&amp;TEXT(ROW()-1,"00000"),"")</f>
        <v/>
      </c>
      <c r="B332" s="14">
        <f>IF(F332&lt;&gt;"","错误","")</f>
        <v/>
      </c>
      <c r="C332" s="14">
        <f>IF('02_固定地理'!A332&lt;&gt;"","02_固定地理","")</f>
        <v/>
      </c>
      <c r="D332" s="14">
        <f>IF('02_固定地理'!A332&lt;&gt;"",'02_固定地理'!A332,"")</f>
        <v/>
      </c>
      <c r="E332" s="14">
        <f>IF(F332&lt;&gt;"","综合校验","")</f>
        <v/>
      </c>
      <c r="F332" s="14">
        <f>IF('02_固定地理'!A332&lt;&gt;"",IF('02_固定地理'!A332="","缺少对象ID；","")&amp;IF('02_固定地理'!B332="","缺少中文名称；","")&amp;IF('02_固定地理'!D332="","缺少对象类型；","")&amp;IF(AND('02_固定地理'!F332&lt;&gt;"",OR('02_固定地理'!F332&lt;0,'02_固定地理'!F332&gt;WorldWidth)),"世界中心X越界；","")&amp;IF(AND('02_固定地理'!G332&lt;&gt;"",OR('02_固定地理'!G332&lt;0,'02_固定地理'!G332&gt;WorldHeight)),"世界中心Y越界；","")&amp;IF(AND('02_固定地理'!H332&lt;&gt;"",'02_固定地理'!J332&lt;&gt;"",'02_固定地理'!H332&gt;'02_固定地理'!J332),"最小X大于最大X；","")&amp;IF(AND('02_固定地理'!I332&lt;&gt;"",'02_固定地理'!K332&lt;&gt;"",'02_固定地理'!I332&gt;'02_固定地理'!K332),"最小Y大于最大Y；","")&amp;IF(AND('02_固定地理'!E332&lt;&gt;"",COUNTIF('02_固定地理'!$A$2:$A$501,'02_固定地理'!E332)=0),"父级对象不存在；","")&amp;IF(AND('02_固定地理'!A332&lt;&gt;"",COUNTIF('02_固定地理'!$A$2:$A$501,'02_固定地理'!A332)&gt;1),"ID重复；",""),"")</f>
        <v/>
      </c>
      <c r="G332" s="14">
        <f>IF(F332&lt;&gt;"","按字段批注、数据字典和来源记录修正后复核","")</f>
        <v/>
      </c>
      <c r="H332" s="14">
        <f>IF(F332&lt;&gt;"","待处理","")</f>
        <v/>
      </c>
    </row>
    <row r="333">
      <c r="A333" s="14">
        <f>IF(F333&lt;&gt;"","ISSUE-"&amp;TEXT(ROW()-1,"00000"),"")</f>
        <v/>
      </c>
      <c r="B333" s="14">
        <f>IF(F333&lt;&gt;"","错误","")</f>
        <v/>
      </c>
      <c r="C333" s="14">
        <f>IF('02_固定地理'!A333&lt;&gt;"","02_固定地理","")</f>
        <v/>
      </c>
      <c r="D333" s="14">
        <f>IF('02_固定地理'!A333&lt;&gt;"",'02_固定地理'!A333,"")</f>
        <v/>
      </c>
      <c r="E333" s="14">
        <f>IF(F333&lt;&gt;"","综合校验","")</f>
        <v/>
      </c>
      <c r="F333" s="14">
        <f>IF('02_固定地理'!A333&lt;&gt;"",IF('02_固定地理'!A333="","缺少对象ID；","")&amp;IF('02_固定地理'!B333="","缺少中文名称；","")&amp;IF('02_固定地理'!D333="","缺少对象类型；","")&amp;IF(AND('02_固定地理'!F333&lt;&gt;"",OR('02_固定地理'!F333&lt;0,'02_固定地理'!F333&gt;WorldWidth)),"世界中心X越界；","")&amp;IF(AND('02_固定地理'!G333&lt;&gt;"",OR('02_固定地理'!G333&lt;0,'02_固定地理'!G333&gt;WorldHeight)),"世界中心Y越界；","")&amp;IF(AND('02_固定地理'!H333&lt;&gt;"",'02_固定地理'!J333&lt;&gt;"",'02_固定地理'!H333&gt;'02_固定地理'!J333),"最小X大于最大X；","")&amp;IF(AND('02_固定地理'!I333&lt;&gt;"",'02_固定地理'!K333&lt;&gt;"",'02_固定地理'!I333&gt;'02_固定地理'!K333),"最小Y大于最大Y；","")&amp;IF(AND('02_固定地理'!E333&lt;&gt;"",COUNTIF('02_固定地理'!$A$2:$A$501,'02_固定地理'!E333)=0),"父级对象不存在；","")&amp;IF(AND('02_固定地理'!A333&lt;&gt;"",COUNTIF('02_固定地理'!$A$2:$A$501,'02_固定地理'!A333)&gt;1),"ID重复；",""),"")</f>
        <v/>
      </c>
      <c r="G333" s="14">
        <f>IF(F333&lt;&gt;"","按字段批注、数据字典和来源记录修正后复核","")</f>
        <v/>
      </c>
      <c r="H333" s="14">
        <f>IF(F333&lt;&gt;"","待处理","")</f>
        <v/>
      </c>
    </row>
    <row r="334">
      <c r="A334" s="14">
        <f>IF(F334&lt;&gt;"","ISSUE-"&amp;TEXT(ROW()-1,"00000"),"")</f>
        <v/>
      </c>
      <c r="B334" s="14">
        <f>IF(F334&lt;&gt;"","错误","")</f>
        <v/>
      </c>
      <c r="C334" s="14">
        <f>IF('02_固定地理'!A334&lt;&gt;"","02_固定地理","")</f>
        <v/>
      </c>
      <c r="D334" s="14">
        <f>IF('02_固定地理'!A334&lt;&gt;"",'02_固定地理'!A334,"")</f>
        <v/>
      </c>
      <c r="E334" s="14">
        <f>IF(F334&lt;&gt;"","综合校验","")</f>
        <v/>
      </c>
      <c r="F334" s="14">
        <f>IF('02_固定地理'!A334&lt;&gt;"",IF('02_固定地理'!A334="","缺少对象ID；","")&amp;IF('02_固定地理'!B334="","缺少中文名称；","")&amp;IF('02_固定地理'!D334="","缺少对象类型；","")&amp;IF(AND('02_固定地理'!F334&lt;&gt;"",OR('02_固定地理'!F334&lt;0,'02_固定地理'!F334&gt;WorldWidth)),"世界中心X越界；","")&amp;IF(AND('02_固定地理'!G334&lt;&gt;"",OR('02_固定地理'!G334&lt;0,'02_固定地理'!G334&gt;WorldHeight)),"世界中心Y越界；","")&amp;IF(AND('02_固定地理'!H334&lt;&gt;"",'02_固定地理'!J334&lt;&gt;"",'02_固定地理'!H334&gt;'02_固定地理'!J334),"最小X大于最大X；","")&amp;IF(AND('02_固定地理'!I334&lt;&gt;"",'02_固定地理'!K334&lt;&gt;"",'02_固定地理'!I334&gt;'02_固定地理'!K334),"最小Y大于最大Y；","")&amp;IF(AND('02_固定地理'!E334&lt;&gt;"",COUNTIF('02_固定地理'!$A$2:$A$501,'02_固定地理'!E334)=0),"父级对象不存在；","")&amp;IF(AND('02_固定地理'!A334&lt;&gt;"",COUNTIF('02_固定地理'!$A$2:$A$501,'02_固定地理'!A334)&gt;1),"ID重复；",""),"")</f>
        <v/>
      </c>
      <c r="G334" s="14">
        <f>IF(F334&lt;&gt;"","按字段批注、数据字典和来源记录修正后复核","")</f>
        <v/>
      </c>
      <c r="H334" s="14">
        <f>IF(F334&lt;&gt;"","待处理","")</f>
        <v/>
      </c>
    </row>
    <row r="335">
      <c r="A335" s="14">
        <f>IF(F335&lt;&gt;"","ISSUE-"&amp;TEXT(ROW()-1,"00000"),"")</f>
        <v/>
      </c>
      <c r="B335" s="14">
        <f>IF(F335&lt;&gt;"","错误","")</f>
        <v/>
      </c>
      <c r="C335" s="14">
        <f>IF('02_固定地理'!A335&lt;&gt;"","02_固定地理","")</f>
        <v/>
      </c>
      <c r="D335" s="14">
        <f>IF('02_固定地理'!A335&lt;&gt;"",'02_固定地理'!A335,"")</f>
        <v/>
      </c>
      <c r="E335" s="14">
        <f>IF(F335&lt;&gt;"","综合校验","")</f>
        <v/>
      </c>
      <c r="F335" s="14">
        <f>IF('02_固定地理'!A335&lt;&gt;"",IF('02_固定地理'!A335="","缺少对象ID；","")&amp;IF('02_固定地理'!B335="","缺少中文名称；","")&amp;IF('02_固定地理'!D335="","缺少对象类型；","")&amp;IF(AND('02_固定地理'!F335&lt;&gt;"",OR('02_固定地理'!F335&lt;0,'02_固定地理'!F335&gt;WorldWidth)),"世界中心X越界；","")&amp;IF(AND('02_固定地理'!G335&lt;&gt;"",OR('02_固定地理'!G335&lt;0,'02_固定地理'!G335&gt;WorldHeight)),"世界中心Y越界；","")&amp;IF(AND('02_固定地理'!H335&lt;&gt;"",'02_固定地理'!J335&lt;&gt;"",'02_固定地理'!H335&gt;'02_固定地理'!J335),"最小X大于最大X；","")&amp;IF(AND('02_固定地理'!I335&lt;&gt;"",'02_固定地理'!K335&lt;&gt;"",'02_固定地理'!I335&gt;'02_固定地理'!K335),"最小Y大于最大Y；","")&amp;IF(AND('02_固定地理'!E335&lt;&gt;"",COUNTIF('02_固定地理'!$A$2:$A$501,'02_固定地理'!E335)=0),"父级对象不存在；","")&amp;IF(AND('02_固定地理'!A335&lt;&gt;"",COUNTIF('02_固定地理'!$A$2:$A$501,'02_固定地理'!A335)&gt;1),"ID重复；",""),"")</f>
        <v/>
      </c>
      <c r="G335" s="14">
        <f>IF(F335&lt;&gt;"","按字段批注、数据字典和来源记录修正后复核","")</f>
        <v/>
      </c>
      <c r="H335" s="14">
        <f>IF(F335&lt;&gt;"","待处理","")</f>
        <v/>
      </c>
    </row>
    <row r="336">
      <c r="A336" s="14">
        <f>IF(F336&lt;&gt;"","ISSUE-"&amp;TEXT(ROW()-1,"00000"),"")</f>
        <v/>
      </c>
      <c r="B336" s="14">
        <f>IF(F336&lt;&gt;"","错误","")</f>
        <v/>
      </c>
      <c r="C336" s="14">
        <f>IF('02_固定地理'!A336&lt;&gt;"","02_固定地理","")</f>
        <v/>
      </c>
      <c r="D336" s="14">
        <f>IF('02_固定地理'!A336&lt;&gt;"",'02_固定地理'!A336,"")</f>
        <v/>
      </c>
      <c r="E336" s="14">
        <f>IF(F336&lt;&gt;"","综合校验","")</f>
        <v/>
      </c>
      <c r="F336" s="14">
        <f>IF('02_固定地理'!A336&lt;&gt;"",IF('02_固定地理'!A336="","缺少对象ID；","")&amp;IF('02_固定地理'!B336="","缺少中文名称；","")&amp;IF('02_固定地理'!D336="","缺少对象类型；","")&amp;IF(AND('02_固定地理'!F336&lt;&gt;"",OR('02_固定地理'!F336&lt;0,'02_固定地理'!F336&gt;WorldWidth)),"世界中心X越界；","")&amp;IF(AND('02_固定地理'!G336&lt;&gt;"",OR('02_固定地理'!G336&lt;0,'02_固定地理'!G336&gt;WorldHeight)),"世界中心Y越界；","")&amp;IF(AND('02_固定地理'!H336&lt;&gt;"",'02_固定地理'!J336&lt;&gt;"",'02_固定地理'!H336&gt;'02_固定地理'!J336),"最小X大于最大X；","")&amp;IF(AND('02_固定地理'!I336&lt;&gt;"",'02_固定地理'!K336&lt;&gt;"",'02_固定地理'!I336&gt;'02_固定地理'!K336),"最小Y大于最大Y；","")&amp;IF(AND('02_固定地理'!E336&lt;&gt;"",COUNTIF('02_固定地理'!$A$2:$A$501,'02_固定地理'!E336)=0),"父级对象不存在；","")&amp;IF(AND('02_固定地理'!A336&lt;&gt;"",COUNTIF('02_固定地理'!$A$2:$A$501,'02_固定地理'!A336)&gt;1),"ID重复；",""),"")</f>
        <v/>
      </c>
      <c r="G336" s="14">
        <f>IF(F336&lt;&gt;"","按字段批注、数据字典和来源记录修正后复核","")</f>
        <v/>
      </c>
      <c r="H336" s="14">
        <f>IF(F336&lt;&gt;"","待处理","")</f>
        <v/>
      </c>
    </row>
    <row r="337">
      <c r="A337" s="14">
        <f>IF(F337&lt;&gt;"","ISSUE-"&amp;TEXT(ROW()-1,"00000"),"")</f>
        <v/>
      </c>
      <c r="B337" s="14">
        <f>IF(F337&lt;&gt;"","错误","")</f>
        <v/>
      </c>
      <c r="C337" s="14">
        <f>IF('02_固定地理'!A337&lt;&gt;"","02_固定地理","")</f>
        <v/>
      </c>
      <c r="D337" s="14">
        <f>IF('02_固定地理'!A337&lt;&gt;"",'02_固定地理'!A337,"")</f>
        <v/>
      </c>
      <c r="E337" s="14">
        <f>IF(F337&lt;&gt;"","综合校验","")</f>
        <v/>
      </c>
      <c r="F337" s="14">
        <f>IF('02_固定地理'!A337&lt;&gt;"",IF('02_固定地理'!A337="","缺少对象ID；","")&amp;IF('02_固定地理'!B337="","缺少中文名称；","")&amp;IF('02_固定地理'!D337="","缺少对象类型；","")&amp;IF(AND('02_固定地理'!F337&lt;&gt;"",OR('02_固定地理'!F337&lt;0,'02_固定地理'!F337&gt;WorldWidth)),"世界中心X越界；","")&amp;IF(AND('02_固定地理'!G337&lt;&gt;"",OR('02_固定地理'!G337&lt;0,'02_固定地理'!G337&gt;WorldHeight)),"世界中心Y越界；","")&amp;IF(AND('02_固定地理'!H337&lt;&gt;"",'02_固定地理'!J337&lt;&gt;"",'02_固定地理'!H337&gt;'02_固定地理'!J337),"最小X大于最大X；","")&amp;IF(AND('02_固定地理'!I337&lt;&gt;"",'02_固定地理'!K337&lt;&gt;"",'02_固定地理'!I337&gt;'02_固定地理'!K337),"最小Y大于最大Y；","")&amp;IF(AND('02_固定地理'!E337&lt;&gt;"",COUNTIF('02_固定地理'!$A$2:$A$501,'02_固定地理'!E337)=0),"父级对象不存在；","")&amp;IF(AND('02_固定地理'!A337&lt;&gt;"",COUNTIF('02_固定地理'!$A$2:$A$501,'02_固定地理'!A337)&gt;1),"ID重复；",""),"")</f>
        <v/>
      </c>
      <c r="G337" s="14">
        <f>IF(F337&lt;&gt;"","按字段批注、数据字典和来源记录修正后复核","")</f>
        <v/>
      </c>
      <c r="H337" s="14">
        <f>IF(F337&lt;&gt;"","待处理","")</f>
        <v/>
      </c>
    </row>
    <row r="338">
      <c r="A338" s="14">
        <f>IF(F338&lt;&gt;"","ISSUE-"&amp;TEXT(ROW()-1,"00000"),"")</f>
        <v/>
      </c>
      <c r="B338" s="14">
        <f>IF(F338&lt;&gt;"","错误","")</f>
        <v/>
      </c>
      <c r="C338" s="14">
        <f>IF('02_固定地理'!A338&lt;&gt;"","02_固定地理","")</f>
        <v/>
      </c>
      <c r="D338" s="14">
        <f>IF('02_固定地理'!A338&lt;&gt;"",'02_固定地理'!A338,"")</f>
        <v/>
      </c>
      <c r="E338" s="14">
        <f>IF(F338&lt;&gt;"","综合校验","")</f>
        <v/>
      </c>
      <c r="F338" s="14">
        <f>IF('02_固定地理'!A338&lt;&gt;"",IF('02_固定地理'!A338="","缺少对象ID；","")&amp;IF('02_固定地理'!B338="","缺少中文名称；","")&amp;IF('02_固定地理'!D338="","缺少对象类型；","")&amp;IF(AND('02_固定地理'!F338&lt;&gt;"",OR('02_固定地理'!F338&lt;0,'02_固定地理'!F338&gt;WorldWidth)),"世界中心X越界；","")&amp;IF(AND('02_固定地理'!G338&lt;&gt;"",OR('02_固定地理'!G338&lt;0,'02_固定地理'!G338&gt;WorldHeight)),"世界中心Y越界；","")&amp;IF(AND('02_固定地理'!H338&lt;&gt;"",'02_固定地理'!J338&lt;&gt;"",'02_固定地理'!H338&gt;'02_固定地理'!J338),"最小X大于最大X；","")&amp;IF(AND('02_固定地理'!I338&lt;&gt;"",'02_固定地理'!K338&lt;&gt;"",'02_固定地理'!I338&gt;'02_固定地理'!K338),"最小Y大于最大Y；","")&amp;IF(AND('02_固定地理'!E338&lt;&gt;"",COUNTIF('02_固定地理'!$A$2:$A$501,'02_固定地理'!E338)=0),"父级对象不存在；","")&amp;IF(AND('02_固定地理'!A338&lt;&gt;"",COUNTIF('02_固定地理'!$A$2:$A$501,'02_固定地理'!A338)&gt;1),"ID重复；",""),"")</f>
        <v/>
      </c>
      <c r="G338" s="14">
        <f>IF(F338&lt;&gt;"","按字段批注、数据字典和来源记录修正后复核","")</f>
        <v/>
      </c>
      <c r="H338" s="14">
        <f>IF(F338&lt;&gt;"","待处理","")</f>
        <v/>
      </c>
    </row>
    <row r="339">
      <c r="A339" s="14">
        <f>IF(F339&lt;&gt;"","ISSUE-"&amp;TEXT(ROW()-1,"00000"),"")</f>
        <v/>
      </c>
      <c r="B339" s="14">
        <f>IF(F339&lt;&gt;"","错误","")</f>
        <v/>
      </c>
      <c r="C339" s="14">
        <f>IF('02_固定地理'!A339&lt;&gt;"","02_固定地理","")</f>
        <v/>
      </c>
      <c r="D339" s="14">
        <f>IF('02_固定地理'!A339&lt;&gt;"",'02_固定地理'!A339,"")</f>
        <v/>
      </c>
      <c r="E339" s="14">
        <f>IF(F339&lt;&gt;"","综合校验","")</f>
        <v/>
      </c>
      <c r="F339" s="14">
        <f>IF('02_固定地理'!A339&lt;&gt;"",IF('02_固定地理'!A339="","缺少对象ID；","")&amp;IF('02_固定地理'!B339="","缺少中文名称；","")&amp;IF('02_固定地理'!D339="","缺少对象类型；","")&amp;IF(AND('02_固定地理'!F339&lt;&gt;"",OR('02_固定地理'!F339&lt;0,'02_固定地理'!F339&gt;WorldWidth)),"世界中心X越界；","")&amp;IF(AND('02_固定地理'!G339&lt;&gt;"",OR('02_固定地理'!G339&lt;0,'02_固定地理'!G339&gt;WorldHeight)),"世界中心Y越界；","")&amp;IF(AND('02_固定地理'!H339&lt;&gt;"",'02_固定地理'!J339&lt;&gt;"",'02_固定地理'!H339&gt;'02_固定地理'!J339),"最小X大于最大X；","")&amp;IF(AND('02_固定地理'!I339&lt;&gt;"",'02_固定地理'!K339&lt;&gt;"",'02_固定地理'!I339&gt;'02_固定地理'!K339),"最小Y大于最大Y；","")&amp;IF(AND('02_固定地理'!E339&lt;&gt;"",COUNTIF('02_固定地理'!$A$2:$A$501,'02_固定地理'!E339)=0),"父级对象不存在；","")&amp;IF(AND('02_固定地理'!A339&lt;&gt;"",COUNTIF('02_固定地理'!$A$2:$A$501,'02_固定地理'!A339)&gt;1),"ID重复；",""),"")</f>
        <v/>
      </c>
      <c r="G339" s="14">
        <f>IF(F339&lt;&gt;"","按字段批注、数据字典和来源记录修正后复核","")</f>
        <v/>
      </c>
      <c r="H339" s="14">
        <f>IF(F339&lt;&gt;"","待处理","")</f>
        <v/>
      </c>
    </row>
    <row r="340">
      <c r="A340" s="14">
        <f>IF(F340&lt;&gt;"","ISSUE-"&amp;TEXT(ROW()-1,"00000"),"")</f>
        <v/>
      </c>
      <c r="B340" s="14">
        <f>IF(F340&lt;&gt;"","错误","")</f>
        <v/>
      </c>
      <c r="C340" s="14">
        <f>IF('02_固定地理'!A340&lt;&gt;"","02_固定地理","")</f>
        <v/>
      </c>
      <c r="D340" s="14">
        <f>IF('02_固定地理'!A340&lt;&gt;"",'02_固定地理'!A340,"")</f>
        <v/>
      </c>
      <c r="E340" s="14">
        <f>IF(F340&lt;&gt;"","综合校验","")</f>
        <v/>
      </c>
      <c r="F340" s="14">
        <f>IF('02_固定地理'!A340&lt;&gt;"",IF('02_固定地理'!A340="","缺少对象ID；","")&amp;IF('02_固定地理'!B340="","缺少中文名称；","")&amp;IF('02_固定地理'!D340="","缺少对象类型；","")&amp;IF(AND('02_固定地理'!F340&lt;&gt;"",OR('02_固定地理'!F340&lt;0,'02_固定地理'!F340&gt;WorldWidth)),"世界中心X越界；","")&amp;IF(AND('02_固定地理'!G340&lt;&gt;"",OR('02_固定地理'!G340&lt;0,'02_固定地理'!G340&gt;WorldHeight)),"世界中心Y越界；","")&amp;IF(AND('02_固定地理'!H340&lt;&gt;"",'02_固定地理'!J340&lt;&gt;"",'02_固定地理'!H340&gt;'02_固定地理'!J340),"最小X大于最大X；","")&amp;IF(AND('02_固定地理'!I340&lt;&gt;"",'02_固定地理'!K340&lt;&gt;"",'02_固定地理'!I340&gt;'02_固定地理'!K340),"最小Y大于最大Y；","")&amp;IF(AND('02_固定地理'!E340&lt;&gt;"",COUNTIF('02_固定地理'!$A$2:$A$501,'02_固定地理'!E340)=0),"父级对象不存在；","")&amp;IF(AND('02_固定地理'!A340&lt;&gt;"",COUNTIF('02_固定地理'!$A$2:$A$501,'02_固定地理'!A340)&gt;1),"ID重复；",""),"")</f>
        <v/>
      </c>
      <c r="G340" s="14">
        <f>IF(F340&lt;&gt;"","按字段批注、数据字典和来源记录修正后复核","")</f>
        <v/>
      </c>
      <c r="H340" s="14">
        <f>IF(F340&lt;&gt;"","待处理","")</f>
        <v/>
      </c>
    </row>
    <row r="341">
      <c r="A341" s="14">
        <f>IF(F341&lt;&gt;"","ISSUE-"&amp;TEXT(ROW()-1,"00000"),"")</f>
        <v/>
      </c>
      <c r="B341" s="14">
        <f>IF(F341&lt;&gt;"","错误","")</f>
        <v/>
      </c>
      <c r="C341" s="14">
        <f>IF('02_固定地理'!A341&lt;&gt;"","02_固定地理","")</f>
        <v/>
      </c>
      <c r="D341" s="14">
        <f>IF('02_固定地理'!A341&lt;&gt;"",'02_固定地理'!A341,"")</f>
        <v/>
      </c>
      <c r="E341" s="14">
        <f>IF(F341&lt;&gt;"","综合校验","")</f>
        <v/>
      </c>
      <c r="F341" s="14">
        <f>IF('02_固定地理'!A341&lt;&gt;"",IF('02_固定地理'!A341="","缺少对象ID；","")&amp;IF('02_固定地理'!B341="","缺少中文名称；","")&amp;IF('02_固定地理'!D341="","缺少对象类型；","")&amp;IF(AND('02_固定地理'!F341&lt;&gt;"",OR('02_固定地理'!F341&lt;0,'02_固定地理'!F341&gt;WorldWidth)),"世界中心X越界；","")&amp;IF(AND('02_固定地理'!G341&lt;&gt;"",OR('02_固定地理'!G341&lt;0,'02_固定地理'!G341&gt;WorldHeight)),"世界中心Y越界；","")&amp;IF(AND('02_固定地理'!H341&lt;&gt;"",'02_固定地理'!J341&lt;&gt;"",'02_固定地理'!H341&gt;'02_固定地理'!J341),"最小X大于最大X；","")&amp;IF(AND('02_固定地理'!I341&lt;&gt;"",'02_固定地理'!K341&lt;&gt;"",'02_固定地理'!I341&gt;'02_固定地理'!K341),"最小Y大于最大Y；","")&amp;IF(AND('02_固定地理'!E341&lt;&gt;"",COUNTIF('02_固定地理'!$A$2:$A$501,'02_固定地理'!E341)=0),"父级对象不存在；","")&amp;IF(AND('02_固定地理'!A341&lt;&gt;"",COUNTIF('02_固定地理'!$A$2:$A$501,'02_固定地理'!A341)&gt;1),"ID重复；",""),"")</f>
        <v/>
      </c>
      <c r="G341" s="14">
        <f>IF(F341&lt;&gt;"","按字段批注、数据字典和来源记录修正后复核","")</f>
        <v/>
      </c>
      <c r="H341" s="14">
        <f>IF(F341&lt;&gt;"","待处理","")</f>
        <v/>
      </c>
    </row>
    <row r="342">
      <c r="A342" s="14">
        <f>IF(F342&lt;&gt;"","ISSUE-"&amp;TEXT(ROW()-1,"00000"),"")</f>
        <v/>
      </c>
      <c r="B342" s="14">
        <f>IF(F342&lt;&gt;"","错误","")</f>
        <v/>
      </c>
      <c r="C342" s="14">
        <f>IF('02_固定地理'!A342&lt;&gt;"","02_固定地理","")</f>
        <v/>
      </c>
      <c r="D342" s="14">
        <f>IF('02_固定地理'!A342&lt;&gt;"",'02_固定地理'!A342,"")</f>
        <v/>
      </c>
      <c r="E342" s="14">
        <f>IF(F342&lt;&gt;"","综合校验","")</f>
        <v/>
      </c>
      <c r="F342" s="14">
        <f>IF('02_固定地理'!A342&lt;&gt;"",IF('02_固定地理'!A342="","缺少对象ID；","")&amp;IF('02_固定地理'!B342="","缺少中文名称；","")&amp;IF('02_固定地理'!D342="","缺少对象类型；","")&amp;IF(AND('02_固定地理'!F342&lt;&gt;"",OR('02_固定地理'!F342&lt;0,'02_固定地理'!F342&gt;WorldWidth)),"世界中心X越界；","")&amp;IF(AND('02_固定地理'!G342&lt;&gt;"",OR('02_固定地理'!G342&lt;0,'02_固定地理'!G342&gt;WorldHeight)),"世界中心Y越界；","")&amp;IF(AND('02_固定地理'!H342&lt;&gt;"",'02_固定地理'!J342&lt;&gt;"",'02_固定地理'!H342&gt;'02_固定地理'!J342),"最小X大于最大X；","")&amp;IF(AND('02_固定地理'!I342&lt;&gt;"",'02_固定地理'!K342&lt;&gt;"",'02_固定地理'!I342&gt;'02_固定地理'!K342),"最小Y大于最大Y；","")&amp;IF(AND('02_固定地理'!E342&lt;&gt;"",COUNTIF('02_固定地理'!$A$2:$A$501,'02_固定地理'!E342)=0),"父级对象不存在；","")&amp;IF(AND('02_固定地理'!A342&lt;&gt;"",COUNTIF('02_固定地理'!$A$2:$A$501,'02_固定地理'!A342)&gt;1),"ID重复；",""),"")</f>
        <v/>
      </c>
      <c r="G342" s="14">
        <f>IF(F342&lt;&gt;"","按字段批注、数据字典和来源记录修正后复核","")</f>
        <v/>
      </c>
      <c r="H342" s="14">
        <f>IF(F342&lt;&gt;"","待处理","")</f>
        <v/>
      </c>
    </row>
    <row r="343">
      <c r="A343" s="14">
        <f>IF(F343&lt;&gt;"","ISSUE-"&amp;TEXT(ROW()-1,"00000"),"")</f>
        <v/>
      </c>
      <c r="B343" s="14">
        <f>IF(F343&lt;&gt;"","错误","")</f>
        <v/>
      </c>
      <c r="C343" s="14">
        <f>IF('02_固定地理'!A343&lt;&gt;"","02_固定地理","")</f>
        <v/>
      </c>
      <c r="D343" s="14">
        <f>IF('02_固定地理'!A343&lt;&gt;"",'02_固定地理'!A343,"")</f>
        <v/>
      </c>
      <c r="E343" s="14">
        <f>IF(F343&lt;&gt;"","综合校验","")</f>
        <v/>
      </c>
      <c r="F343" s="14">
        <f>IF('02_固定地理'!A343&lt;&gt;"",IF('02_固定地理'!A343="","缺少对象ID；","")&amp;IF('02_固定地理'!B343="","缺少中文名称；","")&amp;IF('02_固定地理'!D343="","缺少对象类型；","")&amp;IF(AND('02_固定地理'!F343&lt;&gt;"",OR('02_固定地理'!F343&lt;0,'02_固定地理'!F343&gt;WorldWidth)),"世界中心X越界；","")&amp;IF(AND('02_固定地理'!G343&lt;&gt;"",OR('02_固定地理'!G343&lt;0,'02_固定地理'!G343&gt;WorldHeight)),"世界中心Y越界；","")&amp;IF(AND('02_固定地理'!H343&lt;&gt;"",'02_固定地理'!J343&lt;&gt;"",'02_固定地理'!H343&gt;'02_固定地理'!J343),"最小X大于最大X；","")&amp;IF(AND('02_固定地理'!I343&lt;&gt;"",'02_固定地理'!K343&lt;&gt;"",'02_固定地理'!I343&gt;'02_固定地理'!K343),"最小Y大于最大Y；","")&amp;IF(AND('02_固定地理'!E343&lt;&gt;"",COUNTIF('02_固定地理'!$A$2:$A$501,'02_固定地理'!E343)=0),"父级对象不存在；","")&amp;IF(AND('02_固定地理'!A343&lt;&gt;"",COUNTIF('02_固定地理'!$A$2:$A$501,'02_固定地理'!A343)&gt;1),"ID重复；",""),"")</f>
        <v/>
      </c>
      <c r="G343" s="14">
        <f>IF(F343&lt;&gt;"","按字段批注、数据字典和来源记录修正后复核","")</f>
        <v/>
      </c>
      <c r="H343" s="14">
        <f>IF(F343&lt;&gt;"","待处理","")</f>
        <v/>
      </c>
    </row>
    <row r="344">
      <c r="A344" s="14">
        <f>IF(F344&lt;&gt;"","ISSUE-"&amp;TEXT(ROW()-1,"00000"),"")</f>
        <v/>
      </c>
      <c r="B344" s="14">
        <f>IF(F344&lt;&gt;"","错误","")</f>
        <v/>
      </c>
      <c r="C344" s="14">
        <f>IF('02_固定地理'!A344&lt;&gt;"","02_固定地理","")</f>
        <v/>
      </c>
      <c r="D344" s="14">
        <f>IF('02_固定地理'!A344&lt;&gt;"",'02_固定地理'!A344,"")</f>
        <v/>
      </c>
      <c r="E344" s="14">
        <f>IF(F344&lt;&gt;"","综合校验","")</f>
        <v/>
      </c>
      <c r="F344" s="14">
        <f>IF('02_固定地理'!A344&lt;&gt;"",IF('02_固定地理'!A344="","缺少对象ID；","")&amp;IF('02_固定地理'!B344="","缺少中文名称；","")&amp;IF('02_固定地理'!D344="","缺少对象类型；","")&amp;IF(AND('02_固定地理'!F344&lt;&gt;"",OR('02_固定地理'!F344&lt;0,'02_固定地理'!F344&gt;WorldWidth)),"世界中心X越界；","")&amp;IF(AND('02_固定地理'!G344&lt;&gt;"",OR('02_固定地理'!G344&lt;0,'02_固定地理'!G344&gt;WorldHeight)),"世界中心Y越界；","")&amp;IF(AND('02_固定地理'!H344&lt;&gt;"",'02_固定地理'!J344&lt;&gt;"",'02_固定地理'!H344&gt;'02_固定地理'!J344),"最小X大于最大X；","")&amp;IF(AND('02_固定地理'!I344&lt;&gt;"",'02_固定地理'!K344&lt;&gt;"",'02_固定地理'!I344&gt;'02_固定地理'!K344),"最小Y大于最大Y；","")&amp;IF(AND('02_固定地理'!E344&lt;&gt;"",COUNTIF('02_固定地理'!$A$2:$A$501,'02_固定地理'!E344)=0),"父级对象不存在；","")&amp;IF(AND('02_固定地理'!A344&lt;&gt;"",COUNTIF('02_固定地理'!$A$2:$A$501,'02_固定地理'!A344)&gt;1),"ID重复；",""),"")</f>
        <v/>
      </c>
      <c r="G344" s="14">
        <f>IF(F344&lt;&gt;"","按字段批注、数据字典和来源记录修正后复核","")</f>
        <v/>
      </c>
      <c r="H344" s="14">
        <f>IF(F344&lt;&gt;"","待处理","")</f>
        <v/>
      </c>
    </row>
    <row r="345">
      <c r="A345" s="14">
        <f>IF(F345&lt;&gt;"","ISSUE-"&amp;TEXT(ROW()-1,"00000"),"")</f>
        <v/>
      </c>
      <c r="B345" s="14">
        <f>IF(F345&lt;&gt;"","错误","")</f>
        <v/>
      </c>
      <c r="C345" s="14">
        <f>IF('02_固定地理'!A345&lt;&gt;"","02_固定地理","")</f>
        <v/>
      </c>
      <c r="D345" s="14">
        <f>IF('02_固定地理'!A345&lt;&gt;"",'02_固定地理'!A345,"")</f>
        <v/>
      </c>
      <c r="E345" s="14">
        <f>IF(F345&lt;&gt;"","综合校验","")</f>
        <v/>
      </c>
      <c r="F345" s="14">
        <f>IF('02_固定地理'!A345&lt;&gt;"",IF('02_固定地理'!A345="","缺少对象ID；","")&amp;IF('02_固定地理'!B345="","缺少中文名称；","")&amp;IF('02_固定地理'!D345="","缺少对象类型；","")&amp;IF(AND('02_固定地理'!F345&lt;&gt;"",OR('02_固定地理'!F345&lt;0,'02_固定地理'!F345&gt;WorldWidth)),"世界中心X越界；","")&amp;IF(AND('02_固定地理'!G345&lt;&gt;"",OR('02_固定地理'!G345&lt;0,'02_固定地理'!G345&gt;WorldHeight)),"世界中心Y越界；","")&amp;IF(AND('02_固定地理'!H345&lt;&gt;"",'02_固定地理'!J345&lt;&gt;"",'02_固定地理'!H345&gt;'02_固定地理'!J345),"最小X大于最大X；","")&amp;IF(AND('02_固定地理'!I345&lt;&gt;"",'02_固定地理'!K345&lt;&gt;"",'02_固定地理'!I345&gt;'02_固定地理'!K345),"最小Y大于最大Y；","")&amp;IF(AND('02_固定地理'!E345&lt;&gt;"",COUNTIF('02_固定地理'!$A$2:$A$501,'02_固定地理'!E345)=0),"父级对象不存在；","")&amp;IF(AND('02_固定地理'!A345&lt;&gt;"",COUNTIF('02_固定地理'!$A$2:$A$501,'02_固定地理'!A345)&gt;1),"ID重复；",""),"")</f>
        <v/>
      </c>
      <c r="G345" s="14">
        <f>IF(F345&lt;&gt;"","按字段批注、数据字典和来源记录修正后复核","")</f>
        <v/>
      </c>
      <c r="H345" s="14">
        <f>IF(F345&lt;&gt;"","待处理","")</f>
        <v/>
      </c>
    </row>
    <row r="346">
      <c r="A346" s="14">
        <f>IF(F346&lt;&gt;"","ISSUE-"&amp;TEXT(ROW()-1,"00000"),"")</f>
        <v/>
      </c>
      <c r="B346" s="14">
        <f>IF(F346&lt;&gt;"","错误","")</f>
        <v/>
      </c>
      <c r="C346" s="14">
        <f>IF('02_固定地理'!A346&lt;&gt;"","02_固定地理","")</f>
        <v/>
      </c>
      <c r="D346" s="14">
        <f>IF('02_固定地理'!A346&lt;&gt;"",'02_固定地理'!A346,"")</f>
        <v/>
      </c>
      <c r="E346" s="14">
        <f>IF(F346&lt;&gt;"","综合校验","")</f>
        <v/>
      </c>
      <c r="F346" s="14">
        <f>IF('02_固定地理'!A346&lt;&gt;"",IF('02_固定地理'!A346="","缺少对象ID；","")&amp;IF('02_固定地理'!B346="","缺少中文名称；","")&amp;IF('02_固定地理'!D346="","缺少对象类型；","")&amp;IF(AND('02_固定地理'!F346&lt;&gt;"",OR('02_固定地理'!F346&lt;0,'02_固定地理'!F346&gt;WorldWidth)),"世界中心X越界；","")&amp;IF(AND('02_固定地理'!G346&lt;&gt;"",OR('02_固定地理'!G346&lt;0,'02_固定地理'!G346&gt;WorldHeight)),"世界中心Y越界；","")&amp;IF(AND('02_固定地理'!H346&lt;&gt;"",'02_固定地理'!J346&lt;&gt;"",'02_固定地理'!H346&gt;'02_固定地理'!J346),"最小X大于最大X；","")&amp;IF(AND('02_固定地理'!I346&lt;&gt;"",'02_固定地理'!K346&lt;&gt;"",'02_固定地理'!I346&gt;'02_固定地理'!K346),"最小Y大于最大Y；","")&amp;IF(AND('02_固定地理'!E346&lt;&gt;"",COUNTIF('02_固定地理'!$A$2:$A$501,'02_固定地理'!E346)=0),"父级对象不存在；","")&amp;IF(AND('02_固定地理'!A346&lt;&gt;"",COUNTIF('02_固定地理'!$A$2:$A$501,'02_固定地理'!A346)&gt;1),"ID重复；",""),"")</f>
        <v/>
      </c>
      <c r="G346" s="14">
        <f>IF(F346&lt;&gt;"","按字段批注、数据字典和来源记录修正后复核","")</f>
        <v/>
      </c>
      <c r="H346" s="14">
        <f>IF(F346&lt;&gt;"","待处理","")</f>
        <v/>
      </c>
    </row>
    <row r="347">
      <c r="A347" s="14">
        <f>IF(F347&lt;&gt;"","ISSUE-"&amp;TEXT(ROW()-1,"00000"),"")</f>
        <v/>
      </c>
      <c r="B347" s="14">
        <f>IF(F347&lt;&gt;"","错误","")</f>
        <v/>
      </c>
      <c r="C347" s="14">
        <f>IF('02_固定地理'!A347&lt;&gt;"","02_固定地理","")</f>
        <v/>
      </c>
      <c r="D347" s="14">
        <f>IF('02_固定地理'!A347&lt;&gt;"",'02_固定地理'!A347,"")</f>
        <v/>
      </c>
      <c r="E347" s="14">
        <f>IF(F347&lt;&gt;"","综合校验","")</f>
        <v/>
      </c>
      <c r="F347" s="14">
        <f>IF('02_固定地理'!A347&lt;&gt;"",IF('02_固定地理'!A347="","缺少对象ID；","")&amp;IF('02_固定地理'!B347="","缺少中文名称；","")&amp;IF('02_固定地理'!D347="","缺少对象类型；","")&amp;IF(AND('02_固定地理'!F347&lt;&gt;"",OR('02_固定地理'!F347&lt;0,'02_固定地理'!F347&gt;WorldWidth)),"世界中心X越界；","")&amp;IF(AND('02_固定地理'!G347&lt;&gt;"",OR('02_固定地理'!G347&lt;0,'02_固定地理'!G347&gt;WorldHeight)),"世界中心Y越界；","")&amp;IF(AND('02_固定地理'!H347&lt;&gt;"",'02_固定地理'!J347&lt;&gt;"",'02_固定地理'!H347&gt;'02_固定地理'!J347),"最小X大于最大X；","")&amp;IF(AND('02_固定地理'!I347&lt;&gt;"",'02_固定地理'!K347&lt;&gt;"",'02_固定地理'!I347&gt;'02_固定地理'!K347),"最小Y大于最大Y；","")&amp;IF(AND('02_固定地理'!E347&lt;&gt;"",COUNTIF('02_固定地理'!$A$2:$A$501,'02_固定地理'!E347)=0),"父级对象不存在；","")&amp;IF(AND('02_固定地理'!A347&lt;&gt;"",COUNTIF('02_固定地理'!$A$2:$A$501,'02_固定地理'!A347)&gt;1),"ID重复；",""),"")</f>
        <v/>
      </c>
      <c r="G347" s="14">
        <f>IF(F347&lt;&gt;"","按字段批注、数据字典和来源记录修正后复核","")</f>
        <v/>
      </c>
      <c r="H347" s="14">
        <f>IF(F347&lt;&gt;"","待处理","")</f>
        <v/>
      </c>
    </row>
    <row r="348">
      <c r="A348" s="14">
        <f>IF(F348&lt;&gt;"","ISSUE-"&amp;TEXT(ROW()-1,"00000"),"")</f>
        <v/>
      </c>
      <c r="B348" s="14">
        <f>IF(F348&lt;&gt;"","错误","")</f>
        <v/>
      </c>
      <c r="C348" s="14">
        <f>IF('02_固定地理'!A348&lt;&gt;"","02_固定地理","")</f>
        <v/>
      </c>
      <c r="D348" s="14">
        <f>IF('02_固定地理'!A348&lt;&gt;"",'02_固定地理'!A348,"")</f>
        <v/>
      </c>
      <c r="E348" s="14">
        <f>IF(F348&lt;&gt;"","综合校验","")</f>
        <v/>
      </c>
      <c r="F348" s="14">
        <f>IF('02_固定地理'!A348&lt;&gt;"",IF('02_固定地理'!A348="","缺少对象ID；","")&amp;IF('02_固定地理'!B348="","缺少中文名称；","")&amp;IF('02_固定地理'!D348="","缺少对象类型；","")&amp;IF(AND('02_固定地理'!F348&lt;&gt;"",OR('02_固定地理'!F348&lt;0,'02_固定地理'!F348&gt;WorldWidth)),"世界中心X越界；","")&amp;IF(AND('02_固定地理'!G348&lt;&gt;"",OR('02_固定地理'!G348&lt;0,'02_固定地理'!G348&gt;WorldHeight)),"世界中心Y越界；","")&amp;IF(AND('02_固定地理'!H348&lt;&gt;"",'02_固定地理'!J348&lt;&gt;"",'02_固定地理'!H348&gt;'02_固定地理'!J348),"最小X大于最大X；","")&amp;IF(AND('02_固定地理'!I348&lt;&gt;"",'02_固定地理'!K348&lt;&gt;"",'02_固定地理'!I348&gt;'02_固定地理'!K348),"最小Y大于最大Y；","")&amp;IF(AND('02_固定地理'!E348&lt;&gt;"",COUNTIF('02_固定地理'!$A$2:$A$501,'02_固定地理'!E348)=0),"父级对象不存在；","")&amp;IF(AND('02_固定地理'!A348&lt;&gt;"",COUNTIF('02_固定地理'!$A$2:$A$501,'02_固定地理'!A348)&gt;1),"ID重复；",""),"")</f>
        <v/>
      </c>
      <c r="G348" s="14">
        <f>IF(F348&lt;&gt;"","按字段批注、数据字典和来源记录修正后复核","")</f>
        <v/>
      </c>
      <c r="H348" s="14">
        <f>IF(F348&lt;&gt;"","待处理","")</f>
        <v/>
      </c>
    </row>
    <row r="349">
      <c r="A349" s="14">
        <f>IF(F349&lt;&gt;"","ISSUE-"&amp;TEXT(ROW()-1,"00000"),"")</f>
        <v/>
      </c>
      <c r="B349" s="14">
        <f>IF(F349&lt;&gt;"","错误","")</f>
        <v/>
      </c>
      <c r="C349" s="14">
        <f>IF('02_固定地理'!A349&lt;&gt;"","02_固定地理","")</f>
        <v/>
      </c>
      <c r="D349" s="14">
        <f>IF('02_固定地理'!A349&lt;&gt;"",'02_固定地理'!A349,"")</f>
        <v/>
      </c>
      <c r="E349" s="14">
        <f>IF(F349&lt;&gt;"","综合校验","")</f>
        <v/>
      </c>
      <c r="F349" s="14">
        <f>IF('02_固定地理'!A349&lt;&gt;"",IF('02_固定地理'!A349="","缺少对象ID；","")&amp;IF('02_固定地理'!B349="","缺少中文名称；","")&amp;IF('02_固定地理'!D349="","缺少对象类型；","")&amp;IF(AND('02_固定地理'!F349&lt;&gt;"",OR('02_固定地理'!F349&lt;0,'02_固定地理'!F349&gt;WorldWidth)),"世界中心X越界；","")&amp;IF(AND('02_固定地理'!G349&lt;&gt;"",OR('02_固定地理'!G349&lt;0,'02_固定地理'!G349&gt;WorldHeight)),"世界中心Y越界；","")&amp;IF(AND('02_固定地理'!H349&lt;&gt;"",'02_固定地理'!J349&lt;&gt;"",'02_固定地理'!H349&gt;'02_固定地理'!J349),"最小X大于最大X；","")&amp;IF(AND('02_固定地理'!I349&lt;&gt;"",'02_固定地理'!K349&lt;&gt;"",'02_固定地理'!I349&gt;'02_固定地理'!K349),"最小Y大于最大Y；","")&amp;IF(AND('02_固定地理'!E349&lt;&gt;"",COUNTIF('02_固定地理'!$A$2:$A$501,'02_固定地理'!E349)=0),"父级对象不存在；","")&amp;IF(AND('02_固定地理'!A349&lt;&gt;"",COUNTIF('02_固定地理'!$A$2:$A$501,'02_固定地理'!A349)&gt;1),"ID重复；",""),"")</f>
        <v/>
      </c>
      <c r="G349" s="14">
        <f>IF(F349&lt;&gt;"","按字段批注、数据字典和来源记录修正后复核","")</f>
        <v/>
      </c>
      <c r="H349" s="14">
        <f>IF(F349&lt;&gt;"","待处理","")</f>
        <v/>
      </c>
    </row>
    <row r="350">
      <c r="A350" s="14">
        <f>IF(F350&lt;&gt;"","ISSUE-"&amp;TEXT(ROW()-1,"00000"),"")</f>
        <v/>
      </c>
      <c r="B350" s="14">
        <f>IF(F350&lt;&gt;"","错误","")</f>
        <v/>
      </c>
      <c r="C350" s="14">
        <f>IF('02_固定地理'!A350&lt;&gt;"","02_固定地理","")</f>
        <v/>
      </c>
      <c r="D350" s="14">
        <f>IF('02_固定地理'!A350&lt;&gt;"",'02_固定地理'!A350,"")</f>
        <v/>
      </c>
      <c r="E350" s="14">
        <f>IF(F350&lt;&gt;"","综合校验","")</f>
        <v/>
      </c>
      <c r="F350" s="14">
        <f>IF('02_固定地理'!A350&lt;&gt;"",IF('02_固定地理'!A350="","缺少对象ID；","")&amp;IF('02_固定地理'!B350="","缺少中文名称；","")&amp;IF('02_固定地理'!D350="","缺少对象类型；","")&amp;IF(AND('02_固定地理'!F350&lt;&gt;"",OR('02_固定地理'!F350&lt;0,'02_固定地理'!F350&gt;WorldWidth)),"世界中心X越界；","")&amp;IF(AND('02_固定地理'!G350&lt;&gt;"",OR('02_固定地理'!G350&lt;0,'02_固定地理'!G350&gt;WorldHeight)),"世界中心Y越界；","")&amp;IF(AND('02_固定地理'!H350&lt;&gt;"",'02_固定地理'!J350&lt;&gt;"",'02_固定地理'!H350&gt;'02_固定地理'!J350),"最小X大于最大X；","")&amp;IF(AND('02_固定地理'!I350&lt;&gt;"",'02_固定地理'!K350&lt;&gt;"",'02_固定地理'!I350&gt;'02_固定地理'!K350),"最小Y大于最大Y；","")&amp;IF(AND('02_固定地理'!E350&lt;&gt;"",COUNTIF('02_固定地理'!$A$2:$A$501,'02_固定地理'!E350)=0),"父级对象不存在；","")&amp;IF(AND('02_固定地理'!A350&lt;&gt;"",COUNTIF('02_固定地理'!$A$2:$A$501,'02_固定地理'!A350)&gt;1),"ID重复；",""),"")</f>
        <v/>
      </c>
      <c r="G350" s="14">
        <f>IF(F350&lt;&gt;"","按字段批注、数据字典和来源记录修正后复核","")</f>
        <v/>
      </c>
      <c r="H350" s="14">
        <f>IF(F350&lt;&gt;"","待处理","")</f>
        <v/>
      </c>
    </row>
    <row r="351">
      <c r="A351" s="14">
        <f>IF(F351&lt;&gt;"","ISSUE-"&amp;TEXT(ROW()-1,"00000"),"")</f>
        <v/>
      </c>
      <c r="B351" s="14">
        <f>IF(F351&lt;&gt;"","错误","")</f>
        <v/>
      </c>
      <c r="C351" s="14">
        <f>IF('02_固定地理'!A351&lt;&gt;"","02_固定地理","")</f>
        <v/>
      </c>
      <c r="D351" s="14">
        <f>IF('02_固定地理'!A351&lt;&gt;"",'02_固定地理'!A351,"")</f>
        <v/>
      </c>
      <c r="E351" s="14">
        <f>IF(F351&lt;&gt;"","综合校验","")</f>
        <v/>
      </c>
      <c r="F351" s="14">
        <f>IF('02_固定地理'!A351&lt;&gt;"",IF('02_固定地理'!A351="","缺少对象ID；","")&amp;IF('02_固定地理'!B351="","缺少中文名称；","")&amp;IF('02_固定地理'!D351="","缺少对象类型；","")&amp;IF(AND('02_固定地理'!F351&lt;&gt;"",OR('02_固定地理'!F351&lt;0,'02_固定地理'!F351&gt;WorldWidth)),"世界中心X越界；","")&amp;IF(AND('02_固定地理'!G351&lt;&gt;"",OR('02_固定地理'!G351&lt;0,'02_固定地理'!G351&gt;WorldHeight)),"世界中心Y越界；","")&amp;IF(AND('02_固定地理'!H351&lt;&gt;"",'02_固定地理'!J351&lt;&gt;"",'02_固定地理'!H351&gt;'02_固定地理'!J351),"最小X大于最大X；","")&amp;IF(AND('02_固定地理'!I351&lt;&gt;"",'02_固定地理'!K351&lt;&gt;"",'02_固定地理'!I351&gt;'02_固定地理'!K351),"最小Y大于最大Y；","")&amp;IF(AND('02_固定地理'!E351&lt;&gt;"",COUNTIF('02_固定地理'!$A$2:$A$501,'02_固定地理'!E351)=0),"父级对象不存在；","")&amp;IF(AND('02_固定地理'!A351&lt;&gt;"",COUNTIF('02_固定地理'!$A$2:$A$501,'02_固定地理'!A351)&gt;1),"ID重复；",""),"")</f>
        <v/>
      </c>
      <c r="G351" s="14">
        <f>IF(F351&lt;&gt;"","按字段批注、数据字典和来源记录修正后复核","")</f>
        <v/>
      </c>
      <c r="H351" s="14">
        <f>IF(F351&lt;&gt;"","待处理","")</f>
        <v/>
      </c>
    </row>
    <row r="352">
      <c r="A352" s="14">
        <f>IF(F352&lt;&gt;"","ISSUE-"&amp;TEXT(ROW()-1,"00000"),"")</f>
        <v/>
      </c>
      <c r="B352" s="14">
        <f>IF(F352&lt;&gt;"","错误","")</f>
        <v/>
      </c>
      <c r="C352" s="14">
        <f>IF('02_固定地理'!A352&lt;&gt;"","02_固定地理","")</f>
        <v/>
      </c>
      <c r="D352" s="14">
        <f>IF('02_固定地理'!A352&lt;&gt;"",'02_固定地理'!A352,"")</f>
        <v/>
      </c>
      <c r="E352" s="14">
        <f>IF(F352&lt;&gt;"","综合校验","")</f>
        <v/>
      </c>
      <c r="F352" s="14">
        <f>IF('02_固定地理'!A352&lt;&gt;"",IF('02_固定地理'!A352="","缺少对象ID；","")&amp;IF('02_固定地理'!B352="","缺少中文名称；","")&amp;IF('02_固定地理'!D352="","缺少对象类型；","")&amp;IF(AND('02_固定地理'!F352&lt;&gt;"",OR('02_固定地理'!F352&lt;0,'02_固定地理'!F352&gt;WorldWidth)),"世界中心X越界；","")&amp;IF(AND('02_固定地理'!G352&lt;&gt;"",OR('02_固定地理'!G352&lt;0,'02_固定地理'!G352&gt;WorldHeight)),"世界中心Y越界；","")&amp;IF(AND('02_固定地理'!H352&lt;&gt;"",'02_固定地理'!J352&lt;&gt;"",'02_固定地理'!H352&gt;'02_固定地理'!J352),"最小X大于最大X；","")&amp;IF(AND('02_固定地理'!I352&lt;&gt;"",'02_固定地理'!K352&lt;&gt;"",'02_固定地理'!I352&gt;'02_固定地理'!K352),"最小Y大于最大Y；","")&amp;IF(AND('02_固定地理'!E352&lt;&gt;"",COUNTIF('02_固定地理'!$A$2:$A$501,'02_固定地理'!E352)=0),"父级对象不存在；","")&amp;IF(AND('02_固定地理'!A352&lt;&gt;"",COUNTIF('02_固定地理'!$A$2:$A$501,'02_固定地理'!A352)&gt;1),"ID重复；",""),"")</f>
        <v/>
      </c>
      <c r="G352" s="14">
        <f>IF(F352&lt;&gt;"","按字段批注、数据字典和来源记录修正后复核","")</f>
        <v/>
      </c>
      <c r="H352" s="14">
        <f>IF(F352&lt;&gt;"","待处理","")</f>
        <v/>
      </c>
    </row>
    <row r="353">
      <c r="A353" s="14">
        <f>IF(F353&lt;&gt;"","ISSUE-"&amp;TEXT(ROW()-1,"00000"),"")</f>
        <v/>
      </c>
      <c r="B353" s="14">
        <f>IF(F353&lt;&gt;"","错误","")</f>
        <v/>
      </c>
      <c r="C353" s="14">
        <f>IF('02_固定地理'!A353&lt;&gt;"","02_固定地理","")</f>
        <v/>
      </c>
      <c r="D353" s="14">
        <f>IF('02_固定地理'!A353&lt;&gt;"",'02_固定地理'!A353,"")</f>
        <v/>
      </c>
      <c r="E353" s="14">
        <f>IF(F353&lt;&gt;"","综合校验","")</f>
        <v/>
      </c>
      <c r="F353" s="14">
        <f>IF('02_固定地理'!A353&lt;&gt;"",IF('02_固定地理'!A353="","缺少对象ID；","")&amp;IF('02_固定地理'!B353="","缺少中文名称；","")&amp;IF('02_固定地理'!D353="","缺少对象类型；","")&amp;IF(AND('02_固定地理'!F353&lt;&gt;"",OR('02_固定地理'!F353&lt;0,'02_固定地理'!F353&gt;WorldWidth)),"世界中心X越界；","")&amp;IF(AND('02_固定地理'!G353&lt;&gt;"",OR('02_固定地理'!G353&lt;0,'02_固定地理'!G353&gt;WorldHeight)),"世界中心Y越界；","")&amp;IF(AND('02_固定地理'!H353&lt;&gt;"",'02_固定地理'!J353&lt;&gt;"",'02_固定地理'!H353&gt;'02_固定地理'!J353),"最小X大于最大X；","")&amp;IF(AND('02_固定地理'!I353&lt;&gt;"",'02_固定地理'!K353&lt;&gt;"",'02_固定地理'!I353&gt;'02_固定地理'!K353),"最小Y大于最大Y；","")&amp;IF(AND('02_固定地理'!E353&lt;&gt;"",COUNTIF('02_固定地理'!$A$2:$A$501,'02_固定地理'!E353)=0),"父级对象不存在；","")&amp;IF(AND('02_固定地理'!A353&lt;&gt;"",COUNTIF('02_固定地理'!$A$2:$A$501,'02_固定地理'!A353)&gt;1),"ID重复；",""),"")</f>
        <v/>
      </c>
      <c r="G353" s="14">
        <f>IF(F353&lt;&gt;"","按字段批注、数据字典和来源记录修正后复核","")</f>
        <v/>
      </c>
      <c r="H353" s="14">
        <f>IF(F353&lt;&gt;"","待处理","")</f>
        <v/>
      </c>
    </row>
    <row r="354">
      <c r="A354" s="14">
        <f>IF(F354&lt;&gt;"","ISSUE-"&amp;TEXT(ROW()-1,"00000"),"")</f>
        <v/>
      </c>
      <c r="B354" s="14">
        <f>IF(F354&lt;&gt;"","错误","")</f>
        <v/>
      </c>
      <c r="C354" s="14">
        <f>IF('02_固定地理'!A354&lt;&gt;"","02_固定地理","")</f>
        <v/>
      </c>
      <c r="D354" s="14">
        <f>IF('02_固定地理'!A354&lt;&gt;"",'02_固定地理'!A354,"")</f>
        <v/>
      </c>
      <c r="E354" s="14">
        <f>IF(F354&lt;&gt;"","综合校验","")</f>
        <v/>
      </c>
      <c r="F354" s="14">
        <f>IF('02_固定地理'!A354&lt;&gt;"",IF('02_固定地理'!A354="","缺少对象ID；","")&amp;IF('02_固定地理'!B354="","缺少中文名称；","")&amp;IF('02_固定地理'!D354="","缺少对象类型；","")&amp;IF(AND('02_固定地理'!F354&lt;&gt;"",OR('02_固定地理'!F354&lt;0,'02_固定地理'!F354&gt;WorldWidth)),"世界中心X越界；","")&amp;IF(AND('02_固定地理'!G354&lt;&gt;"",OR('02_固定地理'!G354&lt;0,'02_固定地理'!G354&gt;WorldHeight)),"世界中心Y越界；","")&amp;IF(AND('02_固定地理'!H354&lt;&gt;"",'02_固定地理'!J354&lt;&gt;"",'02_固定地理'!H354&gt;'02_固定地理'!J354),"最小X大于最大X；","")&amp;IF(AND('02_固定地理'!I354&lt;&gt;"",'02_固定地理'!K354&lt;&gt;"",'02_固定地理'!I354&gt;'02_固定地理'!K354),"最小Y大于最大Y；","")&amp;IF(AND('02_固定地理'!E354&lt;&gt;"",COUNTIF('02_固定地理'!$A$2:$A$501,'02_固定地理'!E354)=0),"父级对象不存在；","")&amp;IF(AND('02_固定地理'!A354&lt;&gt;"",COUNTIF('02_固定地理'!$A$2:$A$501,'02_固定地理'!A354)&gt;1),"ID重复；",""),"")</f>
        <v/>
      </c>
      <c r="G354" s="14">
        <f>IF(F354&lt;&gt;"","按字段批注、数据字典和来源记录修正后复核","")</f>
        <v/>
      </c>
      <c r="H354" s="14">
        <f>IF(F354&lt;&gt;"","待处理","")</f>
        <v/>
      </c>
    </row>
    <row r="355">
      <c r="A355" s="14">
        <f>IF(F355&lt;&gt;"","ISSUE-"&amp;TEXT(ROW()-1,"00000"),"")</f>
        <v/>
      </c>
      <c r="B355" s="14">
        <f>IF(F355&lt;&gt;"","错误","")</f>
        <v/>
      </c>
      <c r="C355" s="14">
        <f>IF('02_固定地理'!A355&lt;&gt;"","02_固定地理","")</f>
        <v/>
      </c>
      <c r="D355" s="14">
        <f>IF('02_固定地理'!A355&lt;&gt;"",'02_固定地理'!A355,"")</f>
        <v/>
      </c>
      <c r="E355" s="14">
        <f>IF(F355&lt;&gt;"","综合校验","")</f>
        <v/>
      </c>
      <c r="F355" s="14">
        <f>IF('02_固定地理'!A355&lt;&gt;"",IF('02_固定地理'!A355="","缺少对象ID；","")&amp;IF('02_固定地理'!B355="","缺少中文名称；","")&amp;IF('02_固定地理'!D355="","缺少对象类型；","")&amp;IF(AND('02_固定地理'!F355&lt;&gt;"",OR('02_固定地理'!F355&lt;0,'02_固定地理'!F355&gt;WorldWidth)),"世界中心X越界；","")&amp;IF(AND('02_固定地理'!G355&lt;&gt;"",OR('02_固定地理'!G355&lt;0,'02_固定地理'!G355&gt;WorldHeight)),"世界中心Y越界；","")&amp;IF(AND('02_固定地理'!H355&lt;&gt;"",'02_固定地理'!J355&lt;&gt;"",'02_固定地理'!H355&gt;'02_固定地理'!J355),"最小X大于最大X；","")&amp;IF(AND('02_固定地理'!I355&lt;&gt;"",'02_固定地理'!K355&lt;&gt;"",'02_固定地理'!I355&gt;'02_固定地理'!K355),"最小Y大于最大Y；","")&amp;IF(AND('02_固定地理'!E355&lt;&gt;"",COUNTIF('02_固定地理'!$A$2:$A$501,'02_固定地理'!E355)=0),"父级对象不存在；","")&amp;IF(AND('02_固定地理'!A355&lt;&gt;"",COUNTIF('02_固定地理'!$A$2:$A$501,'02_固定地理'!A355)&gt;1),"ID重复；",""),"")</f>
        <v/>
      </c>
      <c r="G355" s="14">
        <f>IF(F355&lt;&gt;"","按字段批注、数据字典和来源记录修正后复核","")</f>
        <v/>
      </c>
      <c r="H355" s="14">
        <f>IF(F355&lt;&gt;"","待处理","")</f>
        <v/>
      </c>
    </row>
    <row r="356">
      <c r="A356" s="14">
        <f>IF(F356&lt;&gt;"","ISSUE-"&amp;TEXT(ROW()-1,"00000"),"")</f>
        <v/>
      </c>
      <c r="B356" s="14">
        <f>IF(F356&lt;&gt;"","错误","")</f>
        <v/>
      </c>
      <c r="C356" s="14">
        <f>IF('02_固定地理'!A356&lt;&gt;"","02_固定地理","")</f>
        <v/>
      </c>
      <c r="D356" s="14">
        <f>IF('02_固定地理'!A356&lt;&gt;"",'02_固定地理'!A356,"")</f>
        <v/>
      </c>
      <c r="E356" s="14">
        <f>IF(F356&lt;&gt;"","综合校验","")</f>
        <v/>
      </c>
      <c r="F356" s="14">
        <f>IF('02_固定地理'!A356&lt;&gt;"",IF('02_固定地理'!A356="","缺少对象ID；","")&amp;IF('02_固定地理'!B356="","缺少中文名称；","")&amp;IF('02_固定地理'!D356="","缺少对象类型；","")&amp;IF(AND('02_固定地理'!F356&lt;&gt;"",OR('02_固定地理'!F356&lt;0,'02_固定地理'!F356&gt;WorldWidth)),"世界中心X越界；","")&amp;IF(AND('02_固定地理'!G356&lt;&gt;"",OR('02_固定地理'!G356&lt;0,'02_固定地理'!G356&gt;WorldHeight)),"世界中心Y越界；","")&amp;IF(AND('02_固定地理'!H356&lt;&gt;"",'02_固定地理'!J356&lt;&gt;"",'02_固定地理'!H356&gt;'02_固定地理'!J356),"最小X大于最大X；","")&amp;IF(AND('02_固定地理'!I356&lt;&gt;"",'02_固定地理'!K356&lt;&gt;"",'02_固定地理'!I356&gt;'02_固定地理'!K356),"最小Y大于最大Y；","")&amp;IF(AND('02_固定地理'!E356&lt;&gt;"",COUNTIF('02_固定地理'!$A$2:$A$501,'02_固定地理'!E356)=0),"父级对象不存在；","")&amp;IF(AND('02_固定地理'!A356&lt;&gt;"",COUNTIF('02_固定地理'!$A$2:$A$501,'02_固定地理'!A356)&gt;1),"ID重复；",""),"")</f>
        <v/>
      </c>
      <c r="G356" s="14">
        <f>IF(F356&lt;&gt;"","按字段批注、数据字典和来源记录修正后复核","")</f>
        <v/>
      </c>
      <c r="H356" s="14">
        <f>IF(F356&lt;&gt;"","待处理","")</f>
        <v/>
      </c>
    </row>
    <row r="357">
      <c r="A357" s="14">
        <f>IF(F357&lt;&gt;"","ISSUE-"&amp;TEXT(ROW()-1,"00000"),"")</f>
        <v/>
      </c>
      <c r="B357" s="14">
        <f>IF(F357&lt;&gt;"","错误","")</f>
        <v/>
      </c>
      <c r="C357" s="14">
        <f>IF('02_固定地理'!A357&lt;&gt;"","02_固定地理","")</f>
        <v/>
      </c>
      <c r="D357" s="14">
        <f>IF('02_固定地理'!A357&lt;&gt;"",'02_固定地理'!A357,"")</f>
        <v/>
      </c>
      <c r="E357" s="14">
        <f>IF(F357&lt;&gt;"","综合校验","")</f>
        <v/>
      </c>
      <c r="F357" s="14">
        <f>IF('02_固定地理'!A357&lt;&gt;"",IF('02_固定地理'!A357="","缺少对象ID；","")&amp;IF('02_固定地理'!B357="","缺少中文名称；","")&amp;IF('02_固定地理'!D357="","缺少对象类型；","")&amp;IF(AND('02_固定地理'!F357&lt;&gt;"",OR('02_固定地理'!F357&lt;0,'02_固定地理'!F357&gt;WorldWidth)),"世界中心X越界；","")&amp;IF(AND('02_固定地理'!G357&lt;&gt;"",OR('02_固定地理'!G357&lt;0,'02_固定地理'!G357&gt;WorldHeight)),"世界中心Y越界；","")&amp;IF(AND('02_固定地理'!H357&lt;&gt;"",'02_固定地理'!J357&lt;&gt;"",'02_固定地理'!H357&gt;'02_固定地理'!J357),"最小X大于最大X；","")&amp;IF(AND('02_固定地理'!I357&lt;&gt;"",'02_固定地理'!K357&lt;&gt;"",'02_固定地理'!I357&gt;'02_固定地理'!K357),"最小Y大于最大Y；","")&amp;IF(AND('02_固定地理'!E357&lt;&gt;"",COUNTIF('02_固定地理'!$A$2:$A$501,'02_固定地理'!E357)=0),"父级对象不存在；","")&amp;IF(AND('02_固定地理'!A357&lt;&gt;"",COUNTIF('02_固定地理'!$A$2:$A$501,'02_固定地理'!A357)&gt;1),"ID重复；",""),"")</f>
        <v/>
      </c>
      <c r="G357" s="14">
        <f>IF(F357&lt;&gt;"","按字段批注、数据字典和来源记录修正后复核","")</f>
        <v/>
      </c>
      <c r="H357" s="14">
        <f>IF(F357&lt;&gt;"","待处理","")</f>
        <v/>
      </c>
    </row>
    <row r="358">
      <c r="A358" s="14">
        <f>IF(F358&lt;&gt;"","ISSUE-"&amp;TEXT(ROW()-1,"00000"),"")</f>
        <v/>
      </c>
      <c r="B358" s="14">
        <f>IF(F358&lt;&gt;"","错误","")</f>
        <v/>
      </c>
      <c r="C358" s="14">
        <f>IF('02_固定地理'!A358&lt;&gt;"","02_固定地理","")</f>
        <v/>
      </c>
      <c r="D358" s="14">
        <f>IF('02_固定地理'!A358&lt;&gt;"",'02_固定地理'!A358,"")</f>
        <v/>
      </c>
      <c r="E358" s="14">
        <f>IF(F358&lt;&gt;"","综合校验","")</f>
        <v/>
      </c>
      <c r="F358" s="14">
        <f>IF('02_固定地理'!A358&lt;&gt;"",IF('02_固定地理'!A358="","缺少对象ID；","")&amp;IF('02_固定地理'!B358="","缺少中文名称；","")&amp;IF('02_固定地理'!D358="","缺少对象类型；","")&amp;IF(AND('02_固定地理'!F358&lt;&gt;"",OR('02_固定地理'!F358&lt;0,'02_固定地理'!F358&gt;WorldWidth)),"世界中心X越界；","")&amp;IF(AND('02_固定地理'!G358&lt;&gt;"",OR('02_固定地理'!G358&lt;0,'02_固定地理'!G358&gt;WorldHeight)),"世界中心Y越界；","")&amp;IF(AND('02_固定地理'!H358&lt;&gt;"",'02_固定地理'!J358&lt;&gt;"",'02_固定地理'!H358&gt;'02_固定地理'!J358),"最小X大于最大X；","")&amp;IF(AND('02_固定地理'!I358&lt;&gt;"",'02_固定地理'!K358&lt;&gt;"",'02_固定地理'!I358&gt;'02_固定地理'!K358),"最小Y大于最大Y；","")&amp;IF(AND('02_固定地理'!E358&lt;&gt;"",COUNTIF('02_固定地理'!$A$2:$A$501,'02_固定地理'!E358)=0),"父级对象不存在；","")&amp;IF(AND('02_固定地理'!A358&lt;&gt;"",COUNTIF('02_固定地理'!$A$2:$A$501,'02_固定地理'!A358)&gt;1),"ID重复；",""),"")</f>
        <v/>
      </c>
      <c r="G358" s="14">
        <f>IF(F358&lt;&gt;"","按字段批注、数据字典和来源记录修正后复核","")</f>
        <v/>
      </c>
      <c r="H358" s="14">
        <f>IF(F358&lt;&gt;"","待处理","")</f>
        <v/>
      </c>
    </row>
    <row r="359">
      <c r="A359" s="14">
        <f>IF(F359&lt;&gt;"","ISSUE-"&amp;TEXT(ROW()-1,"00000"),"")</f>
        <v/>
      </c>
      <c r="B359" s="14">
        <f>IF(F359&lt;&gt;"","错误","")</f>
        <v/>
      </c>
      <c r="C359" s="14">
        <f>IF('02_固定地理'!A359&lt;&gt;"","02_固定地理","")</f>
        <v/>
      </c>
      <c r="D359" s="14">
        <f>IF('02_固定地理'!A359&lt;&gt;"",'02_固定地理'!A359,"")</f>
        <v/>
      </c>
      <c r="E359" s="14">
        <f>IF(F359&lt;&gt;"","综合校验","")</f>
        <v/>
      </c>
      <c r="F359" s="14">
        <f>IF('02_固定地理'!A359&lt;&gt;"",IF('02_固定地理'!A359="","缺少对象ID；","")&amp;IF('02_固定地理'!B359="","缺少中文名称；","")&amp;IF('02_固定地理'!D359="","缺少对象类型；","")&amp;IF(AND('02_固定地理'!F359&lt;&gt;"",OR('02_固定地理'!F359&lt;0,'02_固定地理'!F359&gt;WorldWidth)),"世界中心X越界；","")&amp;IF(AND('02_固定地理'!G359&lt;&gt;"",OR('02_固定地理'!G359&lt;0,'02_固定地理'!G359&gt;WorldHeight)),"世界中心Y越界；","")&amp;IF(AND('02_固定地理'!H359&lt;&gt;"",'02_固定地理'!J359&lt;&gt;"",'02_固定地理'!H359&gt;'02_固定地理'!J359),"最小X大于最大X；","")&amp;IF(AND('02_固定地理'!I359&lt;&gt;"",'02_固定地理'!K359&lt;&gt;"",'02_固定地理'!I359&gt;'02_固定地理'!K359),"最小Y大于最大Y；","")&amp;IF(AND('02_固定地理'!E359&lt;&gt;"",COUNTIF('02_固定地理'!$A$2:$A$501,'02_固定地理'!E359)=0),"父级对象不存在；","")&amp;IF(AND('02_固定地理'!A359&lt;&gt;"",COUNTIF('02_固定地理'!$A$2:$A$501,'02_固定地理'!A359)&gt;1),"ID重复；",""),"")</f>
        <v/>
      </c>
      <c r="G359" s="14">
        <f>IF(F359&lt;&gt;"","按字段批注、数据字典和来源记录修正后复核","")</f>
        <v/>
      </c>
      <c r="H359" s="14">
        <f>IF(F359&lt;&gt;"","待处理","")</f>
        <v/>
      </c>
    </row>
    <row r="360">
      <c r="A360" s="14">
        <f>IF(F360&lt;&gt;"","ISSUE-"&amp;TEXT(ROW()-1,"00000"),"")</f>
        <v/>
      </c>
      <c r="B360" s="14">
        <f>IF(F360&lt;&gt;"","错误","")</f>
        <v/>
      </c>
      <c r="C360" s="14">
        <f>IF('02_固定地理'!A360&lt;&gt;"","02_固定地理","")</f>
        <v/>
      </c>
      <c r="D360" s="14">
        <f>IF('02_固定地理'!A360&lt;&gt;"",'02_固定地理'!A360,"")</f>
        <v/>
      </c>
      <c r="E360" s="14">
        <f>IF(F360&lt;&gt;"","综合校验","")</f>
        <v/>
      </c>
      <c r="F360" s="14">
        <f>IF('02_固定地理'!A360&lt;&gt;"",IF('02_固定地理'!A360="","缺少对象ID；","")&amp;IF('02_固定地理'!B360="","缺少中文名称；","")&amp;IF('02_固定地理'!D360="","缺少对象类型；","")&amp;IF(AND('02_固定地理'!F360&lt;&gt;"",OR('02_固定地理'!F360&lt;0,'02_固定地理'!F360&gt;WorldWidth)),"世界中心X越界；","")&amp;IF(AND('02_固定地理'!G360&lt;&gt;"",OR('02_固定地理'!G360&lt;0,'02_固定地理'!G360&gt;WorldHeight)),"世界中心Y越界；","")&amp;IF(AND('02_固定地理'!H360&lt;&gt;"",'02_固定地理'!J360&lt;&gt;"",'02_固定地理'!H360&gt;'02_固定地理'!J360),"最小X大于最大X；","")&amp;IF(AND('02_固定地理'!I360&lt;&gt;"",'02_固定地理'!K360&lt;&gt;"",'02_固定地理'!I360&gt;'02_固定地理'!K360),"最小Y大于最大Y；","")&amp;IF(AND('02_固定地理'!E360&lt;&gt;"",COUNTIF('02_固定地理'!$A$2:$A$501,'02_固定地理'!E360)=0),"父级对象不存在；","")&amp;IF(AND('02_固定地理'!A360&lt;&gt;"",COUNTIF('02_固定地理'!$A$2:$A$501,'02_固定地理'!A360)&gt;1),"ID重复；",""),"")</f>
        <v/>
      </c>
      <c r="G360" s="14">
        <f>IF(F360&lt;&gt;"","按字段批注、数据字典和来源记录修正后复核","")</f>
        <v/>
      </c>
      <c r="H360" s="14">
        <f>IF(F360&lt;&gt;"","待处理","")</f>
        <v/>
      </c>
    </row>
    <row r="361">
      <c r="A361" s="14">
        <f>IF(F361&lt;&gt;"","ISSUE-"&amp;TEXT(ROW()-1,"00000"),"")</f>
        <v/>
      </c>
      <c r="B361" s="14">
        <f>IF(F361&lt;&gt;"","错误","")</f>
        <v/>
      </c>
      <c r="C361" s="14">
        <f>IF('02_固定地理'!A361&lt;&gt;"","02_固定地理","")</f>
        <v/>
      </c>
      <c r="D361" s="14">
        <f>IF('02_固定地理'!A361&lt;&gt;"",'02_固定地理'!A361,"")</f>
        <v/>
      </c>
      <c r="E361" s="14">
        <f>IF(F361&lt;&gt;"","综合校验","")</f>
        <v/>
      </c>
      <c r="F361" s="14">
        <f>IF('02_固定地理'!A361&lt;&gt;"",IF('02_固定地理'!A361="","缺少对象ID；","")&amp;IF('02_固定地理'!B361="","缺少中文名称；","")&amp;IF('02_固定地理'!D361="","缺少对象类型；","")&amp;IF(AND('02_固定地理'!F361&lt;&gt;"",OR('02_固定地理'!F361&lt;0,'02_固定地理'!F361&gt;WorldWidth)),"世界中心X越界；","")&amp;IF(AND('02_固定地理'!G361&lt;&gt;"",OR('02_固定地理'!G361&lt;0,'02_固定地理'!G361&gt;WorldHeight)),"世界中心Y越界；","")&amp;IF(AND('02_固定地理'!H361&lt;&gt;"",'02_固定地理'!J361&lt;&gt;"",'02_固定地理'!H361&gt;'02_固定地理'!J361),"最小X大于最大X；","")&amp;IF(AND('02_固定地理'!I361&lt;&gt;"",'02_固定地理'!K361&lt;&gt;"",'02_固定地理'!I361&gt;'02_固定地理'!K361),"最小Y大于最大Y；","")&amp;IF(AND('02_固定地理'!E361&lt;&gt;"",COUNTIF('02_固定地理'!$A$2:$A$501,'02_固定地理'!E361)=0),"父级对象不存在；","")&amp;IF(AND('02_固定地理'!A361&lt;&gt;"",COUNTIF('02_固定地理'!$A$2:$A$501,'02_固定地理'!A361)&gt;1),"ID重复；",""),"")</f>
        <v/>
      </c>
      <c r="G361" s="14">
        <f>IF(F361&lt;&gt;"","按字段批注、数据字典和来源记录修正后复核","")</f>
        <v/>
      </c>
      <c r="H361" s="14">
        <f>IF(F361&lt;&gt;"","待处理","")</f>
        <v/>
      </c>
    </row>
    <row r="362">
      <c r="A362" s="14">
        <f>IF(F362&lt;&gt;"","ISSUE-"&amp;TEXT(ROW()-1,"00000"),"")</f>
        <v/>
      </c>
      <c r="B362" s="14">
        <f>IF(F362&lt;&gt;"","错误","")</f>
        <v/>
      </c>
      <c r="C362" s="14">
        <f>IF('02_固定地理'!A362&lt;&gt;"","02_固定地理","")</f>
        <v/>
      </c>
      <c r="D362" s="14">
        <f>IF('02_固定地理'!A362&lt;&gt;"",'02_固定地理'!A362,"")</f>
        <v/>
      </c>
      <c r="E362" s="14">
        <f>IF(F362&lt;&gt;"","综合校验","")</f>
        <v/>
      </c>
      <c r="F362" s="14">
        <f>IF('02_固定地理'!A362&lt;&gt;"",IF('02_固定地理'!A362="","缺少对象ID；","")&amp;IF('02_固定地理'!B362="","缺少中文名称；","")&amp;IF('02_固定地理'!D362="","缺少对象类型；","")&amp;IF(AND('02_固定地理'!F362&lt;&gt;"",OR('02_固定地理'!F362&lt;0,'02_固定地理'!F362&gt;WorldWidth)),"世界中心X越界；","")&amp;IF(AND('02_固定地理'!G362&lt;&gt;"",OR('02_固定地理'!G362&lt;0,'02_固定地理'!G362&gt;WorldHeight)),"世界中心Y越界；","")&amp;IF(AND('02_固定地理'!H362&lt;&gt;"",'02_固定地理'!J362&lt;&gt;"",'02_固定地理'!H362&gt;'02_固定地理'!J362),"最小X大于最大X；","")&amp;IF(AND('02_固定地理'!I362&lt;&gt;"",'02_固定地理'!K362&lt;&gt;"",'02_固定地理'!I362&gt;'02_固定地理'!K362),"最小Y大于最大Y；","")&amp;IF(AND('02_固定地理'!E362&lt;&gt;"",COUNTIF('02_固定地理'!$A$2:$A$501,'02_固定地理'!E362)=0),"父级对象不存在；","")&amp;IF(AND('02_固定地理'!A362&lt;&gt;"",COUNTIF('02_固定地理'!$A$2:$A$501,'02_固定地理'!A362)&gt;1),"ID重复；",""),"")</f>
        <v/>
      </c>
      <c r="G362" s="14">
        <f>IF(F362&lt;&gt;"","按字段批注、数据字典和来源记录修正后复核","")</f>
        <v/>
      </c>
      <c r="H362" s="14">
        <f>IF(F362&lt;&gt;"","待处理","")</f>
        <v/>
      </c>
    </row>
    <row r="363">
      <c r="A363" s="14">
        <f>IF(F363&lt;&gt;"","ISSUE-"&amp;TEXT(ROW()-1,"00000"),"")</f>
        <v/>
      </c>
      <c r="B363" s="14">
        <f>IF(F363&lt;&gt;"","错误","")</f>
        <v/>
      </c>
      <c r="C363" s="14">
        <f>IF('02_固定地理'!A363&lt;&gt;"","02_固定地理","")</f>
        <v/>
      </c>
      <c r="D363" s="14">
        <f>IF('02_固定地理'!A363&lt;&gt;"",'02_固定地理'!A363,"")</f>
        <v/>
      </c>
      <c r="E363" s="14">
        <f>IF(F363&lt;&gt;"","综合校验","")</f>
        <v/>
      </c>
      <c r="F363" s="14">
        <f>IF('02_固定地理'!A363&lt;&gt;"",IF('02_固定地理'!A363="","缺少对象ID；","")&amp;IF('02_固定地理'!B363="","缺少中文名称；","")&amp;IF('02_固定地理'!D363="","缺少对象类型；","")&amp;IF(AND('02_固定地理'!F363&lt;&gt;"",OR('02_固定地理'!F363&lt;0,'02_固定地理'!F363&gt;WorldWidth)),"世界中心X越界；","")&amp;IF(AND('02_固定地理'!G363&lt;&gt;"",OR('02_固定地理'!G363&lt;0,'02_固定地理'!G363&gt;WorldHeight)),"世界中心Y越界；","")&amp;IF(AND('02_固定地理'!H363&lt;&gt;"",'02_固定地理'!J363&lt;&gt;"",'02_固定地理'!H363&gt;'02_固定地理'!J363),"最小X大于最大X；","")&amp;IF(AND('02_固定地理'!I363&lt;&gt;"",'02_固定地理'!K363&lt;&gt;"",'02_固定地理'!I363&gt;'02_固定地理'!K363),"最小Y大于最大Y；","")&amp;IF(AND('02_固定地理'!E363&lt;&gt;"",COUNTIF('02_固定地理'!$A$2:$A$501,'02_固定地理'!E363)=0),"父级对象不存在；","")&amp;IF(AND('02_固定地理'!A363&lt;&gt;"",COUNTIF('02_固定地理'!$A$2:$A$501,'02_固定地理'!A363)&gt;1),"ID重复；",""),"")</f>
        <v/>
      </c>
      <c r="G363" s="14">
        <f>IF(F363&lt;&gt;"","按字段批注、数据字典和来源记录修正后复核","")</f>
        <v/>
      </c>
      <c r="H363" s="14">
        <f>IF(F363&lt;&gt;"","待处理","")</f>
        <v/>
      </c>
    </row>
    <row r="364">
      <c r="A364" s="14">
        <f>IF(F364&lt;&gt;"","ISSUE-"&amp;TEXT(ROW()-1,"00000"),"")</f>
        <v/>
      </c>
      <c r="B364" s="14">
        <f>IF(F364&lt;&gt;"","错误","")</f>
        <v/>
      </c>
      <c r="C364" s="14">
        <f>IF('02_固定地理'!A364&lt;&gt;"","02_固定地理","")</f>
        <v/>
      </c>
      <c r="D364" s="14">
        <f>IF('02_固定地理'!A364&lt;&gt;"",'02_固定地理'!A364,"")</f>
        <v/>
      </c>
      <c r="E364" s="14">
        <f>IF(F364&lt;&gt;"","综合校验","")</f>
        <v/>
      </c>
      <c r="F364" s="14">
        <f>IF('02_固定地理'!A364&lt;&gt;"",IF('02_固定地理'!A364="","缺少对象ID；","")&amp;IF('02_固定地理'!B364="","缺少中文名称；","")&amp;IF('02_固定地理'!D364="","缺少对象类型；","")&amp;IF(AND('02_固定地理'!F364&lt;&gt;"",OR('02_固定地理'!F364&lt;0,'02_固定地理'!F364&gt;WorldWidth)),"世界中心X越界；","")&amp;IF(AND('02_固定地理'!G364&lt;&gt;"",OR('02_固定地理'!G364&lt;0,'02_固定地理'!G364&gt;WorldHeight)),"世界中心Y越界；","")&amp;IF(AND('02_固定地理'!H364&lt;&gt;"",'02_固定地理'!J364&lt;&gt;"",'02_固定地理'!H364&gt;'02_固定地理'!J364),"最小X大于最大X；","")&amp;IF(AND('02_固定地理'!I364&lt;&gt;"",'02_固定地理'!K364&lt;&gt;"",'02_固定地理'!I364&gt;'02_固定地理'!K364),"最小Y大于最大Y；","")&amp;IF(AND('02_固定地理'!E364&lt;&gt;"",COUNTIF('02_固定地理'!$A$2:$A$501,'02_固定地理'!E364)=0),"父级对象不存在；","")&amp;IF(AND('02_固定地理'!A364&lt;&gt;"",COUNTIF('02_固定地理'!$A$2:$A$501,'02_固定地理'!A364)&gt;1),"ID重复；",""),"")</f>
        <v/>
      </c>
      <c r="G364" s="14">
        <f>IF(F364&lt;&gt;"","按字段批注、数据字典和来源记录修正后复核","")</f>
        <v/>
      </c>
      <c r="H364" s="14">
        <f>IF(F364&lt;&gt;"","待处理","")</f>
        <v/>
      </c>
    </row>
    <row r="365">
      <c r="A365" s="14">
        <f>IF(F365&lt;&gt;"","ISSUE-"&amp;TEXT(ROW()-1,"00000"),"")</f>
        <v/>
      </c>
      <c r="B365" s="14">
        <f>IF(F365&lt;&gt;"","错误","")</f>
        <v/>
      </c>
      <c r="C365" s="14">
        <f>IF('02_固定地理'!A365&lt;&gt;"","02_固定地理","")</f>
        <v/>
      </c>
      <c r="D365" s="14">
        <f>IF('02_固定地理'!A365&lt;&gt;"",'02_固定地理'!A365,"")</f>
        <v/>
      </c>
      <c r="E365" s="14">
        <f>IF(F365&lt;&gt;"","综合校验","")</f>
        <v/>
      </c>
      <c r="F365" s="14">
        <f>IF('02_固定地理'!A365&lt;&gt;"",IF('02_固定地理'!A365="","缺少对象ID；","")&amp;IF('02_固定地理'!B365="","缺少中文名称；","")&amp;IF('02_固定地理'!D365="","缺少对象类型；","")&amp;IF(AND('02_固定地理'!F365&lt;&gt;"",OR('02_固定地理'!F365&lt;0,'02_固定地理'!F365&gt;WorldWidth)),"世界中心X越界；","")&amp;IF(AND('02_固定地理'!G365&lt;&gt;"",OR('02_固定地理'!G365&lt;0,'02_固定地理'!G365&gt;WorldHeight)),"世界中心Y越界；","")&amp;IF(AND('02_固定地理'!H365&lt;&gt;"",'02_固定地理'!J365&lt;&gt;"",'02_固定地理'!H365&gt;'02_固定地理'!J365),"最小X大于最大X；","")&amp;IF(AND('02_固定地理'!I365&lt;&gt;"",'02_固定地理'!K365&lt;&gt;"",'02_固定地理'!I365&gt;'02_固定地理'!K365),"最小Y大于最大Y；","")&amp;IF(AND('02_固定地理'!E365&lt;&gt;"",COUNTIF('02_固定地理'!$A$2:$A$501,'02_固定地理'!E365)=0),"父级对象不存在；","")&amp;IF(AND('02_固定地理'!A365&lt;&gt;"",COUNTIF('02_固定地理'!$A$2:$A$501,'02_固定地理'!A365)&gt;1),"ID重复；",""),"")</f>
        <v/>
      </c>
      <c r="G365" s="14">
        <f>IF(F365&lt;&gt;"","按字段批注、数据字典和来源记录修正后复核","")</f>
        <v/>
      </c>
      <c r="H365" s="14">
        <f>IF(F365&lt;&gt;"","待处理","")</f>
        <v/>
      </c>
    </row>
    <row r="366">
      <c r="A366" s="14">
        <f>IF(F366&lt;&gt;"","ISSUE-"&amp;TEXT(ROW()-1,"00000"),"")</f>
        <v/>
      </c>
      <c r="B366" s="14">
        <f>IF(F366&lt;&gt;"","错误","")</f>
        <v/>
      </c>
      <c r="C366" s="14">
        <f>IF('02_固定地理'!A366&lt;&gt;"","02_固定地理","")</f>
        <v/>
      </c>
      <c r="D366" s="14">
        <f>IF('02_固定地理'!A366&lt;&gt;"",'02_固定地理'!A366,"")</f>
        <v/>
      </c>
      <c r="E366" s="14">
        <f>IF(F366&lt;&gt;"","综合校验","")</f>
        <v/>
      </c>
      <c r="F366" s="14">
        <f>IF('02_固定地理'!A366&lt;&gt;"",IF('02_固定地理'!A366="","缺少对象ID；","")&amp;IF('02_固定地理'!B366="","缺少中文名称；","")&amp;IF('02_固定地理'!D366="","缺少对象类型；","")&amp;IF(AND('02_固定地理'!F366&lt;&gt;"",OR('02_固定地理'!F366&lt;0,'02_固定地理'!F366&gt;WorldWidth)),"世界中心X越界；","")&amp;IF(AND('02_固定地理'!G366&lt;&gt;"",OR('02_固定地理'!G366&lt;0,'02_固定地理'!G366&gt;WorldHeight)),"世界中心Y越界；","")&amp;IF(AND('02_固定地理'!H366&lt;&gt;"",'02_固定地理'!J366&lt;&gt;"",'02_固定地理'!H366&gt;'02_固定地理'!J366),"最小X大于最大X；","")&amp;IF(AND('02_固定地理'!I366&lt;&gt;"",'02_固定地理'!K366&lt;&gt;"",'02_固定地理'!I366&gt;'02_固定地理'!K366),"最小Y大于最大Y；","")&amp;IF(AND('02_固定地理'!E366&lt;&gt;"",COUNTIF('02_固定地理'!$A$2:$A$501,'02_固定地理'!E366)=0),"父级对象不存在；","")&amp;IF(AND('02_固定地理'!A366&lt;&gt;"",COUNTIF('02_固定地理'!$A$2:$A$501,'02_固定地理'!A366)&gt;1),"ID重复；",""),"")</f>
        <v/>
      </c>
      <c r="G366" s="14">
        <f>IF(F366&lt;&gt;"","按字段批注、数据字典和来源记录修正后复核","")</f>
        <v/>
      </c>
      <c r="H366" s="14">
        <f>IF(F366&lt;&gt;"","待处理","")</f>
        <v/>
      </c>
    </row>
    <row r="367">
      <c r="A367" s="14">
        <f>IF(F367&lt;&gt;"","ISSUE-"&amp;TEXT(ROW()-1,"00000"),"")</f>
        <v/>
      </c>
      <c r="B367" s="14">
        <f>IF(F367&lt;&gt;"","错误","")</f>
        <v/>
      </c>
      <c r="C367" s="14">
        <f>IF('02_固定地理'!A367&lt;&gt;"","02_固定地理","")</f>
        <v/>
      </c>
      <c r="D367" s="14">
        <f>IF('02_固定地理'!A367&lt;&gt;"",'02_固定地理'!A367,"")</f>
        <v/>
      </c>
      <c r="E367" s="14">
        <f>IF(F367&lt;&gt;"","综合校验","")</f>
        <v/>
      </c>
      <c r="F367" s="14">
        <f>IF('02_固定地理'!A367&lt;&gt;"",IF('02_固定地理'!A367="","缺少对象ID；","")&amp;IF('02_固定地理'!B367="","缺少中文名称；","")&amp;IF('02_固定地理'!D367="","缺少对象类型；","")&amp;IF(AND('02_固定地理'!F367&lt;&gt;"",OR('02_固定地理'!F367&lt;0,'02_固定地理'!F367&gt;WorldWidth)),"世界中心X越界；","")&amp;IF(AND('02_固定地理'!G367&lt;&gt;"",OR('02_固定地理'!G367&lt;0,'02_固定地理'!G367&gt;WorldHeight)),"世界中心Y越界；","")&amp;IF(AND('02_固定地理'!H367&lt;&gt;"",'02_固定地理'!J367&lt;&gt;"",'02_固定地理'!H367&gt;'02_固定地理'!J367),"最小X大于最大X；","")&amp;IF(AND('02_固定地理'!I367&lt;&gt;"",'02_固定地理'!K367&lt;&gt;"",'02_固定地理'!I367&gt;'02_固定地理'!K367),"最小Y大于最大Y；","")&amp;IF(AND('02_固定地理'!E367&lt;&gt;"",COUNTIF('02_固定地理'!$A$2:$A$501,'02_固定地理'!E367)=0),"父级对象不存在；","")&amp;IF(AND('02_固定地理'!A367&lt;&gt;"",COUNTIF('02_固定地理'!$A$2:$A$501,'02_固定地理'!A367)&gt;1),"ID重复；",""),"")</f>
        <v/>
      </c>
      <c r="G367" s="14">
        <f>IF(F367&lt;&gt;"","按字段批注、数据字典和来源记录修正后复核","")</f>
        <v/>
      </c>
      <c r="H367" s="14">
        <f>IF(F367&lt;&gt;"","待处理","")</f>
        <v/>
      </c>
    </row>
    <row r="368">
      <c r="A368" s="14">
        <f>IF(F368&lt;&gt;"","ISSUE-"&amp;TEXT(ROW()-1,"00000"),"")</f>
        <v/>
      </c>
      <c r="B368" s="14">
        <f>IF(F368&lt;&gt;"","错误","")</f>
        <v/>
      </c>
      <c r="C368" s="14">
        <f>IF('02_固定地理'!A368&lt;&gt;"","02_固定地理","")</f>
        <v/>
      </c>
      <c r="D368" s="14">
        <f>IF('02_固定地理'!A368&lt;&gt;"",'02_固定地理'!A368,"")</f>
        <v/>
      </c>
      <c r="E368" s="14">
        <f>IF(F368&lt;&gt;"","综合校验","")</f>
        <v/>
      </c>
      <c r="F368" s="14">
        <f>IF('02_固定地理'!A368&lt;&gt;"",IF('02_固定地理'!A368="","缺少对象ID；","")&amp;IF('02_固定地理'!B368="","缺少中文名称；","")&amp;IF('02_固定地理'!D368="","缺少对象类型；","")&amp;IF(AND('02_固定地理'!F368&lt;&gt;"",OR('02_固定地理'!F368&lt;0,'02_固定地理'!F368&gt;WorldWidth)),"世界中心X越界；","")&amp;IF(AND('02_固定地理'!G368&lt;&gt;"",OR('02_固定地理'!G368&lt;0,'02_固定地理'!G368&gt;WorldHeight)),"世界中心Y越界；","")&amp;IF(AND('02_固定地理'!H368&lt;&gt;"",'02_固定地理'!J368&lt;&gt;"",'02_固定地理'!H368&gt;'02_固定地理'!J368),"最小X大于最大X；","")&amp;IF(AND('02_固定地理'!I368&lt;&gt;"",'02_固定地理'!K368&lt;&gt;"",'02_固定地理'!I368&gt;'02_固定地理'!K368),"最小Y大于最大Y；","")&amp;IF(AND('02_固定地理'!E368&lt;&gt;"",COUNTIF('02_固定地理'!$A$2:$A$501,'02_固定地理'!E368)=0),"父级对象不存在；","")&amp;IF(AND('02_固定地理'!A368&lt;&gt;"",COUNTIF('02_固定地理'!$A$2:$A$501,'02_固定地理'!A368)&gt;1),"ID重复；",""),"")</f>
        <v/>
      </c>
      <c r="G368" s="14">
        <f>IF(F368&lt;&gt;"","按字段批注、数据字典和来源记录修正后复核","")</f>
        <v/>
      </c>
      <c r="H368" s="14">
        <f>IF(F368&lt;&gt;"","待处理","")</f>
        <v/>
      </c>
    </row>
    <row r="369">
      <c r="A369" s="14">
        <f>IF(F369&lt;&gt;"","ISSUE-"&amp;TEXT(ROW()-1,"00000"),"")</f>
        <v/>
      </c>
      <c r="B369" s="14">
        <f>IF(F369&lt;&gt;"","错误","")</f>
        <v/>
      </c>
      <c r="C369" s="14">
        <f>IF('02_固定地理'!A369&lt;&gt;"","02_固定地理","")</f>
        <v/>
      </c>
      <c r="D369" s="14">
        <f>IF('02_固定地理'!A369&lt;&gt;"",'02_固定地理'!A369,"")</f>
        <v/>
      </c>
      <c r="E369" s="14">
        <f>IF(F369&lt;&gt;"","综合校验","")</f>
        <v/>
      </c>
      <c r="F369" s="14">
        <f>IF('02_固定地理'!A369&lt;&gt;"",IF('02_固定地理'!A369="","缺少对象ID；","")&amp;IF('02_固定地理'!B369="","缺少中文名称；","")&amp;IF('02_固定地理'!D369="","缺少对象类型；","")&amp;IF(AND('02_固定地理'!F369&lt;&gt;"",OR('02_固定地理'!F369&lt;0,'02_固定地理'!F369&gt;WorldWidth)),"世界中心X越界；","")&amp;IF(AND('02_固定地理'!G369&lt;&gt;"",OR('02_固定地理'!G369&lt;0,'02_固定地理'!G369&gt;WorldHeight)),"世界中心Y越界；","")&amp;IF(AND('02_固定地理'!H369&lt;&gt;"",'02_固定地理'!J369&lt;&gt;"",'02_固定地理'!H369&gt;'02_固定地理'!J369),"最小X大于最大X；","")&amp;IF(AND('02_固定地理'!I369&lt;&gt;"",'02_固定地理'!K369&lt;&gt;"",'02_固定地理'!I369&gt;'02_固定地理'!K369),"最小Y大于最大Y；","")&amp;IF(AND('02_固定地理'!E369&lt;&gt;"",COUNTIF('02_固定地理'!$A$2:$A$501,'02_固定地理'!E369)=0),"父级对象不存在；","")&amp;IF(AND('02_固定地理'!A369&lt;&gt;"",COUNTIF('02_固定地理'!$A$2:$A$501,'02_固定地理'!A369)&gt;1),"ID重复；",""),"")</f>
        <v/>
      </c>
      <c r="G369" s="14">
        <f>IF(F369&lt;&gt;"","按字段批注、数据字典和来源记录修正后复核","")</f>
        <v/>
      </c>
      <c r="H369" s="14">
        <f>IF(F369&lt;&gt;"","待处理","")</f>
        <v/>
      </c>
    </row>
    <row r="370">
      <c r="A370" s="14">
        <f>IF(F370&lt;&gt;"","ISSUE-"&amp;TEXT(ROW()-1,"00000"),"")</f>
        <v/>
      </c>
      <c r="B370" s="14">
        <f>IF(F370&lt;&gt;"","错误","")</f>
        <v/>
      </c>
      <c r="C370" s="14">
        <f>IF('02_固定地理'!A370&lt;&gt;"","02_固定地理","")</f>
        <v/>
      </c>
      <c r="D370" s="14">
        <f>IF('02_固定地理'!A370&lt;&gt;"",'02_固定地理'!A370,"")</f>
        <v/>
      </c>
      <c r="E370" s="14">
        <f>IF(F370&lt;&gt;"","综合校验","")</f>
        <v/>
      </c>
      <c r="F370" s="14">
        <f>IF('02_固定地理'!A370&lt;&gt;"",IF('02_固定地理'!A370="","缺少对象ID；","")&amp;IF('02_固定地理'!B370="","缺少中文名称；","")&amp;IF('02_固定地理'!D370="","缺少对象类型；","")&amp;IF(AND('02_固定地理'!F370&lt;&gt;"",OR('02_固定地理'!F370&lt;0,'02_固定地理'!F370&gt;WorldWidth)),"世界中心X越界；","")&amp;IF(AND('02_固定地理'!G370&lt;&gt;"",OR('02_固定地理'!G370&lt;0,'02_固定地理'!G370&gt;WorldHeight)),"世界中心Y越界；","")&amp;IF(AND('02_固定地理'!H370&lt;&gt;"",'02_固定地理'!J370&lt;&gt;"",'02_固定地理'!H370&gt;'02_固定地理'!J370),"最小X大于最大X；","")&amp;IF(AND('02_固定地理'!I370&lt;&gt;"",'02_固定地理'!K370&lt;&gt;"",'02_固定地理'!I370&gt;'02_固定地理'!K370),"最小Y大于最大Y；","")&amp;IF(AND('02_固定地理'!E370&lt;&gt;"",COUNTIF('02_固定地理'!$A$2:$A$501,'02_固定地理'!E370)=0),"父级对象不存在；","")&amp;IF(AND('02_固定地理'!A370&lt;&gt;"",COUNTIF('02_固定地理'!$A$2:$A$501,'02_固定地理'!A370)&gt;1),"ID重复；",""),"")</f>
        <v/>
      </c>
      <c r="G370" s="14">
        <f>IF(F370&lt;&gt;"","按字段批注、数据字典和来源记录修正后复核","")</f>
        <v/>
      </c>
      <c r="H370" s="14">
        <f>IF(F370&lt;&gt;"","待处理","")</f>
        <v/>
      </c>
    </row>
    <row r="371">
      <c r="A371" s="14">
        <f>IF(F371&lt;&gt;"","ISSUE-"&amp;TEXT(ROW()-1,"00000"),"")</f>
        <v/>
      </c>
      <c r="B371" s="14">
        <f>IF(F371&lt;&gt;"","错误","")</f>
        <v/>
      </c>
      <c r="C371" s="14">
        <f>IF('02_固定地理'!A371&lt;&gt;"","02_固定地理","")</f>
        <v/>
      </c>
      <c r="D371" s="14">
        <f>IF('02_固定地理'!A371&lt;&gt;"",'02_固定地理'!A371,"")</f>
        <v/>
      </c>
      <c r="E371" s="14">
        <f>IF(F371&lt;&gt;"","综合校验","")</f>
        <v/>
      </c>
      <c r="F371" s="14">
        <f>IF('02_固定地理'!A371&lt;&gt;"",IF('02_固定地理'!A371="","缺少对象ID；","")&amp;IF('02_固定地理'!B371="","缺少中文名称；","")&amp;IF('02_固定地理'!D371="","缺少对象类型；","")&amp;IF(AND('02_固定地理'!F371&lt;&gt;"",OR('02_固定地理'!F371&lt;0,'02_固定地理'!F371&gt;WorldWidth)),"世界中心X越界；","")&amp;IF(AND('02_固定地理'!G371&lt;&gt;"",OR('02_固定地理'!G371&lt;0,'02_固定地理'!G371&gt;WorldHeight)),"世界中心Y越界；","")&amp;IF(AND('02_固定地理'!H371&lt;&gt;"",'02_固定地理'!J371&lt;&gt;"",'02_固定地理'!H371&gt;'02_固定地理'!J371),"最小X大于最大X；","")&amp;IF(AND('02_固定地理'!I371&lt;&gt;"",'02_固定地理'!K371&lt;&gt;"",'02_固定地理'!I371&gt;'02_固定地理'!K371),"最小Y大于最大Y；","")&amp;IF(AND('02_固定地理'!E371&lt;&gt;"",COUNTIF('02_固定地理'!$A$2:$A$501,'02_固定地理'!E371)=0),"父级对象不存在；","")&amp;IF(AND('02_固定地理'!A371&lt;&gt;"",COUNTIF('02_固定地理'!$A$2:$A$501,'02_固定地理'!A371)&gt;1),"ID重复；",""),"")</f>
        <v/>
      </c>
      <c r="G371" s="14">
        <f>IF(F371&lt;&gt;"","按字段批注、数据字典和来源记录修正后复核","")</f>
        <v/>
      </c>
      <c r="H371" s="14">
        <f>IF(F371&lt;&gt;"","待处理","")</f>
        <v/>
      </c>
    </row>
    <row r="372">
      <c r="A372" s="14">
        <f>IF(F372&lt;&gt;"","ISSUE-"&amp;TEXT(ROW()-1,"00000"),"")</f>
        <v/>
      </c>
      <c r="B372" s="14">
        <f>IF(F372&lt;&gt;"","错误","")</f>
        <v/>
      </c>
      <c r="C372" s="14">
        <f>IF('02_固定地理'!A372&lt;&gt;"","02_固定地理","")</f>
        <v/>
      </c>
      <c r="D372" s="14">
        <f>IF('02_固定地理'!A372&lt;&gt;"",'02_固定地理'!A372,"")</f>
        <v/>
      </c>
      <c r="E372" s="14">
        <f>IF(F372&lt;&gt;"","综合校验","")</f>
        <v/>
      </c>
      <c r="F372" s="14">
        <f>IF('02_固定地理'!A372&lt;&gt;"",IF('02_固定地理'!A372="","缺少对象ID；","")&amp;IF('02_固定地理'!B372="","缺少中文名称；","")&amp;IF('02_固定地理'!D372="","缺少对象类型；","")&amp;IF(AND('02_固定地理'!F372&lt;&gt;"",OR('02_固定地理'!F372&lt;0,'02_固定地理'!F372&gt;WorldWidth)),"世界中心X越界；","")&amp;IF(AND('02_固定地理'!G372&lt;&gt;"",OR('02_固定地理'!G372&lt;0,'02_固定地理'!G372&gt;WorldHeight)),"世界中心Y越界；","")&amp;IF(AND('02_固定地理'!H372&lt;&gt;"",'02_固定地理'!J372&lt;&gt;"",'02_固定地理'!H372&gt;'02_固定地理'!J372),"最小X大于最大X；","")&amp;IF(AND('02_固定地理'!I372&lt;&gt;"",'02_固定地理'!K372&lt;&gt;"",'02_固定地理'!I372&gt;'02_固定地理'!K372),"最小Y大于最大Y；","")&amp;IF(AND('02_固定地理'!E372&lt;&gt;"",COUNTIF('02_固定地理'!$A$2:$A$501,'02_固定地理'!E372)=0),"父级对象不存在；","")&amp;IF(AND('02_固定地理'!A372&lt;&gt;"",COUNTIF('02_固定地理'!$A$2:$A$501,'02_固定地理'!A372)&gt;1),"ID重复；",""),"")</f>
        <v/>
      </c>
      <c r="G372" s="14">
        <f>IF(F372&lt;&gt;"","按字段批注、数据字典和来源记录修正后复核","")</f>
        <v/>
      </c>
      <c r="H372" s="14">
        <f>IF(F372&lt;&gt;"","待处理","")</f>
        <v/>
      </c>
    </row>
    <row r="373">
      <c r="A373" s="14">
        <f>IF(F373&lt;&gt;"","ISSUE-"&amp;TEXT(ROW()-1,"00000"),"")</f>
        <v/>
      </c>
      <c r="B373" s="14">
        <f>IF(F373&lt;&gt;"","错误","")</f>
        <v/>
      </c>
      <c r="C373" s="14">
        <f>IF('02_固定地理'!A373&lt;&gt;"","02_固定地理","")</f>
        <v/>
      </c>
      <c r="D373" s="14">
        <f>IF('02_固定地理'!A373&lt;&gt;"",'02_固定地理'!A373,"")</f>
        <v/>
      </c>
      <c r="E373" s="14">
        <f>IF(F373&lt;&gt;"","综合校验","")</f>
        <v/>
      </c>
      <c r="F373" s="14">
        <f>IF('02_固定地理'!A373&lt;&gt;"",IF('02_固定地理'!A373="","缺少对象ID；","")&amp;IF('02_固定地理'!B373="","缺少中文名称；","")&amp;IF('02_固定地理'!D373="","缺少对象类型；","")&amp;IF(AND('02_固定地理'!F373&lt;&gt;"",OR('02_固定地理'!F373&lt;0,'02_固定地理'!F373&gt;WorldWidth)),"世界中心X越界；","")&amp;IF(AND('02_固定地理'!G373&lt;&gt;"",OR('02_固定地理'!G373&lt;0,'02_固定地理'!G373&gt;WorldHeight)),"世界中心Y越界；","")&amp;IF(AND('02_固定地理'!H373&lt;&gt;"",'02_固定地理'!J373&lt;&gt;"",'02_固定地理'!H373&gt;'02_固定地理'!J373),"最小X大于最大X；","")&amp;IF(AND('02_固定地理'!I373&lt;&gt;"",'02_固定地理'!K373&lt;&gt;"",'02_固定地理'!I373&gt;'02_固定地理'!K373),"最小Y大于最大Y；","")&amp;IF(AND('02_固定地理'!E373&lt;&gt;"",COUNTIF('02_固定地理'!$A$2:$A$501,'02_固定地理'!E373)=0),"父级对象不存在；","")&amp;IF(AND('02_固定地理'!A373&lt;&gt;"",COUNTIF('02_固定地理'!$A$2:$A$501,'02_固定地理'!A373)&gt;1),"ID重复；",""),"")</f>
        <v/>
      </c>
      <c r="G373" s="14">
        <f>IF(F373&lt;&gt;"","按字段批注、数据字典和来源记录修正后复核","")</f>
        <v/>
      </c>
      <c r="H373" s="14">
        <f>IF(F373&lt;&gt;"","待处理","")</f>
        <v/>
      </c>
    </row>
    <row r="374">
      <c r="A374" s="14">
        <f>IF(F374&lt;&gt;"","ISSUE-"&amp;TEXT(ROW()-1,"00000"),"")</f>
        <v/>
      </c>
      <c r="B374" s="14">
        <f>IF(F374&lt;&gt;"","错误","")</f>
        <v/>
      </c>
      <c r="C374" s="14">
        <f>IF('02_固定地理'!A374&lt;&gt;"","02_固定地理","")</f>
        <v/>
      </c>
      <c r="D374" s="14">
        <f>IF('02_固定地理'!A374&lt;&gt;"",'02_固定地理'!A374,"")</f>
        <v/>
      </c>
      <c r="E374" s="14">
        <f>IF(F374&lt;&gt;"","综合校验","")</f>
        <v/>
      </c>
      <c r="F374" s="14">
        <f>IF('02_固定地理'!A374&lt;&gt;"",IF('02_固定地理'!A374="","缺少对象ID；","")&amp;IF('02_固定地理'!B374="","缺少中文名称；","")&amp;IF('02_固定地理'!D374="","缺少对象类型；","")&amp;IF(AND('02_固定地理'!F374&lt;&gt;"",OR('02_固定地理'!F374&lt;0,'02_固定地理'!F374&gt;WorldWidth)),"世界中心X越界；","")&amp;IF(AND('02_固定地理'!G374&lt;&gt;"",OR('02_固定地理'!G374&lt;0,'02_固定地理'!G374&gt;WorldHeight)),"世界中心Y越界；","")&amp;IF(AND('02_固定地理'!H374&lt;&gt;"",'02_固定地理'!J374&lt;&gt;"",'02_固定地理'!H374&gt;'02_固定地理'!J374),"最小X大于最大X；","")&amp;IF(AND('02_固定地理'!I374&lt;&gt;"",'02_固定地理'!K374&lt;&gt;"",'02_固定地理'!I374&gt;'02_固定地理'!K374),"最小Y大于最大Y；","")&amp;IF(AND('02_固定地理'!E374&lt;&gt;"",COUNTIF('02_固定地理'!$A$2:$A$501,'02_固定地理'!E374)=0),"父级对象不存在；","")&amp;IF(AND('02_固定地理'!A374&lt;&gt;"",COUNTIF('02_固定地理'!$A$2:$A$501,'02_固定地理'!A374)&gt;1),"ID重复；",""),"")</f>
        <v/>
      </c>
      <c r="G374" s="14">
        <f>IF(F374&lt;&gt;"","按字段批注、数据字典和来源记录修正后复核","")</f>
        <v/>
      </c>
      <c r="H374" s="14">
        <f>IF(F374&lt;&gt;"","待处理","")</f>
        <v/>
      </c>
    </row>
    <row r="375">
      <c r="A375" s="14">
        <f>IF(F375&lt;&gt;"","ISSUE-"&amp;TEXT(ROW()-1,"00000"),"")</f>
        <v/>
      </c>
      <c r="B375" s="14">
        <f>IF(F375&lt;&gt;"","错误","")</f>
        <v/>
      </c>
      <c r="C375" s="14">
        <f>IF('02_固定地理'!A375&lt;&gt;"","02_固定地理","")</f>
        <v/>
      </c>
      <c r="D375" s="14">
        <f>IF('02_固定地理'!A375&lt;&gt;"",'02_固定地理'!A375,"")</f>
        <v/>
      </c>
      <c r="E375" s="14">
        <f>IF(F375&lt;&gt;"","综合校验","")</f>
        <v/>
      </c>
      <c r="F375" s="14">
        <f>IF('02_固定地理'!A375&lt;&gt;"",IF('02_固定地理'!A375="","缺少对象ID；","")&amp;IF('02_固定地理'!B375="","缺少中文名称；","")&amp;IF('02_固定地理'!D375="","缺少对象类型；","")&amp;IF(AND('02_固定地理'!F375&lt;&gt;"",OR('02_固定地理'!F375&lt;0,'02_固定地理'!F375&gt;WorldWidth)),"世界中心X越界；","")&amp;IF(AND('02_固定地理'!G375&lt;&gt;"",OR('02_固定地理'!G375&lt;0,'02_固定地理'!G375&gt;WorldHeight)),"世界中心Y越界；","")&amp;IF(AND('02_固定地理'!H375&lt;&gt;"",'02_固定地理'!J375&lt;&gt;"",'02_固定地理'!H375&gt;'02_固定地理'!J375),"最小X大于最大X；","")&amp;IF(AND('02_固定地理'!I375&lt;&gt;"",'02_固定地理'!K375&lt;&gt;"",'02_固定地理'!I375&gt;'02_固定地理'!K375),"最小Y大于最大Y；","")&amp;IF(AND('02_固定地理'!E375&lt;&gt;"",COUNTIF('02_固定地理'!$A$2:$A$501,'02_固定地理'!E375)=0),"父级对象不存在；","")&amp;IF(AND('02_固定地理'!A375&lt;&gt;"",COUNTIF('02_固定地理'!$A$2:$A$501,'02_固定地理'!A375)&gt;1),"ID重复；",""),"")</f>
        <v/>
      </c>
      <c r="G375" s="14">
        <f>IF(F375&lt;&gt;"","按字段批注、数据字典和来源记录修正后复核","")</f>
        <v/>
      </c>
      <c r="H375" s="14">
        <f>IF(F375&lt;&gt;"","待处理","")</f>
        <v/>
      </c>
    </row>
    <row r="376">
      <c r="A376" s="14">
        <f>IF(F376&lt;&gt;"","ISSUE-"&amp;TEXT(ROW()-1,"00000"),"")</f>
        <v/>
      </c>
      <c r="B376" s="14">
        <f>IF(F376&lt;&gt;"","错误","")</f>
        <v/>
      </c>
      <c r="C376" s="14">
        <f>IF('02_固定地理'!A376&lt;&gt;"","02_固定地理","")</f>
        <v/>
      </c>
      <c r="D376" s="14">
        <f>IF('02_固定地理'!A376&lt;&gt;"",'02_固定地理'!A376,"")</f>
        <v/>
      </c>
      <c r="E376" s="14">
        <f>IF(F376&lt;&gt;"","综合校验","")</f>
        <v/>
      </c>
      <c r="F376" s="14">
        <f>IF('02_固定地理'!A376&lt;&gt;"",IF('02_固定地理'!A376="","缺少对象ID；","")&amp;IF('02_固定地理'!B376="","缺少中文名称；","")&amp;IF('02_固定地理'!D376="","缺少对象类型；","")&amp;IF(AND('02_固定地理'!F376&lt;&gt;"",OR('02_固定地理'!F376&lt;0,'02_固定地理'!F376&gt;WorldWidth)),"世界中心X越界；","")&amp;IF(AND('02_固定地理'!G376&lt;&gt;"",OR('02_固定地理'!G376&lt;0,'02_固定地理'!G376&gt;WorldHeight)),"世界中心Y越界；","")&amp;IF(AND('02_固定地理'!H376&lt;&gt;"",'02_固定地理'!J376&lt;&gt;"",'02_固定地理'!H376&gt;'02_固定地理'!J376),"最小X大于最大X；","")&amp;IF(AND('02_固定地理'!I376&lt;&gt;"",'02_固定地理'!K376&lt;&gt;"",'02_固定地理'!I376&gt;'02_固定地理'!K376),"最小Y大于最大Y；","")&amp;IF(AND('02_固定地理'!E376&lt;&gt;"",COUNTIF('02_固定地理'!$A$2:$A$501,'02_固定地理'!E376)=0),"父级对象不存在；","")&amp;IF(AND('02_固定地理'!A376&lt;&gt;"",COUNTIF('02_固定地理'!$A$2:$A$501,'02_固定地理'!A376)&gt;1),"ID重复；",""),"")</f>
        <v/>
      </c>
      <c r="G376" s="14">
        <f>IF(F376&lt;&gt;"","按字段批注、数据字典和来源记录修正后复核","")</f>
        <v/>
      </c>
      <c r="H376" s="14">
        <f>IF(F376&lt;&gt;"","待处理","")</f>
        <v/>
      </c>
    </row>
    <row r="377">
      <c r="A377" s="14">
        <f>IF(F377&lt;&gt;"","ISSUE-"&amp;TEXT(ROW()-1,"00000"),"")</f>
        <v/>
      </c>
      <c r="B377" s="14">
        <f>IF(F377&lt;&gt;"","错误","")</f>
        <v/>
      </c>
      <c r="C377" s="14">
        <f>IF('02_固定地理'!A377&lt;&gt;"","02_固定地理","")</f>
        <v/>
      </c>
      <c r="D377" s="14">
        <f>IF('02_固定地理'!A377&lt;&gt;"",'02_固定地理'!A377,"")</f>
        <v/>
      </c>
      <c r="E377" s="14">
        <f>IF(F377&lt;&gt;"","综合校验","")</f>
        <v/>
      </c>
      <c r="F377" s="14">
        <f>IF('02_固定地理'!A377&lt;&gt;"",IF('02_固定地理'!A377="","缺少对象ID；","")&amp;IF('02_固定地理'!B377="","缺少中文名称；","")&amp;IF('02_固定地理'!D377="","缺少对象类型；","")&amp;IF(AND('02_固定地理'!F377&lt;&gt;"",OR('02_固定地理'!F377&lt;0,'02_固定地理'!F377&gt;WorldWidth)),"世界中心X越界；","")&amp;IF(AND('02_固定地理'!G377&lt;&gt;"",OR('02_固定地理'!G377&lt;0,'02_固定地理'!G377&gt;WorldHeight)),"世界中心Y越界；","")&amp;IF(AND('02_固定地理'!H377&lt;&gt;"",'02_固定地理'!J377&lt;&gt;"",'02_固定地理'!H377&gt;'02_固定地理'!J377),"最小X大于最大X；","")&amp;IF(AND('02_固定地理'!I377&lt;&gt;"",'02_固定地理'!K377&lt;&gt;"",'02_固定地理'!I377&gt;'02_固定地理'!K377),"最小Y大于最大Y；","")&amp;IF(AND('02_固定地理'!E377&lt;&gt;"",COUNTIF('02_固定地理'!$A$2:$A$501,'02_固定地理'!E377)=0),"父级对象不存在；","")&amp;IF(AND('02_固定地理'!A377&lt;&gt;"",COUNTIF('02_固定地理'!$A$2:$A$501,'02_固定地理'!A377)&gt;1),"ID重复；",""),"")</f>
        <v/>
      </c>
      <c r="G377" s="14">
        <f>IF(F377&lt;&gt;"","按字段批注、数据字典和来源记录修正后复核","")</f>
        <v/>
      </c>
      <c r="H377" s="14">
        <f>IF(F377&lt;&gt;"","待处理","")</f>
        <v/>
      </c>
    </row>
    <row r="378">
      <c r="A378" s="14">
        <f>IF(F378&lt;&gt;"","ISSUE-"&amp;TEXT(ROW()-1,"00000"),"")</f>
        <v/>
      </c>
      <c r="B378" s="14">
        <f>IF(F378&lt;&gt;"","错误","")</f>
        <v/>
      </c>
      <c r="C378" s="14">
        <f>IF('02_固定地理'!A378&lt;&gt;"","02_固定地理","")</f>
        <v/>
      </c>
      <c r="D378" s="14">
        <f>IF('02_固定地理'!A378&lt;&gt;"",'02_固定地理'!A378,"")</f>
        <v/>
      </c>
      <c r="E378" s="14">
        <f>IF(F378&lt;&gt;"","综合校验","")</f>
        <v/>
      </c>
      <c r="F378" s="14">
        <f>IF('02_固定地理'!A378&lt;&gt;"",IF('02_固定地理'!A378="","缺少对象ID；","")&amp;IF('02_固定地理'!B378="","缺少中文名称；","")&amp;IF('02_固定地理'!D378="","缺少对象类型；","")&amp;IF(AND('02_固定地理'!F378&lt;&gt;"",OR('02_固定地理'!F378&lt;0,'02_固定地理'!F378&gt;WorldWidth)),"世界中心X越界；","")&amp;IF(AND('02_固定地理'!G378&lt;&gt;"",OR('02_固定地理'!G378&lt;0,'02_固定地理'!G378&gt;WorldHeight)),"世界中心Y越界；","")&amp;IF(AND('02_固定地理'!H378&lt;&gt;"",'02_固定地理'!J378&lt;&gt;"",'02_固定地理'!H378&gt;'02_固定地理'!J378),"最小X大于最大X；","")&amp;IF(AND('02_固定地理'!I378&lt;&gt;"",'02_固定地理'!K378&lt;&gt;"",'02_固定地理'!I378&gt;'02_固定地理'!K378),"最小Y大于最大Y；","")&amp;IF(AND('02_固定地理'!E378&lt;&gt;"",COUNTIF('02_固定地理'!$A$2:$A$501,'02_固定地理'!E378)=0),"父级对象不存在；","")&amp;IF(AND('02_固定地理'!A378&lt;&gt;"",COUNTIF('02_固定地理'!$A$2:$A$501,'02_固定地理'!A378)&gt;1),"ID重复；",""),"")</f>
        <v/>
      </c>
      <c r="G378" s="14">
        <f>IF(F378&lt;&gt;"","按字段批注、数据字典和来源记录修正后复核","")</f>
        <v/>
      </c>
      <c r="H378" s="14">
        <f>IF(F378&lt;&gt;"","待处理","")</f>
        <v/>
      </c>
    </row>
    <row r="379">
      <c r="A379" s="14">
        <f>IF(F379&lt;&gt;"","ISSUE-"&amp;TEXT(ROW()-1,"00000"),"")</f>
        <v/>
      </c>
      <c r="B379" s="14">
        <f>IF(F379&lt;&gt;"","错误","")</f>
        <v/>
      </c>
      <c r="C379" s="14">
        <f>IF('02_固定地理'!A379&lt;&gt;"","02_固定地理","")</f>
        <v/>
      </c>
      <c r="D379" s="14">
        <f>IF('02_固定地理'!A379&lt;&gt;"",'02_固定地理'!A379,"")</f>
        <v/>
      </c>
      <c r="E379" s="14">
        <f>IF(F379&lt;&gt;"","综合校验","")</f>
        <v/>
      </c>
      <c r="F379" s="14">
        <f>IF('02_固定地理'!A379&lt;&gt;"",IF('02_固定地理'!A379="","缺少对象ID；","")&amp;IF('02_固定地理'!B379="","缺少中文名称；","")&amp;IF('02_固定地理'!D379="","缺少对象类型；","")&amp;IF(AND('02_固定地理'!F379&lt;&gt;"",OR('02_固定地理'!F379&lt;0,'02_固定地理'!F379&gt;WorldWidth)),"世界中心X越界；","")&amp;IF(AND('02_固定地理'!G379&lt;&gt;"",OR('02_固定地理'!G379&lt;0,'02_固定地理'!G379&gt;WorldHeight)),"世界中心Y越界；","")&amp;IF(AND('02_固定地理'!H379&lt;&gt;"",'02_固定地理'!J379&lt;&gt;"",'02_固定地理'!H379&gt;'02_固定地理'!J379),"最小X大于最大X；","")&amp;IF(AND('02_固定地理'!I379&lt;&gt;"",'02_固定地理'!K379&lt;&gt;"",'02_固定地理'!I379&gt;'02_固定地理'!K379),"最小Y大于最大Y；","")&amp;IF(AND('02_固定地理'!E379&lt;&gt;"",COUNTIF('02_固定地理'!$A$2:$A$501,'02_固定地理'!E379)=0),"父级对象不存在；","")&amp;IF(AND('02_固定地理'!A379&lt;&gt;"",COUNTIF('02_固定地理'!$A$2:$A$501,'02_固定地理'!A379)&gt;1),"ID重复；",""),"")</f>
        <v/>
      </c>
      <c r="G379" s="14">
        <f>IF(F379&lt;&gt;"","按字段批注、数据字典和来源记录修正后复核","")</f>
        <v/>
      </c>
      <c r="H379" s="14">
        <f>IF(F379&lt;&gt;"","待处理","")</f>
        <v/>
      </c>
    </row>
    <row r="380">
      <c r="A380" s="14">
        <f>IF(F380&lt;&gt;"","ISSUE-"&amp;TEXT(ROW()-1,"00000"),"")</f>
        <v/>
      </c>
      <c r="B380" s="14">
        <f>IF(F380&lt;&gt;"","错误","")</f>
        <v/>
      </c>
      <c r="C380" s="14">
        <f>IF('02_固定地理'!A380&lt;&gt;"","02_固定地理","")</f>
        <v/>
      </c>
      <c r="D380" s="14">
        <f>IF('02_固定地理'!A380&lt;&gt;"",'02_固定地理'!A380,"")</f>
        <v/>
      </c>
      <c r="E380" s="14">
        <f>IF(F380&lt;&gt;"","综合校验","")</f>
        <v/>
      </c>
      <c r="F380" s="14">
        <f>IF('02_固定地理'!A380&lt;&gt;"",IF('02_固定地理'!A380="","缺少对象ID；","")&amp;IF('02_固定地理'!B380="","缺少中文名称；","")&amp;IF('02_固定地理'!D380="","缺少对象类型；","")&amp;IF(AND('02_固定地理'!F380&lt;&gt;"",OR('02_固定地理'!F380&lt;0,'02_固定地理'!F380&gt;WorldWidth)),"世界中心X越界；","")&amp;IF(AND('02_固定地理'!G380&lt;&gt;"",OR('02_固定地理'!G380&lt;0,'02_固定地理'!G380&gt;WorldHeight)),"世界中心Y越界；","")&amp;IF(AND('02_固定地理'!H380&lt;&gt;"",'02_固定地理'!J380&lt;&gt;"",'02_固定地理'!H380&gt;'02_固定地理'!J380),"最小X大于最大X；","")&amp;IF(AND('02_固定地理'!I380&lt;&gt;"",'02_固定地理'!K380&lt;&gt;"",'02_固定地理'!I380&gt;'02_固定地理'!K380),"最小Y大于最大Y；","")&amp;IF(AND('02_固定地理'!E380&lt;&gt;"",COUNTIF('02_固定地理'!$A$2:$A$501,'02_固定地理'!E380)=0),"父级对象不存在；","")&amp;IF(AND('02_固定地理'!A380&lt;&gt;"",COUNTIF('02_固定地理'!$A$2:$A$501,'02_固定地理'!A380)&gt;1),"ID重复；",""),"")</f>
        <v/>
      </c>
      <c r="G380" s="14">
        <f>IF(F380&lt;&gt;"","按字段批注、数据字典和来源记录修正后复核","")</f>
        <v/>
      </c>
      <c r="H380" s="14">
        <f>IF(F380&lt;&gt;"","待处理","")</f>
        <v/>
      </c>
    </row>
    <row r="381">
      <c r="A381" s="14">
        <f>IF(F381&lt;&gt;"","ISSUE-"&amp;TEXT(ROW()-1,"00000"),"")</f>
        <v/>
      </c>
      <c r="B381" s="14">
        <f>IF(F381&lt;&gt;"","错误","")</f>
        <v/>
      </c>
      <c r="C381" s="14">
        <f>IF('02_固定地理'!A381&lt;&gt;"","02_固定地理","")</f>
        <v/>
      </c>
      <c r="D381" s="14">
        <f>IF('02_固定地理'!A381&lt;&gt;"",'02_固定地理'!A381,"")</f>
        <v/>
      </c>
      <c r="E381" s="14">
        <f>IF(F381&lt;&gt;"","综合校验","")</f>
        <v/>
      </c>
      <c r="F381" s="14">
        <f>IF('02_固定地理'!A381&lt;&gt;"",IF('02_固定地理'!A381="","缺少对象ID；","")&amp;IF('02_固定地理'!B381="","缺少中文名称；","")&amp;IF('02_固定地理'!D381="","缺少对象类型；","")&amp;IF(AND('02_固定地理'!F381&lt;&gt;"",OR('02_固定地理'!F381&lt;0,'02_固定地理'!F381&gt;WorldWidth)),"世界中心X越界；","")&amp;IF(AND('02_固定地理'!G381&lt;&gt;"",OR('02_固定地理'!G381&lt;0,'02_固定地理'!G381&gt;WorldHeight)),"世界中心Y越界；","")&amp;IF(AND('02_固定地理'!H381&lt;&gt;"",'02_固定地理'!J381&lt;&gt;"",'02_固定地理'!H381&gt;'02_固定地理'!J381),"最小X大于最大X；","")&amp;IF(AND('02_固定地理'!I381&lt;&gt;"",'02_固定地理'!K381&lt;&gt;"",'02_固定地理'!I381&gt;'02_固定地理'!K381),"最小Y大于最大Y；","")&amp;IF(AND('02_固定地理'!E381&lt;&gt;"",COUNTIF('02_固定地理'!$A$2:$A$501,'02_固定地理'!E381)=0),"父级对象不存在；","")&amp;IF(AND('02_固定地理'!A381&lt;&gt;"",COUNTIF('02_固定地理'!$A$2:$A$501,'02_固定地理'!A381)&gt;1),"ID重复；",""),"")</f>
        <v/>
      </c>
      <c r="G381" s="14">
        <f>IF(F381&lt;&gt;"","按字段批注、数据字典和来源记录修正后复核","")</f>
        <v/>
      </c>
      <c r="H381" s="14">
        <f>IF(F381&lt;&gt;"","待处理","")</f>
        <v/>
      </c>
    </row>
    <row r="382">
      <c r="A382" s="14">
        <f>IF(F382&lt;&gt;"","ISSUE-"&amp;TEXT(ROW()-1,"00000"),"")</f>
        <v/>
      </c>
      <c r="B382" s="14">
        <f>IF(F382&lt;&gt;"","错误","")</f>
        <v/>
      </c>
      <c r="C382" s="14">
        <f>IF('02_固定地理'!A382&lt;&gt;"","02_固定地理","")</f>
        <v/>
      </c>
      <c r="D382" s="14">
        <f>IF('02_固定地理'!A382&lt;&gt;"",'02_固定地理'!A382,"")</f>
        <v/>
      </c>
      <c r="E382" s="14">
        <f>IF(F382&lt;&gt;"","综合校验","")</f>
        <v/>
      </c>
      <c r="F382" s="14">
        <f>IF('02_固定地理'!A382&lt;&gt;"",IF('02_固定地理'!A382="","缺少对象ID；","")&amp;IF('02_固定地理'!B382="","缺少中文名称；","")&amp;IF('02_固定地理'!D382="","缺少对象类型；","")&amp;IF(AND('02_固定地理'!F382&lt;&gt;"",OR('02_固定地理'!F382&lt;0,'02_固定地理'!F382&gt;WorldWidth)),"世界中心X越界；","")&amp;IF(AND('02_固定地理'!G382&lt;&gt;"",OR('02_固定地理'!G382&lt;0,'02_固定地理'!G382&gt;WorldHeight)),"世界中心Y越界；","")&amp;IF(AND('02_固定地理'!H382&lt;&gt;"",'02_固定地理'!J382&lt;&gt;"",'02_固定地理'!H382&gt;'02_固定地理'!J382),"最小X大于最大X；","")&amp;IF(AND('02_固定地理'!I382&lt;&gt;"",'02_固定地理'!K382&lt;&gt;"",'02_固定地理'!I382&gt;'02_固定地理'!K382),"最小Y大于最大Y；","")&amp;IF(AND('02_固定地理'!E382&lt;&gt;"",COUNTIF('02_固定地理'!$A$2:$A$501,'02_固定地理'!E382)=0),"父级对象不存在；","")&amp;IF(AND('02_固定地理'!A382&lt;&gt;"",COUNTIF('02_固定地理'!$A$2:$A$501,'02_固定地理'!A382)&gt;1),"ID重复；",""),"")</f>
        <v/>
      </c>
      <c r="G382" s="14">
        <f>IF(F382&lt;&gt;"","按字段批注、数据字典和来源记录修正后复核","")</f>
        <v/>
      </c>
      <c r="H382" s="14">
        <f>IF(F382&lt;&gt;"","待处理","")</f>
        <v/>
      </c>
    </row>
    <row r="383">
      <c r="A383" s="14">
        <f>IF(F383&lt;&gt;"","ISSUE-"&amp;TEXT(ROW()-1,"00000"),"")</f>
        <v/>
      </c>
      <c r="B383" s="14">
        <f>IF(F383&lt;&gt;"","错误","")</f>
        <v/>
      </c>
      <c r="C383" s="14">
        <f>IF('02_固定地理'!A383&lt;&gt;"","02_固定地理","")</f>
        <v/>
      </c>
      <c r="D383" s="14">
        <f>IF('02_固定地理'!A383&lt;&gt;"",'02_固定地理'!A383,"")</f>
        <v/>
      </c>
      <c r="E383" s="14">
        <f>IF(F383&lt;&gt;"","综合校验","")</f>
        <v/>
      </c>
      <c r="F383" s="14">
        <f>IF('02_固定地理'!A383&lt;&gt;"",IF('02_固定地理'!A383="","缺少对象ID；","")&amp;IF('02_固定地理'!B383="","缺少中文名称；","")&amp;IF('02_固定地理'!D383="","缺少对象类型；","")&amp;IF(AND('02_固定地理'!F383&lt;&gt;"",OR('02_固定地理'!F383&lt;0,'02_固定地理'!F383&gt;WorldWidth)),"世界中心X越界；","")&amp;IF(AND('02_固定地理'!G383&lt;&gt;"",OR('02_固定地理'!G383&lt;0,'02_固定地理'!G383&gt;WorldHeight)),"世界中心Y越界；","")&amp;IF(AND('02_固定地理'!H383&lt;&gt;"",'02_固定地理'!J383&lt;&gt;"",'02_固定地理'!H383&gt;'02_固定地理'!J383),"最小X大于最大X；","")&amp;IF(AND('02_固定地理'!I383&lt;&gt;"",'02_固定地理'!K383&lt;&gt;"",'02_固定地理'!I383&gt;'02_固定地理'!K383),"最小Y大于最大Y；","")&amp;IF(AND('02_固定地理'!E383&lt;&gt;"",COUNTIF('02_固定地理'!$A$2:$A$501,'02_固定地理'!E383)=0),"父级对象不存在；","")&amp;IF(AND('02_固定地理'!A383&lt;&gt;"",COUNTIF('02_固定地理'!$A$2:$A$501,'02_固定地理'!A383)&gt;1),"ID重复；",""),"")</f>
        <v/>
      </c>
      <c r="G383" s="14">
        <f>IF(F383&lt;&gt;"","按字段批注、数据字典和来源记录修正后复核","")</f>
        <v/>
      </c>
      <c r="H383" s="14">
        <f>IF(F383&lt;&gt;"","待处理","")</f>
        <v/>
      </c>
    </row>
    <row r="384">
      <c r="A384" s="14">
        <f>IF(F384&lt;&gt;"","ISSUE-"&amp;TEXT(ROW()-1,"00000"),"")</f>
        <v/>
      </c>
      <c r="B384" s="14">
        <f>IF(F384&lt;&gt;"","错误","")</f>
        <v/>
      </c>
      <c r="C384" s="14">
        <f>IF('02_固定地理'!A384&lt;&gt;"","02_固定地理","")</f>
        <v/>
      </c>
      <c r="D384" s="14">
        <f>IF('02_固定地理'!A384&lt;&gt;"",'02_固定地理'!A384,"")</f>
        <v/>
      </c>
      <c r="E384" s="14">
        <f>IF(F384&lt;&gt;"","综合校验","")</f>
        <v/>
      </c>
      <c r="F384" s="14">
        <f>IF('02_固定地理'!A384&lt;&gt;"",IF('02_固定地理'!A384="","缺少对象ID；","")&amp;IF('02_固定地理'!B384="","缺少中文名称；","")&amp;IF('02_固定地理'!D384="","缺少对象类型；","")&amp;IF(AND('02_固定地理'!F384&lt;&gt;"",OR('02_固定地理'!F384&lt;0,'02_固定地理'!F384&gt;WorldWidth)),"世界中心X越界；","")&amp;IF(AND('02_固定地理'!G384&lt;&gt;"",OR('02_固定地理'!G384&lt;0,'02_固定地理'!G384&gt;WorldHeight)),"世界中心Y越界；","")&amp;IF(AND('02_固定地理'!H384&lt;&gt;"",'02_固定地理'!J384&lt;&gt;"",'02_固定地理'!H384&gt;'02_固定地理'!J384),"最小X大于最大X；","")&amp;IF(AND('02_固定地理'!I384&lt;&gt;"",'02_固定地理'!K384&lt;&gt;"",'02_固定地理'!I384&gt;'02_固定地理'!K384),"最小Y大于最大Y；","")&amp;IF(AND('02_固定地理'!E384&lt;&gt;"",COUNTIF('02_固定地理'!$A$2:$A$501,'02_固定地理'!E384)=0),"父级对象不存在；","")&amp;IF(AND('02_固定地理'!A384&lt;&gt;"",COUNTIF('02_固定地理'!$A$2:$A$501,'02_固定地理'!A384)&gt;1),"ID重复；",""),"")</f>
        <v/>
      </c>
      <c r="G384" s="14">
        <f>IF(F384&lt;&gt;"","按字段批注、数据字典和来源记录修正后复核","")</f>
        <v/>
      </c>
      <c r="H384" s="14">
        <f>IF(F384&lt;&gt;"","待处理","")</f>
        <v/>
      </c>
    </row>
    <row r="385">
      <c r="A385" s="14">
        <f>IF(F385&lt;&gt;"","ISSUE-"&amp;TEXT(ROW()-1,"00000"),"")</f>
        <v/>
      </c>
      <c r="B385" s="14">
        <f>IF(F385&lt;&gt;"","错误","")</f>
        <v/>
      </c>
      <c r="C385" s="14">
        <f>IF('02_固定地理'!A385&lt;&gt;"","02_固定地理","")</f>
        <v/>
      </c>
      <c r="D385" s="14">
        <f>IF('02_固定地理'!A385&lt;&gt;"",'02_固定地理'!A385,"")</f>
        <v/>
      </c>
      <c r="E385" s="14">
        <f>IF(F385&lt;&gt;"","综合校验","")</f>
        <v/>
      </c>
      <c r="F385" s="14">
        <f>IF('02_固定地理'!A385&lt;&gt;"",IF('02_固定地理'!A385="","缺少对象ID；","")&amp;IF('02_固定地理'!B385="","缺少中文名称；","")&amp;IF('02_固定地理'!D385="","缺少对象类型；","")&amp;IF(AND('02_固定地理'!F385&lt;&gt;"",OR('02_固定地理'!F385&lt;0,'02_固定地理'!F385&gt;WorldWidth)),"世界中心X越界；","")&amp;IF(AND('02_固定地理'!G385&lt;&gt;"",OR('02_固定地理'!G385&lt;0,'02_固定地理'!G385&gt;WorldHeight)),"世界中心Y越界；","")&amp;IF(AND('02_固定地理'!H385&lt;&gt;"",'02_固定地理'!J385&lt;&gt;"",'02_固定地理'!H385&gt;'02_固定地理'!J385),"最小X大于最大X；","")&amp;IF(AND('02_固定地理'!I385&lt;&gt;"",'02_固定地理'!K385&lt;&gt;"",'02_固定地理'!I385&gt;'02_固定地理'!K385),"最小Y大于最大Y；","")&amp;IF(AND('02_固定地理'!E385&lt;&gt;"",COUNTIF('02_固定地理'!$A$2:$A$501,'02_固定地理'!E385)=0),"父级对象不存在；","")&amp;IF(AND('02_固定地理'!A385&lt;&gt;"",COUNTIF('02_固定地理'!$A$2:$A$501,'02_固定地理'!A385)&gt;1),"ID重复；",""),"")</f>
        <v/>
      </c>
      <c r="G385" s="14">
        <f>IF(F385&lt;&gt;"","按字段批注、数据字典和来源记录修正后复核","")</f>
        <v/>
      </c>
      <c r="H385" s="14">
        <f>IF(F385&lt;&gt;"","待处理","")</f>
        <v/>
      </c>
    </row>
    <row r="386">
      <c r="A386" s="14">
        <f>IF(F386&lt;&gt;"","ISSUE-"&amp;TEXT(ROW()-1,"00000"),"")</f>
        <v/>
      </c>
      <c r="B386" s="14">
        <f>IF(F386&lt;&gt;"","错误","")</f>
        <v/>
      </c>
      <c r="C386" s="14">
        <f>IF('02_固定地理'!A386&lt;&gt;"","02_固定地理","")</f>
        <v/>
      </c>
      <c r="D386" s="14">
        <f>IF('02_固定地理'!A386&lt;&gt;"",'02_固定地理'!A386,"")</f>
        <v/>
      </c>
      <c r="E386" s="14">
        <f>IF(F386&lt;&gt;"","综合校验","")</f>
        <v/>
      </c>
      <c r="F386" s="14">
        <f>IF('02_固定地理'!A386&lt;&gt;"",IF('02_固定地理'!A386="","缺少对象ID；","")&amp;IF('02_固定地理'!B386="","缺少中文名称；","")&amp;IF('02_固定地理'!D386="","缺少对象类型；","")&amp;IF(AND('02_固定地理'!F386&lt;&gt;"",OR('02_固定地理'!F386&lt;0,'02_固定地理'!F386&gt;WorldWidth)),"世界中心X越界；","")&amp;IF(AND('02_固定地理'!G386&lt;&gt;"",OR('02_固定地理'!G386&lt;0,'02_固定地理'!G386&gt;WorldHeight)),"世界中心Y越界；","")&amp;IF(AND('02_固定地理'!H386&lt;&gt;"",'02_固定地理'!J386&lt;&gt;"",'02_固定地理'!H386&gt;'02_固定地理'!J386),"最小X大于最大X；","")&amp;IF(AND('02_固定地理'!I386&lt;&gt;"",'02_固定地理'!K386&lt;&gt;"",'02_固定地理'!I386&gt;'02_固定地理'!K386),"最小Y大于最大Y；","")&amp;IF(AND('02_固定地理'!E386&lt;&gt;"",COUNTIF('02_固定地理'!$A$2:$A$501,'02_固定地理'!E386)=0),"父级对象不存在；","")&amp;IF(AND('02_固定地理'!A386&lt;&gt;"",COUNTIF('02_固定地理'!$A$2:$A$501,'02_固定地理'!A386)&gt;1),"ID重复；",""),"")</f>
        <v/>
      </c>
      <c r="G386" s="14">
        <f>IF(F386&lt;&gt;"","按字段批注、数据字典和来源记录修正后复核","")</f>
        <v/>
      </c>
      <c r="H386" s="14">
        <f>IF(F386&lt;&gt;"","待处理","")</f>
        <v/>
      </c>
    </row>
    <row r="387">
      <c r="A387" s="14">
        <f>IF(F387&lt;&gt;"","ISSUE-"&amp;TEXT(ROW()-1,"00000"),"")</f>
        <v/>
      </c>
      <c r="B387" s="14">
        <f>IF(F387&lt;&gt;"","错误","")</f>
        <v/>
      </c>
      <c r="C387" s="14">
        <f>IF('02_固定地理'!A387&lt;&gt;"","02_固定地理","")</f>
        <v/>
      </c>
      <c r="D387" s="14">
        <f>IF('02_固定地理'!A387&lt;&gt;"",'02_固定地理'!A387,"")</f>
        <v/>
      </c>
      <c r="E387" s="14">
        <f>IF(F387&lt;&gt;"","综合校验","")</f>
        <v/>
      </c>
      <c r="F387" s="14">
        <f>IF('02_固定地理'!A387&lt;&gt;"",IF('02_固定地理'!A387="","缺少对象ID；","")&amp;IF('02_固定地理'!B387="","缺少中文名称；","")&amp;IF('02_固定地理'!D387="","缺少对象类型；","")&amp;IF(AND('02_固定地理'!F387&lt;&gt;"",OR('02_固定地理'!F387&lt;0,'02_固定地理'!F387&gt;WorldWidth)),"世界中心X越界；","")&amp;IF(AND('02_固定地理'!G387&lt;&gt;"",OR('02_固定地理'!G387&lt;0,'02_固定地理'!G387&gt;WorldHeight)),"世界中心Y越界；","")&amp;IF(AND('02_固定地理'!H387&lt;&gt;"",'02_固定地理'!J387&lt;&gt;"",'02_固定地理'!H387&gt;'02_固定地理'!J387),"最小X大于最大X；","")&amp;IF(AND('02_固定地理'!I387&lt;&gt;"",'02_固定地理'!K387&lt;&gt;"",'02_固定地理'!I387&gt;'02_固定地理'!K387),"最小Y大于最大Y；","")&amp;IF(AND('02_固定地理'!E387&lt;&gt;"",COUNTIF('02_固定地理'!$A$2:$A$501,'02_固定地理'!E387)=0),"父级对象不存在；","")&amp;IF(AND('02_固定地理'!A387&lt;&gt;"",COUNTIF('02_固定地理'!$A$2:$A$501,'02_固定地理'!A387)&gt;1),"ID重复；",""),"")</f>
        <v/>
      </c>
      <c r="G387" s="14">
        <f>IF(F387&lt;&gt;"","按字段批注、数据字典和来源记录修正后复核","")</f>
        <v/>
      </c>
      <c r="H387" s="14">
        <f>IF(F387&lt;&gt;"","待处理","")</f>
        <v/>
      </c>
    </row>
    <row r="388">
      <c r="A388" s="14">
        <f>IF(F388&lt;&gt;"","ISSUE-"&amp;TEXT(ROW()-1,"00000"),"")</f>
        <v/>
      </c>
      <c r="B388" s="14">
        <f>IF(F388&lt;&gt;"","错误","")</f>
        <v/>
      </c>
      <c r="C388" s="14">
        <f>IF('02_固定地理'!A388&lt;&gt;"","02_固定地理","")</f>
        <v/>
      </c>
      <c r="D388" s="14">
        <f>IF('02_固定地理'!A388&lt;&gt;"",'02_固定地理'!A388,"")</f>
        <v/>
      </c>
      <c r="E388" s="14">
        <f>IF(F388&lt;&gt;"","综合校验","")</f>
        <v/>
      </c>
      <c r="F388" s="14">
        <f>IF('02_固定地理'!A388&lt;&gt;"",IF('02_固定地理'!A388="","缺少对象ID；","")&amp;IF('02_固定地理'!B388="","缺少中文名称；","")&amp;IF('02_固定地理'!D388="","缺少对象类型；","")&amp;IF(AND('02_固定地理'!F388&lt;&gt;"",OR('02_固定地理'!F388&lt;0,'02_固定地理'!F388&gt;WorldWidth)),"世界中心X越界；","")&amp;IF(AND('02_固定地理'!G388&lt;&gt;"",OR('02_固定地理'!G388&lt;0,'02_固定地理'!G388&gt;WorldHeight)),"世界中心Y越界；","")&amp;IF(AND('02_固定地理'!H388&lt;&gt;"",'02_固定地理'!J388&lt;&gt;"",'02_固定地理'!H388&gt;'02_固定地理'!J388),"最小X大于最大X；","")&amp;IF(AND('02_固定地理'!I388&lt;&gt;"",'02_固定地理'!K388&lt;&gt;"",'02_固定地理'!I388&gt;'02_固定地理'!K388),"最小Y大于最大Y；","")&amp;IF(AND('02_固定地理'!E388&lt;&gt;"",COUNTIF('02_固定地理'!$A$2:$A$501,'02_固定地理'!E388)=0),"父级对象不存在；","")&amp;IF(AND('02_固定地理'!A388&lt;&gt;"",COUNTIF('02_固定地理'!$A$2:$A$501,'02_固定地理'!A388)&gt;1),"ID重复；",""),"")</f>
        <v/>
      </c>
      <c r="G388" s="14">
        <f>IF(F388&lt;&gt;"","按字段批注、数据字典和来源记录修正后复核","")</f>
        <v/>
      </c>
      <c r="H388" s="14">
        <f>IF(F388&lt;&gt;"","待处理","")</f>
        <v/>
      </c>
    </row>
    <row r="389">
      <c r="A389" s="14">
        <f>IF(F389&lt;&gt;"","ISSUE-"&amp;TEXT(ROW()-1,"00000"),"")</f>
        <v/>
      </c>
      <c r="B389" s="14">
        <f>IF(F389&lt;&gt;"","错误","")</f>
        <v/>
      </c>
      <c r="C389" s="14">
        <f>IF('02_固定地理'!A389&lt;&gt;"","02_固定地理","")</f>
        <v/>
      </c>
      <c r="D389" s="14">
        <f>IF('02_固定地理'!A389&lt;&gt;"",'02_固定地理'!A389,"")</f>
        <v/>
      </c>
      <c r="E389" s="14">
        <f>IF(F389&lt;&gt;"","综合校验","")</f>
        <v/>
      </c>
      <c r="F389" s="14">
        <f>IF('02_固定地理'!A389&lt;&gt;"",IF('02_固定地理'!A389="","缺少对象ID；","")&amp;IF('02_固定地理'!B389="","缺少中文名称；","")&amp;IF('02_固定地理'!D389="","缺少对象类型；","")&amp;IF(AND('02_固定地理'!F389&lt;&gt;"",OR('02_固定地理'!F389&lt;0,'02_固定地理'!F389&gt;WorldWidth)),"世界中心X越界；","")&amp;IF(AND('02_固定地理'!G389&lt;&gt;"",OR('02_固定地理'!G389&lt;0,'02_固定地理'!G389&gt;WorldHeight)),"世界中心Y越界；","")&amp;IF(AND('02_固定地理'!H389&lt;&gt;"",'02_固定地理'!J389&lt;&gt;"",'02_固定地理'!H389&gt;'02_固定地理'!J389),"最小X大于最大X；","")&amp;IF(AND('02_固定地理'!I389&lt;&gt;"",'02_固定地理'!K389&lt;&gt;"",'02_固定地理'!I389&gt;'02_固定地理'!K389),"最小Y大于最大Y；","")&amp;IF(AND('02_固定地理'!E389&lt;&gt;"",COUNTIF('02_固定地理'!$A$2:$A$501,'02_固定地理'!E389)=0),"父级对象不存在；","")&amp;IF(AND('02_固定地理'!A389&lt;&gt;"",COUNTIF('02_固定地理'!$A$2:$A$501,'02_固定地理'!A389)&gt;1),"ID重复；",""),"")</f>
        <v/>
      </c>
      <c r="G389" s="14">
        <f>IF(F389&lt;&gt;"","按字段批注、数据字典和来源记录修正后复核","")</f>
        <v/>
      </c>
      <c r="H389" s="14">
        <f>IF(F389&lt;&gt;"","待处理","")</f>
        <v/>
      </c>
    </row>
    <row r="390">
      <c r="A390" s="14">
        <f>IF(F390&lt;&gt;"","ISSUE-"&amp;TEXT(ROW()-1,"00000"),"")</f>
        <v/>
      </c>
      <c r="B390" s="14">
        <f>IF(F390&lt;&gt;"","错误","")</f>
        <v/>
      </c>
      <c r="C390" s="14">
        <f>IF('02_固定地理'!A390&lt;&gt;"","02_固定地理","")</f>
        <v/>
      </c>
      <c r="D390" s="14">
        <f>IF('02_固定地理'!A390&lt;&gt;"",'02_固定地理'!A390,"")</f>
        <v/>
      </c>
      <c r="E390" s="14">
        <f>IF(F390&lt;&gt;"","综合校验","")</f>
        <v/>
      </c>
      <c r="F390" s="14">
        <f>IF('02_固定地理'!A390&lt;&gt;"",IF('02_固定地理'!A390="","缺少对象ID；","")&amp;IF('02_固定地理'!B390="","缺少中文名称；","")&amp;IF('02_固定地理'!D390="","缺少对象类型；","")&amp;IF(AND('02_固定地理'!F390&lt;&gt;"",OR('02_固定地理'!F390&lt;0,'02_固定地理'!F390&gt;WorldWidth)),"世界中心X越界；","")&amp;IF(AND('02_固定地理'!G390&lt;&gt;"",OR('02_固定地理'!G390&lt;0,'02_固定地理'!G390&gt;WorldHeight)),"世界中心Y越界；","")&amp;IF(AND('02_固定地理'!H390&lt;&gt;"",'02_固定地理'!J390&lt;&gt;"",'02_固定地理'!H390&gt;'02_固定地理'!J390),"最小X大于最大X；","")&amp;IF(AND('02_固定地理'!I390&lt;&gt;"",'02_固定地理'!K390&lt;&gt;"",'02_固定地理'!I390&gt;'02_固定地理'!K390),"最小Y大于最大Y；","")&amp;IF(AND('02_固定地理'!E390&lt;&gt;"",COUNTIF('02_固定地理'!$A$2:$A$501,'02_固定地理'!E390)=0),"父级对象不存在；","")&amp;IF(AND('02_固定地理'!A390&lt;&gt;"",COUNTIF('02_固定地理'!$A$2:$A$501,'02_固定地理'!A390)&gt;1),"ID重复；",""),"")</f>
        <v/>
      </c>
      <c r="G390" s="14">
        <f>IF(F390&lt;&gt;"","按字段批注、数据字典和来源记录修正后复核","")</f>
        <v/>
      </c>
      <c r="H390" s="14">
        <f>IF(F390&lt;&gt;"","待处理","")</f>
        <v/>
      </c>
    </row>
    <row r="391">
      <c r="A391" s="14">
        <f>IF(F391&lt;&gt;"","ISSUE-"&amp;TEXT(ROW()-1,"00000"),"")</f>
        <v/>
      </c>
      <c r="B391" s="14">
        <f>IF(F391&lt;&gt;"","错误","")</f>
        <v/>
      </c>
      <c r="C391" s="14">
        <f>IF('02_固定地理'!A391&lt;&gt;"","02_固定地理","")</f>
        <v/>
      </c>
      <c r="D391" s="14">
        <f>IF('02_固定地理'!A391&lt;&gt;"",'02_固定地理'!A391,"")</f>
        <v/>
      </c>
      <c r="E391" s="14">
        <f>IF(F391&lt;&gt;"","综合校验","")</f>
        <v/>
      </c>
      <c r="F391" s="14">
        <f>IF('02_固定地理'!A391&lt;&gt;"",IF('02_固定地理'!A391="","缺少对象ID；","")&amp;IF('02_固定地理'!B391="","缺少中文名称；","")&amp;IF('02_固定地理'!D391="","缺少对象类型；","")&amp;IF(AND('02_固定地理'!F391&lt;&gt;"",OR('02_固定地理'!F391&lt;0,'02_固定地理'!F391&gt;WorldWidth)),"世界中心X越界；","")&amp;IF(AND('02_固定地理'!G391&lt;&gt;"",OR('02_固定地理'!G391&lt;0,'02_固定地理'!G391&gt;WorldHeight)),"世界中心Y越界；","")&amp;IF(AND('02_固定地理'!H391&lt;&gt;"",'02_固定地理'!J391&lt;&gt;"",'02_固定地理'!H391&gt;'02_固定地理'!J391),"最小X大于最大X；","")&amp;IF(AND('02_固定地理'!I391&lt;&gt;"",'02_固定地理'!K391&lt;&gt;"",'02_固定地理'!I391&gt;'02_固定地理'!K391),"最小Y大于最大Y；","")&amp;IF(AND('02_固定地理'!E391&lt;&gt;"",COUNTIF('02_固定地理'!$A$2:$A$501,'02_固定地理'!E391)=0),"父级对象不存在；","")&amp;IF(AND('02_固定地理'!A391&lt;&gt;"",COUNTIF('02_固定地理'!$A$2:$A$501,'02_固定地理'!A391)&gt;1),"ID重复；",""),"")</f>
        <v/>
      </c>
      <c r="G391" s="14">
        <f>IF(F391&lt;&gt;"","按字段批注、数据字典和来源记录修正后复核","")</f>
        <v/>
      </c>
      <c r="H391" s="14">
        <f>IF(F391&lt;&gt;"","待处理","")</f>
        <v/>
      </c>
    </row>
    <row r="392">
      <c r="A392" s="14">
        <f>IF(F392&lt;&gt;"","ISSUE-"&amp;TEXT(ROW()-1,"00000"),"")</f>
        <v/>
      </c>
      <c r="B392" s="14">
        <f>IF(F392&lt;&gt;"","错误","")</f>
        <v/>
      </c>
      <c r="C392" s="14">
        <f>IF('02_固定地理'!A392&lt;&gt;"","02_固定地理","")</f>
        <v/>
      </c>
      <c r="D392" s="14">
        <f>IF('02_固定地理'!A392&lt;&gt;"",'02_固定地理'!A392,"")</f>
        <v/>
      </c>
      <c r="E392" s="14">
        <f>IF(F392&lt;&gt;"","综合校验","")</f>
        <v/>
      </c>
      <c r="F392" s="14">
        <f>IF('02_固定地理'!A392&lt;&gt;"",IF('02_固定地理'!A392="","缺少对象ID；","")&amp;IF('02_固定地理'!B392="","缺少中文名称；","")&amp;IF('02_固定地理'!D392="","缺少对象类型；","")&amp;IF(AND('02_固定地理'!F392&lt;&gt;"",OR('02_固定地理'!F392&lt;0,'02_固定地理'!F392&gt;WorldWidth)),"世界中心X越界；","")&amp;IF(AND('02_固定地理'!G392&lt;&gt;"",OR('02_固定地理'!G392&lt;0,'02_固定地理'!G392&gt;WorldHeight)),"世界中心Y越界；","")&amp;IF(AND('02_固定地理'!H392&lt;&gt;"",'02_固定地理'!J392&lt;&gt;"",'02_固定地理'!H392&gt;'02_固定地理'!J392),"最小X大于最大X；","")&amp;IF(AND('02_固定地理'!I392&lt;&gt;"",'02_固定地理'!K392&lt;&gt;"",'02_固定地理'!I392&gt;'02_固定地理'!K392),"最小Y大于最大Y；","")&amp;IF(AND('02_固定地理'!E392&lt;&gt;"",COUNTIF('02_固定地理'!$A$2:$A$501,'02_固定地理'!E392)=0),"父级对象不存在；","")&amp;IF(AND('02_固定地理'!A392&lt;&gt;"",COUNTIF('02_固定地理'!$A$2:$A$501,'02_固定地理'!A392)&gt;1),"ID重复；",""),"")</f>
        <v/>
      </c>
      <c r="G392" s="14">
        <f>IF(F392&lt;&gt;"","按字段批注、数据字典和来源记录修正后复核","")</f>
        <v/>
      </c>
      <c r="H392" s="14">
        <f>IF(F392&lt;&gt;"","待处理","")</f>
        <v/>
      </c>
    </row>
    <row r="393">
      <c r="A393" s="14">
        <f>IF(F393&lt;&gt;"","ISSUE-"&amp;TEXT(ROW()-1,"00000"),"")</f>
        <v/>
      </c>
      <c r="B393" s="14">
        <f>IF(F393&lt;&gt;"","错误","")</f>
        <v/>
      </c>
      <c r="C393" s="14">
        <f>IF('02_固定地理'!A393&lt;&gt;"","02_固定地理","")</f>
        <v/>
      </c>
      <c r="D393" s="14">
        <f>IF('02_固定地理'!A393&lt;&gt;"",'02_固定地理'!A393,"")</f>
        <v/>
      </c>
      <c r="E393" s="14">
        <f>IF(F393&lt;&gt;"","综合校验","")</f>
        <v/>
      </c>
      <c r="F393" s="14">
        <f>IF('02_固定地理'!A393&lt;&gt;"",IF('02_固定地理'!A393="","缺少对象ID；","")&amp;IF('02_固定地理'!B393="","缺少中文名称；","")&amp;IF('02_固定地理'!D393="","缺少对象类型；","")&amp;IF(AND('02_固定地理'!F393&lt;&gt;"",OR('02_固定地理'!F393&lt;0,'02_固定地理'!F393&gt;WorldWidth)),"世界中心X越界；","")&amp;IF(AND('02_固定地理'!G393&lt;&gt;"",OR('02_固定地理'!G393&lt;0,'02_固定地理'!G393&gt;WorldHeight)),"世界中心Y越界；","")&amp;IF(AND('02_固定地理'!H393&lt;&gt;"",'02_固定地理'!J393&lt;&gt;"",'02_固定地理'!H393&gt;'02_固定地理'!J393),"最小X大于最大X；","")&amp;IF(AND('02_固定地理'!I393&lt;&gt;"",'02_固定地理'!K393&lt;&gt;"",'02_固定地理'!I393&gt;'02_固定地理'!K393),"最小Y大于最大Y；","")&amp;IF(AND('02_固定地理'!E393&lt;&gt;"",COUNTIF('02_固定地理'!$A$2:$A$501,'02_固定地理'!E393)=0),"父级对象不存在；","")&amp;IF(AND('02_固定地理'!A393&lt;&gt;"",COUNTIF('02_固定地理'!$A$2:$A$501,'02_固定地理'!A393)&gt;1),"ID重复；",""),"")</f>
        <v/>
      </c>
      <c r="G393" s="14">
        <f>IF(F393&lt;&gt;"","按字段批注、数据字典和来源记录修正后复核","")</f>
        <v/>
      </c>
      <c r="H393" s="14">
        <f>IF(F393&lt;&gt;"","待处理","")</f>
        <v/>
      </c>
    </row>
    <row r="394">
      <c r="A394" s="14">
        <f>IF(F394&lt;&gt;"","ISSUE-"&amp;TEXT(ROW()-1,"00000"),"")</f>
        <v/>
      </c>
      <c r="B394" s="14">
        <f>IF(F394&lt;&gt;"","错误","")</f>
        <v/>
      </c>
      <c r="C394" s="14">
        <f>IF('02_固定地理'!A394&lt;&gt;"","02_固定地理","")</f>
        <v/>
      </c>
      <c r="D394" s="14">
        <f>IF('02_固定地理'!A394&lt;&gt;"",'02_固定地理'!A394,"")</f>
        <v/>
      </c>
      <c r="E394" s="14">
        <f>IF(F394&lt;&gt;"","综合校验","")</f>
        <v/>
      </c>
      <c r="F394" s="14">
        <f>IF('02_固定地理'!A394&lt;&gt;"",IF('02_固定地理'!A394="","缺少对象ID；","")&amp;IF('02_固定地理'!B394="","缺少中文名称；","")&amp;IF('02_固定地理'!D394="","缺少对象类型；","")&amp;IF(AND('02_固定地理'!F394&lt;&gt;"",OR('02_固定地理'!F394&lt;0,'02_固定地理'!F394&gt;WorldWidth)),"世界中心X越界；","")&amp;IF(AND('02_固定地理'!G394&lt;&gt;"",OR('02_固定地理'!G394&lt;0,'02_固定地理'!G394&gt;WorldHeight)),"世界中心Y越界；","")&amp;IF(AND('02_固定地理'!H394&lt;&gt;"",'02_固定地理'!J394&lt;&gt;"",'02_固定地理'!H394&gt;'02_固定地理'!J394),"最小X大于最大X；","")&amp;IF(AND('02_固定地理'!I394&lt;&gt;"",'02_固定地理'!K394&lt;&gt;"",'02_固定地理'!I394&gt;'02_固定地理'!K394),"最小Y大于最大Y；","")&amp;IF(AND('02_固定地理'!E394&lt;&gt;"",COUNTIF('02_固定地理'!$A$2:$A$501,'02_固定地理'!E394)=0),"父级对象不存在；","")&amp;IF(AND('02_固定地理'!A394&lt;&gt;"",COUNTIF('02_固定地理'!$A$2:$A$501,'02_固定地理'!A394)&gt;1),"ID重复；",""),"")</f>
        <v/>
      </c>
      <c r="G394" s="14">
        <f>IF(F394&lt;&gt;"","按字段批注、数据字典和来源记录修正后复核","")</f>
        <v/>
      </c>
      <c r="H394" s="14">
        <f>IF(F394&lt;&gt;"","待处理","")</f>
        <v/>
      </c>
    </row>
    <row r="395">
      <c r="A395" s="14">
        <f>IF(F395&lt;&gt;"","ISSUE-"&amp;TEXT(ROW()-1,"00000"),"")</f>
        <v/>
      </c>
      <c r="B395" s="14">
        <f>IF(F395&lt;&gt;"","错误","")</f>
        <v/>
      </c>
      <c r="C395" s="14">
        <f>IF('02_固定地理'!A395&lt;&gt;"","02_固定地理","")</f>
        <v/>
      </c>
      <c r="D395" s="14">
        <f>IF('02_固定地理'!A395&lt;&gt;"",'02_固定地理'!A395,"")</f>
        <v/>
      </c>
      <c r="E395" s="14">
        <f>IF(F395&lt;&gt;"","综合校验","")</f>
        <v/>
      </c>
      <c r="F395" s="14">
        <f>IF('02_固定地理'!A395&lt;&gt;"",IF('02_固定地理'!A395="","缺少对象ID；","")&amp;IF('02_固定地理'!B395="","缺少中文名称；","")&amp;IF('02_固定地理'!D395="","缺少对象类型；","")&amp;IF(AND('02_固定地理'!F395&lt;&gt;"",OR('02_固定地理'!F395&lt;0,'02_固定地理'!F395&gt;WorldWidth)),"世界中心X越界；","")&amp;IF(AND('02_固定地理'!G395&lt;&gt;"",OR('02_固定地理'!G395&lt;0,'02_固定地理'!G395&gt;WorldHeight)),"世界中心Y越界；","")&amp;IF(AND('02_固定地理'!H395&lt;&gt;"",'02_固定地理'!J395&lt;&gt;"",'02_固定地理'!H395&gt;'02_固定地理'!J395),"最小X大于最大X；","")&amp;IF(AND('02_固定地理'!I395&lt;&gt;"",'02_固定地理'!K395&lt;&gt;"",'02_固定地理'!I395&gt;'02_固定地理'!K395),"最小Y大于最大Y；","")&amp;IF(AND('02_固定地理'!E395&lt;&gt;"",COUNTIF('02_固定地理'!$A$2:$A$501,'02_固定地理'!E395)=0),"父级对象不存在；","")&amp;IF(AND('02_固定地理'!A395&lt;&gt;"",COUNTIF('02_固定地理'!$A$2:$A$501,'02_固定地理'!A395)&gt;1),"ID重复；",""),"")</f>
        <v/>
      </c>
      <c r="G395" s="14">
        <f>IF(F395&lt;&gt;"","按字段批注、数据字典和来源记录修正后复核","")</f>
        <v/>
      </c>
      <c r="H395" s="14">
        <f>IF(F395&lt;&gt;"","待处理","")</f>
        <v/>
      </c>
    </row>
    <row r="396">
      <c r="A396" s="14">
        <f>IF(F396&lt;&gt;"","ISSUE-"&amp;TEXT(ROW()-1,"00000"),"")</f>
        <v/>
      </c>
      <c r="B396" s="14">
        <f>IF(F396&lt;&gt;"","错误","")</f>
        <v/>
      </c>
      <c r="C396" s="14">
        <f>IF('02_固定地理'!A396&lt;&gt;"","02_固定地理","")</f>
        <v/>
      </c>
      <c r="D396" s="14">
        <f>IF('02_固定地理'!A396&lt;&gt;"",'02_固定地理'!A396,"")</f>
        <v/>
      </c>
      <c r="E396" s="14">
        <f>IF(F396&lt;&gt;"","综合校验","")</f>
        <v/>
      </c>
      <c r="F396" s="14">
        <f>IF('02_固定地理'!A396&lt;&gt;"",IF('02_固定地理'!A396="","缺少对象ID；","")&amp;IF('02_固定地理'!B396="","缺少中文名称；","")&amp;IF('02_固定地理'!D396="","缺少对象类型；","")&amp;IF(AND('02_固定地理'!F396&lt;&gt;"",OR('02_固定地理'!F396&lt;0,'02_固定地理'!F396&gt;WorldWidth)),"世界中心X越界；","")&amp;IF(AND('02_固定地理'!G396&lt;&gt;"",OR('02_固定地理'!G396&lt;0,'02_固定地理'!G396&gt;WorldHeight)),"世界中心Y越界；","")&amp;IF(AND('02_固定地理'!H396&lt;&gt;"",'02_固定地理'!J396&lt;&gt;"",'02_固定地理'!H396&gt;'02_固定地理'!J396),"最小X大于最大X；","")&amp;IF(AND('02_固定地理'!I396&lt;&gt;"",'02_固定地理'!K396&lt;&gt;"",'02_固定地理'!I396&gt;'02_固定地理'!K396),"最小Y大于最大Y；","")&amp;IF(AND('02_固定地理'!E396&lt;&gt;"",COUNTIF('02_固定地理'!$A$2:$A$501,'02_固定地理'!E396)=0),"父级对象不存在；","")&amp;IF(AND('02_固定地理'!A396&lt;&gt;"",COUNTIF('02_固定地理'!$A$2:$A$501,'02_固定地理'!A396)&gt;1),"ID重复；",""),"")</f>
        <v/>
      </c>
      <c r="G396" s="14">
        <f>IF(F396&lt;&gt;"","按字段批注、数据字典和来源记录修正后复核","")</f>
        <v/>
      </c>
      <c r="H396" s="14">
        <f>IF(F396&lt;&gt;"","待处理","")</f>
        <v/>
      </c>
    </row>
    <row r="397">
      <c r="A397" s="14">
        <f>IF(F397&lt;&gt;"","ISSUE-"&amp;TEXT(ROW()-1,"00000"),"")</f>
        <v/>
      </c>
      <c r="B397" s="14">
        <f>IF(F397&lt;&gt;"","错误","")</f>
        <v/>
      </c>
      <c r="C397" s="14">
        <f>IF('02_固定地理'!A397&lt;&gt;"","02_固定地理","")</f>
        <v/>
      </c>
      <c r="D397" s="14">
        <f>IF('02_固定地理'!A397&lt;&gt;"",'02_固定地理'!A397,"")</f>
        <v/>
      </c>
      <c r="E397" s="14">
        <f>IF(F397&lt;&gt;"","综合校验","")</f>
        <v/>
      </c>
      <c r="F397" s="14">
        <f>IF('02_固定地理'!A397&lt;&gt;"",IF('02_固定地理'!A397="","缺少对象ID；","")&amp;IF('02_固定地理'!B397="","缺少中文名称；","")&amp;IF('02_固定地理'!D397="","缺少对象类型；","")&amp;IF(AND('02_固定地理'!F397&lt;&gt;"",OR('02_固定地理'!F397&lt;0,'02_固定地理'!F397&gt;WorldWidth)),"世界中心X越界；","")&amp;IF(AND('02_固定地理'!G397&lt;&gt;"",OR('02_固定地理'!G397&lt;0,'02_固定地理'!G397&gt;WorldHeight)),"世界中心Y越界；","")&amp;IF(AND('02_固定地理'!H397&lt;&gt;"",'02_固定地理'!J397&lt;&gt;"",'02_固定地理'!H397&gt;'02_固定地理'!J397),"最小X大于最大X；","")&amp;IF(AND('02_固定地理'!I397&lt;&gt;"",'02_固定地理'!K397&lt;&gt;"",'02_固定地理'!I397&gt;'02_固定地理'!K397),"最小Y大于最大Y；","")&amp;IF(AND('02_固定地理'!E397&lt;&gt;"",COUNTIF('02_固定地理'!$A$2:$A$501,'02_固定地理'!E397)=0),"父级对象不存在；","")&amp;IF(AND('02_固定地理'!A397&lt;&gt;"",COUNTIF('02_固定地理'!$A$2:$A$501,'02_固定地理'!A397)&gt;1),"ID重复；",""),"")</f>
        <v/>
      </c>
      <c r="G397" s="14">
        <f>IF(F397&lt;&gt;"","按字段批注、数据字典和来源记录修正后复核","")</f>
        <v/>
      </c>
      <c r="H397" s="14">
        <f>IF(F397&lt;&gt;"","待处理","")</f>
        <v/>
      </c>
    </row>
    <row r="398">
      <c r="A398" s="14">
        <f>IF(F398&lt;&gt;"","ISSUE-"&amp;TEXT(ROW()-1,"00000"),"")</f>
        <v/>
      </c>
      <c r="B398" s="14">
        <f>IF(F398&lt;&gt;"","错误","")</f>
        <v/>
      </c>
      <c r="C398" s="14">
        <f>IF('02_固定地理'!A398&lt;&gt;"","02_固定地理","")</f>
        <v/>
      </c>
      <c r="D398" s="14">
        <f>IF('02_固定地理'!A398&lt;&gt;"",'02_固定地理'!A398,"")</f>
        <v/>
      </c>
      <c r="E398" s="14">
        <f>IF(F398&lt;&gt;"","综合校验","")</f>
        <v/>
      </c>
      <c r="F398" s="14">
        <f>IF('02_固定地理'!A398&lt;&gt;"",IF('02_固定地理'!A398="","缺少对象ID；","")&amp;IF('02_固定地理'!B398="","缺少中文名称；","")&amp;IF('02_固定地理'!D398="","缺少对象类型；","")&amp;IF(AND('02_固定地理'!F398&lt;&gt;"",OR('02_固定地理'!F398&lt;0,'02_固定地理'!F398&gt;WorldWidth)),"世界中心X越界；","")&amp;IF(AND('02_固定地理'!G398&lt;&gt;"",OR('02_固定地理'!G398&lt;0,'02_固定地理'!G398&gt;WorldHeight)),"世界中心Y越界；","")&amp;IF(AND('02_固定地理'!H398&lt;&gt;"",'02_固定地理'!J398&lt;&gt;"",'02_固定地理'!H398&gt;'02_固定地理'!J398),"最小X大于最大X；","")&amp;IF(AND('02_固定地理'!I398&lt;&gt;"",'02_固定地理'!K398&lt;&gt;"",'02_固定地理'!I398&gt;'02_固定地理'!K398),"最小Y大于最大Y；","")&amp;IF(AND('02_固定地理'!E398&lt;&gt;"",COUNTIF('02_固定地理'!$A$2:$A$501,'02_固定地理'!E398)=0),"父级对象不存在；","")&amp;IF(AND('02_固定地理'!A398&lt;&gt;"",COUNTIF('02_固定地理'!$A$2:$A$501,'02_固定地理'!A398)&gt;1),"ID重复；",""),"")</f>
        <v/>
      </c>
      <c r="G398" s="14">
        <f>IF(F398&lt;&gt;"","按字段批注、数据字典和来源记录修正后复核","")</f>
        <v/>
      </c>
      <c r="H398" s="14">
        <f>IF(F398&lt;&gt;"","待处理","")</f>
        <v/>
      </c>
    </row>
    <row r="399">
      <c r="A399" s="14">
        <f>IF(F399&lt;&gt;"","ISSUE-"&amp;TEXT(ROW()-1,"00000"),"")</f>
        <v/>
      </c>
      <c r="B399" s="14">
        <f>IF(F399&lt;&gt;"","错误","")</f>
        <v/>
      </c>
      <c r="C399" s="14">
        <f>IF('02_固定地理'!A399&lt;&gt;"","02_固定地理","")</f>
        <v/>
      </c>
      <c r="D399" s="14">
        <f>IF('02_固定地理'!A399&lt;&gt;"",'02_固定地理'!A399,"")</f>
        <v/>
      </c>
      <c r="E399" s="14">
        <f>IF(F399&lt;&gt;"","综合校验","")</f>
        <v/>
      </c>
      <c r="F399" s="14">
        <f>IF('02_固定地理'!A399&lt;&gt;"",IF('02_固定地理'!A399="","缺少对象ID；","")&amp;IF('02_固定地理'!B399="","缺少中文名称；","")&amp;IF('02_固定地理'!D399="","缺少对象类型；","")&amp;IF(AND('02_固定地理'!F399&lt;&gt;"",OR('02_固定地理'!F399&lt;0,'02_固定地理'!F399&gt;WorldWidth)),"世界中心X越界；","")&amp;IF(AND('02_固定地理'!G399&lt;&gt;"",OR('02_固定地理'!G399&lt;0,'02_固定地理'!G399&gt;WorldHeight)),"世界中心Y越界；","")&amp;IF(AND('02_固定地理'!H399&lt;&gt;"",'02_固定地理'!J399&lt;&gt;"",'02_固定地理'!H399&gt;'02_固定地理'!J399),"最小X大于最大X；","")&amp;IF(AND('02_固定地理'!I399&lt;&gt;"",'02_固定地理'!K399&lt;&gt;"",'02_固定地理'!I399&gt;'02_固定地理'!K399),"最小Y大于最大Y；","")&amp;IF(AND('02_固定地理'!E399&lt;&gt;"",COUNTIF('02_固定地理'!$A$2:$A$501,'02_固定地理'!E399)=0),"父级对象不存在；","")&amp;IF(AND('02_固定地理'!A399&lt;&gt;"",COUNTIF('02_固定地理'!$A$2:$A$501,'02_固定地理'!A399)&gt;1),"ID重复；",""),"")</f>
        <v/>
      </c>
      <c r="G399" s="14">
        <f>IF(F399&lt;&gt;"","按字段批注、数据字典和来源记录修正后复核","")</f>
        <v/>
      </c>
      <c r="H399" s="14">
        <f>IF(F399&lt;&gt;"","待处理","")</f>
        <v/>
      </c>
    </row>
    <row r="400">
      <c r="A400" s="14">
        <f>IF(F400&lt;&gt;"","ISSUE-"&amp;TEXT(ROW()-1,"00000"),"")</f>
        <v/>
      </c>
      <c r="B400" s="14">
        <f>IF(F400&lt;&gt;"","错误","")</f>
        <v/>
      </c>
      <c r="C400" s="14">
        <f>IF('02_固定地理'!A400&lt;&gt;"","02_固定地理","")</f>
        <v/>
      </c>
      <c r="D400" s="14">
        <f>IF('02_固定地理'!A400&lt;&gt;"",'02_固定地理'!A400,"")</f>
        <v/>
      </c>
      <c r="E400" s="14">
        <f>IF(F400&lt;&gt;"","综合校验","")</f>
        <v/>
      </c>
      <c r="F400" s="14">
        <f>IF('02_固定地理'!A400&lt;&gt;"",IF('02_固定地理'!A400="","缺少对象ID；","")&amp;IF('02_固定地理'!B400="","缺少中文名称；","")&amp;IF('02_固定地理'!D400="","缺少对象类型；","")&amp;IF(AND('02_固定地理'!F400&lt;&gt;"",OR('02_固定地理'!F400&lt;0,'02_固定地理'!F400&gt;WorldWidth)),"世界中心X越界；","")&amp;IF(AND('02_固定地理'!G400&lt;&gt;"",OR('02_固定地理'!G400&lt;0,'02_固定地理'!G400&gt;WorldHeight)),"世界中心Y越界；","")&amp;IF(AND('02_固定地理'!H400&lt;&gt;"",'02_固定地理'!J400&lt;&gt;"",'02_固定地理'!H400&gt;'02_固定地理'!J400),"最小X大于最大X；","")&amp;IF(AND('02_固定地理'!I400&lt;&gt;"",'02_固定地理'!K400&lt;&gt;"",'02_固定地理'!I400&gt;'02_固定地理'!K400),"最小Y大于最大Y；","")&amp;IF(AND('02_固定地理'!E400&lt;&gt;"",COUNTIF('02_固定地理'!$A$2:$A$501,'02_固定地理'!E400)=0),"父级对象不存在；","")&amp;IF(AND('02_固定地理'!A400&lt;&gt;"",COUNTIF('02_固定地理'!$A$2:$A$501,'02_固定地理'!A400)&gt;1),"ID重复；",""),"")</f>
        <v/>
      </c>
      <c r="G400" s="14">
        <f>IF(F400&lt;&gt;"","按字段批注、数据字典和来源记录修正后复核","")</f>
        <v/>
      </c>
      <c r="H400" s="14">
        <f>IF(F400&lt;&gt;"","待处理","")</f>
        <v/>
      </c>
    </row>
    <row r="401">
      <c r="A401" s="14">
        <f>IF(F401&lt;&gt;"","ISSUE-"&amp;TEXT(ROW()-1,"00000"),"")</f>
        <v/>
      </c>
      <c r="B401" s="14">
        <f>IF(F401&lt;&gt;"","错误","")</f>
        <v/>
      </c>
      <c r="C401" s="14">
        <f>IF('02_固定地理'!A401&lt;&gt;"","02_固定地理","")</f>
        <v/>
      </c>
      <c r="D401" s="14">
        <f>IF('02_固定地理'!A401&lt;&gt;"",'02_固定地理'!A401,"")</f>
        <v/>
      </c>
      <c r="E401" s="14">
        <f>IF(F401&lt;&gt;"","综合校验","")</f>
        <v/>
      </c>
      <c r="F401" s="14">
        <f>IF('02_固定地理'!A401&lt;&gt;"",IF('02_固定地理'!A401="","缺少对象ID；","")&amp;IF('02_固定地理'!B401="","缺少中文名称；","")&amp;IF('02_固定地理'!D401="","缺少对象类型；","")&amp;IF(AND('02_固定地理'!F401&lt;&gt;"",OR('02_固定地理'!F401&lt;0,'02_固定地理'!F401&gt;WorldWidth)),"世界中心X越界；","")&amp;IF(AND('02_固定地理'!G401&lt;&gt;"",OR('02_固定地理'!G401&lt;0,'02_固定地理'!G401&gt;WorldHeight)),"世界中心Y越界；","")&amp;IF(AND('02_固定地理'!H401&lt;&gt;"",'02_固定地理'!J401&lt;&gt;"",'02_固定地理'!H401&gt;'02_固定地理'!J401),"最小X大于最大X；","")&amp;IF(AND('02_固定地理'!I401&lt;&gt;"",'02_固定地理'!K401&lt;&gt;"",'02_固定地理'!I401&gt;'02_固定地理'!K401),"最小Y大于最大Y；","")&amp;IF(AND('02_固定地理'!E401&lt;&gt;"",COUNTIF('02_固定地理'!$A$2:$A$501,'02_固定地理'!E401)=0),"父级对象不存在；","")&amp;IF(AND('02_固定地理'!A401&lt;&gt;"",COUNTIF('02_固定地理'!$A$2:$A$501,'02_固定地理'!A401)&gt;1),"ID重复；",""),"")</f>
        <v/>
      </c>
      <c r="G401" s="14">
        <f>IF(F401&lt;&gt;"","按字段批注、数据字典和来源记录修正后复核","")</f>
        <v/>
      </c>
      <c r="H401" s="14">
        <f>IF(F401&lt;&gt;"","待处理","")</f>
        <v/>
      </c>
    </row>
    <row r="402">
      <c r="A402" s="14">
        <f>IF(F402&lt;&gt;"","ISSUE-"&amp;TEXT(ROW()-1,"00000"),"")</f>
        <v/>
      </c>
      <c r="B402" s="14">
        <f>IF(F402&lt;&gt;"","错误","")</f>
        <v/>
      </c>
      <c r="C402" s="14">
        <f>IF('02_固定地理'!A402&lt;&gt;"","02_固定地理","")</f>
        <v/>
      </c>
      <c r="D402" s="14">
        <f>IF('02_固定地理'!A402&lt;&gt;"",'02_固定地理'!A402,"")</f>
        <v/>
      </c>
      <c r="E402" s="14">
        <f>IF(F402&lt;&gt;"","综合校验","")</f>
        <v/>
      </c>
      <c r="F402" s="14">
        <f>IF('02_固定地理'!A402&lt;&gt;"",IF('02_固定地理'!A402="","缺少对象ID；","")&amp;IF('02_固定地理'!B402="","缺少中文名称；","")&amp;IF('02_固定地理'!D402="","缺少对象类型；","")&amp;IF(AND('02_固定地理'!F402&lt;&gt;"",OR('02_固定地理'!F402&lt;0,'02_固定地理'!F402&gt;WorldWidth)),"世界中心X越界；","")&amp;IF(AND('02_固定地理'!G402&lt;&gt;"",OR('02_固定地理'!G402&lt;0,'02_固定地理'!G402&gt;WorldHeight)),"世界中心Y越界；","")&amp;IF(AND('02_固定地理'!H402&lt;&gt;"",'02_固定地理'!J402&lt;&gt;"",'02_固定地理'!H402&gt;'02_固定地理'!J402),"最小X大于最大X；","")&amp;IF(AND('02_固定地理'!I402&lt;&gt;"",'02_固定地理'!K402&lt;&gt;"",'02_固定地理'!I402&gt;'02_固定地理'!K402),"最小Y大于最大Y；","")&amp;IF(AND('02_固定地理'!E402&lt;&gt;"",COUNTIF('02_固定地理'!$A$2:$A$501,'02_固定地理'!E402)=0),"父级对象不存在；","")&amp;IF(AND('02_固定地理'!A402&lt;&gt;"",COUNTIF('02_固定地理'!$A$2:$A$501,'02_固定地理'!A402)&gt;1),"ID重复；",""),"")</f>
        <v/>
      </c>
      <c r="G402" s="14">
        <f>IF(F402&lt;&gt;"","按字段批注、数据字典和来源记录修正后复核","")</f>
        <v/>
      </c>
      <c r="H402" s="14">
        <f>IF(F402&lt;&gt;"","待处理","")</f>
        <v/>
      </c>
    </row>
    <row r="403">
      <c r="A403" s="14">
        <f>IF(F403&lt;&gt;"","ISSUE-"&amp;TEXT(ROW()-1,"00000"),"")</f>
        <v/>
      </c>
      <c r="B403" s="14">
        <f>IF(F403&lt;&gt;"","错误","")</f>
        <v/>
      </c>
      <c r="C403" s="14">
        <f>IF('02_固定地理'!A403&lt;&gt;"","02_固定地理","")</f>
        <v/>
      </c>
      <c r="D403" s="14">
        <f>IF('02_固定地理'!A403&lt;&gt;"",'02_固定地理'!A403,"")</f>
        <v/>
      </c>
      <c r="E403" s="14">
        <f>IF(F403&lt;&gt;"","综合校验","")</f>
        <v/>
      </c>
      <c r="F403" s="14">
        <f>IF('02_固定地理'!A403&lt;&gt;"",IF('02_固定地理'!A403="","缺少对象ID；","")&amp;IF('02_固定地理'!B403="","缺少中文名称；","")&amp;IF('02_固定地理'!D403="","缺少对象类型；","")&amp;IF(AND('02_固定地理'!F403&lt;&gt;"",OR('02_固定地理'!F403&lt;0,'02_固定地理'!F403&gt;WorldWidth)),"世界中心X越界；","")&amp;IF(AND('02_固定地理'!G403&lt;&gt;"",OR('02_固定地理'!G403&lt;0,'02_固定地理'!G403&gt;WorldHeight)),"世界中心Y越界；","")&amp;IF(AND('02_固定地理'!H403&lt;&gt;"",'02_固定地理'!J403&lt;&gt;"",'02_固定地理'!H403&gt;'02_固定地理'!J403),"最小X大于最大X；","")&amp;IF(AND('02_固定地理'!I403&lt;&gt;"",'02_固定地理'!K403&lt;&gt;"",'02_固定地理'!I403&gt;'02_固定地理'!K403),"最小Y大于最大Y；","")&amp;IF(AND('02_固定地理'!E403&lt;&gt;"",COUNTIF('02_固定地理'!$A$2:$A$501,'02_固定地理'!E403)=0),"父级对象不存在；","")&amp;IF(AND('02_固定地理'!A403&lt;&gt;"",COUNTIF('02_固定地理'!$A$2:$A$501,'02_固定地理'!A403)&gt;1),"ID重复；",""),"")</f>
        <v/>
      </c>
      <c r="G403" s="14">
        <f>IF(F403&lt;&gt;"","按字段批注、数据字典和来源记录修正后复核","")</f>
        <v/>
      </c>
      <c r="H403" s="14">
        <f>IF(F403&lt;&gt;"","待处理","")</f>
        <v/>
      </c>
    </row>
    <row r="404">
      <c r="A404" s="14">
        <f>IF(F404&lt;&gt;"","ISSUE-"&amp;TEXT(ROW()-1,"00000"),"")</f>
        <v/>
      </c>
      <c r="B404" s="14">
        <f>IF(F404&lt;&gt;"","错误","")</f>
        <v/>
      </c>
      <c r="C404" s="14">
        <f>IF('02_固定地理'!A404&lt;&gt;"","02_固定地理","")</f>
        <v/>
      </c>
      <c r="D404" s="14">
        <f>IF('02_固定地理'!A404&lt;&gt;"",'02_固定地理'!A404,"")</f>
        <v/>
      </c>
      <c r="E404" s="14">
        <f>IF(F404&lt;&gt;"","综合校验","")</f>
        <v/>
      </c>
      <c r="F404" s="14">
        <f>IF('02_固定地理'!A404&lt;&gt;"",IF('02_固定地理'!A404="","缺少对象ID；","")&amp;IF('02_固定地理'!B404="","缺少中文名称；","")&amp;IF('02_固定地理'!D404="","缺少对象类型；","")&amp;IF(AND('02_固定地理'!F404&lt;&gt;"",OR('02_固定地理'!F404&lt;0,'02_固定地理'!F404&gt;WorldWidth)),"世界中心X越界；","")&amp;IF(AND('02_固定地理'!G404&lt;&gt;"",OR('02_固定地理'!G404&lt;0,'02_固定地理'!G404&gt;WorldHeight)),"世界中心Y越界；","")&amp;IF(AND('02_固定地理'!H404&lt;&gt;"",'02_固定地理'!J404&lt;&gt;"",'02_固定地理'!H404&gt;'02_固定地理'!J404),"最小X大于最大X；","")&amp;IF(AND('02_固定地理'!I404&lt;&gt;"",'02_固定地理'!K404&lt;&gt;"",'02_固定地理'!I404&gt;'02_固定地理'!K404),"最小Y大于最大Y；","")&amp;IF(AND('02_固定地理'!E404&lt;&gt;"",COUNTIF('02_固定地理'!$A$2:$A$501,'02_固定地理'!E404)=0),"父级对象不存在；","")&amp;IF(AND('02_固定地理'!A404&lt;&gt;"",COUNTIF('02_固定地理'!$A$2:$A$501,'02_固定地理'!A404)&gt;1),"ID重复；",""),"")</f>
        <v/>
      </c>
      <c r="G404" s="14">
        <f>IF(F404&lt;&gt;"","按字段批注、数据字典和来源记录修正后复核","")</f>
        <v/>
      </c>
      <c r="H404" s="14">
        <f>IF(F404&lt;&gt;"","待处理","")</f>
        <v/>
      </c>
    </row>
    <row r="405">
      <c r="A405" s="14">
        <f>IF(F405&lt;&gt;"","ISSUE-"&amp;TEXT(ROW()-1,"00000"),"")</f>
        <v/>
      </c>
      <c r="B405" s="14">
        <f>IF(F405&lt;&gt;"","错误","")</f>
        <v/>
      </c>
      <c r="C405" s="14">
        <f>IF('02_固定地理'!A405&lt;&gt;"","02_固定地理","")</f>
        <v/>
      </c>
      <c r="D405" s="14">
        <f>IF('02_固定地理'!A405&lt;&gt;"",'02_固定地理'!A405,"")</f>
        <v/>
      </c>
      <c r="E405" s="14">
        <f>IF(F405&lt;&gt;"","综合校验","")</f>
        <v/>
      </c>
      <c r="F405" s="14">
        <f>IF('02_固定地理'!A405&lt;&gt;"",IF('02_固定地理'!A405="","缺少对象ID；","")&amp;IF('02_固定地理'!B405="","缺少中文名称；","")&amp;IF('02_固定地理'!D405="","缺少对象类型；","")&amp;IF(AND('02_固定地理'!F405&lt;&gt;"",OR('02_固定地理'!F405&lt;0,'02_固定地理'!F405&gt;WorldWidth)),"世界中心X越界；","")&amp;IF(AND('02_固定地理'!G405&lt;&gt;"",OR('02_固定地理'!G405&lt;0,'02_固定地理'!G405&gt;WorldHeight)),"世界中心Y越界；","")&amp;IF(AND('02_固定地理'!H405&lt;&gt;"",'02_固定地理'!J405&lt;&gt;"",'02_固定地理'!H405&gt;'02_固定地理'!J405),"最小X大于最大X；","")&amp;IF(AND('02_固定地理'!I405&lt;&gt;"",'02_固定地理'!K405&lt;&gt;"",'02_固定地理'!I405&gt;'02_固定地理'!K405),"最小Y大于最大Y；","")&amp;IF(AND('02_固定地理'!E405&lt;&gt;"",COUNTIF('02_固定地理'!$A$2:$A$501,'02_固定地理'!E405)=0),"父级对象不存在；","")&amp;IF(AND('02_固定地理'!A405&lt;&gt;"",COUNTIF('02_固定地理'!$A$2:$A$501,'02_固定地理'!A405)&gt;1),"ID重复；",""),"")</f>
        <v/>
      </c>
      <c r="G405" s="14">
        <f>IF(F405&lt;&gt;"","按字段批注、数据字典和来源记录修正后复核","")</f>
        <v/>
      </c>
      <c r="H405" s="14">
        <f>IF(F405&lt;&gt;"","待处理","")</f>
        <v/>
      </c>
    </row>
    <row r="406">
      <c r="A406" s="14">
        <f>IF(F406&lt;&gt;"","ISSUE-"&amp;TEXT(ROW()-1,"00000"),"")</f>
        <v/>
      </c>
      <c r="B406" s="14">
        <f>IF(F406&lt;&gt;"","错误","")</f>
        <v/>
      </c>
      <c r="C406" s="14">
        <f>IF('02_固定地理'!A406&lt;&gt;"","02_固定地理","")</f>
        <v/>
      </c>
      <c r="D406" s="14">
        <f>IF('02_固定地理'!A406&lt;&gt;"",'02_固定地理'!A406,"")</f>
        <v/>
      </c>
      <c r="E406" s="14">
        <f>IF(F406&lt;&gt;"","综合校验","")</f>
        <v/>
      </c>
      <c r="F406" s="14">
        <f>IF('02_固定地理'!A406&lt;&gt;"",IF('02_固定地理'!A406="","缺少对象ID；","")&amp;IF('02_固定地理'!B406="","缺少中文名称；","")&amp;IF('02_固定地理'!D406="","缺少对象类型；","")&amp;IF(AND('02_固定地理'!F406&lt;&gt;"",OR('02_固定地理'!F406&lt;0,'02_固定地理'!F406&gt;WorldWidth)),"世界中心X越界；","")&amp;IF(AND('02_固定地理'!G406&lt;&gt;"",OR('02_固定地理'!G406&lt;0,'02_固定地理'!G406&gt;WorldHeight)),"世界中心Y越界；","")&amp;IF(AND('02_固定地理'!H406&lt;&gt;"",'02_固定地理'!J406&lt;&gt;"",'02_固定地理'!H406&gt;'02_固定地理'!J406),"最小X大于最大X；","")&amp;IF(AND('02_固定地理'!I406&lt;&gt;"",'02_固定地理'!K406&lt;&gt;"",'02_固定地理'!I406&gt;'02_固定地理'!K406),"最小Y大于最大Y；","")&amp;IF(AND('02_固定地理'!E406&lt;&gt;"",COUNTIF('02_固定地理'!$A$2:$A$501,'02_固定地理'!E406)=0),"父级对象不存在；","")&amp;IF(AND('02_固定地理'!A406&lt;&gt;"",COUNTIF('02_固定地理'!$A$2:$A$501,'02_固定地理'!A406)&gt;1),"ID重复；",""),"")</f>
        <v/>
      </c>
      <c r="G406" s="14">
        <f>IF(F406&lt;&gt;"","按字段批注、数据字典和来源记录修正后复核","")</f>
        <v/>
      </c>
      <c r="H406" s="14">
        <f>IF(F406&lt;&gt;"","待处理","")</f>
        <v/>
      </c>
    </row>
    <row r="407">
      <c r="A407" s="14">
        <f>IF(F407&lt;&gt;"","ISSUE-"&amp;TEXT(ROW()-1,"00000"),"")</f>
        <v/>
      </c>
      <c r="B407" s="14">
        <f>IF(F407&lt;&gt;"","错误","")</f>
        <v/>
      </c>
      <c r="C407" s="14">
        <f>IF('02_固定地理'!A407&lt;&gt;"","02_固定地理","")</f>
        <v/>
      </c>
      <c r="D407" s="14">
        <f>IF('02_固定地理'!A407&lt;&gt;"",'02_固定地理'!A407,"")</f>
        <v/>
      </c>
      <c r="E407" s="14">
        <f>IF(F407&lt;&gt;"","综合校验","")</f>
        <v/>
      </c>
      <c r="F407" s="14">
        <f>IF('02_固定地理'!A407&lt;&gt;"",IF('02_固定地理'!A407="","缺少对象ID；","")&amp;IF('02_固定地理'!B407="","缺少中文名称；","")&amp;IF('02_固定地理'!D407="","缺少对象类型；","")&amp;IF(AND('02_固定地理'!F407&lt;&gt;"",OR('02_固定地理'!F407&lt;0,'02_固定地理'!F407&gt;WorldWidth)),"世界中心X越界；","")&amp;IF(AND('02_固定地理'!G407&lt;&gt;"",OR('02_固定地理'!G407&lt;0,'02_固定地理'!G407&gt;WorldHeight)),"世界中心Y越界；","")&amp;IF(AND('02_固定地理'!H407&lt;&gt;"",'02_固定地理'!J407&lt;&gt;"",'02_固定地理'!H407&gt;'02_固定地理'!J407),"最小X大于最大X；","")&amp;IF(AND('02_固定地理'!I407&lt;&gt;"",'02_固定地理'!K407&lt;&gt;"",'02_固定地理'!I407&gt;'02_固定地理'!K407),"最小Y大于最大Y；","")&amp;IF(AND('02_固定地理'!E407&lt;&gt;"",COUNTIF('02_固定地理'!$A$2:$A$501,'02_固定地理'!E407)=0),"父级对象不存在；","")&amp;IF(AND('02_固定地理'!A407&lt;&gt;"",COUNTIF('02_固定地理'!$A$2:$A$501,'02_固定地理'!A407)&gt;1),"ID重复；",""),"")</f>
        <v/>
      </c>
      <c r="G407" s="14">
        <f>IF(F407&lt;&gt;"","按字段批注、数据字典和来源记录修正后复核","")</f>
        <v/>
      </c>
      <c r="H407" s="14">
        <f>IF(F407&lt;&gt;"","待处理","")</f>
        <v/>
      </c>
    </row>
    <row r="408">
      <c r="A408" s="14">
        <f>IF(F408&lt;&gt;"","ISSUE-"&amp;TEXT(ROW()-1,"00000"),"")</f>
        <v/>
      </c>
      <c r="B408" s="14">
        <f>IF(F408&lt;&gt;"","错误","")</f>
        <v/>
      </c>
      <c r="C408" s="14">
        <f>IF('02_固定地理'!A408&lt;&gt;"","02_固定地理","")</f>
        <v/>
      </c>
      <c r="D408" s="14">
        <f>IF('02_固定地理'!A408&lt;&gt;"",'02_固定地理'!A408,"")</f>
        <v/>
      </c>
      <c r="E408" s="14">
        <f>IF(F408&lt;&gt;"","综合校验","")</f>
        <v/>
      </c>
      <c r="F408" s="14">
        <f>IF('02_固定地理'!A408&lt;&gt;"",IF('02_固定地理'!A408="","缺少对象ID；","")&amp;IF('02_固定地理'!B408="","缺少中文名称；","")&amp;IF('02_固定地理'!D408="","缺少对象类型；","")&amp;IF(AND('02_固定地理'!F408&lt;&gt;"",OR('02_固定地理'!F408&lt;0,'02_固定地理'!F408&gt;WorldWidth)),"世界中心X越界；","")&amp;IF(AND('02_固定地理'!G408&lt;&gt;"",OR('02_固定地理'!G408&lt;0,'02_固定地理'!G408&gt;WorldHeight)),"世界中心Y越界；","")&amp;IF(AND('02_固定地理'!H408&lt;&gt;"",'02_固定地理'!J408&lt;&gt;"",'02_固定地理'!H408&gt;'02_固定地理'!J408),"最小X大于最大X；","")&amp;IF(AND('02_固定地理'!I408&lt;&gt;"",'02_固定地理'!K408&lt;&gt;"",'02_固定地理'!I408&gt;'02_固定地理'!K408),"最小Y大于最大Y；","")&amp;IF(AND('02_固定地理'!E408&lt;&gt;"",COUNTIF('02_固定地理'!$A$2:$A$501,'02_固定地理'!E408)=0),"父级对象不存在；","")&amp;IF(AND('02_固定地理'!A408&lt;&gt;"",COUNTIF('02_固定地理'!$A$2:$A$501,'02_固定地理'!A408)&gt;1),"ID重复；",""),"")</f>
        <v/>
      </c>
      <c r="G408" s="14">
        <f>IF(F408&lt;&gt;"","按字段批注、数据字典和来源记录修正后复核","")</f>
        <v/>
      </c>
      <c r="H408" s="14">
        <f>IF(F408&lt;&gt;"","待处理","")</f>
        <v/>
      </c>
    </row>
    <row r="409">
      <c r="A409" s="14">
        <f>IF(F409&lt;&gt;"","ISSUE-"&amp;TEXT(ROW()-1,"00000"),"")</f>
        <v/>
      </c>
      <c r="B409" s="14">
        <f>IF(F409&lt;&gt;"","错误","")</f>
        <v/>
      </c>
      <c r="C409" s="14">
        <f>IF('02_固定地理'!A409&lt;&gt;"","02_固定地理","")</f>
        <v/>
      </c>
      <c r="D409" s="14">
        <f>IF('02_固定地理'!A409&lt;&gt;"",'02_固定地理'!A409,"")</f>
        <v/>
      </c>
      <c r="E409" s="14">
        <f>IF(F409&lt;&gt;"","综合校验","")</f>
        <v/>
      </c>
      <c r="F409" s="14">
        <f>IF('02_固定地理'!A409&lt;&gt;"",IF('02_固定地理'!A409="","缺少对象ID；","")&amp;IF('02_固定地理'!B409="","缺少中文名称；","")&amp;IF('02_固定地理'!D409="","缺少对象类型；","")&amp;IF(AND('02_固定地理'!F409&lt;&gt;"",OR('02_固定地理'!F409&lt;0,'02_固定地理'!F409&gt;WorldWidth)),"世界中心X越界；","")&amp;IF(AND('02_固定地理'!G409&lt;&gt;"",OR('02_固定地理'!G409&lt;0,'02_固定地理'!G409&gt;WorldHeight)),"世界中心Y越界；","")&amp;IF(AND('02_固定地理'!H409&lt;&gt;"",'02_固定地理'!J409&lt;&gt;"",'02_固定地理'!H409&gt;'02_固定地理'!J409),"最小X大于最大X；","")&amp;IF(AND('02_固定地理'!I409&lt;&gt;"",'02_固定地理'!K409&lt;&gt;"",'02_固定地理'!I409&gt;'02_固定地理'!K409),"最小Y大于最大Y；","")&amp;IF(AND('02_固定地理'!E409&lt;&gt;"",COUNTIF('02_固定地理'!$A$2:$A$501,'02_固定地理'!E409)=0),"父级对象不存在；","")&amp;IF(AND('02_固定地理'!A409&lt;&gt;"",COUNTIF('02_固定地理'!$A$2:$A$501,'02_固定地理'!A409)&gt;1),"ID重复；",""),"")</f>
        <v/>
      </c>
      <c r="G409" s="14">
        <f>IF(F409&lt;&gt;"","按字段批注、数据字典和来源记录修正后复核","")</f>
        <v/>
      </c>
      <c r="H409" s="14">
        <f>IF(F409&lt;&gt;"","待处理","")</f>
        <v/>
      </c>
    </row>
    <row r="410">
      <c r="A410" s="14">
        <f>IF(F410&lt;&gt;"","ISSUE-"&amp;TEXT(ROW()-1,"00000"),"")</f>
        <v/>
      </c>
      <c r="B410" s="14">
        <f>IF(F410&lt;&gt;"","错误","")</f>
        <v/>
      </c>
      <c r="C410" s="14">
        <f>IF('02_固定地理'!A410&lt;&gt;"","02_固定地理","")</f>
        <v/>
      </c>
      <c r="D410" s="14">
        <f>IF('02_固定地理'!A410&lt;&gt;"",'02_固定地理'!A410,"")</f>
        <v/>
      </c>
      <c r="E410" s="14">
        <f>IF(F410&lt;&gt;"","综合校验","")</f>
        <v/>
      </c>
      <c r="F410" s="14">
        <f>IF('02_固定地理'!A410&lt;&gt;"",IF('02_固定地理'!A410="","缺少对象ID；","")&amp;IF('02_固定地理'!B410="","缺少中文名称；","")&amp;IF('02_固定地理'!D410="","缺少对象类型；","")&amp;IF(AND('02_固定地理'!F410&lt;&gt;"",OR('02_固定地理'!F410&lt;0,'02_固定地理'!F410&gt;WorldWidth)),"世界中心X越界；","")&amp;IF(AND('02_固定地理'!G410&lt;&gt;"",OR('02_固定地理'!G410&lt;0,'02_固定地理'!G410&gt;WorldHeight)),"世界中心Y越界；","")&amp;IF(AND('02_固定地理'!H410&lt;&gt;"",'02_固定地理'!J410&lt;&gt;"",'02_固定地理'!H410&gt;'02_固定地理'!J410),"最小X大于最大X；","")&amp;IF(AND('02_固定地理'!I410&lt;&gt;"",'02_固定地理'!K410&lt;&gt;"",'02_固定地理'!I410&gt;'02_固定地理'!K410),"最小Y大于最大Y；","")&amp;IF(AND('02_固定地理'!E410&lt;&gt;"",COUNTIF('02_固定地理'!$A$2:$A$501,'02_固定地理'!E410)=0),"父级对象不存在；","")&amp;IF(AND('02_固定地理'!A410&lt;&gt;"",COUNTIF('02_固定地理'!$A$2:$A$501,'02_固定地理'!A410)&gt;1),"ID重复；",""),"")</f>
        <v/>
      </c>
      <c r="G410" s="14">
        <f>IF(F410&lt;&gt;"","按字段批注、数据字典和来源记录修正后复核","")</f>
        <v/>
      </c>
      <c r="H410" s="14">
        <f>IF(F410&lt;&gt;"","待处理","")</f>
        <v/>
      </c>
    </row>
    <row r="411">
      <c r="A411" s="14">
        <f>IF(F411&lt;&gt;"","ISSUE-"&amp;TEXT(ROW()-1,"00000"),"")</f>
        <v/>
      </c>
      <c r="B411" s="14">
        <f>IF(F411&lt;&gt;"","错误","")</f>
        <v/>
      </c>
      <c r="C411" s="14">
        <f>IF('02_固定地理'!A411&lt;&gt;"","02_固定地理","")</f>
        <v/>
      </c>
      <c r="D411" s="14">
        <f>IF('02_固定地理'!A411&lt;&gt;"",'02_固定地理'!A411,"")</f>
        <v/>
      </c>
      <c r="E411" s="14">
        <f>IF(F411&lt;&gt;"","综合校验","")</f>
        <v/>
      </c>
      <c r="F411" s="14">
        <f>IF('02_固定地理'!A411&lt;&gt;"",IF('02_固定地理'!A411="","缺少对象ID；","")&amp;IF('02_固定地理'!B411="","缺少中文名称；","")&amp;IF('02_固定地理'!D411="","缺少对象类型；","")&amp;IF(AND('02_固定地理'!F411&lt;&gt;"",OR('02_固定地理'!F411&lt;0,'02_固定地理'!F411&gt;WorldWidth)),"世界中心X越界；","")&amp;IF(AND('02_固定地理'!G411&lt;&gt;"",OR('02_固定地理'!G411&lt;0,'02_固定地理'!G411&gt;WorldHeight)),"世界中心Y越界；","")&amp;IF(AND('02_固定地理'!H411&lt;&gt;"",'02_固定地理'!J411&lt;&gt;"",'02_固定地理'!H411&gt;'02_固定地理'!J411),"最小X大于最大X；","")&amp;IF(AND('02_固定地理'!I411&lt;&gt;"",'02_固定地理'!K411&lt;&gt;"",'02_固定地理'!I411&gt;'02_固定地理'!K411),"最小Y大于最大Y；","")&amp;IF(AND('02_固定地理'!E411&lt;&gt;"",COUNTIF('02_固定地理'!$A$2:$A$501,'02_固定地理'!E411)=0),"父级对象不存在；","")&amp;IF(AND('02_固定地理'!A411&lt;&gt;"",COUNTIF('02_固定地理'!$A$2:$A$501,'02_固定地理'!A411)&gt;1),"ID重复；",""),"")</f>
        <v/>
      </c>
      <c r="G411" s="14">
        <f>IF(F411&lt;&gt;"","按字段批注、数据字典和来源记录修正后复核","")</f>
        <v/>
      </c>
      <c r="H411" s="14">
        <f>IF(F411&lt;&gt;"","待处理","")</f>
        <v/>
      </c>
    </row>
    <row r="412">
      <c r="A412" s="14">
        <f>IF(F412&lt;&gt;"","ISSUE-"&amp;TEXT(ROW()-1,"00000"),"")</f>
        <v/>
      </c>
      <c r="B412" s="14">
        <f>IF(F412&lt;&gt;"","错误","")</f>
        <v/>
      </c>
      <c r="C412" s="14">
        <f>IF('02_固定地理'!A412&lt;&gt;"","02_固定地理","")</f>
        <v/>
      </c>
      <c r="D412" s="14">
        <f>IF('02_固定地理'!A412&lt;&gt;"",'02_固定地理'!A412,"")</f>
        <v/>
      </c>
      <c r="E412" s="14">
        <f>IF(F412&lt;&gt;"","综合校验","")</f>
        <v/>
      </c>
      <c r="F412" s="14">
        <f>IF('02_固定地理'!A412&lt;&gt;"",IF('02_固定地理'!A412="","缺少对象ID；","")&amp;IF('02_固定地理'!B412="","缺少中文名称；","")&amp;IF('02_固定地理'!D412="","缺少对象类型；","")&amp;IF(AND('02_固定地理'!F412&lt;&gt;"",OR('02_固定地理'!F412&lt;0,'02_固定地理'!F412&gt;WorldWidth)),"世界中心X越界；","")&amp;IF(AND('02_固定地理'!G412&lt;&gt;"",OR('02_固定地理'!G412&lt;0,'02_固定地理'!G412&gt;WorldHeight)),"世界中心Y越界；","")&amp;IF(AND('02_固定地理'!H412&lt;&gt;"",'02_固定地理'!J412&lt;&gt;"",'02_固定地理'!H412&gt;'02_固定地理'!J412),"最小X大于最大X；","")&amp;IF(AND('02_固定地理'!I412&lt;&gt;"",'02_固定地理'!K412&lt;&gt;"",'02_固定地理'!I412&gt;'02_固定地理'!K412),"最小Y大于最大Y；","")&amp;IF(AND('02_固定地理'!E412&lt;&gt;"",COUNTIF('02_固定地理'!$A$2:$A$501,'02_固定地理'!E412)=0),"父级对象不存在；","")&amp;IF(AND('02_固定地理'!A412&lt;&gt;"",COUNTIF('02_固定地理'!$A$2:$A$501,'02_固定地理'!A412)&gt;1),"ID重复；",""),"")</f>
        <v/>
      </c>
      <c r="G412" s="14">
        <f>IF(F412&lt;&gt;"","按字段批注、数据字典和来源记录修正后复核","")</f>
        <v/>
      </c>
      <c r="H412" s="14">
        <f>IF(F412&lt;&gt;"","待处理","")</f>
        <v/>
      </c>
    </row>
    <row r="413">
      <c r="A413" s="14">
        <f>IF(F413&lt;&gt;"","ISSUE-"&amp;TEXT(ROW()-1,"00000"),"")</f>
        <v/>
      </c>
      <c r="B413" s="14">
        <f>IF(F413&lt;&gt;"","错误","")</f>
        <v/>
      </c>
      <c r="C413" s="14">
        <f>IF('02_固定地理'!A413&lt;&gt;"","02_固定地理","")</f>
        <v/>
      </c>
      <c r="D413" s="14">
        <f>IF('02_固定地理'!A413&lt;&gt;"",'02_固定地理'!A413,"")</f>
        <v/>
      </c>
      <c r="E413" s="14">
        <f>IF(F413&lt;&gt;"","综合校验","")</f>
        <v/>
      </c>
      <c r="F413" s="14">
        <f>IF('02_固定地理'!A413&lt;&gt;"",IF('02_固定地理'!A413="","缺少对象ID；","")&amp;IF('02_固定地理'!B413="","缺少中文名称；","")&amp;IF('02_固定地理'!D413="","缺少对象类型；","")&amp;IF(AND('02_固定地理'!F413&lt;&gt;"",OR('02_固定地理'!F413&lt;0,'02_固定地理'!F413&gt;WorldWidth)),"世界中心X越界；","")&amp;IF(AND('02_固定地理'!G413&lt;&gt;"",OR('02_固定地理'!G413&lt;0,'02_固定地理'!G413&gt;WorldHeight)),"世界中心Y越界；","")&amp;IF(AND('02_固定地理'!H413&lt;&gt;"",'02_固定地理'!J413&lt;&gt;"",'02_固定地理'!H413&gt;'02_固定地理'!J413),"最小X大于最大X；","")&amp;IF(AND('02_固定地理'!I413&lt;&gt;"",'02_固定地理'!K413&lt;&gt;"",'02_固定地理'!I413&gt;'02_固定地理'!K413),"最小Y大于最大Y；","")&amp;IF(AND('02_固定地理'!E413&lt;&gt;"",COUNTIF('02_固定地理'!$A$2:$A$501,'02_固定地理'!E413)=0),"父级对象不存在；","")&amp;IF(AND('02_固定地理'!A413&lt;&gt;"",COUNTIF('02_固定地理'!$A$2:$A$501,'02_固定地理'!A413)&gt;1),"ID重复；",""),"")</f>
        <v/>
      </c>
      <c r="G413" s="14">
        <f>IF(F413&lt;&gt;"","按字段批注、数据字典和来源记录修正后复核","")</f>
        <v/>
      </c>
      <c r="H413" s="14">
        <f>IF(F413&lt;&gt;"","待处理","")</f>
        <v/>
      </c>
    </row>
    <row r="414">
      <c r="A414" s="14">
        <f>IF(F414&lt;&gt;"","ISSUE-"&amp;TEXT(ROW()-1,"00000"),"")</f>
        <v/>
      </c>
      <c r="B414" s="14">
        <f>IF(F414&lt;&gt;"","错误","")</f>
        <v/>
      </c>
      <c r="C414" s="14">
        <f>IF('02_固定地理'!A414&lt;&gt;"","02_固定地理","")</f>
        <v/>
      </c>
      <c r="D414" s="14">
        <f>IF('02_固定地理'!A414&lt;&gt;"",'02_固定地理'!A414,"")</f>
        <v/>
      </c>
      <c r="E414" s="14">
        <f>IF(F414&lt;&gt;"","综合校验","")</f>
        <v/>
      </c>
      <c r="F414" s="14">
        <f>IF('02_固定地理'!A414&lt;&gt;"",IF('02_固定地理'!A414="","缺少对象ID；","")&amp;IF('02_固定地理'!B414="","缺少中文名称；","")&amp;IF('02_固定地理'!D414="","缺少对象类型；","")&amp;IF(AND('02_固定地理'!F414&lt;&gt;"",OR('02_固定地理'!F414&lt;0,'02_固定地理'!F414&gt;WorldWidth)),"世界中心X越界；","")&amp;IF(AND('02_固定地理'!G414&lt;&gt;"",OR('02_固定地理'!G414&lt;0,'02_固定地理'!G414&gt;WorldHeight)),"世界中心Y越界；","")&amp;IF(AND('02_固定地理'!H414&lt;&gt;"",'02_固定地理'!J414&lt;&gt;"",'02_固定地理'!H414&gt;'02_固定地理'!J414),"最小X大于最大X；","")&amp;IF(AND('02_固定地理'!I414&lt;&gt;"",'02_固定地理'!K414&lt;&gt;"",'02_固定地理'!I414&gt;'02_固定地理'!K414),"最小Y大于最大Y；","")&amp;IF(AND('02_固定地理'!E414&lt;&gt;"",COUNTIF('02_固定地理'!$A$2:$A$501,'02_固定地理'!E414)=0),"父级对象不存在；","")&amp;IF(AND('02_固定地理'!A414&lt;&gt;"",COUNTIF('02_固定地理'!$A$2:$A$501,'02_固定地理'!A414)&gt;1),"ID重复；",""),"")</f>
        <v/>
      </c>
      <c r="G414" s="14">
        <f>IF(F414&lt;&gt;"","按字段批注、数据字典和来源记录修正后复核","")</f>
        <v/>
      </c>
      <c r="H414" s="14">
        <f>IF(F414&lt;&gt;"","待处理","")</f>
        <v/>
      </c>
    </row>
    <row r="415">
      <c r="A415" s="14">
        <f>IF(F415&lt;&gt;"","ISSUE-"&amp;TEXT(ROW()-1,"00000"),"")</f>
        <v/>
      </c>
      <c r="B415" s="14">
        <f>IF(F415&lt;&gt;"","错误","")</f>
        <v/>
      </c>
      <c r="C415" s="14">
        <f>IF('02_固定地理'!A415&lt;&gt;"","02_固定地理","")</f>
        <v/>
      </c>
      <c r="D415" s="14">
        <f>IF('02_固定地理'!A415&lt;&gt;"",'02_固定地理'!A415,"")</f>
        <v/>
      </c>
      <c r="E415" s="14">
        <f>IF(F415&lt;&gt;"","综合校验","")</f>
        <v/>
      </c>
      <c r="F415" s="14">
        <f>IF('02_固定地理'!A415&lt;&gt;"",IF('02_固定地理'!A415="","缺少对象ID；","")&amp;IF('02_固定地理'!B415="","缺少中文名称；","")&amp;IF('02_固定地理'!D415="","缺少对象类型；","")&amp;IF(AND('02_固定地理'!F415&lt;&gt;"",OR('02_固定地理'!F415&lt;0,'02_固定地理'!F415&gt;WorldWidth)),"世界中心X越界；","")&amp;IF(AND('02_固定地理'!G415&lt;&gt;"",OR('02_固定地理'!G415&lt;0,'02_固定地理'!G415&gt;WorldHeight)),"世界中心Y越界；","")&amp;IF(AND('02_固定地理'!H415&lt;&gt;"",'02_固定地理'!J415&lt;&gt;"",'02_固定地理'!H415&gt;'02_固定地理'!J415),"最小X大于最大X；","")&amp;IF(AND('02_固定地理'!I415&lt;&gt;"",'02_固定地理'!K415&lt;&gt;"",'02_固定地理'!I415&gt;'02_固定地理'!K415),"最小Y大于最大Y；","")&amp;IF(AND('02_固定地理'!E415&lt;&gt;"",COUNTIF('02_固定地理'!$A$2:$A$501,'02_固定地理'!E415)=0),"父级对象不存在；","")&amp;IF(AND('02_固定地理'!A415&lt;&gt;"",COUNTIF('02_固定地理'!$A$2:$A$501,'02_固定地理'!A415)&gt;1),"ID重复；",""),"")</f>
        <v/>
      </c>
      <c r="G415" s="14">
        <f>IF(F415&lt;&gt;"","按字段批注、数据字典和来源记录修正后复核","")</f>
        <v/>
      </c>
      <c r="H415" s="14">
        <f>IF(F415&lt;&gt;"","待处理","")</f>
        <v/>
      </c>
    </row>
    <row r="416">
      <c r="A416" s="14">
        <f>IF(F416&lt;&gt;"","ISSUE-"&amp;TEXT(ROW()-1,"00000"),"")</f>
        <v/>
      </c>
      <c r="B416" s="14">
        <f>IF(F416&lt;&gt;"","错误","")</f>
        <v/>
      </c>
      <c r="C416" s="14">
        <f>IF('02_固定地理'!A416&lt;&gt;"","02_固定地理","")</f>
        <v/>
      </c>
      <c r="D416" s="14">
        <f>IF('02_固定地理'!A416&lt;&gt;"",'02_固定地理'!A416,"")</f>
        <v/>
      </c>
      <c r="E416" s="14">
        <f>IF(F416&lt;&gt;"","综合校验","")</f>
        <v/>
      </c>
      <c r="F416" s="14">
        <f>IF('02_固定地理'!A416&lt;&gt;"",IF('02_固定地理'!A416="","缺少对象ID；","")&amp;IF('02_固定地理'!B416="","缺少中文名称；","")&amp;IF('02_固定地理'!D416="","缺少对象类型；","")&amp;IF(AND('02_固定地理'!F416&lt;&gt;"",OR('02_固定地理'!F416&lt;0,'02_固定地理'!F416&gt;WorldWidth)),"世界中心X越界；","")&amp;IF(AND('02_固定地理'!G416&lt;&gt;"",OR('02_固定地理'!G416&lt;0,'02_固定地理'!G416&gt;WorldHeight)),"世界中心Y越界；","")&amp;IF(AND('02_固定地理'!H416&lt;&gt;"",'02_固定地理'!J416&lt;&gt;"",'02_固定地理'!H416&gt;'02_固定地理'!J416),"最小X大于最大X；","")&amp;IF(AND('02_固定地理'!I416&lt;&gt;"",'02_固定地理'!K416&lt;&gt;"",'02_固定地理'!I416&gt;'02_固定地理'!K416),"最小Y大于最大Y；","")&amp;IF(AND('02_固定地理'!E416&lt;&gt;"",COUNTIF('02_固定地理'!$A$2:$A$501,'02_固定地理'!E416)=0),"父级对象不存在；","")&amp;IF(AND('02_固定地理'!A416&lt;&gt;"",COUNTIF('02_固定地理'!$A$2:$A$501,'02_固定地理'!A416)&gt;1),"ID重复；",""),"")</f>
        <v/>
      </c>
      <c r="G416" s="14">
        <f>IF(F416&lt;&gt;"","按字段批注、数据字典和来源记录修正后复核","")</f>
        <v/>
      </c>
      <c r="H416" s="14">
        <f>IF(F416&lt;&gt;"","待处理","")</f>
        <v/>
      </c>
    </row>
    <row r="417">
      <c r="A417" s="14">
        <f>IF(F417&lt;&gt;"","ISSUE-"&amp;TEXT(ROW()-1,"00000"),"")</f>
        <v/>
      </c>
      <c r="B417" s="14">
        <f>IF(F417&lt;&gt;"","错误","")</f>
        <v/>
      </c>
      <c r="C417" s="14">
        <f>IF('02_固定地理'!A417&lt;&gt;"","02_固定地理","")</f>
        <v/>
      </c>
      <c r="D417" s="14">
        <f>IF('02_固定地理'!A417&lt;&gt;"",'02_固定地理'!A417,"")</f>
        <v/>
      </c>
      <c r="E417" s="14">
        <f>IF(F417&lt;&gt;"","综合校验","")</f>
        <v/>
      </c>
      <c r="F417" s="14">
        <f>IF('02_固定地理'!A417&lt;&gt;"",IF('02_固定地理'!A417="","缺少对象ID；","")&amp;IF('02_固定地理'!B417="","缺少中文名称；","")&amp;IF('02_固定地理'!D417="","缺少对象类型；","")&amp;IF(AND('02_固定地理'!F417&lt;&gt;"",OR('02_固定地理'!F417&lt;0,'02_固定地理'!F417&gt;WorldWidth)),"世界中心X越界；","")&amp;IF(AND('02_固定地理'!G417&lt;&gt;"",OR('02_固定地理'!G417&lt;0,'02_固定地理'!G417&gt;WorldHeight)),"世界中心Y越界；","")&amp;IF(AND('02_固定地理'!H417&lt;&gt;"",'02_固定地理'!J417&lt;&gt;"",'02_固定地理'!H417&gt;'02_固定地理'!J417),"最小X大于最大X；","")&amp;IF(AND('02_固定地理'!I417&lt;&gt;"",'02_固定地理'!K417&lt;&gt;"",'02_固定地理'!I417&gt;'02_固定地理'!K417),"最小Y大于最大Y；","")&amp;IF(AND('02_固定地理'!E417&lt;&gt;"",COUNTIF('02_固定地理'!$A$2:$A$501,'02_固定地理'!E417)=0),"父级对象不存在；","")&amp;IF(AND('02_固定地理'!A417&lt;&gt;"",COUNTIF('02_固定地理'!$A$2:$A$501,'02_固定地理'!A417)&gt;1),"ID重复；",""),"")</f>
        <v/>
      </c>
      <c r="G417" s="14">
        <f>IF(F417&lt;&gt;"","按字段批注、数据字典和来源记录修正后复核","")</f>
        <v/>
      </c>
      <c r="H417" s="14">
        <f>IF(F417&lt;&gt;"","待处理","")</f>
        <v/>
      </c>
    </row>
    <row r="418">
      <c r="A418" s="14">
        <f>IF(F418&lt;&gt;"","ISSUE-"&amp;TEXT(ROW()-1,"00000"),"")</f>
        <v/>
      </c>
      <c r="B418" s="14">
        <f>IF(F418&lt;&gt;"","错误","")</f>
        <v/>
      </c>
      <c r="C418" s="14">
        <f>IF('02_固定地理'!A418&lt;&gt;"","02_固定地理","")</f>
        <v/>
      </c>
      <c r="D418" s="14">
        <f>IF('02_固定地理'!A418&lt;&gt;"",'02_固定地理'!A418,"")</f>
        <v/>
      </c>
      <c r="E418" s="14">
        <f>IF(F418&lt;&gt;"","综合校验","")</f>
        <v/>
      </c>
      <c r="F418" s="14">
        <f>IF('02_固定地理'!A418&lt;&gt;"",IF('02_固定地理'!A418="","缺少对象ID；","")&amp;IF('02_固定地理'!B418="","缺少中文名称；","")&amp;IF('02_固定地理'!D418="","缺少对象类型；","")&amp;IF(AND('02_固定地理'!F418&lt;&gt;"",OR('02_固定地理'!F418&lt;0,'02_固定地理'!F418&gt;WorldWidth)),"世界中心X越界；","")&amp;IF(AND('02_固定地理'!G418&lt;&gt;"",OR('02_固定地理'!G418&lt;0,'02_固定地理'!G418&gt;WorldHeight)),"世界中心Y越界；","")&amp;IF(AND('02_固定地理'!H418&lt;&gt;"",'02_固定地理'!J418&lt;&gt;"",'02_固定地理'!H418&gt;'02_固定地理'!J418),"最小X大于最大X；","")&amp;IF(AND('02_固定地理'!I418&lt;&gt;"",'02_固定地理'!K418&lt;&gt;"",'02_固定地理'!I418&gt;'02_固定地理'!K418),"最小Y大于最大Y；","")&amp;IF(AND('02_固定地理'!E418&lt;&gt;"",COUNTIF('02_固定地理'!$A$2:$A$501,'02_固定地理'!E418)=0),"父级对象不存在；","")&amp;IF(AND('02_固定地理'!A418&lt;&gt;"",COUNTIF('02_固定地理'!$A$2:$A$501,'02_固定地理'!A418)&gt;1),"ID重复；",""),"")</f>
        <v/>
      </c>
      <c r="G418" s="14">
        <f>IF(F418&lt;&gt;"","按字段批注、数据字典和来源记录修正后复核","")</f>
        <v/>
      </c>
      <c r="H418" s="14">
        <f>IF(F418&lt;&gt;"","待处理","")</f>
        <v/>
      </c>
    </row>
    <row r="419">
      <c r="A419" s="14">
        <f>IF(F419&lt;&gt;"","ISSUE-"&amp;TEXT(ROW()-1,"00000"),"")</f>
        <v/>
      </c>
      <c r="B419" s="14">
        <f>IF(F419&lt;&gt;"","错误","")</f>
        <v/>
      </c>
      <c r="C419" s="14">
        <f>IF('02_固定地理'!A419&lt;&gt;"","02_固定地理","")</f>
        <v/>
      </c>
      <c r="D419" s="14">
        <f>IF('02_固定地理'!A419&lt;&gt;"",'02_固定地理'!A419,"")</f>
        <v/>
      </c>
      <c r="E419" s="14">
        <f>IF(F419&lt;&gt;"","综合校验","")</f>
        <v/>
      </c>
      <c r="F419" s="14">
        <f>IF('02_固定地理'!A419&lt;&gt;"",IF('02_固定地理'!A419="","缺少对象ID；","")&amp;IF('02_固定地理'!B419="","缺少中文名称；","")&amp;IF('02_固定地理'!D419="","缺少对象类型；","")&amp;IF(AND('02_固定地理'!F419&lt;&gt;"",OR('02_固定地理'!F419&lt;0,'02_固定地理'!F419&gt;WorldWidth)),"世界中心X越界；","")&amp;IF(AND('02_固定地理'!G419&lt;&gt;"",OR('02_固定地理'!G419&lt;0,'02_固定地理'!G419&gt;WorldHeight)),"世界中心Y越界；","")&amp;IF(AND('02_固定地理'!H419&lt;&gt;"",'02_固定地理'!J419&lt;&gt;"",'02_固定地理'!H419&gt;'02_固定地理'!J419),"最小X大于最大X；","")&amp;IF(AND('02_固定地理'!I419&lt;&gt;"",'02_固定地理'!K419&lt;&gt;"",'02_固定地理'!I419&gt;'02_固定地理'!K419),"最小Y大于最大Y；","")&amp;IF(AND('02_固定地理'!E419&lt;&gt;"",COUNTIF('02_固定地理'!$A$2:$A$501,'02_固定地理'!E419)=0),"父级对象不存在；","")&amp;IF(AND('02_固定地理'!A419&lt;&gt;"",COUNTIF('02_固定地理'!$A$2:$A$501,'02_固定地理'!A419)&gt;1),"ID重复；",""),"")</f>
        <v/>
      </c>
      <c r="G419" s="14">
        <f>IF(F419&lt;&gt;"","按字段批注、数据字典和来源记录修正后复核","")</f>
        <v/>
      </c>
      <c r="H419" s="14">
        <f>IF(F419&lt;&gt;"","待处理","")</f>
        <v/>
      </c>
    </row>
    <row r="420">
      <c r="A420" s="14">
        <f>IF(F420&lt;&gt;"","ISSUE-"&amp;TEXT(ROW()-1,"00000"),"")</f>
        <v/>
      </c>
      <c r="B420" s="14">
        <f>IF(F420&lt;&gt;"","错误","")</f>
        <v/>
      </c>
      <c r="C420" s="14">
        <f>IF('02_固定地理'!A420&lt;&gt;"","02_固定地理","")</f>
        <v/>
      </c>
      <c r="D420" s="14">
        <f>IF('02_固定地理'!A420&lt;&gt;"",'02_固定地理'!A420,"")</f>
        <v/>
      </c>
      <c r="E420" s="14">
        <f>IF(F420&lt;&gt;"","综合校验","")</f>
        <v/>
      </c>
      <c r="F420" s="14">
        <f>IF('02_固定地理'!A420&lt;&gt;"",IF('02_固定地理'!A420="","缺少对象ID；","")&amp;IF('02_固定地理'!B420="","缺少中文名称；","")&amp;IF('02_固定地理'!D420="","缺少对象类型；","")&amp;IF(AND('02_固定地理'!F420&lt;&gt;"",OR('02_固定地理'!F420&lt;0,'02_固定地理'!F420&gt;WorldWidth)),"世界中心X越界；","")&amp;IF(AND('02_固定地理'!G420&lt;&gt;"",OR('02_固定地理'!G420&lt;0,'02_固定地理'!G420&gt;WorldHeight)),"世界中心Y越界；","")&amp;IF(AND('02_固定地理'!H420&lt;&gt;"",'02_固定地理'!J420&lt;&gt;"",'02_固定地理'!H420&gt;'02_固定地理'!J420),"最小X大于最大X；","")&amp;IF(AND('02_固定地理'!I420&lt;&gt;"",'02_固定地理'!K420&lt;&gt;"",'02_固定地理'!I420&gt;'02_固定地理'!K420),"最小Y大于最大Y；","")&amp;IF(AND('02_固定地理'!E420&lt;&gt;"",COUNTIF('02_固定地理'!$A$2:$A$501,'02_固定地理'!E420)=0),"父级对象不存在；","")&amp;IF(AND('02_固定地理'!A420&lt;&gt;"",COUNTIF('02_固定地理'!$A$2:$A$501,'02_固定地理'!A420)&gt;1),"ID重复；",""),"")</f>
        <v/>
      </c>
      <c r="G420" s="14">
        <f>IF(F420&lt;&gt;"","按字段批注、数据字典和来源记录修正后复核","")</f>
        <v/>
      </c>
      <c r="H420" s="14">
        <f>IF(F420&lt;&gt;"","待处理","")</f>
        <v/>
      </c>
    </row>
    <row r="421">
      <c r="A421" s="14">
        <f>IF(F421&lt;&gt;"","ISSUE-"&amp;TEXT(ROW()-1,"00000"),"")</f>
        <v/>
      </c>
      <c r="B421" s="14">
        <f>IF(F421&lt;&gt;"","错误","")</f>
        <v/>
      </c>
      <c r="C421" s="14">
        <f>IF('02_固定地理'!A421&lt;&gt;"","02_固定地理","")</f>
        <v/>
      </c>
      <c r="D421" s="14">
        <f>IF('02_固定地理'!A421&lt;&gt;"",'02_固定地理'!A421,"")</f>
        <v/>
      </c>
      <c r="E421" s="14">
        <f>IF(F421&lt;&gt;"","综合校验","")</f>
        <v/>
      </c>
      <c r="F421" s="14">
        <f>IF('02_固定地理'!A421&lt;&gt;"",IF('02_固定地理'!A421="","缺少对象ID；","")&amp;IF('02_固定地理'!B421="","缺少中文名称；","")&amp;IF('02_固定地理'!D421="","缺少对象类型；","")&amp;IF(AND('02_固定地理'!F421&lt;&gt;"",OR('02_固定地理'!F421&lt;0,'02_固定地理'!F421&gt;WorldWidth)),"世界中心X越界；","")&amp;IF(AND('02_固定地理'!G421&lt;&gt;"",OR('02_固定地理'!G421&lt;0,'02_固定地理'!G421&gt;WorldHeight)),"世界中心Y越界；","")&amp;IF(AND('02_固定地理'!H421&lt;&gt;"",'02_固定地理'!J421&lt;&gt;"",'02_固定地理'!H421&gt;'02_固定地理'!J421),"最小X大于最大X；","")&amp;IF(AND('02_固定地理'!I421&lt;&gt;"",'02_固定地理'!K421&lt;&gt;"",'02_固定地理'!I421&gt;'02_固定地理'!K421),"最小Y大于最大Y；","")&amp;IF(AND('02_固定地理'!E421&lt;&gt;"",COUNTIF('02_固定地理'!$A$2:$A$501,'02_固定地理'!E421)=0),"父级对象不存在；","")&amp;IF(AND('02_固定地理'!A421&lt;&gt;"",COUNTIF('02_固定地理'!$A$2:$A$501,'02_固定地理'!A421)&gt;1),"ID重复；",""),"")</f>
        <v/>
      </c>
      <c r="G421" s="14">
        <f>IF(F421&lt;&gt;"","按字段批注、数据字典和来源记录修正后复核","")</f>
        <v/>
      </c>
      <c r="H421" s="14">
        <f>IF(F421&lt;&gt;"","待处理","")</f>
        <v/>
      </c>
    </row>
    <row r="422">
      <c r="A422" s="14">
        <f>IF(F422&lt;&gt;"","ISSUE-"&amp;TEXT(ROW()-1,"00000"),"")</f>
        <v/>
      </c>
      <c r="B422" s="14">
        <f>IF(F422&lt;&gt;"","错误","")</f>
        <v/>
      </c>
      <c r="C422" s="14">
        <f>IF('02_固定地理'!A422&lt;&gt;"","02_固定地理","")</f>
        <v/>
      </c>
      <c r="D422" s="14">
        <f>IF('02_固定地理'!A422&lt;&gt;"",'02_固定地理'!A422,"")</f>
        <v/>
      </c>
      <c r="E422" s="14">
        <f>IF(F422&lt;&gt;"","综合校验","")</f>
        <v/>
      </c>
      <c r="F422" s="14">
        <f>IF('02_固定地理'!A422&lt;&gt;"",IF('02_固定地理'!A422="","缺少对象ID；","")&amp;IF('02_固定地理'!B422="","缺少中文名称；","")&amp;IF('02_固定地理'!D422="","缺少对象类型；","")&amp;IF(AND('02_固定地理'!F422&lt;&gt;"",OR('02_固定地理'!F422&lt;0,'02_固定地理'!F422&gt;WorldWidth)),"世界中心X越界；","")&amp;IF(AND('02_固定地理'!G422&lt;&gt;"",OR('02_固定地理'!G422&lt;0,'02_固定地理'!G422&gt;WorldHeight)),"世界中心Y越界；","")&amp;IF(AND('02_固定地理'!H422&lt;&gt;"",'02_固定地理'!J422&lt;&gt;"",'02_固定地理'!H422&gt;'02_固定地理'!J422),"最小X大于最大X；","")&amp;IF(AND('02_固定地理'!I422&lt;&gt;"",'02_固定地理'!K422&lt;&gt;"",'02_固定地理'!I422&gt;'02_固定地理'!K422),"最小Y大于最大Y；","")&amp;IF(AND('02_固定地理'!E422&lt;&gt;"",COUNTIF('02_固定地理'!$A$2:$A$501,'02_固定地理'!E422)=0),"父级对象不存在；","")&amp;IF(AND('02_固定地理'!A422&lt;&gt;"",COUNTIF('02_固定地理'!$A$2:$A$501,'02_固定地理'!A422)&gt;1),"ID重复；",""),"")</f>
        <v/>
      </c>
      <c r="G422" s="14">
        <f>IF(F422&lt;&gt;"","按字段批注、数据字典和来源记录修正后复核","")</f>
        <v/>
      </c>
      <c r="H422" s="14">
        <f>IF(F422&lt;&gt;"","待处理","")</f>
        <v/>
      </c>
    </row>
    <row r="423">
      <c r="A423" s="14">
        <f>IF(F423&lt;&gt;"","ISSUE-"&amp;TEXT(ROW()-1,"00000"),"")</f>
        <v/>
      </c>
      <c r="B423" s="14">
        <f>IF(F423&lt;&gt;"","错误","")</f>
        <v/>
      </c>
      <c r="C423" s="14">
        <f>IF('02_固定地理'!A423&lt;&gt;"","02_固定地理","")</f>
        <v/>
      </c>
      <c r="D423" s="14">
        <f>IF('02_固定地理'!A423&lt;&gt;"",'02_固定地理'!A423,"")</f>
        <v/>
      </c>
      <c r="E423" s="14">
        <f>IF(F423&lt;&gt;"","综合校验","")</f>
        <v/>
      </c>
      <c r="F423" s="14">
        <f>IF('02_固定地理'!A423&lt;&gt;"",IF('02_固定地理'!A423="","缺少对象ID；","")&amp;IF('02_固定地理'!B423="","缺少中文名称；","")&amp;IF('02_固定地理'!D423="","缺少对象类型；","")&amp;IF(AND('02_固定地理'!F423&lt;&gt;"",OR('02_固定地理'!F423&lt;0,'02_固定地理'!F423&gt;WorldWidth)),"世界中心X越界；","")&amp;IF(AND('02_固定地理'!G423&lt;&gt;"",OR('02_固定地理'!G423&lt;0,'02_固定地理'!G423&gt;WorldHeight)),"世界中心Y越界；","")&amp;IF(AND('02_固定地理'!H423&lt;&gt;"",'02_固定地理'!J423&lt;&gt;"",'02_固定地理'!H423&gt;'02_固定地理'!J423),"最小X大于最大X；","")&amp;IF(AND('02_固定地理'!I423&lt;&gt;"",'02_固定地理'!K423&lt;&gt;"",'02_固定地理'!I423&gt;'02_固定地理'!K423),"最小Y大于最大Y；","")&amp;IF(AND('02_固定地理'!E423&lt;&gt;"",COUNTIF('02_固定地理'!$A$2:$A$501,'02_固定地理'!E423)=0),"父级对象不存在；","")&amp;IF(AND('02_固定地理'!A423&lt;&gt;"",COUNTIF('02_固定地理'!$A$2:$A$501,'02_固定地理'!A423)&gt;1),"ID重复；",""),"")</f>
        <v/>
      </c>
      <c r="G423" s="14">
        <f>IF(F423&lt;&gt;"","按字段批注、数据字典和来源记录修正后复核","")</f>
        <v/>
      </c>
      <c r="H423" s="14">
        <f>IF(F423&lt;&gt;"","待处理","")</f>
        <v/>
      </c>
    </row>
    <row r="424">
      <c r="A424" s="14">
        <f>IF(F424&lt;&gt;"","ISSUE-"&amp;TEXT(ROW()-1,"00000"),"")</f>
        <v/>
      </c>
      <c r="B424" s="14">
        <f>IF(F424&lt;&gt;"","错误","")</f>
        <v/>
      </c>
      <c r="C424" s="14">
        <f>IF('02_固定地理'!A424&lt;&gt;"","02_固定地理","")</f>
        <v/>
      </c>
      <c r="D424" s="14">
        <f>IF('02_固定地理'!A424&lt;&gt;"",'02_固定地理'!A424,"")</f>
        <v/>
      </c>
      <c r="E424" s="14">
        <f>IF(F424&lt;&gt;"","综合校验","")</f>
        <v/>
      </c>
      <c r="F424" s="14">
        <f>IF('02_固定地理'!A424&lt;&gt;"",IF('02_固定地理'!A424="","缺少对象ID；","")&amp;IF('02_固定地理'!B424="","缺少中文名称；","")&amp;IF('02_固定地理'!D424="","缺少对象类型；","")&amp;IF(AND('02_固定地理'!F424&lt;&gt;"",OR('02_固定地理'!F424&lt;0,'02_固定地理'!F424&gt;WorldWidth)),"世界中心X越界；","")&amp;IF(AND('02_固定地理'!G424&lt;&gt;"",OR('02_固定地理'!G424&lt;0,'02_固定地理'!G424&gt;WorldHeight)),"世界中心Y越界；","")&amp;IF(AND('02_固定地理'!H424&lt;&gt;"",'02_固定地理'!J424&lt;&gt;"",'02_固定地理'!H424&gt;'02_固定地理'!J424),"最小X大于最大X；","")&amp;IF(AND('02_固定地理'!I424&lt;&gt;"",'02_固定地理'!K424&lt;&gt;"",'02_固定地理'!I424&gt;'02_固定地理'!K424),"最小Y大于最大Y；","")&amp;IF(AND('02_固定地理'!E424&lt;&gt;"",COUNTIF('02_固定地理'!$A$2:$A$501,'02_固定地理'!E424)=0),"父级对象不存在；","")&amp;IF(AND('02_固定地理'!A424&lt;&gt;"",COUNTIF('02_固定地理'!$A$2:$A$501,'02_固定地理'!A424)&gt;1),"ID重复；",""),"")</f>
        <v/>
      </c>
      <c r="G424" s="14">
        <f>IF(F424&lt;&gt;"","按字段批注、数据字典和来源记录修正后复核","")</f>
        <v/>
      </c>
      <c r="H424" s="14">
        <f>IF(F424&lt;&gt;"","待处理","")</f>
        <v/>
      </c>
    </row>
    <row r="425">
      <c r="A425" s="14">
        <f>IF(F425&lt;&gt;"","ISSUE-"&amp;TEXT(ROW()-1,"00000"),"")</f>
        <v/>
      </c>
      <c r="B425" s="14">
        <f>IF(F425&lt;&gt;"","错误","")</f>
        <v/>
      </c>
      <c r="C425" s="14">
        <f>IF('02_固定地理'!A425&lt;&gt;"","02_固定地理","")</f>
        <v/>
      </c>
      <c r="D425" s="14">
        <f>IF('02_固定地理'!A425&lt;&gt;"",'02_固定地理'!A425,"")</f>
        <v/>
      </c>
      <c r="E425" s="14">
        <f>IF(F425&lt;&gt;"","综合校验","")</f>
        <v/>
      </c>
      <c r="F425" s="14">
        <f>IF('02_固定地理'!A425&lt;&gt;"",IF('02_固定地理'!A425="","缺少对象ID；","")&amp;IF('02_固定地理'!B425="","缺少中文名称；","")&amp;IF('02_固定地理'!D425="","缺少对象类型；","")&amp;IF(AND('02_固定地理'!F425&lt;&gt;"",OR('02_固定地理'!F425&lt;0,'02_固定地理'!F425&gt;WorldWidth)),"世界中心X越界；","")&amp;IF(AND('02_固定地理'!G425&lt;&gt;"",OR('02_固定地理'!G425&lt;0,'02_固定地理'!G425&gt;WorldHeight)),"世界中心Y越界；","")&amp;IF(AND('02_固定地理'!H425&lt;&gt;"",'02_固定地理'!J425&lt;&gt;"",'02_固定地理'!H425&gt;'02_固定地理'!J425),"最小X大于最大X；","")&amp;IF(AND('02_固定地理'!I425&lt;&gt;"",'02_固定地理'!K425&lt;&gt;"",'02_固定地理'!I425&gt;'02_固定地理'!K425),"最小Y大于最大Y；","")&amp;IF(AND('02_固定地理'!E425&lt;&gt;"",COUNTIF('02_固定地理'!$A$2:$A$501,'02_固定地理'!E425)=0),"父级对象不存在；","")&amp;IF(AND('02_固定地理'!A425&lt;&gt;"",COUNTIF('02_固定地理'!$A$2:$A$501,'02_固定地理'!A425)&gt;1),"ID重复；",""),"")</f>
        <v/>
      </c>
      <c r="G425" s="14">
        <f>IF(F425&lt;&gt;"","按字段批注、数据字典和来源记录修正后复核","")</f>
        <v/>
      </c>
      <c r="H425" s="14">
        <f>IF(F425&lt;&gt;"","待处理","")</f>
        <v/>
      </c>
    </row>
    <row r="426">
      <c r="A426" s="14">
        <f>IF(F426&lt;&gt;"","ISSUE-"&amp;TEXT(ROW()-1,"00000"),"")</f>
        <v/>
      </c>
      <c r="B426" s="14">
        <f>IF(F426&lt;&gt;"","错误","")</f>
        <v/>
      </c>
      <c r="C426" s="14">
        <f>IF('02_固定地理'!A426&lt;&gt;"","02_固定地理","")</f>
        <v/>
      </c>
      <c r="D426" s="14">
        <f>IF('02_固定地理'!A426&lt;&gt;"",'02_固定地理'!A426,"")</f>
        <v/>
      </c>
      <c r="E426" s="14">
        <f>IF(F426&lt;&gt;"","综合校验","")</f>
        <v/>
      </c>
      <c r="F426" s="14">
        <f>IF('02_固定地理'!A426&lt;&gt;"",IF('02_固定地理'!A426="","缺少对象ID；","")&amp;IF('02_固定地理'!B426="","缺少中文名称；","")&amp;IF('02_固定地理'!D426="","缺少对象类型；","")&amp;IF(AND('02_固定地理'!F426&lt;&gt;"",OR('02_固定地理'!F426&lt;0,'02_固定地理'!F426&gt;WorldWidth)),"世界中心X越界；","")&amp;IF(AND('02_固定地理'!G426&lt;&gt;"",OR('02_固定地理'!G426&lt;0,'02_固定地理'!G426&gt;WorldHeight)),"世界中心Y越界；","")&amp;IF(AND('02_固定地理'!H426&lt;&gt;"",'02_固定地理'!J426&lt;&gt;"",'02_固定地理'!H426&gt;'02_固定地理'!J426),"最小X大于最大X；","")&amp;IF(AND('02_固定地理'!I426&lt;&gt;"",'02_固定地理'!K426&lt;&gt;"",'02_固定地理'!I426&gt;'02_固定地理'!K426),"最小Y大于最大Y；","")&amp;IF(AND('02_固定地理'!E426&lt;&gt;"",COUNTIF('02_固定地理'!$A$2:$A$501,'02_固定地理'!E426)=0),"父级对象不存在；","")&amp;IF(AND('02_固定地理'!A426&lt;&gt;"",COUNTIF('02_固定地理'!$A$2:$A$501,'02_固定地理'!A426)&gt;1),"ID重复；",""),"")</f>
        <v/>
      </c>
      <c r="G426" s="14">
        <f>IF(F426&lt;&gt;"","按字段批注、数据字典和来源记录修正后复核","")</f>
        <v/>
      </c>
      <c r="H426" s="14">
        <f>IF(F426&lt;&gt;"","待处理","")</f>
        <v/>
      </c>
    </row>
    <row r="427">
      <c r="A427" s="14">
        <f>IF(F427&lt;&gt;"","ISSUE-"&amp;TEXT(ROW()-1,"00000"),"")</f>
        <v/>
      </c>
      <c r="B427" s="14">
        <f>IF(F427&lt;&gt;"","错误","")</f>
        <v/>
      </c>
      <c r="C427" s="14">
        <f>IF('02_固定地理'!A427&lt;&gt;"","02_固定地理","")</f>
        <v/>
      </c>
      <c r="D427" s="14">
        <f>IF('02_固定地理'!A427&lt;&gt;"",'02_固定地理'!A427,"")</f>
        <v/>
      </c>
      <c r="E427" s="14">
        <f>IF(F427&lt;&gt;"","综合校验","")</f>
        <v/>
      </c>
      <c r="F427" s="14">
        <f>IF('02_固定地理'!A427&lt;&gt;"",IF('02_固定地理'!A427="","缺少对象ID；","")&amp;IF('02_固定地理'!B427="","缺少中文名称；","")&amp;IF('02_固定地理'!D427="","缺少对象类型；","")&amp;IF(AND('02_固定地理'!F427&lt;&gt;"",OR('02_固定地理'!F427&lt;0,'02_固定地理'!F427&gt;WorldWidth)),"世界中心X越界；","")&amp;IF(AND('02_固定地理'!G427&lt;&gt;"",OR('02_固定地理'!G427&lt;0,'02_固定地理'!G427&gt;WorldHeight)),"世界中心Y越界；","")&amp;IF(AND('02_固定地理'!H427&lt;&gt;"",'02_固定地理'!J427&lt;&gt;"",'02_固定地理'!H427&gt;'02_固定地理'!J427),"最小X大于最大X；","")&amp;IF(AND('02_固定地理'!I427&lt;&gt;"",'02_固定地理'!K427&lt;&gt;"",'02_固定地理'!I427&gt;'02_固定地理'!K427),"最小Y大于最大Y；","")&amp;IF(AND('02_固定地理'!E427&lt;&gt;"",COUNTIF('02_固定地理'!$A$2:$A$501,'02_固定地理'!E427)=0),"父级对象不存在；","")&amp;IF(AND('02_固定地理'!A427&lt;&gt;"",COUNTIF('02_固定地理'!$A$2:$A$501,'02_固定地理'!A427)&gt;1),"ID重复；",""),"")</f>
        <v/>
      </c>
      <c r="G427" s="14">
        <f>IF(F427&lt;&gt;"","按字段批注、数据字典和来源记录修正后复核","")</f>
        <v/>
      </c>
      <c r="H427" s="14">
        <f>IF(F427&lt;&gt;"","待处理","")</f>
        <v/>
      </c>
    </row>
    <row r="428">
      <c r="A428" s="14">
        <f>IF(F428&lt;&gt;"","ISSUE-"&amp;TEXT(ROW()-1,"00000"),"")</f>
        <v/>
      </c>
      <c r="B428" s="14">
        <f>IF(F428&lt;&gt;"","错误","")</f>
        <v/>
      </c>
      <c r="C428" s="14">
        <f>IF('02_固定地理'!A428&lt;&gt;"","02_固定地理","")</f>
        <v/>
      </c>
      <c r="D428" s="14">
        <f>IF('02_固定地理'!A428&lt;&gt;"",'02_固定地理'!A428,"")</f>
        <v/>
      </c>
      <c r="E428" s="14">
        <f>IF(F428&lt;&gt;"","综合校验","")</f>
        <v/>
      </c>
      <c r="F428" s="14">
        <f>IF('02_固定地理'!A428&lt;&gt;"",IF('02_固定地理'!A428="","缺少对象ID；","")&amp;IF('02_固定地理'!B428="","缺少中文名称；","")&amp;IF('02_固定地理'!D428="","缺少对象类型；","")&amp;IF(AND('02_固定地理'!F428&lt;&gt;"",OR('02_固定地理'!F428&lt;0,'02_固定地理'!F428&gt;WorldWidth)),"世界中心X越界；","")&amp;IF(AND('02_固定地理'!G428&lt;&gt;"",OR('02_固定地理'!G428&lt;0,'02_固定地理'!G428&gt;WorldHeight)),"世界中心Y越界；","")&amp;IF(AND('02_固定地理'!H428&lt;&gt;"",'02_固定地理'!J428&lt;&gt;"",'02_固定地理'!H428&gt;'02_固定地理'!J428),"最小X大于最大X；","")&amp;IF(AND('02_固定地理'!I428&lt;&gt;"",'02_固定地理'!K428&lt;&gt;"",'02_固定地理'!I428&gt;'02_固定地理'!K428),"最小Y大于最大Y；","")&amp;IF(AND('02_固定地理'!E428&lt;&gt;"",COUNTIF('02_固定地理'!$A$2:$A$501,'02_固定地理'!E428)=0),"父级对象不存在；","")&amp;IF(AND('02_固定地理'!A428&lt;&gt;"",COUNTIF('02_固定地理'!$A$2:$A$501,'02_固定地理'!A428)&gt;1),"ID重复；",""),"")</f>
        <v/>
      </c>
      <c r="G428" s="14">
        <f>IF(F428&lt;&gt;"","按字段批注、数据字典和来源记录修正后复核","")</f>
        <v/>
      </c>
      <c r="H428" s="14">
        <f>IF(F428&lt;&gt;"","待处理","")</f>
        <v/>
      </c>
    </row>
    <row r="429">
      <c r="A429" s="14">
        <f>IF(F429&lt;&gt;"","ISSUE-"&amp;TEXT(ROW()-1,"00000"),"")</f>
        <v/>
      </c>
      <c r="B429" s="14">
        <f>IF(F429&lt;&gt;"","错误","")</f>
        <v/>
      </c>
      <c r="C429" s="14">
        <f>IF('02_固定地理'!A429&lt;&gt;"","02_固定地理","")</f>
        <v/>
      </c>
      <c r="D429" s="14">
        <f>IF('02_固定地理'!A429&lt;&gt;"",'02_固定地理'!A429,"")</f>
        <v/>
      </c>
      <c r="E429" s="14">
        <f>IF(F429&lt;&gt;"","综合校验","")</f>
        <v/>
      </c>
      <c r="F429" s="14">
        <f>IF('02_固定地理'!A429&lt;&gt;"",IF('02_固定地理'!A429="","缺少对象ID；","")&amp;IF('02_固定地理'!B429="","缺少中文名称；","")&amp;IF('02_固定地理'!D429="","缺少对象类型；","")&amp;IF(AND('02_固定地理'!F429&lt;&gt;"",OR('02_固定地理'!F429&lt;0,'02_固定地理'!F429&gt;WorldWidth)),"世界中心X越界；","")&amp;IF(AND('02_固定地理'!G429&lt;&gt;"",OR('02_固定地理'!G429&lt;0,'02_固定地理'!G429&gt;WorldHeight)),"世界中心Y越界；","")&amp;IF(AND('02_固定地理'!H429&lt;&gt;"",'02_固定地理'!J429&lt;&gt;"",'02_固定地理'!H429&gt;'02_固定地理'!J429),"最小X大于最大X；","")&amp;IF(AND('02_固定地理'!I429&lt;&gt;"",'02_固定地理'!K429&lt;&gt;"",'02_固定地理'!I429&gt;'02_固定地理'!K429),"最小Y大于最大Y；","")&amp;IF(AND('02_固定地理'!E429&lt;&gt;"",COUNTIF('02_固定地理'!$A$2:$A$501,'02_固定地理'!E429)=0),"父级对象不存在；","")&amp;IF(AND('02_固定地理'!A429&lt;&gt;"",COUNTIF('02_固定地理'!$A$2:$A$501,'02_固定地理'!A429)&gt;1),"ID重复；",""),"")</f>
        <v/>
      </c>
      <c r="G429" s="14">
        <f>IF(F429&lt;&gt;"","按字段批注、数据字典和来源记录修正后复核","")</f>
        <v/>
      </c>
      <c r="H429" s="14">
        <f>IF(F429&lt;&gt;"","待处理","")</f>
        <v/>
      </c>
    </row>
    <row r="430">
      <c r="A430" s="14">
        <f>IF(F430&lt;&gt;"","ISSUE-"&amp;TEXT(ROW()-1,"00000"),"")</f>
        <v/>
      </c>
      <c r="B430" s="14">
        <f>IF(F430&lt;&gt;"","错误","")</f>
        <v/>
      </c>
      <c r="C430" s="14">
        <f>IF('02_固定地理'!A430&lt;&gt;"","02_固定地理","")</f>
        <v/>
      </c>
      <c r="D430" s="14">
        <f>IF('02_固定地理'!A430&lt;&gt;"",'02_固定地理'!A430,"")</f>
        <v/>
      </c>
      <c r="E430" s="14">
        <f>IF(F430&lt;&gt;"","综合校验","")</f>
        <v/>
      </c>
      <c r="F430" s="14">
        <f>IF('02_固定地理'!A430&lt;&gt;"",IF('02_固定地理'!A430="","缺少对象ID；","")&amp;IF('02_固定地理'!B430="","缺少中文名称；","")&amp;IF('02_固定地理'!D430="","缺少对象类型；","")&amp;IF(AND('02_固定地理'!F430&lt;&gt;"",OR('02_固定地理'!F430&lt;0,'02_固定地理'!F430&gt;WorldWidth)),"世界中心X越界；","")&amp;IF(AND('02_固定地理'!G430&lt;&gt;"",OR('02_固定地理'!G430&lt;0,'02_固定地理'!G430&gt;WorldHeight)),"世界中心Y越界；","")&amp;IF(AND('02_固定地理'!H430&lt;&gt;"",'02_固定地理'!J430&lt;&gt;"",'02_固定地理'!H430&gt;'02_固定地理'!J430),"最小X大于最大X；","")&amp;IF(AND('02_固定地理'!I430&lt;&gt;"",'02_固定地理'!K430&lt;&gt;"",'02_固定地理'!I430&gt;'02_固定地理'!K430),"最小Y大于最大Y；","")&amp;IF(AND('02_固定地理'!E430&lt;&gt;"",COUNTIF('02_固定地理'!$A$2:$A$501,'02_固定地理'!E430)=0),"父级对象不存在；","")&amp;IF(AND('02_固定地理'!A430&lt;&gt;"",COUNTIF('02_固定地理'!$A$2:$A$501,'02_固定地理'!A430)&gt;1),"ID重复；",""),"")</f>
        <v/>
      </c>
      <c r="G430" s="14">
        <f>IF(F430&lt;&gt;"","按字段批注、数据字典和来源记录修正后复核","")</f>
        <v/>
      </c>
      <c r="H430" s="14">
        <f>IF(F430&lt;&gt;"","待处理","")</f>
        <v/>
      </c>
    </row>
    <row r="431">
      <c r="A431" s="14">
        <f>IF(F431&lt;&gt;"","ISSUE-"&amp;TEXT(ROW()-1,"00000"),"")</f>
        <v/>
      </c>
      <c r="B431" s="14">
        <f>IF(F431&lt;&gt;"","错误","")</f>
        <v/>
      </c>
      <c r="C431" s="14">
        <f>IF('02_固定地理'!A431&lt;&gt;"","02_固定地理","")</f>
        <v/>
      </c>
      <c r="D431" s="14">
        <f>IF('02_固定地理'!A431&lt;&gt;"",'02_固定地理'!A431,"")</f>
        <v/>
      </c>
      <c r="E431" s="14">
        <f>IF(F431&lt;&gt;"","综合校验","")</f>
        <v/>
      </c>
      <c r="F431" s="14">
        <f>IF('02_固定地理'!A431&lt;&gt;"",IF('02_固定地理'!A431="","缺少对象ID；","")&amp;IF('02_固定地理'!B431="","缺少中文名称；","")&amp;IF('02_固定地理'!D431="","缺少对象类型；","")&amp;IF(AND('02_固定地理'!F431&lt;&gt;"",OR('02_固定地理'!F431&lt;0,'02_固定地理'!F431&gt;WorldWidth)),"世界中心X越界；","")&amp;IF(AND('02_固定地理'!G431&lt;&gt;"",OR('02_固定地理'!G431&lt;0,'02_固定地理'!G431&gt;WorldHeight)),"世界中心Y越界；","")&amp;IF(AND('02_固定地理'!H431&lt;&gt;"",'02_固定地理'!J431&lt;&gt;"",'02_固定地理'!H431&gt;'02_固定地理'!J431),"最小X大于最大X；","")&amp;IF(AND('02_固定地理'!I431&lt;&gt;"",'02_固定地理'!K431&lt;&gt;"",'02_固定地理'!I431&gt;'02_固定地理'!K431),"最小Y大于最大Y；","")&amp;IF(AND('02_固定地理'!E431&lt;&gt;"",COUNTIF('02_固定地理'!$A$2:$A$501,'02_固定地理'!E431)=0),"父级对象不存在；","")&amp;IF(AND('02_固定地理'!A431&lt;&gt;"",COUNTIF('02_固定地理'!$A$2:$A$501,'02_固定地理'!A431)&gt;1),"ID重复；",""),"")</f>
        <v/>
      </c>
      <c r="G431" s="14">
        <f>IF(F431&lt;&gt;"","按字段批注、数据字典和来源记录修正后复核","")</f>
        <v/>
      </c>
      <c r="H431" s="14">
        <f>IF(F431&lt;&gt;"","待处理","")</f>
        <v/>
      </c>
    </row>
    <row r="432">
      <c r="A432" s="14">
        <f>IF(F432&lt;&gt;"","ISSUE-"&amp;TEXT(ROW()-1,"00000"),"")</f>
        <v/>
      </c>
      <c r="B432" s="14">
        <f>IF(F432&lt;&gt;"","错误","")</f>
        <v/>
      </c>
      <c r="C432" s="14">
        <f>IF('02_固定地理'!A432&lt;&gt;"","02_固定地理","")</f>
        <v/>
      </c>
      <c r="D432" s="14">
        <f>IF('02_固定地理'!A432&lt;&gt;"",'02_固定地理'!A432,"")</f>
        <v/>
      </c>
      <c r="E432" s="14">
        <f>IF(F432&lt;&gt;"","综合校验","")</f>
        <v/>
      </c>
      <c r="F432" s="14">
        <f>IF('02_固定地理'!A432&lt;&gt;"",IF('02_固定地理'!A432="","缺少对象ID；","")&amp;IF('02_固定地理'!B432="","缺少中文名称；","")&amp;IF('02_固定地理'!D432="","缺少对象类型；","")&amp;IF(AND('02_固定地理'!F432&lt;&gt;"",OR('02_固定地理'!F432&lt;0,'02_固定地理'!F432&gt;WorldWidth)),"世界中心X越界；","")&amp;IF(AND('02_固定地理'!G432&lt;&gt;"",OR('02_固定地理'!G432&lt;0,'02_固定地理'!G432&gt;WorldHeight)),"世界中心Y越界；","")&amp;IF(AND('02_固定地理'!H432&lt;&gt;"",'02_固定地理'!J432&lt;&gt;"",'02_固定地理'!H432&gt;'02_固定地理'!J432),"最小X大于最大X；","")&amp;IF(AND('02_固定地理'!I432&lt;&gt;"",'02_固定地理'!K432&lt;&gt;"",'02_固定地理'!I432&gt;'02_固定地理'!K432),"最小Y大于最大Y；","")&amp;IF(AND('02_固定地理'!E432&lt;&gt;"",COUNTIF('02_固定地理'!$A$2:$A$501,'02_固定地理'!E432)=0),"父级对象不存在；","")&amp;IF(AND('02_固定地理'!A432&lt;&gt;"",COUNTIF('02_固定地理'!$A$2:$A$501,'02_固定地理'!A432)&gt;1),"ID重复；",""),"")</f>
        <v/>
      </c>
      <c r="G432" s="14">
        <f>IF(F432&lt;&gt;"","按字段批注、数据字典和来源记录修正后复核","")</f>
        <v/>
      </c>
      <c r="H432" s="14">
        <f>IF(F432&lt;&gt;"","待处理","")</f>
        <v/>
      </c>
    </row>
    <row r="433">
      <c r="A433" s="14">
        <f>IF(F433&lt;&gt;"","ISSUE-"&amp;TEXT(ROW()-1,"00000"),"")</f>
        <v/>
      </c>
      <c r="B433" s="14">
        <f>IF(F433&lt;&gt;"","错误","")</f>
        <v/>
      </c>
      <c r="C433" s="14">
        <f>IF('02_固定地理'!A433&lt;&gt;"","02_固定地理","")</f>
        <v/>
      </c>
      <c r="D433" s="14">
        <f>IF('02_固定地理'!A433&lt;&gt;"",'02_固定地理'!A433,"")</f>
        <v/>
      </c>
      <c r="E433" s="14">
        <f>IF(F433&lt;&gt;"","综合校验","")</f>
        <v/>
      </c>
      <c r="F433" s="14">
        <f>IF('02_固定地理'!A433&lt;&gt;"",IF('02_固定地理'!A433="","缺少对象ID；","")&amp;IF('02_固定地理'!B433="","缺少中文名称；","")&amp;IF('02_固定地理'!D433="","缺少对象类型；","")&amp;IF(AND('02_固定地理'!F433&lt;&gt;"",OR('02_固定地理'!F433&lt;0,'02_固定地理'!F433&gt;WorldWidth)),"世界中心X越界；","")&amp;IF(AND('02_固定地理'!G433&lt;&gt;"",OR('02_固定地理'!G433&lt;0,'02_固定地理'!G433&gt;WorldHeight)),"世界中心Y越界；","")&amp;IF(AND('02_固定地理'!H433&lt;&gt;"",'02_固定地理'!J433&lt;&gt;"",'02_固定地理'!H433&gt;'02_固定地理'!J433),"最小X大于最大X；","")&amp;IF(AND('02_固定地理'!I433&lt;&gt;"",'02_固定地理'!K433&lt;&gt;"",'02_固定地理'!I433&gt;'02_固定地理'!K433),"最小Y大于最大Y；","")&amp;IF(AND('02_固定地理'!E433&lt;&gt;"",COUNTIF('02_固定地理'!$A$2:$A$501,'02_固定地理'!E433)=0),"父级对象不存在；","")&amp;IF(AND('02_固定地理'!A433&lt;&gt;"",COUNTIF('02_固定地理'!$A$2:$A$501,'02_固定地理'!A433)&gt;1),"ID重复；",""),"")</f>
        <v/>
      </c>
      <c r="G433" s="14">
        <f>IF(F433&lt;&gt;"","按字段批注、数据字典和来源记录修正后复核","")</f>
        <v/>
      </c>
      <c r="H433" s="14">
        <f>IF(F433&lt;&gt;"","待处理","")</f>
        <v/>
      </c>
    </row>
    <row r="434">
      <c r="A434" s="14">
        <f>IF(F434&lt;&gt;"","ISSUE-"&amp;TEXT(ROW()-1,"00000"),"")</f>
        <v/>
      </c>
      <c r="B434" s="14">
        <f>IF(F434&lt;&gt;"","错误","")</f>
        <v/>
      </c>
      <c r="C434" s="14">
        <f>IF('02_固定地理'!A434&lt;&gt;"","02_固定地理","")</f>
        <v/>
      </c>
      <c r="D434" s="14">
        <f>IF('02_固定地理'!A434&lt;&gt;"",'02_固定地理'!A434,"")</f>
        <v/>
      </c>
      <c r="E434" s="14">
        <f>IF(F434&lt;&gt;"","综合校验","")</f>
        <v/>
      </c>
      <c r="F434" s="14">
        <f>IF('02_固定地理'!A434&lt;&gt;"",IF('02_固定地理'!A434="","缺少对象ID；","")&amp;IF('02_固定地理'!B434="","缺少中文名称；","")&amp;IF('02_固定地理'!D434="","缺少对象类型；","")&amp;IF(AND('02_固定地理'!F434&lt;&gt;"",OR('02_固定地理'!F434&lt;0,'02_固定地理'!F434&gt;WorldWidth)),"世界中心X越界；","")&amp;IF(AND('02_固定地理'!G434&lt;&gt;"",OR('02_固定地理'!G434&lt;0,'02_固定地理'!G434&gt;WorldHeight)),"世界中心Y越界；","")&amp;IF(AND('02_固定地理'!H434&lt;&gt;"",'02_固定地理'!J434&lt;&gt;"",'02_固定地理'!H434&gt;'02_固定地理'!J434),"最小X大于最大X；","")&amp;IF(AND('02_固定地理'!I434&lt;&gt;"",'02_固定地理'!K434&lt;&gt;"",'02_固定地理'!I434&gt;'02_固定地理'!K434),"最小Y大于最大Y；","")&amp;IF(AND('02_固定地理'!E434&lt;&gt;"",COUNTIF('02_固定地理'!$A$2:$A$501,'02_固定地理'!E434)=0),"父级对象不存在；","")&amp;IF(AND('02_固定地理'!A434&lt;&gt;"",COUNTIF('02_固定地理'!$A$2:$A$501,'02_固定地理'!A434)&gt;1),"ID重复；",""),"")</f>
        <v/>
      </c>
      <c r="G434" s="14">
        <f>IF(F434&lt;&gt;"","按字段批注、数据字典和来源记录修正后复核","")</f>
        <v/>
      </c>
      <c r="H434" s="14">
        <f>IF(F434&lt;&gt;"","待处理","")</f>
        <v/>
      </c>
    </row>
    <row r="435">
      <c r="A435" s="14">
        <f>IF(F435&lt;&gt;"","ISSUE-"&amp;TEXT(ROW()-1,"00000"),"")</f>
        <v/>
      </c>
      <c r="B435" s="14">
        <f>IF(F435&lt;&gt;"","错误","")</f>
        <v/>
      </c>
      <c r="C435" s="14">
        <f>IF('02_固定地理'!A435&lt;&gt;"","02_固定地理","")</f>
        <v/>
      </c>
      <c r="D435" s="14">
        <f>IF('02_固定地理'!A435&lt;&gt;"",'02_固定地理'!A435,"")</f>
        <v/>
      </c>
      <c r="E435" s="14">
        <f>IF(F435&lt;&gt;"","综合校验","")</f>
        <v/>
      </c>
      <c r="F435" s="14">
        <f>IF('02_固定地理'!A435&lt;&gt;"",IF('02_固定地理'!A435="","缺少对象ID；","")&amp;IF('02_固定地理'!B435="","缺少中文名称；","")&amp;IF('02_固定地理'!D435="","缺少对象类型；","")&amp;IF(AND('02_固定地理'!F435&lt;&gt;"",OR('02_固定地理'!F435&lt;0,'02_固定地理'!F435&gt;WorldWidth)),"世界中心X越界；","")&amp;IF(AND('02_固定地理'!G435&lt;&gt;"",OR('02_固定地理'!G435&lt;0,'02_固定地理'!G435&gt;WorldHeight)),"世界中心Y越界；","")&amp;IF(AND('02_固定地理'!H435&lt;&gt;"",'02_固定地理'!J435&lt;&gt;"",'02_固定地理'!H435&gt;'02_固定地理'!J435),"最小X大于最大X；","")&amp;IF(AND('02_固定地理'!I435&lt;&gt;"",'02_固定地理'!K435&lt;&gt;"",'02_固定地理'!I435&gt;'02_固定地理'!K435),"最小Y大于最大Y；","")&amp;IF(AND('02_固定地理'!E435&lt;&gt;"",COUNTIF('02_固定地理'!$A$2:$A$501,'02_固定地理'!E435)=0),"父级对象不存在；","")&amp;IF(AND('02_固定地理'!A435&lt;&gt;"",COUNTIF('02_固定地理'!$A$2:$A$501,'02_固定地理'!A435)&gt;1),"ID重复；",""),"")</f>
        <v/>
      </c>
      <c r="G435" s="14">
        <f>IF(F435&lt;&gt;"","按字段批注、数据字典和来源记录修正后复核","")</f>
        <v/>
      </c>
      <c r="H435" s="14">
        <f>IF(F435&lt;&gt;"","待处理","")</f>
        <v/>
      </c>
    </row>
    <row r="436">
      <c r="A436" s="14">
        <f>IF(F436&lt;&gt;"","ISSUE-"&amp;TEXT(ROW()-1,"00000"),"")</f>
        <v/>
      </c>
      <c r="B436" s="14">
        <f>IF(F436&lt;&gt;"","错误","")</f>
        <v/>
      </c>
      <c r="C436" s="14">
        <f>IF('02_固定地理'!A436&lt;&gt;"","02_固定地理","")</f>
        <v/>
      </c>
      <c r="D436" s="14">
        <f>IF('02_固定地理'!A436&lt;&gt;"",'02_固定地理'!A436,"")</f>
        <v/>
      </c>
      <c r="E436" s="14">
        <f>IF(F436&lt;&gt;"","综合校验","")</f>
        <v/>
      </c>
      <c r="F436" s="14">
        <f>IF('02_固定地理'!A436&lt;&gt;"",IF('02_固定地理'!A436="","缺少对象ID；","")&amp;IF('02_固定地理'!B436="","缺少中文名称；","")&amp;IF('02_固定地理'!D436="","缺少对象类型；","")&amp;IF(AND('02_固定地理'!F436&lt;&gt;"",OR('02_固定地理'!F436&lt;0,'02_固定地理'!F436&gt;WorldWidth)),"世界中心X越界；","")&amp;IF(AND('02_固定地理'!G436&lt;&gt;"",OR('02_固定地理'!G436&lt;0,'02_固定地理'!G436&gt;WorldHeight)),"世界中心Y越界；","")&amp;IF(AND('02_固定地理'!H436&lt;&gt;"",'02_固定地理'!J436&lt;&gt;"",'02_固定地理'!H436&gt;'02_固定地理'!J436),"最小X大于最大X；","")&amp;IF(AND('02_固定地理'!I436&lt;&gt;"",'02_固定地理'!K436&lt;&gt;"",'02_固定地理'!I436&gt;'02_固定地理'!K436),"最小Y大于最大Y；","")&amp;IF(AND('02_固定地理'!E436&lt;&gt;"",COUNTIF('02_固定地理'!$A$2:$A$501,'02_固定地理'!E436)=0),"父级对象不存在；","")&amp;IF(AND('02_固定地理'!A436&lt;&gt;"",COUNTIF('02_固定地理'!$A$2:$A$501,'02_固定地理'!A436)&gt;1),"ID重复；",""),"")</f>
        <v/>
      </c>
      <c r="G436" s="14">
        <f>IF(F436&lt;&gt;"","按字段批注、数据字典和来源记录修正后复核","")</f>
        <v/>
      </c>
      <c r="H436" s="14">
        <f>IF(F436&lt;&gt;"","待处理","")</f>
        <v/>
      </c>
    </row>
    <row r="437">
      <c r="A437" s="14">
        <f>IF(F437&lt;&gt;"","ISSUE-"&amp;TEXT(ROW()-1,"00000"),"")</f>
        <v/>
      </c>
      <c r="B437" s="14">
        <f>IF(F437&lt;&gt;"","错误","")</f>
        <v/>
      </c>
      <c r="C437" s="14">
        <f>IF('02_固定地理'!A437&lt;&gt;"","02_固定地理","")</f>
        <v/>
      </c>
      <c r="D437" s="14">
        <f>IF('02_固定地理'!A437&lt;&gt;"",'02_固定地理'!A437,"")</f>
        <v/>
      </c>
      <c r="E437" s="14">
        <f>IF(F437&lt;&gt;"","综合校验","")</f>
        <v/>
      </c>
      <c r="F437" s="14">
        <f>IF('02_固定地理'!A437&lt;&gt;"",IF('02_固定地理'!A437="","缺少对象ID；","")&amp;IF('02_固定地理'!B437="","缺少中文名称；","")&amp;IF('02_固定地理'!D437="","缺少对象类型；","")&amp;IF(AND('02_固定地理'!F437&lt;&gt;"",OR('02_固定地理'!F437&lt;0,'02_固定地理'!F437&gt;WorldWidth)),"世界中心X越界；","")&amp;IF(AND('02_固定地理'!G437&lt;&gt;"",OR('02_固定地理'!G437&lt;0,'02_固定地理'!G437&gt;WorldHeight)),"世界中心Y越界；","")&amp;IF(AND('02_固定地理'!H437&lt;&gt;"",'02_固定地理'!J437&lt;&gt;"",'02_固定地理'!H437&gt;'02_固定地理'!J437),"最小X大于最大X；","")&amp;IF(AND('02_固定地理'!I437&lt;&gt;"",'02_固定地理'!K437&lt;&gt;"",'02_固定地理'!I437&gt;'02_固定地理'!K437),"最小Y大于最大Y；","")&amp;IF(AND('02_固定地理'!E437&lt;&gt;"",COUNTIF('02_固定地理'!$A$2:$A$501,'02_固定地理'!E437)=0),"父级对象不存在；","")&amp;IF(AND('02_固定地理'!A437&lt;&gt;"",COUNTIF('02_固定地理'!$A$2:$A$501,'02_固定地理'!A437)&gt;1),"ID重复；",""),"")</f>
        <v/>
      </c>
      <c r="G437" s="14">
        <f>IF(F437&lt;&gt;"","按字段批注、数据字典和来源记录修正后复核","")</f>
        <v/>
      </c>
      <c r="H437" s="14">
        <f>IF(F437&lt;&gt;"","待处理","")</f>
        <v/>
      </c>
    </row>
    <row r="438">
      <c r="A438" s="14">
        <f>IF(F438&lt;&gt;"","ISSUE-"&amp;TEXT(ROW()-1,"00000"),"")</f>
        <v/>
      </c>
      <c r="B438" s="14">
        <f>IF(F438&lt;&gt;"","错误","")</f>
        <v/>
      </c>
      <c r="C438" s="14">
        <f>IF('02_固定地理'!A438&lt;&gt;"","02_固定地理","")</f>
        <v/>
      </c>
      <c r="D438" s="14">
        <f>IF('02_固定地理'!A438&lt;&gt;"",'02_固定地理'!A438,"")</f>
        <v/>
      </c>
      <c r="E438" s="14">
        <f>IF(F438&lt;&gt;"","综合校验","")</f>
        <v/>
      </c>
      <c r="F438" s="14">
        <f>IF('02_固定地理'!A438&lt;&gt;"",IF('02_固定地理'!A438="","缺少对象ID；","")&amp;IF('02_固定地理'!B438="","缺少中文名称；","")&amp;IF('02_固定地理'!D438="","缺少对象类型；","")&amp;IF(AND('02_固定地理'!F438&lt;&gt;"",OR('02_固定地理'!F438&lt;0,'02_固定地理'!F438&gt;WorldWidth)),"世界中心X越界；","")&amp;IF(AND('02_固定地理'!G438&lt;&gt;"",OR('02_固定地理'!G438&lt;0,'02_固定地理'!G438&gt;WorldHeight)),"世界中心Y越界；","")&amp;IF(AND('02_固定地理'!H438&lt;&gt;"",'02_固定地理'!J438&lt;&gt;"",'02_固定地理'!H438&gt;'02_固定地理'!J438),"最小X大于最大X；","")&amp;IF(AND('02_固定地理'!I438&lt;&gt;"",'02_固定地理'!K438&lt;&gt;"",'02_固定地理'!I438&gt;'02_固定地理'!K438),"最小Y大于最大Y；","")&amp;IF(AND('02_固定地理'!E438&lt;&gt;"",COUNTIF('02_固定地理'!$A$2:$A$501,'02_固定地理'!E438)=0),"父级对象不存在；","")&amp;IF(AND('02_固定地理'!A438&lt;&gt;"",COUNTIF('02_固定地理'!$A$2:$A$501,'02_固定地理'!A438)&gt;1),"ID重复；",""),"")</f>
        <v/>
      </c>
      <c r="G438" s="14">
        <f>IF(F438&lt;&gt;"","按字段批注、数据字典和来源记录修正后复核","")</f>
        <v/>
      </c>
      <c r="H438" s="14">
        <f>IF(F438&lt;&gt;"","待处理","")</f>
        <v/>
      </c>
    </row>
    <row r="439">
      <c r="A439" s="14">
        <f>IF(F439&lt;&gt;"","ISSUE-"&amp;TEXT(ROW()-1,"00000"),"")</f>
        <v/>
      </c>
      <c r="B439" s="14">
        <f>IF(F439&lt;&gt;"","错误","")</f>
        <v/>
      </c>
      <c r="C439" s="14">
        <f>IF('02_固定地理'!A439&lt;&gt;"","02_固定地理","")</f>
        <v/>
      </c>
      <c r="D439" s="14">
        <f>IF('02_固定地理'!A439&lt;&gt;"",'02_固定地理'!A439,"")</f>
        <v/>
      </c>
      <c r="E439" s="14">
        <f>IF(F439&lt;&gt;"","综合校验","")</f>
        <v/>
      </c>
      <c r="F439" s="14">
        <f>IF('02_固定地理'!A439&lt;&gt;"",IF('02_固定地理'!A439="","缺少对象ID；","")&amp;IF('02_固定地理'!B439="","缺少中文名称；","")&amp;IF('02_固定地理'!D439="","缺少对象类型；","")&amp;IF(AND('02_固定地理'!F439&lt;&gt;"",OR('02_固定地理'!F439&lt;0,'02_固定地理'!F439&gt;WorldWidth)),"世界中心X越界；","")&amp;IF(AND('02_固定地理'!G439&lt;&gt;"",OR('02_固定地理'!G439&lt;0,'02_固定地理'!G439&gt;WorldHeight)),"世界中心Y越界；","")&amp;IF(AND('02_固定地理'!H439&lt;&gt;"",'02_固定地理'!J439&lt;&gt;"",'02_固定地理'!H439&gt;'02_固定地理'!J439),"最小X大于最大X；","")&amp;IF(AND('02_固定地理'!I439&lt;&gt;"",'02_固定地理'!K439&lt;&gt;"",'02_固定地理'!I439&gt;'02_固定地理'!K439),"最小Y大于最大Y；","")&amp;IF(AND('02_固定地理'!E439&lt;&gt;"",COUNTIF('02_固定地理'!$A$2:$A$501,'02_固定地理'!E439)=0),"父级对象不存在；","")&amp;IF(AND('02_固定地理'!A439&lt;&gt;"",COUNTIF('02_固定地理'!$A$2:$A$501,'02_固定地理'!A439)&gt;1),"ID重复；",""),"")</f>
        <v/>
      </c>
      <c r="G439" s="14">
        <f>IF(F439&lt;&gt;"","按字段批注、数据字典和来源记录修正后复核","")</f>
        <v/>
      </c>
      <c r="H439" s="14">
        <f>IF(F439&lt;&gt;"","待处理","")</f>
        <v/>
      </c>
    </row>
    <row r="440">
      <c r="A440" s="14">
        <f>IF(F440&lt;&gt;"","ISSUE-"&amp;TEXT(ROW()-1,"00000"),"")</f>
        <v/>
      </c>
      <c r="B440" s="14">
        <f>IF(F440&lt;&gt;"","错误","")</f>
        <v/>
      </c>
      <c r="C440" s="14">
        <f>IF('02_固定地理'!A440&lt;&gt;"","02_固定地理","")</f>
        <v/>
      </c>
      <c r="D440" s="14">
        <f>IF('02_固定地理'!A440&lt;&gt;"",'02_固定地理'!A440,"")</f>
        <v/>
      </c>
      <c r="E440" s="14">
        <f>IF(F440&lt;&gt;"","综合校验","")</f>
        <v/>
      </c>
      <c r="F440" s="14">
        <f>IF('02_固定地理'!A440&lt;&gt;"",IF('02_固定地理'!A440="","缺少对象ID；","")&amp;IF('02_固定地理'!B440="","缺少中文名称；","")&amp;IF('02_固定地理'!D440="","缺少对象类型；","")&amp;IF(AND('02_固定地理'!F440&lt;&gt;"",OR('02_固定地理'!F440&lt;0,'02_固定地理'!F440&gt;WorldWidth)),"世界中心X越界；","")&amp;IF(AND('02_固定地理'!G440&lt;&gt;"",OR('02_固定地理'!G440&lt;0,'02_固定地理'!G440&gt;WorldHeight)),"世界中心Y越界；","")&amp;IF(AND('02_固定地理'!H440&lt;&gt;"",'02_固定地理'!J440&lt;&gt;"",'02_固定地理'!H440&gt;'02_固定地理'!J440),"最小X大于最大X；","")&amp;IF(AND('02_固定地理'!I440&lt;&gt;"",'02_固定地理'!K440&lt;&gt;"",'02_固定地理'!I440&gt;'02_固定地理'!K440),"最小Y大于最大Y；","")&amp;IF(AND('02_固定地理'!E440&lt;&gt;"",COUNTIF('02_固定地理'!$A$2:$A$501,'02_固定地理'!E440)=0),"父级对象不存在；","")&amp;IF(AND('02_固定地理'!A440&lt;&gt;"",COUNTIF('02_固定地理'!$A$2:$A$501,'02_固定地理'!A440)&gt;1),"ID重复；",""),"")</f>
        <v/>
      </c>
      <c r="G440" s="14">
        <f>IF(F440&lt;&gt;"","按字段批注、数据字典和来源记录修正后复核","")</f>
        <v/>
      </c>
      <c r="H440" s="14">
        <f>IF(F440&lt;&gt;"","待处理","")</f>
        <v/>
      </c>
    </row>
    <row r="441">
      <c r="A441" s="14">
        <f>IF(F441&lt;&gt;"","ISSUE-"&amp;TEXT(ROW()-1,"00000"),"")</f>
        <v/>
      </c>
      <c r="B441" s="14">
        <f>IF(F441&lt;&gt;"","错误","")</f>
        <v/>
      </c>
      <c r="C441" s="14">
        <f>IF('02_固定地理'!A441&lt;&gt;"","02_固定地理","")</f>
        <v/>
      </c>
      <c r="D441" s="14">
        <f>IF('02_固定地理'!A441&lt;&gt;"",'02_固定地理'!A441,"")</f>
        <v/>
      </c>
      <c r="E441" s="14">
        <f>IF(F441&lt;&gt;"","综合校验","")</f>
        <v/>
      </c>
      <c r="F441" s="14">
        <f>IF('02_固定地理'!A441&lt;&gt;"",IF('02_固定地理'!A441="","缺少对象ID；","")&amp;IF('02_固定地理'!B441="","缺少中文名称；","")&amp;IF('02_固定地理'!D441="","缺少对象类型；","")&amp;IF(AND('02_固定地理'!F441&lt;&gt;"",OR('02_固定地理'!F441&lt;0,'02_固定地理'!F441&gt;WorldWidth)),"世界中心X越界；","")&amp;IF(AND('02_固定地理'!G441&lt;&gt;"",OR('02_固定地理'!G441&lt;0,'02_固定地理'!G441&gt;WorldHeight)),"世界中心Y越界；","")&amp;IF(AND('02_固定地理'!H441&lt;&gt;"",'02_固定地理'!J441&lt;&gt;"",'02_固定地理'!H441&gt;'02_固定地理'!J441),"最小X大于最大X；","")&amp;IF(AND('02_固定地理'!I441&lt;&gt;"",'02_固定地理'!K441&lt;&gt;"",'02_固定地理'!I441&gt;'02_固定地理'!K441),"最小Y大于最大Y；","")&amp;IF(AND('02_固定地理'!E441&lt;&gt;"",COUNTIF('02_固定地理'!$A$2:$A$501,'02_固定地理'!E441)=0),"父级对象不存在；","")&amp;IF(AND('02_固定地理'!A441&lt;&gt;"",COUNTIF('02_固定地理'!$A$2:$A$501,'02_固定地理'!A441)&gt;1),"ID重复；",""),"")</f>
        <v/>
      </c>
      <c r="G441" s="14">
        <f>IF(F441&lt;&gt;"","按字段批注、数据字典和来源记录修正后复核","")</f>
        <v/>
      </c>
      <c r="H441" s="14">
        <f>IF(F441&lt;&gt;"","待处理","")</f>
        <v/>
      </c>
    </row>
    <row r="442">
      <c r="A442" s="14">
        <f>IF(F442&lt;&gt;"","ISSUE-"&amp;TEXT(ROW()-1,"00000"),"")</f>
        <v/>
      </c>
      <c r="B442" s="14">
        <f>IF(F442&lt;&gt;"","错误","")</f>
        <v/>
      </c>
      <c r="C442" s="14">
        <f>IF('02_固定地理'!A442&lt;&gt;"","02_固定地理","")</f>
        <v/>
      </c>
      <c r="D442" s="14">
        <f>IF('02_固定地理'!A442&lt;&gt;"",'02_固定地理'!A442,"")</f>
        <v/>
      </c>
      <c r="E442" s="14">
        <f>IF(F442&lt;&gt;"","综合校验","")</f>
        <v/>
      </c>
      <c r="F442" s="14">
        <f>IF('02_固定地理'!A442&lt;&gt;"",IF('02_固定地理'!A442="","缺少对象ID；","")&amp;IF('02_固定地理'!B442="","缺少中文名称；","")&amp;IF('02_固定地理'!D442="","缺少对象类型；","")&amp;IF(AND('02_固定地理'!F442&lt;&gt;"",OR('02_固定地理'!F442&lt;0,'02_固定地理'!F442&gt;WorldWidth)),"世界中心X越界；","")&amp;IF(AND('02_固定地理'!G442&lt;&gt;"",OR('02_固定地理'!G442&lt;0,'02_固定地理'!G442&gt;WorldHeight)),"世界中心Y越界；","")&amp;IF(AND('02_固定地理'!H442&lt;&gt;"",'02_固定地理'!J442&lt;&gt;"",'02_固定地理'!H442&gt;'02_固定地理'!J442),"最小X大于最大X；","")&amp;IF(AND('02_固定地理'!I442&lt;&gt;"",'02_固定地理'!K442&lt;&gt;"",'02_固定地理'!I442&gt;'02_固定地理'!K442),"最小Y大于最大Y；","")&amp;IF(AND('02_固定地理'!E442&lt;&gt;"",COUNTIF('02_固定地理'!$A$2:$A$501,'02_固定地理'!E442)=0),"父级对象不存在；","")&amp;IF(AND('02_固定地理'!A442&lt;&gt;"",COUNTIF('02_固定地理'!$A$2:$A$501,'02_固定地理'!A442)&gt;1),"ID重复；",""),"")</f>
        <v/>
      </c>
      <c r="G442" s="14">
        <f>IF(F442&lt;&gt;"","按字段批注、数据字典和来源记录修正后复核","")</f>
        <v/>
      </c>
      <c r="H442" s="14">
        <f>IF(F442&lt;&gt;"","待处理","")</f>
        <v/>
      </c>
    </row>
    <row r="443">
      <c r="A443" s="14">
        <f>IF(F443&lt;&gt;"","ISSUE-"&amp;TEXT(ROW()-1,"00000"),"")</f>
        <v/>
      </c>
      <c r="B443" s="14">
        <f>IF(F443&lt;&gt;"","错误","")</f>
        <v/>
      </c>
      <c r="C443" s="14">
        <f>IF('02_固定地理'!A443&lt;&gt;"","02_固定地理","")</f>
        <v/>
      </c>
      <c r="D443" s="14">
        <f>IF('02_固定地理'!A443&lt;&gt;"",'02_固定地理'!A443,"")</f>
        <v/>
      </c>
      <c r="E443" s="14">
        <f>IF(F443&lt;&gt;"","综合校验","")</f>
        <v/>
      </c>
      <c r="F443" s="14">
        <f>IF('02_固定地理'!A443&lt;&gt;"",IF('02_固定地理'!A443="","缺少对象ID；","")&amp;IF('02_固定地理'!B443="","缺少中文名称；","")&amp;IF('02_固定地理'!D443="","缺少对象类型；","")&amp;IF(AND('02_固定地理'!F443&lt;&gt;"",OR('02_固定地理'!F443&lt;0,'02_固定地理'!F443&gt;WorldWidth)),"世界中心X越界；","")&amp;IF(AND('02_固定地理'!G443&lt;&gt;"",OR('02_固定地理'!G443&lt;0,'02_固定地理'!G443&gt;WorldHeight)),"世界中心Y越界；","")&amp;IF(AND('02_固定地理'!H443&lt;&gt;"",'02_固定地理'!J443&lt;&gt;"",'02_固定地理'!H443&gt;'02_固定地理'!J443),"最小X大于最大X；","")&amp;IF(AND('02_固定地理'!I443&lt;&gt;"",'02_固定地理'!K443&lt;&gt;"",'02_固定地理'!I443&gt;'02_固定地理'!K443),"最小Y大于最大Y；","")&amp;IF(AND('02_固定地理'!E443&lt;&gt;"",COUNTIF('02_固定地理'!$A$2:$A$501,'02_固定地理'!E443)=0),"父级对象不存在；","")&amp;IF(AND('02_固定地理'!A443&lt;&gt;"",COUNTIF('02_固定地理'!$A$2:$A$501,'02_固定地理'!A443)&gt;1),"ID重复；",""),"")</f>
        <v/>
      </c>
      <c r="G443" s="14">
        <f>IF(F443&lt;&gt;"","按字段批注、数据字典和来源记录修正后复核","")</f>
        <v/>
      </c>
      <c r="H443" s="14">
        <f>IF(F443&lt;&gt;"","待处理","")</f>
        <v/>
      </c>
    </row>
    <row r="444">
      <c r="A444" s="14">
        <f>IF(F444&lt;&gt;"","ISSUE-"&amp;TEXT(ROW()-1,"00000"),"")</f>
        <v/>
      </c>
      <c r="B444" s="14">
        <f>IF(F444&lt;&gt;"","错误","")</f>
        <v/>
      </c>
      <c r="C444" s="14">
        <f>IF('02_固定地理'!A444&lt;&gt;"","02_固定地理","")</f>
        <v/>
      </c>
      <c r="D444" s="14">
        <f>IF('02_固定地理'!A444&lt;&gt;"",'02_固定地理'!A444,"")</f>
        <v/>
      </c>
      <c r="E444" s="14">
        <f>IF(F444&lt;&gt;"","综合校验","")</f>
        <v/>
      </c>
      <c r="F444" s="14">
        <f>IF('02_固定地理'!A444&lt;&gt;"",IF('02_固定地理'!A444="","缺少对象ID；","")&amp;IF('02_固定地理'!B444="","缺少中文名称；","")&amp;IF('02_固定地理'!D444="","缺少对象类型；","")&amp;IF(AND('02_固定地理'!F444&lt;&gt;"",OR('02_固定地理'!F444&lt;0,'02_固定地理'!F444&gt;WorldWidth)),"世界中心X越界；","")&amp;IF(AND('02_固定地理'!G444&lt;&gt;"",OR('02_固定地理'!G444&lt;0,'02_固定地理'!G444&gt;WorldHeight)),"世界中心Y越界；","")&amp;IF(AND('02_固定地理'!H444&lt;&gt;"",'02_固定地理'!J444&lt;&gt;"",'02_固定地理'!H444&gt;'02_固定地理'!J444),"最小X大于最大X；","")&amp;IF(AND('02_固定地理'!I444&lt;&gt;"",'02_固定地理'!K444&lt;&gt;"",'02_固定地理'!I444&gt;'02_固定地理'!K444),"最小Y大于最大Y；","")&amp;IF(AND('02_固定地理'!E444&lt;&gt;"",COUNTIF('02_固定地理'!$A$2:$A$501,'02_固定地理'!E444)=0),"父级对象不存在；","")&amp;IF(AND('02_固定地理'!A444&lt;&gt;"",COUNTIF('02_固定地理'!$A$2:$A$501,'02_固定地理'!A444)&gt;1),"ID重复；",""),"")</f>
        <v/>
      </c>
      <c r="G444" s="14">
        <f>IF(F444&lt;&gt;"","按字段批注、数据字典和来源记录修正后复核","")</f>
        <v/>
      </c>
      <c r="H444" s="14">
        <f>IF(F444&lt;&gt;"","待处理","")</f>
        <v/>
      </c>
    </row>
    <row r="445">
      <c r="A445" s="14">
        <f>IF(F445&lt;&gt;"","ISSUE-"&amp;TEXT(ROW()-1,"00000"),"")</f>
        <v/>
      </c>
      <c r="B445" s="14">
        <f>IF(F445&lt;&gt;"","错误","")</f>
        <v/>
      </c>
      <c r="C445" s="14">
        <f>IF('02_固定地理'!A445&lt;&gt;"","02_固定地理","")</f>
        <v/>
      </c>
      <c r="D445" s="14">
        <f>IF('02_固定地理'!A445&lt;&gt;"",'02_固定地理'!A445,"")</f>
        <v/>
      </c>
      <c r="E445" s="14">
        <f>IF(F445&lt;&gt;"","综合校验","")</f>
        <v/>
      </c>
      <c r="F445" s="14">
        <f>IF('02_固定地理'!A445&lt;&gt;"",IF('02_固定地理'!A445="","缺少对象ID；","")&amp;IF('02_固定地理'!B445="","缺少中文名称；","")&amp;IF('02_固定地理'!D445="","缺少对象类型；","")&amp;IF(AND('02_固定地理'!F445&lt;&gt;"",OR('02_固定地理'!F445&lt;0,'02_固定地理'!F445&gt;WorldWidth)),"世界中心X越界；","")&amp;IF(AND('02_固定地理'!G445&lt;&gt;"",OR('02_固定地理'!G445&lt;0,'02_固定地理'!G445&gt;WorldHeight)),"世界中心Y越界；","")&amp;IF(AND('02_固定地理'!H445&lt;&gt;"",'02_固定地理'!J445&lt;&gt;"",'02_固定地理'!H445&gt;'02_固定地理'!J445),"最小X大于最大X；","")&amp;IF(AND('02_固定地理'!I445&lt;&gt;"",'02_固定地理'!K445&lt;&gt;"",'02_固定地理'!I445&gt;'02_固定地理'!K445),"最小Y大于最大Y；","")&amp;IF(AND('02_固定地理'!E445&lt;&gt;"",COUNTIF('02_固定地理'!$A$2:$A$501,'02_固定地理'!E445)=0),"父级对象不存在；","")&amp;IF(AND('02_固定地理'!A445&lt;&gt;"",COUNTIF('02_固定地理'!$A$2:$A$501,'02_固定地理'!A445)&gt;1),"ID重复；",""),"")</f>
        <v/>
      </c>
      <c r="G445" s="14">
        <f>IF(F445&lt;&gt;"","按字段批注、数据字典和来源记录修正后复核","")</f>
        <v/>
      </c>
      <c r="H445" s="14">
        <f>IF(F445&lt;&gt;"","待处理","")</f>
        <v/>
      </c>
    </row>
    <row r="446">
      <c r="A446" s="14">
        <f>IF(F446&lt;&gt;"","ISSUE-"&amp;TEXT(ROW()-1,"00000"),"")</f>
        <v/>
      </c>
      <c r="B446" s="14">
        <f>IF(F446&lt;&gt;"","错误","")</f>
        <v/>
      </c>
      <c r="C446" s="14">
        <f>IF('02_固定地理'!A446&lt;&gt;"","02_固定地理","")</f>
        <v/>
      </c>
      <c r="D446" s="14">
        <f>IF('02_固定地理'!A446&lt;&gt;"",'02_固定地理'!A446,"")</f>
        <v/>
      </c>
      <c r="E446" s="14">
        <f>IF(F446&lt;&gt;"","综合校验","")</f>
        <v/>
      </c>
      <c r="F446" s="14">
        <f>IF('02_固定地理'!A446&lt;&gt;"",IF('02_固定地理'!A446="","缺少对象ID；","")&amp;IF('02_固定地理'!B446="","缺少中文名称；","")&amp;IF('02_固定地理'!D446="","缺少对象类型；","")&amp;IF(AND('02_固定地理'!F446&lt;&gt;"",OR('02_固定地理'!F446&lt;0,'02_固定地理'!F446&gt;WorldWidth)),"世界中心X越界；","")&amp;IF(AND('02_固定地理'!G446&lt;&gt;"",OR('02_固定地理'!G446&lt;0,'02_固定地理'!G446&gt;WorldHeight)),"世界中心Y越界；","")&amp;IF(AND('02_固定地理'!H446&lt;&gt;"",'02_固定地理'!J446&lt;&gt;"",'02_固定地理'!H446&gt;'02_固定地理'!J446),"最小X大于最大X；","")&amp;IF(AND('02_固定地理'!I446&lt;&gt;"",'02_固定地理'!K446&lt;&gt;"",'02_固定地理'!I446&gt;'02_固定地理'!K446),"最小Y大于最大Y；","")&amp;IF(AND('02_固定地理'!E446&lt;&gt;"",COUNTIF('02_固定地理'!$A$2:$A$501,'02_固定地理'!E446)=0),"父级对象不存在；","")&amp;IF(AND('02_固定地理'!A446&lt;&gt;"",COUNTIF('02_固定地理'!$A$2:$A$501,'02_固定地理'!A446)&gt;1),"ID重复；",""),"")</f>
        <v/>
      </c>
      <c r="G446" s="14">
        <f>IF(F446&lt;&gt;"","按字段批注、数据字典和来源记录修正后复核","")</f>
        <v/>
      </c>
      <c r="H446" s="14">
        <f>IF(F446&lt;&gt;"","待处理","")</f>
        <v/>
      </c>
    </row>
    <row r="447">
      <c r="A447" s="14">
        <f>IF(F447&lt;&gt;"","ISSUE-"&amp;TEXT(ROW()-1,"00000"),"")</f>
        <v/>
      </c>
      <c r="B447" s="14">
        <f>IF(F447&lt;&gt;"","错误","")</f>
        <v/>
      </c>
      <c r="C447" s="14">
        <f>IF('02_固定地理'!A447&lt;&gt;"","02_固定地理","")</f>
        <v/>
      </c>
      <c r="D447" s="14">
        <f>IF('02_固定地理'!A447&lt;&gt;"",'02_固定地理'!A447,"")</f>
        <v/>
      </c>
      <c r="E447" s="14">
        <f>IF(F447&lt;&gt;"","综合校验","")</f>
        <v/>
      </c>
      <c r="F447" s="14">
        <f>IF('02_固定地理'!A447&lt;&gt;"",IF('02_固定地理'!A447="","缺少对象ID；","")&amp;IF('02_固定地理'!B447="","缺少中文名称；","")&amp;IF('02_固定地理'!D447="","缺少对象类型；","")&amp;IF(AND('02_固定地理'!F447&lt;&gt;"",OR('02_固定地理'!F447&lt;0,'02_固定地理'!F447&gt;WorldWidth)),"世界中心X越界；","")&amp;IF(AND('02_固定地理'!G447&lt;&gt;"",OR('02_固定地理'!G447&lt;0,'02_固定地理'!G447&gt;WorldHeight)),"世界中心Y越界；","")&amp;IF(AND('02_固定地理'!H447&lt;&gt;"",'02_固定地理'!J447&lt;&gt;"",'02_固定地理'!H447&gt;'02_固定地理'!J447),"最小X大于最大X；","")&amp;IF(AND('02_固定地理'!I447&lt;&gt;"",'02_固定地理'!K447&lt;&gt;"",'02_固定地理'!I447&gt;'02_固定地理'!K447),"最小Y大于最大Y；","")&amp;IF(AND('02_固定地理'!E447&lt;&gt;"",COUNTIF('02_固定地理'!$A$2:$A$501,'02_固定地理'!E447)=0),"父级对象不存在；","")&amp;IF(AND('02_固定地理'!A447&lt;&gt;"",COUNTIF('02_固定地理'!$A$2:$A$501,'02_固定地理'!A447)&gt;1),"ID重复；",""),"")</f>
        <v/>
      </c>
      <c r="G447" s="14">
        <f>IF(F447&lt;&gt;"","按字段批注、数据字典和来源记录修正后复核","")</f>
        <v/>
      </c>
      <c r="H447" s="14">
        <f>IF(F447&lt;&gt;"","待处理","")</f>
        <v/>
      </c>
    </row>
    <row r="448">
      <c r="A448" s="14">
        <f>IF(F448&lt;&gt;"","ISSUE-"&amp;TEXT(ROW()-1,"00000"),"")</f>
        <v/>
      </c>
      <c r="B448" s="14">
        <f>IF(F448&lt;&gt;"","错误","")</f>
        <v/>
      </c>
      <c r="C448" s="14">
        <f>IF('02_固定地理'!A448&lt;&gt;"","02_固定地理","")</f>
        <v/>
      </c>
      <c r="D448" s="14">
        <f>IF('02_固定地理'!A448&lt;&gt;"",'02_固定地理'!A448,"")</f>
        <v/>
      </c>
      <c r="E448" s="14">
        <f>IF(F448&lt;&gt;"","综合校验","")</f>
        <v/>
      </c>
      <c r="F448" s="14">
        <f>IF('02_固定地理'!A448&lt;&gt;"",IF('02_固定地理'!A448="","缺少对象ID；","")&amp;IF('02_固定地理'!B448="","缺少中文名称；","")&amp;IF('02_固定地理'!D448="","缺少对象类型；","")&amp;IF(AND('02_固定地理'!F448&lt;&gt;"",OR('02_固定地理'!F448&lt;0,'02_固定地理'!F448&gt;WorldWidth)),"世界中心X越界；","")&amp;IF(AND('02_固定地理'!G448&lt;&gt;"",OR('02_固定地理'!G448&lt;0,'02_固定地理'!G448&gt;WorldHeight)),"世界中心Y越界；","")&amp;IF(AND('02_固定地理'!H448&lt;&gt;"",'02_固定地理'!J448&lt;&gt;"",'02_固定地理'!H448&gt;'02_固定地理'!J448),"最小X大于最大X；","")&amp;IF(AND('02_固定地理'!I448&lt;&gt;"",'02_固定地理'!K448&lt;&gt;"",'02_固定地理'!I448&gt;'02_固定地理'!K448),"最小Y大于最大Y；","")&amp;IF(AND('02_固定地理'!E448&lt;&gt;"",COUNTIF('02_固定地理'!$A$2:$A$501,'02_固定地理'!E448)=0),"父级对象不存在；","")&amp;IF(AND('02_固定地理'!A448&lt;&gt;"",COUNTIF('02_固定地理'!$A$2:$A$501,'02_固定地理'!A448)&gt;1),"ID重复；",""),"")</f>
        <v/>
      </c>
      <c r="G448" s="14">
        <f>IF(F448&lt;&gt;"","按字段批注、数据字典和来源记录修正后复核","")</f>
        <v/>
      </c>
      <c r="H448" s="14">
        <f>IF(F448&lt;&gt;"","待处理","")</f>
        <v/>
      </c>
    </row>
    <row r="449">
      <c r="A449" s="14">
        <f>IF(F449&lt;&gt;"","ISSUE-"&amp;TEXT(ROW()-1,"00000"),"")</f>
        <v/>
      </c>
      <c r="B449" s="14">
        <f>IF(F449&lt;&gt;"","错误","")</f>
        <v/>
      </c>
      <c r="C449" s="14">
        <f>IF('02_固定地理'!A449&lt;&gt;"","02_固定地理","")</f>
        <v/>
      </c>
      <c r="D449" s="14">
        <f>IF('02_固定地理'!A449&lt;&gt;"",'02_固定地理'!A449,"")</f>
        <v/>
      </c>
      <c r="E449" s="14">
        <f>IF(F449&lt;&gt;"","综合校验","")</f>
        <v/>
      </c>
      <c r="F449" s="14">
        <f>IF('02_固定地理'!A449&lt;&gt;"",IF('02_固定地理'!A449="","缺少对象ID；","")&amp;IF('02_固定地理'!B449="","缺少中文名称；","")&amp;IF('02_固定地理'!D449="","缺少对象类型；","")&amp;IF(AND('02_固定地理'!F449&lt;&gt;"",OR('02_固定地理'!F449&lt;0,'02_固定地理'!F449&gt;WorldWidth)),"世界中心X越界；","")&amp;IF(AND('02_固定地理'!G449&lt;&gt;"",OR('02_固定地理'!G449&lt;0,'02_固定地理'!G449&gt;WorldHeight)),"世界中心Y越界；","")&amp;IF(AND('02_固定地理'!H449&lt;&gt;"",'02_固定地理'!J449&lt;&gt;"",'02_固定地理'!H449&gt;'02_固定地理'!J449),"最小X大于最大X；","")&amp;IF(AND('02_固定地理'!I449&lt;&gt;"",'02_固定地理'!K449&lt;&gt;"",'02_固定地理'!I449&gt;'02_固定地理'!K449),"最小Y大于最大Y；","")&amp;IF(AND('02_固定地理'!E449&lt;&gt;"",COUNTIF('02_固定地理'!$A$2:$A$501,'02_固定地理'!E449)=0),"父级对象不存在；","")&amp;IF(AND('02_固定地理'!A449&lt;&gt;"",COUNTIF('02_固定地理'!$A$2:$A$501,'02_固定地理'!A449)&gt;1),"ID重复；",""),"")</f>
        <v/>
      </c>
      <c r="G449" s="14">
        <f>IF(F449&lt;&gt;"","按字段批注、数据字典和来源记录修正后复核","")</f>
        <v/>
      </c>
      <c r="H449" s="14">
        <f>IF(F449&lt;&gt;"","待处理","")</f>
        <v/>
      </c>
    </row>
    <row r="450">
      <c r="A450" s="14">
        <f>IF(F450&lt;&gt;"","ISSUE-"&amp;TEXT(ROW()-1,"00000"),"")</f>
        <v/>
      </c>
      <c r="B450" s="14">
        <f>IF(F450&lt;&gt;"","错误","")</f>
        <v/>
      </c>
      <c r="C450" s="14">
        <f>IF('02_固定地理'!A450&lt;&gt;"","02_固定地理","")</f>
        <v/>
      </c>
      <c r="D450" s="14">
        <f>IF('02_固定地理'!A450&lt;&gt;"",'02_固定地理'!A450,"")</f>
        <v/>
      </c>
      <c r="E450" s="14">
        <f>IF(F450&lt;&gt;"","综合校验","")</f>
        <v/>
      </c>
      <c r="F450" s="14">
        <f>IF('02_固定地理'!A450&lt;&gt;"",IF('02_固定地理'!A450="","缺少对象ID；","")&amp;IF('02_固定地理'!B450="","缺少中文名称；","")&amp;IF('02_固定地理'!D450="","缺少对象类型；","")&amp;IF(AND('02_固定地理'!F450&lt;&gt;"",OR('02_固定地理'!F450&lt;0,'02_固定地理'!F450&gt;WorldWidth)),"世界中心X越界；","")&amp;IF(AND('02_固定地理'!G450&lt;&gt;"",OR('02_固定地理'!G450&lt;0,'02_固定地理'!G450&gt;WorldHeight)),"世界中心Y越界；","")&amp;IF(AND('02_固定地理'!H450&lt;&gt;"",'02_固定地理'!J450&lt;&gt;"",'02_固定地理'!H450&gt;'02_固定地理'!J450),"最小X大于最大X；","")&amp;IF(AND('02_固定地理'!I450&lt;&gt;"",'02_固定地理'!K450&lt;&gt;"",'02_固定地理'!I450&gt;'02_固定地理'!K450),"最小Y大于最大Y；","")&amp;IF(AND('02_固定地理'!E450&lt;&gt;"",COUNTIF('02_固定地理'!$A$2:$A$501,'02_固定地理'!E450)=0),"父级对象不存在；","")&amp;IF(AND('02_固定地理'!A450&lt;&gt;"",COUNTIF('02_固定地理'!$A$2:$A$501,'02_固定地理'!A450)&gt;1),"ID重复；",""),"")</f>
        <v/>
      </c>
      <c r="G450" s="14">
        <f>IF(F450&lt;&gt;"","按字段批注、数据字典和来源记录修正后复核","")</f>
        <v/>
      </c>
      <c r="H450" s="14">
        <f>IF(F450&lt;&gt;"","待处理","")</f>
        <v/>
      </c>
    </row>
    <row r="451">
      <c r="A451" s="14">
        <f>IF(F451&lt;&gt;"","ISSUE-"&amp;TEXT(ROW()-1,"00000"),"")</f>
        <v/>
      </c>
      <c r="B451" s="14">
        <f>IF(F451&lt;&gt;"","错误","")</f>
        <v/>
      </c>
      <c r="C451" s="14">
        <f>IF('02_固定地理'!A451&lt;&gt;"","02_固定地理","")</f>
        <v/>
      </c>
      <c r="D451" s="14">
        <f>IF('02_固定地理'!A451&lt;&gt;"",'02_固定地理'!A451,"")</f>
        <v/>
      </c>
      <c r="E451" s="14">
        <f>IF(F451&lt;&gt;"","综合校验","")</f>
        <v/>
      </c>
      <c r="F451" s="14">
        <f>IF('02_固定地理'!A451&lt;&gt;"",IF('02_固定地理'!A451="","缺少对象ID；","")&amp;IF('02_固定地理'!B451="","缺少中文名称；","")&amp;IF('02_固定地理'!D451="","缺少对象类型；","")&amp;IF(AND('02_固定地理'!F451&lt;&gt;"",OR('02_固定地理'!F451&lt;0,'02_固定地理'!F451&gt;WorldWidth)),"世界中心X越界；","")&amp;IF(AND('02_固定地理'!G451&lt;&gt;"",OR('02_固定地理'!G451&lt;0,'02_固定地理'!G451&gt;WorldHeight)),"世界中心Y越界；","")&amp;IF(AND('02_固定地理'!H451&lt;&gt;"",'02_固定地理'!J451&lt;&gt;"",'02_固定地理'!H451&gt;'02_固定地理'!J451),"最小X大于最大X；","")&amp;IF(AND('02_固定地理'!I451&lt;&gt;"",'02_固定地理'!K451&lt;&gt;"",'02_固定地理'!I451&gt;'02_固定地理'!K451),"最小Y大于最大Y；","")&amp;IF(AND('02_固定地理'!E451&lt;&gt;"",COUNTIF('02_固定地理'!$A$2:$A$501,'02_固定地理'!E451)=0),"父级对象不存在；","")&amp;IF(AND('02_固定地理'!A451&lt;&gt;"",COUNTIF('02_固定地理'!$A$2:$A$501,'02_固定地理'!A451)&gt;1),"ID重复；",""),"")</f>
        <v/>
      </c>
      <c r="G451" s="14">
        <f>IF(F451&lt;&gt;"","按字段批注、数据字典和来源记录修正后复核","")</f>
        <v/>
      </c>
      <c r="H451" s="14">
        <f>IF(F451&lt;&gt;"","待处理","")</f>
        <v/>
      </c>
    </row>
    <row r="452">
      <c r="A452" s="14">
        <f>IF(F452&lt;&gt;"","ISSUE-"&amp;TEXT(ROW()-1,"00000"),"")</f>
        <v/>
      </c>
      <c r="B452" s="14">
        <f>IF(F452&lt;&gt;"","错误","")</f>
        <v/>
      </c>
      <c r="C452" s="14">
        <f>IF('02_固定地理'!A452&lt;&gt;"","02_固定地理","")</f>
        <v/>
      </c>
      <c r="D452" s="14">
        <f>IF('02_固定地理'!A452&lt;&gt;"",'02_固定地理'!A452,"")</f>
        <v/>
      </c>
      <c r="E452" s="14">
        <f>IF(F452&lt;&gt;"","综合校验","")</f>
        <v/>
      </c>
      <c r="F452" s="14">
        <f>IF('02_固定地理'!A452&lt;&gt;"",IF('02_固定地理'!A452="","缺少对象ID；","")&amp;IF('02_固定地理'!B452="","缺少中文名称；","")&amp;IF('02_固定地理'!D452="","缺少对象类型；","")&amp;IF(AND('02_固定地理'!F452&lt;&gt;"",OR('02_固定地理'!F452&lt;0,'02_固定地理'!F452&gt;WorldWidth)),"世界中心X越界；","")&amp;IF(AND('02_固定地理'!G452&lt;&gt;"",OR('02_固定地理'!G452&lt;0,'02_固定地理'!G452&gt;WorldHeight)),"世界中心Y越界；","")&amp;IF(AND('02_固定地理'!H452&lt;&gt;"",'02_固定地理'!J452&lt;&gt;"",'02_固定地理'!H452&gt;'02_固定地理'!J452),"最小X大于最大X；","")&amp;IF(AND('02_固定地理'!I452&lt;&gt;"",'02_固定地理'!K452&lt;&gt;"",'02_固定地理'!I452&gt;'02_固定地理'!K452),"最小Y大于最大Y；","")&amp;IF(AND('02_固定地理'!E452&lt;&gt;"",COUNTIF('02_固定地理'!$A$2:$A$501,'02_固定地理'!E452)=0),"父级对象不存在；","")&amp;IF(AND('02_固定地理'!A452&lt;&gt;"",COUNTIF('02_固定地理'!$A$2:$A$501,'02_固定地理'!A452)&gt;1),"ID重复；",""),"")</f>
        <v/>
      </c>
      <c r="G452" s="14">
        <f>IF(F452&lt;&gt;"","按字段批注、数据字典和来源记录修正后复核","")</f>
        <v/>
      </c>
      <c r="H452" s="14">
        <f>IF(F452&lt;&gt;"","待处理","")</f>
        <v/>
      </c>
    </row>
    <row r="453">
      <c r="A453" s="14">
        <f>IF(F453&lt;&gt;"","ISSUE-"&amp;TEXT(ROW()-1,"00000"),"")</f>
        <v/>
      </c>
      <c r="B453" s="14">
        <f>IF(F453&lt;&gt;"","错误","")</f>
        <v/>
      </c>
      <c r="C453" s="14">
        <f>IF('02_固定地理'!A453&lt;&gt;"","02_固定地理","")</f>
        <v/>
      </c>
      <c r="D453" s="14">
        <f>IF('02_固定地理'!A453&lt;&gt;"",'02_固定地理'!A453,"")</f>
        <v/>
      </c>
      <c r="E453" s="14">
        <f>IF(F453&lt;&gt;"","综合校验","")</f>
        <v/>
      </c>
      <c r="F453" s="14">
        <f>IF('02_固定地理'!A453&lt;&gt;"",IF('02_固定地理'!A453="","缺少对象ID；","")&amp;IF('02_固定地理'!B453="","缺少中文名称；","")&amp;IF('02_固定地理'!D453="","缺少对象类型；","")&amp;IF(AND('02_固定地理'!F453&lt;&gt;"",OR('02_固定地理'!F453&lt;0,'02_固定地理'!F453&gt;WorldWidth)),"世界中心X越界；","")&amp;IF(AND('02_固定地理'!G453&lt;&gt;"",OR('02_固定地理'!G453&lt;0,'02_固定地理'!G453&gt;WorldHeight)),"世界中心Y越界；","")&amp;IF(AND('02_固定地理'!H453&lt;&gt;"",'02_固定地理'!J453&lt;&gt;"",'02_固定地理'!H453&gt;'02_固定地理'!J453),"最小X大于最大X；","")&amp;IF(AND('02_固定地理'!I453&lt;&gt;"",'02_固定地理'!K453&lt;&gt;"",'02_固定地理'!I453&gt;'02_固定地理'!K453),"最小Y大于最大Y；","")&amp;IF(AND('02_固定地理'!E453&lt;&gt;"",COUNTIF('02_固定地理'!$A$2:$A$501,'02_固定地理'!E453)=0),"父级对象不存在；","")&amp;IF(AND('02_固定地理'!A453&lt;&gt;"",COUNTIF('02_固定地理'!$A$2:$A$501,'02_固定地理'!A453)&gt;1),"ID重复；",""),"")</f>
        <v/>
      </c>
      <c r="G453" s="14">
        <f>IF(F453&lt;&gt;"","按字段批注、数据字典和来源记录修正后复核","")</f>
        <v/>
      </c>
      <c r="H453" s="14">
        <f>IF(F453&lt;&gt;"","待处理","")</f>
        <v/>
      </c>
    </row>
    <row r="454">
      <c r="A454" s="14">
        <f>IF(F454&lt;&gt;"","ISSUE-"&amp;TEXT(ROW()-1,"00000"),"")</f>
        <v/>
      </c>
      <c r="B454" s="14">
        <f>IF(F454&lt;&gt;"","错误","")</f>
        <v/>
      </c>
      <c r="C454" s="14">
        <f>IF('02_固定地理'!A454&lt;&gt;"","02_固定地理","")</f>
        <v/>
      </c>
      <c r="D454" s="14">
        <f>IF('02_固定地理'!A454&lt;&gt;"",'02_固定地理'!A454,"")</f>
        <v/>
      </c>
      <c r="E454" s="14">
        <f>IF(F454&lt;&gt;"","综合校验","")</f>
        <v/>
      </c>
      <c r="F454" s="14">
        <f>IF('02_固定地理'!A454&lt;&gt;"",IF('02_固定地理'!A454="","缺少对象ID；","")&amp;IF('02_固定地理'!B454="","缺少中文名称；","")&amp;IF('02_固定地理'!D454="","缺少对象类型；","")&amp;IF(AND('02_固定地理'!F454&lt;&gt;"",OR('02_固定地理'!F454&lt;0,'02_固定地理'!F454&gt;WorldWidth)),"世界中心X越界；","")&amp;IF(AND('02_固定地理'!G454&lt;&gt;"",OR('02_固定地理'!G454&lt;0,'02_固定地理'!G454&gt;WorldHeight)),"世界中心Y越界；","")&amp;IF(AND('02_固定地理'!H454&lt;&gt;"",'02_固定地理'!J454&lt;&gt;"",'02_固定地理'!H454&gt;'02_固定地理'!J454),"最小X大于最大X；","")&amp;IF(AND('02_固定地理'!I454&lt;&gt;"",'02_固定地理'!K454&lt;&gt;"",'02_固定地理'!I454&gt;'02_固定地理'!K454),"最小Y大于最大Y；","")&amp;IF(AND('02_固定地理'!E454&lt;&gt;"",COUNTIF('02_固定地理'!$A$2:$A$501,'02_固定地理'!E454)=0),"父级对象不存在；","")&amp;IF(AND('02_固定地理'!A454&lt;&gt;"",COUNTIF('02_固定地理'!$A$2:$A$501,'02_固定地理'!A454)&gt;1),"ID重复；",""),"")</f>
        <v/>
      </c>
      <c r="G454" s="14">
        <f>IF(F454&lt;&gt;"","按字段批注、数据字典和来源记录修正后复核","")</f>
        <v/>
      </c>
      <c r="H454" s="14">
        <f>IF(F454&lt;&gt;"","待处理","")</f>
        <v/>
      </c>
    </row>
    <row r="455">
      <c r="A455" s="14">
        <f>IF(F455&lt;&gt;"","ISSUE-"&amp;TEXT(ROW()-1,"00000"),"")</f>
        <v/>
      </c>
      <c r="B455" s="14">
        <f>IF(F455&lt;&gt;"","错误","")</f>
        <v/>
      </c>
      <c r="C455" s="14">
        <f>IF('02_固定地理'!A455&lt;&gt;"","02_固定地理","")</f>
        <v/>
      </c>
      <c r="D455" s="14">
        <f>IF('02_固定地理'!A455&lt;&gt;"",'02_固定地理'!A455,"")</f>
        <v/>
      </c>
      <c r="E455" s="14">
        <f>IF(F455&lt;&gt;"","综合校验","")</f>
        <v/>
      </c>
      <c r="F455" s="14">
        <f>IF('02_固定地理'!A455&lt;&gt;"",IF('02_固定地理'!A455="","缺少对象ID；","")&amp;IF('02_固定地理'!B455="","缺少中文名称；","")&amp;IF('02_固定地理'!D455="","缺少对象类型；","")&amp;IF(AND('02_固定地理'!F455&lt;&gt;"",OR('02_固定地理'!F455&lt;0,'02_固定地理'!F455&gt;WorldWidth)),"世界中心X越界；","")&amp;IF(AND('02_固定地理'!G455&lt;&gt;"",OR('02_固定地理'!G455&lt;0,'02_固定地理'!G455&gt;WorldHeight)),"世界中心Y越界；","")&amp;IF(AND('02_固定地理'!H455&lt;&gt;"",'02_固定地理'!J455&lt;&gt;"",'02_固定地理'!H455&gt;'02_固定地理'!J455),"最小X大于最大X；","")&amp;IF(AND('02_固定地理'!I455&lt;&gt;"",'02_固定地理'!K455&lt;&gt;"",'02_固定地理'!I455&gt;'02_固定地理'!K455),"最小Y大于最大Y；","")&amp;IF(AND('02_固定地理'!E455&lt;&gt;"",COUNTIF('02_固定地理'!$A$2:$A$501,'02_固定地理'!E455)=0),"父级对象不存在；","")&amp;IF(AND('02_固定地理'!A455&lt;&gt;"",COUNTIF('02_固定地理'!$A$2:$A$501,'02_固定地理'!A455)&gt;1),"ID重复；",""),"")</f>
        <v/>
      </c>
      <c r="G455" s="14">
        <f>IF(F455&lt;&gt;"","按字段批注、数据字典和来源记录修正后复核","")</f>
        <v/>
      </c>
      <c r="H455" s="14">
        <f>IF(F455&lt;&gt;"","待处理","")</f>
        <v/>
      </c>
    </row>
    <row r="456">
      <c r="A456" s="14">
        <f>IF(F456&lt;&gt;"","ISSUE-"&amp;TEXT(ROW()-1,"00000"),"")</f>
        <v/>
      </c>
      <c r="B456" s="14">
        <f>IF(F456&lt;&gt;"","错误","")</f>
        <v/>
      </c>
      <c r="C456" s="14">
        <f>IF('02_固定地理'!A456&lt;&gt;"","02_固定地理","")</f>
        <v/>
      </c>
      <c r="D456" s="14">
        <f>IF('02_固定地理'!A456&lt;&gt;"",'02_固定地理'!A456,"")</f>
        <v/>
      </c>
      <c r="E456" s="14">
        <f>IF(F456&lt;&gt;"","综合校验","")</f>
        <v/>
      </c>
      <c r="F456" s="14">
        <f>IF('02_固定地理'!A456&lt;&gt;"",IF('02_固定地理'!A456="","缺少对象ID；","")&amp;IF('02_固定地理'!B456="","缺少中文名称；","")&amp;IF('02_固定地理'!D456="","缺少对象类型；","")&amp;IF(AND('02_固定地理'!F456&lt;&gt;"",OR('02_固定地理'!F456&lt;0,'02_固定地理'!F456&gt;WorldWidth)),"世界中心X越界；","")&amp;IF(AND('02_固定地理'!G456&lt;&gt;"",OR('02_固定地理'!G456&lt;0,'02_固定地理'!G456&gt;WorldHeight)),"世界中心Y越界；","")&amp;IF(AND('02_固定地理'!H456&lt;&gt;"",'02_固定地理'!J456&lt;&gt;"",'02_固定地理'!H456&gt;'02_固定地理'!J456),"最小X大于最大X；","")&amp;IF(AND('02_固定地理'!I456&lt;&gt;"",'02_固定地理'!K456&lt;&gt;"",'02_固定地理'!I456&gt;'02_固定地理'!K456),"最小Y大于最大Y；","")&amp;IF(AND('02_固定地理'!E456&lt;&gt;"",COUNTIF('02_固定地理'!$A$2:$A$501,'02_固定地理'!E456)=0),"父级对象不存在；","")&amp;IF(AND('02_固定地理'!A456&lt;&gt;"",COUNTIF('02_固定地理'!$A$2:$A$501,'02_固定地理'!A456)&gt;1),"ID重复；",""),"")</f>
        <v/>
      </c>
      <c r="G456" s="14">
        <f>IF(F456&lt;&gt;"","按字段批注、数据字典和来源记录修正后复核","")</f>
        <v/>
      </c>
      <c r="H456" s="14">
        <f>IF(F456&lt;&gt;"","待处理","")</f>
        <v/>
      </c>
    </row>
    <row r="457">
      <c r="A457" s="14">
        <f>IF(F457&lt;&gt;"","ISSUE-"&amp;TEXT(ROW()-1,"00000"),"")</f>
        <v/>
      </c>
      <c r="B457" s="14">
        <f>IF(F457&lt;&gt;"","错误","")</f>
        <v/>
      </c>
      <c r="C457" s="14">
        <f>IF('02_固定地理'!A457&lt;&gt;"","02_固定地理","")</f>
        <v/>
      </c>
      <c r="D457" s="14">
        <f>IF('02_固定地理'!A457&lt;&gt;"",'02_固定地理'!A457,"")</f>
        <v/>
      </c>
      <c r="E457" s="14">
        <f>IF(F457&lt;&gt;"","综合校验","")</f>
        <v/>
      </c>
      <c r="F457" s="14">
        <f>IF('02_固定地理'!A457&lt;&gt;"",IF('02_固定地理'!A457="","缺少对象ID；","")&amp;IF('02_固定地理'!B457="","缺少中文名称；","")&amp;IF('02_固定地理'!D457="","缺少对象类型；","")&amp;IF(AND('02_固定地理'!F457&lt;&gt;"",OR('02_固定地理'!F457&lt;0,'02_固定地理'!F457&gt;WorldWidth)),"世界中心X越界；","")&amp;IF(AND('02_固定地理'!G457&lt;&gt;"",OR('02_固定地理'!G457&lt;0,'02_固定地理'!G457&gt;WorldHeight)),"世界中心Y越界；","")&amp;IF(AND('02_固定地理'!H457&lt;&gt;"",'02_固定地理'!J457&lt;&gt;"",'02_固定地理'!H457&gt;'02_固定地理'!J457),"最小X大于最大X；","")&amp;IF(AND('02_固定地理'!I457&lt;&gt;"",'02_固定地理'!K457&lt;&gt;"",'02_固定地理'!I457&gt;'02_固定地理'!K457),"最小Y大于最大Y；","")&amp;IF(AND('02_固定地理'!E457&lt;&gt;"",COUNTIF('02_固定地理'!$A$2:$A$501,'02_固定地理'!E457)=0),"父级对象不存在；","")&amp;IF(AND('02_固定地理'!A457&lt;&gt;"",COUNTIF('02_固定地理'!$A$2:$A$501,'02_固定地理'!A457)&gt;1),"ID重复；",""),"")</f>
        <v/>
      </c>
      <c r="G457" s="14">
        <f>IF(F457&lt;&gt;"","按字段批注、数据字典和来源记录修正后复核","")</f>
        <v/>
      </c>
      <c r="H457" s="14">
        <f>IF(F457&lt;&gt;"","待处理","")</f>
        <v/>
      </c>
    </row>
    <row r="458">
      <c r="A458" s="14">
        <f>IF(F458&lt;&gt;"","ISSUE-"&amp;TEXT(ROW()-1,"00000"),"")</f>
        <v/>
      </c>
      <c r="B458" s="14">
        <f>IF(F458&lt;&gt;"","错误","")</f>
        <v/>
      </c>
      <c r="C458" s="14">
        <f>IF('02_固定地理'!A458&lt;&gt;"","02_固定地理","")</f>
        <v/>
      </c>
      <c r="D458" s="14">
        <f>IF('02_固定地理'!A458&lt;&gt;"",'02_固定地理'!A458,"")</f>
        <v/>
      </c>
      <c r="E458" s="14">
        <f>IF(F458&lt;&gt;"","综合校验","")</f>
        <v/>
      </c>
      <c r="F458" s="14">
        <f>IF('02_固定地理'!A458&lt;&gt;"",IF('02_固定地理'!A458="","缺少对象ID；","")&amp;IF('02_固定地理'!B458="","缺少中文名称；","")&amp;IF('02_固定地理'!D458="","缺少对象类型；","")&amp;IF(AND('02_固定地理'!F458&lt;&gt;"",OR('02_固定地理'!F458&lt;0,'02_固定地理'!F458&gt;WorldWidth)),"世界中心X越界；","")&amp;IF(AND('02_固定地理'!G458&lt;&gt;"",OR('02_固定地理'!G458&lt;0,'02_固定地理'!G458&gt;WorldHeight)),"世界中心Y越界；","")&amp;IF(AND('02_固定地理'!H458&lt;&gt;"",'02_固定地理'!J458&lt;&gt;"",'02_固定地理'!H458&gt;'02_固定地理'!J458),"最小X大于最大X；","")&amp;IF(AND('02_固定地理'!I458&lt;&gt;"",'02_固定地理'!K458&lt;&gt;"",'02_固定地理'!I458&gt;'02_固定地理'!K458),"最小Y大于最大Y；","")&amp;IF(AND('02_固定地理'!E458&lt;&gt;"",COUNTIF('02_固定地理'!$A$2:$A$501,'02_固定地理'!E458)=0),"父级对象不存在；","")&amp;IF(AND('02_固定地理'!A458&lt;&gt;"",COUNTIF('02_固定地理'!$A$2:$A$501,'02_固定地理'!A458)&gt;1),"ID重复；",""),"")</f>
        <v/>
      </c>
      <c r="G458" s="14">
        <f>IF(F458&lt;&gt;"","按字段批注、数据字典和来源记录修正后复核","")</f>
        <v/>
      </c>
      <c r="H458" s="14">
        <f>IF(F458&lt;&gt;"","待处理","")</f>
        <v/>
      </c>
    </row>
    <row r="459">
      <c r="A459" s="14">
        <f>IF(F459&lt;&gt;"","ISSUE-"&amp;TEXT(ROW()-1,"00000"),"")</f>
        <v/>
      </c>
      <c r="B459" s="14">
        <f>IF(F459&lt;&gt;"","错误","")</f>
        <v/>
      </c>
      <c r="C459" s="14">
        <f>IF('02_固定地理'!A459&lt;&gt;"","02_固定地理","")</f>
        <v/>
      </c>
      <c r="D459" s="14">
        <f>IF('02_固定地理'!A459&lt;&gt;"",'02_固定地理'!A459,"")</f>
        <v/>
      </c>
      <c r="E459" s="14">
        <f>IF(F459&lt;&gt;"","综合校验","")</f>
        <v/>
      </c>
      <c r="F459" s="14">
        <f>IF('02_固定地理'!A459&lt;&gt;"",IF('02_固定地理'!A459="","缺少对象ID；","")&amp;IF('02_固定地理'!B459="","缺少中文名称；","")&amp;IF('02_固定地理'!D459="","缺少对象类型；","")&amp;IF(AND('02_固定地理'!F459&lt;&gt;"",OR('02_固定地理'!F459&lt;0,'02_固定地理'!F459&gt;WorldWidth)),"世界中心X越界；","")&amp;IF(AND('02_固定地理'!G459&lt;&gt;"",OR('02_固定地理'!G459&lt;0,'02_固定地理'!G459&gt;WorldHeight)),"世界中心Y越界；","")&amp;IF(AND('02_固定地理'!H459&lt;&gt;"",'02_固定地理'!J459&lt;&gt;"",'02_固定地理'!H459&gt;'02_固定地理'!J459),"最小X大于最大X；","")&amp;IF(AND('02_固定地理'!I459&lt;&gt;"",'02_固定地理'!K459&lt;&gt;"",'02_固定地理'!I459&gt;'02_固定地理'!K459),"最小Y大于最大Y；","")&amp;IF(AND('02_固定地理'!E459&lt;&gt;"",COUNTIF('02_固定地理'!$A$2:$A$501,'02_固定地理'!E459)=0),"父级对象不存在；","")&amp;IF(AND('02_固定地理'!A459&lt;&gt;"",COUNTIF('02_固定地理'!$A$2:$A$501,'02_固定地理'!A459)&gt;1),"ID重复；",""),"")</f>
        <v/>
      </c>
      <c r="G459" s="14">
        <f>IF(F459&lt;&gt;"","按字段批注、数据字典和来源记录修正后复核","")</f>
        <v/>
      </c>
      <c r="H459" s="14">
        <f>IF(F459&lt;&gt;"","待处理","")</f>
        <v/>
      </c>
    </row>
    <row r="460">
      <c r="A460" s="14">
        <f>IF(F460&lt;&gt;"","ISSUE-"&amp;TEXT(ROW()-1,"00000"),"")</f>
        <v/>
      </c>
      <c r="B460" s="14">
        <f>IF(F460&lt;&gt;"","错误","")</f>
        <v/>
      </c>
      <c r="C460" s="14">
        <f>IF('02_固定地理'!A460&lt;&gt;"","02_固定地理","")</f>
        <v/>
      </c>
      <c r="D460" s="14">
        <f>IF('02_固定地理'!A460&lt;&gt;"",'02_固定地理'!A460,"")</f>
        <v/>
      </c>
      <c r="E460" s="14">
        <f>IF(F460&lt;&gt;"","综合校验","")</f>
        <v/>
      </c>
      <c r="F460" s="14">
        <f>IF('02_固定地理'!A460&lt;&gt;"",IF('02_固定地理'!A460="","缺少对象ID；","")&amp;IF('02_固定地理'!B460="","缺少中文名称；","")&amp;IF('02_固定地理'!D460="","缺少对象类型；","")&amp;IF(AND('02_固定地理'!F460&lt;&gt;"",OR('02_固定地理'!F460&lt;0,'02_固定地理'!F460&gt;WorldWidth)),"世界中心X越界；","")&amp;IF(AND('02_固定地理'!G460&lt;&gt;"",OR('02_固定地理'!G460&lt;0,'02_固定地理'!G460&gt;WorldHeight)),"世界中心Y越界；","")&amp;IF(AND('02_固定地理'!H460&lt;&gt;"",'02_固定地理'!J460&lt;&gt;"",'02_固定地理'!H460&gt;'02_固定地理'!J460),"最小X大于最大X；","")&amp;IF(AND('02_固定地理'!I460&lt;&gt;"",'02_固定地理'!K460&lt;&gt;"",'02_固定地理'!I460&gt;'02_固定地理'!K460),"最小Y大于最大Y；","")&amp;IF(AND('02_固定地理'!E460&lt;&gt;"",COUNTIF('02_固定地理'!$A$2:$A$501,'02_固定地理'!E460)=0),"父级对象不存在；","")&amp;IF(AND('02_固定地理'!A460&lt;&gt;"",COUNTIF('02_固定地理'!$A$2:$A$501,'02_固定地理'!A460)&gt;1),"ID重复；",""),"")</f>
        <v/>
      </c>
      <c r="G460" s="14">
        <f>IF(F460&lt;&gt;"","按字段批注、数据字典和来源记录修正后复核","")</f>
        <v/>
      </c>
      <c r="H460" s="14">
        <f>IF(F460&lt;&gt;"","待处理","")</f>
        <v/>
      </c>
    </row>
    <row r="461">
      <c r="A461" s="14">
        <f>IF(F461&lt;&gt;"","ISSUE-"&amp;TEXT(ROW()-1,"00000"),"")</f>
        <v/>
      </c>
      <c r="B461" s="14">
        <f>IF(F461&lt;&gt;"","错误","")</f>
        <v/>
      </c>
      <c r="C461" s="14">
        <f>IF('02_固定地理'!A461&lt;&gt;"","02_固定地理","")</f>
        <v/>
      </c>
      <c r="D461" s="14">
        <f>IF('02_固定地理'!A461&lt;&gt;"",'02_固定地理'!A461,"")</f>
        <v/>
      </c>
      <c r="E461" s="14">
        <f>IF(F461&lt;&gt;"","综合校验","")</f>
        <v/>
      </c>
      <c r="F461" s="14">
        <f>IF('02_固定地理'!A461&lt;&gt;"",IF('02_固定地理'!A461="","缺少对象ID；","")&amp;IF('02_固定地理'!B461="","缺少中文名称；","")&amp;IF('02_固定地理'!D461="","缺少对象类型；","")&amp;IF(AND('02_固定地理'!F461&lt;&gt;"",OR('02_固定地理'!F461&lt;0,'02_固定地理'!F461&gt;WorldWidth)),"世界中心X越界；","")&amp;IF(AND('02_固定地理'!G461&lt;&gt;"",OR('02_固定地理'!G461&lt;0,'02_固定地理'!G461&gt;WorldHeight)),"世界中心Y越界；","")&amp;IF(AND('02_固定地理'!H461&lt;&gt;"",'02_固定地理'!J461&lt;&gt;"",'02_固定地理'!H461&gt;'02_固定地理'!J461),"最小X大于最大X；","")&amp;IF(AND('02_固定地理'!I461&lt;&gt;"",'02_固定地理'!K461&lt;&gt;"",'02_固定地理'!I461&gt;'02_固定地理'!K461),"最小Y大于最大Y；","")&amp;IF(AND('02_固定地理'!E461&lt;&gt;"",COUNTIF('02_固定地理'!$A$2:$A$501,'02_固定地理'!E461)=0),"父级对象不存在；","")&amp;IF(AND('02_固定地理'!A461&lt;&gt;"",COUNTIF('02_固定地理'!$A$2:$A$501,'02_固定地理'!A461)&gt;1),"ID重复；",""),"")</f>
        <v/>
      </c>
      <c r="G461" s="14">
        <f>IF(F461&lt;&gt;"","按字段批注、数据字典和来源记录修正后复核","")</f>
        <v/>
      </c>
      <c r="H461" s="14">
        <f>IF(F461&lt;&gt;"","待处理","")</f>
        <v/>
      </c>
    </row>
    <row r="462">
      <c r="A462" s="14">
        <f>IF(F462&lt;&gt;"","ISSUE-"&amp;TEXT(ROW()-1,"00000"),"")</f>
        <v/>
      </c>
      <c r="B462" s="14">
        <f>IF(F462&lt;&gt;"","错误","")</f>
        <v/>
      </c>
      <c r="C462" s="14">
        <f>IF('02_固定地理'!A462&lt;&gt;"","02_固定地理","")</f>
        <v/>
      </c>
      <c r="D462" s="14">
        <f>IF('02_固定地理'!A462&lt;&gt;"",'02_固定地理'!A462,"")</f>
        <v/>
      </c>
      <c r="E462" s="14">
        <f>IF(F462&lt;&gt;"","综合校验","")</f>
        <v/>
      </c>
      <c r="F462" s="14">
        <f>IF('02_固定地理'!A462&lt;&gt;"",IF('02_固定地理'!A462="","缺少对象ID；","")&amp;IF('02_固定地理'!B462="","缺少中文名称；","")&amp;IF('02_固定地理'!D462="","缺少对象类型；","")&amp;IF(AND('02_固定地理'!F462&lt;&gt;"",OR('02_固定地理'!F462&lt;0,'02_固定地理'!F462&gt;WorldWidth)),"世界中心X越界；","")&amp;IF(AND('02_固定地理'!G462&lt;&gt;"",OR('02_固定地理'!G462&lt;0,'02_固定地理'!G462&gt;WorldHeight)),"世界中心Y越界；","")&amp;IF(AND('02_固定地理'!H462&lt;&gt;"",'02_固定地理'!J462&lt;&gt;"",'02_固定地理'!H462&gt;'02_固定地理'!J462),"最小X大于最大X；","")&amp;IF(AND('02_固定地理'!I462&lt;&gt;"",'02_固定地理'!K462&lt;&gt;"",'02_固定地理'!I462&gt;'02_固定地理'!K462),"最小Y大于最大Y；","")&amp;IF(AND('02_固定地理'!E462&lt;&gt;"",COUNTIF('02_固定地理'!$A$2:$A$501,'02_固定地理'!E462)=0),"父级对象不存在；","")&amp;IF(AND('02_固定地理'!A462&lt;&gt;"",COUNTIF('02_固定地理'!$A$2:$A$501,'02_固定地理'!A462)&gt;1),"ID重复；",""),"")</f>
        <v/>
      </c>
      <c r="G462" s="14">
        <f>IF(F462&lt;&gt;"","按字段批注、数据字典和来源记录修正后复核","")</f>
        <v/>
      </c>
      <c r="H462" s="14">
        <f>IF(F462&lt;&gt;"","待处理","")</f>
        <v/>
      </c>
    </row>
    <row r="463">
      <c r="A463" s="14">
        <f>IF(F463&lt;&gt;"","ISSUE-"&amp;TEXT(ROW()-1,"00000"),"")</f>
        <v/>
      </c>
      <c r="B463" s="14">
        <f>IF(F463&lt;&gt;"","错误","")</f>
        <v/>
      </c>
      <c r="C463" s="14">
        <f>IF('02_固定地理'!A463&lt;&gt;"","02_固定地理","")</f>
        <v/>
      </c>
      <c r="D463" s="14">
        <f>IF('02_固定地理'!A463&lt;&gt;"",'02_固定地理'!A463,"")</f>
        <v/>
      </c>
      <c r="E463" s="14">
        <f>IF(F463&lt;&gt;"","综合校验","")</f>
        <v/>
      </c>
      <c r="F463" s="14">
        <f>IF('02_固定地理'!A463&lt;&gt;"",IF('02_固定地理'!A463="","缺少对象ID；","")&amp;IF('02_固定地理'!B463="","缺少中文名称；","")&amp;IF('02_固定地理'!D463="","缺少对象类型；","")&amp;IF(AND('02_固定地理'!F463&lt;&gt;"",OR('02_固定地理'!F463&lt;0,'02_固定地理'!F463&gt;WorldWidth)),"世界中心X越界；","")&amp;IF(AND('02_固定地理'!G463&lt;&gt;"",OR('02_固定地理'!G463&lt;0,'02_固定地理'!G463&gt;WorldHeight)),"世界中心Y越界；","")&amp;IF(AND('02_固定地理'!H463&lt;&gt;"",'02_固定地理'!J463&lt;&gt;"",'02_固定地理'!H463&gt;'02_固定地理'!J463),"最小X大于最大X；","")&amp;IF(AND('02_固定地理'!I463&lt;&gt;"",'02_固定地理'!K463&lt;&gt;"",'02_固定地理'!I463&gt;'02_固定地理'!K463),"最小Y大于最大Y；","")&amp;IF(AND('02_固定地理'!E463&lt;&gt;"",COUNTIF('02_固定地理'!$A$2:$A$501,'02_固定地理'!E463)=0),"父级对象不存在；","")&amp;IF(AND('02_固定地理'!A463&lt;&gt;"",COUNTIF('02_固定地理'!$A$2:$A$501,'02_固定地理'!A463)&gt;1),"ID重复；",""),"")</f>
        <v/>
      </c>
      <c r="G463" s="14">
        <f>IF(F463&lt;&gt;"","按字段批注、数据字典和来源记录修正后复核","")</f>
        <v/>
      </c>
      <c r="H463" s="14">
        <f>IF(F463&lt;&gt;"","待处理","")</f>
        <v/>
      </c>
    </row>
    <row r="464">
      <c r="A464" s="14">
        <f>IF(F464&lt;&gt;"","ISSUE-"&amp;TEXT(ROW()-1,"00000"),"")</f>
        <v/>
      </c>
      <c r="B464" s="14">
        <f>IF(F464&lt;&gt;"","错误","")</f>
        <v/>
      </c>
      <c r="C464" s="14">
        <f>IF('02_固定地理'!A464&lt;&gt;"","02_固定地理","")</f>
        <v/>
      </c>
      <c r="D464" s="14">
        <f>IF('02_固定地理'!A464&lt;&gt;"",'02_固定地理'!A464,"")</f>
        <v/>
      </c>
      <c r="E464" s="14">
        <f>IF(F464&lt;&gt;"","综合校验","")</f>
        <v/>
      </c>
      <c r="F464" s="14">
        <f>IF('02_固定地理'!A464&lt;&gt;"",IF('02_固定地理'!A464="","缺少对象ID；","")&amp;IF('02_固定地理'!B464="","缺少中文名称；","")&amp;IF('02_固定地理'!D464="","缺少对象类型；","")&amp;IF(AND('02_固定地理'!F464&lt;&gt;"",OR('02_固定地理'!F464&lt;0,'02_固定地理'!F464&gt;WorldWidth)),"世界中心X越界；","")&amp;IF(AND('02_固定地理'!G464&lt;&gt;"",OR('02_固定地理'!G464&lt;0,'02_固定地理'!G464&gt;WorldHeight)),"世界中心Y越界；","")&amp;IF(AND('02_固定地理'!H464&lt;&gt;"",'02_固定地理'!J464&lt;&gt;"",'02_固定地理'!H464&gt;'02_固定地理'!J464),"最小X大于最大X；","")&amp;IF(AND('02_固定地理'!I464&lt;&gt;"",'02_固定地理'!K464&lt;&gt;"",'02_固定地理'!I464&gt;'02_固定地理'!K464),"最小Y大于最大Y；","")&amp;IF(AND('02_固定地理'!E464&lt;&gt;"",COUNTIF('02_固定地理'!$A$2:$A$501,'02_固定地理'!E464)=0),"父级对象不存在；","")&amp;IF(AND('02_固定地理'!A464&lt;&gt;"",COUNTIF('02_固定地理'!$A$2:$A$501,'02_固定地理'!A464)&gt;1),"ID重复；",""),"")</f>
        <v/>
      </c>
      <c r="G464" s="14">
        <f>IF(F464&lt;&gt;"","按字段批注、数据字典和来源记录修正后复核","")</f>
        <v/>
      </c>
      <c r="H464" s="14">
        <f>IF(F464&lt;&gt;"","待处理","")</f>
        <v/>
      </c>
    </row>
    <row r="465">
      <c r="A465" s="14">
        <f>IF(F465&lt;&gt;"","ISSUE-"&amp;TEXT(ROW()-1,"00000"),"")</f>
        <v/>
      </c>
      <c r="B465" s="14">
        <f>IF(F465&lt;&gt;"","错误","")</f>
        <v/>
      </c>
      <c r="C465" s="14">
        <f>IF('02_固定地理'!A465&lt;&gt;"","02_固定地理","")</f>
        <v/>
      </c>
      <c r="D465" s="14">
        <f>IF('02_固定地理'!A465&lt;&gt;"",'02_固定地理'!A465,"")</f>
        <v/>
      </c>
      <c r="E465" s="14">
        <f>IF(F465&lt;&gt;"","综合校验","")</f>
        <v/>
      </c>
      <c r="F465" s="14">
        <f>IF('02_固定地理'!A465&lt;&gt;"",IF('02_固定地理'!A465="","缺少对象ID；","")&amp;IF('02_固定地理'!B465="","缺少中文名称；","")&amp;IF('02_固定地理'!D465="","缺少对象类型；","")&amp;IF(AND('02_固定地理'!F465&lt;&gt;"",OR('02_固定地理'!F465&lt;0,'02_固定地理'!F465&gt;WorldWidth)),"世界中心X越界；","")&amp;IF(AND('02_固定地理'!G465&lt;&gt;"",OR('02_固定地理'!G465&lt;0,'02_固定地理'!G465&gt;WorldHeight)),"世界中心Y越界；","")&amp;IF(AND('02_固定地理'!H465&lt;&gt;"",'02_固定地理'!J465&lt;&gt;"",'02_固定地理'!H465&gt;'02_固定地理'!J465),"最小X大于最大X；","")&amp;IF(AND('02_固定地理'!I465&lt;&gt;"",'02_固定地理'!K465&lt;&gt;"",'02_固定地理'!I465&gt;'02_固定地理'!K465),"最小Y大于最大Y；","")&amp;IF(AND('02_固定地理'!E465&lt;&gt;"",COUNTIF('02_固定地理'!$A$2:$A$501,'02_固定地理'!E465)=0),"父级对象不存在；","")&amp;IF(AND('02_固定地理'!A465&lt;&gt;"",COUNTIF('02_固定地理'!$A$2:$A$501,'02_固定地理'!A465)&gt;1),"ID重复；",""),"")</f>
        <v/>
      </c>
      <c r="G465" s="14">
        <f>IF(F465&lt;&gt;"","按字段批注、数据字典和来源记录修正后复核","")</f>
        <v/>
      </c>
      <c r="H465" s="14">
        <f>IF(F465&lt;&gt;"","待处理","")</f>
        <v/>
      </c>
    </row>
    <row r="466">
      <c r="A466" s="14">
        <f>IF(F466&lt;&gt;"","ISSUE-"&amp;TEXT(ROW()-1,"00000"),"")</f>
        <v/>
      </c>
      <c r="B466" s="14">
        <f>IF(F466&lt;&gt;"","错误","")</f>
        <v/>
      </c>
      <c r="C466" s="14">
        <f>IF('02_固定地理'!A466&lt;&gt;"","02_固定地理","")</f>
        <v/>
      </c>
      <c r="D466" s="14">
        <f>IF('02_固定地理'!A466&lt;&gt;"",'02_固定地理'!A466,"")</f>
        <v/>
      </c>
      <c r="E466" s="14">
        <f>IF(F466&lt;&gt;"","综合校验","")</f>
        <v/>
      </c>
      <c r="F466" s="14">
        <f>IF('02_固定地理'!A466&lt;&gt;"",IF('02_固定地理'!A466="","缺少对象ID；","")&amp;IF('02_固定地理'!B466="","缺少中文名称；","")&amp;IF('02_固定地理'!D466="","缺少对象类型；","")&amp;IF(AND('02_固定地理'!F466&lt;&gt;"",OR('02_固定地理'!F466&lt;0,'02_固定地理'!F466&gt;WorldWidth)),"世界中心X越界；","")&amp;IF(AND('02_固定地理'!G466&lt;&gt;"",OR('02_固定地理'!G466&lt;0,'02_固定地理'!G466&gt;WorldHeight)),"世界中心Y越界；","")&amp;IF(AND('02_固定地理'!H466&lt;&gt;"",'02_固定地理'!J466&lt;&gt;"",'02_固定地理'!H466&gt;'02_固定地理'!J466),"最小X大于最大X；","")&amp;IF(AND('02_固定地理'!I466&lt;&gt;"",'02_固定地理'!K466&lt;&gt;"",'02_固定地理'!I466&gt;'02_固定地理'!K466),"最小Y大于最大Y；","")&amp;IF(AND('02_固定地理'!E466&lt;&gt;"",COUNTIF('02_固定地理'!$A$2:$A$501,'02_固定地理'!E466)=0),"父级对象不存在；","")&amp;IF(AND('02_固定地理'!A466&lt;&gt;"",COUNTIF('02_固定地理'!$A$2:$A$501,'02_固定地理'!A466)&gt;1),"ID重复；",""),"")</f>
        <v/>
      </c>
      <c r="G466" s="14">
        <f>IF(F466&lt;&gt;"","按字段批注、数据字典和来源记录修正后复核","")</f>
        <v/>
      </c>
      <c r="H466" s="14">
        <f>IF(F466&lt;&gt;"","待处理","")</f>
        <v/>
      </c>
    </row>
    <row r="467">
      <c r="A467" s="14">
        <f>IF(F467&lt;&gt;"","ISSUE-"&amp;TEXT(ROW()-1,"00000"),"")</f>
        <v/>
      </c>
      <c r="B467" s="14">
        <f>IF(F467&lt;&gt;"","错误","")</f>
        <v/>
      </c>
      <c r="C467" s="14">
        <f>IF('02_固定地理'!A467&lt;&gt;"","02_固定地理","")</f>
        <v/>
      </c>
      <c r="D467" s="14">
        <f>IF('02_固定地理'!A467&lt;&gt;"",'02_固定地理'!A467,"")</f>
        <v/>
      </c>
      <c r="E467" s="14">
        <f>IF(F467&lt;&gt;"","综合校验","")</f>
        <v/>
      </c>
      <c r="F467" s="14">
        <f>IF('02_固定地理'!A467&lt;&gt;"",IF('02_固定地理'!A467="","缺少对象ID；","")&amp;IF('02_固定地理'!B467="","缺少中文名称；","")&amp;IF('02_固定地理'!D467="","缺少对象类型；","")&amp;IF(AND('02_固定地理'!F467&lt;&gt;"",OR('02_固定地理'!F467&lt;0,'02_固定地理'!F467&gt;WorldWidth)),"世界中心X越界；","")&amp;IF(AND('02_固定地理'!G467&lt;&gt;"",OR('02_固定地理'!G467&lt;0,'02_固定地理'!G467&gt;WorldHeight)),"世界中心Y越界；","")&amp;IF(AND('02_固定地理'!H467&lt;&gt;"",'02_固定地理'!J467&lt;&gt;"",'02_固定地理'!H467&gt;'02_固定地理'!J467),"最小X大于最大X；","")&amp;IF(AND('02_固定地理'!I467&lt;&gt;"",'02_固定地理'!K467&lt;&gt;"",'02_固定地理'!I467&gt;'02_固定地理'!K467),"最小Y大于最大Y；","")&amp;IF(AND('02_固定地理'!E467&lt;&gt;"",COUNTIF('02_固定地理'!$A$2:$A$501,'02_固定地理'!E467)=0),"父级对象不存在；","")&amp;IF(AND('02_固定地理'!A467&lt;&gt;"",COUNTIF('02_固定地理'!$A$2:$A$501,'02_固定地理'!A467)&gt;1),"ID重复；",""),"")</f>
        <v/>
      </c>
      <c r="G467" s="14">
        <f>IF(F467&lt;&gt;"","按字段批注、数据字典和来源记录修正后复核","")</f>
        <v/>
      </c>
      <c r="H467" s="14">
        <f>IF(F467&lt;&gt;"","待处理","")</f>
        <v/>
      </c>
    </row>
    <row r="468">
      <c r="A468" s="14">
        <f>IF(F468&lt;&gt;"","ISSUE-"&amp;TEXT(ROW()-1,"00000"),"")</f>
        <v/>
      </c>
      <c r="B468" s="14">
        <f>IF(F468&lt;&gt;"","错误","")</f>
        <v/>
      </c>
      <c r="C468" s="14">
        <f>IF('02_固定地理'!A468&lt;&gt;"","02_固定地理","")</f>
        <v/>
      </c>
      <c r="D468" s="14">
        <f>IF('02_固定地理'!A468&lt;&gt;"",'02_固定地理'!A468,"")</f>
        <v/>
      </c>
      <c r="E468" s="14">
        <f>IF(F468&lt;&gt;"","综合校验","")</f>
        <v/>
      </c>
      <c r="F468" s="14">
        <f>IF('02_固定地理'!A468&lt;&gt;"",IF('02_固定地理'!A468="","缺少对象ID；","")&amp;IF('02_固定地理'!B468="","缺少中文名称；","")&amp;IF('02_固定地理'!D468="","缺少对象类型；","")&amp;IF(AND('02_固定地理'!F468&lt;&gt;"",OR('02_固定地理'!F468&lt;0,'02_固定地理'!F468&gt;WorldWidth)),"世界中心X越界；","")&amp;IF(AND('02_固定地理'!G468&lt;&gt;"",OR('02_固定地理'!G468&lt;0,'02_固定地理'!G468&gt;WorldHeight)),"世界中心Y越界；","")&amp;IF(AND('02_固定地理'!H468&lt;&gt;"",'02_固定地理'!J468&lt;&gt;"",'02_固定地理'!H468&gt;'02_固定地理'!J468),"最小X大于最大X；","")&amp;IF(AND('02_固定地理'!I468&lt;&gt;"",'02_固定地理'!K468&lt;&gt;"",'02_固定地理'!I468&gt;'02_固定地理'!K468),"最小Y大于最大Y；","")&amp;IF(AND('02_固定地理'!E468&lt;&gt;"",COUNTIF('02_固定地理'!$A$2:$A$501,'02_固定地理'!E468)=0),"父级对象不存在；","")&amp;IF(AND('02_固定地理'!A468&lt;&gt;"",COUNTIF('02_固定地理'!$A$2:$A$501,'02_固定地理'!A468)&gt;1),"ID重复；",""),"")</f>
        <v/>
      </c>
      <c r="G468" s="14">
        <f>IF(F468&lt;&gt;"","按字段批注、数据字典和来源记录修正后复核","")</f>
        <v/>
      </c>
      <c r="H468" s="14">
        <f>IF(F468&lt;&gt;"","待处理","")</f>
        <v/>
      </c>
    </row>
    <row r="469">
      <c r="A469" s="14">
        <f>IF(F469&lt;&gt;"","ISSUE-"&amp;TEXT(ROW()-1,"00000"),"")</f>
        <v/>
      </c>
      <c r="B469" s="14">
        <f>IF(F469&lt;&gt;"","错误","")</f>
        <v/>
      </c>
      <c r="C469" s="14">
        <f>IF('02_固定地理'!A469&lt;&gt;"","02_固定地理","")</f>
        <v/>
      </c>
      <c r="D469" s="14">
        <f>IF('02_固定地理'!A469&lt;&gt;"",'02_固定地理'!A469,"")</f>
        <v/>
      </c>
      <c r="E469" s="14">
        <f>IF(F469&lt;&gt;"","综合校验","")</f>
        <v/>
      </c>
      <c r="F469" s="14">
        <f>IF('02_固定地理'!A469&lt;&gt;"",IF('02_固定地理'!A469="","缺少对象ID；","")&amp;IF('02_固定地理'!B469="","缺少中文名称；","")&amp;IF('02_固定地理'!D469="","缺少对象类型；","")&amp;IF(AND('02_固定地理'!F469&lt;&gt;"",OR('02_固定地理'!F469&lt;0,'02_固定地理'!F469&gt;WorldWidth)),"世界中心X越界；","")&amp;IF(AND('02_固定地理'!G469&lt;&gt;"",OR('02_固定地理'!G469&lt;0,'02_固定地理'!G469&gt;WorldHeight)),"世界中心Y越界；","")&amp;IF(AND('02_固定地理'!H469&lt;&gt;"",'02_固定地理'!J469&lt;&gt;"",'02_固定地理'!H469&gt;'02_固定地理'!J469),"最小X大于最大X；","")&amp;IF(AND('02_固定地理'!I469&lt;&gt;"",'02_固定地理'!K469&lt;&gt;"",'02_固定地理'!I469&gt;'02_固定地理'!K469),"最小Y大于最大Y；","")&amp;IF(AND('02_固定地理'!E469&lt;&gt;"",COUNTIF('02_固定地理'!$A$2:$A$501,'02_固定地理'!E469)=0),"父级对象不存在；","")&amp;IF(AND('02_固定地理'!A469&lt;&gt;"",COUNTIF('02_固定地理'!$A$2:$A$501,'02_固定地理'!A469)&gt;1),"ID重复；",""),"")</f>
        <v/>
      </c>
      <c r="G469" s="14">
        <f>IF(F469&lt;&gt;"","按字段批注、数据字典和来源记录修正后复核","")</f>
        <v/>
      </c>
      <c r="H469" s="14">
        <f>IF(F469&lt;&gt;"","待处理","")</f>
        <v/>
      </c>
    </row>
    <row r="470">
      <c r="A470" s="14">
        <f>IF(F470&lt;&gt;"","ISSUE-"&amp;TEXT(ROW()-1,"00000"),"")</f>
        <v/>
      </c>
      <c r="B470" s="14">
        <f>IF(F470&lt;&gt;"","错误","")</f>
        <v/>
      </c>
      <c r="C470" s="14">
        <f>IF('02_固定地理'!A470&lt;&gt;"","02_固定地理","")</f>
        <v/>
      </c>
      <c r="D470" s="14">
        <f>IF('02_固定地理'!A470&lt;&gt;"",'02_固定地理'!A470,"")</f>
        <v/>
      </c>
      <c r="E470" s="14">
        <f>IF(F470&lt;&gt;"","综合校验","")</f>
        <v/>
      </c>
      <c r="F470" s="14">
        <f>IF('02_固定地理'!A470&lt;&gt;"",IF('02_固定地理'!A470="","缺少对象ID；","")&amp;IF('02_固定地理'!B470="","缺少中文名称；","")&amp;IF('02_固定地理'!D470="","缺少对象类型；","")&amp;IF(AND('02_固定地理'!F470&lt;&gt;"",OR('02_固定地理'!F470&lt;0,'02_固定地理'!F470&gt;WorldWidth)),"世界中心X越界；","")&amp;IF(AND('02_固定地理'!G470&lt;&gt;"",OR('02_固定地理'!G470&lt;0,'02_固定地理'!G470&gt;WorldHeight)),"世界中心Y越界；","")&amp;IF(AND('02_固定地理'!H470&lt;&gt;"",'02_固定地理'!J470&lt;&gt;"",'02_固定地理'!H470&gt;'02_固定地理'!J470),"最小X大于最大X；","")&amp;IF(AND('02_固定地理'!I470&lt;&gt;"",'02_固定地理'!K470&lt;&gt;"",'02_固定地理'!I470&gt;'02_固定地理'!K470),"最小Y大于最大Y；","")&amp;IF(AND('02_固定地理'!E470&lt;&gt;"",COUNTIF('02_固定地理'!$A$2:$A$501,'02_固定地理'!E470)=0),"父级对象不存在；","")&amp;IF(AND('02_固定地理'!A470&lt;&gt;"",COUNTIF('02_固定地理'!$A$2:$A$501,'02_固定地理'!A470)&gt;1),"ID重复；",""),"")</f>
        <v/>
      </c>
      <c r="G470" s="14">
        <f>IF(F470&lt;&gt;"","按字段批注、数据字典和来源记录修正后复核","")</f>
        <v/>
      </c>
      <c r="H470" s="14">
        <f>IF(F470&lt;&gt;"","待处理","")</f>
        <v/>
      </c>
    </row>
    <row r="471">
      <c r="A471" s="14">
        <f>IF(F471&lt;&gt;"","ISSUE-"&amp;TEXT(ROW()-1,"00000"),"")</f>
        <v/>
      </c>
      <c r="B471" s="14">
        <f>IF(F471&lt;&gt;"","错误","")</f>
        <v/>
      </c>
      <c r="C471" s="14">
        <f>IF('02_固定地理'!A471&lt;&gt;"","02_固定地理","")</f>
        <v/>
      </c>
      <c r="D471" s="14">
        <f>IF('02_固定地理'!A471&lt;&gt;"",'02_固定地理'!A471,"")</f>
        <v/>
      </c>
      <c r="E471" s="14">
        <f>IF(F471&lt;&gt;"","综合校验","")</f>
        <v/>
      </c>
      <c r="F471" s="14">
        <f>IF('02_固定地理'!A471&lt;&gt;"",IF('02_固定地理'!A471="","缺少对象ID；","")&amp;IF('02_固定地理'!B471="","缺少中文名称；","")&amp;IF('02_固定地理'!D471="","缺少对象类型；","")&amp;IF(AND('02_固定地理'!F471&lt;&gt;"",OR('02_固定地理'!F471&lt;0,'02_固定地理'!F471&gt;WorldWidth)),"世界中心X越界；","")&amp;IF(AND('02_固定地理'!G471&lt;&gt;"",OR('02_固定地理'!G471&lt;0,'02_固定地理'!G471&gt;WorldHeight)),"世界中心Y越界；","")&amp;IF(AND('02_固定地理'!H471&lt;&gt;"",'02_固定地理'!J471&lt;&gt;"",'02_固定地理'!H471&gt;'02_固定地理'!J471),"最小X大于最大X；","")&amp;IF(AND('02_固定地理'!I471&lt;&gt;"",'02_固定地理'!K471&lt;&gt;"",'02_固定地理'!I471&gt;'02_固定地理'!K471),"最小Y大于最大Y；","")&amp;IF(AND('02_固定地理'!E471&lt;&gt;"",COUNTIF('02_固定地理'!$A$2:$A$501,'02_固定地理'!E471)=0),"父级对象不存在；","")&amp;IF(AND('02_固定地理'!A471&lt;&gt;"",COUNTIF('02_固定地理'!$A$2:$A$501,'02_固定地理'!A471)&gt;1),"ID重复；",""),"")</f>
        <v/>
      </c>
      <c r="G471" s="14">
        <f>IF(F471&lt;&gt;"","按字段批注、数据字典和来源记录修正后复核","")</f>
        <v/>
      </c>
      <c r="H471" s="14">
        <f>IF(F471&lt;&gt;"","待处理","")</f>
        <v/>
      </c>
    </row>
    <row r="472">
      <c r="A472" s="14">
        <f>IF(F472&lt;&gt;"","ISSUE-"&amp;TEXT(ROW()-1,"00000"),"")</f>
        <v/>
      </c>
      <c r="B472" s="14">
        <f>IF(F472&lt;&gt;"","错误","")</f>
        <v/>
      </c>
      <c r="C472" s="14">
        <f>IF('02_固定地理'!A472&lt;&gt;"","02_固定地理","")</f>
        <v/>
      </c>
      <c r="D472" s="14">
        <f>IF('02_固定地理'!A472&lt;&gt;"",'02_固定地理'!A472,"")</f>
        <v/>
      </c>
      <c r="E472" s="14">
        <f>IF(F472&lt;&gt;"","综合校验","")</f>
        <v/>
      </c>
      <c r="F472" s="14">
        <f>IF('02_固定地理'!A472&lt;&gt;"",IF('02_固定地理'!A472="","缺少对象ID；","")&amp;IF('02_固定地理'!B472="","缺少中文名称；","")&amp;IF('02_固定地理'!D472="","缺少对象类型；","")&amp;IF(AND('02_固定地理'!F472&lt;&gt;"",OR('02_固定地理'!F472&lt;0,'02_固定地理'!F472&gt;WorldWidth)),"世界中心X越界；","")&amp;IF(AND('02_固定地理'!G472&lt;&gt;"",OR('02_固定地理'!G472&lt;0,'02_固定地理'!G472&gt;WorldHeight)),"世界中心Y越界；","")&amp;IF(AND('02_固定地理'!H472&lt;&gt;"",'02_固定地理'!J472&lt;&gt;"",'02_固定地理'!H472&gt;'02_固定地理'!J472),"最小X大于最大X；","")&amp;IF(AND('02_固定地理'!I472&lt;&gt;"",'02_固定地理'!K472&lt;&gt;"",'02_固定地理'!I472&gt;'02_固定地理'!K472),"最小Y大于最大Y；","")&amp;IF(AND('02_固定地理'!E472&lt;&gt;"",COUNTIF('02_固定地理'!$A$2:$A$501,'02_固定地理'!E472)=0),"父级对象不存在；","")&amp;IF(AND('02_固定地理'!A472&lt;&gt;"",COUNTIF('02_固定地理'!$A$2:$A$501,'02_固定地理'!A472)&gt;1),"ID重复；",""),"")</f>
        <v/>
      </c>
      <c r="G472" s="14">
        <f>IF(F472&lt;&gt;"","按字段批注、数据字典和来源记录修正后复核","")</f>
        <v/>
      </c>
      <c r="H472" s="14">
        <f>IF(F472&lt;&gt;"","待处理","")</f>
        <v/>
      </c>
    </row>
    <row r="473">
      <c r="A473" s="14">
        <f>IF(F473&lt;&gt;"","ISSUE-"&amp;TEXT(ROW()-1,"00000"),"")</f>
        <v/>
      </c>
      <c r="B473" s="14">
        <f>IF(F473&lt;&gt;"","错误","")</f>
        <v/>
      </c>
      <c r="C473" s="14">
        <f>IF('02_固定地理'!A473&lt;&gt;"","02_固定地理","")</f>
        <v/>
      </c>
      <c r="D473" s="14">
        <f>IF('02_固定地理'!A473&lt;&gt;"",'02_固定地理'!A473,"")</f>
        <v/>
      </c>
      <c r="E473" s="14">
        <f>IF(F473&lt;&gt;"","综合校验","")</f>
        <v/>
      </c>
      <c r="F473" s="14">
        <f>IF('02_固定地理'!A473&lt;&gt;"",IF('02_固定地理'!A473="","缺少对象ID；","")&amp;IF('02_固定地理'!B473="","缺少中文名称；","")&amp;IF('02_固定地理'!D473="","缺少对象类型；","")&amp;IF(AND('02_固定地理'!F473&lt;&gt;"",OR('02_固定地理'!F473&lt;0,'02_固定地理'!F473&gt;WorldWidth)),"世界中心X越界；","")&amp;IF(AND('02_固定地理'!G473&lt;&gt;"",OR('02_固定地理'!G473&lt;0,'02_固定地理'!G473&gt;WorldHeight)),"世界中心Y越界；","")&amp;IF(AND('02_固定地理'!H473&lt;&gt;"",'02_固定地理'!J473&lt;&gt;"",'02_固定地理'!H473&gt;'02_固定地理'!J473),"最小X大于最大X；","")&amp;IF(AND('02_固定地理'!I473&lt;&gt;"",'02_固定地理'!K473&lt;&gt;"",'02_固定地理'!I473&gt;'02_固定地理'!K473),"最小Y大于最大Y；","")&amp;IF(AND('02_固定地理'!E473&lt;&gt;"",COUNTIF('02_固定地理'!$A$2:$A$501,'02_固定地理'!E473)=0),"父级对象不存在；","")&amp;IF(AND('02_固定地理'!A473&lt;&gt;"",COUNTIF('02_固定地理'!$A$2:$A$501,'02_固定地理'!A473)&gt;1),"ID重复；",""),"")</f>
        <v/>
      </c>
      <c r="G473" s="14">
        <f>IF(F473&lt;&gt;"","按字段批注、数据字典和来源记录修正后复核","")</f>
        <v/>
      </c>
      <c r="H473" s="14">
        <f>IF(F473&lt;&gt;"","待处理","")</f>
        <v/>
      </c>
    </row>
    <row r="474">
      <c r="A474" s="14">
        <f>IF(F474&lt;&gt;"","ISSUE-"&amp;TEXT(ROW()-1,"00000"),"")</f>
        <v/>
      </c>
      <c r="B474" s="14">
        <f>IF(F474&lt;&gt;"","错误","")</f>
        <v/>
      </c>
      <c r="C474" s="14">
        <f>IF('02_固定地理'!A474&lt;&gt;"","02_固定地理","")</f>
        <v/>
      </c>
      <c r="D474" s="14">
        <f>IF('02_固定地理'!A474&lt;&gt;"",'02_固定地理'!A474,"")</f>
        <v/>
      </c>
      <c r="E474" s="14">
        <f>IF(F474&lt;&gt;"","综合校验","")</f>
        <v/>
      </c>
      <c r="F474" s="14">
        <f>IF('02_固定地理'!A474&lt;&gt;"",IF('02_固定地理'!A474="","缺少对象ID；","")&amp;IF('02_固定地理'!B474="","缺少中文名称；","")&amp;IF('02_固定地理'!D474="","缺少对象类型；","")&amp;IF(AND('02_固定地理'!F474&lt;&gt;"",OR('02_固定地理'!F474&lt;0,'02_固定地理'!F474&gt;WorldWidth)),"世界中心X越界；","")&amp;IF(AND('02_固定地理'!G474&lt;&gt;"",OR('02_固定地理'!G474&lt;0,'02_固定地理'!G474&gt;WorldHeight)),"世界中心Y越界；","")&amp;IF(AND('02_固定地理'!H474&lt;&gt;"",'02_固定地理'!J474&lt;&gt;"",'02_固定地理'!H474&gt;'02_固定地理'!J474),"最小X大于最大X；","")&amp;IF(AND('02_固定地理'!I474&lt;&gt;"",'02_固定地理'!K474&lt;&gt;"",'02_固定地理'!I474&gt;'02_固定地理'!K474),"最小Y大于最大Y；","")&amp;IF(AND('02_固定地理'!E474&lt;&gt;"",COUNTIF('02_固定地理'!$A$2:$A$501,'02_固定地理'!E474)=0),"父级对象不存在；","")&amp;IF(AND('02_固定地理'!A474&lt;&gt;"",COUNTIF('02_固定地理'!$A$2:$A$501,'02_固定地理'!A474)&gt;1),"ID重复；",""),"")</f>
        <v/>
      </c>
      <c r="G474" s="14">
        <f>IF(F474&lt;&gt;"","按字段批注、数据字典和来源记录修正后复核","")</f>
        <v/>
      </c>
      <c r="H474" s="14">
        <f>IF(F474&lt;&gt;"","待处理","")</f>
        <v/>
      </c>
    </row>
    <row r="475">
      <c r="A475" s="14">
        <f>IF(F475&lt;&gt;"","ISSUE-"&amp;TEXT(ROW()-1,"00000"),"")</f>
        <v/>
      </c>
      <c r="B475" s="14">
        <f>IF(F475&lt;&gt;"","错误","")</f>
        <v/>
      </c>
      <c r="C475" s="14">
        <f>IF('02_固定地理'!A475&lt;&gt;"","02_固定地理","")</f>
        <v/>
      </c>
      <c r="D475" s="14">
        <f>IF('02_固定地理'!A475&lt;&gt;"",'02_固定地理'!A475,"")</f>
        <v/>
      </c>
      <c r="E475" s="14">
        <f>IF(F475&lt;&gt;"","综合校验","")</f>
        <v/>
      </c>
      <c r="F475" s="14">
        <f>IF('02_固定地理'!A475&lt;&gt;"",IF('02_固定地理'!A475="","缺少对象ID；","")&amp;IF('02_固定地理'!B475="","缺少中文名称；","")&amp;IF('02_固定地理'!D475="","缺少对象类型；","")&amp;IF(AND('02_固定地理'!F475&lt;&gt;"",OR('02_固定地理'!F475&lt;0,'02_固定地理'!F475&gt;WorldWidth)),"世界中心X越界；","")&amp;IF(AND('02_固定地理'!G475&lt;&gt;"",OR('02_固定地理'!G475&lt;0,'02_固定地理'!G475&gt;WorldHeight)),"世界中心Y越界；","")&amp;IF(AND('02_固定地理'!H475&lt;&gt;"",'02_固定地理'!J475&lt;&gt;"",'02_固定地理'!H475&gt;'02_固定地理'!J475),"最小X大于最大X；","")&amp;IF(AND('02_固定地理'!I475&lt;&gt;"",'02_固定地理'!K475&lt;&gt;"",'02_固定地理'!I475&gt;'02_固定地理'!K475),"最小Y大于最大Y；","")&amp;IF(AND('02_固定地理'!E475&lt;&gt;"",COUNTIF('02_固定地理'!$A$2:$A$501,'02_固定地理'!E475)=0),"父级对象不存在；","")&amp;IF(AND('02_固定地理'!A475&lt;&gt;"",COUNTIF('02_固定地理'!$A$2:$A$501,'02_固定地理'!A475)&gt;1),"ID重复；",""),"")</f>
        <v/>
      </c>
      <c r="G475" s="14">
        <f>IF(F475&lt;&gt;"","按字段批注、数据字典和来源记录修正后复核","")</f>
        <v/>
      </c>
      <c r="H475" s="14">
        <f>IF(F475&lt;&gt;"","待处理","")</f>
        <v/>
      </c>
    </row>
    <row r="476">
      <c r="A476" s="14">
        <f>IF(F476&lt;&gt;"","ISSUE-"&amp;TEXT(ROW()-1,"00000"),"")</f>
        <v/>
      </c>
      <c r="B476" s="14">
        <f>IF(F476&lt;&gt;"","错误","")</f>
        <v/>
      </c>
      <c r="C476" s="14">
        <f>IF('02_固定地理'!A476&lt;&gt;"","02_固定地理","")</f>
        <v/>
      </c>
      <c r="D476" s="14">
        <f>IF('02_固定地理'!A476&lt;&gt;"",'02_固定地理'!A476,"")</f>
        <v/>
      </c>
      <c r="E476" s="14">
        <f>IF(F476&lt;&gt;"","综合校验","")</f>
        <v/>
      </c>
      <c r="F476" s="14">
        <f>IF('02_固定地理'!A476&lt;&gt;"",IF('02_固定地理'!A476="","缺少对象ID；","")&amp;IF('02_固定地理'!B476="","缺少中文名称；","")&amp;IF('02_固定地理'!D476="","缺少对象类型；","")&amp;IF(AND('02_固定地理'!F476&lt;&gt;"",OR('02_固定地理'!F476&lt;0,'02_固定地理'!F476&gt;WorldWidth)),"世界中心X越界；","")&amp;IF(AND('02_固定地理'!G476&lt;&gt;"",OR('02_固定地理'!G476&lt;0,'02_固定地理'!G476&gt;WorldHeight)),"世界中心Y越界；","")&amp;IF(AND('02_固定地理'!H476&lt;&gt;"",'02_固定地理'!J476&lt;&gt;"",'02_固定地理'!H476&gt;'02_固定地理'!J476),"最小X大于最大X；","")&amp;IF(AND('02_固定地理'!I476&lt;&gt;"",'02_固定地理'!K476&lt;&gt;"",'02_固定地理'!I476&gt;'02_固定地理'!K476),"最小Y大于最大Y；","")&amp;IF(AND('02_固定地理'!E476&lt;&gt;"",COUNTIF('02_固定地理'!$A$2:$A$501,'02_固定地理'!E476)=0),"父级对象不存在；","")&amp;IF(AND('02_固定地理'!A476&lt;&gt;"",COUNTIF('02_固定地理'!$A$2:$A$501,'02_固定地理'!A476)&gt;1),"ID重复；",""),"")</f>
        <v/>
      </c>
      <c r="G476" s="14">
        <f>IF(F476&lt;&gt;"","按字段批注、数据字典和来源记录修正后复核","")</f>
        <v/>
      </c>
      <c r="H476" s="14">
        <f>IF(F476&lt;&gt;"","待处理","")</f>
        <v/>
      </c>
    </row>
    <row r="477">
      <c r="A477" s="14">
        <f>IF(F477&lt;&gt;"","ISSUE-"&amp;TEXT(ROW()-1,"00000"),"")</f>
        <v/>
      </c>
      <c r="B477" s="14">
        <f>IF(F477&lt;&gt;"","错误","")</f>
        <v/>
      </c>
      <c r="C477" s="14">
        <f>IF('02_固定地理'!A477&lt;&gt;"","02_固定地理","")</f>
        <v/>
      </c>
      <c r="D477" s="14">
        <f>IF('02_固定地理'!A477&lt;&gt;"",'02_固定地理'!A477,"")</f>
        <v/>
      </c>
      <c r="E477" s="14">
        <f>IF(F477&lt;&gt;"","综合校验","")</f>
        <v/>
      </c>
      <c r="F477" s="14">
        <f>IF('02_固定地理'!A477&lt;&gt;"",IF('02_固定地理'!A477="","缺少对象ID；","")&amp;IF('02_固定地理'!B477="","缺少中文名称；","")&amp;IF('02_固定地理'!D477="","缺少对象类型；","")&amp;IF(AND('02_固定地理'!F477&lt;&gt;"",OR('02_固定地理'!F477&lt;0,'02_固定地理'!F477&gt;WorldWidth)),"世界中心X越界；","")&amp;IF(AND('02_固定地理'!G477&lt;&gt;"",OR('02_固定地理'!G477&lt;0,'02_固定地理'!G477&gt;WorldHeight)),"世界中心Y越界；","")&amp;IF(AND('02_固定地理'!H477&lt;&gt;"",'02_固定地理'!J477&lt;&gt;"",'02_固定地理'!H477&gt;'02_固定地理'!J477),"最小X大于最大X；","")&amp;IF(AND('02_固定地理'!I477&lt;&gt;"",'02_固定地理'!K477&lt;&gt;"",'02_固定地理'!I477&gt;'02_固定地理'!K477),"最小Y大于最大Y；","")&amp;IF(AND('02_固定地理'!E477&lt;&gt;"",COUNTIF('02_固定地理'!$A$2:$A$501,'02_固定地理'!E477)=0),"父级对象不存在；","")&amp;IF(AND('02_固定地理'!A477&lt;&gt;"",COUNTIF('02_固定地理'!$A$2:$A$501,'02_固定地理'!A477)&gt;1),"ID重复；",""),"")</f>
        <v/>
      </c>
      <c r="G477" s="14">
        <f>IF(F477&lt;&gt;"","按字段批注、数据字典和来源记录修正后复核","")</f>
        <v/>
      </c>
      <c r="H477" s="14">
        <f>IF(F477&lt;&gt;"","待处理","")</f>
        <v/>
      </c>
    </row>
    <row r="478">
      <c r="A478" s="14">
        <f>IF(F478&lt;&gt;"","ISSUE-"&amp;TEXT(ROW()-1,"00000"),"")</f>
        <v/>
      </c>
      <c r="B478" s="14">
        <f>IF(F478&lt;&gt;"","错误","")</f>
        <v/>
      </c>
      <c r="C478" s="14">
        <f>IF('02_固定地理'!A478&lt;&gt;"","02_固定地理","")</f>
        <v/>
      </c>
      <c r="D478" s="14">
        <f>IF('02_固定地理'!A478&lt;&gt;"",'02_固定地理'!A478,"")</f>
        <v/>
      </c>
      <c r="E478" s="14">
        <f>IF(F478&lt;&gt;"","综合校验","")</f>
        <v/>
      </c>
      <c r="F478" s="14">
        <f>IF('02_固定地理'!A478&lt;&gt;"",IF('02_固定地理'!A478="","缺少对象ID；","")&amp;IF('02_固定地理'!B478="","缺少中文名称；","")&amp;IF('02_固定地理'!D478="","缺少对象类型；","")&amp;IF(AND('02_固定地理'!F478&lt;&gt;"",OR('02_固定地理'!F478&lt;0,'02_固定地理'!F478&gt;WorldWidth)),"世界中心X越界；","")&amp;IF(AND('02_固定地理'!G478&lt;&gt;"",OR('02_固定地理'!G478&lt;0,'02_固定地理'!G478&gt;WorldHeight)),"世界中心Y越界；","")&amp;IF(AND('02_固定地理'!H478&lt;&gt;"",'02_固定地理'!J478&lt;&gt;"",'02_固定地理'!H478&gt;'02_固定地理'!J478),"最小X大于最大X；","")&amp;IF(AND('02_固定地理'!I478&lt;&gt;"",'02_固定地理'!K478&lt;&gt;"",'02_固定地理'!I478&gt;'02_固定地理'!K478),"最小Y大于最大Y；","")&amp;IF(AND('02_固定地理'!E478&lt;&gt;"",COUNTIF('02_固定地理'!$A$2:$A$501,'02_固定地理'!E478)=0),"父级对象不存在；","")&amp;IF(AND('02_固定地理'!A478&lt;&gt;"",COUNTIF('02_固定地理'!$A$2:$A$501,'02_固定地理'!A478)&gt;1),"ID重复；",""),"")</f>
        <v/>
      </c>
      <c r="G478" s="14">
        <f>IF(F478&lt;&gt;"","按字段批注、数据字典和来源记录修正后复核","")</f>
        <v/>
      </c>
      <c r="H478" s="14">
        <f>IF(F478&lt;&gt;"","待处理","")</f>
        <v/>
      </c>
    </row>
    <row r="479">
      <c r="A479" s="14">
        <f>IF(F479&lt;&gt;"","ISSUE-"&amp;TEXT(ROW()-1,"00000"),"")</f>
        <v/>
      </c>
      <c r="B479" s="14">
        <f>IF(F479&lt;&gt;"","错误","")</f>
        <v/>
      </c>
      <c r="C479" s="14">
        <f>IF('02_固定地理'!A479&lt;&gt;"","02_固定地理","")</f>
        <v/>
      </c>
      <c r="D479" s="14">
        <f>IF('02_固定地理'!A479&lt;&gt;"",'02_固定地理'!A479,"")</f>
        <v/>
      </c>
      <c r="E479" s="14">
        <f>IF(F479&lt;&gt;"","综合校验","")</f>
        <v/>
      </c>
      <c r="F479" s="14">
        <f>IF('02_固定地理'!A479&lt;&gt;"",IF('02_固定地理'!A479="","缺少对象ID；","")&amp;IF('02_固定地理'!B479="","缺少中文名称；","")&amp;IF('02_固定地理'!D479="","缺少对象类型；","")&amp;IF(AND('02_固定地理'!F479&lt;&gt;"",OR('02_固定地理'!F479&lt;0,'02_固定地理'!F479&gt;WorldWidth)),"世界中心X越界；","")&amp;IF(AND('02_固定地理'!G479&lt;&gt;"",OR('02_固定地理'!G479&lt;0,'02_固定地理'!G479&gt;WorldHeight)),"世界中心Y越界；","")&amp;IF(AND('02_固定地理'!H479&lt;&gt;"",'02_固定地理'!J479&lt;&gt;"",'02_固定地理'!H479&gt;'02_固定地理'!J479),"最小X大于最大X；","")&amp;IF(AND('02_固定地理'!I479&lt;&gt;"",'02_固定地理'!K479&lt;&gt;"",'02_固定地理'!I479&gt;'02_固定地理'!K479),"最小Y大于最大Y；","")&amp;IF(AND('02_固定地理'!E479&lt;&gt;"",COUNTIF('02_固定地理'!$A$2:$A$501,'02_固定地理'!E479)=0),"父级对象不存在；","")&amp;IF(AND('02_固定地理'!A479&lt;&gt;"",COUNTIF('02_固定地理'!$A$2:$A$501,'02_固定地理'!A479)&gt;1),"ID重复；",""),"")</f>
        <v/>
      </c>
      <c r="G479" s="14">
        <f>IF(F479&lt;&gt;"","按字段批注、数据字典和来源记录修正后复核","")</f>
        <v/>
      </c>
      <c r="H479" s="14">
        <f>IF(F479&lt;&gt;"","待处理","")</f>
        <v/>
      </c>
    </row>
    <row r="480">
      <c r="A480" s="14">
        <f>IF(F480&lt;&gt;"","ISSUE-"&amp;TEXT(ROW()-1,"00000"),"")</f>
        <v/>
      </c>
      <c r="B480" s="14">
        <f>IF(F480&lt;&gt;"","错误","")</f>
        <v/>
      </c>
      <c r="C480" s="14">
        <f>IF('02_固定地理'!A480&lt;&gt;"","02_固定地理","")</f>
        <v/>
      </c>
      <c r="D480" s="14">
        <f>IF('02_固定地理'!A480&lt;&gt;"",'02_固定地理'!A480,"")</f>
        <v/>
      </c>
      <c r="E480" s="14">
        <f>IF(F480&lt;&gt;"","综合校验","")</f>
        <v/>
      </c>
      <c r="F480" s="14">
        <f>IF('02_固定地理'!A480&lt;&gt;"",IF('02_固定地理'!A480="","缺少对象ID；","")&amp;IF('02_固定地理'!B480="","缺少中文名称；","")&amp;IF('02_固定地理'!D480="","缺少对象类型；","")&amp;IF(AND('02_固定地理'!F480&lt;&gt;"",OR('02_固定地理'!F480&lt;0,'02_固定地理'!F480&gt;WorldWidth)),"世界中心X越界；","")&amp;IF(AND('02_固定地理'!G480&lt;&gt;"",OR('02_固定地理'!G480&lt;0,'02_固定地理'!G480&gt;WorldHeight)),"世界中心Y越界；","")&amp;IF(AND('02_固定地理'!H480&lt;&gt;"",'02_固定地理'!J480&lt;&gt;"",'02_固定地理'!H480&gt;'02_固定地理'!J480),"最小X大于最大X；","")&amp;IF(AND('02_固定地理'!I480&lt;&gt;"",'02_固定地理'!K480&lt;&gt;"",'02_固定地理'!I480&gt;'02_固定地理'!K480),"最小Y大于最大Y；","")&amp;IF(AND('02_固定地理'!E480&lt;&gt;"",COUNTIF('02_固定地理'!$A$2:$A$501,'02_固定地理'!E480)=0),"父级对象不存在；","")&amp;IF(AND('02_固定地理'!A480&lt;&gt;"",COUNTIF('02_固定地理'!$A$2:$A$501,'02_固定地理'!A480)&gt;1),"ID重复；",""),"")</f>
        <v/>
      </c>
      <c r="G480" s="14">
        <f>IF(F480&lt;&gt;"","按字段批注、数据字典和来源记录修正后复核","")</f>
        <v/>
      </c>
      <c r="H480" s="14">
        <f>IF(F480&lt;&gt;"","待处理","")</f>
        <v/>
      </c>
    </row>
    <row r="481">
      <c r="A481" s="14">
        <f>IF(F481&lt;&gt;"","ISSUE-"&amp;TEXT(ROW()-1,"00000"),"")</f>
        <v/>
      </c>
      <c r="B481" s="14">
        <f>IF(F481&lt;&gt;"","错误","")</f>
        <v/>
      </c>
      <c r="C481" s="14">
        <f>IF('02_固定地理'!A481&lt;&gt;"","02_固定地理","")</f>
        <v/>
      </c>
      <c r="D481" s="14">
        <f>IF('02_固定地理'!A481&lt;&gt;"",'02_固定地理'!A481,"")</f>
        <v/>
      </c>
      <c r="E481" s="14">
        <f>IF(F481&lt;&gt;"","综合校验","")</f>
        <v/>
      </c>
      <c r="F481" s="14">
        <f>IF('02_固定地理'!A481&lt;&gt;"",IF('02_固定地理'!A481="","缺少对象ID；","")&amp;IF('02_固定地理'!B481="","缺少中文名称；","")&amp;IF('02_固定地理'!D481="","缺少对象类型；","")&amp;IF(AND('02_固定地理'!F481&lt;&gt;"",OR('02_固定地理'!F481&lt;0,'02_固定地理'!F481&gt;WorldWidth)),"世界中心X越界；","")&amp;IF(AND('02_固定地理'!G481&lt;&gt;"",OR('02_固定地理'!G481&lt;0,'02_固定地理'!G481&gt;WorldHeight)),"世界中心Y越界；","")&amp;IF(AND('02_固定地理'!H481&lt;&gt;"",'02_固定地理'!J481&lt;&gt;"",'02_固定地理'!H481&gt;'02_固定地理'!J481),"最小X大于最大X；","")&amp;IF(AND('02_固定地理'!I481&lt;&gt;"",'02_固定地理'!K481&lt;&gt;"",'02_固定地理'!I481&gt;'02_固定地理'!K481),"最小Y大于最大Y；","")&amp;IF(AND('02_固定地理'!E481&lt;&gt;"",COUNTIF('02_固定地理'!$A$2:$A$501,'02_固定地理'!E481)=0),"父级对象不存在；","")&amp;IF(AND('02_固定地理'!A481&lt;&gt;"",COUNTIF('02_固定地理'!$A$2:$A$501,'02_固定地理'!A481)&gt;1),"ID重复；",""),"")</f>
        <v/>
      </c>
      <c r="G481" s="14">
        <f>IF(F481&lt;&gt;"","按字段批注、数据字典和来源记录修正后复核","")</f>
        <v/>
      </c>
      <c r="H481" s="14">
        <f>IF(F481&lt;&gt;"","待处理","")</f>
        <v/>
      </c>
    </row>
    <row r="482">
      <c r="A482" s="14">
        <f>IF(F482&lt;&gt;"","ISSUE-"&amp;TEXT(ROW()-1,"00000"),"")</f>
        <v/>
      </c>
      <c r="B482" s="14">
        <f>IF(F482&lt;&gt;"","错误","")</f>
        <v/>
      </c>
      <c r="C482" s="14">
        <f>IF('02_固定地理'!A482&lt;&gt;"","02_固定地理","")</f>
        <v/>
      </c>
      <c r="D482" s="14">
        <f>IF('02_固定地理'!A482&lt;&gt;"",'02_固定地理'!A482,"")</f>
        <v/>
      </c>
      <c r="E482" s="14">
        <f>IF(F482&lt;&gt;"","综合校验","")</f>
        <v/>
      </c>
      <c r="F482" s="14">
        <f>IF('02_固定地理'!A482&lt;&gt;"",IF('02_固定地理'!A482="","缺少对象ID；","")&amp;IF('02_固定地理'!B482="","缺少中文名称；","")&amp;IF('02_固定地理'!D482="","缺少对象类型；","")&amp;IF(AND('02_固定地理'!F482&lt;&gt;"",OR('02_固定地理'!F482&lt;0,'02_固定地理'!F482&gt;WorldWidth)),"世界中心X越界；","")&amp;IF(AND('02_固定地理'!G482&lt;&gt;"",OR('02_固定地理'!G482&lt;0,'02_固定地理'!G482&gt;WorldHeight)),"世界中心Y越界；","")&amp;IF(AND('02_固定地理'!H482&lt;&gt;"",'02_固定地理'!J482&lt;&gt;"",'02_固定地理'!H482&gt;'02_固定地理'!J482),"最小X大于最大X；","")&amp;IF(AND('02_固定地理'!I482&lt;&gt;"",'02_固定地理'!K482&lt;&gt;"",'02_固定地理'!I482&gt;'02_固定地理'!K482),"最小Y大于最大Y；","")&amp;IF(AND('02_固定地理'!E482&lt;&gt;"",COUNTIF('02_固定地理'!$A$2:$A$501,'02_固定地理'!E482)=0),"父级对象不存在；","")&amp;IF(AND('02_固定地理'!A482&lt;&gt;"",COUNTIF('02_固定地理'!$A$2:$A$501,'02_固定地理'!A482)&gt;1),"ID重复；",""),"")</f>
        <v/>
      </c>
      <c r="G482" s="14">
        <f>IF(F482&lt;&gt;"","按字段批注、数据字典和来源记录修正后复核","")</f>
        <v/>
      </c>
      <c r="H482" s="14">
        <f>IF(F482&lt;&gt;"","待处理","")</f>
        <v/>
      </c>
    </row>
    <row r="483">
      <c r="A483" s="14">
        <f>IF(F483&lt;&gt;"","ISSUE-"&amp;TEXT(ROW()-1,"00000"),"")</f>
        <v/>
      </c>
      <c r="B483" s="14">
        <f>IF(F483&lt;&gt;"","错误","")</f>
        <v/>
      </c>
      <c r="C483" s="14">
        <f>IF('02_固定地理'!A483&lt;&gt;"","02_固定地理","")</f>
        <v/>
      </c>
      <c r="D483" s="14">
        <f>IF('02_固定地理'!A483&lt;&gt;"",'02_固定地理'!A483,"")</f>
        <v/>
      </c>
      <c r="E483" s="14">
        <f>IF(F483&lt;&gt;"","综合校验","")</f>
        <v/>
      </c>
      <c r="F483" s="14">
        <f>IF('02_固定地理'!A483&lt;&gt;"",IF('02_固定地理'!A483="","缺少对象ID；","")&amp;IF('02_固定地理'!B483="","缺少中文名称；","")&amp;IF('02_固定地理'!D483="","缺少对象类型；","")&amp;IF(AND('02_固定地理'!F483&lt;&gt;"",OR('02_固定地理'!F483&lt;0,'02_固定地理'!F483&gt;WorldWidth)),"世界中心X越界；","")&amp;IF(AND('02_固定地理'!G483&lt;&gt;"",OR('02_固定地理'!G483&lt;0,'02_固定地理'!G483&gt;WorldHeight)),"世界中心Y越界；","")&amp;IF(AND('02_固定地理'!H483&lt;&gt;"",'02_固定地理'!J483&lt;&gt;"",'02_固定地理'!H483&gt;'02_固定地理'!J483),"最小X大于最大X；","")&amp;IF(AND('02_固定地理'!I483&lt;&gt;"",'02_固定地理'!K483&lt;&gt;"",'02_固定地理'!I483&gt;'02_固定地理'!K483),"最小Y大于最大Y；","")&amp;IF(AND('02_固定地理'!E483&lt;&gt;"",COUNTIF('02_固定地理'!$A$2:$A$501,'02_固定地理'!E483)=0),"父级对象不存在；","")&amp;IF(AND('02_固定地理'!A483&lt;&gt;"",COUNTIF('02_固定地理'!$A$2:$A$501,'02_固定地理'!A483)&gt;1),"ID重复；",""),"")</f>
        <v/>
      </c>
      <c r="G483" s="14">
        <f>IF(F483&lt;&gt;"","按字段批注、数据字典和来源记录修正后复核","")</f>
        <v/>
      </c>
      <c r="H483" s="14">
        <f>IF(F483&lt;&gt;"","待处理","")</f>
        <v/>
      </c>
    </row>
    <row r="484">
      <c r="A484" s="14">
        <f>IF(F484&lt;&gt;"","ISSUE-"&amp;TEXT(ROW()-1,"00000"),"")</f>
        <v/>
      </c>
      <c r="B484" s="14">
        <f>IF(F484&lt;&gt;"","错误","")</f>
        <v/>
      </c>
      <c r="C484" s="14">
        <f>IF('02_固定地理'!A484&lt;&gt;"","02_固定地理","")</f>
        <v/>
      </c>
      <c r="D484" s="14">
        <f>IF('02_固定地理'!A484&lt;&gt;"",'02_固定地理'!A484,"")</f>
        <v/>
      </c>
      <c r="E484" s="14">
        <f>IF(F484&lt;&gt;"","综合校验","")</f>
        <v/>
      </c>
      <c r="F484" s="14">
        <f>IF('02_固定地理'!A484&lt;&gt;"",IF('02_固定地理'!A484="","缺少对象ID；","")&amp;IF('02_固定地理'!B484="","缺少中文名称；","")&amp;IF('02_固定地理'!D484="","缺少对象类型；","")&amp;IF(AND('02_固定地理'!F484&lt;&gt;"",OR('02_固定地理'!F484&lt;0,'02_固定地理'!F484&gt;WorldWidth)),"世界中心X越界；","")&amp;IF(AND('02_固定地理'!G484&lt;&gt;"",OR('02_固定地理'!G484&lt;0,'02_固定地理'!G484&gt;WorldHeight)),"世界中心Y越界；","")&amp;IF(AND('02_固定地理'!H484&lt;&gt;"",'02_固定地理'!J484&lt;&gt;"",'02_固定地理'!H484&gt;'02_固定地理'!J484),"最小X大于最大X；","")&amp;IF(AND('02_固定地理'!I484&lt;&gt;"",'02_固定地理'!K484&lt;&gt;"",'02_固定地理'!I484&gt;'02_固定地理'!K484),"最小Y大于最大Y；","")&amp;IF(AND('02_固定地理'!E484&lt;&gt;"",COUNTIF('02_固定地理'!$A$2:$A$501,'02_固定地理'!E484)=0),"父级对象不存在；","")&amp;IF(AND('02_固定地理'!A484&lt;&gt;"",COUNTIF('02_固定地理'!$A$2:$A$501,'02_固定地理'!A484)&gt;1),"ID重复；",""),"")</f>
        <v/>
      </c>
      <c r="G484" s="14">
        <f>IF(F484&lt;&gt;"","按字段批注、数据字典和来源记录修正后复核","")</f>
        <v/>
      </c>
      <c r="H484" s="14">
        <f>IF(F484&lt;&gt;"","待处理","")</f>
        <v/>
      </c>
    </row>
    <row r="485">
      <c r="A485" s="14">
        <f>IF(F485&lt;&gt;"","ISSUE-"&amp;TEXT(ROW()-1,"00000"),"")</f>
        <v/>
      </c>
      <c r="B485" s="14">
        <f>IF(F485&lt;&gt;"","错误","")</f>
        <v/>
      </c>
      <c r="C485" s="14">
        <f>IF('02_固定地理'!A485&lt;&gt;"","02_固定地理","")</f>
        <v/>
      </c>
      <c r="D485" s="14">
        <f>IF('02_固定地理'!A485&lt;&gt;"",'02_固定地理'!A485,"")</f>
        <v/>
      </c>
      <c r="E485" s="14">
        <f>IF(F485&lt;&gt;"","综合校验","")</f>
        <v/>
      </c>
      <c r="F485" s="14">
        <f>IF('02_固定地理'!A485&lt;&gt;"",IF('02_固定地理'!A485="","缺少对象ID；","")&amp;IF('02_固定地理'!B485="","缺少中文名称；","")&amp;IF('02_固定地理'!D485="","缺少对象类型；","")&amp;IF(AND('02_固定地理'!F485&lt;&gt;"",OR('02_固定地理'!F485&lt;0,'02_固定地理'!F485&gt;WorldWidth)),"世界中心X越界；","")&amp;IF(AND('02_固定地理'!G485&lt;&gt;"",OR('02_固定地理'!G485&lt;0,'02_固定地理'!G485&gt;WorldHeight)),"世界中心Y越界；","")&amp;IF(AND('02_固定地理'!H485&lt;&gt;"",'02_固定地理'!J485&lt;&gt;"",'02_固定地理'!H485&gt;'02_固定地理'!J485),"最小X大于最大X；","")&amp;IF(AND('02_固定地理'!I485&lt;&gt;"",'02_固定地理'!K485&lt;&gt;"",'02_固定地理'!I485&gt;'02_固定地理'!K485),"最小Y大于最大Y；","")&amp;IF(AND('02_固定地理'!E485&lt;&gt;"",COUNTIF('02_固定地理'!$A$2:$A$501,'02_固定地理'!E485)=0),"父级对象不存在；","")&amp;IF(AND('02_固定地理'!A485&lt;&gt;"",COUNTIF('02_固定地理'!$A$2:$A$501,'02_固定地理'!A485)&gt;1),"ID重复；",""),"")</f>
        <v/>
      </c>
      <c r="G485" s="14">
        <f>IF(F485&lt;&gt;"","按字段批注、数据字典和来源记录修正后复核","")</f>
        <v/>
      </c>
      <c r="H485" s="14">
        <f>IF(F485&lt;&gt;"","待处理","")</f>
        <v/>
      </c>
    </row>
    <row r="486">
      <c r="A486" s="14">
        <f>IF(F486&lt;&gt;"","ISSUE-"&amp;TEXT(ROW()-1,"00000"),"")</f>
        <v/>
      </c>
      <c r="B486" s="14">
        <f>IF(F486&lt;&gt;"","错误","")</f>
        <v/>
      </c>
      <c r="C486" s="14">
        <f>IF('02_固定地理'!A486&lt;&gt;"","02_固定地理","")</f>
        <v/>
      </c>
      <c r="D486" s="14">
        <f>IF('02_固定地理'!A486&lt;&gt;"",'02_固定地理'!A486,"")</f>
        <v/>
      </c>
      <c r="E486" s="14">
        <f>IF(F486&lt;&gt;"","综合校验","")</f>
        <v/>
      </c>
      <c r="F486" s="14">
        <f>IF('02_固定地理'!A486&lt;&gt;"",IF('02_固定地理'!A486="","缺少对象ID；","")&amp;IF('02_固定地理'!B486="","缺少中文名称；","")&amp;IF('02_固定地理'!D486="","缺少对象类型；","")&amp;IF(AND('02_固定地理'!F486&lt;&gt;"",OR('02_固定地理'!F486&lt;0,'02_固定地理'!F486&gt;WorldWidth)),"世界中心X越界；","")&amp;IF(AND('02_固定地理'!G486&lt;&gt;"",OR('02_固定地理'!G486&lt;0,'02_固定地理'!G486&gt;WorldHeight)),"世界中心Y越界；","")&amp;IF(AND('02_固定地理'!H486&lt;&gt;"",'02_固定地理'!J486&lt;&gt;"",'02_固定地理'!H486&gt;'02_固定地理'!J486),"最小X大于最大X；","")&amp;IF(AND('02_固定地理'!I486&lt;&gt;"",'02_固定地理'!K486&lt;&gt;"",'02_固定地理'!I486&gt;'02_固定地理'!K486),"最小Y大于最大Y；","")&amp;IF(AND('02_固定地理'!E486&lt;&gt;"",COUNTIF('02_固定地理'!$A$2:$A$501,'02_固定地理'!E486)=0),"父级对象不存在；","")&amp;IF(AND('02_固定地理'!A486&lt;&gt;"",COUNTIF('02_固定地理'!$A$2:$A$501,'02_固定地理'!A486)&gt;1),"ID重复；",""),"")</f>
        <v/>
      </c>
      <c r="G486" s="14">
        <f>IF(F486&lt;&gt;"","按字段批注、数据字典和来源记录修正后复核","")</f>
        <v/>
      </c>
      <c r="H486" s="14">
        <f>IF(F486&lt;&gt;"","待处理","")</f>
        <v/>
      </c>
    </row>
    <row r="487">
      <c r="A487" s="14">
        <f>IF(F487&lt;&gt;"","ISSUE-"&amp;TEXT(ROW()-1,"00000"),"")</f>
        <v/>
      </c>
      <c r="B487" s="14">
        <f>IF(F487&lt;&gt;"","错误","")</f>
        <v/>
      </c>
      <c r="C487" s="14">
        <f>IF('02_固定地理'!A487&lt;&gt;"","02_固定地理","")</f>
        <v/>
      </c>
      <c r="D487" s="14">
        <f>IF('02_固定地理'!A487&lt;&gt;"",'02_固定地理'!A487,"")</f>
        <v/>
      </c>
      <c r="E487" s="14">
        <f>IF(F487&lt;&gt;"","综合校验","")</f>
        <v/>
      </c>
      <c r="F487" s="14">
        <f>IF('02_固定地理'!A487&lt;&gt;"",IF('02_固定地理'!A487="","缺少对象ID；","")&amp;IF('02_固定地理'!B487="","缺少中文名称；","")&amp;IF('02_固定地理'!D487="","缺少对象类型；","")&amp;IF(AND('02_固定地理'!F487&lt;&gt;"",OR('02_固定地理'!F487&lt;0,'02_固定地理'!F487&gt;WorldWidth)),"世界中心X越界；","")&amp;IF(AND('02_固定地理'!G487&lt;&gt;"",OR('02_固定地理'!G487&lt;0,'02_固定地理'!G487&gt;WorldHeight)),"世界中心Y越界；","")&amp;IF(AND('02_固定地理'!H487&lt;&gt;"",'02_固定地理'!J487&lt;&gt;"",'02_固定地理'!H487&gt;'02_固定地理'!J487),"最小X大于最大X；","")&amp;IF(AND('02_固定地理'!I487&lt;&gt;"",'02_固定地理'!K487&lt;&gt;"",'02_固定地理'!I487&gt;'02_固定地理'!K487),"最小Y大于最大Y；","")&amp;IF(AND('02_固定地理'!E487&lt;&gt;"",COUNTIF('02_固定地理'!$A$2:$A$501,'02_固定地理'!E487)=0),"父级对象不存在；","")&amp;IF(AND('02_固定地理'!A487&lt;&gt;"",COUNTIF('02_固定地理'!$A$2:$A$501,'02_固定地理'!A487)&gt;1),"ID重复；",""),"")</f>
        <v/>
      </c>
      <c r="G487" s="14">
        <f>IF(F487&lt;&gt;"","按字段批注、数据字典和来源记录修正后复核","")</f>
        <v/>
      </c>
      <c r="H487" s="14">
        <f>IF(F487&lt;&gt;"","待处理","")</f>
        <v/>
      </c>
    </row>
    <row r="488">
      <c r="A488" s="14">
        <f>IF(F488&lt;&gt;"","ISSUE-"&amp;TEXT(ROW()-1,"00000"),"")</f>
        <v/>
      </c>
      <c r="B488" s="14">
        <f>IF(F488&lt;&gt;"","错误","")</f>
        <v/>
      </c>
      <c r="C488" s="14">
        <f>IF('02_固定地理'!A488&lt;&gt;"","02_固定地理","")</f>
        <v/>
      </c>
      <c r="D488" s="14">
        <f>IF('02_固定地理'!A488&lt;&gt;"",'02_固定地理'!A488,"")</f>
        <v/>
      </c>
      <c r="E488" s="14">
        <f>IF(F488&lt;&gt;"","综合校验","")</f>
        <v/>
      </c>
      <c r="F488" s="14">
        <f>IF('02_固定地理'!A488&lt;&gt;"",IF('02_固定地理'!A488="","缺少对象ID；","")&amp;IF('02_固定地理'!B488="","缺少中文名称；","")&amp;IF('02_固定地理'!D488="","缺少对象类型；","")&amp;IF(AND('02_固定地理'!F488&lt;&gt;"",OR('02_固定地理'!F488&lt;0,'02_固定地理'!F488&gt;WorldWidth)),"世界中心X越界；","")&amp;IF(AND('02_固定地理'!G488&lt;&gt;"",OR('02_固定地理'!G488&lt;0,'02_固定地理'!G488&gt;WorldHeight)),"世界中心Y越界；","")&amp;IF(AND('02_固定地理'!H488&lt;&gt;"",'02_固定地理'!J488&lt;&gt;"",'02_固定地理'!H488&gt;'02_固定地理'!J488),"最小X大于最大X；","")&amp;IF(AND('02_固定地理'!I488&lt;&gt;"",'02_固定地理'!K488&lt;&gt;"",'02_固定地理'!I488&gt;'02_固定地理'!K488),"最小Y大于最大Y；","")&amp;IF(AND('02_固定地理'!E488&lt;&gt;"",COUNTIF('02_固定地理'!$A$2:$A$501,'02_固定地理'!E488)=0),"父级对象不存在；","")&amp;IF(AND('02_固定地理'!A488&lt;&gt;"",COUNTIF('02_固定地理'!$A$2:$A$501,'02_固定地理'!A488)&gt;1),"ID重复；",""),"")</f>
        <v/>
      </c>
      <c r="G488" s="14">
        <f>IF(F488&lt;&gt;"","按字段批注、数据字典和来源记录修正后复核","")</f>
        <v/>
      </c>
      <c r="H488" s="14">
        <f>IF(F488&lt;&gt;"","待处理","")</f>
        <v/>
      </c>
    </row>
    <row r="489">
      <c r="A489" s="14">
        <f>IF(F489&lt;&gt;"","ISSUE-"&amp;TEXT(ROW()-1,"00000"),"")</f>
        <v/>
      </c>
      <c r="B489" s="14">
        <f>IF(F489&lt;&gt;"","错误","")</f>
        <v/>
      </c>
      <c r="C489" s="14">
        <f>IF('02_固定地理'!A489&lt;&gt;"","02_固定地理","")</f>
        <v/>
      </c>
      <c r="D489" s="14">
        <f>IF('02_固定地理'!A489&lt;&gt;"",'02_固定地理'!A489,"")</f>
        <v/>
      </c>
      <c r="E489" s="14">
        <f>IF(F489&lt;&gt;"","综合校验","")</f>
        <v/>
      </c>
      <c r="F489" s="14">
        <f>IF('02_固定地理'!A489&lt;&gt;"",IF('02_固定地理'!A489="","缺少对象ID；","")&amp;IF('02_固定地理'!B489="","缺少中文名称；","")&amp;IF('02_固定地理'!D489="","缺少对象类型；","")&amp;IF(AND('02_固定地理'!F489&lt;&gt;"",OR('02_固定地理'!F489&lt;0,'02_固定地理'!F489&gt;WorldWidth)),"世界中心X越界；","")&amp;IF(AND('02_固定地理'!G489&lt;&gt;"",OR('02_固定地理'!G489&lt;0,'02_固定地理'!G489&gt;WorldHeight)),"世界中心Y越界；","")&amp;IF(AND('02_固定地理'!H489&lt;&gt;"",'02_固定地理'!J489&lt;&gt;"",'02_固定地理'!H489&gt;'02_固定地理'!J489),"最小X大于最大X；","")&amp;IF(AND('02_固定地理'!I489&lt;&gt;"",'02_固定地理'!K489&lt;&gt;"",'02_固定地理'!I489&gt;'02_固定地理'!K489),"最小Y大于最大Y；","")&amp;IF(AND('02_固定地理'!E489&lt;&gt;"",COUNTIF('02_固定地理'!$A$2:$A$501,'02_固定地理'!E489)=0),"父级对象不存在；","")&amp;IF(AND('02_固定地理'!A489&lt;&gt;"",COUNTIF('02_固定地理'!$A$2:$A$501,'02_固定地理'!A489)&gt;1),"ID重复；",""),"")</f>
        <v/>
      </c>
      <c r="G489" s="14">
        <f>IF(F489&lt;&gt;"","按字段批注、数据字典和来源记录修正后复核","")</f>
        <v/>
      </c>
      <c r="H489" s="14">
        <f>IF(F489&lt;&gt;"","待处理","")</f>
        <v/>
      </c>
    </row>
    <row r="490">
      <c r="A490" s="14">
        <f>IF(F490&lt;&gt;"","ISSUE-"&amp;TEXT(ROW()-1,"00000"),"")</f>
        <v/>
      </c>
      <c r="B490" s="14">
        <f>IF(F490&lt;&gt;"","错误","")</f>
        <v/>
      </c>
      <c r="C490" s="14">
        <f>IF('02_固定地理'!A490&lt;&gt;"","02_固定地理","")</f>
        <v/>
      </c>
      <c r="D490" s="14">
        <f>IF('02_固定地理'!A490&lt;&gt;"",'02_固定地理'!A490,"")</f>
        <v/>
      </c>
      <c r="E490" s="14">
        <f>IF(F490&lt;&gt;"","综合校验","")</f>
        <v/>
      </c>
      <c r="F490" s="14">
        <f>IF('02_固定地理'!A490&lt;&gt;"",IF('02_固定地理'!A490="","缺少对象ID；","")&amp;IF('02_固定地理'!B490="","缺少中文名称；","")&amp;IF('02_固定地理'!D490="","缺少对象类型；","")&amp;IF(AND('02_固定地理'!F490&lt;&gt;"",OR('02_固定地理'!F490&lt;0,'02_固定地理'!F490&gt;WorldWidth)),"世界中心X越界；","")&amp;IF(AND('02_固定地理'!G490&lt;&gt;"",OR('02_固定地理'!G490&lt;0,'02_固定地理'!G490&gt;WorldHeight)),"世界中心Y越界；","")&amp;IF(AND('02_固定地理'!H490&lt;&gt;"",'02_固定地理'!J490&lt;&gt;"",'02_固定地理'!H490&gt;'02_固定地理'!J490),"最小X大于最大X；","")&amp;IF(AND('02_固定地理'!I490&lt;&gt;"",'02_固定地理'!K490&lt;&gt;"",'02_固定地理'!I490&gt;'02_固定地理'!K490),"最小Y大于最大Y；","")&amp;IF(AND('02_固定地理'!E490&lt;&gt;"",COUNTIF('02_固定地理'!$A$2:$A$501,'02_固定地理'!E490)=0),"父级对象不存在；","")&amp;IF(AND('02_固定地理'!A490&lt;&gt;"",COUNTIF('02_固定地理'!$A$2:$A$501,'02_固定地理'!A490)&gt;1),"ID重复；",""),"")</f>
        <v/>
      </c>
      <c r="G490" s="14">
        <f>IF(F490&lt;&gt;"","按字段批注、数据字典和来源记录修正后复核","")</f>
        <v/>
      </c>
      <c r="H490" s="14">
        <f>IF(F490&lt;&gt;"","待处理","")</f>
        <v/>
      </c>
    </row>
    <row r="491">
      <c r="A491" s="14">
        <f>IF(F491&lt;&gt;"","ISSUE-"&amp;TEXT(ROW()-1,"00000"),"")</f>
        <v/>
      </c>
      <c r="B491" s="14">
        <f>IF(F491&lt;&gt;"","错误","")</f>
        <v/>
      </c>
      <c r="C491" s="14">
        <f>IF('02_固定地理'!A491&lt;&gt;"","02_固定地理","")</f>
        <v/>
      </c>
      <c r="D491" s="14">
        <f>IF('02_固定地理'!A491&lt;&gt;"",'02_固定地理'!A491,"")</f>
        <v/>
      </c>
      <c r="E491" s="14">
        <f>IF(F491&lt;&gt;"","综合校验","")</f>
        <v/>
      </c>
      <c r="F491" s="14">
        <f>IF('02_固定地理'!A491&lt;&gt;"",IF('02_固定地理'!A491="","缺少对象ID；","")&amp;IF('02_固定地理'!B491="","缺少中文名称；","")&amp;IF('02_固定地理'!D491="","缺少对象类型；","")&amp;IF(AND('02_固定地理'!F491&lt;&gt;"",OR('02_固定地理'!F491&lt;0,'02_固定地理'!F491&gt;WorldWidth)),"世界中心X越界；","")&amp;IF(AND('02_固定地理'!G491&lt;&gt;"",OR('02_固定地理'!G491&lt;0,'02_固定地理'!G491&gt;WorldHeight)),"世界中心Y越界；","")&amp;IF(AND('02_固定地理'!H491&lt;&gt;"",'02_固定地理'!J491&lt;&gt;"",'02_固定地理'!H491&gt;'02_固定地理'!J491),"最小X大于最大X；","")&amp;IF(AND('02_固定地理'!I491&lt;&gt;"",'02_固定地理'!K491&lt;&gt;"",'02_固定地理'!I491&gt;'02_固定地理'!K491),"最小Y大于最大Y；","")&amp;IF(AND('02_固定地理'!E491&lt;&gt;"",COUNTIF('02_固定地理'!$A$2:$A$501,'02_固定地理'!E491)=0),"父级对象不存在；","")&amp;IF(AND('02_固定地理'!A491&lt;&gt;"",COUNTIF('02_固定地理'!$A$2:$A$501,'02_固定地理'!A491)&gt;1),"ID重复；",""),"")</f>
        <v/>
      </c>
      <c r="G491" s="14">
        <f>IF(F491&lt;&gt;"","按字段批注、数据字典和来源记录修正后复核","")</f>
        <v/>
      </c>
      <c r="H491" s="14">
        <f>IF(F491&lt;&gt;"","待处理","")</f>
        <v/>
      </c>
    </row>
    <row r="492">
      <c r="A492" s="14">
        <f>IF(F492&lt;&gt;"","ISSUE-"&amp;TEXT(ROW()-1,"00000"),"")</f>
        <v/>
      </c>
      <c r="B492" s="14">
        <f>IF(F492&lt;&gt;"","错误","")</f>
        <v/>
      </c>
      <c r="C492" s="14">
        <f>IF('02_固定地理'!A492&lt;&gt;"","02_固定地理","")</f>
        <v/>
      </c>
      <c r="D492" s="14">
        <f>IF('02_固定地理'!A492&lt;&gt;"",'02_固定地理'!A492,"")</f>
        <v/>
      </c>
      <c r="E492" s="14">
        <f>IF(F492&lt;&gt;"","综合校验","")</f>
        <v/>
      </c>
      <c r="F492" s="14">
        <f>IF('02_固定地理'!A492&lt;&gt;"",IF('02_固定地理'!A492="","缺少对象ID；","")&amp;IF('02_固定地理'!B492="","缺少中文名称；","")&amp;IF('02_固定地理'!D492="","缺少对象类型；","")&amp;IF(AND('02_固定地理'!F492&lt;&gt;"",OR('02_固定地理'!F492&lt;0,'02_固定地理'!F492&gt;WorldWidth)),"世界中心X越界；","")&amp;IF(AND('02_固定地理'!G492&lt;&gt;"",OR('02_固定地理'!G492&lt;0,'02_固定地理'!G492&gt;WorldHeight)),"世界中心Y越界；","")&amp;IF(AND('02_固定地理'!H492&lt;&gt;"",'02_固定地理'!J492&lt;&gt;"",'02_固定地理'!H492&gt;'02_固定地理'!J492),"最小X大于最大X；","")&amp;IF(AND('02_固定地理'!I492&lt;&gt;"",'02_固定地理'!K492&lt;&gt;"",'02_固定地理'!I492&gt;'02_固定地理'!K492),"最小Y大于最大Y；","")&amp;IF(AND('02_固定地理'!E492&lt;&gt;"",COUNTIF('02_固定地理'!$A$2:$A$501,'02_固定地理'!E492)=0),"父级对象不存在；","")&amp;IF(AND('02_固定地理'!A492&lt;&gt;"",COUNTIF('02_固定地理'!$A$2:$A$501,'02_固定地理'!A492)&gt;1),"ID重复；",""),"")</f>
        <v/>
      </c>
      <c r="G492" s="14">
        <f>IF(F492&lt;&gt;"","按字段批注、数据字典和来源记录修正后复核","")</f>
        <v/>
      </c>
      <c r="H492" s="14">
        <f>IF(F492&lt;&gt;"","待处理","")</f>
        <v/>
      </c>
    </row>
    <row r="493">
      <c r="A493" s="14">
        <f>IF(F493&lt;&gt;"","ISSUE-"&amp;TEXT(ROW()-1,"00000"),"")</f>
        <v/>
      </c>
      <c r="B493" s="14">
        <f>IF(F493&lt;&gt;"","错误","")</f>
        <v/>
      </c>
      <c r="C493" s="14">
        <f>IF('02_固定地理'!A493&lt;&gt;"","02_固定地理","")</f>
        <v/>
      </c>
      <c r="D493" s="14">
        <f>IF('02_固定地理'!A493&lt;&gt;"",'02_固定地理'!A493,"")</f>
        <v/>
      </c>
      <c r="E493" s="14">
        <f>IF(F493&lt;&gt;"","综合校验","")</f>
        <v/>
      </c>
      <c r="F493" s="14">
        <f>IF('02_固定地理'!A493&lt;&gt;"",IF('02_固定地理'!A493="","缺少对象ID；","")&amp;IF('02_固定地理'!B493="","缺少中文名称；","")&amp;IF('02_固定地理'!D493="","缺少对象类型；","")&amp;IF(AND('02_固定地理'!F493&lt;&gt;"",OR('02_固定地理'!F493&lt;0,'02_固定地理'!F493&gt;WorldWidth)),"世界中心X越界；","")&amp;IF(AND('02_固定地理'!G493&lt;&gt;"",OR('02_固定地理'!G493&lt;0,'02_固定地理'!G493&gt;WorldHeight)),"世界中心Y越界；","")&amp;IF(AND('02_固定地理'!H493&lt;&gt;"",'02_固定地理'!J493&lt;&gt;"",'02_固定地理'!H493&gt;'02_固定地理'!J493),"最小X大于最大X；","")&amp;IF(AND('02_固定地理'!I493&lt;&gt;"",'02_固定地理'!K493&lt;&gt;"",'02_固定地理'!I493&gt;'02_固定地理'!K493),"最小Y大于最大Y；","")&amp;IF(AND('02_固定地理'!E493&lt;&gt;"",COUNTIF('02_固定地理'!$A$2:$A$501,'02_固定地理'!E493)=0),"父级对象不存在；","")&amp;IF(AND('02_固定地理'!A493&lt;&gt;"",COUNTIF('02_固定地理'!$A$2:$A$501,'02_固定地理'!A493)&gt;1),"ID重复；",""),"")</f>
        <v/>
      </c>
      <c r="G493" s="14">
        <f>IF(F493&lt;&gt;"","按字段批注、数据字典和来源记录修正后复核","")</f>
        <v/>
      </c>
      <c r="H493" s="14">
        <f>IF(F493&lt;&gt;"","待处理","")</f>
        <v/>
      </c>
    </row>
    <row r="494">
      <c r="A494" s="14">
        <f>IF(F494&lt;&gt;"","ISSUE-"&amp;TEXT(ROW()-1,"00000"),"")</f>
        <v/>
      </c>
      <c r="B494" s="14">
        <f>IF(F494&lt;&gt;"","错误","")</f>
        <v/>
      </c>
      <c r="C494" s="14">
        <f>IF('02_固定地理'!A494&lt;&gt;"","02_固定地理","")</f>
        <v/>
      </c>
      <c r="D494" s="14">
        <f>IF('02_固定地理'!A494&lt;&gt;"",'02_固定地理'!A494,"")</f>
        <v/>
      </c>
      <c r="E494" s="14">
        <f>IF(F494&lt;&gt;"","综合校验","")</f>
        <v/>
      </c>
      <c r="F494" s="14">
        <f>IF('02_固定地理'!A494&lt;&gt;"",IF('02_固定地理'!A494="","缺少对象ID；","")&amp;IF('02_固定地理'!B494="","缺少中文名称；","")&amp;IF('02_固定地理'!D494="","缺少对象类型；","")&amp;IF(AND('02_固定地理'!F494&lt;&gt;"",OR('02_固定地理'!F494&lt;0,'02_固定地理'!F494&gt;WorldWidth)),"世界中心X越界；","")&amp;IF(AND('02_固定地理'!G494&lt;&gt;"",OR('02_固定地理'!G494&lt;0,'02_固定地理'!G494&gt;WorldHeight)),"世界中心Y越界；","")&amp;IF(AND('02_固定地理'!H494&lt;&gt;"",'02_固定地理'!J494&lt;&gt;"",'02_固定地理'!H494&gt;'02_固定地理'!J494),"最小X大于最大X；","")&amp;IF(AND('02_固定地理'!I494&lt;&gt;"",'02_固定地理'!K494&lt;&gt;"",'02_固定地理'!I494&gt;'02_固定地理'!K494),"最小Y大于最大Y；","")&amp;IF(AND('02_固定地理'!E494&lt;&gt;"",COUNTIF('02_固定地理'!$A$2:$A$501,'02_固定地理'!E494)=0),"父级对象不存在；","")&amp;IF(AND('02_固定地理'!A494&lt;&gt;"",COUNTIF('02_固定地理'!$A$2:$A$501,'02_固定地理'!A494)&gt;1),"ID重复；",""),"")</f>
        <v/>
      </c>
      <c r="G494" s="14">
        <f>IF(F494&lt;&gt;"","按字段批注、数据字典和来源记录修正后复核","")</f>
        <v/>
      </c>
      <c r="H494" s="14">
        <f>IF(F494&lt;&gt;"","待处理","")</f>
        <v/>
      </c>
    </row>
    <row r="495">
      <c r="A495" s="14">
        <f>IF(F495&lt;&gt;"","ISSUE-"&amp;TEXT(ROW()-1,"00000"),"")</f>
        <v/>
      </c>
      <c r="B495" s="14">
        <f>IF(F495&lt;&gt;"","错误","")</f>
        <v/>
      </c>
      <c r="C495" s="14">
        <f>IF('02_固定地理'!A495&lt;&gt;"","02_固定地理","")</f>
        <v/>
      </c>
      <c r="D495" s="14">
        <f>IF('02_固定地理'!A495&lt;&gt;"",'02_固定地理'!A495,"")</f>
        <v/>
      </c>
      <c r="E495" s="14">
        <f>IF(F495&lt;&gt;"","综合校验","")</f>
        <v/>
      </c>
      <c r="F495" s="14">
        <f>IF('02_固定地理'!A495&lt;&gt;"",IF('02_固定地理'!A495="","缺少对象ID；","")&amp;IF('02_固定地理'!B495="","缺少中文名称；","")&amp;IF('02_固定地理'!D495="","缺少对象类型；","")&amp;IF(AND('02_固定地理'!F495&lt;&gt;"",OR('02_固定地理'!F495&lt;0,'02_固定地理'!F495&gt;WorldWidth)),"世界中心X越界；","")&amp;IF(AND('02_固定地理'!G495&lt;&gt;"",OR('02_固定地理'!G495&lt;0,'02_固定地理'!G495&gt;WorldHeight)),"世界中心Y越界；","")&amp;IF(AND('02_固定地理'!H495&lt;&gt;"",'02_固定地理'!J495&lt;&gt;"",'02_固定地理'!H495&gt;'02_固定地理'!J495),"最小X大于最大X；","")&amp;IF(AND('02_固定地理'!I495&lt;&gt;"",'02_固定地理'!K495&lt;&gt;"",'02_固定地理'!I495&gt;'02_固定地理'!K495),"最小Y大于最大Y；","")&amp;IF(AND('02_固定地理'!E495&lt;&gt;"",COUNTIF('02_固定地理'!$A$2:$A$501,'02_固定地理'!E495)=0),"父级对象不存在；","")&amp;IF(AND('02_固定地理'!A495&lt;&gt;"",COUNTIF('02_固定地理'!$A$2:$A$501,'02_固定地理'!A495)&gt;1),"ID重复；",""),"")</f>
        <v/>
      </c>
      <c r="G495" s="14">
        <f>IF(F495&lt;&gt;"","按字段批注、数据字典和来源记录修正后复核","")</f>
        <v/>
      </c>
      <c r="H495" s="14">
        <f>IF(F495&lt;&gt;"","待处理","")</f>
        <v/>
      </c>
    </row>
    <row r="496">
      <c r="A496" s="14">
        <f>IF(F496&lt;&gt;"","ISSUE-"&amp;TEXT(ROW()-1,"00000"),"")</f>
        <v/>
      </c>
      <c r="B496" s="14">
        <f>IF(F496&lt;&gt;"","错误","")</f>
        <v/>
      </c>
      <c r="C496" s="14">
        <f>IF('02_固定地理'!A496&lt;&gt;"","02_固定地理","")</f>
        <v/>
      </c>
      <c r="D496" s="14">
        <f>IF('02_固定地理'!A496&lt;&gt;"",'02_固定地理'!A496,"")</f>
        <v/>
      </c>
      <c r="E496" s="14">
        <f>IF(F496&lt;&gt;"","综合校验","")</f>
        <v/>
      </c>
      <c r="F496" s="14">
        <f>IF('02_固定地理'!A496&lt;&gt;"",IF('02_固定地理'!A496="","缺少对象ID；","")&amp;IF('02_固定地理'!B496="","缺少中文名称；","")&amp;IF('02_固定地理'!D496="","缺少对象类型；","")&amp;IF(AND('02_固定地理'!F496&lt;&gt;"",OR('02_固定地理'!F496&lt;0,'02_固定地理'!F496&gt;WorldWidth)),"世界中心X越界；","")&amp;IF(AND('02_固定地理'!G496&lt;&gt;"",OR('02_固定地理'!G496&lt;0,'02_固定地理'!G496&gt;WorldHeight)),"世界中心Y越界；","")&amp;IF(AND('02_固定地理'!H496&lt;&gt;"",'02_固定地理'!J496&lt;&gt;"",'02_固定地理'!H496&gt;'02_固定地理'!J496),"最小X大于最大X；","")&amp;IF(AND('02_固定地理'!I496&lt;&gt;"",'02_固定地理'!K496&lt;&gt;"",'02_固定地理'!I496&gt;'02_固定地理'!K496),"最小Y大于最大Y；","")&amp;IF(AND('02_固定地理'!E496&lt;&gt;"",COUNTIF('02_固定地理'!$A$2:$A$501,'02_固定地理'!E496)=0),"父级对象不存在；","")&amp;IF(AND('02_固定地理'!A496&lt;&gt;"",COUNTIF('02_固定地理'!$A$2:$A$501,'02_固定地理'!A496)&gt;1),"ID重复；",""),"")</f>
        <v/>
      </c>
      <c r="G496" s="14">
        <f>IF(F496&lt;&gt;"","按字段批注、数据字典和来源记录修正后复核","")</f>
        <v/>
      </c>
      <c r="H496" s="14">
        <f>IF(F496&lt;&gt;"","待处理","")</f>
        <v/>
      </c>
    </row>
    <row r="497">
      <c r="A497" s="14">
        <f>IF(F497&lt;&gt;"","ISSUE-"&amp;TEXT(ROW()-1,"00000"),"")</f>
        <v/>
      </c>
      <c r="B497" s="14">
        <f>IF(F497&lt;&gt;"","错误","")</f>
        <v/>
      </c>
      <c r="C497" s="14">
        <f>IF('02_固定地理'!A497&lt;&gt;"","02_固定地理","")</f>
        <v/>
      </c>
      <c r="D497" s="14">
        <f>IF('02_固定地理'!A497&lt;&gt;"",'02_固定地理'!A497,"")</f>
        <v/>
      </c>
      <c r="E497" s="14">
        <f>IF(F497&lt;&gt;"","综合校验","")</f>
        <v/>
      </c>
      <c r="F497" s="14">
        <f>IF('02_固定地理'!A497&lt;&gt;"",IF('02_固定地理'!A497="","缺少对象ID；","")&amp;IF('02_固定地理'!B497="","缺少中文名称；","")&amp;IF('02_固定地理'!D497="","缺少对象类型；","")&amp;IF(AND('02_固定地理'!F497&lt;&gt;"",OR('02_固定地理'!F497&lt;0,'02_固定地理'!F497&gt;WorldWidth)),"世界中心X越界；","")&amp;IF(AND('02_固定地理'!G497&lt;&gt;"",OR('02_固定地理'!G497&lt;0,'02_固定地理'!G497&gt;WorldHeight)),"世界中心Y越界；","")&amp;IF(AND('02_固定地理'!H497&lt;&gt;"",'02_固定地理'!J497&lt;&gt;"",'02_固定地理'!H497&gt;'02_固定地理'!J497),"最小X大于最大X；","")&amp;IF(AND('02_固定地理'!I497&lt;&gt;"",'02_固定地理'!K497&lt;&gt;"",'02_固定地理'!I497&gt;'02_固定地理'!K497),"最小Y大于最大Y；","")&amp;IF(AND('02_固定地理'!E497&lt;&gt;"",COUNTIF('02_固定地理'!$A$2:$A$501,'02_固定地理'!E497)=0),"父级对象不存在；","")&amp;IF(AND('02_固定地理'!A497&lt;&gt;"",COUNTIF('02_固定地理'!$A$2:$A$501,'02_固定地理'!A497)&gt;1),"ID重复；",""),"")</f>
        <v/>
      </c>
      <c r="G497" s="14">
        <f>IF(F497&lt;&gt;"","按字段批注、数据字典和来源记录修正后复核","")</f>
        <v/>
      </c>
      <c r="H497" s="14">
        <f>IF(F497&lt;&gt;"","待处理","")</f>
        <v/>
      </c>
    </row>
    <row r="498">
      <c r="A498" s="14">
        <f>IF(F498&lt;&gt;"","ISSUE-"&amp;TEXT(ROW()-1,"00000"),"")</f>
        <v/>
      </c>
      <c r="B498" s="14">
        <f>IF(F498&lt;&gt;"","错误","")</f>
        <v/>
      </c>
      <c r="C498" s="14">
        <f>IF('02_固定地理'!A498&lt;&gt;"","02_固定地理","")</f>
        <v/>
      </c>
      <c r="D498" s="14">
        <f>IF('02_固定地理'!A498&lt;&gt;"",'02_固定地理'!A498,"")</f>
        <v/>
      </c>
      <c r="E498" s="14">
        <f>IF(F498&lt;&gt;"","综合校验","")</f>
        <v/>
      </c>
      <c r="F498" s="14">
        <f>IF('02_固定地理'!A498&lt;&gt;"",IF('02_固定地理'!A498="","缺少对象ID；","")&amp;IF('02_固定地理'!B498="","缺少中文名称；","")&amp;IF('02_固定地理'!D498="","缺少对象类型；","")&amp;IF(AND('02_固定地理'!F498&lt;&gt;"",OR('02_固定地理'!F498&lt;0,'02_固定地理'!F498&gt;WorldWidth)),"世界中心X越界；","")&amp;IF(AND('02_固定地理'!G498&lt;&gt;"",OR('02_固定地理'!G498&lt;0,'02_固定地理'!G498&gt;WorldHeight)),"世界中心Y越界；","")&amp;IF(AND('02_固定地理'!H498&lt;&gt;"",'02_固定地理'!J498&lt;&gt;"",'02_固定地理'!H498&gt;'02_固定地理'!J498),"最小X大于最大X；","")&amp;IF(AND('02_固定地理'!I498&lt;&gt;"",'02_固定地理'!K498&lt;&gt;"",'02_固定地理'!I498&gt;'02_固定地理'!K498),"最小Y大于最大Y；","")&amp;IF(AND('02_固定地理'!E498&lt;&gt;"",COUNTIF('02_固定地理'!$A$2:$A$501,'02_固定地理'!E498)=0),"父级对象不存在；","")&amp;IF(AND('02_固定地理'!A498&lt;&gt;"",COUNTIF('02_固定地理'!$A$2:$A$501,'02_固定地理'!A498)&gt;1),"ID重复；",""),"")</f>
        <v/>
      </c>
      <c r="G498" s="14">
        <f>IF(F498&lt;&gt;"","按字段批注、数据字典和来源记录修正后复核","")</f>
        <v/>
      </c>
      <c r="H498" s="14">
        <f>IF(F498&lt;&gt;"","待处理","")</f>
        <v/>
      </c>
    </row>
    <row r="499">
      <c r="A499" s="14">
        <f>IF(F499&lt;&gt;"","ISSUE-"&amp;TEXT(ROW()-1,"00000"),"")</f>
        <v/>
      </c>
      <c r="B499" s="14">
        <f>IF(F499&lt;&gt;"","错误","")</f>
        <v/>
      </c>
      <c r="C499" s="14">
        <f>IF('02_固定地理'!A499&lt;&gt;"","02_固定地理","")</f>
        <v/>
      </c>
      <c r="D499" s="14">
        <f>IF('02_固定地理'!A499&lt;&gt;"",'02_固定地理'!A499,"")</f>
        <v/>
      </c>
      <c r="E499" s="14">
        <f>IF(F499&lt;&gt;"","综合校验","")</f>
        <v/>
      </c>
      <c r="F499" s="14">
        <f>IF('02_固定地理'!A499&lt;&gt;"",IF('02_固定地理'!A499="","缺少对象ID；","")&amp;IF('02_固定地理'!B499="","缺少中文名称；","")&amp;IF('02_固定地理'!D499="","缺少对象类型；","")&amp;IF(AND('02_固定地理'!F499&lt;&gt;"",OR('02_固定地理'!F499&lt;0,'02_固定地理'!F499&gt;WorldWidth)),"世界中心X越界；","")&amp;IF(AND('02_固定地理'!G499&lt;&gt;"",OR('02_固定地理'!G499&lt;0,'02_固定地理'!G499&gt;WorldHeight)),"世界中心Y越界；","")&amp;IF(AND('02_固定地理'!H499&lt;&gt;"",'02_固定地理'!J499&lt;&gt;"",'02_固定地理'!H499&gt;'02_固定地理'!J499),"最小X大于最大X；","")&amp;IF(AND('02_固定地理'!I499&lt;&gt;"",'02_固定地理'!K499&lt;&gt;"",'02_固定地理'!I499&gt;'02_固定地理'!K499),"最小Y大于最大Y；","")&amp;IF(AND('02_固定地理'!E499&lt;&gt;"",COUNTIF('02_固定地理'!$A$2:$A$501,'02_固定地理'!E499)=0),"父级对象不存在；","")&amp;IF(AND('02_固定地理'!A499&lt;&gt;"",COUNTIF('02_固定地理'!$A$2:$A$501,'02_固定地理'!A499)&gt;1),"ID重复；",""),"")</f>
        <v/>
      </c>
      <c r="G499" s="14">
        <f>IF(F499&lt;&gt;"","按字段批注、数据字典和来源记录修正后复核","")</f>
        <v/>
      </c>
      <c r="H499" s="14">
        <f>IF(F499&lt;&gt;"","待处理","")</f>
        <v/>
      </c>
    </row>
    <row r="500">
      <c r="A500" s="14">
        <f>IF(F500&lt;&gt;"","ISSUE-"&amp;TEXT(ROW()-1,"00000"),"")</f>
        <v/>
      </c>
      <c r="B500" s="14">
        <f>IF(F500&lt;&gt;"","错误","")</f>
        <v/>
      </c>
      <c r="C500" s="14">
        <f>IF('02_固定地理'!A500&lt;&gt;"","02_固定地理","")</f>
        <v/>
      </c>
      <c r="D500" s="14">
        <f>IF('02_固定地理'!A500&lt;&gt;"",'02_固定地理'!A500,"")</f>
        <v/>
      </c>
      <c r="E500" s="14">
        <f>IF(F500&lt;&gt;"","综合校验","")</f>
        <v/>
      </c>
      <c r="F500" s="14">
        <f>IF('02_固定地理'!A500&lt;&gt;"",IF('02_固定地理'!A500="","缺少对象ID；","")&amp;IF('02_固定地理'!B500="","缺少中文名称；","")&amp;IF('02_固定地理'!D500="","缺少对象类型；","")&amp;IF(AND('02_固定地理'!F500&lt;&gt;"",OR('02_固定地理'!F500&lt;0,'02_固定地理'!F500&gt;WorldWidth)),"世界中心X越界；","")&amp;IF(AND('02_固定地理'!G500&lt;&gt;"",OR('02_固定地理'!G500&lt;0,'02_固定地理'!G500&gt;WorldHeight)),"世界中心Y越界；","")&amp;IF(AND('02_固定地理'!H500&lt;&gt;"",'02_固定地理'!J500&lt;&gt;"",'02_固定地理'!H500&gt;'02_固定地理'!J500),"最小X大于最大X；","")&amp;IF(AND('02_固定地理'!I500&lt;&gt;"",'02_固定地理'!K500&lt;&gt;"",'02_固定地理'!I500&gt;'02_固定地理'!K500),"最小Y大于最大Y；","")&amp;IF(AND('02_固定地理'!E500&lt;&gt;"",COUNTIF('02_固定地理'!$A$2:$A$501,'02_固定地理'!E500)=0),"父级对象不存在；","")&amp;IF(AND('02_固定地理'!A500&lt;&gt;"",COUNTIF('02_固定地理'!$A$2:$A$501,'02_固定地理'!A500)&gt;1),"ID重复；",""),"")</f>
        <v/>
      </c>
      <c r="G500" s="14">
        <f>IF(F500&lt;&gt;"","按字段批注、数据字典和来源记录修正后复核","")</f>
        <v/>
      </c>
      <c r="H500" s="14">
        <f>IF(F500&lt;&gt;"","待处理","")</f>
        <v/>
      </c>
    </row>
    <row r="501">
      <c r="A501" s="14">
        <f>IF(F501&lt;&gt;"","ISSUE-"&amp;TEXT(ROW()-1,"00000"),"")</f>
        <v/>
      </c>
      <c r="B501" s="14">
        <f>IF(F501&lt;&gt;"","错误","")</f>
        <v/>
      </c>
      <c r="C501" s="14">
        <f>IF('02_固定地理'!A501&lt;&gt;"","02_固定地理","")</f>
        <v/>
      </c>
      <c r="D501" s="14">
        <f>IF('02_固定地理'!A501&lt;&gt;"",'02_固定地理'!A501,"")</f>
        <v/>
      </c>
      <c r="E501" s="14">
        <f>IF(F501&lt;&gt;"","综合校验","")</f>
        <v/>
      </c>
      <c r="F501" s="14">
        <f>IF('02_固定地理'!A501&lt;&gt;"",IF('02_固定地理'!A501="","缺少对象ID；","")&amp;IF('02_固定地理'!B501="","缺少中文名称；","")&amp;IF('02_固定地理'!D501="","缺少对象类型；","")&amp;IF(AND('02_固定地理'!F501&lt;&gt;"",OR('02_固定地理'!F501&lt;0,'02_固定地理'!F501&gt;WorldWidth)),"世界中心X越界；","")&amp;IF(AND('02_固定地理'!G501&lt;&gt;"",OR('02_固定地理'!G501&lt;0,'02_固定地理'!G501&gt;WorldHeight)),"世界中心Y越界；","")&amp;IF(AND('02_固定地理'!H501&lt;&gt;"",'02_固定地理'!J501&lt;&gt;"",'02_固定地理'!H501&gt;'02_固定地理'!J501),"最小X大于最大X；","")&amp;IF(AND('02_固定地理'!I501&lt;&gt;"",'02_固定地理'!K501&lt;&gt;"",'02_固定地理'!I501&gt;'02_固定地理'!K501),"最小Y大于最大Y；","")&amp;IF(AND('02_固定地理'!E501&lt;&gt;"",COUNTIF('02_固定地理'!$A$2:$A$501,'02_固定地理'!E501)=0),"父级对象不存在；","")&amp;IF(AND('02_固定地理'!A501&lt;&gt;"",COUNTIF('02_固定地理'!$A$2:$A$501,'02_固定地理'!A501)&gt;1),"ID重复；",""),"")</f>
        <v/>
      </c>
      <c r="G501" s="14">
        <f>IF(F501&lt;&gt;"","按字段批注、数据字典和来源记录修正后复核","")</f>
        <v/>
      </c>
      <c r="H501" s="14">
        <f>IF(F501&lt;&gt;"","待处理","")</f>
        <v/>
      </c>
    </row>
    <row r="502">
      <c r="A502" s="14">
        <f>IF(F502&lt;&gt;"","ISSUE-"&amp;TEXT(ROW()-1,"00000"),"")</f>
        <v/>
      </c>
      <c r="B502" s="14">
        <f>IF(F502&lt;&gt;"","错误","")</f>
        <v/>
      </c>
      <c r="C502" s="14">
        <f>IF('03_地点锚点'!A2&lt;&gt;"","03_地点锚点","")</f>
        <v/>
      </c>
      <c r="D502" s="14">
        <f>IF('03_地点锚点'!A2&lt;&gt;"",'03_地点锚点'!A2,"")</f>
        <v/>
      </c>
      <c r="E502" s="14">
        <f>IF(F502&lt;&gt;"","综合校验","")</f>
        <v/>
      </c>
      <c r="F502" s="14">
        <f>IF('03_地点锚点'!A2&lt;&gt;"",IF('03_地点锚点'!A2="","缺少地点ID；","")&amp;IF('03_地点锚点'!B2="","缺少中文名称；","")&amp;IF('03_地点锚点'!D2="","缺少地点类型；","")&amp;IF('03_地点锚点'!G2="","缺少世界X；","")&amp;IF('03_地点锚点'!H2="","缺少世界Y；","")&amp;IF(AND('03_地点锚点'!G2&lt;&gt;"",OR('03_地点锚点'!G2&lt;0,'03_地点锚点'!G2&gt;WorldWidth)),"世界X越界；","")&amp;IF(AND('03_地点锚点'!H2&lt;&gt;"",OR('03_地点锚点'!H2&lt;0,'03_地点锚点'!H2&gt;WorldHeight)),"世界Y越界；","")&amp;IF(AND('03_地点锚点'!E2&lt;&gt;"",COUNTIF('02_固定地理'!$A$2:$A$501,'03_地点锚点'!E2)=0),"父级行政对象不存在；","")&amp;IF(AND('03_地点锚点'!F2&lt;&gt;"",COUNTIF('03_地点锚点'!$A$2:$A$501,'03_地点锚点'!F2)=0),"父级地点不存在；","")&amp;IF(AND('03_地点锚点'!A2&lt;&gt;"",COUNTIF('03_地点锚点'!$A$2:$A$501,'03_地点锚点'!A2)&gt;1),"ID重复；",""),"")</f>
        <v/>
      </c>
      <c r="G502" s="14">
        <f>IF(F502&lt;&gt;"","按字段批注、数据字典和来源记录修正后复核","")</f>
        <v/>
      </c>
      <c r="H502" s="14">
        <f>IF(F502&lt;&gt;"","待处理","")</f>
        <v/>
      </c>
    </row>
    <row r="503">
      <c r="A503" s="14">
        <f>IF(F503&lt;&gt;"","ISSUE-"&amp;TEXT(ROW()-1,"00000"),"")</f>
        <v/>
      </c>
      <c r="B503" s="14">
        <f>IF(F503&lt;&gt;"","错误","")</f>
        <v/>
      </c>
      <c r="C503" s="14">
        <f>IF('03_地点锚点'!A3&lt;&gt;"","03_地点锚点","")</f>
        <v/>
      </c>
      <c r="D503" s="14">
        <f>IF('03_地点锚点'!A3&lt;&gt;"",'03_地点锚点'!A3,"")</f>
        <v/>
      </c>
      <c r="E503" s="14">
        <f>IF(F503&lt;&gt;"","综合校验","")</f>
        <v/>
      </c>
      <c r="F503" s="14">
        <f>IF('03_地点锚点'!A3&lt;&gt;"",IF('03_地点锚点'!A3="","缺少地点ID；","")&amp;IF('03_地点锚点'!B3="","缺少中文名称；","")&amp;IF('03_地点锚点'!D3="","缺少地点类型；","")&amp;IF('03_地点锚点'!G3="","缺少世界X；","")&amp;IF('03_地点锚点'!H3="","缺少世界Y；","")&amp;IF(AND('03_地点锚点'!G3&lt;&gt;"",OR('03_地点锚点'!G3&lt;0,'03_地点锚点'!G3&gt;WorldWidth)),"世界X越界；","")&amp;IF(AND('03_地点锚点'!H3&lt;&gt;"",OR('03_地点锚点'!H3&lt;0,'03_地点锚点'!H3&gt;WorldHeight)),"世界Y越界；","")&amp;IF(AND('03_地点锚点'!E3&lt;&gt;"",COUNTIF('02_固定地理'!$A$2:$A$501,'03_地点锚点'!E3)=0),"父级行政对象不存在；","")&amp;IF(AND('03_地点锚点'!F3&lt;&gt;"",COUNTIF('03_地点锚点'!$A$2:$A$501,'03_地点锚点'!F3)=0),"父级地点不存在；","")&amp;IF(AND('03_地点锚点'!A3&lt;&gt;"",COUNTIF('03_地点锚点'!$A$2:$A$501,'03_地点锚点'!A3)&gt;1),"ID重复；",""),"")</f>
        <v/>
      </c>
      <c r="G503" s="14">
        <f>IF(F503&lt;&gt;"","按字段批注、数据字典和来源记录修正后复核","")</f>
        <v/>
      </c>
      <c r="H503" s="14">
        <f>IF(F503&lt;&gt;"","待处理","")</f>
        <v/>
      </c>
    </row>
    <row r="504">
      <c r="A504" s="14">
        <f>IF(F504&lt;&gt;"","ISSUE-"&amp;TEXT(ROW()-1,"00000"),"")</f>
        <v/>
      </c>
      <c r="B504" s="14">
        <f>IF(F504&lt;&gt;"","错误","")</f>
        <v/>
      </c>
      <c r="C504" s="14">
        <f>IF('03_地点锚点'!A4&lt;&gt;"","03_地点锚点","")</f>
        <v/>
      </c>
      <c r="D504" s="14">
        <f>IF('03_地点锚点'!A4&lt;&gt;"",'03_地点锚点'!A4,"")</f>
        <v/>
      </c>
      <c r="E504" s="14">
        <f>IF(F504&lt;&gt;"","综合校验","")</f>
        <v/>
      </c>
      <c r="F504" s="14">
        <f>IF('03_地点锚点'!A4&lt;&gt;"",IF('03_地点锚点'!A4="","缺少地点ID；","")&amp;IF('03_地点锚点'!B4="","缺少中文名称；","")&amp;IF('03_地点锚点'!D4="","缺少地点类型；","")&amp;IF('03_地点锚点'!G4="","缺少世界X；","")&amp;IF('03_地点锚点'!H4="","缺少世界Y；","")&amp;IF(AND('03_地点锚点'!G4&lt;&gt;"",OR('03_地点锚点'!G4&lt;0,'03_地点锚点'!G4&gt;WorldWidth)),"世界X越界；","")&amp;IF(AND('03_地点锚点'!H4&lt;&gt;"",OR('03_地点锚点'!H4&lt;0,'03_地点锚点'!H4&gt;WorldHeight)),"世界Y越界；","")&amp;IF(AND('03_地点锚点'!E4&lt;&gt;"",COUNTIF('02_固定地理'!$A$2:$A$501,'03_地点锚点'!E4)=0),"父级行政对象不存在；","")&amp;IF(AND('03_地点锚点'!F4&lt;&gt;"",COUNTIF('03_地点锚点'!$A$2:$A$501,'03_地点锚点'!F4)=0),"父级地点不存在；","")&amp;IF(AND('03_地点锚点'!A4&lt;&gt;"",COUNTIF('03_地点锚点'!$A$2:$A$501,'03_地点锚点'!A4)&gt;1),"ID重复；",""),"")</f>
        <v/>
      </c>
      <c r="G504" s="14">
        <f>IF(F504&lt;&gt;"","按字段批注、数据字典和来源记录修正后复核","")</f>
        <v/>
      </c>
      <c r="H504" s="14">
        <f>IF(F504&lt;&gt;"","待处理","")</f>
        <v/>
      </c>
    </row>
    <row r="505">
      <c r="A505" s="14">
        <f>IF(F505&lt;&gt;"","ISSUE-"&amp;TEXT(ROW()-1,"00000"),"")</f>
        <v/>
      </c>
      <c r="B505" s="14">
        <f>IF(F505&lt;&gt;"","错误","")</f>
        <v/>
      </c>
      <c r="C505" s="14">
        <f>IF('03_地点锚点'!A5&lt;&gt;"","03_地点锚点","")</f>
        <v/>
      </c>
      <c r="D505" s="14">
        <f>IF('03_地点锚点'!A5&lt;&gt;"",'03_地点锚点'!A5,"")</f>
        <v/>
      </c>
      <c r="E505" s="14">
        <f>IF(F505&lt;&gt;"","综合校验","")</f>
        <v/>
      </c>
      <c r="F505" s="14">
        <f>IF('03_地点锚点'!A5&lt;&gt;"",IF('03_地点锚点'!A5="","缺少地点ID；","")&amp;IF('03_地点锚点'!B5="","缺少中文名称；","")&amp;IF('03_地点锚点'!D5="","缺少地点类型；","")&amp;IF('03_地点锚点'!G5="","缺少世界X；","")&amp;IF('03_地点锚点'!H5="","缺少世界Y；","")&amp;IF(AND('03_地点锚点'!G5&lt;&gt;"",OR('03_地点锚点'!G5&lt;0,'03_地点锚点'!G5&gt;WorldWidth)),"世界X越界；","")&amp;IF(AND('03_地点锚点'!H5&lt;&gt;"",OR('03_地点锚点'!H5&lt;0,'03_地点锚点'!H5&gt;WorldHeight)),"世界Y越界；","")&amp;IF(AND('03_地点锚点'!E5&lt;&gt;"",COUNTIF('02_固定地理'!$A$2:$A$501,'03_地点锚点'!E5)=0),"父级行政对象不存在；","")&amp;IF(AND('03_地点锚点'!F5&lt;&gt;"",COUNTIF('03_地点锚点'!$A$2:$A$501,'03_地点锚点'!F5)=0),"父级地点不存在；","")&amp;IF(AND('03_地点锚点'!A5&lt;&gt;"",COUNTIF('03_地点锚点'!$A$2:$A$501,'03_地点锚点'!A5)&gt;1),"ID重复；",""),"")</f>
        <v/>
      </c>
      <c r="G505" s="14">
        <f>IF(F505&lt;&gt;"","按字段批注、数据字典和来源记录修正后复核","")</f>
        <v/>
      </c>
      <c r="H505" s="14">
        <f>IF(F505&lt;&gt;"","待处理","")</f>
        <v/>
      </c>
    </row>
    <row r="506">
      <c r="A506" s="14">
        <f>IF(F506&lt;&gt;"","ISSUE-"&amp;TEXT(ROW()-1,"00000"),"")</f>
        <v/>
      </c>
      <c r="B506" s="14">
        <f>IF(F506&lt;&gt;"","错误","")</f>
        <v/>
      </c>
      <c r="C506" s="14">
        <f>IF('03_地点锚点'!A6&lt;&gt;"","03_地点锚点","")</f>
        <v/>
      </c>
      <c r="D506" s="14">
        <f>IF('03_地点锚点'!A6&lt;&gt;"",'03_地点锚点'!A6,"")</f>
        <v/>
      </c>
      <c r="E506" s="14">
        <f>IF(F506&lt;&gt;"","综合校验","")</f>
        <v/>
      </c>
      <c r="F506" s="14">
        <f>IF('03_地点锚点'!A6&lt;&gt;"",IF('03_地点锚点'!A6="","缺少地点ID；","")&amp;IF('03_地点锚点'!B6="","缺少中文名称；","")&amp;IF('03_地点锚点'!D6="","缺少地点类型；","")&amp;IF('03_地点锚点'!G6="","缺少世界X；","")&amp;IF('03_地点锚点'!H6="","缺少世界Y；","")&amp;IF(AND('03_地点锚点'!G6&lt;&gt;"",OR('03_地点锚点'!G6&lt;0,'03_地点锚点'!G6&gt;WorldWidth)),"世界X越界；","")&amp;IF(AND('03_地点锚点'!H6&lt;&gt;"",OR('03_地点锚点'!H6&lt;0,'03_地点锚点'!H6&gt;WorldHeight)),"世界Y越界；","")&amp;IF(AND('03_地点锚点'!E6&lt;&gt;"",COUNTIF('02_固定地理'!$A$2:$A$501,'03_地点锚点'!E6)=0),"父级行政对象不存在；","")&amp;IF(AND('03_地点锚点'!F6&lt;&gt;"",COUNTIF('03_地点锚点'!$A$2:$A$501,'03_地点锚点'!F6)=0),"父级地点不存在；","")&amp;IF(AND('03_地点锚点'!A6&lt;&gt;"",COUNTIF('03_地点锚点'!$A$2:$A$501,'03_地点锚点'!A6)&gt;1),"ID重复；",""),"")</f>
        <v/>
      </c>
      <c r="G506" s="14">
        <f>IF(F506&lt;&gt;"","按字段批注、数据字典和来源记录修正后复核","")</f>
        <v/>
      </c>
      <c r="H506" s="14">
        <f>IF(F506&lt;&gt;"","待处理","")</f>
        <v/>
      </c>
    </row>
    <row r="507">
      <c r="A507" s="14">
        <f>IF(F507&lt;&gt;"","ISSUE-"&amp;TEXT(ROW()-1,"00000"),"")</f>
        <v/>
      </c>
      <c r="B507" s="14">
        <f>IF(F507&lt;&gt;"","错误","")</f>
        <v/>
      </c>
      <c r="C507" s="14">
        <f>IF('03_地点锚点'!A7&lt;&gt;"","03_地点锚点","")</f>
        <v/>
      </c>
      <c r="D507" s="14">
        <f>IF('03_地点锚点'!A7&lt;&gt;"",'03_地点锚点'!A7,"")</f>
        <v/>
      </c>
      <c r="E507" s="14">
        <f>IF(F507&lt;&gt;"","综合校验","")</f>
        <v/>
      </c>
      <c r="F507" s="14">
        <f>IF('03_地点锚点'!A7&lt;&gt;"",IF('03_地点锚点'!A7="","缺少地点ID；","")&amp;IF('03_地点锚点'!B7="","缺少中文名称；","")&amp;IF('03_地点锚点'!D7="","缺少地点类型；","")&amp;IF('03_地点锚点'!G7="","缺少世界X；","")&amp;IF('03_地点锚点'!H7="","缺少世界Y；","")&amp;IF(AND('03_地点锚点'!G7&lt;&gt;"",OR('03_地点锚点'!G7&lt;0,'03_地点锚点'!G7&gt;WorldWidth)),"世界X越界；","")&amp;IF(AND('03_地点锚点'!H7&lt;&gt;"",OR('03_地点锚点'!H7&lt;0,'03_地点锚点'!H7&gt;WorldHeight)),"世界Y越界；","")&amp;IF(AND('03_地点锚点'!E7&lt;&gt;"",COUNTIF('02_固定地理'!$A$2:$A$501,'03_地点锚点'!E7)=0),"父级行政对象不存在；","")&amp;IF(AND('03_地点锚点'!F7&lt;&gt;"",COUNTIF('03_地点锚点'!$A$2:$A$501,'03_地点锚点'!F7)=0),"父级地点不存在；","")&amp;IF(AND('03_地点锚点'!A7&lt;&gt;"",COUNTIF('03_地点锚点'!$A$2:$A$501,'03_地点锚点'!A7)&gt;1),"ID重复；",""),"")</f>
        <v/>
      </c>
      <c r="G507" s="14">
        <f>IF(F507&lt;&gt;"","按字段批注、数据字典和来源记录修正后复核","")</f>
        <v/>
      </c>
      <c r="H507" s="14">
        <f>IF(F507&lt;&gt;"","待处理","")</f>
        <v/>
      </c>
    </row>
    <row r="508">
      <c r="A508" s="14">
        <f>IF(F508&lt;&gt;"","ISSUE-"&amp;TEXT(ROW()-1,"00000"),"")</f>
        <v/>
      </c>
      <c r="B508" s="14">
        <f>IF(F508&lt;&gt;"","错误","")</f>
        <v/>
      </c>
      <c r="C508" s="14">
        <f>IF('03_地点锚点'!A8&lt;&gt;"","03_地点锚点","")</f>
        <v/>
      </c>
      <c r="D508" s="14">
        <f>IF('03_地点锚点'!A8&lt;&gt;"",'03_地点锚点'!A8,"")</f>
        <v/>
      </c>
      <c r="E508" s="14">
        <f>IF(F508&lt;&gt;"","综合校验","")</f>
        <v/>
      </c>
      <c r="F508" s="14">
        <f>IF('03_地点锚点'!A8&lt;&gt;"",IF('03_地点锚点'!A8="","缺少地点ID；","")&amp;IF('03_地点锚点'!B8="","缺少中文名称；","")&amp;IF('03_地点锚点'!D8="","缺少地点类型；","")&amp;IF('03_地点锚点'!G8="","缺少世界X；","")&amp;IF('03_地点锚点'!H8="","缺少世界Y；","")&amp;IF(AND('03_地点锚点'!G8&lt;&gt;"",OR('03_地点锚点'!G8&lt;0,'03_地点锚点'!G8&gt;WorldWidth)),"世界X越界；","")&amp;IF(AND('03_地点锚点'!H8&lt;&gt;"",OR('03_地点锚点'!H8&lt;0,'03_地点锚点'!H8&gt;WorldHeight)),"世界Y越界；","")&amp;IF(AND('03_地点锚点'!E8&lt;&gt;"",COUNTIF('02_固定地理'!$A$2:$A$501,'03_地点锚点'!E8)=0),"父级行政对象不存在；","")&amp;IF(AND('03_地点锚点'!F8&lt;&gt;"",COUNTIF('03_地点锚点'!$A$2:$A$501,'03_地点锚点'!F8)=0),"父级地点不存在；","")&amp;IF(AND('03_地点锚点'!A8&lt;&gt;"",COUNTIF('03_地点锚点'!$A$2:$A$501,'03_地点锚点'!A8)&gt;1),"ID重复；",""),"")</f>
        <v/>
      </c>
      <c r="G508" s="14">
        <f>IF(F508&lt;&gt;"","按字段批注、数据字典和来源记录修正后复核","")</f>
        <v/>
      </c>
      <c r="H508" s="14">
        <f>IF(F508&lt;&gt;"","待处理","")</f>
        <v/>
      </c>
    </row>
    <row r="509">
      <c r="A509" s="14">
        <f>IF(F509&lt;&gt;"","ISSUE-"&amp;TEXT(ROW()-1,"00000"),"")</f>
        <v/>
      </c>
      <c r="B509" s="14">
        <f>IF(F509&lt;&gt;"","错误","")</f>
        <v/>
      </c>
      <c r="C509" s="14">
        <f>IF('03_地点锚点'!A9&lt;&gt;"","03_地点锚点","")</f>
        <v/>
      </c>
      <c r="D509" s="14">
        <f>IF('03_地点锚点'!A9&lt;&gt;"",'03_地点锚点'!A9,"")</f>
        <v/>
      </c>
      <c r="E509" s="14">
        <f>IF(F509&lt;&gt;"","综合校验","")</f>
        <v/>
      </c>
      <c r="F509" s="14">
        <f>IF('03_地点锚点'!A9&lt;&gt;"",IF('03_地点锚点'!A9="","缺少地点ID；","")&amp;IF('03_地点锚点'!B9="","缺少中文名称；","")&amp;IF('03_地点锚点'!D9="","缺少地点类型；","")&amp;IF('03_地点锚点'!G9="","缺少世界X；","")&amp;IF('03_地点锚点'!H9="","缺少世界Y；","")&amp;IF(AND('03_地点锚点'!G9&lt;&gt;"",OR('03_地点锚点'!G9&lt;0,'03_地点锚点'!G9&gt;WorldWidth)),"世界X越界；","")&amp;IF(AND('03_地点锚点'!H9&lt;&gt;"",OR('03_地点锚点'!H9&lt;0,'03_地点锚点'!H9&gt;WorldHeight)),"世界Y越界；","")&amp;IF(AND('03_地点锚点'!E9&lt;&gt;"",COUNTIF('02_固定地理'!$A$2:$A$501,'03_地点锚点'!E9)=0),"父级行政对象不存在；","")&amp;IF(AND('03_地点锚点'!F9&lt;&gt;"",COUNTIF('03_地点锚点'!$A$2:$A$501,'03_地点锚点'!F9)=0),"父级地点不存在；","")&amp;IF(AND('03_地点锚点'!A9&lt;&gt;"",COUNTIF('03_地点锚点'!$A$2:$A$501,'03_地点锚点'!A9)&gt;1),"ID重复；",""),"")</f>
        <v/>
      </c>
      <c r="G509" s="14">
        <f>IF(F509&lt;&gt;"","按字段批注、数据字典和来源记录修正后复核","")</f>
        <v/>
      </c>
      <c r="H509" s="14">
        <f>IF(F509&lt;&gt;"","待处理","")</f>
        <v/>
      </c>
    </row>
    <row r="510">
      <c r="A510" s="14">
        <f>IF(F510&lt;&gt;"","ISSUE-"&amp;TEXT(ROW()-1,"00000"),"")</f>
        <v/>
      </c>
      <c r="B510" s="14">
        <f>IF(F510&lt;&gt;"","错误","")</f>
        <v/>
      </c>
      <c r="C510" s="14">
        <f>IF('03_地点锚点'!A10&lt;&gt;"","03_地点锚点","")</f>
        <v/>
      </c>
      <c r="D510" s="14">
        <f>IF('03_地点锚点'!A10&lt;&gt;"",'03_地点锚点'!A10,"")</f>
        <v/>
      </c>
      <c r="E510" s="14">
        <f>IF(F510&lt;&gt;"","综合校验","")</f>
        <v/>
      </c>
      <c r="F510" s="14">
        <f>IF('03_地点锚点'!A10&lt;&gt;"",IF('03_地点锚点'!A10="","缺少地点ID；","")&amp;IF('03_地点锚点'!B10="","缺少中文名称；","")&amp;IF('03_地点锚点'!D10="","缺少地点类型；","")&amp;IF('03_地点锚点'!G10="","缺少世界X；","")&amp;IF('03_地点锚点'!H10="","缺少世界Y；","")&amp;IF(AND('03_地点锚点'!G10&lt;&gt;"",OR('03_地点锚点'!G10&lt;0,'03_地点锚点'!G10&gt;WorldWidth)),"世界X越界；","")&amp;IF(AND('03_地点锚点'!H10&lt;&gt;"",OR('03_地点锚点'!H10&lt;0,'03_地点锚点'!H10&gt;WorldHeight)),"世界Y越界；","")&amp;IF(AND('03_地点锚点'!E10&lt;&gt;"",COUNTIF('02_固定地理'!$A$2:$A$501,'03_地点锚点'!E10)=0),"父级行政对象不存在；","")&amp;IF(AND('03_地点锚点'!F10&lt;&gt;"",COUNTIF('03_地点锚点'!$A$2:$A$501,'03_地点锚点'!F10)=0),"父级地点不存在；","")&amp;IF(AND('03_地点锚点'!A10&lt;&gt;"",COUNTIF('03_地点锚点'!$A$2:$A$501,'03_地点锚点'!A10)&gt;1),"ID重复；",""),"")</f>
        <v/>
      </c>
      <c r="G510" s="14">
        <f>IF(F510&lt;&gt;"","按字段批注、数据字典和来源记录修正后复核","")</f>
        <v/>
      </c>
      <c r="H510" s="14">
        <f>IF(F510&lt;&gt;"","待处理","")</f>
        <v/>
      </c>
    </row>
    <row r="511">
      <c r="A511" s="14">
        <f>IF(F511&lt;&gt;"","ISSUE-"&amp;TEXT(ROW()-1,"00000"),"")</f>
        <v/>
      </c>
      <c r="B511" s="14">
        <f>IF(F511&lt;&gt;"","错误","")</f>
        <v/>
      </c>
      <c r="C511" s="14">
        <f>IF('03_地点锚点'!A11&lt;&gt;"","03_地点锚点","")</f>
        <v/>
      </c>
      <c r="D511" s="14">
        <f>IF('03_地点锚点'!A11&lt;&gt;"",'03_地点锚点'!A11,"")</f>
        <v/>
      </c>
      <c r="E511" s="14">
        <f>IF(F511&lt;&gt;"","综合校验","")</f>
        <v/>
      </c>
      <c r="F511" s="14">
        <f>IF('03_地点锚点'!A11&lt;&gt;"",IF('03_地点锚点'!A11="","缺少地点ID；","")&amp;IF('03_地点锚点'!B11="","缺少中文名称；","")&amp;IF('03_地点锚点'!D11="","缺少地点类型；","")&amp;IF('03_地点锚点'!G11="","缺少世界X；","")&amp;IF('03_地点锚点'!H11="","缺少世界Y；","")&amp;IF(AND('03_地点锚点'!G11&lt;&gt;"",OR('03_地点锚点'!G11&lt;0,'03_地点锚点'!G11&gt;WorldWidth)),"世界X越界；","")&amp;IF(AND('03_地点锚点'!H11&lt;&gt;"",OR('03_地点锚点'!H11&lt;0,'03_地点锚点'!H11&gt;WorldHeight)),"世界Y越界；","")&amp;IF(AND('03_地点锚点'!E11&lt;&gt;"",COUNTIF('02_固定地理'!$A$2:$A$501,'03_地点锚点'!E11)=0),"父级行政对象不存在；","")&amp;IF(AND('03_地点锚点'!F11&lt;&gt;"",COUNTIF('03_地点锚点'!$A$2:$A$501,'03_地点锚点'!F11)=0),"父级地点不存在；","")&amp;IF(AND('03_地点锚点'!A11&lt;&gt;"",COUNTIF('03_地点锚点'!$A$2:$A$501,'03_地点锚点'!A11)&gt;1),"ID重复；",""),"")</f>
        <v/>
      </c>
      <c r="G511" s="14">
        <f>IF(F511&lt;&gt;"","按字段批注、数据字典和来源记录修正后复核","")</f>
        <v/>
      </c>
      <c r="H511" s="14">
        <f>IF(F511&lt;&gt;"","待处理","")</f>
        <v/>
      </c>
    </row>
    <row r="512">
      <c r="A512" s="14">
        <f>IF(F512&lt;&gt;"","ISSUE-"&amp;TEXT(ROW()-1,"00000"),"")</f>
        <v/>
      </c>
      <c r="B512" s="14">
        <f>IF(F512&lt;&gt;"","错误","")</f>
        <v/>
      </c>
      <c r="C512" s="14">
        <f>IF('03_地点锚点'!A12&lt;&gt;"","03_地点锚点","")</f>
        <v/>
      </c>
      <c r="D512" s="14">
        <f>IF('03_地点锚点'!A12&lt;&gt;"",'03_地点锚点'!A12,"")</f>
        <v/>
      </c>
      <c r="E512" s="14">
        <f>IF(F512&lt;&gt;"","综合校验","")</f>
        <v/>
      </c>
      <c r="F512" s="14">
        <f>IF('03_地点锚点'!A12&lt;&gt;"",IF('03_地点锚点'!A12="","缺少地点ID；","")&amp;IF('03_地点锚点'!B12="","缺少中文名称；","")&amp;IF('03_地点锚点'!D12="","缺少地点类型；","")&amp;IF('03_地点锚点'!G12="","缺少世界X；","")&amp;IF('03_地点锚点'!H12="","缺少世界Y；","")&amp;IF(AND('03_地点锚点'!G12&lt;&gt;"",OR('03_地点锚点'!G12&lt;0,'03_地点锚点'!G12&gt;WorldWidth)),"世界X越界；","")&amp;IF(AND('03_地点锚点'!H12&lt;&gt;"",OR('03_地点锚点'!H12&lt;0,'03_地点锚点'!H12&gt;WorldHeight)),"世界Y越界；","")&amp;IF(AND('03_地点锚点'!E12&lt;&gt;"",COUNTIF('02_固定地理'!$A$2:$A$501,'03_地点锚点'!E12)=0),"父级行政对象不存在；","")&amp;IF(AND('03_地点锚点'!F12&lt;&gt;"",COUNTIF('03_地点锚点'!$A$2:$A$501,'03_地点锚点'!F12)=0),"父级地点不存在；","")&amp;IF(AND('03_地点锚点'!A12&lt;&gt;"",COUNTIF('03_地点锚点'!$A$2:$A$501,'03_地点锚点'!A12)&gt;1),"ID重复；",""),"")</f>
        <v/>
      </c>
      <c r="G512" s="14">
        <f>IF(F512&lt;&gt;"","按字段批注、数据字典和来源记录修正后复核","")</f>
        <v/>
      </c>
      <c r="H512" s="14">
        <f>IF(F512&lt;&gt;"","待处理","")</f>
        <v/>
      </c>
    </row>
    <row r="513">
      <c r="A513" s="14">
        <f>IF(F513&lt;&gt;"","ISSUE-"&amp;TEXT(ROW()-1,"00000"),"")</f>
        <v/>
      </c>
      <c r="B513" s="14">
        <f>IF(F513&lt;&gt;"","错误","")</f>
        <v/>
      </c>
      <c r="C513" s="14">
        <f>IF('03_地点锚点'!A13&lt;&gt;"","03_地点锚点","")</f>
        <v/>
      </c>
      <c r="D513" s="14">
        <f>IF('03_地点锚点'!A13&lt;&gt;"",'03_地点锚点'!A13,"")</f>
        <v/>
      </c>
      <c r="E513" s="14">
        <f>IF(F513&lt;&gt;"","综合校验","")</f>
        <v/>
      </c>
      <c r="F513" s="14">
        <f>IF('03_地点锚点'!A13&lt;&gt;"",IF('03_地点锚点'!A13="","缺少地点ID；","")&amp;IF('03_地点锚点'!B13="","缺少中文名称；","")&amp;IF('03_地点锚点'!D13="","缺少地点类型；","")&amp;IF('03_地点锚点'!G13="","缺少世界X；","")&amp;IF('03_地点锚点'!H13="","缺少世界Y；","")&amp;IF(AND('03_地点锚点'!G13&lt;&gt;"",OR('03_地点锚点'!G13&lt;0,'03_地点锚点'!G13&gt;WorldWidth)),"世界X越界；","")&amp;IF(AND('03_地点锚点'!H13&lt;&gt;"",OR('03_地点锚点'!H13&lt;0,'03_地点锚点'!H13&gt;WorldHeight)),"世界Y越界；","")&amp;IF(AND('03_地点锚点'!E13&lt;&gt;"",COUNTIF('02_固定地理'!$A$2:$A$501,'03_地点锚点'!E13)=0),"父级行政对象不存在；","")&amp;IF(AND('03_地点锚点'!F13&lt;&gt;"",COUNTIF('03_地点锚点'!$A$2:$A$501,'03_地点锚点'!F13)=0),"父级地点不存在；","")&amp;IF(AND('03_地点锚点'!A13&lt;&gt;"",COUNTIF('03_地点锚点'!$A$2:$A$501,'03_地点锚点'!A13)&gt;1),"ID重复；",""),"")</f>
        <v/>
      </c>
      <c r="G513" s="14">
        <f>IF(F513&lt;&gt;"","按字段批注、数据字典和来源记录修正后复核","")</f>
        <v/>
      </c>
      <c r="H513" s="14">
        <f>IF(F513&lt;&gt;"","待处理","")</f>
        <v/>
      </c>
    </row>
    <row r="514">
      <c r="A514" s="14">
        <f>IF(F514&lt;&gt;"","ISSUE-"&amp;TEXT(ROW()-1,"00000"),"")</f>
        <v/>
      </c>
      <c r="B514" s="14">
        <f>IF(F514&lt;&gt;"","错误","")</f>
        <v/>
      </c>
      <c r="C514" s="14">
        <f>IF('03_地点锚点'!A14&lt;&gt;"","03_地点锚点","")</f>
        <v/>
      </c>
      <c r="D514" s="14">
        <f>IF('03_地点锚点'!A14&lt;&gt;"",'03_地点锚点'!A14,"")</f>
        <v/>
      </c>
      <c r="E514" s="14">
        <f>IF(F514&lt;&gt;"","综合校验","")</f>
        <v/>
      </c>
      <c r="F514" s="14">
        <f>IF('03_地点锚点'!A14&lt;&gt;"",IF('03_地点锚点'!A14="","缺少地点ID；","")&amp;IF('03_地点锚点'!B14="","缺少中文名称；","")&amp;IF('03_地点锚点'!D14="","缺少地点类型；","")&amp;IF('03_地点锚点'!G14="","缺少世界X；","")&amp;IF('03_地点锚点'!H14="","缺少世界Y；","")&amp;IF(AND('03_地点锚点'!G14&lt;&gt;"",OR('03_地点锚点'!G14&lt;0,'03_地点锚点'!G14&gt;WorldWidth)),"世界X越界；","")&amp;IF(AND('03_地点锚点'!H14&lt;&gt;"",OR('03_地点锚点'!H14&lt;0,'03_地点锚点'!H14&gt;WorldHeight)),"世界Y越界；","")&amp;IF(AND('03_地点锚点'!E14&lt;&gt;"",COUNTIF('02_固定地理'!$A$2:$A$501,'03_地点锚点'!E14)=0),"父级行政对象不存在；","")&amp;IF(AND('03_地点锚点'!F14&lt;&gt;"",COUNTIF('03_地点锚点'!$A$2:$A$501,'03_地点锚点'!F14)=0),"父级地点不存在；","")&amp;IF(AND('03_地点锚点'!A14&lt;&gt;"",COUNTIF('03_地点锚点'!$A$2:$A$501,'03_地点锚点'!A14)&gt;1),"ID重复；",""),"")</f>
        <v/>
      </c>
      <c r="G514" s="14">
        <f>IF(F514&lt;&gt;"","按字段批注、数据字典和来源记录修正后复核","")</f>
        <v/>
      </c>
      <c r="H514" s="14">
        <f>IF(F514&lt;&gt;"","待处理","")</f>
        <v/>
      </c>
    </row>
    <row r="515">
      <c r="A515" s="14">
        <f>IF(F515&lt;&gt;"","ISSUE-"&amp;TEXT(ROW()-1,"00000"),"")</f>
        <v/>
      </c>
      <c r="B515" s="14">
        <f>IF(F515&lt;&gt;"","错误","")</f>
        <v/>
      </c>
      <c r="C515" s="14">
        <f>IF('03_地点锚点'!A15&lt;&gt;"","03_地点锚点","")</f>
        <v/>
      </c>
      <c r="D515" s="14">
        <f>IF('03_地点锚点'!A15&lt;&gt;"",'03_地点锚点'!A15,"")</f>
        <v/>
      </c>
      <c r="E515" s="14">
        <f>IF(F515&lt;&gt;"","综合校验","")</f>
        <v/>
      </c>
      <c r="F515" s="14">
        <f>IF('03_地点锚点'!A15&lt;&gt;"",IF('03_地点锚点'!A15="","缺少地点ID；","")&amp;IF('03_地点锚点'!B15="","缺少中文名称；","")&amp;IF('03_地点锚点'!D15="","缺少地点类型；","")&amp;IF('03_地点锚点'!G15="","缺少世界X；","")&amp;IF('03_地点锚点'!H15="","缺少世界Y；","")&amp;IF(AND('03_地点锚点'!G15&lt;&gt;"",OR('03_地点锚点'!G15&lt;0,'03_地点锚点'!G15&gt;WorldWidth)),"世界X越界；","")&amp;IF(AND('03_地点锚点'!H15&lt;&gt;"",OR('03_地点锚点'!H15&lt;0,'03_地点锚点'!H15&gt;WorldHeight)),"世界Y越界；","")&amp;IF(AND('03_地点锚点'!E15&lt;&gt;"",COUNTIF('02_固定地理'!$A$2:$A$501,'03_地点锚点'!E15)=0),"父级行政对象不存在；","")&amp;IF(AND('03_地点锚点'!F15&lt;&gt;"",COUNTIF('03_地点锚点'!$A$2:$A$501,'03_地点锚点'!F15)=0),"父级地点不存在；","")&amp;IF(AND('03_地点锚点'!A15&lt;&gt;"",COUNTIF('03_地点锚点'!$A$2:$A$501,'03_地点锚点'!A15)&gt;1),"ID重复；",""),"")</f>
        <v/>
      </c>
      <c r="G515" s="14">
        <f>IF(F515&lt;&gt;"","按字段批注、数据字典和来源记录修正后复核","")</f>
        <v/>
      </c>
      <c r="H515" s="14">
        <f>IF(F515&lt;&gt;"","待处理","")</f>
        <v/>
      </c>
    </row>
    <row r="516">
      <c r="A516" s="14">
        <f>IF(F516&lt;&gt;"","ISSUE-"&amp;TEXT(ROW()-1,"00000"),"")</f>
        <v/>
      </c>
      <c r="B516" s="14">
        <f>IF(F516&lt;&gt;"","错误","")</f>
        <v/>
      </c>
      <c r="C516" s="14">
        <f>IF('03_地点锚点'!A16&lt;&gt;"","03_地点锚点","")</f>
        <v/>
      </c>
      <c r="D516" s="14">
        <f>IF('03_地点锚点'!A16&lt;&gt;"",'03_地点锚点'!A16,"")</f>
        <v/>
      </c>
      <c r="E516" s="14">
        <f>IF(F516&lt;&gt;"","综合校验","")</f>
        <v/>
      </c>
      <c r="F516" s="14">
        <f>IF('03_地点锚点'!A16&lt;&gt;"",IF('03_地点锚点'!A16="","缺少地点ID；","")&amp;IF('03_地点锚点'!B16="","缺少中文名称；","")&amp;IF('03_地点锚点'!D16="","缺少地点类型；","")&amp;IF('03_地点锚点'!G16="","缺少世界X；","")&amp;IF('03_地点锚点'!H16="","缺少世界Y；","")&amp;IF(AND('03_地点锚点'!G16&lt;&gt;"",OR('03_地点锚点'!G16&lt;0,'03_地点锚点'!G16&gt;WorldWidth)),"世界X越界；","")&amp;IF(AND('03_地点锚点'!H16&lt;&gt;"",OR('03_地点锚点'!H16&lt;0,'03_地点锚点'!H16&gt;WorldHeight)),"世界Y越界；","")&amp;IF(AND('03_地点锚点'!E16&lt;&gt;"",COUNTIF('02_固定地理'!$A$2:$A$501,'03_地点锚点'!E16)=0),"父级行政对象不存在；","")&amp;IF(AND('03_地点锚点'!F16&lt;&gt;"",COUNTIF('03_地点锚点'!$A$2:$A$501,'03_地点锚点'!F16)=0),"父级地点不存在；","")&amp;IF(AND('03_地点锚点'!A16&lt;&gt;"",COUNTIF('03_地点锚点'!$A$2:$A$501,'03_地点锚点'!A16)&gt;1),"ID重复；",""),"")</f>
        <v/>
      </c>
      <c r="G516" s="14">
        <f>IF(F516&lt;&gt;"","按字段批注、数据字典和来源记录修正后复核","")</f>
        <v/>
      </c>
      <c r="H516" s="14">
        <f>IF(F516&lt;&gt;"","待处理","")</f>
        <v/>
      </c>
    </row>
    <row r="517">
      <c r="A517" s="14">
        <f>IF(F517&lt;&gt;"","ISSUE-"&amp;TEXT(ROW()-1,"00000"),"")</f>
        <v/>
      </c>
      <c r="B517" s="14">
        <f>IF(F517&lt;&gt;"","错误","")</f>
        <v/>
      </c>
      <c r="C517" s="14">
        <f>IF('03_地点锚点'!A17&lt;&gt;"","03_地点锚点","")</f>
        <v/>
      </c>
      <c r="D517" s="14">
        <f>IF('03_地点锚点'!A17&lt;&gt;"",'03_地点锚点'!A17,"")</f>
        <v/>
      </c>
      <c r="E517" s="14">
        <f>IF(F517&lt;&gt;"","综合校验","")</f>
        <v/>
      </c>
      <c r="F517" s="14">
        <f>IF('03_地点锚点'!A17&lt;&gt;"",IF('03_地点锚点'!A17="","缺少地点ID；","")&amp;IF('03_地点锚点'!B17="","缺少中文名称；","")&amp;IF('03_地点锚点'!D17="","缺少地点类型；","")&amp;IF('03_地点锚点'!G17="","缺少世界X；","")&amp;IF('03_地点锚点'!H17="","缺少世界Y；","")&amp;IF(AND('03_地点锚点'!G17&lt;&gt;"",OR('03_地点锚点'!G17&lt;0,'03_地点锚点'!G17&gt;WorldWidth)),"世界X越界；","")&amp;IF(AND('03_地点锚点'!H17&lt;&gt;"",OR('03_地点锚点'!H17&lt;0,'03_地点锚点'!H17&gt;WorldHeight)),"世界Y越界；","")&amp;IF(AND('03_地点锚点'!E17&lt;&gt;"",COUNTIF('02_固定地理'!$A$2:$A$501,'03_地点锚点'!E17)=0),"父级行政对象不存在；","")&amp;IF(AND('03_地点锚点'!F17&lt;&gt;"",COUNTIF('03_地点锚点'!$A$2:$A$501,'03_地点锚点'!F17)=0),"父级地点不存在；","")&amp;IF(AND('03_地点锚点'!A17&lt;&gt;"",COUNTIF('03_地点锚点'!$A$2:$A$501,'03_地点锚点'!A17)&gt;1),"ID重复；",""),"")</f>
        <v/>
      </c>
      <c r="G517" s="14">
        <f>IF(F517&lt;&gt;"","按字段批注、数据字典和来源记录修正后复核","")</f>
        <v/>
      </c>
      <c r="H517" s="14">
        <f>IF(F517&lt;&gt;"","待处理","")</f>
        <v/>
      </c>
    </row>
    <row r="518">
      <c r="A518" s="14">
        <f>IF(F518&lt;&gt;"","ISSUE-"&amp;TEXT(ROW()-1,"00000"),"")</f>
        <v/>
      </c>
      <c r="B518" s="14">
        <f>IF(F518&lt;&gt;"","错误","")</f>
        <v/>
      </c>
      <c r="C518" s="14">
        <f>IF('03_地点锚点'!A18&lt;&gt;"","03_地点锚点","")</f>
        <v/>
      </c>
      <c r="D518" s="14">
        <f>IF('03_地点锚点'!A18&lt;&gt;"",'03_地点锚点'!A18,"")</f>
        <v/>
      </c>
      <c r="E518" s="14">
        <f>IF(F518&lt;&gt;"","综合校验","")</f>
        <v/>
      </c>
      <c r="F518" s="14">
        <f>IF('03_地点锚点'!A18&lt;&gt;"",IF('03_地点锚点'!A18="","缺少地点ID；","")&amp;IF('03_地点锚点'!B18="","缺少中文名称；","")&amp;IF('03_地点锚点'!D18="","缺少地点类型；","")&amp;IF('03_地点锚点'!G18="","缺少世界X；","")&amp;IF('03_地点锚点'!H18="","缺少世界Y；","")&amp;IF(AND('03_地点锚点'!G18&lt;&gt;"",OR('03_地点锚点'!G18&lt;0,'03_地点锚点'!G18&gt;WorldWidth)),"世界X越界；","")&amp;IF(AND('03_地点锚点'!H18&lt;&gt;"",OR('03_地点锚点'!H18&lt;0,'03_地点锚点'!H18&gt;WorldHeight)),"世界Y越界；","")&amp;IF(AND('03_地点锚点'!E18&lt;&gt;"",COUNTIF('02_固定地理'!$A$2:$A$501,'03_地点锚点'!E18)=0),"父级行政对象不存在；","")&amp;IF(AND('03_地点锚点'!F18&lt;&gt;"",COUNTIF('03_地点锚点'!$A$2:$A$501,'03_地点锚点'!F18)=0),"父级地点不存在；","")&amp;IF(AND('03_地点锚点'!A18&lt;&gt;"",COUNTIF('03_地点锚点'!$A$2:$A$501,'03_地点锚点'!A18)&gt;1),"ID重复；",""),"")</f>
        <v/>
      </c>
      <c r="G518" s="14">
        <f>IF(F518&lt;&gt;"","按字段批注、数据字典和来源记录修正后复核","")</f>
        <v/>
      </c>
      <c r="H518" s="14">
        <f>IF(F518&lt;&gt;"","待处理","")</f>
        <v/>
      </c>
    </row>
    <row r="519">
      <c r="A519" s="14">
        <f>IF(F519&lt;&gt;"","ISSUE-"&amp;TEXT(ROW()-1,"00000"),"")</f>
        <v/>
      </c>
      <c r="B519" s="14">
        <f>IF(F519&lt;&gt;"","错误","")</f>
        <v/>
      </c>
      <c r="C519" s="14">
        <f>IF('03_地点锚点'!A19&lt;&gt;"","03_地点锚点","")</f>
        <v/>
      </c>
      <c r="D519" s="14">
        <f>IF('03_地点锚点'!A19&lt;&gt;"",'03_地点锚点'!A19,"")</f>
        <v/>
      </c>
      <c r="E519" s="14">
        <f>IF(F519&lt;&gt;"","综合校验","")</f>
        <v/>
      </c>
      <c r="F519" s="14">
        <f>IF('03_地点锚点'!A19&lt;&gt;"",IF('03_地点锚点'!A19="","缺少地点ID；","")&amp;IF('03_地点锚点'!B19="","缺少中文名称；","")&amp;IF('03_地点锚点'!D19="","缺少地点类型；","")&amp;IF('03_地点锚点'!G19="","缺少世界X；","")&amp;IF('03_地点锚点'!H19="","缺少世界Y；","")&amp;IF(AND('03_地点锚点'!G19&lt;&gt;"",OR('03_地点锚点'!G19&lt;0,'03_地点锚点'!G19&gt;WorldWidth)),"世界X越界；","")&amp;IF(AND('03_地点锚点'!H19&lt;&gt;"",OR('03_地点锚点'!H19&lt;0,'03_地点锚点'!H19&gt;WorldHeight)),"世界Y越界；","")&amp;IF(AND('03_地点锚点'!E19&lt;&gt;"",COUNTIF('02_固定地理'!$A$2:$A$501,'03_地点锚点'!E19)=0),"父级行政对象不存在；","")&amp;IF(AND('03_地点锚点'!F19&lt;&gt;"",COUNTIF('03_地点锚点'!$A$2:$A$501,'03_地点锚点'!F19)=0),"父级地点不存在；","")&amp;IF(AND('03_地点锚点'!A19&lt;&gt;"",COUNTIF('03_地点锚点'!$A$2:$A$501,'03_地点锚点'!A19)&gt;1),"ID重复；",""),"")</f>
        <v/>
      </c>
      <c r="G519" s="14">
        <f>IF(F519&lt;&gt;"","按字段批注、数据字典和来源记录修正后复核","")</f>
        <v/>
      </c>
      <c r="H519" s="14">
        <f>IF(F519&lt;&gt;"","待处理","")</f>
        <v/>
      </c>
    </row>
    <row r="520">
      <c r="A520" s="14">
        <f>IF(F520&lt;&gt;"","ISSUE-"&amp;TEXT(ROW()-1,"00000"),"")</f>
        <v/>
      </c>
      <c r="B520" s="14">
        <f>IF(F520&lt;&gt;"","错误","")</f>
        <v/>
      </c>
      <c r="C520" s="14">
        <f>IF('03_地点锚点'!A20&lt;&gt;"","03_地点锚点","")</f>
        <v/>
      </c>
      <c r="D520" s="14">
        <f>IF('03_地点锚点'!A20&lt;&gt;"",'03_地点锚点'!A20,"")</f>
        <v/>
      </c>
      <c r="E520" s="14">
        <f>IF(F520&lt;&gt;"","综合校验","")</f>
        <v/>
      </c>
      <c r="F520" s="14">
        <f>IF('03_地点锚点'!A20&lt;&gt;"",IF('03_地点锚点'!A20="","缺少地点ID；","")&amp;IF('03_地点锚点'!B20="","缺少中文名称；","")&amp;IF('03_地点锚点'!D20="","缺少地点类型；","")&amp;IF('03_地点锚点'!G20="","缺少世界X；","")&amp;IF('03_地点锚点'!H20="","缺少世界Y；","")&amp;IF(AND('03_地点锚点'!G20&lt;&gt;"",OR('03_地点锚点'!G20&lt;0,'03_地点锚点'!G20&gt;WorldWidth)),"世界X越界；","")&amp;IF(AND('03_地点锚点'!H20&lt;&gt;"",OR('03_地点锚点'!H20&lt;0,'03_地点锚点'!H20&gt;WorldHeight)),"世界Y越界；","")&amp;IF(AND('03_地点锚点'!E20&lt;&gt;"",COUNTIF('02_固定地理'!$A$2:$A$501,'03_地点锚点'!E20)=0),"父级行政对象不存在；","")&amp;IF(AND('03_地点锚点'!F20&lt;&gt;"",COUNTIF('03_地点锚点'!$A$2:$A$501,'03_地点锚点'!F20)=0),"父级地点不存在；","")&amp;IF(AND('03_地点锚点'!A20&lt;&gt;"",COUNTIF('03_地点锚点'!$A$2:$A$501,'03_地点锚点'!A20)&gt;1),"ID重复；",""),"")</f>
        <v/>
      </c>
      <c r="G520" s="14">
        <f>IF(F520&lt;&gt;"","按字段批注、数据字典和来源记录修正后复核","")</f>
        <v/>
      </c>
      <c r="H520" s="14">
        <f>IF(F520&lt;&gt;"","待处理","")</f>
        <v/>
      </c>
    </row>
    <row r="521">
      <c r="A521" s="14">
        <f>IF(F521&lt;&gt;"","ISSUE-"&amp;TEXT(ROW()-1,"00000"),"")</f>
        <v/>
      </c>
      <c r="B521" s="14">
        <f>IF(F521&lt;&gt;"","错误","")</f>
        <v/>
      </c>
      <c r="C521" s="14">
        <f>IF('03_地点锚点'!A21&lt;&gt;"","03_地点锚点","")</f>
        <v/>
      </c>
      <c r="D521" s="14">
        <f>IF('03_地点锚点'!A21&lt;&gt;"",'03_地点锚点'!A21,"")</f>
        <v/>
      </c>
      <c r="E521" s="14">
        <f>IF(F521&lt;&gt;"","综合校验","")</f>
        <v/>
      </c>
      <c r="F521" s="14">
        <f>IF('03_地点锚点'!A21&lt;&gt;"",IF('03_地点锚点'!A21="","缺少地点ID；","")&amp;IF('03_地点锚点'!B21="","缺少中文名称；","")&amp;IF('03_地点锚点'!D21="","缺少地点类型；","")&amp;IF('03_地点锚点'!G21="","缺少世界X；","")&amp;IF('03_地点锚点'!H21="","缺少世界Y；","")&amp;IF(AND('03_地点锚点'!G21&lt;&gt;"",OR('03_地点锚点'!G21&lt;0,'03_地点锚点'!G21&gt;WorldWidth)),"世界X越界；","")&amp;IF(AND('03_地点锚点'!H21&lt;&gt;"",OR('03_地点锚点'!H21&lt;0,'03_地点锚点'!H21&gt;WorldHeight)),"世界Y越界；","")&amp;IF(AND('03_地点锚点'!E21&lt;&gt;"",COUNTIF('02_固定地理'!$A$2:$A$501,'03_地点锚点'!E21)=0),"父级行政对象不存在；","")&amp;IF(AND('03_地点锚点'!F21&lt;&gt;"",COUNTIF('03_地点锚点'!$A$2:$A$501,'03_地点锚点'!F21)=0),"父级地点不存在；","")&amp;IF(AND('03_地点锚点'!A21&lt;&gt;"",COUNTIF('03_地点锚点'!$A$2:$A$501,'03_地点锚点'!A21)&gt;1),"ID重复；",""),"")</f>
        <v/>
      </c>
      <c r="G521" s="14">
        <f>IF(F521&lt;&gt;"","按字段批注、数据字典和来源记录修正后复核","")</f>
        <v/>
      </c>
      <c r="H521" s="14">
        <f>IF(F521&lt;&gt;"","待处理","")</f>
        <v/>
      </c>
    </row>
    <row r="522">
      <c r="A522" s="14">
        <f>IF(F522&lt;&gt;"","ISSUE-"&amp;TEXT(ROW()-1,"00000"),"")</f>
        <v/>
      </c>
      <c r="B522" s="14">
        <f>IF(F522&lt;&gt;"","错误","")</f>
        <v/>
      </c>
      <c r="C522" s="14">
        <f>IF('03_地点锚点'!A22&lt;&gt;"","03_地点锚点","")</f>
        <v/>
      </c>
      <c r="D522" s="14">
        <f>IF('03_地点锚点'!A22&lt;&gt;"",'03_地点锚点'!A22,"")</f>
        <v/>
      </c>
      <c r="E522" s="14">
        <f>IF(F522&lt;&gt;"","综合校验","")</f>
        <v/>
      </c>
      <c r="F522" s="14">
        <f>IF('03_地点锚点'!A22&lt;&gt;"",IF('03_地点锚点'!A22="","缺少地点ID；","")&amp;IF('03_地点锚点'!B22="","缺少中文名称；","")&amp;IF('03_地点锚点'!D22="","缺少地点类型；","")&amp;IF('03_地点锚点'!G22="","缺少世界X；","")&amp;IF('03_地点锚点'!H22="","缺少世界Y；","")&amp;IF(AND('03_地点锚点'!G22&lt;&gt;"",OR('03_地点锚点'!G22&lt;0,'03_地点锚点'!G22&gt;WorldWidth)),"世界X越界；","")&amp;IF(AND('03_地点锚点'!H22&lt;&gt;"",OR('03_地点锚点'!H22&lt;0,'03_地点锚点'!H22&gt;WorldHeight)),"世界Y越界；","")&amp;IF(AND('03_地点锚点'!E22&lt;&gt;"",COUNTIF('02_固定地理'!$A$2:$A$501,'03_地点锚点'!E22)=0),"父级行政对象不存在；","")&amp;IF(AND('03_地点锚点'!F22&lt;&gt;"",COUNTIF('03_地点锚点'!$A$2:$A$501,'03_地点锚点'!F22)=0),"父级地点不存在；","")&amp;IF(AND('03_地点锚点'!A22&lt;&gt;"",COUNTIF('03_地点锚点'!$A$2:$A$501,'03_地点锚点'!A22)&gt;1),"ID重复；",""),"")</f>
        <v/>
      </c>
      <c r="G522" s="14">
        <f>IF(F522&lt;&gt;"","按字段批注、数据字典和来源记录修正后复核","")</f>
        <v/>
      </c>
      <c r="H522" s="14">
        <f>IF(F522&lt;&gt;"","待处理","")</f>
        <v/>
      </c>
    </row>
    <row r="523">
      <c r="A523" s="14">
        <f>IF(F523&lt;&gt;"","ISSUE-"&amp;TEXT(ROW()-1,"00000"),"")</f>
        <v/>
      </c>
      <c r="B523" s="14">
        <f>IF(F523&lt;&gt;"","错误","")</f>
        <v/>
      </c>
      <c r="C523" s="14">
        <f>IF('03_地点锚点'!A23&lt;&gt;"","03_地点锚点","")</f>
        <v/>
      </c>
      <c r="D523" s="14">
        <f>IF('03_地点锚点'!A23&lt;&gt;"",'03_地点锚点'!A23,"")</f>
        <v/>
      </c>
      <c r="E523" s="14">
        <f>IF(F523&lt;&gt;"","综合校验","")</f>
        <v/>
      </c>
      <c r="F523" s="14">
        <f>IF('03_地点锚点'!A23&lt;&gt;"",IF('03_地点锚点'!A23="","缺少地点ID；","")&amp;IF('03_地点锚点'!B23="","缺少中文名称；","")&amp;IF('03_地点锚点'!D23="","缺少地点类型；","")&amp;IF('03_地点锚点'!G23="","缺少世界X；","")&amp;IF('03_地点锚点'!H23="","缺少世界Y；","")&amp;IF(AND('03_地点锚点'!G23&lt;&gt;"",OR('03_地点锚点'!G23&lt;0,'03_地点锚点'!G23&gt;WorldWidth)),"世界X越界；","")&amp;IF(AND('03_地点锚点'!H23&lt;&gt;"",OR('03_地点锚点'!H23&lt;0,'03_地点锚点'!H23&gt;WorldHeight)),"世界Y越界；","")&amp;IF(AND('03_地点锚点'!E23&lt;&gt;"",COUNTIF('02_固定地理'!$A$2:$A$501,'03_地点锚点'!E23)=0),"父级行政对象不存在；","")&amp;IF(AND('03_地点锚点'!F23&lt;&gt;"",COUNTIF('03_地点锚点'!$A$2:$A$501,'03_地点锚点'!F23)=0),"父级地点不存在；","")&amp;IF(AND('03_地点锚点'!A23&lt;&gt;"",COUNTIF('03_地点锚点'!$A$2:$A$501,'03_地点锚点'!A23)&gt;1),"ID重复；",""),"")</f>
        <v/>
      </c>
      <c r="G523" s="14">
        <f>IF(F523&lt;&gt;"","按字段批注、数据字典和来源记录修正后复核","")</f>
        <v/>
      </c>
      <c r="H523" s="14">
        <f>IF(F523&lt;&gt;"","待处理","")</f>
        <v/>
      </c>
    </row>
    <row r="524">
      <c r="A524" s="14">
        <f>IF(F524&lt;&gt;"","ISSUE-"&amp;TEXT(ROW()-1,"00000"),"")</f>
        <v/>
      </c>
      <c r="B524" s="14">
        <f>IF(F524&lt;&gt;"","错误","")</f>
        <v/>
      </c>
      <c r="C524" s="14">
        <f>IF('03_地点锚点'!A24&lt;&gt;"","03_地点锚点","")</f>
        <v/>
      </c>
      <c r="D524" s="14">
        <f>IF('03_地点锚点'!A24&lt;&gt;"",'03_地点锚点'!A24,"")</f>
        <v/>
      </c>
      <c r="E524" s="14">
        <f>IF(F524&lt;&gt;"","综合校验","")</f>
        <v/>
      </c>
      <c r="F524" s="14">
        <f>IF('03_地点锚点'!A24&lt;&gt;"",IF('03_地点锚点'!A24="","缺少地点ID；","")&amp;IF('03_地点锚点'!B24="","缺少中文名称；","")&amp;IF('03_地点锚点'!D24="","缺少地点类型；","")&amp;IF('03_地点锚点'!G24="","缺少世界X；","")&amp;IF('03_地点锚点'!H24="","缺少世界Y；","")&amp;IF(AND('03_地点锚点'!G24&lt;&gt;"",OR('03_地点锚点'!G24&lt;0,'03_地点锚点'!G24&gt;WorldWidth)),"世界X越界；","")&amp;IF(AND('03_地点锚点'!H24&lt;&gt;"",OR('03_地点锚点'!H24&lt;0,'03_地点锚点'!H24&gt;WorldHeight)),"世界Y越界；","")&amp;IF(AND('03_地点锚点'!E24&lt;&gt;"",COUNTIF('02_固定地理'!$A$2:$A$501,'03_地点锚点'!E24)=0),"父级行政对象不存在；","")&amp;IF(AND('03_地点锚点'!F24&lt;&gt;"",COUNTIF('03_地点锚点'!$A$2:$A$501,'03_地点锚点'!F24)=0),"父级地点不存在；","")&amp;IF(AND('03_地点锚点'!A24&lt;&gt;"",COUNTIF('03_地点锚点'!$A$2:$A$501,'03_地点锚点'!A24)&gt;1),"ID重复；",""),"")</f>
        <v/>
      </c>
      <c r="G524" s="14">
        <f>IF(F524&lt;&gt;"","按字段批注、数据字典和来源记录修正后复核","")</f>
        <v/>
      </c>
      <c r="H524" s="14">
        <f>IF(F524&lt;&gt;"","待处理","")</f>
        <v/>
      </c>
    </row>
    <row r="525">
      <c r="A525" s="14">
        <f>IF(F525&lt;&gt;"","ISSUE-"&amp;TEXT(ROW()-1,"00000"),"")</f>
        <v/>
      </c>
      <c r="B525" s="14">
        <f>IF(F525&lt;&gt;"","错误","")</f>
        <v/>
      </c>
      <c r="C525" s="14">
        <f>IF('03_地点锚点'!A25&lt;&gt;"","03_地点锚点","")</f>
        <v/>
      </c>
      <c r="D525" s="14">
        <f>IF('03_地点锚点'!A25&lt;&gt;"",'03_地点锚点'!A25,"")</f>
        <v/>
      </c>
      <c r="E525" s="14">
        <f>IF(F525&lt;&gt;"","综合校验","")</f>
        <v/>
      </c>
      <c r="F525" s="14">
        <f>IF('03_地点锚点'!A25&lt;&gt;"",IF('03_地点锚点'!A25="","缺少地点ID；","")&amp;IF('03_地点锚点'!B25="","缺少中文名称；","")&amp;IF('03_地点锚点'!D25="","缺少地点类型；","")&amp;IF('03_地点锚点'!G25="","缺少世界X；","")&amp;IF('03_地点锚点'!H25="","缺少世界Y；","")&amp;IF(AND('03_地点锚点'!G25&lt;&gt;"",OR('03_地点锚点'!G25&lt;0,'03_地点锚点'!G25&gt;WorldWidth)),"世界X越界；","")&amp;IF(AND('03_地点锚点'!H25&lt;&gt;"",OR('03_地点锚点'!H25&lt;0,'03_地点锚点'!H25&gt;WorldHeight)),"世界Y越界；","")&amp;IF(AND('03_地点锚点'!E25&lt;&gt;"",COUNTIF('02_固定地理'!$A$2:$A$501,'03_地点锚点'!E25)=0),"父级行政对象不存在；","")&amp;IF(AND('03_地点锚点'!F25&lt;&gt;"",COUNTIF('03_地点锚点'!$A$2:$A$501,'03_地点锚点'!F25)=0),"父级地点不存在；","")&amp;IF(AND('03_地点锚点'!A25&lt;&gt;"",COUNTIF('03_地点锚点'!$A$2:$A$501,'03_地点锚点'!A25)&gt;1),"ID重复；",""),"")</f>
        <v/>
      </c>
      <c r="G525" s="14">
        <f>IF(F525&lt;&gt;"","按字段批注、数据字典和来源记录修正后复核","")</f>
        <v/>
      </c>
      <c r="H525" s="14">
        <f>IF(F525&lt;&gt;"","待处理","")</f>
        <v/>
      </c>
    </row>
    <row r="526">
      <c r="A526" s="14">
        <f>IF(F526&lt;&gt;"","ISSUE-"&amp;TEXT(ROW()-1,"00000"),"")</f>
        <v/>
      </c>
      <c r="B526" s="14">
        <f>IF(F526&lt;&gt;"","错误","")</f>
        <v/>
      </c>
      <c r="C526" s="14">
        <f>IF('03_地点锚点'!A26&lt;&gt;"","03_地点锚点","")</f>
        <v/>
      </c>
      <c r="D526" s="14">
        <f>IF('03_地点锚点'!A26&lt;&gt;"",'03_地点锚点'!A26,"")</f>
        <v/>
      </c>
      <c r="E526" s="14">
        <f>IF(F526&lt;&gt;"","综合校验","")</f>
        <v/>
      </c>
      <c r="F526" s="14">
        <f>IF('03_地点锚点'!A26&lt;&gt;"",IF('03_地点锚点'!A26="","缺少地点ID；","")&amp;IF('03_地点锚点'!B26="","缺少中文名称；","")&amp;IF('03_地点锚点'!D26="","缺少地点类型；","")&amp;IF('03_地点锚点'!G26="","缺少世界X；","")&amp;IF('03_地点锚点'!H26="","缺少世界Y；","")&amp;IF(AND('03_地点锚点'!G26&lt;&gt;"",OR('03_地点锚点'!G26&lt;0,'03_地点锚点'!G26&gt;WorldWidth)),"世界X越界；","")&amp;IF(AND('03_地点锚点'!H26&lt;&gt;"",OR('03_地点锚点'!H26&lt;0,'03_地点锚点'!H26&gt;WorldHeight)),"世界Y越界；","")&amp;IF(AND('03_地点锚点'!E26&lt;&gt;"",COUNTIF('02_固定地理'!$A$2:$A$501,'03_地点锚点'!E26)=0),"父级行政对象不存在；","")&amp;IF(AND('03_地点锚点'!F26&lt;&gt;"",COUNTIF('03_地点锚点'!$A$2:$A$501,'03_地点锚点'!F26)=0),"父级地点不存在；","")&amp;IF(AND('03_地点锚点'!A26&lt;&gt;"",COUNTIF('03_地点锚点'!$A$2:$A$501,'03_地点锚点'!A26)&gt;1),"ID重复；",""),"")</f>
        <v/>
      </c>
      <c r="G526" s="14">
        <f>IF(F526&lt;&gt;"","按字段批注、数据字典和来源记录修正后复核","")</f>
        <v/>
      </c>
      <c r="H526" s="14">
        <f>IF(F526&lt;&gt;"","待处理","")</f>
        <v/>
      </c>
    </row>
    <row r="527">
      <c r="A527" s="14">
        <f>IF(F527&lt;&gt;"","ISSUE-"&amp;TEXT(ROW()-1,"00000"),"")</f>
        <v/>
      </c>
      <c r="B527" s="14">
        <f>IF(F527&lt;&gt;"","错误","")</f>
        <v/>
      </c>
      <c r="C527" s="14">
        <f>IF('03_地点锚点'!A27&lt;&gt;"","03_地点锚点","")</f>
        <v/>
      </c>
      <c r="D527" s="14">
        <f>IF('03_地点锚点'!A27&lt;&gt;"",'03_地点锚点'!A27,"")</f>
        <v/>
      </c>
      <c r="E527" s="14">
        <f>IF(F527&lt;&gt;"","综合校验","")</f>
        <v/>
      </c>
      <c r="F527" s="14">
        <f>IF('03_地点锚点'!A27&lt;&gt;"",IF('03_地点锚点'!A27="","缺少地点ID；","")&amp;IF('03_地点锚点'!B27="","缺少中文名称；","")&amp;IF('03_地点锚点'!D27="","缺少地点类型；","")&amp;IF('03_地点锚点'!G27="","缺少世界X；","")&amp;IF('03_地点锚点'!H27="","缺少世界Y；","")&amp;IF(AND('03_地点锚点'!G27&lt;&gt;"",OR('03_地点锚点'!G27&lt;0,'03_地点锚点'!G27&gt;WorldWidth)),"世界X越界；","")&amp;IF(AND('03_地点锚点'!H27&lt;&gt;"",OR('03_地点锚点'!H27&lt;0,'03_地点锚点'!H27&gt;WorldHeight)),"世界Y越界；","")&amp;IF(AND('03_地点锚点'!E27&lt;&gt;"",COUNTIF('02_固定地理'!$A$2:$A$501,'03_地点锚点'!E27)=0),"父级行政对象不存在；","")&amp;IF(AND('03_地点锚点'!F27&lt;&gt;"",COUNTIF('03_地点锚点'!$A$2:$A$501,'03_地点锚点'!F27)=0),"父级地点不存在；","")&amp;IF(AND('03_地点锚点'!A27&lt;&gt;"",COUNTIF('03_地点锚点'!$A$2:$A$501,'03_地点锚点'!A27)&gt;1),"ID重复；",""),"")</f>
        <v/>
      </c>
      <c r="G527" s="14">
        <f>IF(F527&lt;&gt;"","按字段批注、数据字典和来源记录修正后复核","")</f>
        <v/>
      </c>
      <c r="H527" s="14">
        <f>IF(F527&lt;&gt;"","待处理","")</f>
        <v/>
      </c>
    </row>
    <row r="528">
      <c r="A528" s="14">
        <f>IF(F528&lt;&gt;"","ISSUE-"&amp;TEXT(ROW()-1,"00000"),"")</f>
        <v/>
      </c>
      <c r="B528" s="14">
        <f>IF(F528&lt;&gt;"","错误","")</f>
        <v/>
      </c>
      <c r="C528" s="14">
        <f>IF('03_地点锚点'!A28&lt;&gt;"","03_地点锚点","")</f>
        <v/>
      </c>
      <c r="D528" s="14">
        <f>IF('03_地点锚点'!A28&lt;&gt;"",'03_地点锚点'!A28,"")</f>
        <v/>
      </c>
      <c r="E528" s="14">
        <f>IF(F528&lt;&gt;"","综合校验","")</f>
        <v/>
      </c>
      <c r="F528" s="14">
        <f>IF('03_地点锚点'!A28&lt;&gt;"",IF('03_地点锚点'!A28="","缺少地点ID；","")&amp;IF('03_地点锚点'!B28="","缺少中文名称；","")&amp;IF('03_地点锚点'!D28="","缺少地点类型；","")&amp;IF('03_地点锚点'!G28="","缺少世界X；","")&amp;IF('03_地点锚点'!H28="","缺少世界Y；","")&amp;IF(AND('03_地点锚点'!G28&lt;&gt;"",OR('03_地点锚点'!G28&lt;0,'03_地点锚点'!G28&gt;WorldWidth)),"世界X越界；","")&amp;IF(AND('03_地点锚点'!H28&lt;&gt;"",OR('03_地点锚点'!H28&lt;0,'03_地点锚点'!H28&gt;WorldHeight)),"世界Y越界；","")&amp;IF(AND('03_地点锚点'!E28&lt;&gt;"",COUNTIF('02_固定地理'!$A$2:$A$501,'03_地点锚点'!E28)=0),"父级行政对象不存在；","")&amp;IF(AND('03_地点锚点'!F28&lt;&gt;"",COUNTIF('03_地点锚点'!$A$2:$A$501,'03_地点锚点'!F28)=0),"父级地点不存在；","")&amp;IF(AND('03_地点锚点'!A28&lt;&gt;"",COUNTIF('03_地点锚点'!$A$2:$A$501,'03_地点锚点'!A28)&gt;1),"ID重复；",""),"")</f>
        <v/>
      </c>
      <c r="G528" s="14">
        <f>IF(F528&lt;&gt;"","按字段批注、数据字典和来源记录修正后复核","")</f>
        <v/>
      </c>
      <c r="H528" s="14">
        <f>IF(F528&lt;&gt;"","待处理","")</f>
        <v/>
      </c>
    </row>
    <row r="529">
      <c r="A529" s="14">
        <f>IF(F529&lt;&gt;"","ISSUE-"&amp;TEXT(ROW()-1,"00000"),"")</f>
        <v/>
      </c>
      <c r="B529" s="14">
        <f>IF(F529&lt;&gt;"","错误","")</f>
        <v/>
      </c>
      <c r="C529" s="14">
        <f>IF('03_地点锚点'!A29&lt;&gt;"","03_地点锚点","")</f>
        <v/>
      </c>
      <c r="D529" s="14">
        <f>IF('03_地点锚点'!A29&lt;&gt;"",'03_地点锚点'!A29,"")</f>
        <v/>
      </c>
      <c r="E529" s="14">
        <f>IF(F529&lt;&gt;"","综合校验","")</f>
        <v/>
      </c>
      <c r="F529" s="14">
        <f>IF('03_地点锚点'!A29&lt;&gt;"",IF('03_地点锚点'!A29="","缺少地点ID；","")&amp;IF('03_地点锚点'!B29="","缺少中文名称；","")&amp;IF('03_地点锚点'!D29="","缺少地点类型；","")&amp;IF('03_地点锚点'!G29="","缺少世界X；","")&amp;IF('03_地点锚点'!H29="","缺少世界Y；","")&amp;IF(AND('03_地点锚点'!G29&lt;&gt;"",OR('03_地点锚点'!G29&lt;0,'03_地点锚点'!G29&gt;WorldWidth)),"世界X越界；","")&amp;IF(AND('03_地点锚点'!H29&lt;&gt;"",OR('03_地点锚点'!H29&lt;0,'03_地点锚点'!H29&gt;WorldHeight)),"世界Y越界；","")&amp;IF(AND('03_地点锚点'!E29&lt;&gt;"",COUNTIF('02_固定地理'!$A$2:$A$501,'03_地点锚点'!E29)=0),"父级行政对象不存在；","")&amp;IF(AND('03_地点锚点'!F29&lt;&gt;"",COUNTIF('03_地点锚点'!$A$2:$A$501,'03_地点锚点'!F29)=0),"父级地点不存在；","")&amp;IF(AND('03_地点锚点'!A29&lt;&gt;"",COUNTIF('03_地点锚点'!$A$2:$A$501,'03_地点锚点'!A29)&gt;1),"ID重复；",""),"")</f>
        <v/>
      </c>
      <c r="G529" s="14">
        <f>IF(F529&lt;&gt;"","按字段批注、数据字典和来源记录修正后复核","")</f>
        <v/>
      </c>
      <c r="H529" s="14">
        <f>IF(F529&lt;&gt;"","待处理","")</f>
        <v/>
      </c>
    </row>
    <row r="530">
      <c r="A530" s="14">
        <f>IF(F530&lt;&gt;"","ISSUE-"&amp;TEXT(ROW()-1,"00000"),"")</f>
        <v/>
      </c>
      <c r="B530" s="14">
        <f>IF(F530&lt;&gt;"","错误","")</f>
        <v/>
      </c>
      <c r="C530" s="14">
        <f>IF('03_地点锚点'!A30&lt;&gt;"","03_地点锚点","")</f>
        <v/>
      </c>
      <c r="D530" s="14">
        <f>IF('03_地点锚点'!A30&lt;&gt;"",'03_地点锚点'!A30,"")</f>
        <v/>
      </c>
      <c r="E530" s="14">
        <f>IF(F530&lt;&gt;"","综合校验","")</f>
        <v/>
      </c>
      <c r="F530" s="14">
        <f>IF('03_地点锚点'!A30&lt;&gt;"",IF('03_地点锚点'!A30="","缺少地点ID；","")&amp;IF('03_地点锚点'!B30="","缺少中文名称；","")&amp;IF('03_地点锚点'!D30="","缺少地点类型；","")&amp;IF('03_地点锚点'!G30="","缺少世界X；","")&amp;IF('03_地点锚点'!H30="","缺少世界Y；","")&amp;IF(AND('03_地点锚点'!G30&lt;&gt;"",OR('03_地点锚点'!G30&lt;0,'03_地点锚点'!G30&gt;WorldWidth)),"世界X越界；","")&amp;IF(AND('03_地点锚点'!H30&lt;&gt;"",OR('03_地点锚点'!H30&lt;0,'03_地点锚点'!H30&gt;WorldHeight)),"世界Y越界；","")&amp;IF(AND('03_地点锚点'!E30&lt;&gt;"",COUNTIF('02_固定地理'!$A$2:$A$501,'03_地点锚点'!E30)=0),"父级行政对象不存在；","")&amp;IF(AND('03_地点锚点'!F30&lt;&gt;"",COUNTIF('03_地点锚点'!$A$2:$A$501,'03_地点锚点'!F30)=0),"父级地点不存在；","")&amp;IF(AND('03_地点锚点'!A30&lt;&gt;"",COUNTIF('03_地点锚点'!$A$2:$A$501,'03_地点锚点'!A30)&gt;1),"ID重复；",""),"")</f>
        <v/>
      </c>
      <c r="G530" s="14">
        <f>IF(F530&lt;&gt;"","按字段批注、数据字典和来源记录修正后复核","")</f>
        <v/>
      </c>
      <c r="H530" s="14">
        <f>IF(F530&lt;&gt;"","待处理","")</f>
        <v/>
      </c>
    </row>
    <row r="531">
      <c r="A531" s="14">
        <f>IF(F531&lt;&gt;"","ISSUE-"&amp;TEXT(ROW()-1,"00000"),"")</f>
        <v/>
      </c>
      <c r="B531" s="14">
        <f>IF(F531&lt;&gt;"","错误","")</f>
        <v/>
      </c>
      <c r="C531" s="14">
        <f>IF('03_地点锚点'!A31&lt;&gt;"","03_地点锚点","")</f>
        <v/>
      </c>
      <c r="D531" s="14">
        <f>IF('03_地点锚点'!A31&lt;&gt;"",'03_地点锚点'!A31,"")</f>
        <v/>
      </c>
      <c r="E531" s="14">
        <f>IF(F531&lt;&gt;"","综合校验","")</f>
        <v/>
      </c>
      <c r="F531" s="14">
        <f>IF('03_地点锚点'!A31&lt;&gt;"",IF('03_地点锚点'!A31="","缺少地点ID；","")&amp;IF('03_地点锚点'!B31="","缺少中文名称；","")&amp;IF('03_地点锚点'!D31="","缺少地点类型；","")&amp;IF('03_地点锚点'!G31="","缺少世界X；","")&amp;IF('03_地点锚点'!H31="","缺少世界Y；","")&amp;IF(AND('03_地点锚点'!G31&lt;&gt;"",OR('03_地点锚点'!G31&lt;0,'03_地点锚点'!G31&gt;WorldWidth)),"世界X越界；","")&amp;IF(AND('03_地点锚点'!H31&lt;&gt;"",OR('03_地点锚点'!H31&lt;0,'03_地点锚点'!H31&gt;WorldHeight)),"世界Y越界；","")&amp;IF(AND('03_地点锚点'!E31&lt;&gt;"",COUNTIF('02_固定地理'!$A$2:$A$501,'03_地点锚点'!E31)=0),"父级行政对象不存在；","")&amp;IF(AND('03_地点锚点'!F31&lt;&gt;"",COUNTIF('03_地点锚点'!$A$2:$A$501,'03_地点锚点'!F31)=0),"父级地点不存在；","")&amp;IF(AND('03_地点锚点'!A31&lt;&gt;"",COUNTIF('03_地点锚点'!$A$2:$A$501,'03_地点锚点'!A31)&gt;1),"ID重复；",""),"")</f>
        <v/>
      </c>
      <c r="G531" s="14">
        <f>IF(F531&lt;&gt;"","按字段批注、数据字典和来源记录修正后复核","")</f>
        <v/>
      </c>
      <c r="H531" s="14">
        <f>IF(F531&lt;&gt;"","待处理","")</f>
        <v/>
      </c>
    </row>
    <row r="532">
      <c r="A532" s="14">
        <f>IF(F532&lt;&gt;"","ISSUE-"&amp;TEXT(ROW()-1,"00000"),"")</f>
        <v/>
      </c>
      <c r="B532" s="14">
        <f>IF(F532&lt;&gt;"","错误","")</f>
        <v/>
      </c>
      <c r="C532" s="14">
        <f>IF('03_地点锚点'!A32&lt;&gt;"","03_地点锚点","")</f>
        <v/>
      </c>
      <c r="D532" s="14">
        <f>IF('03_地点锚点'!A32&lt;&gt;"",'03_地点锚点'!A32,"")</f>
        <v/>
      </c>
      <c r="E532" s="14">
        <f>IF(F532&lt;&gt;"","综合校验","")</f>
        <v/>
      </c>
      <c r="F532" s="14">
        <f>IF('03_地点锚点'!A32&lt;&gt;"",IF('03_地点锚点'!A32="","缺少地点ID；","")&amp;IF('03_地点锚点'!B32="","缺少中文名称；","")&amp;IF('03_地点锚点'!D32="","缺少地点类型；","")&amp;IF('03_地点锚点'!G32="","缺少世界X；","")&amp;IF('03_地点锚点'!H32="","缺少世界Y；","")&amp;IF(AND('03_地点锚点'!G32&lt;&gt;"",OR('03_地点锚点'!G32&lt;0,'03_地点锚点'!G32&gt;WorldWidth)),"世界X越界；","")&amp;IF(AND('03_地点锚点'!H32&lt;&gt;"",OR('03_地点锚点'!H32&lt;0,'03_地点锚点'!H32&gt;WorldHeight)),"世界Y越界；","")&amp;IF(AND('03_地点锚点'!E32&lt;&gt;"",COUNTIF('02_固定地理'!$A$2:$A$501,'03_地点锚点'!E32)=0),"父级行政对象不存在；","")&amp;IF(AND('03_地点锚点'!F32&lt;&gt;"",COUNTIF('03_地点锚点'!$A$2:$A$501,'03_地点锚点'!F32)=0),"父级地点不存在；","")&amp;IF(AND('03_地点锚点'!A32&lt;&gt;"",COUNTIF('03_地点锚点'!$A$2:$A$501,'03_地点锚点'!A32)&gt;1),"ID重复；",""),"")</f>
        <v/>
      </c>
      <c r="G532" s="14">
        <f>IF(F532&lt;&gt;"","按字段批注、数据字典和来源记录修正后复核","")</f>
        <v/>
      </c>
      <c r="H532" s="14">
        <f>IF(F532&lt;&gt;"","待处理","")</f>
        <v/>
      </c>
    </row>
    <row r="533">
      <c r="A533" s="14">
        <f>IF(F533&lt;&gt;"","ISSUE-"&amp;TEXT(ROW()-1,"00000"),"")</f>
        <v/>
      </c>
      <c r="B533" s="14">
        <f>IF(F533&lt;&gt;"","错误","")</f>
        <v/>
      </c>
      <c r="C533" s="14">
        <f>IF('03_地点锚点'!A33&lt;&gt;"","03_地点锚点","")</f>
        <v/>
      </c>
      <c r="D533" s="14">
        <f>IF('03_地点锚点'!A33&lt;&gt;"",'03_地点锚点'!A33,"")</f>
        <v/>
      </c>
      <c r="E533" s="14">
        <f>IF(F533&lt;&gt;"","综合校验","")</f>
        <v/>
      </c>
      <c r="F533" s="14">
        <f>IF('03_地点锚点'!A33&lt;&gt;"",IF('03_地点锚点'!A33="","缺少地点ID；","")&amp;IF('03_地点锚点'!B33="","缺少中文名称；","")&amp;IF('03_地点锚点'!D33="","缺少地点类型；","")&amp;IF('03_地点锚点'!G33="","缺少世界X；","")&amp;IF('03_地点锚点'!H33="","缺少世界Y；","")&amp;IF(AND('03_地点锚点'!G33&lt;&gt;"",OR('03_地点锚点'!G33&lt;0,'03_地点锚点'!G33&gt;WorldWidth)),"世界X越界；","")&amp;IF(AND('03_地点锚点'!H33&lt;&gt;"",OR('03_地点锚点'!H33&lt;0,'03_地点锚点'!H33&gt;WorldHeight)),"世界Y越界；","")&amp;IF(AND('03_地点锚点'!E33&lt;&gt;"",COUNTIF('02_固定地理'!$A$2:$A$501,'03_地点锚点'!E33)=0),"父级行政对象不存在；","")&amp;IF(AND('03_地点锚点'!F33&lt;&gt;"",COUNTIF('03_地点锚点'!$A$2:$A$501,'03_地点锚点'!F33)=0),"父级地点不存在；","")&amp;IF(AND('03_地点锚点'!A33&lt;&gt;"",COUNTIF('03_地点锚点'!$A$2:$A$501,'03_地点锚点'!A33)&gt;1),"ID重复；",""),"")</f>
        <v/>
      </c>
      <c r="G533" s="14">
        <f>IF(F533&lt;&gt;"","按字段批注、数据字典和来源记录修正后复核","")</f>
        <v/>
      </c>
      <c r="H533" s="14">
        <f>IF(F533&lt;&gt;"","待处理","")</f>
        <v/>
      </c>
    </row>
    <row r="534">
      <c r="A534" s="14">
        <f>IF(F534&lt;&gt;"","ISSUE-"&amp;TEXT(ROW()-1,"00000"),"")</f>
        <v/>
      </c>
      <c r="B534" s="14">
        <f>IF(F534&lt;&gt;"","错误","")</f>
        <v/>
      </c>
      <c r="C534" s="14">
        <f>IF('03_地点锚点'!A34&lt;&gt;"","03_地点锚点","")</f>
        <v/>
      </c>
      <c r="D534" s="14">
        <f>IF('03_地点锚点'!A34&lt;&gt;"",'03_地点锚点'!A34,"")</f>
        <v/>
      </c>
      <c r="E534" s="14">
        <f>IF(F534&lt;&gt;"","综合校验","")</f>
        <v/>
      </c>
      <c r="F534" s="14">
        <f>IF('03_地点锚点'!A34&lt;&gt;"",IF('03_地点锚点'!A34="","缺少地点ID；","")&amp;IF('03_地点锚点'!B34="","缺少中文名称；","")&amp;IF('03_地点锚点'!D34="","缺少地点类型；","")&amp;IF('03_地点锚点'!G34="","缺少世界X；","")&amp;IF('03_地点锚点'!H34="","缺少世界Y；","")&amp;IF(AND('03_地点锚点'!G34&lt;&gt;"",OR('03_地点锚点'!G34&lt;0,'03_地点锚点'!G34&gt;WorldWidth)),"世界X越界；","")&amp;IF(AND('03_地点锚点'!H34&lt;&gt;"",OR('03_地点锚点'!H34&lt;0,'03_地点锚点'!H34&gt;WorldHeight)),"世界Y越界；","")&amp;IF(AND('03_地点锚点'!E34&lt;&gt;"",COUNTIF('02_固定地理'!$A$2:$A$501,'03_地点锚点'!E34)=0),"父级行政对象不存在；","")&amp;IF(AND('03_地点锚点'!F34&lt;&gt;"",COUNTIF('03_地点锚点'!$A$2:$A$501,'03_地点锚点'!F34)=0),"父级地点不存在；","")&amp;IF(AND('03_地点锚点'!A34&lt;&gt;"",COUNTIF('03_地点锚点'!$A$2:$A$501,'03_地点锚点'!A34)&gt;1),"ID重复；",""),"")</f>
        <v/>
      </c>
      <c r="G534" s="14">
        <f>IF(F534&lt;&gt;"","按字段批注、数据字典和来源记录修正后复核","")</f>
        <v/>
      </c>
      <c r="H534" s="14">
        <f>IF(F534&lt;&gt;"","待处理","")</f>
        <v/>
      </c>
    </row>
    <row r="535">
      <c r="A535" s="14">
        <f>IF(F535&lt;&gt;"","ISSUE-"&amp;TEXT(ROW()-1,"00000"),"")</f>
        <v/>
      </c>
      <c r="B535" s="14">
        <f>IF(F535&lt;&gt;"","错误","")</f>
        <v/>
      </c>
      <c r="C535" s="14">
        <f>IF('03_地点锚点'!A35&lt;&gt;"","03_地点锚点","")</f>
        <v/>
      </c>
      <c r="D535" s="14">
        <f>IF('03_地点锚点'!A35&lt;&gt;"",'03_地点锚点'!A35,"")</f>
        <v/>
      </c>
      <c r="E535" s="14">
        <f>IF(F535&lt;&gt;"","综合校验","")</f>
        <v/>
      </c>
      <c r="F535" s="14">
        <f>IF('03_地点锚点'!A35&lt;&gt;"",IF('03_地点锚点'!A35="","缺少地点ID；","")&amp;IF('03_地点锚点'!B35="","缺少中文名称；","")&amp;IF('03_地点锚点'!D35="","缺少地点类型；","")&amp;IF('03_地点锚点'!G35="","缺少世界X；","")&amp;IF('03_地点锚点'!H35="","缺少世界Y；","")&amp;IF(AND('03_地点锚点'!G35&lt;&gt;"",OR('03_地点锚点'!G35&lt;0,'03_地点锚点'!G35&gt;WorldWidth)),"世界X越界；","")&amp;IF(AND('03_地点锚点'!H35&lt;&gt;"",OR('03_地点锚点'!H35&lt;0,'03_地点锚点'!H35&gt;WorldHeight)),"世界Y越界；","")&amp;IF(AND('03_地点锚点'!E35&lt;&gt;"",COUNTIF('02_固定地理'!$A$2:$A$501,'03_地点锚点'!E35)=0),"父级行政对象不存在；","")&amp;IF(AND('03_地点锚点'!F35&lt;&gt;"",COUNTIF('03_地点锚点'!$A$2:$A$501,'03_地点锚点'!F35)=0),"父级地点不存在；","")&amp;IF(AND('03_地点锚点'!A35&lt;&gt;"",COUNTIF('03_地点锚点'!$A$2:$A$501,'03_地点锚点'!A35)&gt;1),"ID重复；",""),"")</f>
        <v/>
      </c>
      <c r="G535" s="14">
        <f>IF(F535&lt;&gt;"","按字段批注、数据字典和来源记录修正后复核","")</f>
        <v/>
      </c>
      <c r="H535" s="14">
        <f>IF(F535&lt;&gt;"","待处理","")</f>
        <v/>
      </c>
    </row>
    <row r="536">
      <c r="A536" s="14">
        <f>IF(F536&lt;&gt;"","ISSUE-"&amp;TEXT(ROW()-1,"00000"),"")</f>
        <v/>
      </c>
      <c r="B536" s="14">
        <f>IF(F536&lt;&gt;"","错误","")</f>
        <v/>
      </c>
      <c r="C536" s="14">
        <f>IF('03_地点锚点'!A36&lt;&gt;"","03_地点锚点","")</f>
        <v/>
      </c>
      <c r="D536" s="14">
        <f>IF('03_地点锚点'!A36&lt;&gt;"",'03_地点锚点'!A36,"")</f>
        <v/>
      </c>
      <c r="E536" s="14">
        <f>IF(F536&lt;&gt;"","综合校验","")</f>
        <v/>
      </c>
      <c r="F536" s="14">
        <f>IF('03_地点锚点'!A36&lt;&gt;"",IF('03_地点锚点'!A36="","缺少地点ID；","")&amp;IF('03_地点锚点'!B36="","缺少中文名称；","")&amp;IF('03_地点锚点'!D36="","缺少地点类型；","")&amp;IF('03_地点锚点'!G36="","缺少世界X；","")&amp;IF('03_地点锚点'!H36="","缺少世界Y；","")&amp;IF(AND('03_地点锚点'!G36&lt;&gt;"",OR('03_地点锚点'!G36&lt;0,'03_地点锚点'!G36&gt;WorldWidth)),"世界X越界；","")&amp;IF(AND('03_地点锚点'!H36&lt;&gt;"",OR('03_地点锚点'!H36&lt;0,'03_地点锚点'!H36&gt;WorldHeight)),"世界Y越界；","")&amp;IF(AND('03_地点锚点'!E36&lt;&gt;"",COUNTIF('02_固定地理'!$A$2:$A$501,'03_地点锚点'!E36)=0),"父级行政对象不存在；","")&amp;IF(AND('03_地点锚点'!F36&lt;&gt;"",COUNTIF('03_地点锚点'!$A$2:$A$501,'03_地点锚点'!F36)=0),"父级地点不存在；","")&amp;IF(AND('03_地点锚点'!A36&lt;&gt;"",COUNTIF('03_地点锚点'!$A$2:$A$501,'03_地点锚点'!A36)&gt;1),"ID重复；",""),"")</f>
        <v/>
      </c>
      <c r="G536" s="14">
        <f>IF(F536&lt;&gt;"","按字段批注、数据字典和来源记录修正后复核","")</f>
        <v/>
      </c>
      <c r="H536" s="14">
        <f>IF(F536&lt;&gt;"","待处理","")</f>
        <v/>
      </c>
    </row>
    <row r="537">
      <c r="A537" s="14">
        <f>IF(F537&lt;&gt;"","ISSUE-"&amp;TEXT(ROW()-1,"00000"),"")</f>
        <v/>
      </c>
      <c r="B537" s="14">
        <f>IF(F537&lt;&gt;"","错误","")</f>
        <v/>
      </c>
      <c r="C537" s="14">
        <f>IF('03_地点锚点'!A37&lt;&gt;"","03_地点锚点","")</f>
        <v/>
      </c>
      <c r="D537" s="14">
        <f>IF('03_地点锚点'!A37&lt;&gt;"",'03_地点锚点'!A37,"")</f>
        <v/>
      </c>
      <c r="E537" s="14">
        <f>IF(F537&lt;&gt;"","综合校验","")</f>
        <v/>
      </c>
      <c r="F537" s="14">
        <f>IF('03_地点锚点'!A37&lt;&gt;"",IF('03_地点锚点'!A37="","缺少地点ID；","")&amp;IF('03_地点锚点'!B37="","缺少中文名称；","")&amp;IF('03_地点锚点'!D37="","缺少地点类型；","")&amp;IF('03_地点锚点'!G37="","缺少世界X；","")&amp;IF('03_地点锚点'!H37="","缺少世界Y；","")&amp;IF(AND('03_地点锚点'!G37&lt;&gt;"",OR('03_地点锚点'!G37&lt;0,'03_地点锚点'!G37&gt;WorldWidth)),"世界X越界；","")&amp;IF(AND('03_地点锚点'!H37&lt;&gt;"",OR('03_地点锚点'!H37&lt;0,'03_地点锚点'!H37&gt;WorldHeight)),"世界Y越界；","")&amp;IF(AND('03_地点锚点'!E37&lt;&gt;"",COUNTIF('02_固定地理'!$A$2:$A$501,'03_地点锚点'!E37)=0),"父级行政对象不存在；","")&amp;IF(AND('03_地点锚点'!F37&lt;&gt;"",COUNTIF('03_地点锚点'!$A$2:$A$501,'03_地点锚点'!F37)=0),"父级地点不存在；","")&amp;IF(AND('03_地点锚点'!A37&lt;&gt;"",COUNTIF('03_地点锚点'!$A$2:$A$501,'03_地点锚点'!A37)&gt;1),"ID重复；",""),"")</f>
        <v/>
      </c>
      <c r="G537" s="14">
        <f>IF(F537&lt;&gt;"","按字段批注、数据字典和来源记录修正后复核","")</f>
        <v/>
      </c>
      <c r="H537" s="14">
        <f>IF(F537&lt;&gt;"","待处理","")</f>
        <v/>
      </c>
    </row>
    <row r="538">
      <c r="A538" s="14">
        <f>IF(F538&lt;&gt;"","ISSUE-"&amp;TEXT(ROW()-1,"00000"),"")</f>
        <v/>
      </c>
      <c r="B538" s="14">
        <f>IF(F538&lt;&gt;"","错误","")</f>
        <v/>
      </c>
      <c r="C538" s="14">
        <f>IF('03_地点锚点'!A38&lt;&gt;"","03_地点锚点","")</f>
        <v/>
      </c>
      <c r="D538" s="14">
        <f>IF('03_地点锚点'!A38&lt;&gt;"",'03_地点锚点'!A38,"")</f>
        <v/>
      </c>
      <c r="E538" s="14">
        <f>IF(F538&lt;&gt;"","综合校验","")</f>
        <v/>
      </c>
      <c r="F538" s="14">
        <f>IF('03_地点锚点'!A38&lt;&gt;"",IF('03_地点锚点'!A38="","缺少地点ID；","")&amp;IF('03_地点锚点'!B38="","缺少中文名称；","")&amp;IF('03_地点锚点'!D38="","缺少地点类型；","")&amp;IF('03_地点锚点'!G38="","缺少世界X；","")&amp;IF('03_地点锚点'!H38="","缺少世界Y；","")&amp;IF(AND('03_地点锚点'!G38&lt;&gt;"",OR('03_地点锚点'!G38&lt;0,'03_地点锚点'!G38&gt;WorldWidth)),"世界X越界；","")&amp;IF(AND('03_地点锚点'!H38&lt;&gt;"",OR('03_地点锚点'!H38&lt;0,'03_地点锚点'!H38&gt;WorldHeight)),"世界Y越界；","")&amp;IF(AND('03_地点锚点'!E38&lt;&gt;"",COUNTIF('02_固定地理'!$A$2:$A$501,'03_地点锚点'!E38)=0),"父级行政对象不存在；","")&amp;IF(AND('03_地点锚点'!F38&lt;&gt;"",COUNTIF('03_地点锚点'!$A$2:$A$501,'03_地点锚点'!F38)=0),"父级地点不存在；","")&amp;IF(AND('03_地点锚点'!A38&lt;&gt;"",COUNTIF('03_地点锚点'!$A$2:$A$501,'03_地点锚点'!A38)&gt;1),"ID重复；",""),"")</f>
        <v/>
      </c>
      <c r="G538" s="14">
        <f>IF(F538&lt;&gt;"","按字段批注、数据字典和来源记录修正后复核","")</f>
        <v/>
      </c>
      <c r="H538" s="14">
        <f>IF(F538&lt;&gt;"","待处理","")</f>
        <v/>
      </c>
    </row>
    <row r="539">
      <c r="A539" s="14">
        <f>IF(F539&lt;&gt;"","ISSUE-"&amp;TEXT(ROW()-1,"00000"),"")</f>
        <v/>
      </c>
      <c r="B539" s="14">
        <f>IF(F539&lt;&gt;"","错误","")</f>
        <v/>
      </c>
      <c r="C539" s="14">
        <f>IF('03_地点锚点'!A39&lt;&gt;"","03_地点锚点","")</f>
        <v/>
      </c>
      <c r="D539" s="14">
        <f>IF('03_地点锚点'!A39&lt;&gt;"",'03_地点锚点'!A39,"")</f>
        <v/>
      </c>
      <c r="E539" s="14">
        <f>IF(F539&lt;&gt;"","综合校验","")</f>
        <v/>
      </c>
      <c r="F539" s="14">
        <f>IF('03_地点锚点'!A39&lt;&gt;"",IF('03_地点锚点'!A39="","缺少地点ID；","")&amp;IF('03_地点锚点'!B39="","缺少中文名称；","")&amp;IF('03_地点锚点'!D39="","缺少地点类型；","")&amp;IF('03_地点锚点'!G39="","缺少世界X；","")&amp;IF('03_地点锚点'!H39="","缺少世界Y；","")&amp;IF(AND('03_地点锚点'!G39&lt;&gt;"",OR('03_地点锚点'!G39&lt;0,'03_地点锚点'!G39&gt;WorldWidth)),"世界X越界；","")&amp;IF(AND('03_地点锚点'!H39&lt;&gt;"",OR('03_地点锚点'!H39&lt;0,'03_地点锚点'!H39&gt;WorldHeight)),"世界Y越界；","")&amp;IF(AND('03_地点锚点'!E39&lt;&gt;"",COUNTIF('02_固定地理'!$A$2:$A$501,'03_地点锚点'!E39)=0),"父级行政对象不存在；","")&amp;IF(AND('03_地点锚点'!F39&lt;&gt;"",COUNTIF('03_地点锚点'!$A$2:$A$501,'03_地点锚点'!F39)=0),"父级地点不存在；","")&amp;IF(AND('03_地点锚点'!A39&lt;&gt;"",COUNTIF('03_地点锚点'!$A$2:$A$501,'03_地点锚点'!A39)&gt;1),"ID重复；",""),"")</f>
        <v/>
      </c>
      <c r="G539" s="14">
        <f>IF(F539&lt;&gt;"","按字段批注、数据字典和来源记录修正后复核","")</f>
        <v/>
      </c>
      <c r="H539" s="14">
        <f>IF(F539&lt;&gt;"","待处理","")</f>
        <v/>
      </c>
    </row>
    <row r="540">
      <c r="A540" s="14">
        <f>IF(F540&lt;&gt;"","ISSUE-"&amp;TEXT(ROW()-1,"00000"),"")</f>
        <v/>
      </c>
      <c r="B540" s="14">
        <f>IF(F540&lt;&gt;"","错误","")</f>
        <v/>
      </c>
      <c r="C540" s="14">
        <f>IF('03_地点锚点'!A40&lt;&gt;"","03_地点锚点","")</f>
        <v/>
      </c>
      <c r="D540" s="14">
        <f>IF('03_地点锚点'!A40&lt;&gt;"",'03_地点锚点'!A40,"")</f>
        <v/>
      </c>
      <c r="E540" s="14">
        <f>IF(F540&lt;&gt;"","综合校验","")</f>
        <v/>
      </c>
      <c r="F540" s="14">
        <f>IF('03_地点锚点'!A40&lt;&gt;"",IF('03_地点锚点'!A40="","缺少地点ID；","")&amp;IF('03_地点锚点'!B40="","缺少中文名称；","")&amp;IF('03_地点锚点'!D40="","缺少地点类型；","")&amp;IF('03_地点锚点'!G40="","缺少世界X；","")&amp;IF('03_地点锚点'!H40="","缺少世界Y；","")&amp;IF(AND('03_地点锚点'!G40&lt;&gt;"",OR('03_地点锚点'!G40&lt;0,'03_地点锚点'!G40&gt;WorldWidth)),"世界X越界；","")&amp;IF(AND('03_地点锚点'!H40&lt;&gt;"",OR('03_地点锚点'!H40&lt;0,'03_地点锚点'!H40&gt;WorldHeight)),"世界Y越界；","")&amp;IF(AND('03_地点锚点'!E40&lt;&gt;"",COUNTIF('02_固定地理'!$A$2:$A$501,'03_地点锚点'!E40)=0),"父级行政对象不存在；","")&amp;IF(AND('03_地点锚点'!F40&lt;&gt;"",COUNTIF('03_地点锚点'!$A$2:$A$501,'03_地点锚点'!F40)=0),"父级地点不存在；","")&amp;IF(AND('03_地点锚点'!A40&lt;&gt;"",COUNTIF('03_地点锚点'!$A$2:$A$501,'03_地点锚点'!A40)&gt;1),"ID重复；",""),"")</f>
        <v/>
      </c>
      <c r="G540" s="14">
        <f>IF(F540&lt;&gt;"","按字段批注、数据字典和来源记录修正后复核","")</f>
        <v/>
      </c>
      <c r="H540" s="14">
        <f>IF(F540&lt;&gt;"","待处理","")</f>
        <v/>
      </c>
    </row>
    <row r="541">
      <c r="A541" s="14">
        <f>IF(F541&lt;&gt;"","ISSUE-"&amp;TEXT(ROW()-1,"00000"),"")</f>
        <v/>
      </c>
      <c r="B541" s="14">
        <f>IF(F541&lt;&gt;"","错误","")</f>
        <v/>
      </c>
      <c r="C541" s="14">
        <f>IF('03_地点锚点'!A41&lt;&gt;"","03_地点锚点","")</f>
        <v/>
      </c>
      <c r="D541" s="14">
        <f>IF('03_地点锚点'!A41&lt;&gt;"",'03_地点锚点'!A41,"")</f>
        <v/>
      </c>
      <c r="E541" s="14">
        <f>IF(F541&lt;&gt;"","综合校验","")</f>
        <v/>
      </c>
      <c r="F541" s="14">
        <f>IF('03_地点锚点'!A41&lt;&gt;"",IF('03_地点锚点'!A41="","缺少地点ID；","")&amp;IF('03_地点锚点'!B41="","缺少中文名称；","")&amp;IF('03_地点锚点'!D41="","缺少地点类型；","")&amp;IF('03_地点锚点'!G41="","缺少世界X；","")&amp;IF('03_地点锚点'!H41="","缺少世界Y；","")&amp;IF(AND('03_地点锚点'!G41&lt;&gt;"",OR('03_地点锚点'!G41&lt;0,'03_地点锚点'!G41&gt;WorldWidth)),"世界X越界；","")&amp;IF(AND('03_地点锚点'!H41&lt;&gt;"",OR('03_地点锚点'!H41&lt;0,'03_地点锚点'!H41&gt;WorldHeight)),"世界Y越界；","")&amp;IF(AND('03_地点锚点'!E41&lt;&gt;"",COUNTIF('02_固定地理'!$A$2:$A$501,'03_地点锚点'!E41)=0),"父级行政对象不存在；","")&amp;IF(AND('03_地点锚点'!F41&lt;&gt;"",COUNTIF('03_地点锚点'!$A$2:$A$501,'03_地点锚点'!F41)=0),"父级地点不存在；","")&amp;IF(AND('03_地点锚点'!A41&lt;&gt;"",COUNTIF('03_地点锚点'!$A$2:$A$501,'03_地点锚点'!A41)&gt;1),"ID重复；",""),"")</f>
        <v/>
      </c>
      <c r="G541" s="14">
        <f>IF(F541&lt;&gt;"","按字段批注、数据字典和来源记录修正后复核","")</f>
        <v/>
      </c>
      <c r="H541" s="14">
        <f>IF(F541&lt;&gt;"","待处理","")</f>
        <v/>
      </c>
    </row>
    <row r="542">
      <c r="A542" s="14">
        <f>IF(F542&lt;&gt;"","ISSUE-"&amp;TEXT(ROW()-1,"00000"),"")</f>
        <v/>
      </c>
      <c r="B542" s="14">
        <f>IF(F542&lt;&gt;"","错误","")</f>
        <v/>
      </c>
      <c r="C542" s="14">
        <f>IF('03_地点锚点'!A42&lt;&gt;"","03_地点锚点","")</f>
        <v/>
      </c>
      <c r="D542" s="14">
        <f>IF('03_地点锚点'!A42&lt;&gt;"",'03_地点锚点'!A42,"")</f>
        <v/>
      </c>
      <c r="E542" s="14">
        <f>IF(F542&lt;&gt;"","综合校验","")</f>
        <v/>
      </c>
      <c r="F542" s="14">
        <f>IF('03_地点锚点'!A42&lt;&gt;"",IF('03_地点锚点'!A42="","缺少地点ID；","")&amp;IF('03_地点锚点'!B42="","缺少中文名称；","")&amp;IF('03_地点锚点'!D42="","缺少地点类型；","")&amp;IF('03_地点锚点'!G42="","缺少世界X；","")&amp;IF('03_地点锚点'!H42="","缺少世界Y；","")&amp;IF(AND('03_地点锚点'!G42&lt;&gt;"",OR('03_地点锚点'!G42&lt;0,'03_地点锚点'!G42&gt;WorldWidth)),"世界X越界；","")&amp;IF(AND('03_地点锚点'!H42&lt;&gt;"",OR('03_地点锚点'!H42&lt;0,'03_地点锚点'!H42&gt;WorldHeight)),"世界Y越界；","")&amp;IF(AND('03_地点锚点'!E42&lt;&gt;"",COUNTIF('02_固定地理'!$A$2:$A$501,'03_地点锚点'!E42)=0),"父级行政对象不存在；","")&amp;IF(AND('03_地点锚点'!F42&lt;&gt;"",COUNTIF('03_地点锚点'!$A$2:$A$501,'03_地点锚点'!F42)=0),"父级地点不存在；","")&amp;IF(AND('03_地点锚点'!A42&lt;&gt;"",COUNTIF('03_地点锚点'!$A$2:$A$501,'03_地点锚点'!A42)&gt;1),"ID重复；",""),"")</f>
        <v/>
      </c>
      <c r="G542" s="14">
        <f>IF(F542&lt;&gt;"","按字段批注、数据字典和来源记录修正后复核","")</f>
        <v/>
      </c>
      <c r="H542" s="14">
        <f>IF(F542&lt;&gt;"","待处理","")</f>
        <v/>
      </c>
    </row>
    <row r="543">
      <c r="A543" s="14">
        <f>IF(F543&lt;&gt;"","ISSUE-"&amp;TEXT(ROW()-1,"00000"),"")</f>
        <v/>
      </c>
      <c r="B543" s="14">
        <f>IF(F543&lt;&gt;"","错误","")</f>
        <v/>
      </c>
      <c r="C543" s="14">
        <f>IF('03_地点锚点'!A43&lt;&gt;"","03_地点锚点","")</f>
        <v/>
      </c>
      <c r="D543" s="14">
        <f>IF('03_地点锚点'!A43&lt;&gt;"",'03_地点锚点'!A43,"")</f>
        <v/>
      </c>
      <c r="E543" s="14">
        <f>IF(F543&lt;&gt;"","综合校验","")</f>
        <v/>
      </c>
      <c r="F543" s="14">
        <f>IF('03_地点锚点'!A43&lt;&gt;"",IF('03_地点锚点'!A43="","缺少地点ID；","")&amp;IF('03_地点锚点'!B43="","缺少中文名称；","")&amp;IF('03_地点锚点'!D43="","缺少地点类型；","")&amp;IF('03_地点锚点'!G43="","缺少世界X；","")&amp;IF('03_地点锚点'!H43="","缺少世界Y；","")&amp;IF(AND('03_地点锚点'!G43&lt;&gt;"",OR('03_地点锚点'!G43&lt;0,'03_地点锚点'!G43&gt;WorldWidth)),"世界X越界；","")&amp;IF(AND('03_地点锚点'!H43&lt;&gt;"",OR('03_地点锚点'!H43&lt;0,'03_地点锚点'!H43&gt;WorldHeight)),"世界Y越界；","")&amp;IF(AND('03_地点锚点'!E43&lt;&gt;"",COUNTIF('02_固定地理'!$A$2:$A$501,'03_地点锚点'!E43)=0),"父级行政对象不存在；","")&amp;IF(AND('03_地点锚点'!F43&lt;&gt;"",COUNTIF('03_地点锚点'!$A$2:$A$501,'03_地点锚点'!F43)=0),"父级地点不存在；","")&amp;IF(AND('03_地点锚点'!A43&lt;&gt;"",COUNTIF('03_地点锚点'!$A$2:$A$501,'03_地点锚点'!A43)&gt;1),"ID重复；",""),"")</f>
        <v/>
      </c>
      <c r="G543" s="14">
        <f>IF(F543&lt;&gt;"","按字段批注、数据字典和来源记录修正后复核","")</f>
        <v/>
      </c>
      <c r="H543" s="14">
        <f>IF(F543&lt;&gt;"","待处理","")</f>
        <v/>
      </c>
    </row>
    <row r="544">
      <c r="A544" s="14">
        <f>IF(F544&lt;&gt;"","ISSUE-"&amp;TEXT(ROW()-1,"00000"),"")</f>
        <v/>
      </c>
      <c r="B544" s="14">
        <f>IF(F544&lt;&gt;"","错误","")</f>
        <v/>
      </c>
      <c r="C544" s="14">
        <f>IF('03_地点锚点'!A44&lt;&gt;"","03_地点锚点","")</f>
        <v/>
      </c>
      <c r="D544" s="14">
        <f>IF('03_地点锚点'!A44&lt;&gt;"",'03_地点锚点'!A44,"")</f>
        <v/>
      </c>
      <c r="E544" s="14">
        <f>IF(F544&lt;&gt;"","综合校验","")</f>
        <v/>
      </c>
      <c r="F544" s="14">
        <f>IF('03_地点锚点'!A44&lt;&gt;"",IF('03_地点锚点'!A44="","缺少地点ID；","")&amp;IF('03_地点锚点'!B44="","缺少中文名称；","")&amp;IF('03_地点锚点'!D44="","缺少地点类型；","")&amp;IF('03_地点锚点'!G44="","缺少世界X；","")&amp;IF('03_地点锚点'!H44="","缺少世界Y；","")&amp;IF(AND('03_地点锚点'!G44&lt;&gt;"",OR('03_地点锚点'!G44&lt;0,'03_地点锚点'!G44&gt;WorldWidth)),"世界X越界；","")&amp;IF(AND('03_地点锚点'!H44&lt;&gt;"",OR('03_地点锚点'!H44&lt;0,'03_地点锚点'!H44&gt;WorldHeight)),"世界Y越界；","")&amp;IF(AND('03_地点锚点'!E44&lt;&gt;"",COUNTIF('02_固定地理'!$A$2:$A$501,'03_地点锚点'!E44)=0),"父级行政对象不存在；","")&amp;IF(AND('03_地点锚点'!F44&lt;&gt;"",COUNTIF('03_地点锚点'!$A$2:$A$501,'03_地点锚点'!F44)=0),"父级地点不存在；","")&amp;IF(AND('03_地点锚点'!A44&lt;&gt;"",COUNTIF('03_地点锚点'!$A$2:$A$501,'03_地点锚点'!A44)&gt;1),"ID重复；",""),"")</f>
        <v/>
      </c>
      <c r="G544" s="14">
        <f>IF(F544&lt;&gt;"","按字段批注、数据字典和来源记录修正后复核","")</f>
        <v/>
      </c>
      <c r="H544" s="14">
        <f>IF(F544&lt;&gt;"","待处理","")</f>
        <v/>
      </c>
    </row>
    <row r="545">
      <c r="A545" s="14">
        <f>IF(F545&lt;&gt;"","ISSUE-"&amp;TEXT(ROW()-1,"00000"),"")</f>
        <v/>
      </c>
      <c r="B545" s="14">
        <f>IF(F545&lt;&gt;"","错误","")</f>
        <v/>
      </c>
      <c r="C545" s="14">
        <f>IF('03_地点锚点'!A45&lt;&gt;"","03_地点锚点","")</f>
        <v/>
      </c>
      <c r="D545" s="14">
        <f>IF('03_地点锚点'!A45&lt;&gt;"",'03_地点锚点'!A45,"")</f>
        <v/>
      </c>
      <c r="E545" s="14">
        <f>IF(F545&lt;&gt;"","综合校验","")</f>
        <v/>
      </c>
      <c r="F545" s="14">
        <f>IF('03_地点锚点'!A45&lt;&gt;"",IF('03_地点锚点'!A45="","缺少地点ID；","")&amp;IF('03_地点锚点'!B45="","缺少中文名称；","")&amp;IF('03_地点锚点'!D45="","缺少地点类型；","")&amp;IF('03_地点锚点'!G45="","缺少世界X；","")&amp;IF('03_地点锚点'!H45="","缺少世界Y；","")&amp;IF(AND('03_地点锚点'!G45&lt;&gt;"",OR('03_地点锚点'!G45&lt;0,'03_地点锚点'!G45&gt;WorldWidth)),"世界X越界；","")&amp;IF(AND('03_地点锚点'!H45&lt;&gt;"",OR('03_地点锚点'!H45&lt;0,'03_地点锚点'!H45&gt;WorldHeight)),"世界Y越界；","")&amp;IF(AND('03_地点锚点'!E45&lt;&gt;"",COUNTIF('02_固定地理'!$A$2:$A$501,'03_地点锚点'!E45)=0),"父级行政对象不存在；","")&amp;IF(AND('03_地点锚点'!F45&lt;&gt;"",COUNTIF('03_地点锚点'!$A$2:$A$501,'03_地点锚点'!F45)=0),"父级地点不存在；","")&amp;IF(AND('03_地点锚点'!A45&lt;&gt;"",COUNTIF('03_地点锚点'!$A$2:$A$501,'03_地点锚点'!A45)&gt;1),"ID重复；",""),"")</f>
        <v/>
      </c>
      <c r="G545" s="14">
        <f>IF(F545&lt;&gt;"","按字段批注、数据字典和来源记录修正后复核","")</f>
        <v/>
      </c>
      <c r="H545" s="14">
        <f>IF(F545&lt;&gt;"","待处理","")</f>
        <v/>
      </c>
    </row>
    <row r="546">
      <c r="A546" s="14">
        <f>IF(F546&lt;&gt;"","ISSUE-"&amp;TEXT(ROW()-1,"00000"),"")</f>
        <v/>
      </c>
      <c r="B546" s="14">
        <f>IF(F546&lt;&gt;"","错误","")</f>
        <v/>
      </c>
      <c r="C546" s="14">
        <f>IF('03_地点锚点'!A46&lt;&gt;"","03_地点锚点","")</f>
        <v/>
      </c>
      <c r="D546" s="14">
        <f>IF('03_地点锚点'!A46&lt;&gt;"",'03_地点锚点'!A46,"")</f>
        <v/>
      </c>
      <c r="E546" s="14">
        <f>IF(F546&lt;&gt;"","综合校验","")</f>
        <v/>
      </c>
      <c r="F546" s="14">
        <f>IF('03_地点锚点'!A46&lt;&gt;"",IF('03_地点锚点'!A46="","缺少地点ID；","")&amp;IF('03_地点锚点'!B46="","缺少中文名称；","")&amp;IF('03_地点锚点'!D46="","缺少地点类型；","")&amp;IF('03_地点锚点'!G46="","缺少世界X；","")&amp;IF('03_地点锚点'!H46="","缺少世界Y；","")&amp;IF(AND('03_地点锚点'!G46&lt;&gt;"",OR('03_地点锚点'!G46&lt;0,'03_地点锚点'!G46&gt;WorldWidth)),"世界X越界；","")&amp;IF(AND('03_地点锚点'!H46&lt;&gt;"",OR('03_地点锚点'!H46&lt;0,'03_地点锚点'!H46&gt;WorldHeight)),"世界Y越界；","")&amp;IF(AND('03_地点锚点'!E46&lt;&gt;"",COUNTIF('02_固定地理'!$A$2:$A$501,'03_地点锚点'!E46)=0),"父级行政对象不存在；","")&amp;IF(AND('03_地点锚点'!F46&lt;&gt;"",COUNTIF('03_地点锚点'!$A$2:$A$501,'03_地点锚点'!F46)=0),"父级地点不存在；","")&amp;IF(AND('03_地点锚点'!A46&lt;&gt;"",COUNTIF('03_地点锚点'!$A$2:$A$501,'03_地点锚点'!A46)&gt;1),"ID重复；",""),"")</f>
        <v/>
      </c>
      <c r="G546" s="14">
        <f>IF(F546&lt;&gt;"","按字段批注、数据字典和来源记录修正后复核","")</f>
        <v/>
      </c>
      <c r="H546" s="14">
        <f>IF(F546&lt;&gt;"","待处理","")</f>
        <v/>
      </c>
    </row>
    <row r="547">
      <c r="A547" s="14">
        <f>IF(F547&lt;&gt;"","ISSUE-"&amp;TEXT(ROW()-1,"00000"),"")</f>
        <v/>
      </c>
      <c r="B547" s="14">
        <f>IF(F547&lt;&gt;"","错误","")</f>
        <v/>
      </c>
      <c r="C547" s="14">
        <f>IF('03_地点锚点'!A47&lt;&gt;"","03_地点锚点","")</f>
        <v/>
      </c>
      <c r="D547" s="14">
        <f>IF('03_地点锚点'!A47&lt;&gt;"",'03_地点锚点'!A47,"")</f>
        <v/>
      </c>
      <c r="E547" s="14">
        <f>IF(F547&lt;&gt;"","综合校验","")</f>
        <v/>
      </c>
      <c r="F547" s="14">
        <f>IF('03_地点锚点'!A47&lt;&gt;"",IF('03_地点锚点'!A47="","缺少地点ID；","")&amp;IF('03_地点锚点'!B47="","缺少中文名称；","")&amp;IF('03_地点锚点'!D47="","缺少地点类型；","")&amp;IF('03_地点锚点'!G47="","缺少世界X；","")&amp;IF('03_地点锚点'!H47="","缺少世界Y；","")&amp;IF(AND('03_地点锚点'!G47&lt;&gt;"",OR('03_地点锚点'!G47&lt;0,'03_地点锚点'!G47&gt;WorldWidth)),"世界X越界；","")&amp;IF(AND('03_地点锚点'!H47&lt;&gt;"",OR('03_地点锚点'!H47&lt;0,'03_地点锚点'!H47&gt;WorldHeight)),"世界Y越界；","")&amp;IF(AND('03_地点锚点'!E47&lt;&gt;"",COUNTIF('02_固定地理'!$A$2:$A$501,'03_地点锚点'!E47)=0),"父级行政对象不存在；","")&amp;IF(AND('03_地点锚点'!F47&lt;&gt;"",COUNTIF('03_地点锚点'!$A$2:$A$501,'03_地点锚点'!F47)=0),"父级地点不存在；","")&amp;IF(AND('03_地点锚点'!A47&lt;&gt;"",COUNTIF('03_地点锚点'!$A$2:$A$501,'03_地点锚点'!A47)&gt;1),"ID重复；",""),"")</f>
        <v/>
      </c>
      <c r="G547" s="14">
        <f>IF(F547&lt;&gt;"","按字段批注、数据字典和来源记录修正后复核","")</f>
        <v/>
      </c>
      <c r="H547" s="14">
        <f>IF(F547&lt;&gt;"","待处理","")</f>
        <v/>
      </c>
    </row>
    <row r="548">
      <c r="A548" s="14">
        <f>IF(F548&lt;&gt;"","ISSUE-"&amp;TEXT(ROW()-1,"00000"),"")</f>
        <v/>
      </c>
      <c r="B548" s="14">
        <f>IF(F548&lt;&gt;"","错误","")</f>
        <v/>
      </c>
      <c r="C548" s="14">
        <f>IF('03_地点锚点'!A48&lt;&gt;"","03_地点锚点","")</f>
        <v/>
      </c>
      <c r="D548" s="14">
        <f>IF('03_地点锚点'!A48&lt;&gt;"",'03_地点锚点'!A48,"")</f>
        <v/>
      </c>
      <c r="E548" s="14">
        <f>IF(F548&lt;&gt;"","综合校验","")</f>
        <v/>
      </c>
      <c r="F548" s="14">
        <f>IF('03_地点锚点'!A48&lt;&gt;"",IF('03_地点锚点'!A48="","缺少地点ID；","")&amp;IF('03_地点锚点'!B48="","缺少中文名称；","")&amp;IF('03_地点锚点'!D48="","缺少地点类型；","")&amp;IF('03_地点锚点'!G48="","缺少世界X；","")&amp;IF('03_地点锚点'!H48="","缺少世界Y；","")&amp;IF(AND('03_地点锚点'!G48&lt;&gt;"",OR('03_地点锚点'!G48&lt;0,'03_地点锚点'!G48&gt;WorldWidth)),"世界X越界；","")&amp;IF(AND('03_地点锚点'!H48&lt;&gt;"",OR('03_地点锚点'!H48&lt;0,'03_地点锚点'!H48&gt;WorldHeight)),"世界Y越界；","")&amp;IF(AND('03_地点锚点'!E48&lt;&gt;"",COUNTIF('02_固定地理'!$A$2:$A$501,'03_地点锚点'!E48)=0),"父级行政对象不存在；","")&amp;IF(AND('03_地点锚点'!F48&lt;&gt;"",COUNTIF('03_地点锚点'!$A$2:$A$501,'03_地点锚点'!F48)=0),"父级地点不存在；","")&amp;IF(AND('03_地点锚点'!A48&lt;&gt;"",COUNTIF('03_地点锚点'!$A$2:$A$501,'03_地点锚点'!A48)&gt;1),"ID重复；",""),"")</f>
        <v/>
      </c>
      <c r="G548" s="14">
        <f>IF(F548&lt;&gt;"","按字段批注、数据字典和来源记录修正后复核","")</f>
        <v/>
      </c>
      <c r="H548" s="14">
        <f>IF(F548&lt;&gt;"","待处理","")</f>
        <v/>
      </c>
    </row>
    <row r="549">
      <c r="A549" s="14">
        <f>IF(F549&lt;&gt;"","ISSUE-"&amp;TEXT(ROW()-1,"00000"),"")</f>
        <v/>
      </c>
      <c r="B549" s="14">
        <f>IF(F549&lt;&gt;"","错误","")</f>
        <v/>
      </c>
      <c r="C549" s="14">
        <f>IF('03_地点锚点'!A49&lt;&gt;"","03_地点锚点","")</f>
        <v/>
      </c>
      <c r="D549" s="14">
        <f>IF('03_地点锚点'!A49&lt;&gt;"",'03_地点锚点'!A49,"")</f>
        <v/>
      </c>
      <c r="E549" s="14">
        <f>IF(F549&lt;&gt;"","综合校验","")</f>
        <v/>
      </c>
      <c r="F549" s="14">
        <f>IF('03_地点锚点'!A49&lt;&gt;"",IF('03_地点锚点'!A49="","缺少地点ID；","")&amp;IF('03_地点锚点'!B49="","缺少中文名称；","")&amp;IF('03_地点锚点'!D49="","缺少地点类型；","")&amp;IF('03_地点锚点'!G49="","缺少世界X；","")&amp;IF('03_地点锚点'!H49="","缺少世界Y；","")&amp;IF(AND('03_地点锚点'!G49&lt;&gt;"",OR('03_地点锚点'!G49&lt;0,'03_地点锚点'!G49&gt;WorldWidth)),"世界X越界；","")&amp;IF(AND('03_地点锚点'!H49&lt;&gt;"",OR('03_地点锚点'!H49&lt;0,'03_地点锚点'!H49&gt;WorldHeight)),"世界Y越界；","")&amp;IF(AND('03_地点锚点'!E49&lt;&gt;"",COUNTIF('02_固定地理'!$A$2:$A$501,'03_地点锚点'!E49)=0),"父级行政对象不存在；","")&amp;IF(AND('03_地点锚点'!F49&lt;&gt;"",COUNTIF('03_地点锚点'!$A$2:$A$501,'03_地点锚点'!F49)=0),"父级地点不存在；","")&amp;IF(AND('03_地点锚点'!A49&lt;&gt;"",COUNTIF('03_地点锚点'!$A$2:$A$501,'03_地点锚点'!A49)&gt;1),"ID重复；",""),"")</f>
        <v/>
      </c>
      <c r="G549" s="14">
        <f>IF(F549&lt;&gt;"","按字段批注、数据字典和来源记录修正后复核","")</f>
        <v/>
      </c>
      <c r="H549" s="14">
        <f>IF(F549&lt;&gt;"","待处理","")</f>
        <v/>
      </c>
    </row>
    <row r="550">
      <c r="A550" s="14">
        <f>IF(F550&lt;&gt;"","ISSUE-"&amp;TEXT(ROW()-1,"00000"),"")</f>
        <v/>
      </c>
      <c r="B550" s="14">
        <f>IF(F550&lt;&gt;"","错误","")</f>
        <v/>
      </c>
      <c r="C550" s="14">
        <f>IF('03_地点锚点'!A50&lt;&gt;"","03_地点锚点","")</f>
        <v/>
      </c>
      <c r="D550" s="14">
        <f>IF('03_地点锚点'!A50&lt;&gt;"",'03_地点锚点'!A50,"")</f>
        <v/>
      </c>
      <c r="E550" s="14">
        <f>IF(F550&lt;&gt;"","综合校验","")</f>
        <v/>
      </c>
      <c r="F550" s="14">
        <f>IF('03_地点锚点'!A50&lt;&gt;"",IF('03_地点锚点'!A50="","缺少地点ID；","")&amp;IF('03_地点锚点'!B50="","缺少中文名称；","")&amp;IF('03_地点锚点'!D50="","缺少地点类型；","")&amp;IF('03_地点锚点'!G50="","缺少世界X；","")&amp;IF('03_地点锚点'!H50="","缺少世界Y；","")&amp;IF(AND('03_地点锚点'!G50&lt;&gt;"",OR('03_地点锚点'!G50&lt;0,'03_地点锚点'!G50&gt;WorldWidth)),"世界X越界；","")&amp;IF(AND('03_地点锚点'!H50&lt;&gt;"",OR('03_地点锚点'!H50&lt;0,'03_地点锚点'!H50&gt;WorldHeight)),"世界Y越界；","")&amp;IF(AND('03_地点锚点'!E50&lt;&gt;"",COUNTIF('02_固定地理'!$A$2:$A$501,'03_地点锚点'!E50)=0),"父级行政对象不存在；","")&amp;IF(AND('03_地点锚点'!F50&lt;&gt;"",COUNTIF('03_地点锚点'!$A$2:$A$501,'03_地点锚点'!F50)=0),"父级地点不存在；","")&amp;IF(AND('03_地点锚点'!A50&lt;&gt;"",COUNTIF('03_地点锚点'!$A$2:$A$501,'03_地点锚点'!A50)&gt;1),"ID重复；",""),"")</f>
        <v/>
      </c>
      <c r="G550" s="14">
        <f>IF(F550&lt;&gt;"","按字段批注、数据字典和来源记录修正后复核","")</f>
        <v/>
      </c>
      <c r="H550" s="14">
        <f>IF(F550&lt;&gt;"","待处理","")</f>
        <v/>
      </c>
    </row>
    <row r="551">
      <c r="A551" s="14">
        <f>IF(F551&lt;&gt;"","ISSUE-"&amp;TEXT(ROW()-1,"00000"),"")</f>
        <v/>
      </c>
      <c r="B551" s="14">
        <f>IF(F551&lt;&gt;"","错误","")</f>
        <v/>
      </c>
      <c r="C551" s="14">
        <f>IF('03_地点锚点'!A51&lt;&gt;"","03_地点锚点","")</f>
        <v/>
      </c>
      <c r="D551" s="14">
        <f>IF('03_地点锚点'!A51&lt;&gt;"",'03_地点锚点'!A51,"")</f>
        <v/>
      </c>
      <c r="E551" s="14">
        <f>IF(F551&lt;&gt;"","综合校验","")</f>
        <v/>
      </c>
      <c r="F551" s="14">
        <f>IF('03_地点锚点'!A51&lt;&gt;"",IF('03_地点锚点'!A51="","缺少地点ID；","")&amp;IF('03_地点锚点'!B51="","缺少中文名称；","")&amp;IF('03_地点锚点'!D51="","缺少地点类型；","")&amp;IF('03_地点锚点'!G51="","缺少世界X；","")&amp;IF('03_地点锚点'!H51="","缺少世界Y；","")&amp;IF(AND('03_地点锚点'!G51&lt;&gt;"",OR('03_地点锚点'!G51&lt;0,'03_地点锚点'!G51&gt;WorldWidth)),"世界X越界；","")&amp;IF(AND('03_地点锚点'!H51&lt;&gt;"",OR('03_地点锚点'!H51&lt;0,'03_地点锚点'!H51&gt;WorldHeight)),"世界Y越界；","")&amp;IF(AND('03_地点锚点'!E51&lt;&gt;"",COUNTIF('02_固定地理'!$A$2:$A$501,'03_地点锚点'!E51)=0),"父级行政对象不存在；","")&amp;IF(AND('03_地点锚点'!F51&lt;&gt;"",COUNTIF('03_地点锚点'!$A$2:$A$501,'03_地点锚点'!F51)=0),"父级地点不存在；","")&amp;IF(AND('03_地点锚点'!A51&lt;&gt;"",COUNTIF('03_地点锚点'!$A$2:$A$501,'03_地点锚点'!A51)&gt;1),"ID重复；",""),"")</f>
        <v/>
      </c>
      <c r="G551" s="14">
        <f>IF(F551&lt;&gt;"","按字段批注、数据字典和来源记录修正后复核","")</f>
        <v/>
      </c>
      <c r="H551" s="14">
        <f>IF(F551&lt;&gt;"","待处理","")</f>
        <v/>
      </c>
    </row>
    <row r="552">
      <c r="A552" s="14">
        <f>IF(F552&lt;&gt;"","ISSUE-"&amp;TEXT(ROW()-1,"00000"),"")</f>
        <v/>
      </c>
      <c r="B552" s="14">
        <f>IF(F552&lt;&gt;"","错误","")</f>
        <v/>
      </c>
      <c r="C552" s="14">
        <f>IF('03_地点锚点'!A52&lt;&gt;"","03_地点锚点","")</f>
        <v/>
      </c>
      <c r="D552" s="14">
        <f>IF('03_地点锚点'!A52&lt;&gt;"",'03_地点锚点'!A52,"")</f>
        <v/>
      </c>
      <c r="E552" s="14">
        <f>IF(F552&lt;&gt;"","综合校验","")</f>
        <v/>
      </c>
      <c r="F552" s="14">
        <f>IF('03_地点锚点'!A52&lt;&gt;"",IF('03_地点锚点'!A52="","缺少地点ID；","")&amp;IF('03_地点锚点'!B52="","缺少中文名称；","")&amp;IF('03_地点锚点'!D52="","缺少地点类型；","")&amp;IF('03_地点锚点'!G52="","缺少世界X；","")&amp;IF('03_地点锚点'!H52="","缺少世界Y；","")&amp;IF(AND('03_地点锚点'!G52&lt;&gt;"",OR('03_地点锚点'!G52&lt;0,'03_地点锚点'!G52&gt;WorldWidth)),"世界X越界；","")&amp;IF(AND('03_地点锚点'!H52&lt;&gt;"",OR('03_地点锚点'!H52&lt;0,'03_地点锚点'!H52&gt;WorldHeight)),"世界Y越界；","")&amp;IF(AND('03_地点锚点'!E52&lt;&gt;"",COUNTIF('02_固定地理'!$A$2:$A$501,'03_地点锚点'!E52)=0),"父级行政对象不存在；","")&amp;IF(AND('03_地点锚点'!F52&lt;&gt;"",COUNTIF('03_地点锚点'!$A$2:$A$501,'03_地点锚点'!F52)=0),"父级地点不存在；","")&amp;IF(AND('03_地点锚点'!A52&lt;&gt;"",COUNTIF('03_地点锚点'!$A$2:$A$501,'03_地点锚点'!A52)&gt;1),"ID重复；",""),"")</f>
        <v/>
      </c>
      <c r="G552" s="14">
        <f>IF(F552&lt;&gt;"","按字段批注、数据字典和来源记录修正后复核","")</f>
        <v/>
      </c>
      <c r="H552" s="14">
        <f>IF(F552&lt;&gt;"","待处理","")</f>
        <v/>
      </c>
    </row>
    <row r="553">
      <c r="A553" s="14">
        <f>IF(F553&lt;&gt;"","ISSUE-"&amp;TEXT(ROW()-1,"00000"),"")</f>
        <v/>
      </c>
      <c r="B553" s="14">
        <f>IF(F553&lt;&gt;"","错误","")</f>
        <v/>
      </c>
      <c r="C553" s="14">
        <f>IF('03_地点锚点'!A53&lt;&gt;"","03_地点锚点","")</f>
        <v/>
      </c>
      <c r="D553" s="14">
        <f>IF('03_地点锚点'!A53&lt;&gt;"",'03_地点锚点'!A53,"")</f>
        <v/>
      </c>
      <c r="E553" s="14">
        <f>IF(F553&lt;&gt;"","综合校验","")</f>
        <v/>
      </c>
      <c r="F553" s="14">
        <f>IF('03_地点锚点'!A53&lt;&gt;"",IF('03_地点锚点'!A53="","缺少地点ID；","")&amp;IF('03_地点锚点'!B53="","缺少中文名称；","")&amp;IF('03_地点锚点'!D53="","缺少地点类型；","")&amp;IF('03_地点锚点'!G53="","缺少世界X；","")&amp;IF('03_地点锚点'!H53="","缺少世界Y；","")&amp;IF(AND('03_地点锚点'!G53&lt;&gt;"",OR('03_地点锚点'!G53&lt;0,'03_地点锚点'!G53&gt;WorldWidth)),"世界X越界；","")&amp;IF(AND('03_地点锚点'!H53&lt;&gt;"",OR('03_地点锚点'!H53&lt;0,'03_地点锚点'!H53&gt;WorldHeight)),"世界Y越界；","")&amp;IF(AND('03_地点锚点'!E53&lt;&gt;"",COUNTIF('02_固定地理'!$A$2:$A$501,'03_地点锚点'!E53)=0),"父级行政对象不存在；","")&amp;IF(AND('03_地点锚点'!F53&lt;&gt;"",COUNTIF('03_地点锚点'!$A$2:$A$501,'03_地点锚点'!F53)=0),"父级地点不存在；","")&amp;IF(AND('03_地点锚点'!A53&lt;&gt;"",COUNTIF('03_地点锚点'!$A$2:$A$501,'03_地点锚点'!A53)&gt;1),"ID重复；",""),"")</f>
        <v/>
      </c>
      <c r="G553" s="14">
        <f>IF(F553&lt;&gt;"","按字段批注、数据字典和来源记录修正后复核","")</f>
        <v/>
      </c>
      <c r="H553" s="14">
        <f>IF(F553&lt;&gt;"","待处理","")</f>
        <v/>
      </c>
    </row>
    <row r="554">
      <c r="A554" s="14">
        <f>IF(F554&lt;&gt;"","ISSUE-"&amp;TEXT(ROW()-1,"00000"),"")</f>
        <v/>
      </c>
      <c r="B554" s="14">
        <f>IF(F554&lt;&gt;"","错误","")</f>
        <v/>
      </c>
      <c r="C554" s="14">
        <f>IF('03_地点锚点'!A54&lt;&gt;"","03_地点锚点","")</f>
        <v/>
      </c>
      <c r="D554" s="14">
        <f>IF('03_地点锚点'!A54&lt;&gt;"",'03_地点锚点'!A54,"")</f>
        <v/>
      </c>
      <c r="E554" s="14">
        <f>IF(F554&lt;&gt;"","综合校验","")</f>
        <v/>
      </c>
      <c r="F554" s="14">
        <f>IF('03_地点锚点'!A54&lt;&gt;"",IF('03_地点锚点'!A54="","缺少地点ID；","")&amp;IF('03_地点锚点'!B54="","缺少中文名称；","")&amp;IF('03_地点锚点'!D54="","缺少地点类型；","")&amp;IF('03_地点锚点'!G54="","缺少世界X；","")&amp;IF('03_地点锚点'!H54="","缺少世界Y；","")&amp;IF(AND('03_地点锚点'!G54&lt;&gt;"",OR('03_地点锚点'!G54&lt;0,'03_地点锚点'!G54&gt;WorldWidth)),"世界X越界；","")&amp;IF(AND('03_地点锚点'!H54&lt;&gt;"",OR('03_地点锚点'!H54&lt;0,'03_地点锚点'!H54&gt;WorldHeight)),"世界Y越界；","")&amp;IF(AND('03_地点锚点'!E54&lt;&gt;"",COUNTIF('02_固定地理'!$A$2:$A$501,'03_地点锚点'!E54)=0),"父级行政对象不存在；","")&amp;IF(AND('03_地点锚点'!F54&lt;&gt;"",COUNTIF('03_地点锚点'!$A$2:$A$501,'03_地点锚点'!F54)=0),"父级地点不存在；","")&amp;IF(AND('03_地点锚点'!A54&lt;&gt;"",COUNTIF('03_地点锚点'!$A$2:$A$501,'03_地点锚点'!A54)&gt;1),"ID重复；",""),"")</f>
        <v/>
      </c>
      <c r="G554" s="14">
        <f>IF(F554&lt;&gt;"","按字段批注、数据字典和来源记录修正后复核","")</f>
        <v/>
      </c>
      <c r="H554" s="14">
        <f>IF(F554&lt;&gt;"","待处理","")</f>
        <v/>
      </c>
    </row>
    <row r="555">
      <c r="A555" s="14">
        <f>IF(F555&lt;&gt;"","ISSUE-"&amp;TEXT(ROW()-1,"00000"),"")</f>
        <v/>
      </c>
      <c r="B555" s="14">
        <f>IF(F555&lt;&gt;"","错误","")</f>
        <v/>
      </c>
      <c r="C555" s="14">
        <f>IF('03_地点锚点'!A55&lt;&gt;"","03_地点锚点","")</f>
        <v/>
      </c>
      <c r="D555" s="14">
        <f>IF('03_地点锚点'!A55&lt;&gt;"",'03_地点锚点'!A55,"")</f>
        <v/>
      </c>
      <c r="E555" s="14">
        <f>IF(F555&lt;&gt;"","综合校验","")</f>
        <v/>
      </c>
      <c r="F555" s="14">
        <f>IF('03_地点锚点'!A55&lt;&gt;"",IF('03_地点锚点'!A55="","缺少地点ID；","")&amp;IF('03_地点锚点'!B55="","缺少中文名称；","")&amp;IF('03_地点锚点'!D55="","缺少地点类型；","")&amp;IF('03_地点锚点'!G55="","缺少世界X；","")&amp;IF('03_地点锚点'!H55="","缺少世界Y；","")&amp;IF(AND('03_地点锚点'!G55&lt;&gt;"",OR('03_地点锚点'!G55&lt;0,'03_地点锚点'!G55&gt;WorldWidth)),"世界X越界；","")&amp;IF(AND('03_地点锚点'!H55&lt;&gt;"",OR('03_地点锚点'!H55&lt;0,'03_地点锚点'!H55&gt;WorldHeight)),"世界Y越界；","")&amp;IF(AND('03_地点锚点'!E55&lt;&gt;"",COUNTIF('02_固定地理'!$A$2:$A$501,'03_地点锚点'!E55)=0),"父级行政对象不存在；","")&amp;IF(AND('03_地点锚点'!F55&lt;&gt;"",COUNTIF('03_地点锚点'!$A$2:$A$501,'03_地点锚点'!F55)=0),"父级地点不存在；","")&amp;IF(AND('03_地点锚点'!A55&lt;&gt;"",COUNTIF('03_地点锚点'!$A$2:$A$501,'03_地点锚点'!A55)&gt;1),"ID重复；",""),"")</f>
        <v/>
      </c>
      <c r="G555" s="14">
        <f>IF(F555&lt;&gt;"","按字段批注、数据字典和来源记录修正后复核","")</f>
        <v/>
      </c>
      <c r="H555" s="14">
        <f>IF(F555&lt;&gt;"","待处理","")</f>
        <v/>
      </c>
    </row>
    <row r="556">
      <c r="A556" s="14">
        <f>IF(F556&lt;&gt;"","ISSUE-"&amp;TEXT(ROW()-1,"00000"),"")</f>
        <v/>
      </c>
      <c r="B556" s="14">
        <f>IF(F556&lt;&gt;"","错误","")</f>
        <v/>
      </c>
      <c r="C556" s="14">
        <f>IF('03_地点锚点'!A56&lt;&gt;"","03_地点锚点","")</f>
        <v/>
      </c>
      <c r="D556" s="14">
        <f>IF('03_地点锚点'!A56&lt;&gt;"",'03_地点锚点'!A56,"")</f>
        <v/>
      </c>
      <c r="E556" s="14">
        <f>IF(F556&lt;&gt;"","综合校验","")</f>
        <v/>
      </c>
      <c r="F556" s="14">
        <f>IF('03_地点锚点'!A56&lt;&gt;"",IF('03_地点锚点'!A56="","缺少地点ID；","")&amp;IF('03_地点锚点'!B56="","缺少中文名称；","")&amp;IF('03_地点锚点'!D56="","缺少地点类型；","")&amp;IF('03_地点锚点'!G56="","缺少世界X；","")&amp;IF('03_地点锚点'!H56="","缺少世界Y；","")&amp;IF(AND('03_地点锚点'!G56&lt;&gt;"",OR('03_地点锚点'!G56&lt;0,'03_地点锚点'!G56&gt;WorldWidth)),"世界X越界；","")&amp;IF(AND('03_地点锚点'!H56&lt;&gt;"",OR('03_地点锚点'!H56&lt;0,'03_地点锚点'!H56&gt;WorldHeight)),"世界Y越界；","")&amp;IF(AND('03_地点锚点'!E56&lt;&gt;"",COUNTIF('02_固定地理'!$A$2:$A$501,'03_地点锚点'!E56)=0),"父级行政对象不存在；","")&amp;IF(AND('03_地点锚点'!F56&lt;&gt;"",COUNTIF('03_地点锚点'!$A$2:$A$501,'03_地点锚点'!F56)=0),"父级地点不存在；","")&amp;IF(AND('03_地点锚点'!A56&lt;&gt;"",COUNTIF('03_地点锚点'!$A$2:$A$501,'03_地点锚点'!A56)&gt;1),"ID重复；",""),"")</f>
        <v/>
      </c>
      <c r="G556" s="14">
        <f>IF(F556&lt;&gt;"","按字段批注、数据字典和来源记录修正后复核","")</f>
        <v/>
      </c>
      <c r="H556" s="14">
        <f>IF(F556&lt;&gt;"","待处理","")</f>
        <v/>
      </c>
    </row>
    <row r="557">
      <c r="A557" s="14">
        <f>IF(F557&lt;&gt;"","ISSUE-"&amp;TEXT(ROW()-1,"00000"),"")</f>
        <v/>
      </c>
      <c r="B557" s="14">
        <f>IF(F557&lt;&gt;"","错误","")</f>
        <v/>
      </c>
      <c r="C557" s="14">
        <f>IF('03_地点锚点'!A57&lt;&gt;"","03_地点锚点","")</f>
        <v/>
      </c>
      <c r="D557" s="14">
        <f>IF('03_地点锚点'!A57&lt;&gt;"",'03_地点锚点'!A57,"")</f>
        <v/>
      </c>
      <c r="E557" s="14">
        <f>IF(F557&lt;&gt;"","综合校验","")</f>
        <v/>
      </c>
      <c r="F557" s="14">
        <f>IF('03_地点锚点'!A57&lt;&gt;"",IF('03_地点锚点'!A57="","缺少地点ID；","")&amp;IF('03_地点锚点'!B57="","缺少中文名称；","")&amp;IF('03_地点锚点'!D57="","缺少地点类型；","")&amp;IF('03_地点锚点'!G57="","缺少世界X；","")&amp;IF('03_地点锚点'!H57="","缺少世界Y；","")&amp;IF(AND('03_地点锚点'!G57&lt;&gt;"",OR('03_地点锚点'!G57&lt;0,'03_地点锚点'!G57&gt;WorldWidth)),"世界X越界；","")&amp;IF(AND('03_地点锚点'!H57&lt;&gt;"",OR('03_地点锚点'!H57&lt;0,'03_地点锚点'!H57&gt;WorldHeight)),"世界Y越界；","")&amp;IF(AND('03_地点锚点'!E57&lt;&gt;"",COUNTIF('02_固定地理'!$A$2:$A$501,'03_地点锚点'!E57)=0),"父级行政对象不存在；","")&amp;IF(AND('03_地点锚点'!F57&lt;&gt;"",COUNTIF('03_地点锚点'!$A$2:$A$501,'03_地点锚点'!F57)=0),"父级地点不存在；","")&amp;IF(AND('03_地点锚点'!A57&lt;&gt;"",COUNTIF('03_地点锚点'!$A$2:$A$501,'03_地点锚点'!A57)&gt;1),"ID重复；",""),"")</f>
        <v/>
      </c>
      <c r="G557" s="14">
        <f>IF(F557&lt;&gt;"","按字段批注、数据字典和来源记录修正后复核","")</f>
        <v/>
      </c>
      <c r="H557" s="14">
        <f>IF(F557&lt;&gt;"","待处理","")</f>
        <v/>
      </c>
    </row>
    <row r="558">
      <c r="A558" s="14">
        <f>IF(F558&lt;&gt;"","ISSUE-"&amp;TEXT(ROW()-1,"00000"),"")</f>
        <v/>
      </c>
      <c r="B558" s="14">
        <f>IF(F558&lt;&gt;"","错误","")</f>
        <v/>
      </c>
      <c r="C558" s="14">
        <f>IF('03_地点锚点'!A58&lt;&gt;"","03_地点锚点","")</f>
        <v/>
      </c>
      <c r="D558" s="14">
        <f>IF('03_地点锚点'!A58&lt;&gt;"",'03_地点锚点'!A58,"")</f>
        <v/>
      </c>
      <c r="E558" s="14">
        <f>IF(F558&lt;&gt;"","综合校验","")</f>
        <v/>
      </c>
      <c r="F558" s="14">
        <f>IF('03_地点锚点'!A58&lt;&gt;"",IF('03_地点锚点'!A58="","缺少地点ID；","")&amp;IF('03_地点锚点'!B58="","缺少中文名称；","")&amp;IF('03_地点锚点'!D58="","缺少地点类型；","")&amp;IF('03_地点锚点'!G58="","缺少世界X；","")&amp;IF('03_地点锚点'!H58="","缺少世界Y；","")&amp;IF(AND('03_地点锚点'!G58&lt;&gt;"",OR('03_地点锚点'!G58&lt;0,'03_地点锚点'!G58&gt;WorldWidth)),"世界X越界；","")&amp;IF(AND('03_地点锚点'!H58&lt;&gt;"",OR('03_地点锚点'!H58&lt;0,'03_地点锚点'!H58&gt;WorldHeight)),"世界Y越界；","")&amp;IF(AND('03_地点锚点'!E58&lt;&gt;"",COUNTIF('02_固定地理'!$A$2:$A$501,'03_地点锚点'!E58)=0),"父级行政对象不存在；","")&amp;IF(AND('03_地点锚点'!F58&lt;&gt;"",COUNTIF('03_地点锚点'!$A$2:$A$501,'03_地点锚点'!F58)=0),"父级地点不存在；","")&amp;IF(AND('03_地点锚点'!A58&lt;&gt;"",COUNTIF('03_地点锚点'!$A$2:$A$501,'03_地点锚点'!A58)&gt;1),"ID重复；",""),"")</f>
        <v/>
      </c>
      <c r="G558" s="14">
        <f>IF(F558&lt;&gt;"","按字段批注、数据字典和来源记录修正后复核","")</f>
        <v/>
      </c>
      <c r="H558" s="14">
        <f>IF(F558&lt;&gt;"","待处理","")</f>
        <v/>
      </c>
    </row>
    <row r="559">
      <c r="A559" s="14">
        <f>IF(F559&lt;&gt;"","ISSUE-"&amp;TEXT(ROW()-1,"00000"),"")</f>
        <v/>
      </c>
      <c r="B559" s="14">
        <f>IF(F559&lt;&gt;"","错误","")</f>
        <v/>
      </c>
      <c r="C559" s="14">
        <f>IF('03_地点锚点'!A59&lt;&gt;"","03_地点锚点","")</f>
        <v/>
      </c>
      <c r="D559" s="14">
        <f>IF('03_地点锚点'!A59&lt;&gt;"",'03_地点锚点'!A59,"")</f>
        <v/>
      </c>
      <c r="E559" s="14">
        <f>IF(F559&lt;&gt;"","综合校验","")</f>
        <v/>
      </c>
      <c r="F559" s="14">
        <f>IF('03_地点锚点'!A59&lt;&gt;"",IF('03_地点锚点'!A59="","缺少地点ID；","")&amp;IF('03_地点锚点'!B59="","缺少中文名称；","")&amp;IF('03_地点锚点'!D59="","缺少地点类型；","")&amp;IF('03_地点锚点'!G59="","缺少世界X；","")&amp;IF('03_地点锚点'!H59="","缺少世界Y；","")&amp;IF(AND('03_地点锚点'!G59&lt;&gt;"",OR('03_地点锚点'!G59&lt;0,'03_地点锚点'!G59&gt;WorldWidth)),"世界X越界；","")&amp;IF(AND('03_地点锚点'!H59&lt;&gt;"",OR('03_地点锚点'!H59&lt;0,'03_地点锚点'!H59&gt;WorldHeight)),"世界Y越界；","")&amp;IF(AND('03_地点锚点'!E59&lt;&gt;"",COUNTIF('02_固定地理'!$A$2:$A$501,'03_地点锚点'!E59)=0),"父级行政对象不存在；","")&amp;IF(AND('03_地点锚点'!F59&lt;&gt;"",COUNTIF('03_地点锚点'!$A$2:$A$501,'03_地点锚点'!F59)=0),"父级地点不存在；","")&amp;IF(AND('03_地点锚点'!A59&lt;&gt;"",COUNTIF('03_地点锚点'!$A$2:$A$501,'03_地点锚点'!A59)&gt;1),"ID重复；",""),"")</f>
        <v/>
      </c>
      <c r="G559" s="14">
        <f>IF(F559&lt;&gt;"","按字段批注、数据字典和来源记录修正后复核","")</f>
        <v/>
      </c>
      <c r="H559" s="14">
        <f>IF(F559&lt;&gt;"","待处理","")</f>
        <v/>
      </c>
    </row>
    <row r="560">
      <c r="A560" s="14">
        <f>IF(F560&lt;&gt;"","ISSUE-"&amp;TEXT(ROW()-1,"00000"),"")</f>
        <v/>
      </c>
      <c r="B560" s="14">
        <f>IF(F560&lt;&gt;"","错误","")</f>
        <v/>
      </c>
      <c r="C560" s="14">
        <f>IF('03_地点锚点'!A60&lt;&gt;"","03_地点锚点","")</f>
        <v/>
      </c>
      <c r="D560" s="14">
        <f>IF('03_地点锚点'!A60&lt;&gt;"",'03_地点锚点'!A60,"")</f>
        <v/>
      </c>
      <c r="E560" s="14">
        <f>IF(F560&lt;&gt;"","综合校验","")</f>
        <v/>
      </c>
      <c r="F560" s="14">
        <f>IF('03_地点锚点'!A60&lt;&gt;"",IF('03_地点锚点'!A60="","缺少地点ID；","")&amp;IF('03_地点锚点'!B60="","缺少中文名称；","")&amp;IF('03_地点锚点'!D60="","缺少地点类型；","")&amp;IF('03_地点锚点'!G60="","缺少世界X；","")&amp;IF('03_地点锚点'!H60="","缺少世界Y；","")&amp;IF(AND('03_地点锚点'!G60&lt;&gt;"",OR('03_地点锚点'!G60&lt;0,'03_地点锚点'!G60&gt;WorldWidth)),"世界X越界；","")&amp;IF(AND('03_地点锚点'!H60&lt;&gt;"",OR('03_地点锚点'!H60&lt;0,'03_地点锚点'!H60&gt;WorldHeight)),"世界Y越界；","")&amp;IF(AND('03_地点锚点'!E60&lt;&gt;"",COUNTIF('02_固定地理'!$A$2:$A$501,'03_地点锚点'!E60)=0),"父级行政对象不存在；","")&amp;IF(AND('03_地点锚点'!F60&lt;&gt;"",COUNTIF('03_地点锚点'!$A$2:$A$501,'03_地点锚点'!F60)=0),"父级地点不存在；","")&amp;IF(AND('03_地点锚点'!A60&lt;&gt;"",COUNTIF('03_地点锚点'!$A$2:$A$501,'03_地点锚点'!A60)&gt;1),"ID重复；",""),"")</f>
        <v/>
      </c>
      <c r="G560" s="14">
        <f>IF(F560&lt;&gt;"","按字段批注、数据字典和来源记录修正后复核","")</f>
        <v/>
      </c>
      <c r="H560" s="14">
        <f>IF(F560&lt;&gt;"","待处理","")</f>
        <v/>
      </c>
    </row>
    <row r="561">
      <c r="A561" s="14">
        <f>IF(F561&lt;&gt;"","ISSUE-"&amp;TEXT(ROW()-1,"00000"),"")</f>
        <v/>
      </c>
      <c r="B561" s="14">
        <f>IF(F561&lt;&gt;"","错误","")</f>
        <v/>
      </c>
      <c r="C561" s="14">
        <f>IF('03_地点锚点'!A61&lt;&gt;"","03_地点锚点","")</f>
        <v/>
      </c>
      <c r="D561" s="14">
        <f>IF('03_地点锚点'!A61&lt;&gt;"",'03_地点锚点'!A61,"")</f>
        <v/>
      </c>
      <c r="E561" s="14">
        <f>IF(F561&lt;&gt;"","综合校验","")</f>
        <v/>
      </c>
      <c r="F561" s="14">
        <f>IF('03_地点锚点'!A61&lt;&gt;"",IF('03_地点锚点'!A61="","缺少地点ID；","")&amp;IF('03_地点锚点'!B61="","缺少中文名称；","")&amp;IF('03_地点锚点'!D61="","缺少地点类型；","")&amp;IF('03_地点锚点'!G61="","缺少世界X；","")&amp;IF('03_地点锚点'!H61="","缺少世界Y；","")&amp;IF(AND('03_地点锚点'!G61&lt;&gt;"",OR('03_地点锚点'!G61&lt;0,'03_地点锚点'!G61&gt;WorldWidth)),"世界X越界；","")&amp;IF(AND('03_地点锚点'!H61&lt;&gt;"",OR('03_地点锚点'!H61&lt;0,'03_地点锚点'!H61&gt;WorldHeight)),"世界Y越界；","")&amp;IF(AND('03_地点锚点'!E61&lt;&gt;"",COUNTIF('02_固定地理'!$A$2:$A$501,'03_地点锚点'!E61)=0),"父级行政对象不存在；","")&amp;IF(AND('03_地点锚点'!F61&lt;&gt;"",COUNTIF('03_地点锚点'!$A$2:$A$501,'03_地点锚点'!F61)=0),"父级地点不存在；","")&amp;IF(AND('03_地点锚点'!A61&lt;&gt;"",COUNTIF('03_地点锚点'!$A$2:$A$501,'03_地点锚点'!A61)&gt;1),"ID重复；",""),"")</f>
        <v/>
      </c>
      <c r="G561" s="14">
        <f>IF(F561&lt;&gt;"","按字段批注、数据字典和来源记录修正后复核","")</f>
        <v/>
      </c>
      <c r="H561" s="14">
        <f>IF(F561&lt;&gt;"","待处理","")</f>
        <v/>
      </c>
    </row>
    <row r="562">
      <c r="A562" s="14">
        <f>IF(F562&lt;&gt;"","ISSUE-"&amp;TEXT(ROW()-1,"00000"),"")</f>
        <v/>
      </c>
      <c r="B562" s="14">
        <f>IF(F562&lt;&gt;"","错误","")</f>
        <v/>
      </c>
      <c r="C562" s="14">
        <f>IF('03_地点锚点'!A62&lt;&gt;"","03_地点锚点","")</f>
        <v/>
      </c>
      <c r="D562" s="14">
        <f>IF('03_地点锚点'!A62&lt;&gt;"",'03_地点锚点'!A62,"")</f>
        <v/>
      </c>
      <c r="E562" s="14">
        <f>IF(F562&lt;&gt;"","综合校验","")</f>
        <v/>
      </c>
      <c r="F562" s="14">
        <f>IF('03_地点锚点'!A62&lt;&gt;"",IF('03_地点锚点'!A62="","缺少地点ID；","")&amp;IF('03_地点锚点'!B62="","缺少中文名称；","")&amp;IF('03_地点锚点'!D62="","缺少地点类型；","")&amp;IF('03_地点锚点'!G62="","缺少世界X；","")&amp;IF('03_地点锚点'!H62="","缺少世界Y；","")&amp;IF(AND('03_地点锚点'!G62&lt;&gt;"",OR('03_地点锚点'!G62&lt;0,'03_地点锚点'!G62&gt;WorldWidth)),"世界X越界；","")&amp;IF(AND('03_地点锚点'!H62&lt;&gt;"",OR('03_地点锚点'!H62&lt;0,'03_地点锚点'!H62&gt;WorldHeight)),"世界Y越界；","")&amp;IF(AND('03_地点锚点'!E62&lt;&gt;"",COUNTIF('02_固定地理'!$A$2:$A$501,'03_地点锚点'!E62)=0),"父级行政对象不存在；","")&amp;IF(AND('03_地点锚点'!F62&lt;&gt;"",COUNTIF('03_地点锚点'!$A$2:$A$501,'03_地点锚点'!F62)=0),"父级地点不存在；","")&amp;IF(AND('03_地点锚点'!A62&lt;&gt;"",COUNTIF('03_地点锚点'!$A$2:$A$501,'03_地点锚点'!A62)&gt;1),"ID重复；",""),"")</f>
        <v/>
      </c>
      <c r="G562" s="14">
        <f>IF(F562&lt;&gt;"","按字段批注、数据字典和来源记录修正后复核","")</f>
        <v/>
      </c>
      <c r="H562" s="14">
        <f>IF(F562&lt;&gt;"","待处理","")</f>
        <v/>
      </c>
    </row>
    <row r="563">
      <c r="A563" s="14">
        <f>IF(F563&lt;&gt;"","ISSUE-"&amp;TEXT(ROW()-1,"00000"),"")</f>
        <v/>
      </c>
      <c r="B563" s="14">
        <f>IF(F563&lt;&gt;"","错误","")</f>
        <v/>
      </c>
      <c r="C563" s="14">
        <f>IF('03_地点锚点'!A63&lt;&gt;"","03_地点锚点","")</f>
        <v/>
      </c>
      <c r="D563" s="14">
        <f>IF('03_地点锚点'!A63&lt;&gt;"",'03_地点锚点'!A63,"")</f>
        <v/>
      </c>
      <c r="E563" s="14">
        <f>IF(F563&lt;&gt;"","综合校验","")</f>
        <v/>
      </c>
      <c r="F563" s="14">
        <f>IF('03_地点锚点'!A63&lt;&gt;"",IF('03_地点锚点'!A63="","缺少地点ID；","")&amp;IF('03_地点锚点'!B63="","缺少中文名称；","")&amp;IF('03_地点锚点'!D63="","缺少地点类型；","")&amp;IF('03_地点锚点'!G63="","缺少世界X；","")&amp;IF('03_地点锚点'!H63="","缺少世界Y；","")&amp;IF(AND('03_地点锚点'!G63&lt;&gt;"",OR('03_地点锚点'!G63&lt;0,'03_地点锚点'!G63&gt;WorldWidth)),"世界X越界；","")&amp;IF(AND('03_地点锚点'!H63&lt;&gt;"",OR('03_地点锚点'!H63&lt;0,'03_地点锚点'!H63&gt;WorldHeight)),"世界Y越界；","")&amp;IF(AND('03_地点锚点'!E63&lt;&gt;"",COUNTIF('02_固定地理'!$A$2:$A$501,'03_地点锚点'!E63)=0),"父级行政对象不存在；","")&amp;IF(AND('03_地点锚点'!F63&lt;&gt;"",COUNTIF('03_地点锚点'!$A$2:$A$501,'03_地点锚点'!F63)=0),"父级地点不存在；","")&amp;IF(AND('03_地点锚点'!A63&lt;&gt;"",COUNTIF('03_地点锚点'!$A$2:$A$501,'03_地点锚点'!A63)&gt;1),"ID重复；",""),"")</f>
        <v/>
      </c>
      <c r="G563" s="14">
        <f>IF(F563&lt;&gt;"","按字段批注、数据字典和来源记录修正后复核","")</f>
        <v/>
      </c>
      <c r="H563" s="14">
        <f>IF(F563&lt;&gt;"","待处理","")</f>
        <v/>
      </c>
    </row>
    <row r="564">
      <c r="A564" s="14">
        <f>IF(F564&lt;&gt;"","ISSUE-"&amp;TEXT(ROW()-1,"00000"),"")</f>
        <v/>
      </c>
      <c r="B564" s="14">
        <f>IF(F564&lt;&gt;"","错误","")</f>
        <v/>
      </c>
      <c r="C564" s="14">
        <f>IF('03_地点锚点'!A64&lt;&gt;"","03_地点锚点","")</f>
        <v/>
      </c>
      <c r="D564" s="14">
        <f>IF('03_地点锚点'!A64&lt;&gt;"",'03_地点锚点'!A64,"")</f>
        <v/>
      </c>
      <c r="E564" s="14">
        <f>IF(F564&lt;&gt;"","综合校验","")</f>
        <v/>
      </c>
      <c r="F564" s="14">
        <f>IF('03_地点锚点'!A64&lt;&gt;"",IF('03_地点锚点'!A64="","缺少地点ID；","")&amp;IF('03_地点锚点'!B64="","缺少中文名称；","")&amp;IF('03_地点锚点'!D64="","缺少地点类型；","")&amp;IF('03_地点锚点'!G64="","缺少世界X；","")&amp;IF('03_地点锚点'!H64="","缺少世界Y；","")&amp;IF(AND('03_地点锚点'!G64&lt;&gt;"",OR('03_地点锚点'!G64&lt;0,'03_地点锚点'!G64&gt;WorldWidth)),"世界X越界；","")&amp;IF(AND('03_地点锚点'!H64&lt;&gt;"",OR('03_地点锚点'!H64&lt;0,'03_地点锚点'!H64&gt;WorldHeight)),"世界Y越界；","")&amp;IF(AND('03_地点锚点'!E64&lt;&gt;"",COUNTIF('02_固定地理'!$A$2:$A$501,'03_地点锚点'!E64)=0),"父级行政对象不存在；","")&amp;IF(AND('03_地点锚点'!F64&lt;&gt;"",COUNTIF('03_地点锚点'!$A$2:$A$501,'03_地点锚点'!F64)=0),"父级地点不存在；","")&amp;IF(AND('03_地点锚点'!A64&lt;&gt;"",COUNTIF('03_地点锚点'!$A$2:$A$501,'03_地点锚点'!A64)&gt;1),"ID重复；",""),"")</f>
        <v/>
      </c>
      <c r="G564" s="14">
        <f>IF(F564&lt;&gt;"","按字段批注、数据字典和来源记录修正后复核","")</f>
        <v/>
      </c>
      <c r="H564" s="14">
        <f>IF(F564&lt;&gt;"","待处理","")</f>
        <v/>
      </c>
    </row>
    <row r="565">
      <c r="A565" s="14">
        <f>IF(F565&lt;&gt;"","ISSUE-"&amp;TEXT(ROW()-1,"00000"),"")</f>
        <v/>
      </c>
      <c r="B565" s="14">
        <f>IF(F565&lt;&gt;"","错误","")</f>
        <v/>
      </c>
      <c r="C565" s="14">
        <f>IF('03_地点锚点'!A65&lt;&gt;"","03_地点锚点","")</f>
        <v/>
      </c>
      <c r="D565" s="14">
        <f>IF('03_地点锚点'!A65&lt;&gt;"",'03_地点锚点'!A65,"")</f>
        <v/>
      </c>
      <c r="E565" s="14">
        <f>IF(F565&lt;&gt;"","综合校验","")</f>
        <v/>
      </c>
      <c r="F565" s="14">
        <f>IF('03_地点锚点'!A65&lt;&gt;"",IF('03_地点锚点'!A65="","缺少地点ID；","")&amp;IF('03_地点锚点'!B65="","缺少中文名称；","")&amp;IF('03_地点锚点'!D65="","缺少地点类型；","")&amp;IF('03_地点锚点'!G65="","缺少世界X；","")&amp;IF('03_地点锚点'!H65="","缺少世界Y；","")&amp;IF(AND('03_地点锚点'!G65&lt;&gt;"",OR('03_地点锚点'!G65&lt;0,'03_地点锚点'!G65&gt;WorldWidth)),"世界X越界；","")&amp;IF(AND('03_地点锚点'!H65&lt;&gt;"",OR('03_地点锚点'!H65&lt;0,'03_地点锚点'!H65&gt;WorldHeight)),"世界Y越界；","")&amp;IF(AND('03_地点锚点'!E65&lt;&gt;"",COUNTIF('02_固定地理'!$A$2:$A$501,'03_地点锚点'!E65)=0),"父级行政对象不存在；","")&amp;IF(AND('03_地点锚点'!F65&lt;&gt;"",COUNTIF('03_地点锚点'!$A$2:$A$501,'03_地点锚点'!F65)=0),"父级地点不存在；","")&amp;IF(AND('03_地点锚点'!A65&lt;&gt;"",COUNTIF('03_地点锚点'!$A$2:$A$501,'03_地点锚点'!A65)&gt;1),"ID重复；",""),"")</f>
        <v/>
      </c>
      <c r="G565" s="14">
        <f>IF(F565&lt;&gt;"","按字段批注、数据字典和来源记录修正后复核","")</f>
        <v/>
      </c>
      <c r="H565" s="14">
        <f>IF(F565&lt;&gt;"","待处理","")</f>
        <v/>
      </c>
    </row>
    <row r="566">
      <c r="A566" s="14">
        <f>IF(F566&lt;&gt;"","ISSUE-"&amp;TEXT(ROW()-1,"00000"),"")</f>
        <v/>
      </c>
      <c r="B566" s="14">
        <f>IF(F566&lt;&gt;"","错误","")</f>
        <v/>
      </c>
      <c r="C566" s="14">
        <f>IF('03_地点锚点'!A66&lt;&gt;"","03_地点锚点","")</f>
        <v/>
      </c>
      <c r="D566" s="14">
        <f>IF('03_地点锚点'!A66&lt;&gt;"",'03_地点锚点'!A66,"")</f>
        <v/>
      </c>
      <c r="E566" s="14">
        <f>IF(F566&lt;&gt;"","综合校验","")</f>
        <v/>
      </c>
      <c r="F566" s="14">
        <f>IF('03_地点锚点'!A66&lt;&gt;"",IF('03_地点锚点'!A66="","缺少地点ID；","")&amp;IF('03_地点锚点'!B66="","缺少中文名称；","")&amp;IF('03_地点锚点'!D66="","缺少地点类型；","")&amp;IF('03_地点锚点'!G66="","缺少世界X；","")&amp;IF('03_地点锚点'!H66="","缺少世界Y；","")&amp;IF(AND('03_地点锚点'!G66&lt;&gt;"",OR('03_地点锚点'!G66&lt;0,'03_地点锚点'!G66&gt;WorldWidth)),"世界X越界；","")&amp;IF(AND('03_地点锚点'!H66&lt;&gt;"",OR('03_地点锚点'!H66&lt;0,'03_地点锚点'!H66&gt;WorldHeight)),"世界Y越界；","")&amp;IF(AND('03_地点锚点'!E66&lt;&gt;"",COUNTIF('02_固定地理'!$A$2:$A$501,'03_地点锚点'!E66)=0),"父级行政对象不存在；","")&amp;IF(AND('03_地点锚点'!F66&lt;&gt;"",COUNTIF('03_地点锚点'!$A$2:$A$501,'03_地点锚点'!F66)=0),"父级地点不存在；","")&amp;IF(AND('03_地点锚点'!A66&lt;&gt;"",COUNTIF('03_地点锚点'!$A$2:$A$501,'03_地点锚点'!A66)&gt;1),"ID重复；",""),"")</f>
        <v/>
      </c>
      <c r="G566" s="14">
        <f>IF(F566&lt;&gt;"","按字段批注、数据字典和来源记录修正后复核","")</f>
        <v/>
      </c>
      <c r="H566" s="14">
        <f>IF(F566&lt;&gt;"","待处理","")</f>
        <v/>
      </c>
    </row>
    <row r="567">
      <c r="A567" s="14">
        <f>IF(F567&lt;&gt;"","ISSUE-"&amp;TEXT(ROW()-1,"00000"),"")</f>
        <v/>
      </c>
      <c r="B567" s="14">
        <f>IF(F567&lt;&gt;"","错误","")</f>
        <v/>
      </c>
      <c r="C567" s="14">
        <f>IF('03_地点锚点'!A67&lt;&gt;"","03_地点锚点","")</f>
        <v/>
      </c>
      <c r="D567" s="14">
        <f>IF('03_地点锚点'!A67&lt;&gt;"",'03_地点锚点'!A67,"")</f>
        <v/>
      </c>
      <c r="E567" s="14">
        <f>IF(F567&lt;&gt;"","综合校验","")</f>
        <v/>
      </c>
      <c r="F567" s="14">
        <f>IF('03_地点锚点'!A67&lt;&gt;"",IF('03_地点锚点'!A67="","缺少地点ID；","")&amp;IF('03_地点锚点'!B67="","缺少中文名称；","")&amp;IF('03_地点锚点'!D67="","缺少地点类型；","")&amp;IF('03_地点锚点'!G67="","缺少世界X；","")&amp;IF('03_地点锚点'!H67="","缺少世界Y；","")&amp;IF(AND('03_地点锚点'!G67&lt;&gt;"",OR('03_地点锚点'!G67&lt;0,'03_地点锚点'!G67&gt;WorldWidth)),"世界X越界；","")&amp;IF(AND('03_地点锚点'!H67&lt;&gt;"",OR('03_地点锚点'!H67&lt;0,'03_地点锚点'!H67&gt;WorldHeight)),"世界Y越界；","")&amp;IF(AND('03_地点锚点'!E67&lt;&gt;"",COUNTIF('02_固定地理'!$A$2:$A$501,'03_地点锚点'!E67)=0),"父级行政对象不存在；","")&amp;IF(AND('03_地点锚点'!F67&lt;&gt;"",COUNTIF('03_地点锚点'!$A$2:$A$501,'03_地点锚点'!F67)=0),"父级地点不存在；","")&amp;IF(AND('03_地点锚点'!A67&lt;&gt;"",COUNTIF('03_地点锚点'!$A$2:$A$501,'03_地点锚点'!A67)&gt;1),"ID重复；",""),"")</f>
        <v/>
      </c>
      <c r="G567" s="14">
        <f>IF(F567&lt;&gt;"","按字段批注、数据字典和来源记录修正后复核","")</f>
        <v/>
      </c>
      <c r="H567" s="14">
        <f>IF(F567&lt;&gt;"","待处理","")</f>
        <v/>
      </c>
    </row>
    <row r="568">
      <c r="A568" s="14">
        <f>IF(F568&lt;&gt;"","ISSUE-"&amp;TEXT(ROW()-1,"00000"),"")</f>
        <v/>
      </c>
      <c r="B568" s="14">
        <f>IF(F568&lt;&gt;"","错误","")</f>
        <v/>
      </c>
      <c r="C568" s="14">
        <f>IF('03_地点锚点'!A68&lt;&gt;"","03_地点锚点","")</f>
        <v/>
      </c>
      <c r="D568" s="14">
        <f>IF('03_地点锚点'!A68&lt;&gt;"",'03_地点锚点'!A68,"")</f>
        <v/>
      </c>
      <c r="E568" s="14">
        <f>IF(F568&lt;&gt;"","综合校验","")</f>
        <v/>
      </c>
      <c r="F568" s="14">
        <f>IF('03_地点锚点'!A68&lt;&gt;"",IF('03_地点锚点'!A68="","缺少地点ID；","")&amp;IF('03_地点锚点'!B68="","缺少中文名称；","")&amp;IF('03_地点锚点'!D68="","缺少地点类型；","")&amp;IF('03_地点锚点'!G68="","缺少世界X；","")&amp;IF('03_地点锚点'!H68="","缺少世界Y；","")&amp;IF(AND('03_地点锚点'!G68&lt;&gt;"",OR('03_地点锚点'!G68&lt;0,'03_地点锚点'!G68&gt;WorldWidth)),"世界X越界；","")&amp;IF(AND('03_地点锚点'!H68&lt;&gt;"",OR('03_地点锚点'!H68&lt;0,'03_地点锚点'!H68&gt;WorldHeight)),"世界Y越界；","")&amp;IF(AND('03_地点锚点'!E68&lt;&gt;"",COUNTIF('02_固定地理'!$A$2:$A$501,'03_地点锚点'!E68)=0),"父级行政对象不存在；","")&amp;IF(AND('03_地点锚点'!F68&lt;&gt;"",COUNTIF('03_地点锚点'!$A$2:$A$501,'03_地点锚点'!F68)=0),"父级地点不存在；","")&amp;IF(AND('03_地点锚点'!A68&lt;&gt;"",COUNTIF('03_地点锚点'!$A$2:$A$501,'03_地点锚点'!A68)&gt;1),"ID重复；",""),"")</f>
        <v/>
      </c>
      <c r="G568" s="14">
        <f>IF(F568&lt;&gt;"","按字段批注、数据字典和来源记录修正后复核","")</f>
        <v/>
      </c>
      <c r="H568" s="14">
        <f>IF(F568&lt;&gt;"","待处理","")</f>
        <v/>
      </c>
    </row>
    <row r="569">
      <c r="A569" s="14">
        <f>IF(F569&lt;&gt;"","ISSUE-"&amp;TEXT(ROW()-1,"00000"),"")</f>
        <v/>
      </c>
      <c r="B569" s="14">
        <f>IF(F569&lt;&gt;"","错误","")</f>
        <v/>
      </c>
      <c r="C569" s="14">
        <f>IF('03_地点锚点'!A69&lt;&gt;"","03_地点锚点","")</f>
        <v/>
      </c>
      <c r="D569" s="14">
        <f>IF('03_地点锚点'!A69&lt;&gt;"",'03_地点锚点'!A69,"")</f>
        <v/>
      </c>
      <c r="E569" s="14">
        <f>IF(F569&lt;&gt;"","综合校验","")</f>
        <v/>
      </c>
      <c r="F569" s="14">
        <f>IF('03_地点锚点'!A69&lt;&gt;"",IF('03_地点锚点'!A69="","缺少地点ID；","")&amp;IF('03_地点锚点'!B69="","缺少中文名称；","")&amp;IF('03_地点锚点'!D69="","缺少地点类型；","")&amp;IF('03_地点锚点'!G69="","缺少世界X；","")&amp;IF('03_地点锚点'!H69="","缺少世界Y；","")&amp;IF(AND('03_地点锚点'!G69&lt;&gt;"",OR('03_地点锚点'!G69&lt;0,'03_地点锚点'!G69&gt;WorldWidth)),"世界X越界；","")&amp;IF(AND('03_地点锚点'!H69&lt;&gt;"",OR('03_地点锚点'!H69&lt;0,'03_地点锚点'!H69&gt;WorldHeight)),"世界Y越界；","")&amp;IF(AND('03_地点锚点'!E69&lt;&gt;"",COUNTIF('02_固定地理'!$A$2:$A$501,'03_地点锚点'!E69)=0),"父级行政对象不存在；","")&amp;IF(AND('03_地点锚点'!F69&lt;&gt;"",COUNTIF('03_地点锚点'!$A$2:$A$501,'03_地点锚点'!F69)=0),"父级地点不存在；","")&amp;IF(AND('03_地点锚点'!A69&lt;&gt;"",COUNTIF('03_地点锚点'!$A$2:$A$501,'03_地点锚点'!A69)&gt;1),"ID重复；",""),"")</f>
        <v/>
      </c>
      <c r="G569" s="14">
        <f>IF(F569&lt;&gt;"","按字段批注、数据字典和来源记录修正后复核","")</f>
        <v/>
      </c>
      <c r="H569" s="14">
        <f>IF(F569&lt;&gt;"","待处理","")</f>
        <v/>
      </c>
    </row>
    <row r="570">
      <c r="A570" s="14">
        <f>IF(F570&lt;&gt;"","ISSUE-"&amp;TEXT(ROW()-1,"00000"),"")</f>
        <v/>
      </c>
      <c r="B570" s="14">
        <f>IF(F570&lt;&gt;"","错误","")</f>
        <v/>
      </c>
      <c r="C570" s="14">
        <f>IF('03_地点锚点'!A70&lt;&gt;"","03_地点锚点","")</f>
        <v/>
      </c>
      <c r="D570" s="14">
        <f>IF('03_地点锚点'!A70&lt;&gt;"",'03_地点锚点'!A70,"")</f>
        <v/>
      </c>
      <c r="E570" s="14">
        <f>IF(F570&lt;&gt;"","综合校验","")</f>
        <v/>
      </c>
      <c r="F570" s="14">
        <f>IF('03_地点锚点'!A70&lt;&gt;"",IF('03_地点锚点'!A70="","缺少地点ID；","")&amp;IF('03_地点锚点'!B70="","缺少中文名称；","")&amp;IF('03_地点锚点'!D70="","缺少地点类型；","")&amp;IF('03_地点锚点'!G70="","缺少世界X；","")&amp;IF('03_地点锚点'!H70="","缺少世界Y；","")&amp;IF(AND('03_地点锚点'!G70&lt;&gt;"",OR('03_地点锚点'!G70&lt;0,'03_地点锚点'!G70&gt;WorldWidth)),"世界X越界；","")&amp;IF(AND('03_地点锚点'!H70&lt;&gt;"",OR('03_地点锚点'!H70&lt;0,'03_地点锚点'!H70&gt;WorldHeight)),"世界Y越界；","")&amp;IF(AND('03_地点锚点'!E70&lt;&gt;"",COUNTIF('02_固定地理'!$A$2:$A$501,'03_地点锚点'!E70)=0),"父级行政对象不存在；","")&amp;IF(AND('03_地点锚点'!F70&lt;&gt;"",COUNTIF('03_地点锚点'!$A$2:$A$501,'03_地点锚点'!F70)=0),"父级地点不存在；","")&amp;IF(AND('03_地点锚点'!A70&lt;&gt;"",COUNTIF('03_地点锚点'!$A$2:$A$501,'03_地点锚点'!A70)&gt;1),"ID重复；",""),"")</f>
        <v/>
      </c>
      <c r="G570" s="14">
        <f>IF(F570&lt;&gt;"","按字段批注、数据字典和来源记录修正后复核","")</f>
        <v/>
      </c>
      <c r="H570" s="14">
        <f>IF(F570&lt;&gt;"","待处理","")</f>
        <v/>
      </c>
    </row>
    <row r="571">
      <c r="A571" s="14">
        <f>IF(F571&lt;&gt;"","ISSUE-"&amp;TEXT(ROW()-1,"00000"),"")</f>
        <v/>
      </c>
      <c r="B571" s="14">
        <f>IF(F571&lt;&gt;"","错误","")</f>
        <v/>
      </c>
      <c r="C571" s="14">
        <f>IF('03_地点锚点'!A71&lt;&gt;"","03_地点锚点","")</f>
        <v/>
      </c>
      <c r="D571" s="14">
        <f>IF('03_地点锚点'!A71&lt;&gt;"",'03_地点锚点'!A71,"")</f>
        <v/>
      </c>
      <c r="E571" s="14">
        <f>IF(F571&lt;&gt;"","综合校验","")</f>
        <v/>
      </c>
      <c r="F571" s="14">
        <f>IF('03_地点锚点'!A71&lt;&gt;"",IF('03_地点锚点'!A71="","缺少地点ID；","")&amp;IF('03_地点锚点'!B71="","缺少中文名称；","")&amp;IF('03_地点锚点'!D71="","缺少地点类型；","")&amp;IF('03_地点锚点'!G71="","缺少世界X；","")&amp;IF('03_地点锚点'!H71="","缺少世界Y；","")&amp;IF(AND('03_地点锚点'!G71&lt;&gt;"",OR('03_地点锚点'!G71&lt;0,'03_地点锚点'!G71&gt;WorldWidth)),"世界X越界；","")&amp;IF(AND('03_地点锚点'!H71&lt;&gt;"",OR('03_地点锚点'!H71&lt;0,'03_地点锚点'!H71&gt;WorldHeight)),"世界Y越界；","")&amp;IF(AND('03_地点锚点'!E71&lt;&gt;"",COUNTIF('02_固定地理'!$A$2:$A$501,'03_地点锚点'!E71)=0),"父级行政对象不存在；","")&amp;IF(AND('03_地点锚点'!F71&lt;&gt;"",COUNTIF('03_地点锚点'!$A$2:$A$501,'03_地点锚点'!F71)=0),"父级地点不存在；","")&amp;IF(AND('03_地点锚点'!A71&lt;&gt;"",COUNTIF('03_地点锚点'!$A$2:$A$501,'03_地点锚点'!A71)&gt;1),"ID重复；",""),"")</f>
        <v/>
      </c>
      <c r="G571" s="14">
        <f>IF(F571&lt;&gt;"","按字段批注、数据字典和来源记录修正后复核","")</f>
        <v/>
      </c>
      <c r="H571" s="14">
        <f>IF(F571&lt;&gt;"","待处理","")</f>
        <v/>
      </c>
    </row>
    <row r="572">
      <c r="A572" s="14">
        <f>IF(F572&lt;&gt;"","ISSUE-"&amp;TEXT(ROW()-1,"00000"),"")</f>
        <v/>
      </c>
      <c r="B572" s="14">
        <f>IF(F572&lt;&gt;"","错误","")</f>
        <v/>
      </c>
      <c r="C572" s="14">
        <f>IF('03_地点锚点'!A72&lt;&gt;"","03_地点锚点","")</f>
        <v/>
      </c>
      <c r="D572" s="14">
        <f>IF('03_地点锚点'!A72&lt;&gt;"",'03_地点锚点'!A72,"")</f>
        <v/>
      </c>
      <c r="E572" s="14">
        <f>IF(F572&lt;&gt;"","综合校验","")</f>
        <v/>
      </c>
      <c r="F572" s="14">
        <f>IF('03_地点锚点'!A72&lt;&gt;"",IF('03_地点锚点'!A72="","缺少地点ID；","")&amp;IF('03_地点锚点'!B72="","缺少中文名称；","")&amp;IF('03_地点锚点'!D72="","缺少地点类型；","")&amp;IF('03_地点锚点'!G72="","缺少世界X；","")&amp;IF('03_地点锚点'!H72="","缺少世界Y；","")&amp;IF(AND('03_地点锚点'!G72&lt;&gt;"",OR('03_地点锚点'!G72&lt;0,'03_地点锚点'!G72&gt;WorldWidth)),"世界X越界；","")&amp;IF(AND('03_地点锚点'!H72&lt;&gt;"",OR('03_地点锚点'!H72&lt;0,'03_地点锚点'!H72&gt;WorldHeight)),"世界Y越界；","")&amp;IF(AND('03_地点锚点'!E72&lt;&gt;"",COUNTIF('02_固定地理'!$A$2:$A$501,'03_地点锚点'!E72)=0),"父级行政对象不存在；","")&amp;IF(AND('03_地点锚点'!F72&lt;&gt;"",COUNTIF('03_地点锚点'!$A$2:$A$501,'03_地点锚点'!F72)=0),"父级地点不存在；","")&amp;IF(AND('03_地点锚点'!A72&lt;&gt;"",COUNTIF('03_地点锚点'!$A$2:$A$501,'03_地点锚点'!A72)&gt;1),"ID重复；",""),"")</f>
        <v/>
      </c>
      <c r="G572" s="14">
        <f>IF(F572&lt;&gt;"","按字段批注、数据字典和来源记录修正后复核","")</f>
        <v/>
      </c>
      <c r="H572" s="14">
        <f>IF(F572&lt;&gt;"","待处理","")</f>
        <v/>
      </c>
    </row>
    <row r="573">
      <c r="A573" s="14">
        <f>IF(F573&lt;&gt;"","ISSUE-"&amp;TEXT(ROW()-1,"00000"),"")</f>
        <v/>
      </c>
      <c r="B573" s="14">
        <f>IF(F573&lt;&gt;"","错误","")</f>
        <v/>
      </c>
      <c r="C573" s="14">
        <f>IF('03_地点锚点'!A73&lt;&gt;"","03_地点锚点","")</f>
        <v/>
      </c>
      <c r="D573" s="14">
        <f>IF('03_地点锚点'!A73&lt;&gt;"",'03_地点锚点'!A73,"")</f>
        <v/>
      </c>
      <c r="E573" s="14">
        <f>IF(F573&lt;&gt;"","综合校验","")</f>
        <v/>
      </c>
      <c r="F573" s="14">
        <f>IF('03_地点锚点'!A73&lt;&gt;"",IF('03_地点锚点'!A73="","缺少地点ID；","")&amp;IF('03_地点锚点'!B73="","缺少中文名称；","")&amp;IF('03_地点锚点'!D73="","缺少地点类型；","")&amp;IF('03_地点锚点'!G73="","缺少世界X；","")&amp;IF('03_地点锚点'!H73="","缺少世界Y；","")&amp;IF(AND('03_地点锚点'!G73&lt;&gt;"",OR('03_地点锚点'!G73&lt;0,'03_地点锚点'!G73&gt;WorldWidth)),"世界X越界；","")&amp;IF(AND('03_地点锚点'!H73&lt;&gt;"",OR('03_地点锚点'!H73&lt;0,'03_地点锚点'!H73&gt;WorldHeight)),"世界Y越界；","")&amp;IF(AND('03_地点锚点'!E73&lt;&gt;"",COUNTIF('02_固定地理'!$A$2:$A$501,'03_地点锚点'!E73)=0),"父级行政对象不存在；","")&amp;IF(AND('03_地点锚点'!F73&lt;&gt;"",COUNTIF('03_地点锚点'!$A$2:$A$501,'03_地点锚点'!F73)=0),"父级地点不存在；","")&amp;IF(AND('03_地点锚点'!A73&lt;&gt;"",COUNTIF('03_地点锚点'!$A$2:$A$501,'03_地点锚点'!A73)&gt;1),"ID重复；",""),"")</f>
        <v/>
      </c>
      <c r="G573" s="14">
        <f>IF(F573&lt;&gt;"","按字段批注、数据字典和来源记录修正后复核","")</f>
        <v/>
      </c>
      <c r="H573" s="14">
        <f>IF(F573&lt;&gt;"","待处理","")</f>
        <v/>
      </c>
    </row>
    <row r="574">
      <c r="A574" s="14">
        <f>IF(F574&lt;&gt;"","ISSUE-"&amp;TEXT(ROW()-1,"00000"),"")</f>
        <v/>
      </c>
      <c r="B574" s="14">
        <f>IF(F574&lt;&gt;"","错误","")</f>
        <v/>
      </c>
      <c r="C574" s="14">
        <f>IF('03_地点锚点'!A74&lt;&gt;"","03_地点锚点","")</f>
        <v/>
      </c>
      <c r="D574" s="14">
        <f>IF('03_地点锚点'!A74&lt;&gt;"",'03_地点锚点'!A74,"")</f>
        <v/>
      </c>
      <c r="E574" s="14">
        <f>IF(F574&lt;&gt;"","综合校验","")</f>
        <v/>
      </c>
      <c r="F574" s="14">
        <f>IF('03_地点锚点'!A74&lt;&gt;"",IF('03_地点锚点'!A74="","缺少地点ID；","")&amp;IF('03_地点锚点'!B74="","缺少中文名称；","")&amp;IF('03_地点锚点'!D74="","缺少地点类型；","")&amp;IF('03_地点锚点'!G74="","缺少世界X；","")&amp;IF('03_地点锚点'!H74="","缺少世界Y；","")&amp;IF(AND('03_地点锚点'!G74&lt;&gt;"",OR('03_地点锚点'!G74&lt;0,'03_地点锚点'!G74&gt;WorldWidth)),"世界X越界；","")&amp;IF(AND('03_地点锚点'!H74&lt;&gt;"",OR('03_地点锚点'!H74&lt;0,'03_地点锚点'!H74&gt;WorldHeight)),"世界Y越界；","")&amp;IF(AND('03_地点锚点'!E74&lt;&gt;"",COUNTIF('02_固定地理'!$A$2:$A$501,'03_地点锚点'!E74)=0),"父级行政对象不存在；","")&amp;IF(AND('03_地点锚点'!F74&lt;&gt;"",COUNTIF('03_地点锚点'!$A$2:$A$501,'03_地点锚点'!F74)=0),"父级地点不存在；","")&amp;IF(AND('03_地点锚点'!A74&lt;&gt;"",COUNTIF('03_地点锚点'!$A$2:$A$501,'03_地点锚点'!A74)&gt;1),"ID重复；",""),"")</f>
        <v/>
      </c>
      <c r="G574" s="14">
        <f>IF(F574&lt;&gt;"","按字段批注、数据字典和来源记录修正后复核","")</f>
        <v/>
      </c>
      <c r="H574" s="14">
        <f>IF(F574&lt;&gt;"","待处理","")</f>
        <v/>
      </c>
    </row>
    <row r="575">
      <c r="A575" s="14">
        <f>IF(F575&lt;&gt;"","ISSUE-"&amp;TEXT(ROW()-1,"00000"),"")</f>
        <v/>
      </c>
      <c r="B575" s="14">
        <f>IF(F575&lt;&gt;"","错误","")</f>
        <v/>
      </c>
      <c r="C575" s="14">
        <f>IF('03_地点锚点'!A75&lt;&gt;"","03_地点锚点","")</f>
        <v/>
      </c>
      <c r="D575" s="14">
        <f>IF('03_地点锚点'!A75&lt;&gt;"",'03_地点锚点'!A75,"")</f>
        <v/>
      </c>
      <c r="E575" s="14">
        <f>IF(F575&lt;&gt;"","综合校验","")</f>
        <v/>
      </c>
      <c r="F575" s="14">
        <f>IF('03_地点锚点'!A75&lt;&gt;"",IF('03_地点锚点'!A75="","缺少地点ID；","")&amp;IF('03_地点锚点'!B75="","缺少中文名称；","")&amp;IF('03_地点锚点'!D75="","缺少地点类型；","")&amp;IF('03_地点锚点'!G75="","缺少世界X；","")&amp;IF('03_地点锚点'!H75="","缺少世界Y；","")&amp;IF(AND('03_地点锚点'!G75&lt;&gt;"",OR('03_地点锚点'!G75&lt;0,'03_地点锚点'!G75&gt;WorldWidth)),"世界X越界；","")&amp;IF(AND('03_地点锚点'!H75&lt;&gt;"",OR('03_地点锚点'!H75&lt;0,'03_地点锚点'!H75&gt;WorldHeight)),"世界Y越界；","")&amp;IF(AND('03_地点锚点'!E75&lt;&gt;"",COUNTIF('02_固定地理'!$A$2:$A$501,'03_地点锚点'!E75)=0),"父级行政对象不存在；","")&amp;IF(AND('03_地点锚点'!F75&lt;&gt;"",COUNTIF('03_地点锚点'!$A$2:$A$501,'03_地点锚点'!F75)=0),"父级地点不存在；","")&amp;IF(AND('03_地点锚点'!A75&lt;&gt;"",COUNTIF('03_地点锚点'!$A$2:$A$501,'03_地点锚点'!A75)&gt;1),"ID重复；",""),"")</f>
        <v/>
      </c>
      <c r="G575" s="14">
        <f>IF(F575&lt;&gt;"","按字段批注、数据字典和来源记录修正后复核","")</f>
        <v/>
      </c>
      <c r="H575" s="14">
        <f>IF(F575&lt;&gt;"","待处理","")</f>
        <v/>
      </c>
    </row>
    <row r="576">
      <c r="A576" s="14">
        <f>IF(F576&lt;&gt;"","ISSUE-"&amp;TEXT(ROW()-1,"00000"),"")</f>
        <v/>
      </c>
      <c r="B576" s="14">
        <f>IF(F576&lt;&gt;"","错误","")</f>
        <v/>
      </c>
      <c r="C576" s="14">
        <f>IF('03_地点锚点'!A76&lt;&gt;"","03_地点锚点","")</f>
        <v/>
      </c>
      <c r="D576" s="14">
        <f>IF('03_地点锚点'!A76&lt;&gt;"",'03_地点锚点'!A76,"")</f>
        <v/>
      </c>
      <c r="E576" s="14">
        <f>IF(F576&lt;&gt;"","综合校验","")</f>
        <v/>
      </c>
      <c r="F576" s="14">
        <f>IF('03_地点锚点'!A76&lt;&gt;"",IF('03_地点锚点'!A76="","缺少地点ID；","")&amp;IF('03_地点锚点'!B76="","缺少中文名称；","")&amp;IF('03_地点锚点'!D76="","缺少地点类型；","")&amp;IF('03_地点锚点'!G76="","缺少世界X；","")&amp;IF('03_地点锚点'!H76="","缺少世界Y；","")&amp;IF(AND('03_地点锚点'!G76&lt;&gt;"",OR('03_地点锚点'!G76&lt;0,'03_地点锚点'!G76&gt;WorldWidth)),"世界X越界；","")&amp;IF(AND('03_地点锚点'!H76&lt;&gt;"",OR('03_地点锚点'!H76&lt;0,'03_地点锚点'!H76&gt;WorldHeight)),"世界Y越界；","")&amp;IF(AND('03_地点锚点'!E76&lt;&gt;"",COUNTIF('02_固定地理'!$A$2:$A$501,'03_地点锚点'!E76)=0),"父级行政对象不存在；","")&amp;IF(AND('03_地点锚点'!F76&lt;&gt;"",COUNTIF('03_地点锚点'!$A$2:$A$501,'03_地点锚点'!F76)=0),"父级地点不存在；","")&amp;IF(AND('03_地点锚点'!A76&lt;&gt;"",COUNTIF('03_地点锚点'!$A$2:$A$501,'03_地点锚点'!A76)&gt;1),"ID重复；",""),"")</f>
        <v/>
      </c>
      <c r="G576" s="14">
        <f>IF(F576&lt;&gt;"","按字段批注、数据字典和来源记录修正后复核","")</f>
        <v/>
      </c>
      <c r="H576" s="14">
        <f>IF(F576&lt;&gt;"","待处理","")</f>
        <v/>
      </c>
    </row>
    <row r="577">
      <c r="A577" s="14">
        <f>IF(F577&lt;&gt;"","ISSUE-"&amp;TEXT(ROW()-1,"00000"),"")</f>
        <v/>
      </c>
      <c r="B577" s="14">
        <f>IF(F577&lt;&gt;"","错误","")</f>
        <v/>
      </c>
      <c r="C577" s="14">
        <f>IF('03_地点锚点'!A77&lt;&gt;"","03_地点锚点","")</f>
        <v/>
      </c>
      <c r="D577" s="14">
        <f>IF('03_地点锚点'!A77&lt;&gt;"",'03_地点锚点'!A77,"")</f>
        <v/>
      </c>
      <c r="E577" s="14">
        <f>IF(F577&lt;&gt;"","综合校验","")</f>
        <v/>
      </c>
      <c r="F577" s="14">
        <f>IF('03_地点锚点'!A77&lt;&gt;"",IF('03_地点锚点'!A77="","缺少地点ID；","")&amp;IF('03_地点锚点'!B77="","缺少中文名称；","")&amp;IF('03_地点锚点'!D77="","缺少地点类型；","")&amp;IF('03_地点锚点'!G77="","缺少世界X；","")&amp;IF('03_地点锚点'!H77="","缺少世界Y；","")&amp;IF(AND('03_地点锚点'!G77&lt;&gt;"",OR('03_地点锚点'!G77&lt;0,'03_地点锚点'!G77&gt;WorldWidth)),"世界X越界；","")&amp;IF(AND('03_地点锚点'!H77&lt;&gt;"",OR('03_地点锚点'!H77&lt;0,'03_地点锚点'!H77&gt;WorldHeight)),"世界Y越界；","")&amp;IF(AND('03_地点锚点'!E77&lt;&gt;"",COUNTIF('02_固定地理'!$A$2:$A$501,'03_地点锚点'!E77)=0),"父级行政对象不存在；","")&amp;IF(AND('03_地点锚点'!F77&lt;&gt;"",COUNTIF('03_地点锚点'!$A$2:$A$501,'03_地点锚点'!F77)=0),"父级地点不存在；","")&amp;IF(AND('03_地点锚点'!A77&lt;&gt;"",COUNTIF('03_地点锚点'!$A$2:$A$501,'03_地点锚点'!A77)&gt;1),"ID重复；",""),"")</f>
        <v/>
      </c>
      <c r="G577" s="14">
        <f>IF(F577&lt;&gt;"","按字段批注、数据字典和来源记录修正后复核","")</f>
        <v/>
      </c>
      <c r="H577" s="14">
        <f>IF(F577&lt;&gt;"","待处理","")</f>
        <v/>
      </c>
    </row>
    <row r="578">
      <c r="A578" s="14">
        <f>IF(F578&lt;&gt;"","ISSUE-"&amp;TEXT(ROW()-1,"00000"),"")</f>
        <v/>
      </c>
      <c r="B578" s="14">
        <f>IF(F578&lt;&gt;"","错误","")</f>
        <v/>
      </c>
      <c r="C578" s="14">
        <f>IF('03_地点锚点'!A78&lt;&gt;"","03_地点锚点","")</f>
        <v/>
      </c>
      <c r="D578" s="14">
        <f>IF('03_地点锚点'!A78&lt;&gt;"",'03_地点锚点'!A78,"")</f>
        <v/>
      </c>
      <c r="E578" s="14">
        <f>IF(F578&lt;&gt;"","综合校验","")</f>
        <v/>
      </c>
      <c r="F578" s="14">
        <f>IF('03_地点锚点'!A78&lt;&gt;"",IF('03_地点锚点'!A78="","缺少地点ID；","")&amp;IF('03_地点锚点'!B78="","缺少中文名称；","")&amp;IF('03_地点锚点'!D78="","缺少地点类型；","")&amp;IF('03_地点锚点'!G78="","缺少世界X；","")&amp;IF('03_地点锚点'!H78="","缺少世界Y；","")&amp;IF(AND('03_地点锚点'!G78&lt;&gt;"",OR('03_地点锚点'!G78&lt;0,'03_地点锚点'!G78&gt;WorldWidth)),"世界X越界；","")&amp;IF(AND('03_地点锚点'!H78&lt;&gt;"",OR('03_地点锚点'!H78&lt;0,'03_地点锚点'!H78&gt;WorldHeight)),"世界Y越界；","")&amp;IF(AND('03_地点锚点'!E78&lt;&gt;"",COUNTIF('02_固定地理'!$A$2:$A$501,'03_地点锚点'!E78)=0),"父级行政对象不存在；","")&amp;IF(AND('03_地点锚点'!F78&lt;&gt;"",COUNTIF('03_地点锚点'!$A$2:$A$501,'03_地点锚点'!F78)=0),"父级地点不存在；","")&amp;IF(AND('03_地点锚点'!A78&lt;&gt;"",COUNTIF('03_地点锚点'!$A$2:$A$501,'03_地点锚点'!A78)&gt;1),"ID重复；",""),"")</f>
        <v/>
      </c>
      <c r="G578" s="14">
        <f>IF(F578&lt;&gt;"","按字段批注、数据字典和来源记录修正后复核","")</f>
        <v/>
      </c>
      <c r="H578" s="14">
        <f>IF(F578&lt;&gt;"","待处理","")</f>
        <v/>
      </c>
    </row>
    <row r="579">
      <c r="A579" s="14">
        <f>IF(F579&lt;&gt;"","ISSUE-"&amp;TEXT(ROW()-1,"00000"),"")</f>
        <v/>
      </c>
      <c r="B579" s="14">
        <f>IF(F579&lt;&gt;"","错误","")</f>
        <v/>
      </c>
      <c r="C579" s="14">
        <f>IF('03_地点锚点'!A79&lt;&gt;"","03_地点锚点","")</f>
        <v/>
      </c>
      <c r="D579" s="14">
        <f>IF('03_地点锚点'!A79&lt;&gt;"",'03_地点锚点'!A79,"")</f>
        <v/>
      </c>
      <c r="E579" s="14">
        <f>IF(F579&lt;&gt;"","综合校验","")</f>
        <v/>
      </c>
      <c r="F579" s="14">
        <f>IF('03_地点锚点'!A79&lt;&gt;"",IF('03_地点锚点'!A79="","缺少地点ID；","")&amp;IF('03_地点锚点'!B79="","缺少中文名称；","")&amp;IF('03_地点锚点'!D79="","缺少地点类型；","")&amp;IF('03_地点锚点'!G79="","缺少世界X；","")&amp;IF('03_地点锚点'!H79="","缺少世界Y；","")&amp;IF(AND('03_地点锚点'!G79&lt;&gt;"",OR('03_地点锚点'!G79&lt;0,'03_地点锚点'!G79&gt;WorldWidth)),"世界X越界；","")&amp;IF(AND('03_地点锚点'!H79&lt;&gt;"",OR('03_地点锚点'!H79&lt;0,'03_地点锚点'!H79&gt;WorldHeight)),"世界Y越界；","")&amp;IF(AND('03_地点锚点'!E79&lt;&gt;"",COUNTIF('02_固定地理'!$A$2:$A$501,'03_地点锚点'!E79)=0),"父级行政对象不存在；","")&amp;IF(AND('03_地点锚点'!F79&lt;&gt;"",COUNTIF('03_地点锚点'!$A$2:$A$501,'03_地点锚点'!F79)=0),"父级地点不存在；","")&amp;IF(AND('03_地点锚点'!A79&lt;&gt;"",COUNTIF('03_地点锚点'!$A$2:$A$501,'03_地点锚点'!A79)&gt;1),"ID重复；",""),"")</f>
        <v/>
      </c>
      <c r="G579" s="14">
        <f>IF(F579&lt;&gt;"","按字段批注、数据字典和来源记录修正后复核","")</f>
        <v/>
      </c>
      <c r="H579" s="14">
        <f>IF(F579&lt;&gt;"","待处理","")</f>
        <v/>
      </c>
    </row>
    <row r="580">
      <c r="A580" s="14">
        <f>IF(F580&lt;&gt;"","ISSUE-"&amp;TEXT(ROW()-1,"00000"),"")</f>
        <v/>
      </c>
      <c r="B580" s="14">
        <f>IF(F580&lt;&gt;"","错误","")</f>
        <v/>
      </c>
      <c r="C580" s="14">
        <f>IF('03_地点锚点'!A80&lt;&gt;"","03_地点锚点","")</f>
        <v/>
      </c>
      <c r="D580" s="14">
        <f>IF('03_地点锚点'!A80&lt;&gt;"",'03_地点锚点'!A80,"")</f>
        <v/>
      </c>
      <c r="E580" s="14">
        <f>IF(F580&lt;&gt;"","综合校验","")</f>
        <v/>
      </c>
      <c r="F580" s="14">
        <f>IF('03_地点锚点'!A80&lt;&gt;"",IF('03_地点锚点'!A80="","缺少地点ID；","")&amp;IF('03_地点锚点'!B80="","缺少中文名称；","")&amp;IF('03_地点锚点'!D80="","缺少地点类型；","")&amp;IF('03_地点锚点'!G80="","缺少世界X；","")&amp;IF('03_地点锚点'!H80="","缺少世界Y；","")&amp;IF(AND('03_地点锚点'!G80&lt;&gt;"",OR('03_地点锚点'!G80&lt;0,'03_地点锚点'!G80&gt;WorldWidth)),"世界X越界；","")&amp;IF(AND('03_地点锚点'!H80&lt;&gt;"",OR('03_地点锚点'!H80&lt;0,'03_地点锚点'!H80&gt;WorldHeight)),"世界Y越界；","")&amp;IF(AND('03_地点锚点'!E80&lt;&gt;"",COUNTIF('02_固定地理'!$A$2:$A$501,'03_地点锚点'!E80)=0),"父级行政对象不存在；","")&amp;IF(AND('03_地点锚点'!F80&lt;&gt;"",COUNTIF('03_地点锚点'!$A$2:$A$501,'03_地点锚点'!F80)=0),"父级地点不存在；","")&amp;IF(AND('03_地点锚点'!A80&lt;&gt;"",COUNTIF('03_地点锚点'!$A$2:$A$501,'03_地点锚点'!A80)&gt;1),"ID重复；",""),"")</f>
        <v/>
      </c>
      <c r="G580" s="14">
        <f>IF(F580&lt;&gt;"","按字段批注、数据字典和来源记录修正后复核","")</f>
        <v/>
      </c>
      <c r="H580" s="14">
        <f>IF(F580&lt;&gt;"","待处理","")</f>
        <v/>
      </c>
    </row>
    <row r="581">
      <c r="A581" s="14">
        <f>IF(F581&lt;&gt;"","ISSUE-"&amp;TEXT(ROW()-1,"00000"),"")</f>
        <v/>
      </c>
      <c r="B581" s="14">
        <f>IF(F581&lt;&gt;"","错误","")</f>
        <v/>
      </c>
      <c r="C581" s="14">
        <f>IF('03_地点锚点'!A81&lt;&gt;"","03_地点锚点","")</f>
        <v/>
      </c>
      <c r="D581" s="14">
        <f>IF('03_地点锚点'!A81&lt;&gt;"",'03_地点锚点'!A81,"")</f>
        <v/>
      </c>
      <c r="E581" s="14">
        <f>IF(F581&lt;&gt;"","综合校验","")</f>
        <v/>
      </c>
      <c r="F581" s="14">
        <f>IF('03_地点锚点'!A81&lt;&gt;"",IF('03_地点锚点'!A81="","缺少地点ID；","")&amp;IF('03_地点锚点'!B81="","缺少中文名称；","")&amp;IF('03_地点锚点'!D81="","缺少地点类型；","")&amp;IF('03_地点锚点'!G81="","缺少世界X；","")&amp;IF('03_地点锚点'!H81="","缺少世界Y；","")&amp;IF(AND('03_地点锚点'!G81&lt;&gt;"",OR('03_地点锚点'!G81&lt;0,'03_地点锚点'!G81&gt;WorldWidth)),"世界X越界；","")&amp;IF(AND('03_地点锚点'!H81&lt;&gt;"",OR('03_地点锚点'!H81&lt;0,'03_地点锚点'!H81&gt;WorldHeight)),"世界Y越界；","")&amp;IF(AND('03_地点锚点'!E81&lt;&gt;"",COUNTIF('02_固定地理'!$A$2:$A$501,'03_地点锚点'!E81)=0),"父级行政对象不存在；","")&amp;IF(AND('03_地点锚点'!F81&lt;&gt;"",COUNTIF('03_地点锚点'!$A$2:$A$501,'03_地点锚点'!F81)=0),"父级地点不存在；","")&amp;IF(AND('03_地点锚点'!A81&lt;&gt;"",COUNTIF('03_地点锚点'!$A$2:$A$501,'03_地点锚点'!A81)&gt;1),"ID重复；",""),"")</f>
        <v/>
      </c>
      <c r="G581" s="14">
        <f>IF(F581&lt;&gt;"","按字段批注、数据字典和来源记录修正后复核","")</f>
        <v/>
      </c>
      <c r="H581" s="14">
        <f>IF(F581&lt;&gt;"","待处理","")</f>
        <v/>
      </c>
    </row>
    <row r="582">
      <c r="A582" s="14">
        <f>IF(F582&lt;&gt;"","ISSUE-"&amp;TEXT(ROW()-1,"00000"),"")</f>
        <v/>
      </c>
      <c r="B582" s="14">
        <f>IF(F582&lt;&gt;"","错误","")</f>
        <v/>
      </c>
      <c r="C582" s="14">
        <f>IF('03_地点锚点'!A82&lt;&gt;"","03_地点锚点","")</f>
        <v/>
      </c>
      <c r="D582" s="14">
        <f>IF('03_地点锚点'!A82&lt;&gt;"",'03_地点锚点'!A82,"")</f>
        <v/>
      </c>
      <c r="E582" s="14">
        <f>IF(F582&lt;&gt;"","综合校验","")</f>
        <v/>
      </c>
      <c r="F582" s="14">
        <f>IF('03_地点锚点'!A82&lt;&gt;"",IF('03_地点锚点'!A82="","缺少地点ID；","")&amp;IF('03_地点锚点'!B82="","缺少中文名称；","")&amp;IF('03_地点锚点'!D82="","缺少地点类型；","")&amp;IF('03_地点锚点'!G82="","缺少世界X；","")&amp;IF('03_地点锚点'!H82="","缺少世界Y；","")&amp;IF(AND('03_地点锚点'!G82&lt;&gt;"",OR('03_地点锚点'!G82&lt;0,'03_地点锚点'!G82&gt;WorldWidth)),"世界X越界；","")&amp;IF(AND('03_地点锚点'!H82&lt;&gt;"",OR('03_地点锚点'!H82&lt;0,'03_地点锚点'!H82&gt;WorldHeight)),"世界Y越界；","")&amp;IF(AND('03_地点锚点'!E82&lt;&gt;"",COUNTIF('02_固定地理'!$A$2:$A$501,'03_地点锚点'!E82)=0),"父级行政对象不存在；","")&amp;IF(AND('03_地点锚点'!F82&lt;&gt;"",COUNTIF('03_地点锚点'!$A$2:$A$501,'03_地点锚点'!F82)=0),"父级地点不存在；","")&amp;IF(AND('03_地点锚点'!A82&lt;&gt;"",COUNTIF('03_地点锚点'!$A$2:$A$501,'03_地点锚点'!A82)&gt;1),"ID重复；",""),"")</f>
        <v/>
      </c>
      <c r="G582" s="14">
        <f>IF(F582&lt;&gt;"","按字段批注、数据字典和来源记录修正后复核","")</f>
        <v/>
      </c>
      <c r="H582" s="14">
        <f>IF(F582&lt;&gt;"","待处理","")</f>
        <v/>
      </c>
    </row>
    <row r="583">
      <c r="A583" s="14">
        <f>IF(F583&lt;&gt;"","ISSUE-"&amp;TEXT(ROW()-1,"00000"),"")</f>
        <v/>
      </c>
      <c r="B583" s="14">
        <f>IF(F583&lt;&gt;"","错误","")</f>
        <v/>
      </c>
      <c r="C583" s="14">
        <f>IF('03_地点锚点'!A83&lt;&gt;"","03_地点锚点","")</f>
        <v/>
      </c>
      <c r="D583" s="14">
        <f>IF('03_地点锚点'!A83&lt;&gt;"",'03_地点锚点'!A83,"")</f>
        <v/>
      </c>
      <c r="E583" s="14">
        <f>IF(F583&lt;&gt;"","综合校验","")</f>
        <v/>
      </c>
      <c r="F583" s="14">
        <f>IF('03_地点锚点'!A83&lt;&gt;"",IF('03_地点锚点'!A83="","缺少地点ID；","")&amp;IF('03_地点锚点'!B83="","缺少中文名称；","")&amp;IF('03_地点锚点'!D83="","缺少地点类型；","")&amp;IF('03_地点锚点'!G83="","缺少世界X；","")&amp;IF('03_地点锚点'!H83="","缺少世界Y；","")&amp;IF(AND('03_地点锚点'!G83&lt;&gt;"",OR('03_地点锚点'!G83&lt;0,'03_地点锚点'!G83&gt;WorldWidth)),"世界X越界；","")&amp;IF(AND('03_地点锚点'!H83&lt;&gt;"",OR('03_地点锚点'!H83&lt;0,'03_地点锚点'!H83&gt;WorldHeight)),"世界Y越界；","")&amp;IF(AND('03_地点锚点'!E83&lt;&gt;"",COUNTIF('02_固定地理'!$A$2:$A$501,'03_地点锚点'!E83)=0),"父级行政对象不存在；","")&amp;IF(AND('03_地点锚点'!F83&lt;&gt;"",COUNTIF('03_地点锚点'!$A$2:$A$501,'03_地点锚点'!F83)=0),"父级地点不存在；","")&amp;IF(AND('03_地点锚点'!A83&lt;&gt;"",COUNTIF('03_地点锚点'!$A$2:$A$501,'03_地点锚点'!A83)&gt;1),"ID重复；",""),"")</f>
        <v/>
      </c>
      <c r="G583" s="14">
        <f>IF(F583&lt;&gt;"","按字段批注、数据字典和来源记录修正后复核","")</f>
        <v/>
      </c>
      <c r="H583" s="14">
        <f>IF(F583&lt;&gt;"","待处理","")</f>
        <v/>
      </c>
    </row>
    <row r="584">
      <c r="A584" s="14">
        <f>IF(F584&lt;&gt;"","ISSUE-"&amp;TEXT(ROW()-1,"00000"),"")</f>
        <v/>
      </c>
      <c r="B584" s="14">
        <f>IF(F584&lt;&gt;"","错误","")</f>
        <v/>
      </c>
      <c r="C584" s="14">
        <f>IF('03_地点锚点'!A84&lt;&gt;"","03_地点锚点","")</f>
        <v/>
      </c>
      <c r="D584" s="14">
        <f>IF('03_地点锚点'!A84&lt;&gt;"",'03_地点锚点'!A84,"")</f>
        <v/>
      </c>
      <c r="E584" s="14">
        <f>IF(F584&lt;&gt;"","综合校验","")</f>
        <v/>
      </c>
      <c r="F584" s="14">
        <f>IF('03_地点锚点'!A84&lt;&gt;"",IF('03_地点锚点'!A84="","缺少地点ID；","")&amp;IF('03_地点锚点'!B84="","缺少中文名称；","")&amp;IF('03_地点锚点'!D84="","缺少地点类型；","")&amp;IF('03_地点锚点'!G84="","缺少世界X；","")&amp;IF('03_地点锚点'!H84="","缺少世界Y；","")&amp;IF(AND('03_地点锚点'!G84&lt;&gt;"",OR('03_地点锚点'!G84&lt;0,'03_地点锚点'!G84&gt;WorldWidth)),"世界X越界；","")&amp;IF(AND('03_地点锚点'!H84&lt;&gt;"",OR('03_地点锚点'!H84&lt;0,'03_地点锚点'!H84&gt;WorldHeight)),"世界Y越界；","")&amp;IF(AND('03_地点锚点'!E84&lt;&gt;"",COUNTIF('02_固定地理'!$A$2:$A$501,'03_地点锚点'!E84)=0),"父级行政对象不存在；","")&amp;IF(AND('03_地点锚点'!F84&lt;&gt;"",COUNTIF('03_地点锚点'!$A$2:$A$501,'03_地点锚点'!F84)=0),"父级地点不存在；","")&amp;IF(AND('03_地点锚点'!A84&lt;&gt;"",COUNTIF('03_地点锚点'!$A$2:$A$501,'03_地点锚点'!A84)&gt;1),"ID重复；",""),"")</f>
        <v/>
      </c>
      <c r="G584" s="14">
        <f>IF(F584&lt;&gt;"","按字段批注、数据字典和来源记录修正后复核","")</f>
        <v/>
      </c>
      <c r="H584" s="14">
        <f>IF(F584&lt;&gt;"","待处理","")</f>
        <v/>
      </c>
    </row>
    <row r="585">
      <c r="A585" s="14">
        <f>IF(F585&lt;&gt;"","ISSUE-"&amp;TEXT(ROW()-1,"00000"),"")</f>
        <v/>
      </c>
      <c r="B585" s="14">
        <f>IF(F585&lt;&gt;"","错误","")</f>
        <v/>
      </c>
      <c r="C585" s="14">
        <f>IF('03_地点锚点'!A85&lt;&gt;"","03_地点锚点","")</f>
        <v/>
      </c>
      <c r="D585" s="14">
        <f>IF('03_地点锚点'!A85&lt;&gt;"",'03_地点锚点'!A85,"")</f>
        <v/>
      </c>
      <c r="E585" s="14">
        <f>IF(F585&lt;&gt;"","综合校验","")</f>
        <v/>
      </c>
      <c r="F585" s="14">
        <f>IF('03_地点锚点'!A85&lt;&gt;"",IF('03_地点锚点'!A85="","缺少地点ID；","")&amp;IF('03_地点锚点'!B85="","缺少中文名称；","")&amp;IF('03_地点锚点'!D85="","缺少地点类型；","")&amp;IF('03_地点锚点'!G85="","缺少世界X；","")&amp;IF('03_地点锚点'!H85="","缺少世界Y；","")&amp;IF(AND('03_地点锚点'!G85&lt;&gt;"",OR('03_地点锚点'!G85&lt;0,'03_地点锚点'!G85&gt;WorldWidth)),"世界X越界；","")&amp;IF(AND('03_地点锚点'!H85&lt;&gt;"",OR('03_地点锚点'!H85&lt;0,'03_地点锚点'!H85&gt;WorldHeight)),"世界Y越界；","")&amp;IF(AND('03_地点锚点'!E85&lt;&gt;"",COUNTIF('02_固定地理'!$A$2:$A$501,'03_地点锚点'!E85)=0),"父级行政对象不存在；","")&amp;IF(AND('03_地点锚点'!F85&lt;&gt;"",COUNTIF('03_地点锚点'!$A$2:$A$501,'03_地点锚点'!F85)=0),"父级地点不存在；","")&amp;IF(AND('03_地点锚点'!A85&lt;&gt;"",COUNTIF('03_地点锚点'!$A$2:$A$501,'03_地点锚点'!A85)&gt;1),"ID重复；",""),"")</f>
        <v/>
      </c>
      <c r="G585" s="14">
        <f>IF(F585&lt;&gt;"","按字段批注、数据字典和来源记录修正后复核","")</f>
        <v/>
      </c>
      <c r="H585" s="14">
        <f>IF(F585&lt;&gt;"","待处理","")</f>
        <v/>
      </c>
    </row>
    <row r="586">
      <c r="A586" s="14">
        <f>IF(F586&lt;&gt;"","ISSUE-"&amp;TEXT(ROW()-1,"00000"),"")</f>
        <v/>
      </c>
      <c r="B586" s="14">
        <f>IF(F586&lt;&gt;"","错误","")</f>
        <v/>
      </c>
      <c r="C586" s="14">
        <f>IF('03_地点锚点'!A86&lt;&gt;"","03_地点锚点","")</f>
        <v/>
      </c>
      <c r="D586" s="14">
        <f>IF('03_地点锚点'!A86&lt;&gt;"",'03_地点锚点'!A86,"")</f>
        <v/>
      </c>
      <c r="E586" s="14">
        <f>IF(F586&lt;&gt;"","综合校验","")</f>
        <v/>
      </c>
      <c r="F586" s="14">
        <f>IF('03_地点锚点'!A86&lt;&gt;"",IF('03_地点锚点'!A86="","缺少地点ID；","")&amp;IF('03_地点锚点'!B86="","缺少中文名称；","")&amp;IF('03_地点锚点'!D86="","缺少地点类型；","")&amp;IF('03_地点锚点'!G86="","缺少世界X；","")&amp;IF('03_地点锚点'!H86="","缺少世界Y；","")&amp;IF(AND('03_地点锚点'!G86&lt;&gt;"",OR('03_地点锚点'!G86&lt;0,'03_地点锚点'!G86&gt;WorldWidth)),"世界X越界；","")&amp;IF(AND('03_地点锚点'!H86&lt;&gt;"",OR('03_地点锚点'!H86&lt;0,'03_地点锚点'!H86&gt;WorldHeight)),"世界Y越界；","")&amp;IF(AND('03_地点锚点'!E86&lt;&gt;"",COUNTIF('02_固定地理'!$A$2:$A$501,'03_地点锚点'!E86)=0),"父级行政对象不存在；","")&amp;IF(AND('03_地点锚点'!F86&lt;&gt;"",COUNTIF('03_地点锚点'!$A$2:$A$501,'03_地点锚点'!F86)=0),"父级地点不存在；","")&amp;IF(AND('03_地点锚点'!A86&lt;&gt;"",COUNTIF('03_地点锚点'!$A$2:$A$501,'03_地点锚点'!A86)&gt;1),"ID重复；",""),"")</f>
        <v/>
      </c>
      <c r="G586" s="14">
        <f>IF(F586&lt;&gt;"","按字段批注、数据字典和来源记录修正后复核","")</f>
        <v/>
      </c>
      <c r="H586" s="14">
        <f>IF(F586&lt;&gt;"","待处理","")</f>
        <v/>
      </c>
    </row>
    <row r="587">
      <c r="A587" s="14">
        <f>IF(F587&lt;&gt;"","ISSUE-"&amp;TEXT(ROW()-1,"00000"),"")</f>
        <v/>
      </c>
      <c r="B587" s="14">
        <f>IF(F587&lt;&gt;"","错误","")</f>
        <v/>
      </c>
      <c r="C587" s="14">
        <f>IF('03_地点锚点'!A87&lt;&gt;"","03_地点锚点","")</f>
        <v/>
      </c>
      <c r="D587" s="14">
        <f>IF('03_地点锚点'!A87&lt;&gt;"",'03_地点锚点'!A87,"")</f>
        <v/>
      </c>
      <c r="E587" s="14">
        <f>IF(F587&lt;&gt;"","综合校验","")</f>
        <v/>
      </c>
      <c r="F587" s="14">
        <f>IF('03_地点锚点'!A87&lt;&gt;"",IF('03_地点锚点'!A87="","缺少地点ID；","")&amp;IF('03_地点锚点'!B87="","缺少中文名称；","")&amp;IF('03_地点锚点'!D87="","缺少地点类型；","")&amp;IF('03_地点锚点'!G87="","缺少世界X；","")&amp;IF('03_地点锚点'!H87="","缺少世界Y；","")&amp;IF(AND('03_地点锚点'!G87&lt;&gt;"",OR('03_地点锚点'!G87&lt;0,'03_地点锚点'!G87&gt;WorldWidth)),"世界X越界；","")&amp;IF(AND('03_地点锚点'!H87&lt;&gt;"",OR('03_地点锚点'!H87&lt;0,'03_地点锚点'!H87&gt;WorldHeight)),"世界Y越界；","")&amp;IF(AND('03_地点锚点'!E87&lt;&gt;"",COUNTIF('02_固定地理'!$A$2:$A$501,'03_地点锚点'!E87)=0),"父级行政对象不存在；","")&amp;IF(AND('03_地点锚点'!F87&lt;&gt;"",COUNTIF('03_地点锚点'!$A$2:$A$501,'03_地点锚点'!F87)=0),"父级地点不存在；","")&amp;IF(AND('03_地点锚点'!A87&lt;&gt;"",COUNTIF('03_地点锚点'!$A$2:$A$501,'03_地点锚点'!A87)&gt;1),"ID重复；",""),"")</f>
        <v/>
      </c>
      <c r="G587" s="14">
        <f>IF(F587&lt;&gt;"","按字段批注、数据字典和来源记录修正后复核","")</f>
        <v/>
      </c>
      <c r="H587" s="14">
        <f>IF(F587&lt;&gt;"","待处理","")</f>
        <v/>
      </c>
    </row>
    <row r="588">
      <c r="A588" s="14">
        <f>IF(F588&lt;&gt;"","ISSUE-"&amp;TEXT(ROW()-1,"00000"),"")</f>
        <v/>
      </c>
      <c r="B588" s="14">
        <f>IF(F588&lt;&gt;"","错误","")</f>
        <v/>
      </c>
      <c r="C588" s="14">
        <f>IF('03_地点锚点'!A88&lt;&gt;"","03_地点锚点","")</f>
        <v/>
      </c>
      <c r="D588" s="14">
        <f>IF('03_地点锚点'!A88&lt;&gt;"",'03_地点锚点'!A88,"")</f>
        <v/>
      </c>
      <c r="E588" s="14">
        <f>IF(F588&lt;&gt;"","综合校验","")</f>
        <v/>
      </c>
      <c r="F588" s="14">
        <f>IF('03_地点锚点'!A88&lt;&gt;"",IF('03_地点锚点'!A88="","缺少地点ID；","")&amp;IF('03_地点锚点'!B88="","缺少中文名称；","")&amp;IF('03_地点锚点'!D88="","缺少地点类型；","")&amp;IF('03_地点锚点'!G88="","缺少世界X；","")&amp;IF('03_地点锚点'!H88="","缺少世界Y；","")&amp;IF(AND('03_地点锚点'!G88&lt;&gt;"",OR('03_地点锚点'!G88&lt;0,'03_地点锚点'!G88&gt;WorldWidth)),"世界X越界；","")&amp;IF(AND('03_地点锚点'!H88&lt;&gt;"",OR('03_地点锚点'!H88&lt;0,'03_地点锚点'!H88&gt;WorldHeight)),"世界Y越界；","")&amp;IF(AND('03_地点锚点'!E88&lt;&gt;"",COUNTIF('02_固定地理'!$A$2:$A$501,'03_地点锚点'!E88)=0),"父级行政对象不存在；","")&amp;IF(AND('03_地点锚点'!F88&lt;&gt;"",COUNTIF('03_地点锚点'!$A$2:$A$501,'03_地点锚点'!F88)=0),"父级地点不存在；","")&amp;IF(AND('03_地点锚点'!A88&lt;&gt;"",COUNTIF('03_地点锚点'!$A$2:$A$501,'03_地点锚点'!A88)&gt;1),"ID重复；",""),"")</f>
        <v/>
      </c>
      <c r="G588" s="14">
        <f>IF(F588&lt;&gt;"","按字段批注、数据字典和来源记录修正后复核","")</f>
        <v/>
      </c>
      <c r="H588" s="14">
        <f>IF(F588&lt;&gt;"","待处理","")</f>
        <v/>
      </c>
    </row>
    <row r="589">
      <c r="A589" s="14">
        <f>IF(F589&lt;&gt;"","ISSUE-"&amp;TEXT(ROW()-1,"00000"),"")</f>
        <v/>
      </c>
      <c r="B589" s="14">
        <f>IF(F589&lt;&gt;"","错误","")</f>
        <v/>
      </c>
      <c r="C589" s="14">
        <f>IF('03_地点锚点'!A89&lt;&gt;"","03_地点锚点","")</f>
        <v/>
      </c>
      <c r="D589" s="14">
        <f>IF('03_地点锚点'!A89&lt;&gt;"",'03_地点锚点'!A89,"")</f>
        <v/>
      </c>
      <c r="E589" s="14">
        <f>IF(F589&lt;&gt;"","综合校验","")</f>
        <v/>
      </c>
      <c r="F589" s="14">
        <f>IF('03_地点锚点'!A89&lt;&gt;"",IF('03_地点锚点'!A89="","缺少地点ID；","")&amp;IF('03_地点锚点'!B89="","缺少中文名称；","")&amp;IF('03_地点锚点'!D89="","缺少地点类型；","")&amp;IF('03_地点锚点'!G89="","缺少世界X；","")&amp;IF('03_地点锚点'!H89="","缺少世界Y；","")&amp;IF(AND('03_地点锚点'!G89&lt;&gt;"",OR('03_地点锚点'!G89&lt;0,'03_地点锚点'!G89&gt;WorldWidth)),"世界X越界；","")&amp;IF(AND('03_地点锚点'!H89&lt;&gt;"",OR('03_地点锚点'!H89&lt;0,'03_地点锚点'!H89&gt;WorldHeight)),"世界Y越界；","")&amp;IF(AND('03_地点锚点'!E89&lt;&gt;"",COUNTIF('02_固定地理'!$A$2:$A$501,'03_地点锚点'!E89)=0),"父级行政对象不存在；","")&amp;IF(AND('03_地点锚点'!F89&lt;&gt;"",COUNTIF('03_地点锚点'!$A$2:$A$501,'03_地点锚点'!F89)=0),"父级地点不存在；","")&amp;IF(AND('03_地点锚点'!A89&lt;&gt;"",COUNTIF('03_地点锚点'!$A$2:$A$501,'03_地点锚点'!A89)&gt;1),"ID重复；",""),"")</f>
        <v/>
      </c>
      <c r="G589" s="14">
        <f>IF(F589&lt;&gt;"","按字段批注、数据字典和来源记录修正后复核","")</f>
        <v/>
      </c>
      <c r="H589" s="14">
        <f>IF(F589&lt;&gt;"","待处理","")</f>
        <v/>
      </c>
    </row>
    <row r="590">
      <c r="A590" s="14">
        <f>IF(F590&lt;&gt;"","ISSUE-"&amp;TEXT(ROW()-1,"00000"),"")</f>
        <v/>
      </c>
      <c r="B590" s="14">
        <f>IF(F590&lt;&gt;"","错误","")</f>
        <v/>
      </c>
      <c r="C590" s="14">
        <f>IF('03_地点锚点'!A90&lt;&gt;"","03_地点锚点","")</f>
        <v/>
      </c>
      <c r="D590" s="14">
        <f>IF('03_地点锚点'!A90&lt;&gt;"",'03_地点锚点'!A90,"")</f>
        <v/>
      </c>
      <c r="E590" s="14">
        <f>IF(F590&lt;&gt;"","综合校验","")</f>
        <v/>
      </c>
      <c r="F590" s="14">
        <f>IF('03_地点锚点'!A90&lt;&gt;"",IF('03_地点锚点'!A90="","缺少地点ID；","")&amp;IF('03_地点锚点'!B90="","缺少中文名称；","")&amp;IF('03_地点锚点'!D90="","缺少地点类型；","")&amp;IF('03_地点锚点'!G90="","缺少世界X；","")&amp;IF('03_地点锚点'!H90="","缺少世界Y；","")&amp;IF(AND('03_地点锚点'!G90&lt;&gt;"",OR('03_地点锚点'!G90&lt;0,'03_地点锚点'!G90&gt;WorldWidth)),"世界X越界；","")&amp;IF(AND('03_地点锚点'!H90&lt;&gt;"",OR('03_地点锚点'!H90&lt;0,'03_地点锚点'!H90&gt;WorldHeight)),"世界Y越界；","")&amp;IF(AND('03_地点锚点'!E90&lt;&gt;"",COUNTIF('02_固定地理'!$A$2:$A$501,'03_地点锚点'!E90)=0),"父级行政对象不存在；","")&amp;IF(AND('03_地点锚点'!F90&lt;&gt;"",COUNTIF('03_地点锚点'!$A$2:$A$501,'03_地点锚点'!F90)=0),"父级地点不存在；","")&amp;IF(AND('03_地点锚点'!A90&lt;&gt;"",COUNTIF('03_地点锚点'!$A$2:$A$501,'03_地点锚点'!A90)&gt;1),"ID重复；",""),"")</f>
        <v/>
      </c>
      <c r="G590" s="14">
        <f>IF(F590&lt;&gt;"","按字段批注、数据字典和来源记录修正后复核","")</f>
        <v/>
      </c>
      <c r="H590" s="14">
        <f>IF(F590&lt;&gt;"","待处理","")</f>
        <v/>
      </c>
    </row>
    <row r="591">
      <c r="A591" s="14">
        <f>IF(F591&lt;&gt;"","ISSUE-"&amp;TEXT(ROW()-1,"00000"),"")</f>
        <v/>
      </c>
      <c r="B591" s="14">
        <f>IF(F591&lt;&gt;"","错误","")</f>
        <v/>
      </c>
      <c r="C591" s="14">
        <f>IF('03_地点锚点'!A91&lt;&gt;"","03_地点锚点","")</f>
        <v/>
      </c>
      <c r="D591" s="14">
        <f>IF('03_地点锚点'!A91&lt;&gt;"",'03_地点锚点'!A91,"")</f>
        <v/>
      </c>
      <c r="E591" s="14">
        <f>IF(F591&lt;&gt;"","综合校验","")</f>
        <v/>
      </c>
      <c r="F591" s="14">
        <f>IF('03_地点锚点'!A91&lt;&gt;"",IF('03_地点锚点'!A91="","缺少地点ID；","")&amp;IF('03_地点锚点'!B91="","缺少中文名称；","")&amp;IF('03_地点锚点'!D91="","缺少地点类型；","")&amp;IF('03_地点锚点'!G91="","缺少世界X；","")&amp;IF('03_地点锚点'!H91="","缺少世界Y；","")&amp;IF(AND('03_地点锚点'!G91&lt;&gt;"",OR('03_地点锚点'!G91&lt;0,'03_地点锚点'!G91&gt;WorldWidth)),"世界X越界；","")&amp;IF(AND('03_地点锚点'!H91&lt;&gt;"",OR('03_地点锚点'!H91&lt;0,'03_地点锚点'!H91&gt;WorldHeight)),"世界Y越界；","")&amp;IF(AND('03_地点锚点'!E91&lt;&gt;"",COUNTIF('02_固定地理'!$A$2:$A$501,'03_地点锚点'!E91)=0),"父级行政对象不存在；","")&amp;IF(AND('03_地点锚点'!F91&lt;&gt;"",COUNTIF('03_地点锚点'!$A$2:$A$501,'03_地点锚点'!F91)=0),"父级地点不存在；","")&amp;IF(AND('03_地点锚点'!A91&lt;&gt;"",COUNTIF('03_地点锚点'!$A$2:$A$501,'03_地点锚点'!A91)&gt;1),"ID重复；",""),"")</f>
        <v/>
      </c>
      <c r="G591" s="14">
        <f>IF(F591&lt;&gt;"","按字段批注、数据字典和来源记录修正后复核","")</f>
        <v/>
      </c>
      <c r="H591" s="14">
        <f>IF(F591&lt;&gt;"","待处理","")</f>
        <v/>
      </c>
    </row>
    <row r="592">
      <c r="A592" s="14">
        <f>IF(F592&lt;&gt;"","ISSUE-"&amp;TEXT(ROW()-1,"00000"),"")</f>
        <v/>
      </c>
      <c r="B592" s="14">
        <f>IF(F592&lt;&gt;"","错误","")</f>
        <v/>
      </c>
      <c r="C592" s="14">
        <f>IF('03_地点锚点'!A92&lt;&gt;"","03_地点锚点","")</f>
        <v/>
      </c>
      <c r="D592" s="14">
        <f>IF('03_地点锚点'!A92&lt;&gt;"",'03_地点锚点'!A92,"")</f>
        <v/>
      </c>
      <c r="E592" s="14">
        <f>IF(F592&lt;&gt;"","综合校验","")</f>
        <v/>
      </c>
      <c r="F592" s="14">
        <f>IF('03_地点锚点'!A92&lt;&gt;"",IF('03_地点锚点'!A92="","缺少地点ID；","")&amp;IF('03_地点锚点'!B92="","缺少中文名称；","")&amp;IF('03_地点锚点'!D92="","缺少地点类型；","")&amp;IF('03_地点锚点'!G92="","缺少世界X；","")&amp;IF('03_地点锚点'!H92="","缺少世界Y；","")&amp;IF(AND('03_地点锚点'!G92&lt;&gt;"",OR('03_地点锚点'!G92&lt;0,'03_地点锚点'!G92&gt;WorldWidth)),"世界X越界；","")&amp;IF(AND('03_地点锚点'!H92&lt;&gt;"",OR('03_地点锚点'!H92&lt;0,'03_地点锚点'!H92&gt;WorldHeight)),"世界Y越界；","")&amp;IF(AND('03_地点锚点'!E92&lt;&gt;"",COUNTIF('02_固定地理'!$A$2:$A$501,'03_地点锚点'!E92)=0),"父级行政对象不存在；","")&amp;IF(AND('03_地点锚点'!F92&lt;&gt;"",COUNTIF('03_地点锚点'!$A$2:$A$501,'03_地点锚点'!F92)=0),"父级地点不存在；","")&amp;IF(AND('03_地点锚点'!A92&lt;&gt;"",COUNTIF('03_地点锚点'!$A$2:$A$501,'03_地点锚点'!A92)&gt;1),"ID重复；",""),"")</f>
        <v/>
      </c>
      <c r="G592" s="14">
        <f>IF(F592&lt;&gt;"","按字段批注、数据字典和来源记录修正后复核","")</f>
        <v/>
      </c>
      <c r="H592" s="14">
        <f>IF(F592&lt;&gt;"","待处理","")</f>
        <v/>
      </c>
    </row>
    <row r="593">
      <c r="A593" s="14">
        <f>IF(F593&lt;&gt;"","ISSUE-"&amp;TEXT(ROW()-1,"00000"),"")</f>
        <v/>
      </c>
      <c r="B593" s="14">
        <f>IF(F593&lt;&gt;"","错误","")</f>
        <v/>
      </c>
      <c r="C593" s="14">
        <f>IF('03_地点锚点'!A93&lt;&gt;"","03_地点锚点","")</f>
        <v/>
      </c>
      <c r="D593" s="14">
        <f>IF('03_地点锚点'!A93&lt;&gt;"",'03_地点锚点'!A93,"")</f>
        <v/>
      </c>
      <c r="E593" s="14">
        <f>IF(F593&lt;&gt;"","综合校验","")</f>
        <v/>
      </c>
      <c r="F593" s="14">
        <f>IF('03_地点锚点'!A93&lt;&gt;"",IF('03_地点锚点'!A93="","缺少地点ID；","")&amp;IF('03_地点锚点'!B93="","缺少中文名称；","")&amp;IF('03_地点锚点'!D93="","缺少地点类型；","")&amp;IF('03_地点锚点'!G93="","缺少世界X；","")&amp;IF('03_地点锚点'!H93="","缺少世界Y；","")&amp;IF(AND('03_地点锚点'!G93&lt;&gt;"",OR('03_地点锚点'!G93&lt;0,'03_地点锚点'!G93&gt;WorldWidth)),"世界X越界；","")&amp;IF(AND('03_地点锚点'!H93&lt;&gt;"",OR('03_地点锚点'!H93&lt;0,'03_地点锚点'!H93&gt;WorldHeight)),"世界Y越界；","")&amp;IF(AND('03_地点锚点'!E93&lt;&gt;"",COUNTIF('02_固定地理'!$A$2:$A$501,'03_地点锚点'!E93)=0),"父级行政对象不存在；","")&amp;IF(AND('03_地点锚点'!F93&lt;&gt;"",COUNTIF('03_地点锚点'!$A$2:$A$501,'03_地点锚点'!F93)=0),"父级地点不存在；","")&amp;IF(AND('03_地点锚点'!A93&lt;&gt;"",COUNTIF('03_地点锚点'!$A$2:$A$501,'03_地点锚点'!A93)&gt;1),"ID重复；",""),"")</f>
        <v/>
      </c>
      <c r="G593" s="14">
        <f>IF(F593&lt;&gt;"","按字段批注、数据字典和来源记录修正后复核","")</f>
        <v/>
      </c>
      <c r="H593" s="14">
        <f>IF(F593&lt;&gt;"","待处理","")</f>
        <v/>
      </c>
    </row>
    <row r="594">
      <c r="A594" s="14">
        <f>IF(F594&lt;&gt;"","ISSUE-"&amp;TEXT(ROW()-1,"00000"),"")</f>
        <v/>
      </c>
      <c r="B594" s="14">
        <f>IF(F594&lt;&gt;"","错误","")</f>
        <v/>
      </c>
      <c r="C594" s="14">
        <f>IF('03_地点锚点'!A94&lt;&gt;"","03_地点锚点","")</f>
        <v/>
      </c>
      <c r="D594" s="14">
        <f>IF('03_地点锚点'!A94&lt;&gt;"",'03_地点锚点'!A94,"")</f>
        <v/>
      </c>
      <c r="E594" s="14">
        <f>IF(F594&lt;&gt;"","综合校验","")</f>
        <v/>
      </c>
      <c r="F594" s="14">
        <f>IF('03_地点锚点'!A94&lt;&gt;"",IF('03_地点锚点'!A94="","缺少地点ID；","")&amp;IF('03_地点锚点'!B94="","缺少中文名称；","")&amp;IF('03_地点锚点'!D94="","缺少地点类型；","")&amp;IF('03_地点锚点'!G94="","缺少世界X；","")&amp;IF('03_地点锚点'!H94="","缺少世界Y；","")&amp;IF(AND('03_地点锚点'!G94&lt;&gt;"",OR('03_地点锚点'!G94&lt;0,'03_地点锚点'!G94&gt;WorldWidth)),"世界X越界；","")&amp;IF(AND('03_地点锚点'!H94&lt;&gt;"",OR('03_地点锚点'!H94&lt;0,'03_地点锚点'!H94&gt;WorldHeight)),"世界Y越界；","")&amp;IF(AND('03_地点锚点'!E94&lt;&gt;"",COUNTIF('02_固定地理'!$A$2:$A$501,'03_地点锚点'!E94)=0),"父级行政对象不存在；","")&amp;IF(AND('03_地点锚点'!F94&lt;&gt;"",COUNTIF('03_地点锚点'!$A$2:$A$501,'03_地点锚点'!F94)=0),"父级地点不存在；","")&amp;IF(AND('03_地点锚点'!A94&lt;&gt;"",COUNTIF('03_地点锚点'!$A$2:$A$501,'03_地点锚点'!A94)&gt;1),"ID重复；",""),"")</f>
        <v/>
      </c>
      <c r="G594" s="14">
        <f>IF(F594&lt;&gt;"","按字段批注、数据字典和来源记录修正后复核","")</f>
        <v/>
      </c>
      <c r="H594" s="14">
        <f>IF(F594&lt;&gt;"","待处理","")</f>
        <v/>
      </c>
    </row>
    <row r="595">
      <c r="A595" s="14">
        <f>IF(F595&lt;&gt;"","ISSUE-"&amp;TEXT(ROW()-1,"00000"),"")</f>
        <v/>
      </c>
      <c r="B595" s="14">
        <f>IF(F595&lt;&gt;"","错误","")</f>
        <v/>
      </c>
      <c r="C595" s="14">
        <f>IF('03_地点锚点'!A95&lt;&gt;"","03_地点锚点","")</f>
        <v/>
      </c>
      <c r="D595" s="14">
        <f>IF('03_地点锚点'!A95&lt;&gt;"",'03_地点锚点'!A95,"")</f>
        <v/>
      </c>
      <c r="E595" s="14">
        <f>IF(F595&lt;&gt;"","综合校验","")</f>
        <v/>
      </c>
      <c r="F595" s="14">
        <f>IF('03_地点锚点'!A95&lt;&gt;"",IF('03_地点锚点'!A95="","缺少地点ID；","")&amp;IF('03_地点锚点'!B95="","缺少中文名称；","")&amp;IF('03_地点锚点'!D95="","缺少地点类型；","")&amp;IF('03_地点锚点'!G95="","缺少世界X；","")&amp;IF('03_地点锚点'!H95="","缺少世界Y；","")&amp;IF(AND('03_地点锚点'!G95&lt;&gt;"",OR('03_地点锚点'!G95&lt;0,'03_地点锚点'!G95&gt;WorldWidth)),"世界X越界；","")&amp;IF(AND('03_地点锚点'!H95&lt;&gt;"",OR('03_地点锚点'!H95&lt;0,'03_地点锚点'!H95&gt;WorldHeight)),"世界Y越界；","")&amp;IF(AND('03_地点锚点'!E95&lt;&gt;"",COUNTIF('02_固定地理'!$A$2:$A$501,'03_地点锚点'!E95)=0),"父级行政对象不存在；","")&amp;IF(AND('03_地点锚点'!F95&lt;&gt;"",COUNTIF('03_地点锚点'!$A$2:$A$501,'03_地点锚点'!F95)=0),"父级地点不存在；","")&amp;IF(AND('03_地点锚点'!A95&lt;&gt;"",COUNTIF('03_地点锚点'!$A$2:$A$501,'03_地点锚点'!A95)&gt;1),"ID重复；",""),"")</f>
        <v/>
      </c>
      <c r="G595" s="14">
        <f>IF(F595&lt;&gt;"","按字段批注、数据字典和来源记录修正后复核","")</f>
        <v/>
      </c>
      <c r="H595" s="14">
        <f>IF(F595&lt;&gt;"","待处理","")</f>
        <v/>
      </c>
    </row>
    <row r="596">
      <c r="A596" s="14">
        <f>IF(F596&lt;&gt;"","ISSUE-"&amp;TEXT(ROW()-1,"00000"),"")</f>
        <v/>
      </c>
      <c r="B596" s="14">
        <f>IF(F596&lt;&gt;"","错误","")</f>
        <v/>
      </c>
      <c r="C596" s="14">
        <f>IF('03_地点锚点'!A96&lt;&gt;"","03_地点锚点","")</f>
        <v/>
      </c>
      <c r="D596" s="14">
        <f>IF('03_地点锚点'!A96&lt;&gt;"",'03_地点锚点'!A96,"")</f>
        <v/>
      </c>
      <c r="E596" s="14">
        <f>IF(F596&lt;&gt;"","综合校验","")</f>
        <v/>
      </c>
      <c r="F596" s="14">
        <f>IF('03_地点锚点'!A96&lt;&gt;"",IF('03_地点锚点'!A96="","缺少地点ID；","")&amp;IF('03_地点锚点'!B96="","缺少中文名称；","")&amp;IF('03_地点锚点'!D96="","缺少地点类型；","")&amp;IF('03_地点锚点'!G96="","缺少世界X；","")&amp;IF('03_地点锚点'!H96="","缺少世界Y；","")&amp;IF(AND('03_地点锚点'!G96&lt;&gt;"",OR('03_地点锚点'!G96&lt;0,'03_地点锚点'!G96&gt;WorldWidth)),"世界X越界；","")&amp;IF(AND('03_地点锚点'!H96&lt;&gt;"",OR('03_地点锚点'!H96&lt;0,'03_地点锚点'!H96&gt;WorldHeight)),"世界Y越界；","")&amp;IF(AND('03_地点锚点'!E96&lt;&gt;"",COUNTIF('02_固定地理'!$A$2:$A$501,'03_地点锚点'!E96)=0),"父级行政对象不存在；","")&amp;IF(AND('03_地点锚点'!F96&lt;&gt;"",COUNTIF('03_地点锚点'!$A$2:$A$501,'03_地点锚点'!F96)=0),"父级地点不存在；","")&amp;IF(AND('03_地点锚点'!A96&lt;&gt;"",COUNTIF('03_地点锚点'!$A$2:$A$501,'03_地点锚点'!A96)&gt;1),"ID重复；",""),"")</f>
        <v/>
      </c>
      <c r="G596" s="14">
        <f>IF(F596&lt;&gt;"","按字段批注、数据字典和来源记录修正后复核","")</f>
        <v/>
      </c>
      <c r="H596" s="14">
        <f>IF(F596&lt;&gt;"","待处理","")</f>
        <v/>
      </c>
    </row>
    <row r="597">
      <c r="A597" s="14">
        <f>IF(F597&lt;&gt;"","ISSUE-"&amp;TEXT(ROW()-1,"00000"),"")</f>
        <v/>
      </c>
      <c r="B597" s="14">
        <f>IF(F597&lt;&gt;"","错误","")</f>
        <v/>
      </c>
      <c r="C597" s="14">
        <f>IF('03_地点锚点'!A97&lt;&gt;"","03_地点锚点","")</f>
        <v/>
      </c>
      <c r="D597" s="14">
        <f>IF('03_地点锚点'!A97&lt;&gt;"",'03_地点锚点'!A97,"")</f>
        <v/>
      </c>
      <c r="E597" s="14">
        <f>IF(F597&lt;&gt;"","综合校验","")</f>
        <v/>
      </c>
      <c r="F597" s="14">
        <f>IF('03_地点锚点'!A97&lt;&gt;"",IF('03_地点锚点'!A97="","缺少地点ID；","")&amp;IF('03_地点锚点'!B97="","缺少中文名称；","")&amp;IF('03_地点锚点'!D97="","缺少地点类型；","")&amp;IF('03_地点锚点'!G97="","缺少世界X；","")&amp;IF('03_地点锚点'!H97="","缺少世界Y；","")&amp;IF(AND('03_地点锚点'!G97&lt;&gt;"",OR('03_地点锚点'!G97&lt;0,'03_地点锚点'!G97&gt;WorldWidth)),"世界X越界；","")&amp;IF(AND('03_地点锚点'!H97&lt;&gt;"",OR('03_地点锚点'!H97&lt;0,'03_地点锚点'!H97&gt;WorldHeight)),"世界Y越界；","")&amp;IF(AND('03_地点锚点'!E97&lt;&gt;"",COUNTIF('02_固定地理'!$A$2:$A$501,'03_地点锚点'!E97)=0),"父级行政对象不存在；","")&amp;IF(AND('03_地点锚点'!F97&lt;&gt;"",COUNTIF('03_地点锚点'!$A$2:$A$501,'03_地点锚点'!F97)=0),"父级地点不存在；","")&amp;IF(AND('03_地点锚点'!A97&lt;&gt;"",COUNTIF('03_地点锚点'!$A$2:$A$501,'03_地点锚点'!A97)&gt;1),"ID重复；",""),"")</f>
        <v/>
      </c>
      <c r="G597" s="14">
        <f>IF(F597&lt;&gt;"","按字段批注、数据字典和来源记录修正后复核","")</f>
        <v/>
      </c>
      <c r="H597" s="14">
        <f>IF(F597&lt;&gt;"","待处理","")</f>
        <v/>
      </c>
    </row>
    <row r="598">
      <c r="A598" s="14">
        <f>IF(F598&lt;&gt;"","ISSUE-"&amp;TEXT(ROW()-1,"00000"),"")</f>
        <v/>
      </c>
      <c r="B598" s="14">
        <f>IF(F598&lt;&gt;"","错误","")</f>
        <v/>
      </c>
      <c r="C598" s="14">
        <f>IF('03_地点锚点'!A98&lt;&gt;"","03_地点锚点","")</f>
        <v/>
      </c>
      <c r="D598" s="14">
        <f>IF('03_地点锚点'!A98&lt;&gt;"",'03_地点锚点'!A98,"")</f>
        <v/>
      </c>
      <c r="E598" s="14">
        <f>IF(F598&lt;&gt;"","综合校验","")</f>
        <v/>
      </c>
      <c r="F598" s="14">
        <f>IF('03_地点锚点'!A98&lt;&gt;"",IF('03_地点锚点'!A98="","缺少地点ID；","")&amp;IF('03_地点锚点'!B98="","缺少中文名称；","")&amp;IF('03_地点锚点'!D98="","缺少地点类型；","")&amp;IF('03_地点锚点'!G98="","缺少世界X；","")&amp;IF('03_地点锚点'!H98="","缺少世界Y；","")&amp;IF(AND('03_地点锚点'!G98&lt;&gt;"",OR('03_地点锚点'!G98&lt;0,'03_地点锚点'!G98&gt;WorldWidth)),"世界X越界；","")&amp;IF(AND('03_地点锚点'!H98&lt;&gt;"",OR('03_地点锚点'!H98&lt;0,'03_地点锚点'!H98&gt;WorldHeight)),"世界Y越界；","")&amp;IF(AND('03_地点锚点'!E98&lt;&gt;"",COUNTIF('02_固定地理'!$A$2:$A$501,'03_地点锚点'!E98)=0),"父级行政对象不存在；","")&amp;IF(AND('03_地点锚点'!F98&lt;&gt;"",COUNTIF('03_地点锚点'!$A$2:$A$501,'03_地点锚点'!F98)=0),"父级地点不存在；","")&amp;IF(AND('03_地点锚点'!A98&lt;&gt;"",COUNTIF('03_地点锚点'!$A$2:$A$501,'03_地点锚点'!A98)&gt;1),"ID重复；",""),"")</f>
        <v/>
      </c>
      <c r="G598" s="14">
        <f>IF(F598&lt;&gt;"","按字段批注、数据字典和来源记录修正后复核","")</f>
        <v/>
      </c>
      <c r="H598" s="14">
        <f>IF(F598&lt;&gt;"","待处理","")</f>
        <v/>
      </c>
    </row>
    <row r="599">
      <c r="A599" s="14">
        <f>IF(F599&lt;&gt;"","ISSUE-"&amp;TEXT(ROW()-1,"00000"),"")</f>
        <v/>
      </c>
      <c r="B599" s="14">
        <f>IF(F599&lt;&gt;"","错误","")</f>
        <v/>
      </c>
      <c r="C599" s="14">
        <f>IF('03_地点锚点'!A99&lt;&gt;"","03_地点锚点","")</f>
        <v/>
      </c>
      <c r="D599" s="14">
        <f>IF('03_地点锚点'!A99&lt;&gt;"",'03_地点锚点'!A99,"")</f>
        <v/>
      </c>
      <c r="E599" s="14">
        <f>IF(F599&lt;&gt;"","综合校验","")</f>
        <v/>
      </c>
      <c r="F599" s="14">
        <f>IF('03_地点锚点'!A99&lt;&gt;"",IF('03_地点锚点'!A99="","缺少地点ID；","")&amp;IF('03_地点锚点'!B99="","缺少中文名称；","")&amp;IF('03_地点锚点'!D99="","缺少地点类型；","")&amp;IF('03_地点锚点'!G99="","缺少世界X；","")&amp;IF('03_地点锚点'!H99="","缺少世界Y；","")&amp;IF(AND('03_地点锚点'!G99&lt;&gt;"",OR('03_地点锚点'!G99&lt;0,'03_地点锚点'!G99&gt;WorldWidth)),"世界X越界；","")&amp;IF(AND('03_地点锚点'!H99&lt;&gt;"",OR('03_地点锚点'!H99&lt;0,'03_地点锚点'!H99&gt;WorldHeight)),"世界Y越界；","")&amp;IF(AND('03_地点锚点'!E99&lt;&gt;"",COUNTIF('02_固定地理'!$A$2:$A$501,'03_地点锚点'!E99)=0),"父级行政对象不存在；","")&amp;IF(AND('03_地点锚点'!F99&lt;&gt;"",COUNTIF('03_地点锚点'!$A$2:$A$501,'03_地点锚点'!F99)=0),"父级地点不存在；","")&amp;IF(AND('03_地点锚点'!A99&lt;&gt;"",COUNTIF('03_地点锚点'!$A$2:$A$501,'03_地点锚点'!A99)&gt;1),"ID重复；",""),"")</f>
        <v/>
      </c>
      <c r="G599" s="14">
        <f>IF(F599&lt;&gt;"","按字段批注、数据字典和来源记录修正后复核","")</f>
        <v/>
      </c>
      <c r="H599" s="14">
        <f>IF(F599&lt;&gt;"","待处理","")</f>
        <v/>
      </c>
    </row>
    <row r="600">
      <c r="A600" s="14">
        <f>IF(F600&lt;&gt;"","ISSUE-"&amp;TEXT(ROW()-1,"00000"),"")</f>
        <v/>
      </c>
      <c r="B600" s="14">
        <f>IF(F600&lt;&gt;"","错误","")</f>
        <v/>
      </c>
      <c r="C600" s="14">
        <f>IF('03_地点锚点'!A100&lt;&gt;"","03_地点锚点","")</f>
        <v/>
      </c>
      <c r="D600" s="14">
        <f>IF('03_地点锚点'!A100&lt;&gt;"",'03_地点锚点'!A100,"")</f>
        <v/>
      </c>
      <c r="E600" s="14">
        <f>IF(F600&lt;&gt;"","综合校验","")</f>
        <v/>
      </c>
      <c r="F600" s="14">
        <f>IF('03_地点锚点'!A100&lt;&gt;"",IF('03_地点锚点'!A100="","缺少地点ID；","")&amp;IF('03_地点锚点'!B100="","缺少中文名称；","")&amp;IF('03_地点锚点'!D100="","缺少地点类型；","")&amp;IF('03_地点锚点'!G100="","缺少世界X；","")&amp;IF('03_地点锚点'!H100="","缺少世界Y；","")&amp;IF(AND('03_地点锚点'!G100&lt;&gt;"",OR('03_地点锚点'!G100&lt;0,'03_地点锚点'!G100&gt;WorldWidth)),"世界X越界；","")&amp;IF(AND('03_地点锚点'!H100&lt;&gt;"",OR('03_地点锚点'!H100&lt;0,'03_地点锚点'!H100&gt;WorldHeight)),"世界Y越界；","")&amp;IF(AND('03_地点锚点'!E100&lt;&gt;"",COUNTIF('02_固定地理'!$A$2:$A$501,'03_地点锚点'!E100)=0),"父级行政对象不存在；","")&amp;IF(AND('03_地点锚点'!F100&lt;&gt;"",COUNTIF('03_地点锚点'!$A$2:$A$501,'03_地点锚点'!F100)=0),"父级地点不存在；","")&amp;IF(AND('03_地点锚点'!A100&lt;&gt;"",COUNTIF('03_地点锚点'!$A$2:$A$501,'03_地点锚点'!A100)&gt;1),"ID重复；",""),"")</f>
        <v/>
      </c>
      <c r="G600" s="14">
        <f>IF(F600&lt;&gt;"","按字段批注、数据字典和来源记录修正后复核","")</f>
        <v/>
      </c>
      <c r="H600" s="14">
        <f>IF(F600&lt;&gt;"","待处理","")</f>
        <v/>
      </c>
    </row>
    <row r="601">
      <c r="A601" s="14">
        <f>IF(F601&lt;&gt;"","ISSUE-"&amp;TEXT(ROW()-1,"00000"),"")</f>
        <v/>
      </c>
      <c r="B601" s="14">
        <f>IF(F601&lt;&gt;"","错误","")</f>
        <v/>
      </c>
      <c r="C601" s="14">
        <f>IF('03_地点锚点'!A101&lt;&gt;"","03_地点锚点","")</f>
        <v/>
      </c>
      <c r="D601" s="14">
        <f>IF('03_地点锚点'!A101&lt;&gt;"",'03_地点锚点'!A101,"")</f>
        <v/>
      </c>
      <c r="E601" s="14">
        <f>IF(F601&lt;&gt;"","综合校验","")</f>
        <v/>
      </c>
      <c r="F601" s="14">
        <f>IF('03_地点锚点'!A101&lt;&gt;"",IF('03_地点锚点'!A101="","缺少地点ID；","")&amp;IF('03_地点锚点'!B101="","缺少中文名称；","")&amp;IF('03_地点锚点'!D101="","缺少地点类型；","")&amp;IF('03_地点锚点'!G101="","缺少世界X；","")&amp;IF('03_地点锚点'!H101="","缺少世界Y；","")&amp;IF(AND('03_地点锚点'!G101&lt;&gt;"",OR('03_地点锚点'!G101&lt;0,'03_地点锚点'!G101&gt;WorldWidth)),"世界X越界；","")&amp;IF(AND('03_地点锚点'!H101&lt;&gt;"",OR('03_地点锚点'!H101&lt;0,'03_地点锚点'!H101&gt;WorldHeight)),"世界Y越界；","")&amp;IF(AND('03_地点锚点'!E101&lt;&gt;"",COUNTIF('02_固定地理'!$A$2:$A$501,'03_地点锚点'!E101)=0),"父级行政对象不存在；","")&amp;IF(AND('03_地点锚点'!F101&lt;&gt;"",COUNTIF('03_地点锚点'!$A$2:$A$501,'03_地点锚点'!F101)=0),"父级地点不存在；","")&amp;IF(AND('03_地点锚点'!A101&lt;&gt;"",COUNTIF('03_地点锚点'!$A$2:$A$501,'03_地点锚点'!A101)&gt;1),"ID重复；",""),"")</f>
        <v/>
      </c>
      <c r="G601" s="14">
        <f>IF(F601&lt;&gt;"","按字段批注、数据字典和来源记录修正后复核","")</f>
        <v/>
      </c>
      <c r="H601" s="14">
        <f>IF(F601&lt;&gt;"","待处理","")</f>
        <v/>
      </c>
    </row>
    <row r="602">
      <c r="A602" s="14">
        <f>IF(F602&lt;&gt;"","ISSUE-"&amp;TEXT(ROW()-1,"00000"),"")</f>
        <v/>
      </c>
      <c r="B602" s="14">
        <f>IF(F602&lt;&gt;"","错误","")</f>
        <v/>
      </c>
      <c r="C602" s="14">
        <f>IF('03_地点锚点'!A102&lt;&gt;"","03_地点锚点","")</f>
        <v/>
      </c>
      <c r="D602" s="14">
        <f>IF('03_地点锚点'!A102&lt;&gt;"",'03_地点锚点'!A102,"")</f>
        <v/>
      </c>
      <c r="E602" s="14">
        <f>IF(F602&lt;&gt;"","综合校验","")</f>
        <v/>
      </c>
      <c r="F602" s="14">
        <f>IF('03_地点锚点'!A102&lt;&gt;"",IF('03_地点锚点'!A102="","缺少地点ID；","")&amp;IF('03_地点锚点'!B102="","缺少中文名称；","")&amp;IF('03_地点锚点'!D102="","缺少地点类型；","")&amp;IF('03_地点锚点'!G102="","缺少世界X；","")&amp;IF('03_地点锚点'!H102="","缺少世界Y；","")&amp;IF(AND('03_地点锚点'!G102&lt;&gt;"",OR('03_地点锚点'!G102&lt;0,'03_地点锚点'!G102&gt;WorldWidth)),"世界X越界；","")&amp;IF(AND('03_地点锚点'!H102&lt;&gt;"",OR('03_地点锚点'!H102&lt;0,'03_地点锚点'!H102&gt;WorldHeight)),"世界Y越界；","")&amp;IF(AND('03_地点锚点'!E102&lt;&gt;"",COUNTIF('02_固定地理'!$A$2:$A$501,'03_地点锚点'!E102)=0),"父级行政对象不存在；","")&amp;IF(AND('03_地点锚点'!F102&lt;&gt;"",COUNTIF('03_地点锚点'!$A$2:$A$501,'03_地点锚点'!F102)=0),"父级地点不存在；","")&amp;IF(AND('03_地点锚点'!A102&lt;&gt;"",COUNTIF('03_地点锚点'!$A$2:$A$501,'03_地点锚点'!A102)&gt;1),"ID重复；",""),"")</f>
        <v/>
      </c>
      <c r="G602" s="14">
        <f>IF(F602&lt;&gt;"","按字段批注、数据字典和来源记录修正后复核","")</f>
        <v/>
      </c>
      <c r="H602" s="14">
        <f>IF(F602&lt;&gt;"","待处理","")</f>
        <v/>
      </c>
    </row>
    <row r="603">
      <c r="A603" s="14">
        <f>IF(F603&lt;&gt;"","ISSUE-"&amp;TEXT(ROW()-1,"00000"),"")</f>
        <v/>
      </c>
      <c r="B603" s="14">
        <f>IF(F603&lt;&gt;"","错误","")</f>
        <v/>
      </c>
      <c r="C603" s="14">
        <f>IF('03_地点锚点'!A103&lt;&gt;"","03_地点锚点","")</f>
        <v/>
      </c>
      <c r="D603" s="14">
        <f>IF('03_地点锚点'!A103&lt;&gt;"",'03_地点锚点'!A103,"")</f>
        <v/>
      </c>
      <c r="E603" s="14">
        <f>IF(F603&lt;&gt;"","综合校验","")</f>
        <v/>
      </c>
      <c r="F603" s="14">
        <f>IF('03_地点锚点'!A103&lt;&gt;"",IF('03_地点锚点'!A103="","缺少地点ID；","")&amp;IF('03_地点锚点'!B103="","缺少中文名称；","")&amp;IF('03_地点锚点'!D103="","缺少地点类型；","")&amp;IF('03_地点锚点'!G103="","缺少世界X；","")&amp;IF('03_地点锚点'!H103="","缺少世界Y；","")&amp;IF(AND('03_地点锚点'!G103&lt;&gt;"",OR('03_地点锚点'!G103&lt;0,'03_地点锚点'!G103&gt;WorldWidth)),"世界X越界；","")&amp;IF(AND('03_地点锚点'!H103&lt;&gt;"",OR('03_地点锚点'!H103&lt;0,'03_地点锚点'!H103&gt;WorldHeight)),"世界Y越界；","")&amp;IF(AND('03_地点锚点'!E103&lt;&gt;"",COUNTIF('02_固定地理'!$A$2:$A$501,'03_地点锚点'!E103)=0),"父级行政对象不存在；","")&amp;IF(AND('03_地点锚点'!F103&lt;&gt;"",COUNTIF('03_地点锚点'!$A$2:$A$501,'03_地点锚点'!F103)=0),"父级地点不存在；","")&amp;IF(AND('03_地点锚点'!A103&lt;&gt;"",COUNTIF('03_地点锚点'!$A$2:$A$501,'03_地点锚点'!A103)&gt;1),"ID重复；",""),"")</f>
        <v/>
      </c>
      <c r="G603" s="14">
        <f>IF(F603&lt;&gt;"","按字段批注、数据字典和来源记录修正后复核","")</f>
        <v/>
      </c>
      <c r="H603" s="14">
        <f>IF(F603&lt;&gt;"","待处理","")</f>
        <v/>
      </c>
    </row>
    <row r="604">
      <c r="A604" s="14">
        <f>IF(F604&lt;&gt;"","ISSUE-"&amp;TEXT(ROW()-1,"00000"),"")</f>
        <v/>
      </c>
      <c r="B604" s="14">
        <f>IF(F604&lt;&gt;"","错误","")</f>
        <v/>
      </c>
      <c r="C604" s="14">
        <f>IF('03_地点锚点'!A104&lt;&gt;"","03_地点锚点","")</f>
        <v/>
      </c>
      <c r="D604" s="14">
        <f>IF('03_地点锚点'!A104&lt;&gt;"",'03_地点锚点'!A104,"")</f>
        <v/>
      </c>
      <c r="E604" s="14">
        <f>IF(F604&lt;&gt;"","综合校验","")</f>
        <v/>
      </c>
      <c r="F604" s="14">
        <f>IF('03_地点锚点'!A104&lt;&gt;"",IF('03_地点锚点'!A104="","缺少地点ID；","")&amp;IF('03_地点锚点'!B104="","缺少中文名称；","")&amp;IF('03_地点锚点'!D104="","缺少地点类型；","")&amp;IF('03_地点锚点'!G104="","缺少世界X；","")&amp;IF('03_地点锚点'!H104="","缺少世界Y；","")&amp;IF(AND('03_地点锚点'!G104&lt;&gt;"",OR('03_地点锚点'!G104&lt;0,'03_地点锚点'!G104&gt;WorldWidth)),"世界X越界；","")&amp;IF(AND('03_地点锚点'!H104&lt;&gt;"",OR('03_地点锚点'!H104&lt;0,'03_地点锚点'!H104&gt;WorldHeight)),"世界Y越界；","")&amp;IF(AND('03_地点锚点'!E104&lt;&gt;"",COUNTIF('02_固定地理'!$A$2:$A$501,'03_地点锚点'!E104)=0),"父级行政对象不存在；","")&amp;IF(AND('03_地点锚点'!F104&lt;&gt;"",COUNTIF('03_地点锚点'!$A$2:$A$501,'03_地点锚点'!F104)=0),"父级地点不存在；","")&amp;IF(AND('03_地点锚点'!A104&lt;&gt;"",COUNTIF('03_地点锚点'!$A$2:$A$501,'03_地点锚点'!A104)&gt;1),"ID重复；",""),"")</f>
        <v/>
      </c>
      <c r="G604" s="14">
        <f>IF(F604&lt;&gt;"","按字段批注、数据字典和来源记录修正后复核","")</f>
        <v/>
      </c>
      <c r="H604" s="14">
        <f>IF(F604&lt;&gt;"","待处理","")</f>
        <v/>
      </c>
    </row>
    <row r="605">
      <c r="A605" s="14">
        <f>IF(F605&lt;&gt;"","ISSUE-"&amp;TEXT(ROW()-1,"00000"),"")</f>
        <v/>
      </c>
      <c r="B605" s="14">
        <f>IF(F605&lt;&gt;"","错误","")</f>
        <v/>
      </c>
      <c r="C605" s="14">
        <f>IF('03_地点锚点'!A105&lt;&gt;"","03_地点锚点","")</f>
        <v/>
      </c>
      <c r="D605" s="14">
        <f>IF('03_地点锚点'!A105&lt;&gt;"",'03_地点锚点'!A105,"")</f>
        <v/>
      </c>
      <c r="E605" s="14">
        <f>IF(F605&lt;&gt;"","综合校验","")</f>
        <v/>
      </c>
      <c r="F605" s="14">
        <f>IF('03_地点锚点'!A105&lt;&gt;"",IF('03_地点锚点'!A105="","缺少地点ID；","")&amp;IF('03_地点锚点'!B105="","缺少中文名称；","")&amp;IF('03_地点锚点'!D105="","缺少地点类型；","")&amp;IF('03_地点锚点'!G105="","缺少世界X；","")&amp;IF('03_地点锚点'!H105="","缺少世界Y；","")&amp;IF(AND('03_地点锚点'!G105&lt;&gt;"",OR('03_地点锚点'!G105&lt;0,'03_地点锚点'!G105&gt;WorldWidth)),"世界X越界；","")&amp;IF(AND('03_地点锚点'!H105&lt;&gt;"",OR('03_地点锚点'!H105&lt;0,'03_地点锚点'!H105&gt;WorldHeight)),"世界Y越界；","")&amp;IF(AND('03_地点锚点'!E105&lt;&gt;"",COUNTIF('02_固定地理'!$A$2:$A$501,'03_地点锚点'!E105)=0),"父级行政对象不存在；","")&amp;IF(AND('03_地点锚点'!F105&lt;&gt;"",COUNTIF('03_地点锚点'!$A$2:$A$501,'03_地点锚点'!F105)=0),"父级地点不存在；","")&amp;IF(AND('03_地点锚点'!A105&lt;&gt;"",COUNTIF('03_地点锚点'!$A$2:$A$501,'03_地点锚点'!A105)&gt;1),"ID重复；",""),"")</f>
        <v/>
      </c>
      <c r="G605" s="14">
        <f>IF(F605&lt;&gt;"","按字段批注、数据字典和来源记录修正后复核","")</f>
        <v/>
      </c>
      <c r="H605" s="14">
        <f>IF(F605&lt;&gt;"","待处理","")</f>
        <v/>
      </c>
    </row>
    <row r="606">
      <c r="A606" s="14">
        <f>IF(F606&lt;&gt;"","ISSUE-"&amp;TEXT(ROW()-1,"00000"),"")</f>
        <v/>
      </c>
      <c r="B606" s="14">
        <f>IF(F606&lt;&gt;"","错误","")</f>
        <v/>
      </c>
      <c r="C606" s="14">
        <f>IF('03_地点锚点'!A106&lt;&gt;"","03_地点锚点","")</f>
        <v/>
      </c>
      <c r="D606" s="14">
        <f>IF('03_地点锚点'!A106&lt;&gt;"",'03_地点锚点'!A106,"")</f>
        <v/>
      </c>
      <c r="E606" s="14">
        <f>IF(F606&lt;&gt;"","综合校验","")</f>
        <v/>
      </c>
      <c r="F606" s="14">
        <f>IF('03_地点锚点'!A106&lt;&gt;"",IF('03_地点锚点'!A106="","缺少地点ID；","")&amp;IF('03_地点锚点'!B106="","缺少中文名称；","")&amp;IF('03_地点锚点'!D106="","缺少地点类型；","")&amp;IF('03_地点锚点'!G106="","缺少世界X；","")&amp;IF('03_地点锚点'!H106="","缺少世界Y；","")&amp;IF(AND('03_地点锚点'!G106&lt;&gt;"",OR('03_地点锚点'!G106&lt;0,'03_地点锚点'!G106&gt;WorldWidth)),"世界X越界；","")&amp;IF(AND('03_地点锚点'!H106&lt;&gt;"",OR('03_地点锚点'!H106&lt;0,'03_地点锚点'!H106&gt;WorldHeight)),"世界Y越界；","")&amp;IF(AND('03_地点锚点'!E106&lt;&gt;"",COUNTIF('02_固定地理'!$A$2:$A$501,'03_地点锚点'!E106)=0),"父级行政对象不存在；","")&amp;IF(AND('03_地点锚点'!F106&lt;&gt;"",COUNTIF('03_地点锚点'!$A$2:$A$501,'03_地点锚点'!F106)=0),"父级地点不存在；","")&amp;IF(AND('03_地点锚点'!A106&lt;&gt;"",COUNTIF('03_地点锚点'!$A$2:$A$501,'03_地点锚点'!A106)&gt;1),"ID重复；",""),"")</f>
        <v/>
      </c>
      <c r="G606" s="14">
        <f>IF(F606&lt;&gt;"","按字段批注、数据字典和来源记录修正后复核","")</f>
        <v/>
      </c>
      <c r="H606" s="14">
        <f>IF(F606&lt;&gt;"","待处理","")</f>
        <v/>
      </c>
    </row>
    <row r="607">
      <c r="A607" s="14">
        <f>IF(F607&lt;&gt;"","ISSUE-"&amp;TEXT(ROW()-1,"00000"),"")</f>
        <v/>
      </c>
      <c r="B607" s="14">
        <f>IF(F607&lt;&gt;"","错误","")</f>
        <v/>
      </c>
      <c r="C607" s="14">
        <f>IF('03_地点锚点'!A107&lt;&gt;"","03_地点锚点","")</f>
        <v/>
      </c>
      <c r="D607" s="14">
        <f>IF('03_地点锚点'!A107&lt;&gt;"",'03_地点锚点'!A107,"")</f>
        <v/>
      </c>
      <c r="E607" s="14">
        <f>IF(F607&lt;&gt;"","综合校验","")</f>
        <v/>
      </c>
      <c r="F607" s="14">
        <f>IF('03_地点锚点'!A107&lt;&gt;"",IF('03_地点锚点'!A107="","缺少地点ID；","")&amp;IF('03_地点锚点'!B107="","缺少中文名称；","")&amp;IF('03_地点锚点'!D107="","缺少地点类型；","")&amp;IF('03_地点锚点'!G107="","缺少世界X；","")&amp;IF('03_地点锚点'!H107="","缺少世界Y；","")&amp;IF(AND('03_地点锚点'!G107&lt;&gt;"",OR('03_地点锚点'!G107&lt;0,'03_地点锚点'!G107&gt;WorldWidth)),"世界X越界；","")&amp;IF(AND('03_地点锚点'!H107&lt;&gt;"",OR('03_地点锚点'!H107&lt;0,'03_地点锚点'!H107&gt;WorldHeight)),"世界Y越界；","")&amp;IF(AND('03_地点锚点'!E107&lt;&gt;"",COUNTIF('02_固定地理'!$A$2:$A$501,'03_地点锚点'!E107)=0),"父级行政对象不存在；","")&amp;IF(AND('03_地点锚点'!F107&lt;&gt;"",COUNTIF('03_地点锚点'!$A$2:$A$501,'03_地点锚点'!F107)=0),"父级地点不存在；","")&amp;IF(AND('03_地点锚点'!A107&lt;&gt;"",COUNTIF('03_地点锚点'!$A$2:$A$501,'03_地点锚点'!A107)&gt;1),"ID重复；",""),"")</f>
        <v/>
      </c>
      <c r="G607" s="14">
        <f>IF(F607&lt;&gt;"","按字段批注、数据字典和来源记录修正后复核","")</f>
        <v/>
      </c>
      <c r="H607" s="14">
        <f>IF(F607&lt;&gt;"","待处理","")</f>
        <v/>
      </c>
    </row>
    <row r="608">
      <c r="A608" s="14">
        <f>IF(F608&lt;&gt;"","ISSUE-"&amp;TEXT(ROW()-1,"00000"),"")</f>
        <v/>
      </c>
      <c r="B608" s="14">
        <f>IF(F608&lt;&gt;"","错误","")</f>
        <v/>
      </c>
      <c r="C608" s="14">
        <f>IF('03_地点锚点'!A108&lt;&gt;"","03_地点锚点","")</f>
        <v/>
      </c>
      <c r="D608" s="14">
        <f>IF('03_地点锚点'!A108&lt;&gt;"",'03_地点锚点'!A108,"")</f>
        <v/>
      </c>
      <c r="E608" s="14">
        <f>IF(F608&lt;&gt;"","综合校验","")</f>
        <v/>
      </c>
      <c r="F608" s="14">
        <f>IF('03_地点锚点'!A108&lt;&gt;"",IF('03_地点锚点'!A108="","缺少地点ID；","")&amp;IF('03_地点锚点'!B108="","缺少中文名称；","")&amp;IF('03_地点锚点'!D108="","缺少地点类型；","")&amp;IF('03_地点锚点'!G108="","缺少世界X；","")&amp;IF('03_地点锚点'!H108="","缺少世界Y；","")&amp;IF(AND('03_地点锚点'!G108&lt;&gt;"",OR('03_地点锚点'!G108&lt;0,'03_地点锚点'!G108&gt;WorldWidth)),"世界X越界；","")&amp;IF(AND('03_地点锚点'!H108&lt;&gt;"",OR('03_地点锚点'!H108&lt;0,'03_地点锚点'!H108&gt;WorldHeight)),"世界Y越界；","")&amp;IF(AND('03_地点锚点'!E108&lt;&gt;"",COUNTIF('02_固定地理'!$A$2:$A$501,'03_地点锚点'!E108)=0),"父级行政对象不存在；","")&amp;IF(AND('03_地点锚点'!F108&lt;&gt;"",COUNTIF('03_地点锚点'!$A$2:$A$501,'03_地点锚点'!F108)=0),"父级地点不存在；","")&amp;IF(AND('03_地点锚点'!A108&lt;&gt;"",COUNTIF('03_地点锚点'!$A$2:$A$501,'03_地点锚点'!A108)&gt;1),"ID重复；",""),"")</f>
        <v/>
      </c>
      <c r="G608" s="14">
        <f>IF(F608&lt;&gt;"","按字段批注、数据字典和来源记录修正后复核","")</f>
        <v/>
      </c>
      <c r="H608" s="14">
        <f>IF(F608&lt;&gt;"","待处理","")</f>
        <v/>
      </c>
    </row>
    <row r="609">
      <c r="A609" s="14">
        <f>IF(F609&lt;&gt;"","ISSUE-"&amp;TEXT(ROW()-1,"00000"),"")</f>
        <v/>
      </c>
      <c r="B609" s="14">
        <f>IF(F609&lt;&gt;"","错误","")</f>
        <v/>
      </c>
      <c r="C609" s="14">
        <f>IF('03_地点锚点'!A109&lt;&gt;"","03_地点锚点","")</f>
        <v/>
      </c>
      <c r="D609" s="14">
        <f>IF('03_地点锚点'!A109&lt;&gt;"",'03_地点锚点'!A109,"")</f>
        <v/>
      </c>
      <c r="E609" s="14">
        <f>IF(F609&lt;&gt;"","综合校验","")</f>
        <v/>
      </c>
      <c r="F609" s="14">
        <f>IF('03_地点锚点'!A109&lt;&gt;"",IF('03_地点锚点'!A109="","缺少地点ID；","")&amp;IF('03_地点锚点'!B109="","缺少中文名称；","")&amp;IF('03_地点锚点'!D109="","缺少地点类型；","")&amp;IF('03_地点锚点'!G109="","缺少世界X；","")&amp;IF('03_地点锚点'!H109="","缺少世界Y；","")&amp;IF(AND('03_地点锚点'!G109&lt;&gt;"",OR('03_地点锚点'!G109&lt;0,'03_地点锚点'!G109&gt;WorldWidth)),"世界X越界；","")&amp;IF(AND('03_地点锚点'!H109&lt;&gt;"",OR('03_地点锚点'!H109&lt;0,'03_地点锚点'!H109&gt;WorldHeight)),"世界Y越界；","")&amp;IF(AND('03_地点锚点'!E109&lt;&gt;"",COUNTIF('02_固定地理'!$A$2:$A$501,'03_地点锚点'!E109)=0),"父级行政对象不存在；","")&amp;IF(AND('03_地点锚点'!F109&lt;&gt;"",COUNTIF('03_地点锚点'!$A$2:$A$501,'03_地点锚点'!F109)=0),"父级地点不存在；","")&amp;IF(AND('03_地点锚点'!A109&lt;&gt;"",COUNTIF('03_地点锚点'!$A$2:$A$501,'03_地点锚点'!A109)&gt;1),"ID重复；",""),"")</f>
        <v/>
      </c>
      <c r="G609" s="14">
        <f>IF(F609&lt;&gt;"","按字段批注、数据字典和来源记录修正后复核","")</f>
        <v/>
      </c>
      <c r="H609" s="14">
        <f>IF(F609&lt;&gt;"","待处理","")</f>
        <v/>
      </c>
    </row>
    <row r="610">
      <c r="A610" s="14">
        <f>IF(F610&lt;&gt;"","ISSUE-"&amp;TEXT(ROW()-1,"00000"),"")</f>
        <v/>
      </c>
      <c r="B610" s="14">
        <f>IF(F610&lt;&gt;"","错误","")</f>
        <v/>
      </c>
      <c r="C610" s="14">
        <f>IF('03_地点锚点'!A110&lt;&gt;"","03_地点锚点","")</f>
        <v/>
      </c>
      <c r="D610" s="14">
        <f>IF('03_地点锚点'!A110&lt;&gt;"",'03_地点锚点'!A110,"")</f>
        <v/>
      </c>
      <c r="E610" s="14">
        <f>IF(F610&lt;&gt;"","综合校验","")</f>
        <v/>
      </c>
      <c r="F610" s="14">
        <f>IF('03_地点锚点'!A110&lt;&gt;"",IF('03_地点锚点'!A110="","缺少地点ID；","")&amp;IF('03_地点锚点'!B110="","缺少中文名称；","")&amp;IF('03_地点锚点'!D110="","缺少地点类型；","")&amp;IF('03_地点锚点'!G110="","缺少世界X；","")&amp;IF('03_地点锚点'!H110="","缺少世界Y；","")&amp;IF(AND('03_地点锚点'!G110&lt;&gt;"",OR('03_地点锚点'!G110&lt;0,'03_地点锚点'!G110&gt;WorldWidth)),"世界X越界；","")&amp;IF(AND('03_地点锚点'!H110&lt;&gt;"",OR('03_地点锚点'!H110&lt;0,'03_地点锚点'!H110&gt;WorldHeight)),"世界Y越界；","")&amp;IF(AND('03_地点锚点'!E110&lt;&gt;"",COUNTIF('02_固定地理'!$A$2:$A$501,'03_地点锚点'!E110)=0),"父级行政对象不存在；","")&amp;IF(AND('03_地点锚点'!F110&lt;&gt;"",COUNTIF('03_地点锚点'!$A$2:$A$501,'03_地点锚点'!F110)=0),"父级地点不存在；","")&amp;IF(AND('03_地点锚点'!A110&lt;&gt;"",COUNTIF('03_地点锚点'!$A$2:$A$501,'03_地点锚点'!A110)&gt;1),"ID重复；",""),"")</f>
        <v/>
      </c>
      <c r="G610" s="14">
        <f>IF(F610&lt;&gt;"","按字段批注、数据字典和来源记录修正后复核","")</f>
        <v/>
      </c>
      <c r="H610" s="14">
        <f>IF(F610&lt;&gt;"","待处理","")</f>
        <v/>
      </c>
    </row>
    <row r="611">
      <c r="A611" s="14">
        <f>IF(F611&lt;&gt;"","ISSUE-"&amp;TEXT(ROW()-1,"00000"),"")</f>
        <v/>
      </c>
      <c r="B611" s="14">
        <f>IF(F611&lt;&gt;"","错误","")</f>
        <v/>
      </c>
      <c r="C611" s="14">
        <f>IF('03_地点锚点'!A111&lt;&gt;"","03_地点锚点","")</f>
        <v/>
      </c>
      <c r="D611" s="14">
        <f>IF('03_地点锚点'!A111&lt;&gt;"",'03_地点锚点'!A111,"")</f>
        <v/>
      </c>
      <c r="E611" s="14">
        <f>IF(F611&lt;&gt;"","综合校验","")</f>
        <v/>
      </c>
      <c r="F611" s="14">
        <f>IF('03_地点锚点'!A111&lt;&gt;"",IF('03_地点锚点'!A111="","缺少地点ID；","")&amp;IF('03_地点锚点'!B111="","缺少中文名称；","")&amp;IF('03_地点锚点'!D111="","缺少地点类型；","")&amp;IF('03_地点锚点'!G111="","缺少世界X；","")&amp;IF('03_地点锚点'!H111="","缺少世界Y；","")&amp;IF(AND('03_地点锚点'!G111&lt;&gt;"",OR('03_地点锚点'!G111&lt;0,'03_地点锚点'!G111&gt;WorldWidth)),"世界X越界；","")&amp;IF(AND('03_地点锚点'!H111&lt;&gt;"",OR('03_地点锚点'!H111&lt;0,'03_地点锚点'!H111&gt;WorldHeight)),"世界Y越界；","")&amp;IF(AND('03_地点锚点'!E111&lt;&gt;"",COUNTIF('02_固定地理'!$A$2:$A$501,'03_地点锚点'!E111)=0),"父级行政对象不存在；","")&amp;IF(AND('03_地点锚点'!F111&lt;&gt;"",COUNTIF('03_地点锚点'!$A$2:$A$501,'03_地点锚点'!F111)=0),"父级地点不存在；","")&amp;IF(AND('03_地点锚点'!A111&lt;&gt;"",COUNTIF('03_地点锚点'!$A$2:$A$501,'03_地点锚点'!A111)&gt;1),"ID重复；",""),"")</f>
        <v/>
      </c>
      <c r="G611" s="14">
        <f>IF(F611&lt;&gt;"","按字段批注、数据字典和来源记录修正后复核","")</f>
        <v/>
      </c>
      <c r="H611" s="14">
        <f>IF(F611&lt;&gt;"","待处理","")</f>
        <v/>
      </c>
    </row>
    <row r="612">
      <c r="A612" s="14">
        <f>IF(F612&lt;&gt;"","ISSUE-"&amp;TEXT(ROW()-1,"00000"),"")</f>
        <v/>
      </c>
      <c r="B612" s="14">
        <f>IF(F612&lt;&gt;"","错误","")</f>
        <v/>
      </c>
      <c r="C612" s="14">
        <f>IF('03_地点锚点'!A112&lt;&gt;"","03_地点锚点","")</f>
        <v/>
      </c>
      <c r="D612" s="14">
        <f>IF('03_地点锚点'!A112&lt;&gt;"",'03_地点锚点'!A112,"")</f>
        <v/>
      </c>
      <c r="E612" s="14">
        <f>IF(F612&lt;&gt;"","综合校验","")</f>
        <v/>
      </c>
      <c r="F612" s="14">
        <f>IF('03_地点锚点'!A112&lt;&gt;"",IF('03_地点锚点'!A112="","缺少地点ID；","")&amp;IF('03_地点锚点'!B112="","缺少中文名称；","")&amp;IF('03_地点锚点'!D112="","缺少地点类型；","")&amp;IF('03_地点锚点'!G112="","缺少世界X；","")&amp;IF('03_地点锚点'!H112="","缺少世界Y；","")&amp;IF(AND('03_地点锚点'!G112&lt;&gt;"",OR('03_地点锚点'!G112&lt;0,'03_地点锚点'!G112&gt;WorldWidth)),"世界X越界；","")&amp;IF(AND('03_地点锚点'!H112&lt;&gt;"",OR('03_地点锚点'!H112&lt;0,'03_地点锚点'!H112&gt;WorldHeight)),"世界Y越界；","")&amp;IF(AND('03_地点锚点'!E112&lt;&gt;"",COUNTIF('02_固定地理'!$A$2:$A$501,'03_地点锚点'!E112)=0),"父级行政对象不存在；","")&amp;IF(AND('03_地点锚点'!F112&lt;&gt;"",COUNTIF('03_地点锚点'!$A$2:$A$501,'03_地点锚点'!F112)=0),"父级地点不存在；","")&amp;IF(AND('03_地点锚点'!A112&lt;&gt;"",COUNTIF('03_地点锚点'!$A$2:$A$501,'03_地点锚点'!A112)&gt;1),"ID重复；",""),"")</f>
        <v/>
      </c>
      <c r="G612" s="14">
        <f>IF(F612&lt;&gt;"","按字段批注、数据字典和来源记录修正后复核","")</f>
        <v/>
      </c>
      <c r="H612" s="14">
        <f>IF(F612&lt;&gt;"","待处理","")</f>
        <v/>
      </c>
    </row>
    <row r="613">
      <c r="A613" s="14">
        <f>IF(F613&lt;&gt;"","ISSUE-"&amp;TEXT(ROW()-1,"00000"),"")</f>
        <v/>
      </c>
      <c r="B613" s="14">
        <f>IF(F613&lt;&gt;"","错误","")</f>
        <v/>
      </c>
      <c r="C613" s="14">
        <f>IF('03_地点锚点'!A113&lt;&gt;"","03_地点锚点","")</f>
        <v/>
      </c>
      <c r="D613" s="14">
        <f>IF('03_地点锚点'!A113&lt;&gt;"",'03_地点锚点'!A113,"")</f>
        <v/>
      </c>
      <c r="E613" s="14">
        <f>IF(F613&lt;&gt;"","综合校验","")</f>
        <v/>
      </c>
      <c r="F613" s="14">
        <f>IF('03_地点锚点'!A113&lt;&gt;"",IF('03_地点锚点'!A113="","缺少地点ID；","")&amp;IF('03_地点锚点'!B113="","缺少中文名称；","")&amp;IF('03_地点锚点'!D113="","缺少地点类型；","")&amp;IF('03_地点锚点'!G113="","缺少世界X；","")&amp;IF('03_地点锚点'!H113="","缺少世界Y；","")&amp;IF(AND('03_地点锚点'!G113&lt;&gt;"",OR('03_地点锚点'!G113&lt;0,'03_地点锚点'!G113&gt;WorldWidth)),"世界X越界；","")&amp;IF(AND('03_地点锚点'!H113&lt;&gt;"",OR('03_地点锚点'!H113&lt;0,'03_地点锚点'!H113&gt;WorldHeight)),"世界Y越界；","")&amp;IF(AND('03_地点锚点'!E113&lt;&gt;"",COUNTIF('02_固定地理'!$A$2:$A$501,'03_地点锚点'!E113)=0),"父级行政对象不存在；","")&amp;IF(AND('03_地点锚点'!F113&lt;&gt;"",COUNTIF('03_地点锚点'!$A$2:$A$501,'03_地点锚点'!F113)=0),"父级地点不存在；","")&amp;IF(AND('03_地点锚点'!A113&lt;&gt;"",COUNTIF('03_地点锚点'!$A$2:$A$501,'03_地点锚点'!A113)&gt;1),"ID重复；",""),"")</f>
        <v/>
      </c>
      <c r="G613" s="14">
        <f>IF(F613&lt;&gt;"","按字段批注、数据字典和来源记录修正后复核","")</f>
        <v/>
      </c>
      <c r="H613" s="14">
        <f>IF(F613&lt;&gt;"","待处理","")</f>
        <v/>
      </c>
    </row>
    <row r="614">
      <c r="A614" s="14">
        <f>IF(F614&lt;&gt;"","ISSUE-"&amp;TEXT(ROW()-1,"00000"),"")</f>
        <v/>
      </c>
      <c r="B614" s="14">
        <f>IF(F614&lt;&gt;"","错误","")</f>
        <v/>
      </c>
      <c r="C614" s="14">
        <f>IF('03_地点锚点'!A114&lt;&gt;"","03_地点锚点","")</f>
        <v/>
      </c>
      <c r="D614" s="14">
        <f>IF('03_地点锚点'!A114&lt;&gt;"",'03_地点锚点'!A114,"")</f>
        <v/>
      </c>
      <c r="E614" s="14">
        <f>IF(F614&lt;&gt;"","综合校验","")</f>
        <v/>
      </c>
      <c r="F614" s="14">
        <f>IF('03_地点锚点'!A114&lt;&gt;"",IF('03_地点锚点'!A114="","缺少地点ID；","")&amp;IF('03_地点锚点'!B114="","缺少中文名称；","")&amp;IF('03_地点锚点'!D114="","缺少地点类型；","")&amp;IF('03_地点锚点'!G114="","缺少世界X；","")&amp;IF('03_地点锚点'!H114="","缺少世界Y；","")&amp;IF(AND('03_地点锚点'!G114&lt;&gt;"",OR('03_地点锚点'!G114&lt;0,'03_地点锚点'!G114&gt;WorldWidth)),"世界X越界；","")&amp;IF(AND('03_地点锚点'!H114&lt;&gt;"",OR('03_地点锚点'!H114&lt;0,'03_地点锚点'!H114&gt;WorldHeight)),"世界Y越界；","")&amp;IF(AND('03_地点锚点'!E114&lt;&gt;"",COUNTIF('02_固定地理'!$A$2:$A$501,'03_地点锚点'!E114)=0),"父级行政对象不存在；","")&amp;IF(AND('03_地点锚点'!F114&lt;&gt;"",COUNTIF('03_地点锚点'!$A$2:$A$501,'03_地点锚点'!F114)=0),"父级地点不存在；","")&amp;IF(AND('03_地点锚点'!A114&lt;&gt;"",COUNTIF('03_地点锚点'!$A$2:$A$501,'03_地点锚点'!A114)&gt;1),"ID重复；",""),"")</f>
        <v/>
      </c>
      <c r="G614" s="14">
        <f>IF(F614&lt;&gt;"","按字段批注、数据字典和来源记录修正后复核","")</f>
        <v/>
      </c>
      <c r="H614" s="14">
        <f>IF(F614&lt;&gt;"","待处理","")</f>
        <v/>
      </c>
    </row>
    <row r="615">
      <c r="A615" s="14">
        <f>IF(F615&lt;&gt;"","ISSUE-"&amp;TEXT(ROW()-1,"00000"),"")</f>
        <v/>
      </c>
      <c r="B615" s="14">
        <f>IF(F615&lt;&gt;"","错误","")</f>
        <v/>
      </c>
      <c r="C615" s="14">
        <f>IF('03_地点锚点'!A115&lt;&gt;"","03_地点锚点","")</f>
        <v/>
      </c>
      <c r="D615" s="14">
        <f>IF('03_地点锚点'!A115&lt;&gt;"",'03_地点锚点'!A115,"")</f>
        <v/>
      </c>
      <c r="E615" s="14">
        <f>IF(F615&lt;&gt;"","综合校验","")</f>
        <v/>
      </c>
      <c r="F615" s="14">
        <f>IF('03_地点锚点'!A115&lt;&gt;"",IF('03_地点锚点'!A115="","缺少地点ID；","")&amp;IF('03_地点锚点'!B115="","缺少中文名称；","")&amp;IF('03_地点锚点'!D115="","缺少地点类型；","")&amp;IF('03_地点锚点'!G115="","缺少世界X；","")&amp;IF('03_地点锚点'!H115="","缺少世界Y；","")&amp;IF(AND('03_地点锚点'!G115&lt;&gt;"",OR('03_地点锚点'!G115&lt;0,'03_地点锚点'!G115&gt;WorldWidth)),"世界X越界；","")&amp;IF(AND('03_地点锚点'!H115&lt;&gt;"",OR('03_地点锚点'!H115&lt;0,'03_地点锚点'!H115&gt;WorldHeight)),"世界Y越界；","")&amp;IF(AND('03_地点锚点'!E115&lt;&gt;"",COUNTIF('02_固定地理'!$A$2:$A$501,'03_地点锚点'!E115)=0),"父级行政对象不存在；","")&amp;IF(AND('03_地点锚点'!F115&lt;&gt;"",COUNTIF('03_地点锚点'!$A$2:$A$501,'03_地点锚点'!F115)=0),"父级地点不存在；","")&amp;IF(AND('03_地点锚点'!A115&lt;&gt;"",COUNTIF('03_地点锚点'!$A$2:$A$501,'03_地点锚点'!A115)&gt;1),"ID重复；",""),"")</f>
        <v/>
      </c>
      <c r="G615" s="14">
        <f>IF(F615&lt;&gt;"","按字段批注、数据字典和来源记录修正后复核","")</f>
        <v/>
      </c>
      <c r="H615" s="14">
        <f>IF(F615&lt;&gt;"","待处理","")</f>
        <v/>
      </c>
    </row>
    <row r="616">
      <c r="A616" s="14">
        <f>IF(F616&lt;&gt;"","ISSUE-"&amp;TEXT(ROW()-1,"00000"),"")</f>
        <v/>
      </c>
      <c r="B616" s="14">
        <f>IF(F616&lt;&gt;"","错误","")</f>
        <v/>
      </c>
      <c r="C616" s="14">
        <f>IF('03_地点锚点'!A116&lt;&gt;"","03_地点锚点","")</f>
        <v/>
      </c>
      <c r="D616" s="14">
        <f>IF('03_地点锚点'!A116&lt;&gt;"",'03_地点锚点'!A116,"")</f>
        <v/>
      </c>
      <c r="E616" s="14">
        <f>IF(F616&lt;&gt;"","综合校验","")</f>
        <v/>
      </c>
      <c r="F616" s="14">
        <f>IF('03_地点锚点'!A116&lt;&gt;"",IF('03_地点锚点'!A116="","缺少地点ID；","")&amp;IF('03_地点锚点'!B116="","缺少中文名称；","")&amp;IF('03_地点锚点'!D116="","缺少地点类型；","")&amp;IF('03_地点锚点'!G116="","缺少世界X；","")&amp;IF('03_地点锚点'!H116="","缺少世界Y；","")&amp;IF(AND('03_地点锚点'!G116&lt;&gt;"",OR('03_地点锚点'!G116&lt;0,'03_地点锚点'!G116&gt;WorldWidth)),"世界X越界；","")&amp;IF(AND('03_地点锚点'!H116&lt;&gt;"",OR('03_地点锚点'!H116&lt;0,'03_地点锚点'!H116&gt;WorldHeight)),"世界Y越界；","")&amp;IF(AND('03_地点锚点'!E116&lt;&gt;"",COUNTIF('02_固定地理'!$A$2:$A$501,'03_地点锚点'!E116)=0),"父级行政对象不存在；","")&amp;IF(AND('03_地点锚点'!F116&lt;&gt;"",COUNTIF('03_地点锚点'!$A$2:$A$501,'03_地点锚点'!F116)=0),"父级地点不存在；","")&amp;IF(AND('03_地点锚点'!A116&lt;&gt;"",COUNTIF('03_地点锚点'!$A$2:$A$501,'03_地点锚点'!A116)&gt;1),"ID重复；",""),"")</f>
        <v/>
      </c>
      <c r="G616" s="14">
        <f>IF(F616&lt;&gt;"","按字段批注、数据字典和来源记录修正后复核","")</f>
        <v/>
      </c>
      <c r="H616" s="14">
        <f>IF(F616&lt;&gt;"","待处理","")</f>
        <v/>
      </c>
    </row>
    <row r="617">
      <c r="A617" s="14">
        <f>IF(F617&lt;&gt;"","ISSUE-"&amp;TEXT(ROW()-1,"00000"),"")</f>
        <v/>
      </c>
      <c r="B617" s="14">
        <f>IF(F617&lt;&gt;"","错误","")</f>
        <v/>
      </c>
      <c r="C617" s="14">
        <f>IF('03_地点锚点'!A117&lt;&gt;"","03_地点锚点","")</f>
        <v/>
      </c>
      <c r="D617" s="14">
        <f>IF('03_地点锚点'!A117&lt;&gt;"",'03_地点锚点'!A117,"")</f>
        <v/>
      </c>
      <c r="E617" s="14">
        <f>IF(F617&lt;&gt;"","综合校验","")</f>
        <v/>
      </c>
      <c r="F617" s="14">
        <f>IF('03_地点锚点'!A117&lt;&gt;"",IF('03_地点锚点'!A117="","缺少地点ID；","")&amp;IF('03_地点锚点'!B117="","缺少中文名称；","")&amp;IF('03_地点锚点'!D117="","缺少地点类型；","")&amp;IF('03_地点锚点'!G117="","缺少世界X；","")&amp;IF('03_地点锚点'!H117="","缺少世界Y；","")&amp;IF(AND('03_地点锚点'!G117&lt;&gt;"",OR('03_地点锚点'!G117&lt;0,'03_地点锚点'!G117&gt;WorldWidth)),"世界X越界；","")&amp;IF(AND('03_地点锚点'!H117&lt;&gt;"",OR('03_地点锚点'!H117&lt;0,'03_地点锚点'!H117&gt;WorldHeight)),"世界Y越界；","")&amp;IF(AND('03_地点锚点'!E117&lt;&gt;"",COUNTIF('02_固定地理'!$A$2:$A$501,'03_地点锚点'!E117)=0),"父级行政对象不存在；","")&amp;IF(AND('03_地点锚点'!F117&lt;&gt;"",COUNTIF('03_地点锚点'!$A$2:$A$501,'03_地点锚点'!F117)=0),"父级地点不存在；","")&amp;IF(AND('03_地点锚点'!A117&lt;&gt;"",COUNTIF('03_地点锚点'!$A$2:$A$501,'03_地点锚点'!A117)&gt;1),"ID重复；",""),"")</f>
        <v/>
      </c>
      <c r="G617" s="14">
        <f>IF(F617&lt;&gt;"","按字段批注、数据字典和来源记录修正后复核","")</f>
        <v/>
      </c>
      <c r="H617" s="14">
        <f>IF(F617&lt;&gt;"","待处理","")</f>
        <v/>
      </c>
    </row>
    <row r="618">
      <c r="A618" s="14">
        <f>IF(F618&lt;&gt;"","ISSUE-"&amp;TEXT(ROW()-1,"00000"),"")</f>
        <v/>
      </c>
      <c r="B618" s="14">
        <f>IF(F618&lt;&gt;"","错误","")</f>
        <v/>
      </c>
      <c r="C618" s="14">
        <f>IF('03_地点锚点'!A118&lt;&gt;"","03_地点锚点","")</f>
        <v/>
      </c>
      <c r="D618" s="14">
        <f>IF('03_地点锚点'!A118&lt;&gt;"",'03_地点锚点'!A118,"")</f>
        <v/>
      </c>
      <c r="E618" s="14">
        <f>IF(F618&lt;&gt;"","综合校验","")</f>
        <v/>
      </c>
      <c r="F618" s="14">
        <f>IF('03_地点锚点'!A118&lt;&gt;"",IF('03_地点锚点'!A118="","缺少地点ID；","")&amp;IF('03_地点锚点'!B118="","缺少中文名称；","")&amp;IF('03_地点锚点'!D118="","缺少地点类型；","")&amp;IF('03_地点锚点'!G118="","缺少世界X；","")&amp;IF('03_地点锚点'!H118="","缺少世界Y；","")&amp;IF(AND('03_地点锚点'!G118&lt;&gt;"",OR('03_地点锚点'!G118&lt;0,'03_地点锚点'!G118&gt;WorldWidth)),"世界X越界；","")&amp;IF(AND('03_地点锚点'!H118&lt;&gt;"",OR('03_地点锚点'!H118&lt;0,'03_地点锚点'!H118&gt;WorldHeight)),"世界Y越界；","")&amp;IF(AND('03_地点锚点'!E118&lt;&gt;"",COUNTIF('02_固定地理'!$A$2:$A$501,'03_地点锚点'!E118)=0),"父级行政对象不存在；","")&amp;IF(AND('03_地点锚点'!F118&lt;&gt;"",COUNTIF('03_地点锚点'!$A$2:$A$501,'03_地点锚点'!F118)=0),"父级地点不存在；","")&amp;IF(AND('03_地点锚点'!A118&lt;&gt;"",COUNTIF('03_地点锚点'!$A$2:$A$501,'03_地点锚点'!A118)&gt;1),"ID重复；",""),"")</f>
        <v/>
      </c>
      <c r="G618" s="14">
        <f>IF(F618&lt;&gt;"","按字段批注、数据字典和来源记录修正后复核","")</f>
        <v/>
      </c>
      <c r="H618" s="14">
        <f>IF(F618&lt;&gt;"","待处理","")</f>
        <v/>
      </c>
    </row>
    <row r="619">
      <c r="A619" s="14">
        <f>IF(F619&lt;&gt;"","ISSUE-"&amp;TEXT(ROW()-1,"00000"),"")</f>
        <v/>
      </c>
      <c r="B619" s="14">
        <f>IF(F619&lt;&gt;"","错误","")</f>
        <v/>
      </c>
      <c r="C619" s="14">
        <f>IF('03_地点锚点'!A119&lt;&gt;"","03_地点锚点","")</f>
        <v/>
      </c>
      <c r="D619" s="14">
        <f>IF('03_地点锚点'!A119&lt;&gt;"",'03_地点锚点'!A119,"")</f>
        <v/>
      </c>
      <c r="E619" s="14">
        <f>IF(F619&lt;&gt;"","综合校验","")</f>
        <v/>
      </c>
      <c r="F619" s="14">
        <f>IF('03_地点锚点'!A119&lt;&gt;"",IF('03_地点锚点'!A119="","缺少地点ID；","")&amp;IF('03_地点锚点'!B119="","缺少中文名称；","")&amp;IF('03_地点锚点'!D119="","缺少地点类型；","")&amp;IF('03_地点锚点'!G119="","缺少世界X；","")&amp;IF('03_地点锚点'!H119="","缺少世界Y；","")&amp;IF(AND('03_地点锚点'!G119&lt;&gt;"",OR('03_地点锚点'!G119&lt;0,'03_地点锚点'!G119&gt;WorldWidth)),"世界X越界；","")&amp;IF(AND('03_地点锚点'!H119&lt;&gt;"",OR('03_地点锚点'!H119&lt;0,'03_地点锚点'!H119&gt;WorldHeight)),"世界Y越界；","")&amp;IF(AND('03_地点锚点'!E119&lt;&gt;"",COUNTIF('02_固定地理'!$A$2:$A$501,'03_地点锚点'!E119)=0),"父级行政对象不存在；","")&amp;IF(AND('03_地点锚点'!F119&lt;&gt;"",COUNTIF('03_地点锚点'!$A$2:$A$501,'03_地点锚点'!F119)=0),"父级地点不存在；","")&amp;IF(AND('03_地点锚点'!A119&lt;&gt;"",COUNTIF('03_地点锚点'!$A$2:$A$501,'03_地点锚点'!A119)&gt;1),"ID重复；",""),"")</f>
        <v/>
      </c>
      <c r="G619" s="14">
        <f>IF(F619&lt;&gt;"","按字段批注、数据字典和来源记录修正后复核","")</f>
        <v/>
      </c>
      <c r="H619" s="14">
        <f>IF(F619&lt;&gt;"","待处理","")</f>
        <v/>
      </c>
    </row>
    <row r="620">
      <c r="A620" s="14">
        <f>IF(F620&lt;&gt;"","ISSUE-"&amp;TEXT(ROW()-1,"00000"),"")</f>
        <v/>
      </c>
      <c r="B620" s="14">
        <f>IF(F620&lt;&gt;"","错误","")</f>
        <v/>
      </c>
      <c r="C620" s="14">
        <f>IF('03_地点锚点'!A120&lt;&gt;"","03_地点锚点","")</f>
        <v/>
      </c>
      <c r="D620" s="14">
        <f>IF('03_地点锚点'!A120&lt;&gt;"",'03_地点锚点'!A120,"")</f>
        <v/>
      </c>
      <c r="E620" s="14">
        <f>IF(F620&lt;&gt;"","综合校验","")</f>
        <v/>
      </c>
      <c r="F620" s="14">
        <f>IF('03_地点锚点'!A120&lt;&gt;"",IF('03_地点锚点'!A120="","缺少地点ID；","")&amp;IF('03_地点锚点'!B120="","缺少中文名称；","")&amp;IF('03_地点锚点'!D120="","缺少地点类型；","")&amp;IF('03_地点锚点'!G120="","缺少世界X；","")&amp;IF('03_地点锚点'!H120="","缺少世界Y；","")&amp;IF(AND('03_地点锚点'!G120&lt;&gt;"",OR('03_地点锚点'!G120&lt;0,'03_地点锚点'!G120&gt;WorldWidth)),"世界X越界；","")&amp;IF(AND('03_地点锚点'!H120&lt;&gt;"",OR('03_地点锚点'!H120&lt;0,'03_地点锚点'!H120&gt;WorldHeight)),"世界Y越界；","")&amp;IF(AND('03_地点锚点'!E120&lt;&gt;"",COUNTIF('02_固定地理'!$A$2:$A$501,'03_地点锚点'!E120)=0),"父级行政对象不存在；","")&amp;IF(AND('03_地点锚点'!F120&lt;&gt;"",COUNTIF('03_地点锚点'!$A$2:$A$501,'03_地点锚点'!F120)=0),"父级地点不存在；","")&amp;IF(AND('03_地点锚点'!A120&lt;&gt;"",COUNTIF('03_地点锚点'!$A$2:$A$501,'03_地点锚点'!A120)&gt;1),"ID重复；",""),"")</f>
        <v/>
      </c>
      <c r="G620" s="14">
        <f>IF(F620&lt;&gt;"","按字段批注、数据字典和来源记录修正后复核","")</f>
        <v/>
      </c>
      <c r="H620" s="14">
        <f>IF(F620&lt;&gt;"","待处理","")</f>
        <v/>
      </c>
    </row>
    <row r="621">
      <c r="A621" s="14">
        <f>IF(F621&lt;&gt;"","ISSUE-"&amp;TEXT(ROW()-1,"00000"),"")</f>
        <v/>
      </c>
      <c r="B621" s="14">
        <f>IF(F621&lt;&gt;"","错误","")</f>
        <v/>
      </c>
      <c r="C621" s="14">
        <f>IF('03_地点锚点'!A121&lt;&gt;"","03_地点锚点","")</f>
        <v/>
      </c>
      <c r="D621" s="14">
        <f>IF('03_地点锚点'!A121&lt;&gt;"",'03_地点锚点'!A121,"")</f>
        <v/>
      </c>
      <c r="E621" s="14">
        <f>IF(F621&lt;&gt;"","综合校验","")</f>
        <v/>
      </c>
      <c r="F621" s="14">
        <f>IF('03_地点锚点'!A121&lt;&gt;"",IF('03_地点锚点'!A121="","缺少地点ID；","")&amp;IF('03_地点锚点'!B121="","缺少中文名称；","")&amp;IF('03_地点锚点'!D121="","缺少地点类型；","")&amp;IF('03_地点锚点'!G121="","缺少世界X；","")&amp;IF('03_地点锚点'!H121="","缺少世界Y；","")&amp;IF(AND('03_地点锚点'!G121&lt;&gt;"",OR('03_地点锚点'!G121&lt;0,'03_地点锚点'!G121&gt;WorldWidth)),"世界X越界；","")&amp;IF(AND('03_地点锚点'!H121&lt;&gt;"",OR('03_地点锚点'!H121&lt;0,'03_地点锚点'!H121&gt;WorldHeight)),"世界Y越界；","")&amp;IF(AND('03_地点锚点'!E121&lt;&gt;"",COUNTIF('02_固定地理'!$A$2:$A$501,'03_地点锚点'!E121)=0),"父级行政对象不存在；","")&amp;IF(AND('03_地点锚点'!F121&lt;&gt;"",COUNTIF('03_地点锚点'!$A$2:$A$501,'03_地点锚点'!F121)=0),"父级地点不存在；","")&amp;IF(AND('03_地点锚点'!A121&lt;&gt;"",COUNTIF('03_地点锚点'!$A$2:$A$501,'03_地点锚点'!A121)&gt;1),"ID重复；",""),"")</f>
        <v/>
      </c>
      <c r="G621" s="14">
        <f>IF(F621&lt;&gt;"","按字段批注、数据字典和来源记录修正后复核","")</f>
        <v/>
      </c>
      <c r="H621" s="14">
        <f>IF(F621&lt;&gt;"","待处理","")</f>
        <v/>
      </c>
    </row>
    <row r="622">
      <c r="A622" s="14">
        <f>IF(F622&lt;&gt;"","ISSUE-"&amp;TEXT(ROW()-1,"00000"),"")</f>
        <v/>
      </c>
      <c r="B622" s="14">
        <f>IF(F622&lt;&gt;"","错误","")</f>
        <v/>
      </c>
      <c r="C622" s="14">
        <f>IF('03_地点锚点'!A122&lt;&gt;"","03_地点锚点","")</f>
        <v/>
      </c>
      <c r="D622" s="14">
        <f>IF('03_地点锚点'!A122&lt;&gt;"",'03_地点锚点'!A122,"")</f>
        <v/>
      </c>
      <c r="E622" s="14">
        <f>IF(F622&lt;&gt;"","综合校验","")</f>
        <v/>
      </c>
      <c r="F622" s="14">
        <f>IF('03_地点锚点'!A122&lt;&gt;"",IF('03_地点锚点'!A122="","缺少地点ID；","")&amp;IF('03_地点锚点'!B122="","缺少中文名称；","")&amp;IF('03_地点锚点'!D122="","缺少地点类型；","")&amp;IF('03_地点锚点'!G122="","缺少世界X；","")&amp;IF('03_地点锚点'!H122="","缺少世界Y；","")&amp;IF(AND('03_地点锚点'!G122&lt;&gt;"",OR('03_地点锚点'!G122&lt;0,'03_地点锚点'!G122&gt;WorldWidth)),"世界X越界；","")&amp;IF(AND('03_地点锚点'!H122&lt;&gt;"",OR('03_地点锚点'!H122&lt;0,'03_地点锚点'!H122&gt;WorldHeight)),"世界Y越界；","")&amp;IF(AND('03_地点锚点'!E122&lt;&gt;"",COUNTIF('02_固定地理'!$A$2:$A$501,'03_地点锚点'!E122)=0),"父级行政对象不存在；","")&amp;IF(AND('03_地点锚点'!F122&lt;&gt;"",COUNTIF('03_地点锚点'!$A$2:$A$501,'03_地点锚点'!F122)=0),"父级地点不存在；","")&amp;IF(AND('03_地点锚点'!A122&lt;&gt;"",COUNTIF('03_地点锚点'!$A$2:$A$501,'03_地点锚点'!A122)&gt;1),"ID重复；",""),"")</f>
        <v/>
      </c>
      <c r="G622" s="14">
        <f>IF(F622&lt;&gt;"","按字段批注、数据字典和来源记录修正后复核","")</f>
        <v/>
      </c>
      <c r="H622" s="14">
        <f>IF(F622&lt;&gt;"","待处理","")</f>
        <v/>
      </c>
    </row>
    <row r="623">
      <c r="A623" s="14">
        <f>IF(F623&lt;&gt;"","ISSUE-"&amp;TEXT(ROW()-1,"00000"),"")</f>
        <v/>
      </c>
      <c r="B623" s="14">
        <f>IF(F623&lt;&gt;"","错误","")</f>
        <v/>
      </c>
      <c r="C623" s="14">
        <f>IF('03_地点锚点'!A123&lt;&gt;"","03_地点锚点","")</f>
        <v/>
      </c>
      <c r="D623" s="14">
        <f>IF('03_地点锚点'!A123&lt;&gt;"",'03_地点锚点'!A123,"")</f>
        <v/>
      </c>
      <c r="E623" s="14">
        <f>IF(F623&lt;&gt;"","综合校验","")</f>
        <v/>
      </c>
      <c r="F623" s="14">
        <f>IF('03_地点锚点'!A123&lt;&gt;"",IF('03_地点锚点'!A123="","缺少地点ID；","")&amp;IF('03_地点锚点'!B123="","缺少中文名称；","")&amp;IF('03_地点锚点'!D123="","缺少地点类型；","")&amp;IF('03_地点锚点'!G123="","缺少世界X；","")&amp;IF('03_地点锚点'!H123="","缺少世界Y；","")&amp;IF(AND('03_地点锚点'!G123&lt;&gt;"",OR('03_地点锚点'!G123&lt;0,'03_地点锚点'!G123&gt;WorldWidth)),"世界X越界；","")&amp;IF(AND('03_地点锚点'!H123&lt;&gt;"",OR('03_地点锚点'!H123&lt;0,'03_地点锚点'!H123&gt;WorldHeight)),"世界Y越界；","")&amp;IF(AND('03_地点锚点'!E123&lt;&gt;"",COUNTIF('02_固定地理'!$A$2:$A$501,'03_地点锚点'!E123)=0),"父级行政对象不存在；","")&amp;IF(AND('03_地点锚点'!F123&lt;&gt;"",COUNTIF('03_地点锚点'!$A$2:$A$501,'03_地点锚点'!F123)=0),"父级地点不存在；","")&amp;IF(AND('03_地点锚点'!A123&lt;&gt;"",COUNTIF('03_地点锚点'!$A$2:$A$501,'03_地点锚点'!A123)&gt;1),"ID重复；",""),"")</f>
        <v/>
      </c>
      <c r="G623" s="14">
        <f>IF(F623&lt;&gt;"","按字段批注、数据字典和来源记录修正后复核","")</f>
        <v/>
      </c>
      <c r="H623" s="14">
        <f>IF(F623&lt;&gt;"","待处理","")</f>
        <v/>
      </c>
    </row>
    <row r="624">
      <c r="A624" s="14">
        <f>IF(F624&lt;&gt;"","ISSUE-"&amp;TEXT(ROW()-1,"00000"),"")</f>
        <v/>
      </c>
      <c r="B624" s="14">
        <f>IF(F624&lt;&gt;"","错误","")</f>
        <v/>
      </c>
      <c r="C624" s="14">
        <f>IF('03_地点锚点'!A124&lt;&gt;"","03_地点锚点","")</f>
        <v/>
      </c>
      <c r="D624" s="14">
        <f>IF('03_地点锚点'!A124&lt;&gt;"",'03_地点锚点'!A124,"")</f>
        <v/>
      </c>
      <c r="E624" s="14">
        <f>IF(F624&lt;&gt;"","综合校验","")</f>
        <v/>
      </c>
      <c r="F624" s="14">
        <f>IF('03_地点锚点'!A124&lt;&gt;"",IF('03_地点锚点'!A124="","缺少地点ID；","")&amp;IF('03_地点锚点'!B124="","缺少中文名称；","")&amp;IF('03_地点锚点'!D124="","缺少地点类型；","")&amp;IF('03_地点锚点'!G124="","缺少世界X；","")&amp;IF('03_地点锚点'!H124="","缺少世界Y；","")&amp;IF(AND('03_地点锚点'!G124&lt;&gt;"",OR('03_地点锚点'!G124&lt;0,'03_地点锚点'!G124&gt;WorldWidth)),"世界X越界；","")&amp;IF(AND('03_地点锚点'!H124&lt;&gt;"",OR('03_地点锚点'!H124&lt;0,'03_地点锚点'!H124&gt;WorldHeight)),"世界Y越界；","")&amp;IF(AND('03_地点锚点'!E124&lt;&gt;"",COUNTIF('02_固定地理'!$A$2:$A$501,'03_地点锚点'!E124)=0),"父级行政对象不存在；","")&amp;IF(AND('03_地点锚点'!F124&lt;&gt;"",COUNTIF('03_地点锚点'!$A$2:$A$501,'03_地点锚点'!F124)=0),"父级地点不存在；","")&amp;IF(AND('03_地点锚点'!A124&lt;&gt;"",COUNTIF('03_地点锚点'!$A$2:$A$501,'03_地点锚点'!A124)&gt;1),"ID重复；",""),"")</f>
        <v/>
      </c>
      <c r="G624" s="14">
        <f>IF(F624&lt;&gt;"","按字段批注、数据字典和来源记录修正后复核","")</f>
        <v/>
      </c>
      <c r="H624" s="14">
        <f>IF(F624&lt;&gt;"","待处理","")</f>
        <v/>
      </c>
    </row>
    <row r="625">
      <c r="A625" s="14">
        <f>IF(F625&lt;&gt;"","ISSUE-"&amp;TEXT(ROW()-1,"00000"),"")</f>
        <v/>
      </c>
      <c r="B625" s="14">
        <f>IF(F625&lt;&gt;"","错误","")</f>
        <v/>
      </c>
      <c r="C625" s="14">
        <f>IF('03_地点锚点'!A125&lt;&gt;"","03_地点锚点","")</f>
        <v/>
      </c>
      <c r="D625" s="14">
        <f>IF('03_地点锚点'!A125&lt;&gt;"",'03_地点锚点'!A125,"")</f>
        <v/>
      </c>
      <c r="E625" s="14">
        <f>IF(F625&lt;&gt;"","综合校验","")</f>
        <v/>
      </c>
      <c r="F625" s="14">
        <f>IF('03_地点锚点'!A125&lt;&gt;"",IF('03_地点锚点'!A125="","缺少地点ID；","")&amp;IF('03_地点锚点'!B125="","缺少中文名称；","")&amp;IF('03_地点锚点'!D125="","缺少地点类型；","")&amp;IF('03_地点锚点'!G125="","缺少世界X；","")&amp;IF('03_地点锚点'!H125="","缺少世界Y；","")&amp;IF(AND('03_地点锚点'!G125&lt;&gt;"",OR('03_地点锚点'!G125&lt;0,'03_地点锚点'!G125&gt;WorldWidth)),"世界X越界；","")&amp;IF(AND('03_地点锚点'!H125&lt;&gt;"",OR('03_地点锚点'!H125&lt;0,'03_地点锚点'!H125&gt;WorldHeight)),"世界Y越界；","")&amp;IF(AND('03_地点锚点'!E125&lt;&gt;"",COUNTIF('02_固定地理'!$A$2:$A$501,'03_地点锚点'!E125)=0),"父级行政对象不存在；","")&amp;IF(AND('03_地点锚点'!F125&lt;&gt;"",COUNTIF('03_地点锚点'!$A$2:$A$501,'03_地点锚点'!F125)=0),"父级地点不存在；","")&amp;IF(AND('03_地点锚点'!A125&lt;&gt;"",COUNTIF('03_地点锚点'!$A$2:$A$501,'03_地点锚点'!A125)&gt;1),"ID重复；",""),"")</f>
        <v/>
      </c>
      <c r="G625" s="14">
        <f>IF(F625&lt;&gt;"","按字段批注、数据字典和来源记录修正后复核","")</f>
        <v/>
      </c>
      <c r="H625" s="14">
        <f>IF(F625&lt;&gt;"","待处理","")</f>
        <v/>
      </c>
    </row>
    <row r="626">
      <c r="A626" s="14">
        <f>IF(F626&lt;&gt;"","ISSUE-"&amp;TEXT(ROW()-1,"00000"),"")</f>
        <v/>
      </c>
      <c r="B626" s="14">
        <f>IF(F626&lt;&gt;"","错误","")</f>
        <v/>
      </c>
      <c r="C626" s="14">
        <f>IF('03_地点锚点'!A126&lt;&gt;"","03_地点锚点","")</f>
        <v/>
      </c>
      <c r="D626" s="14">
        <f>IF('03_地点锚点'!A126&lt;&gt;"",'03_地点锚点'!A126,"")</f>
        <v/>
      </c>
      <c r="E626" s="14">
        <f>IF(F626&lt;&gt;"","综合校验","")</f>
        <v/>
      </c>
      <c r="F626" s="14">
        <f>IF('03_地点锚点'!A126&lt;&gt;"",IF('03_地点锚点'!A126="","缺少地点ID；","")&amp;IF('03_地点锚点'!B126="","缺少中文名称；","")&amp;IF('03_地点锚点'!D126="","缺少地点类型；","")&amp;IF('03_地点锚点'!G126="","缺少世界X；","")&amp;IF('03_地点锚点'!H126="","缺少世界Y；","")&amp;IF(AND('03_地点锚点'!G126&lt;&gt;"",OR('03_地点锚点'!G126&lt;0,'03_地点锚点'!G126&gt;WorldWidth)),"世界X越界；","")&amp;IF(AND('03_地点锚点'!H126&lt;&gt;"",OR('03_地点锚点'!H126&lt;0,'03_地点锚点'!H126&gt;WorldHeight)),"世界Y越界；","")&amp;IF(AND('03_地点锚点'!E126&lt;&gt;"",COUNTIF('02_固定地理'!$A$2:$A$501,'03_地点锚点'!E126)=0),"父级行政对象不存在；","")&amp;IF(AND('03_地点锚点'!F126&lt;&gt;"",COUNTIF('03_地点锚点'!$A$2:$A$501,'03_地点锚点'!F126)=0),"父级地点不存在；","")&amp;IF(AND('03_地点锚点'!A126&lt;&gt;"",COUNTIF('03_地点锚点'!$A$2:$A$501,'03_地点锚点'!A126)&gt;1),"ID重复；",""),"")</f>
        <v/>
      </c>
      <c r="G626" s="14">
        <f>IF(F626&lt;&gt;"","按字段批注、数据字典和来源记录修正后复核","")</f>
        <v/>
      </c>
      <c r="H626" s="14">
        <f>IF(F626&lt;&gt;"","待处理","")</f>
        <v/>
      </c>
    </row>
    <row r="627">
      <c r="A627" s="14">
        <f>IF(F627&lt;&gt;"","ISSUE-"&amp;TEXT(ROW()-1,"00000"),"")</f>
        <v/>
      </c>
      <c r="B627" s="14">
        <f>IF(F627&lt;&gt;"","错误","")</f>
        <v/>
      </c>
      <c r="C627" s="14">
        <f>IF('03_地点锚点'!A127&lt;&gt;"","03_地点锚点","")</f>
        <v/>
      </c>
      <c r="D627" s="14">
        <f>IF('03_地点锚点'!A127&lt;&gt;"",'03_地点锚点'!A127,"")</f>
        <v/>
      </c>
      <c r="E627" s="14">
        <f>IF(F627&lt;&gt;"","综合校验","")</f>
        <v/>
      </c>
      <c r="F627" s="14">
        <f>IF('03_地点锚点'!A127&lt;&gt;"",IF('03_地点锚点'!A127="","缺少地点ID；","")&amp;IF('03_地点锚点'!B127="","缺少中文名称；","")&amp;IF('03_地点锚点'!D127="","缺少地点类型；","")&amp;IF('03_地点锚点'!G127="","缺少世界X；","")&amp;IF('03_地点锚点'!H127="","缺少世界Y；","")&amp;IF(AND('03_地点锚点'!G127&lt;&gt;"",OR('03_地点锚点'!G127&lt;0,'03_地点锚点'!G127&gt;WorldWidth)),"世界X越界；","")&amp;IF(AND('03_地点锚点'!H127&lt;&gt;"",OR('03_地点锚点'!H127&lt;0,'03_地点锚点'!H127&gt;WorldHeight)),"世界Y越界；","")&amp;IF(AND('03_地点锚点'!E127&lt;&gt;"",COUNTIF('02_固定地理'!$A$2:$A$501,'03_地点锚点'!E127)=0),"父级行政对象不存在；","")&amp;IF(AND('03_地点锚点'!F127&lt;&gt;"",COUNTIF('03_地点锚点'!$A$2:$A$501,'03_地点锚点'!F127)=0),"父级地点不存在；","")&amp;IF(AND('03_地点锚点'!A127&lt;&gt;"",COUNTIF('03_地点锚点'!$A$2:$A$501,'03_地点锚点'!A127)&gt;1),"ID重复；",""),"")</f>
        <v/>
      </c>
      <c r="G627" s="14">
        <f>IF(F627&lt;&gt;"","按字段批注、数据字典和来源记录修正后复核","")</f>
        <v/>
      </c>
      <c r="H627" s="14">
        <f>IF(F627&lt;&gt;"","待处理","")</f>
        <v/>
      </c>
    </row>
    <row r="628">
      <c r="A628" s="14">
        <f>IF(F628&lt;&gt;"","ISSUE-"&amp;TEXT(ROW()-1,"00000"),"")</f>
        <v/>
      </c>
      <c r="B628" s="14">
        <f>IF(F628&lt;&gt;"","错误","")</f>
        <v/>
      </c>
      <c r="C628" s="14">
        <f>IF('03_地点锚点'!A128&lt;&gt;"","03_地点锚点","")</f>
        <v/>
      </c>
      <c r="D628" s="14">
        <f>IF('03_地点锚点'!A128&lt;&gt;"",'03_地点锚点'!A128,"")</f>
        <v/>
      </c>
      <c r="E628" s="14">
        <f>IF(F628&lt;&gt;"","综合校验","")</f>
        <v/>
      </c>
      <c r="F628" s="14">
        <f>IF('03_地点锚点'!A128&lt;&gt;"",IF('03_地点锚点'!A128="","缺少地点ID；","")&amp;IF('03_地点锚点'!B128="","缺少中文名称；","")&amp;IF('03_地点锚点'!D128="","缺少地点类型；","")&amp;IF('03_地点锚点'!G128="","缺少世界X；","")&amp;IF('03_地点锚点'!H128="","缺少世界Y；","")&amp;IF(AND('03_地点锚点'!G128&lt;&gt;"",OR('03_地点锚点'!G128&lt;0,'03_地点锚点'!G128&gt;WorldWidth)),"世界X越界；","")&amp;IF(AND('03_地点锚点'!H128&lt;&gt;"",OR('03_地点锚点'!H128&lt;0,'03_地点锚点'!H128&gt;WorldHeight)),"世界Y越界；","")&amp;IF(AND('03_地点锚点'!E128&lt;&gt;"",COUNTIF('02_固定地理'!$A$2:$A$501,'03_地点锚点'!E128)=0),"父级行政对象不存在；","")&amp;IF(AND('03_地点锚点'!F128&lt;&gt;"",COUNTIF('03_地点锚点'!$A$2:$A$501,'03_地点锚点'!F128)=0),"父级地点不存在；","")&amp;IF(AND('03_地点锚点'!A128&lt;&gt;"",COUNTIF('03_地点锚点'!$A$2:$A$501,'03_地点锚点'!A128)&gt;1),"ID重复；",""),"")</f>
        <v/>
      </c>
      <c r="G628" s="14">
        <f>IF(F628&lt;&gt;"","按字段批注、数据字典和来源记录修正后复核","")</f>
        <v/>
      </c>
      <c r="H628" s="14">
        <f>IF(F628&lt;&gt;"","待处理","")</f>
        <v/>
      </c>
    </row>
    <row r="629">
      <c r="A629" s="14">
        <f>IF(F629&lt;&gt;"","ISSUE-"&amp;TEXT(ROW()-1,"00000"),"")</f>
        <v/>
      </c>
      <c r="B629" s="14">
        <f>IF(F629&lt;&gt;"","错误","")</f>
        <v/>
      </c>
      <c r="C629" s="14">
        <f>IF('03_地点锚点'!A129&lt;&gt;"","03_地点锚点","")</f>
        <v/>
      </c>
      <c r="D629" s="14">
        <f>IF('03_地点锚点'!A129&lt;&gt;"",'03_地点锚点'!A129,"")</f>
        <v/>
      </c>
      <c r="E629" s="14">
        <f>IF(F629&lt;&gt;"","综合校验","")</f>
        <v/>
      </c>
      <c r="F629" s="14">
        <f>IF('03_地点锚点'!A129&lt;&gt;"",IF('03_地点锚点'!A129="","缺少地点ID；","")&amp;IF('03_地点锚点'!B129="","缺少中文名称；","")&amp;IF('03_地点锚点'!D129="","缺少地点类型；","")&amp;IF('03_地点锚点'!G129="","缺少世界X；","")&amp;IF('03_地点锚点'!H129="","缺少世界Y；","")&amp;IF(AND('03_地点锚点'!G129&lt;&gt;"",OR('03_地点锚点'!G129&lt;0,'03_地点锚点'!G129&gt;WorldWidth)),"世界X越界；","")&amp;IF(AND('03_地点锚点'!H129&lt;&gt;"",OR('03_地点锚点'!H129&lt;0,'03_地点锚点'!H129&gt;WorldHeight)),"世界Y越界；","")&amp;IF(AND('03_地点锚点'!E129&lt;&gt;"",COUNTIF('02_固定地理'!$A$2:$A$501,'03_地点锚点'!E129)=0),"父级行政对象不存在；","")&amp;IF(AND('03_地点锚点'!F129&lt;&gt;"",COUNTIF('03_地点锚点'!$A$2:$A$501,'03_地点锚点'!F129)=0),"父级地点不存在；","")&amp;IF(AND('03_地点锚点'!A129&lt;&gt;"",COUNTIF('03_地点锚点'!$A$2:$A$501,'03_地点锚点'!A129)&gt;1),"ID重复；",""),"")</f>
        <v/>
      </c>
      <c r="G629" s="14">
        <f>IF(F629&lt;&gt;"","按字段批注、数据字典和来源记录修正后复核","")</f>
        <v/>
      </c>
      <c r="H629" s="14">
        <f>IF(F629&lt;&gt;"","待处理","")</f>
        <v/>
      </c>
    </row>
    <row r="630">
      <c r="A630" s="14">
        <f>IF(F630&lt;&gt;"","ISSUE-"&amp;TEXT(ROW()-1,"00000"),"")</f>
        <v/>
      </c>
      <c r="B630" s="14">
        <f>IF(F630&lt;&gt;"","错误","")</f>
        <v/>
      </c>
      <c r="C630" s="14">
        <f>IF('03_地点锚点'!A130&lt;&gt;"","03_地点锚点","")</f>
        <v/>
      </c>
      <c r="D630" s="14">
        <f>IF('03_地点锚点'!A130&lt;&gt;"",'03_地点锚点'!A130,"")</f>
        <v/>
      </c>
      <c r="E630" s="14">
        <f>IF(F630&lt;&gt;"","综合校验","")</f>
        <v/>
      </c>
      <c r="F630" s="14">
        <f>IF('03_地点锚点'!A130&lt;&gt;"",IF('03_地点锚点'!A130="","缺少地点ID；","")&amp;IF('03_地点锚点'!B130="","缺少中文名称；","")&amp;IF('03_地点锚点'!D130="","缺少地点类型；","")&amp;IF('03_地点锚点'!G130="","缺少世界X；","")&amp;IF('03_地点锚点'!H130="","缺少世界Y；","")&amp;IF(AND('03_地点锚点'!G130&lt;&gt;"",OR('03_地点锚点'!G130&lt;0,'03_地点锚点'!G130&gt;WorldWidth)),"世界X越界；","")&amp;IF(AND('03_地点锚点'!H130&lt;&gt;"",OR('03_地点锚点'!H130&lt;0,'03_地点锚点'!H130&gt;WorldHeight)),"世界Y越界；","")&amp;IF(AND('03_地点锚点'!E130&lt;&gt;"",COUNTIF('02_固定地理'!$A$2:$A$501,'03_地点锚点'!E130)=0),"父级行政对象不存在；","")&amp;IF(AND('03_地点锚点'!F130&lt;&gt;"",COUNTIF('03_地点锚点'!$A$2:$A$501,'03_地点锚点'!F130)=0),"父级地点不存在；","")&amp;IF(AND('03_地点锚点'!A130&lt;&gt;"",COUNTIF('03_地点锚点'!$A$2:$A$501,'03_地点锚点'!A130)&gt;1),"ID重复；",""),"")</f>
        <v/>
      </c>
      <c r="G630" s="14">
        <f>IF(F630&lt;&gt;"","按字段批注、数据字典和来源记录修正后复核","")</f>
        <v/>
      </c>
      <c r="H630" s="14">
        <f>IF(F630&lt;&gt;"","待处理","")</f>
        <v/>
      </c>
    </row>
    <row r="631">
      <c r="A631" s="14">
        <f>IF(F631&lt;&gt;"","ISSUE-"&amp;TEXT(ROW()-1,"00000"),"")</f>
        <v/>
      </c>
      <c r="B631" s="14">
        <f>IF(F631&lt;&gt;"","错误","")</f>
        <v/>
      </c>
      <c r="C631" s="14">
        <f>IF('03_地点锚点'!A131&lt;&gt;"","03_地点锚点","")</f>
        <v/>
      </c>
      <c r="D631" s="14">
        <f>IF('03_地点锚点'!A131&lt;&gt;"",'03_地点锚点'!A131,"")</f>
        <v/>
      </c>
      <c r="E631" s="14">
        <f>IF(F631&lt;&gt;"","综合校验","")</f>
        <v/>
      </c>
      <c r="F631" s="14">
        <f>IF('03_地点锚点'!A131&lt;&gt;"",IF('03_地点锚点'!A131="","缺少地点ID；","")&amp;IF('03_地点锚点'!B131="","缺少中文名称；","")&amp;IF('03_地点锚点'!D131="","缺少地点类型；","")&amp;IF('03_地点锚点'!G131="","缺少世界X；","")&amp;IF('03_地点锚点'!H131="","缺少世界Y；","")&amp;IF(AND('03_地点锚点'!G131&lt;&gt;"",OR('03_地点锚点'!G131&lt;0,'03_地点锚点'!G131&gt;WorldWidth)),"世界X越界；","")&amp;IF(AND('03_地点锚点'!H131&lt;&gt;"",OR('03_地点锚点'!H131&lt;0,'03_地点锚点'!H131&gt;WorldHeight)),"世界Y越界；","")&amp;IF(AND('03_地点锚点'!E131&lt;&gt;"",COUNTIF('02_固定地理'!$A$2:$A$501,'03_地点锚点'!E131)=0),"父级行政对象不存在；","")&amp;IF(AND('03_地点锚点'!F131&lt;&gt;"",COUNTIF('03_地点锚点'!$A$2:$A$501,'03_地点锚点'!F131)=0),"父级地点不存在；","")&amp;IF(AND('03_地点锚点'!A131&lt;&gt;"",COUNTIF('03_地点锚点'!$A$2:$A$501,'03_地点锚点'!A131)&gt;1),"ID重复；",""),"")</f>
        <v/>
      </c>
      <c r="G631" s="14">
        <f>IF(F631&lt;&gt;"","按字段批注、数据字典和来源记录修正后复核","")</f>
        <v/>
      </c>
      <c r="H631" s="14">
        <f>IF(F631&lt;&gt;"","待处理","")</f>
        <v/>
      </c>
    </row>
    <row r="632">
      <c r="A632" s="14">
        <f>IF(F632&lt;&gt;"","ISSUE-"&amp;TEXT(ROW()-1,"00000"),"")</f>
        <v/>
      </c>
      <c r="B632" s="14">
        <f>IF(F632&lt;&gt;"","错误","")</f>
        <v/>
      </c>
      <c r="C632" s="14">
        <f>IF('03_地点锚点'!A132&lt;&gt;"","03_地点锚点","")</f>
        <v/>
      </c>
      <c r="D632" s="14">
        <f>IF('03_地点锚点'!A132&lt;&gt;"",'03_地点锚点'!A132,"")</f>
        <v/>
      </c>
      <c r="E632" s="14">
        <f>IF(F632&lt;&gt;"","综合校验","")</f>
        <v/>
      </c>
      <c r="F632" s="14">
        <f>IF('03_地点锚点'!A132&lt;&gt;"",IF('03_地点锚点'!A132="","缺少地点ID；","")&amp;IF('03_地点锚点'!B132="","缺少中文名称；","")&amp;IF('03_地点锚点'!D132="","缺少地点类型；","")&amp;IF('03_地点锚点'!G132="","缺少世界X；","")&amp;IF('03_地点锚点'!H132="","缺少世界Y；","")&amp;IF(AND('03_地点锚点'!G132&lt;&gt;"",OR('03_地点锚点'!G132&lt;0,'03_地点锚点'!G132&gt;WorldWidth)),"世界X越界；","")&amp;IF(AND('03_地点锚点'!H132&lt;&gt;"",OR('03_地点锚点'!H132&lt;0,'03_地点锚点'!H132&gt;WorldHeight)),"世界Y越界；","")&amp;IF(AND('03_地点锚点'!E132&lt;&gt;"",COUNTIF('02_固定地理'!$A$2:$A$501,'03_地点锚点'!E132)=0),"父级行政对象不存在；","")&amp;IF(AND('03_地点锚点'!F132&lt;&gt;"",COUNTIF('03_地点锚点'!$A$2:$A$501,'03_地点锚点'!F132)=0),"父级地点不存在；","")&amp;IF(AND('03_地点锚点'!A132&lt;&gt;"",COUNTIF('03_地点锚点'!$A$2:$A$501,'03_地点锚点'!A132)&gt;1),"ID重复；",""),"")</f>
        <v/>
      </c>
      <c r="G632" s="14">
        <f>IF(F632&lt;&gt;"","按字段批注、数据字典和来源记录修正后复核","")</f>
        <v/>
      </c>
      <c r="H632" s="14">
        <f>IF(F632&lt;&gt;"","待处理","")</f>
        <v/>
      </c>
    </row>
    <row r="633">
      <c r="A633" s="14">
        <f>IF(F633&lt;&gt;"","ISSUE-"&amp;TEXT(ROW()-1,"00000"),"")</f>
        <v/>
      </c>
      <c r="B633" s="14">
        <f>IF(F633&lt;&gt;"","错误","")</f>
        <v/>
      </c>
      <c r="C633" s="14">
        <f>IF('03_地点锚点'!A133&lt;&gt;"","03_地点锚点","")</f>
        <v/>
      </c>
      <c r="D633" s="14">
        <f>IF('03_地点锚点'!A133&lt;&gt;"",'03_地点锚点'!A133,"")</f>
        <v/>
      </c>
      <c r="E633" s="14">
        <f>IF(F633&lt;&gt;"","综合校验","")</f>
        <v/>
      </c>
      <c r="F633" s="14">
        <f>IF('03_地点锚点'!A133&lt;&gt;"",IF('03_地点锚点'!A133="","缺少地点ID；","")&amp;IF('03_地点锚点'!B133="","缺少中文名称；","")&amp;IF('03_地点锚点'!D133="","缺少地点类型；","")&amp;IF('03_地点锚点'!G133="","缺少世界X；","")&amp;IF('03_地点锚点'!H133="","缺少世界Y；","")&amp;IF(AND('03_地点锚点'!G133&lt;&gt;"",OR('03_地点锚点'!G133&lt;0,'03_地点锚点'!G133&gt;WorldWidth)),"世界X越界；","")&amp;IF(AND('03_地点锚点'!H133&lt;&gt;"",OR('03_地点锚点'!H133&lt;0,'03_地点锚点'!H133&gt;WorldHeight)),"世界Y越界；","")&amp;IF(AND('03_地点锚点'!E133&lt;&gt;"",COUNTIF('02_固定地理'!$A$2:$A$501,'03_地点锚点'!E133)=0),"父级行政对象不存在；","")&amp;IF(AND('03_地点锚点'!F133&lt;&gt;"",COUNTIF('03_地点锚点'!$A$2:$A$501,'03_地点锚点'!F133)=0),"父级地点不存在；","")&amp;IF(AND('03_地点锚点'!A133&lt;&gt;"",COUNTIF('03_地点锚点'!$A$2:$A$501,'03_地点锚点'!A133)&gt;1),"ID重复；",""),"")</f>
        <v/>
      </c>
      <c r="G633" s="14">
        <f>IF(F633&lt;&gt;"","按字段批注、数据字典和来源记录修正后复核","")</f>
        <v/>
      </c>
      <c r="H633" s="14">
        <f>IF(F633&lt;&gt;"","待处理","")</f>
        <v/>
      </c>
    </row>
    <row r="634">
      <c r="A634" s="14">
        <f>IF(F634&lt;&gt;"","ISSUE-"&amp;TEXT(ROW()-1,"00000"),"")</f>
        <v/>
      </c>
      <c r="B634" s="14">
        <f>IF(F634&lt;&gt;"","错误","")</f>
        <v/>
      </c>
      <c r="C634" s="14">
        <f>IF('03_地点锚点'!A134&lt;&gt;"","03_地点锚点","")</f>
        <v/>
      </c>
      <c r="D634" s="14">
        <f>IF('03_地点锚点'!A134&lt;&gt;"",'03_地点锚点'!A134,"")</f>
        <v/>
      </c>
      <c r="E634" s="14">
        <f>IF(F634&lt;&gt;"","综合校验","")</f>
        <v/>
      </c>
      <c r="F634" s="14">
        <f>IF('03_地点锚点'!A134&lt;&gt;"",IF('03_地点锚点'!A134="","缺少地点ID；","")&amp;IF('03_地点锚点'!B134="","缺少中文名称；","")&amp;IF('03_地点锚点'!D134="","缺少地点类型；","")&amp;IF('03_地点锚点'!G134="","缺少世界X；","")&amp;IF('03_地点锚点'!H134="","缺少世界Y；","")&amp;IF(AND('03_地点锚点'!G134&lt;&gt;"",OR('03_地点锚点'!G134&lt;0,'03_地点锚点'!G134&gt;WorldWidth)),"世界X越界；","")&amp;IF(AND('03_地点锚点'!H134&lt;&gt;"",OR('03_地点锚点'!H134&lt;0,'03_地点锚点'!H134&gt;WorldHeight)),"世界Y越界；","")&amp;IF(AND('03_地点锚点'!E134&lt;&gt;"",COUNTIF('02_固定地理'!$A$2:$A$501,'03_地点锚点'!E134)=0),"父级行政对象不存在；","")&amp;IF(AND('03_地点锚点'!F134&lt;&gt;"",COUNTIF('03_地点锚点'!$A$2:$A$501,'03_地点锚点'!F134)=0),"父级地点不存在；","")&amp;IF(AND('03_地点锚点'!A134&lt;&gt;"",COUNTIF('03_地点锚点'!$A$2:$A$501,'03_地点锚点'!A134)&gt;1),"ID重复；",""),"")</f>
        <v/>
      </c>
      <c r="G634" s="14">
        <f>IF(F634&lt;&gt;"","按字段批注、数据字典和来源记录修正后复核","")</f>
        <v/>
      </c>
      <c r="H634" s="14">
        <f>IF(F634&lt;&gt;"","待处理","")</f>
        <v/>
      </c>
    </row>
    <row r="635">
      <c r="A635" s="14">
        <f>IF(F635&lt;&gt;"","ISSUE-"&amp;TEXT(ROW()-1,"00000"),"")</f>
        <v/>
      </c>
      <c r="B635" s="14">
        <f>IF(F635&lt;&gt;"","错误","")</f>
        <v/>
      </c>
      <c r="C635" s="14">
        <f>IF('03_地点锚点'!A135&lt;&gt;"","03_地点锚点","")</f>
        <v/>
      </c>
      <c r="D635" s="14">
        <f>IF('03_地点锚点'!A135&lt;&gt;"",'03_地点锚点'!A135,"")</f>
        <v/>
      </c>
      <c r="E635" s="14">
        <f>IF(F635&lt;&gt;"","综合校验","")</f>
        <v/>
      </c>
      <c r="F635" s="14">
        <f>IF('03_地点锚点'!A135&lt;&gt;"",IF('03_地点锚点'!A135="","缺少地点ID；","")&amp;IF('03_地点锚点'!B135="","缺少中文名称；","")&amp;IF('03_地点锚点'!D135="","缺少地点类型；","")&amp;IF('03_地点锚点'!G135="","缺少世界X；","")&amp;IF('03_地点锚点'!H135="","缺少世界Y；","")&amp;IF(AND('03_地点锚点'!G135&lt;&gt;"",OR('03_地点锚点'!G135&lt;0,'03_地点锚点'!G135&gt;WorldWidth)),"世界X越界；","")&amp;IF(AND('03_地点锚点'!H135&lt;&gt;"",OR('03_地点锚点'!H135&lt;0,'03_地点锚点'!H135&gt;WorldHeight)),"世界Y越界；","")&amp;IF(AND('03_地点锚点'!E135&lt;&gt;"",COUNTIF('02_固定地理'!$A$2:$A$501,'03_地点锚点'!E135)=0),"父级行政对象不存在；","")&amp;IF(AND('03_地点锚点'!F135&lt;&gt;"",COUNTIF('03_地点锚点'!$A$2:$A$501,'03_地点锚点'!F135)=0),"父级地点不存在；","")&amp;IF(AND('03_地点锚点'!A135&lt;&gt;"",COUNTIF('03_地点锚点'!$A$2:$A$501,'03_地点锚点'!A135)&gt;1),"ID重复；",""),"")</f>
        <v/>
      </c>
      <c r="G635" s="14">
        <f>IF(F635&lt;&gt;"","按字段批注、数据字典和来源记录修正后复核","")</f>
        <v/>
      </c>
      <c r="H635" s="14">
        <f>IF(F635&lt;&gt;"","待处理","")</f>
        <v/>
      </c>
    </row>
    <row r="636">
      <c r="A636" s="14">
        <f>IF(F636&lt;&gt;"","ISSUE-"&amp;TEXT(ROW()-1,"00000"),"")</f>
        <v/>
      </c>
      <c r="B636" s="14">
        <f>IF(F636&lt;&gt;"","错误","")</f>
        <v/>
      </c>
      <c r="C636" s="14">
        <f>IF('03_地点锚点'!A136&lt;&gt;"","03_地点锚点","")</f>
        <v/>
      </c>
      <c r="D636" s="14">
        <f>IF('03_地点锚点'!A136&lt;&gt;"",'03_地点锚点'!A136,"")</f>
        <v/>
      </c>
      <c r="E636" s="14">
        <f>IF(F636&lt;&gt;"","综合校验","")</f>
        <v/>
      </c>
      <c r="F636" s="14">
        <f>IF('03_地点锚点'!A136&lt;&gt;"",IF('03_地点锚点'!A136="","缺少地点ID；","")&amp;IF('03_地点锚点'!B136="","缺少中文名称；","")&amp;IF('03_地点锚点'!D136="","缺少地点类型；","")&amp;IF('03_地点锚点'!G136="","缺少世界X；","")&amp;IF('03_地点锚点'!H136="","缺少世界Y；","")&amp;IF(AND('03_地点锚点'!G136&lt;&gt;"",OR('03_地点锚点'!G136&lt;0,'03_地点锚点'!G136&gt;WorldWidth)),"世界X越界；","")&amp;IF(AND('03_地点锚点'!H136&lt;&gt;"",OR('03_地点锚点'!H136&lt;0,'03_地点锚点'!H136&gt;WorldHeight)),"世界Y越界；","")&amp;IF(AND('03_地点锚点'!E136&lt;&gt;"",COUNTIF('02_固定地理'!$A$2:$A$501,'03_地点锚点'!E136)=0),"父级行政对象不存在；","")&amp;IF(AND('03_地点锚点'!F136&lt;&gt;"",COUNTIF('03_地点锚点'!$A$2:$A$501,'03_地点锚点'!F136)=0),"父级地点不存在；","")&amp;IF(AND('03_地点锚点'!A136&lt;&gt;"",COUNTIF('03_地点锚点'!$A$2:$A$501,'03_地点锚点'!A136)&gt;1),"ID重复；",""),"")</f>
        <v/>
      </c>
      <c r="G636" s="14">
        <f>IF(F636&lt;&gt;"","按字段批注、数据字典和来源记录修正后复核","")</f>
        <v/>
      </c>
      <c r="H636" s="14">
        <f>IF(F636&lt;&gt;"","待处理","")</f>
        <v/>
      </c>
    </row>
    <row r="637">
      <c r="A637" s="14">
        <f>IF(F637&lt;&gt;"","ISSUE-"&amp;TEXT(ROW()-1,"00000"),"")</f>
        <v/>
      </c>
      <c r="B637" s="14">
        <f>IF(F637&lt;&gt;"","错误","")</f>
        <v/>
      </c>
      <c r="C637" s="14">
        <f>IF('03_地点锚点'!A137&lt;&gt;"","03_地点锚点","")</f>
        <v/>
      </c>
      <c r="D637" s="14">
        <f>IF('03_地点锚点'!A137&lt;&gt;"",'03_地点锚点'!A137,"")</f>
        <v/>
      </c>
      <c r="E637" s="14">
        <f>IF(F637&lt;&gt;"","综合校验","")</f>
        <v/>
      </c>
      <c r="F637" s="14">
        <f>IF('03_地点锚点'!A137&lt;&gt;"",IF('03_地点锚点'!A137="","缺少地点ID；","")&amp;IF('03_地点锚点'!B137="","缺少中文名称；","")&amp;IF('03_地点锚点'!D137="","缺少地点类型；","")&amp;IF('03_地点锚点'!G137="","缺少世界X；","")&amp;IF('03_地点锚点'!H137="","缺少世界Y；","")&amp;IF(AND('03_地点锚点'!G137&lt;&gt;"",OR('03_地点锚点'!G137&lt;0,'03_地点锚点'!G137&gt;WorldWidth)),"世界X越界；","")&amp;IF(AND('03_地点锚点'!H137&lt;&gt;"",OR('03_地点锚点'!H137&lt;0,'03_地点锚点'!H137&gt;WorldHeight)),"世界Y越界；","")&amp;IF(AND('03_地点锚点'!E137&lt;&gt;"",COUNTIF('02_固定地理'!$A$2:$A$501,'03_地点锚点'!E137)=0),"父级行政对象不存在；","")&amp;IF(AND('03_地点锚点'!F137&lt;&gt;"",COUNTIF('03_地点锚点'!$A$2:$A$501,'03_地点锚点'!F137)=0),"父级地点不存在；","")&amp;IF(AND('03_地点锚点'!A137&lt;&gt;"",COUNTIF('03_地点锚点'!$A$2:$A$501,'03_地点锚点'!A137)&gt;1),"ID重复；",""),"")</f>
        <v/>
      </c>
      <c r="G637" s="14">
        <f>IF(F637&lt;&gt;"","按字段批注、数据字典和来源记录修正后复核","")</f>
        <v/>
      </c>
      <c r="H637" s="14">
        <f>IF(F637&lt;&gt;"","待处理","")</f>
        <v/>
      </c>
    </row>
    <row r="638">
      <c r="A638" s="14">
        <f>IF(F638&lt;&gt;"","ISSUE-"&amp;TEXT(ROW()-1,"00000"),"")</f>
        <v/>
      </c>
      <c r="B638" s="14">
        <f>IF(F638&lt;&gt;"","错误","")</f>
        <v/>
      </c>
      <c r="C638" s="14">
        <f>IF('03_地点锚点'!A138&lt;&gt;"","03_地点锚点","")</f>
        <v/>
      </c>
      <c r="D638" s="14">
        <f>IF('03_地点锚点'!A138&lt;&gt;"",'03_地点锚点'!A138,"")</f>
        <v/>
      </c>
      <c r="E638" s="14">
        <f>IF(F638&lt;&gt;"","综合校验","")</f>
        <v/>
      </c>
      <c r="F638" s="14">
        <f>IF('03_地点锚点'!A138&lt;&gt;"",IF('03_地点锚点'!A138="","缺少地点ID；","")&amp;IF('03_地点锚点'!B138="","缺少中文名称；","")&amp;IF('03_地点锚点'!D138="","缺少地点类型；","")&amp;IF('03_地点锚点'!G138="","缺少世界X；","")&amp;IF('03_地点锚点'!H138="","缺少世界Y；","")&amp;IF(AND('03_地点锚点'!G138&lt;&gt;"",OR('03_地点锚点'!G138&lt;0,'03_地点锚点'!G138&gt;WorldWidth)),"世界X越界；","")&amp;IF(AND('03_地点锚点'!H138&lt;&gt;"",OR('03_地点锚点'!H138&lt;0,'03_地点锚点'!H138&gt;WorldHeight)),"世界Y越界；","")&amp;IF(AND('03_地点锚点'!E138&lt;&gt;"",COUNTIF('02_固定地理'!$A$2:$A$501,'03_地点锚点'!E138)=0),"父级行政对象不存在；","")&amp;IF(AND('03_地点锚点'!F138&lt;&gt;"",COUNTIF('03_地点锚点'!$A$2:$A$501,'03_地点锚点'!F138)=0),"父级地点不存在；","")&amp;IF(AND('03_地点锚点'!A138&lt;&gt;"",COUNTIF('03_地点锚点'!$A$2:$A$501,'03_地点锚点'!A138)&gt;1),"ID重复；",""),"")</f>
        <v/>
      </c>
      <c r="G638" s="14">
        <f>IF(F638&lt;&gt;"","按字段批注、数据字典和来源记录修正后复核","")</f>
        <v/>
      </c>
      <c r="H638" s="14">
        <f>IF(F638&lt;&gt;"","待处理","")</f>
        <v/>
      </c>
    </row>
    <row r="639">
      <c r="A639" s="14">
        <f>IF(F639&lt;&gt;"","ISSUE-"&amp;TEXT(ROW()-1,"00000"),"")</f>
        <v/>
      </c>
      <c r="B639" s="14">
        <f>IF(F639&lt;&gt;"","错误","")</f>
        <v/>
      </c>
      <c r="C639" s="14">
        <f>IF('03_地点锚点'!A139&lt;&gt;"","03_地点锚点","")</f>
        <v/>
      </c>
      <c r="D639" s="14">
        <f>IF('03_地点锚点'!A139&lt;&gt;"",'03_地点锚点'!A139,"")</f>
        <v/>
      </c>
      <c r="E639" s="14">
        <f>IF(F639&lt;&gt;"","综合校验","")</f>
        <v/>
      </c>
      <c r="F639" s="14">
        <f>IF('03_地点锚点'!A139&lt;&gt;"",IF('03_地点锚点'!A139="","缺少地点ID；","")&amp;IF('03_地点锚点'!B139="","缺少中文名称；","")&amp;IF('03_地点锚点'!D139="","缺少地点类型；","")&amp;IF('03_地点锚点'!G139="","缺少世界X；","")&amp;IF('03_地点锚点'!H139="","缺少世界Y；","")&amp;IF(AND('03_地点锚点'!G139&lt;&gt;"",OR('03_地点锚点'!G139&lt;0,'03_地点锚点'!G139&gt;WorldWidth)),"世界X越界；","")&amp;IF(AND('03_地点锚点'!H139&lt;&gt;"",OR('03_地点锚点'!H139&lt;0,'03_地点锚点'!H139&gt;WorldHeight)),"世界Y越界；","")&amp;IF(AND('03_地点锚点'!E139&lt;&gt;"",COUNTIF('02_固定地理'!$A$2:$A$501,'03_地点锚点'!E139)=0),"父级行政对象不存在；","")&amp;IF(AND('03_地点锚点'!F139&lt;&gt;"",COUNTIF('03_地点锚点'!$A$2:$A$501,'03_地点锚点'!F139)=0),"父级地点不存在；","")&amp;IF(AND('03_地点锚点'!A139&lt;&gt;"",COUNTIF('03_地点锚点'!$A$2:$A$501,'03_地点锚点'!A139)&gt;1),"ID重复；",""),"")</f>
        <v/>
      </c>
      <c r="G639" s="14">
        <f>IF(F639&lt;&gt;"","按字段批注、数据字典和来源记录修正后复核","")</f>
        <v/>
      </c>
      <c r="H639" s="14">
        <f>IF(F639&lt;&gt;"","待处理","")</f>
        <v/>
      </c>
    </row>
    <row r="640">
      <c r="A640" s="14">
        <f>IF(F640&lt;&gt;"","ISSUE-"&amp;TEXT(ROW()-1,"00000"),"")</f>
        <v/>
      </c>
      <c r="B640" s="14">
        <f>IF(F640&lt;&gt;"","错误","")</f>
        <v/>
      </c>
      <c r="C640" s="14">
        <f>IF('03_地点锚点'!A140&lt;&gt;"","03_地点锚点","")</f>
        <v/>
      </c>
      <c r="D640" s="14">
        <f>IF('03_地点锚点'!A140&lt;&gt;"",'03_地点锚点'!A140,"")</f>
        <v/>
      </c>
      <c r="E640" s="14">
        <f>IF(F640&lt;&gt;"","综合校验","")</f>
        <v/>
      </c>
      <c r="F640" s="14">
        <f>IF('03_地点锚点'!A140&lt;&gt;"",IF('03_地点锚点'!A140="","缺少地点ID；","")&amp;IF('03_地点锚点'!B140="","缺少中文名称；","")&amp;IF('03_地点锚点'!D140="","缺少地点类型；","")&amp;IF('03_地点锚点'!G140="","缺少世界X；","")&amp;IF('03_地点锚点'!H140="","缺少世界Y；","")&amp;IF(AND('03_地点锚点'!G140&lt;&gt;"",OR('03_地点锚点'!G140&lt;0,'03_地点锚点'!G140&gt;WorldWidth)),"世界X越界；","")&amp;IF(AND('03_地点锚点'!H140&lt;&gt;"",OR('03_地点锚点'!H140&lt;0,'03_地点锚点'!H140&gt;WorldHeight)),"世界Y越界；","")&amp;IF(AND('03_地点锚点'!E140&lt;&gt;"",COUNTIF('02_固定地理'!$A$2:$A$501,'03_地点锚点'!E140)=0),"父级行政对象不存在；","")&amp;IF(AND('03_地点锚点'!F140&lt;&gt;"",COUNTIF('03_地点锚点'!$A$2:$A$501,'03_地点锚点'!F140)=0),"父级地点不存在；","")&amp;IF(AND('03_地点锚点'!A140&lt;&gt;"",COUNTIF('03_地点锚点'!$A$2:$A$501,'03_地点锚点'!A140)&gt;1),"ID重复；",""),"")</f>
        <v/>
      </c>
      <c r="G640" s="14">
        <f>IF(F640&lt;&gt;"","按字段批注、数据字典和来源记录修正后复核","")</f>
        <v/>
      </c>
      <c r="H640" s="14">
        <f>IF(F640&lt;&gt;"","待处理","")</f>
        <v/>
      </c>
    </row>
    <row r="641">
      <c r="A641" s="14">
        <f>IF(F641&lt;&gt;"","ISSUE-"&amp;TEXT(ROW()-1,"00000"),"")</f>
        <v/>
      </c>
      <c r="B641" s="14">
        <f>IF(F641&lt;&gt;"","错误","")</f>
        <v/>
      </c>
      <c r="C641" s="14">
        <f>IF('03_地点锚点'!A141&lt;&gt;"","03_地点锚点","")</f>
        <v/>
      </c>
      <c r="D641" s="14">
        <f>IF('03_地点锚点'!A141&lt;&gt;"",'03_地点锚点'!A141,"")</f>
        <v/>
      </c>
      <c r="E641" s="14">
        <f>IF(F641&lt;&gt;"","综合校验","")</f>
        <v/>
      </c>
      <c r="F641" s="14">
        <f>IF('03_地点锚点'!A141&lt;&gt;"",IF('03_地点锚点'!A141="","缺少地点ID；","")&amp;IF('03_地点锚点'!B141="","缺少中文名称；","")&amp;IF('03_地点锚点'!D141="","缺少地点类型；","")&amp;IF('03_地点锚点'!G141="","缺少世界X；","")&amp;IF('03_地点锚点'!H141="","缺少世界Y；","")&amp;IF(AND('03_地点锚点'!G141&lt;&gt;"",OR('03_地点锚点'!G141&lt;0,'03_地点锚点'!G141&gt;WorldWidth)),"世界X越界；","")&amp;IF(AND('03_地点锚点'!H141&lt;&gt;"",OR('03_地点锚点'!H141&lt;0,'03_地点锚点'!H141&gt;WorldHeight)),"世界Y越界；","")&amp;IF(AND('03_地点锚点'!E141&lt;&gt;"",COUNTIF('02_固定地理'!$A$2:$A$501,'03_地点锚点'!E141)=0),"父级行政对象不存在；","")&amp;IF(AND('03_地点锚点'!F141&lt;&gt;"",COUNTIF('03_地点锚点'!$A$2:$A$501,'03_地点锚点'!F141)=0),"父级地点不存在；","")&amp;IF(AND('03_地点锚点'!A141&lt;&gt;"",COUNTIF('03_地点锚点'!$A$2:$A$501,'03_地点锚点'!A141)&gt;1),"ID重复；",""),"")</f>
        <v/>
      </c>
      <c r="G641" s="14">
        <f>IF(F641&lt;&gt;"","按字段批注、数据字典和来源记录修正后复核","")</f>
        <v/>
      </c>
      <c r="H641" s="14">
        <f>IF(F641&lt;&gt;"","待处理","")</f>
        <v/>
      </c>
    </row>
    <row r="642">
      <c r="A642" s="14">
        <f>IF(F642&lt;&gt;"","ISSUE-"&amp;TEXT(ROW()-1,"00000"),"")</f>
        <v/>
      </c>
      <c r="B642" s="14">
        <f>IF(F642&lt;&gt;"","错误","")</f>
        <v/>
      </c>
      <c r="C642" s="14">
        <f>IF('03_地点锚点'!A142&lt;&gt;"","03_地点锚点","")</f>
        <v/>
      </c>
      <c r="D642" s="14">
        <f>IF('03_地点锚点'!A142&lt;&gt;"",'03_地点锚点'!A142,"")</f>
        <v/>
      </c>
      <c r="E642" s="14">
        <f>IF(F642&lt;&gt;"","综合校验","")</f>
        <v/>
      </c>
      <c r="F642" s="14">
        <f>IF('03_地点锚点'!A142&lt;&gt;"",IF('03_地点锚点'!A142="","缺少地点ID；","")&amp;IF('03_地点锚点'!B142="","缺少中文名称；","")&amp;IF('03_地点锚点'!D142="","缺少地点类型；","")&amp;IF('03_地点锚点'!G142="","缺少世界X；","")&amp;IF('03_地点锚点'!H142="","缺少世界Y；","")&amp;IF(AND('03_地点锚点'!G142&lt;&gt;"",OR('03_地点锚点'!G142&lt;0,'03_地点锚点'!G142&gt;WorldWidth)),"世界X越界；","")&amp;IF(AND('03_地点锚点'!H142&lt;&gt;"",OR('03_地点锚点'!H142&lt;0,'03_地点锚点'!H142&gt;WorldHeight)),"世界Y越界；","")&amp;IF(AND('03_地点锚点'!E142&lt;&gt;"",COUNTIF('02_固定地理'!$A$2:$A$501,'03_地点锚点'!E142)=0),"父级行政对象不存在；","")&amp;IF(AND('03_地点锚点'!F142&lt;&gt;"",COUNTIF('03_地点锚点'!$A$2:$A$501,'03_地点锚点'!F142)=0),"父级地点不存在；","")&amp;IF(AND('03_地点锚点'!A142&lt;&gt;"",COUNTIF('03_地点锚点'!$A$2:$A$501,'03_地点锚点'!A142)&gt;1),"ID重复；",""),"")</f>
        <v/>
      </c>
      <c r="G642" s="14">
        <f>IF(F642&lt;&gt;"","按字段批注、数据字典和来源记录修正后复核","")</f>
        <v/>
      </c>
      <c r="H642" s="14">
        <f>IF(F642&lt;&gt;"","待处理","")</f>
        <v/>
      </c>
    </row>
    <row r="643">
      <c r="A643" s="14">
        <f>IF(F643&lt;&gt;"","ISSUE-"&amp;TEXT(ROW()-1,"00000"),"")</f>
        <v/>
      </c>
      <c r="B643" s="14">
        <f>IF(F643&lt;&gt;"","错误","")</f>
        <v/>
      </c>
      <c r="C643" s="14">
        <f>IF('03_地点锚点'!A143&lt;&gt;"","03_地点锚点","")</f>
        <v/>
      </c>
      <c r="D643" s="14">
        <f>IF('03_地点锚点'!A143&lt;&gt;"",'03_地点锚点'!A143,"")</f>
        <v/>
      </c>
      <c r="E643" s="14">
        <f>IF(F643&lt;&gt;"","综合校验","")</f>
        <v/>
      </c>
      <c r="F643" s="14">
        <f>IF('03_地点锚点'!A143&lt;&gt;"",IF('03_地点锚点'!A143="","缺少地点ID；","")&amp;IF('03_地点锚点'!B143="","缺少中文名称；","")&amp;IF('03_地点锚点'!D143="","缺少地点类型；","")&amp;IF('03_地点锚点'!G143="","缺少世界X；","")&amp;IF('03_地点锚点'!H143="","缺少世界Y；","")&amp;IF(AND('03_地点锚点'!G143&lt;&gt;"",OR('03_地点锚点'!G143&lt;0,'03_地点锚点'!G143&gt;WorldWidth)),"世界X越界；","")&amp;IF(AND('03_地点锚点'!H143&lt;&gt;"",OR('03_地点锚点'!H143&lt;0,'03_地点锚点'!H143&gt;WorldHeight)),"世界Y越界；","")&amp;IF(AND('03_地点锚点'!E143&lt;&gt;"",COUNTIF('02_固定地理'!$A$2:$A$501,'03_地点锚点'!E143)=0),"父级行政对象不存在；","")&amp;IF(AND('03_地点锚点'!F143&lt;&gt;"",COUNTIF('03_地点锚点'!$A$2:$A$501,'03_地点锚点'!F143)=0),"父级地点不存在；","")&amp;IF(AND('03_地点锚点'!A143&lt;&gt;"",COUNTIF('03_地点锚点'!$A$2:$A$501,'03_地点锚点'!A143)&gt;1),"ID重复；",""),"")</f>
        <v/>
      </c>
      <c r="G643" s="14">
        <f>IF(F643&lt;&gt;"","按字段批注、数据字典和来源记录修正后复核","")</f>
        <v/>
      </c>
      <c r="H643" s="14">
        <f>IF(F643&lt;&gt;"","待处理","")</f>
        <v/>
      </c>
    </row>
    <row r="644">
      <c r="A644" s="14">
        <f>IF(F644&lt;&gt;"","ISSUE-"&amp;TEXT(ROW()-1,"00000"),"")</f>
        <v/>
      </c>
      <c r="B644" s="14">
        <f>IF(F644&lt;&gt;"","错误","")</f>
        <v/>
      </c>
      <c r="C644" s="14">
        <f>IF('03_地点锚点'!A144&lt;&gt;"","03_地点锚点","")</f>
        <v/>
      </c>
      <c r="D644" s="14">
        <f>IF('03_地点锚点'!A144&lt;&gt;"",'03_地点锚点'!A144,"")</f>
        <v/>
      </c>
      <c r="E644" s="14">
        <f>IF(F644&lt;&gt;"","综合校验","")</f>
        <v/>
      </c>
      <c r="F644" s="14">
        <f>IF('03_地点锚点'!A144&lt;&gt;"",IF('03_地点锚点'!A144="","缺少地点ID；","")&amp;IF('03_地点锚点'!B144="","缺少中文名称；","")&amp;IF('03_地点锚点'!D144="","缺少地点类型；","")&amp;IF('03_地点锚点'!G144="","缺少世界X；","")&amp;IF('03_地点锚点'!H144="","缺少世界Y；","")&amp;IF(AND('03_地点锚点'!G144&lt;&gt;"",OR('03_地点锚点'!G144&lt;0,'03_地点锚点'!G144&gt;WorldWidth)),"世界X越界；","")&amp;IF(AND('03_地点锚点'!H144&lt;&gt;"",OR('03_地点锚点'!H144&lt;0,'03_地点锚点'!H144&gt;WorldHeight)),"世界Y越界；","")&amp;IF(AND('03_地点锚点'!E144&lt;&gt;"",COUNTIF('02_固定地理'!$A$2:$A$501,'03_地点锚点'!E144)=0),"父级行政对象不存在；","")&amp;IF(AND('03_地点锚点'!F144&lt;&gt;"",COUNTIF('03_地点锚点'!$A$2:$A$501,'03_地点锚点'!F144)=0),"父级地点不存在；","")&amp;IF(AND('03_地点锚点'!A144&lt;&gt;"",COUNTIF('03_地点锚点'!$A$2:$A$501,'03_地点锚点'!A144)&gt;1),"ID重复；",""),"")</f>
        <v/>
      </c>
      <c r="G644" s="14">
        <f>IF(F644&lt;&gt;"","按字段批注、数据字典和来源记录修正后复核","")</f>
        <v/>
      </c>
      <c r="H644" s="14">
        <f>IF(F644&lt;&gt;"","待处理","")</f>
        <v/>
      </c>
    </row>
    <row r="645">
      <c r="A645" s="14">
        <f>IF(F645&lt;&gt;"","ISSUE-"&amp;TEXT(ROW()-1,"00000"),"")</f>
        <v/>
      </c>
      <c r="B645" s="14">
        <f>IF(F645&lt;&gt;"","错误","")</f>
        <v/>
      </c>
      <c r="C645" s="14">
        <f>IF('03_地点锚点'!A145&lt;&gt;"","03_地点锚点","")</f>
        <v/>
      </c>
      <c r="D645" s="14">
        <f>IF('03_地点锚点'!A145&lt;&gt;"",'03_地点锚点'!A145,"")</f>
        <v/>
      </c>
      <c r="E645" s="14">
        <f>IF(F645&lt;&gt;"","综合校验","")</f>
        <v/>
      </c>
      <c r="F645" s="14">
        <f>IF('03_地点锚点'!A145&lt;&gt;"",IF('03_地点锚点'!A145="","缺少地点ID；","")&amp;IF('03_地点锚点'!B145="","缺少中文名称；","")&amp;IF('03_地点锚点'!D145="","缺少地点类型；","")&amp;IF('03_地点锚点'!G145="","缺少世界X；","")&amp;IF('03_地点锚点'!H145="","缺少世界Y；","")&amp;IF(AND('03_地点锚点'!G145&lt;&gt;"",OR('03_地点锚点'!G145&lt;0,'03_地点锚点'!G145&gt;WorldWidth)),"世界X越界；","")&amp;IF(AND('03_地点锚点'!H145&lt;&gt;"",OR('03_地点锚点'!H145&lt;0,'03_地点锚点'!H145&gt;WorldHeight)),"世界Y越界；","")&amp;IF(AND('03_地点锚点'!E145&lt;&gt;"",COUNTIF('02_固定地理'!$A$2:$A$501,'03_地点锚点'!E145)=0),"父级行政对象不存在；","")&amp;IF(AND('03_地点锚点'!F145&lt;&gt;"",COUNTIF('03_地点锚点'!$A$2:$A$501,'03_地点锚点'!F145)=0),"父级地点不存在；","")&amp;IF(AND('03_地点锚点'!A145&lt;&gt;"",COUNTIF('03_地点锚点'!$A$2:$A$501,'03_地点锚点'!A145)&gt;1),"ID重复；",""),"")</f>
        <v/>
      </c>
      <c r="G645" s="14">
        <f>IF(F645&lt;&gt;"","按字段批注、数据字典和来源记录修正后复核","")</f>
        <v/>
      </c>
      <c r="H645" s="14">
        <f>IF(F645&lt;&gt;"","待处理","")</f>
        <v/>
      </c>
    </row>
    <row r="646">
      <c r="A646" s="14">
        <f>IF(F646&lt;&gt;"","ISSUE-"&amp;TEXT(ROW()-1,"00000"),"")</f>
        <v/>
      </c>
      <c r="B646" s="14">
        <f>IF(F646&lt;&gt;"","错误","")</f>
        <v/>
      </c>
      <c r="C646" s="14">
        <f>IF('03_地点锚点'!A146&lt;&gt;"","03_地点锚点","")</f>
        <v/>
      </c>
      <c r="D646" s="14">
        <f>IF('03_地点锚点'!A146&lt;&gt;"",'03_地点锚点'!A146,"")</f>
        <v/>
      </c>
      <c r="E646" s="14">
        <f>IF(F646&lt;&gt;"","综合校验","")</f>
        <v/>
      </c>
      <c r="F646" s="14">
        <f>IF('03_地点锚点'!A146&lt;&gt;"",IF('03_地点锚点'!A146="","缺少地点ID；","")&amp;IF('03_地点锚点'!B146="","缺少中文名称；","")&amp;IF('03_地点锚点'!D146="","缺少地点类型；","")&amp;IF('03_地点锚点'!G146="","缺少世界X；","")&amp;IF('03_地点锚点'!H146="","缺少世界Y；","")&amp;IF(AND('03_地点锚点'!G146&lt;&gt;"",OR('03_地点锚点'!G146&lt;0,'03_地点锚点'!G146&gt;WorldWidth)),"世界X越界；","")&amp;IF(AND('03_地点锚点'!H146&lt;&gt;"",OR('03_地点锚点'!H146&lt;0,'03_地点锚点'!H146&gt;WorldHeight)),"世界Y越界；","")&amp;IF(AND('03_地点锚点'!E146&lt;&gt;"",COUNTIF('02_固定地理'!$A$2:$A$501,'03_地点锚点'!E146)=0),"父级行政对象不存在；","")&amp;IF(AND('03_地点锚点'!F146&lt;&gt;"",COUNTIF('03_地点锚点'!$A$2:$A$501,'03_地点锚点'!F146)=0),"父级地点不存在；","")&amp;IF(AND('03_地点锚点'!A146&lt;&gt;"",COUNTIF('03_地点锚点'!$A$2:$A$501,'03_地点锚点'!A146)&gt;1),"ID重复；",""),"")</f>
        <v/>
      </c>
      <c r="G646" s="14">
        <f>IF(F646&lt;&gt;"","按字段批注、数据字典和来源记录修正后复核","")</f>
        <v/>
      </c>
      <c r="H646" s="14">
        <f>IF(F646&lt;&gt;"","待处理","")</f>
        <v/>
      </c>
    </row>
    <row r="647">
      <c r="A647" s="14">
        <f>IF(F647&lt;&gt;"","ISSUE-"&amp;TEXT(ROW()-1,"00000"),"")</f>
        <v/>
      </c>
      <c r="B647" s="14">
        <f>IF(F647&lt;&gt;"","错误","")</f>
        <v/>
      </c>
      <c r="C647" s="14">
        <f>IF('03_地点锚点'!A147&lt;&gt;"","03_地点锚点","")</f>
        <v/>
      </c>
      <c r="D647" s="14">
        <f>IF('03_地点锚点'!A147&lt;&gt;"",'03_地点锚点'!A147,"")</f>
        <v/>
      </c>
      <c r="E647" s="14">
        <f>IF(F647&lt;&gt;"","综合校验","")</f>
        <v/>
      </c>
      <c r="F647" s="14">
        <f>IF('03_地点锚点'!A147&lt;&gt;"",IF('03_地点锚点'!A147="","缺少地点ID；","")&amp;IF('03_地点锚点'!B147="","缺少中文名称；","")&amp;IF('03_地点锚点'!D147="","缺少地点类型；","")&amp;IF('03_地点锚点'!G147="","缺少世界X；","")&amp;IF('03_地点锚点'!H147="","缺少世界Y；","")&amp;IF(AND('03_地点锚点'!G147&lt;&gt;"",OR('03_地点锚点'!G147&lt;0,'03_地点锚点'!G147&gt;WorldWidth)),"世界X越界；","")&amp;IF(AND('03_地点锚点'!H147&lt;&gt;"",OR('03_地点锚点'!H147&lt;0,'03_地点锚点'!H147&gt;WorldHeight)),"世界Y越界；","")&amp;IF(AND('03_地点锚点'!E147&lt;&gt;"",COUNTIF('02_固定地理'!$A$2:$A$501,'03_地点锚点'!E147)=0),"父级行政对象不存在；","")&amp;IF(AND('03_地点锚点'!F147&lt;&gt;"",COUNTIF('03_地点锚点'!$A$2:$A$501,'03_地点锚点'!F147)=0),"父级地点不存在；","")&amp;IF(AND('03_地点锚点'!A147&lt;&gt;"",COUNTIF('03_地点锚点'!$A$2:$A$501,'03_地点锚点'!A147)&gt;1),"ID重复；",""),"")</f>
        <v/>
      </c>
      <c r="G647" s="14">
        <f>IF(F647&lt;&gt;"","按字段批注、数据字典和来源记录修正后复核","")</f>
        <v/>
      </c>
      <c r="H647" s="14">
        <f>IF(F647&lt;&gt;"","待处理","")</f>
        <v/>
      </c>
    </row>
    <row r="648">
      <c r="A648" s="14">
        <f>IF(F648&lt;&gt;"","ISSUE-"&amp;TEXT(ROW()-1,"00000"),"")</f>
        <v/>
      </c>
      <c r="B648" s="14">
        <f>IF(F648&lt;&gt;"","错误","")</f>
        <v/>
      </c>
      <c r="C648" s="14">
        <f>IF('03_地点锚点'!A148&lt;&gt;"","03_地点锚点","")</f>
        <v/>
      </c>
      <c r="D648" s="14">
        <f>IF('03_地点锚点'!A148&lt;&gt;"",'03_地点锚点'!A148,"")</f>
        <v/>
      </c>
      <c r="E648" s="14">
        <f>IF(F648&lt;&gt;"","综合校验","")</f>
        <v/>
      </c>
      <c r="F648" s="14">
        <f>IF('03_地点锚点'!A148&lt;&gt;"",IF('03_地点锚点'!A148="","缺少地点ID；","")&amp;IF('03_地点锚点'!B148="","缺少中文名称；","")&amp;IF('03_地点锚点'!D148="","缺少地点类型；","")&amp;IF('03_地点锚点'!G148="","缺少世界X；","")&amp;IF('03_地点锚点'!H148="","缺少世界Y；","")&amp;IF(AND('03_地点锚点'!G148&lt;&gt;"",OR('03_地点锚点'!G148&lt;0,'03_地点锚点'!G148&gt;WorldWidth)),"世界X越界；","")&amp;IF(AND('03_地点锚点'!H148&lt;&gt;"",OR('03_地点锚点'!H148&lt;0,'03_地点锚点'!H148&gt;WorldHeight)),"世界Y越界；","")&amp;IF(AND('03_地点锚点'!E148&lt;&gt;"",COUNTIF('02_固定地理'!$A$2:$A$501,'03_地点锚点'!E148)=0),"父级行政对象不存在；","")&amp;IF(AND('03_地点锚点'!F148&lt;&gt;"",COUNTIF('03_地点锚点'!$A$2:$A$501,'03_地点锚点'!F148)=0),"父级地点不存在；","")&amp;IF(AND('03_地点锚点'!A148&lt;&gt;"",COUNTIF('03_地点锚点'!$A$2:$A$501,'03_地点锚点'!A148)&gt;1),"ID重复；",""),"")</f>
        <v/>
      </c>
      <c r="G648" s="14">
        <f>IF(F648&lt;&gt;"","按字段批注、数据字典和来源记录修正后复核","")</f>
        <v/>
      </c>
      <c r="H648" s="14">
        <f>IF(F648&lt;&gt;"","待处理","")</f>
        <v/>
      </c>
    </row>
    <row r="649">
      <c r="A649" s="14">
        <f>IF(F649&lt;&gt;"","ISSUE-"&amp;TEXT(ROW()-1,"00000"),"")</f>
        <v/>
      </c>
      <c r="B649" s="14">
        <f>IF(F649&lt;&gt;"","错误","")</f>
        <v/>
      </c>
      <c r="C649" s="14">
        <f>IF('03_地点锚点'!A149&lt;&gt;"","03_地点锚点","")</f>
        <v/>
      </c>
      <c r="D649" s="14">
        <f>IF('03_地点锚点'!A149&lt;&gt;"",'03_地点锚点'!A149,"")</f>
        <v/>
      </c>
      <c r="E649" s="14">
        <f>IF(F649&lt;&gt;"","综合校验","")</f>
        <v/>
      </c>
      <c r="F649" s="14">
        <f>IF('03_地点锚点'!A149&lt;&gt;"",IF('03_地点锚点'!A149="","缺少地点ID；","")&amp;IF('03_地点锚点'!B149="","缺少中文名称；","")&amp;IF('03_地点锚点'!D149="","缺少地点类型；","")&amp;IF('03_地点锚点'!G149="","缺少世界X；","")&amp;IF('03_地点锚点'!H149="","缺少世界Y；","")&amp;IF(AND('03_地点锚点'!G149&lt;&gt;"",OR('03_地点锚点'!G149&lt;0,'03_地点锚点'!G149&gt;WorldWidth)),"世界X越界；","")&amp;IF(AND('03_地点锚点'!H149&lt;&gt;"",OR('03_地点锚点'!H149&lt;0,'03_地点锚点'!H149&gt;WorldHeight)),"世界Y越界；","")&amp;IF(AND('03_地点锚点'!E149&lt;&gt;"",COUNTIF('02_固定地理'!$A$2:$A$501,'03_地点锚点'!E149)=0),"父级行政对象不存在；","")&amp;IF(AND('03_地点锚点'!F149&lt;&gt;"",COUNTIF('03_地点锚点'!$A$2:$A$501,'03_地点锚点'!F149)=0),"父级地点不存在；","")&amp;IF(AND('03_地点锚点'!A149&lt;&gt;"",COUNTIF('03_地点锚点'!$A$2:$A$501,'03_地点锚点'!A149)&gt;1),"ID重复；",""),"")</f>
        <v/>
      </c>
      <c r="G649" s="14">
        <f>IF(F649&lt;&gt;"","按字段批注、数据字典和来源记录修正后复核","")</f>
        <v/>
      </c>
      <c r="H649" s="14">
        <f>IF(F649&lt;&gt;"","待处理","")</f>
        <v/>
      </c>
    </row>
    <row r="650">
      <c r="A650" s="14">
        <f>IF(F650&lt;&gt;"","ISSUE-"&amp;TEXT(ROW()-1,"00000"),"")</f>
        <v/>
      </c>
      <c r="B650" s="14">
        <f>IF(F650&lt;&gt;"","错误","")</f>
        <v/>
      </c>
      <c r="C650" s="14">
        <f>IF('03_地点锚点'!A150&lt;&gt;"","03_地点锚点","")</f>
        <v/>
      </c>
      <c r="D650" s="14">
        <f>IF('03_地点锚点'!A150&lt;&gt;"",'03_地点锚点'!A150,"")</f>
        <v/>
      </c>
      <c r="E650" s="14">
        <f>IF(F650&lt;&gt;"","综合校验","")</f>
        <v/>
      </c>
      <c r="F650" s="14">
        <f>IF('03_地点锚点'!A150&lt;&gt;"",IF('03_地点锚点'!A150="","缺少地点ID；","")&amp;IF('03_地点锚点'!B150="","缺少中文名称；","")&amp;IF('03_地点锚点'!D150="","缺少地点类型；","")&amp;IF('03_地点锚点'!G150="","缺少世界X；","")&amp;IF('03_地点锚点'!H150="","缺少世界Y；","")&amp;IF(AND('03_地点锚点'!G150&lt;&gt;"",OR('03_地点锚点'!G150&lt;0,'03_地点锚点'!G150&gt;WorldWidth)),"世界X越界；","")&amp;IF(AND('03_地点锚点'!H150&lt;&gt;"",OR('03_地点锚点'!H150&lt;0,'03_地点锚点'!H150&gt;WorldHeight)),"世界Y越界；","")&amp;IF(AND('03_地点锚点'!E150&lt;&gt;"",COUNTIF('02_固定地理'!$A$2:$A$501,'03_地点锚点'!E150)=0),"父级行政对象不存在；","")&amp;IF(AND('03_地点锚点'!F150&lt;&gt;"",COUNTIF('03_地点锚点'!$A$2:$A$501,'03_地点锚点'!F150)=0),"父级地点不存在；","")&amp;IF(AND('03_地点锚点'!A150&lt;&gt;"",COUNTIF('03_地点锚点'!$A$2:$A$501,'03_地点锚点'!A150)&gt;1),"ID重复；",""),"")</f>
        <v/>
      </c>
      <c r="G650" s="14">
        <f>IF(F650&lt;&gt;"","按字段批注、数据字典和来源记录修正后复核","")</f>
        <v/>
      </c>
      <c r="H650" s="14">
        <f>IF(F650&lt;&gt;"","待处理","")</f>
        <v/>
      </c>
    </row>
    <row r="651">
      <c r="A651" s="14">
        <f>IF(F651&lt;&gt;"","ISSUE-"&amp;TEXT(ROW()-1,"00000"),"")</f>
        <v/>
      </c>
      <c r="B651" s="14">
        <f>IF(F651&lt;&gt;"","错误","")</f>
        <v/>
      </c>
      <c r="C651" s="14">
        <f>IF('03_地点锚点'!A151&lt;&gt;"","03_地点锚点","")</f>
        <v/>
      </c>
      <c r="D651" s="14">
        <f>IF('03_地点锚点'!A151&lt;&gt;"",'03_地点锚点'!A151,"")</f>
        <v/>
      </c>
      <c r="E651" s="14">
        <f>IF(F651&lt;&gt;"","综合校验","")</f>
        <v/>
      </c>
      <c r="F651" s="14">
        <f>IF('03_地点锚点'!A151&lt;&gt;"",IF('03_地点锚点'!A151="","缺少地点ID；","")&amp;IF('03_地点锚点'!B151="","缺少中文名称；","")&amp;IF('03_地点锚点'!D151="","缺少地点类型；","")&amp;IF('03_地点锚点'!G151="","缺少世界X；","")&amp;IF('03_地点锚点'!H151="","缺少世界Y；","")&amp;IF(AND('03_地点锚点'!G151&lt;&gt;"",OR('03_地点锚点'!G151&lt;0,'03_地点锚点'!G151&gt;WorldWidth)),"世界X越界；","")&amp;IF(AND('03_地点锚点'!H151&lt;&gt;"",OR('03_地点锚点'!H151&lt;0,'03_地点锚点'!H151&gt;WorldHeight)),"世界Y越界；","")&amp;IF(AND('03_地点锚点'!E151&lt;&gt;"",COUNTIF('02_固定地理'!$A$2:$A$501,'03_地点锚点'!E151)=0),"父级行政对象不存在；","")&amp;IF(AND('03_地点锚点'!F151&lt;&gt;"",COUNTIF('03_地点锚点'!$A$2:$A$501,'03_地点锚点'!F151)=0),"父级地点不存在；","")&amp;IF(AND('03_地点锚点'!A151&lt;&gt;"",COUNTIF('03_地点锚点'!$A$2:$A$501,'03_地点锚点'!A151)&gt;1),"ID重复；",""),"")</f>
        <v/>
      </c>
      <c r="G651" s="14">
        <f>IF(F651&lt;&gt;"","按字段批注、数据字典和来源记录修正后复核","")</f>
        <v/>
      </c>
      <c r="H651" s="14">
        <f>IF(F651&lt;&gt;"","待处理","")</f>
        <v/>
      </c>
    </row>
    <row r="652">
      <c r="A652" s="14">
        <f>IF(F652&lt;&gt;"","ISSUE-"&amp;TEXT(ROW()-1,"00000"),"")</f>
        <v/>
      </c>
      <c r="B652" s="14">
        <f>IF(F652&lt;&gt;"","错误","")</f>
        <v/>
      </c>
      <c r="C652" s="14">
        <f>IF('03_地点锚点'!A152&lt;&gt;"","03_地点锚点","")</f>
        <v/>
      </c>
      <c r="D652" s="14">
        <f>IF('03_地点锚点'!A152&lt;&gt;"",'03_地点锚点'!A152,"")</f>
        <v/>
      </c>
      <c r="E652" s="14">
        <f>IF(F652&lt;&gt;"","综合校验","")</f>
        <v/>
      </c>
      <c r="F652" s="14">
        <f>IF('03_地点锚点'!A152&lt;&gt;"",IF('03_地点锚点'!A152="","缺少地点ID；","")&amp;IF('03_地点锚点'!B152="","缺少中文名称；","")&amp;IF('03_地点锚点'!D152="","缺少地点类型；","")&amp;IF('03_地点锚点'!G152="","缺少世界X；","")&amp;IF('03_地点锚点'!H152="","缺少世界Y；","")&amp;IF(AND('03_地点锚点'!G152&lt;&gt;"",OR('03_地点锚点'!G152&lt;0,'03_地点锚点'!G152&gt;WorldWidth)),"世界X越界；","")&amp;IF(AND('03_地点锚点'!H152&lt;&gt;"",OR('03_地点锚点'!H152&lt;0,'03_地点锚点'!H152&gt;WorldHeight)),"世界Y越界；","")&amp;IF(AND('03_地点锚点'!E152&lt;&gt;"",COUNTIF('02_固定地理'!$A$2:$A$501,'03_地点锚点'!E152)=0),"父级行政对象不存在；","")&amp;IF(AND('03_地点锚点'!F152&lt;&gt;"",COUNTIF('03_地点锚点'!$A$2:$A$501,'03_地点锚点'!F152)=0),"父级地点不存在；","")&amp;IF(AND('03_地点锚点'!A152&lt;&gt;"",COUNTIF('03_地点锚点'!$A$2:$A$501,'03_地点锚点'!A152)&gt;1),"ID重复；",""),"")</f>
        <v/>
      </c>
      <c r="G652" s="14">
        <f>IF(F652&lt;&gt;"","按字段批注、数据字典和来源记录修正后复核","")</f>
        <v/>
      </c>
      <c r="H652" s="14">
        <f>IF(F652&lt;&gt;"","待处理","")</f>
        <v/>
      </c>
    </row>
    <row r="653">
      <c r="A653" s="14">
        <f>IF(F653&lt;&gt;"","ISSUE-"&amp;TEXT(ROW()-1,"00000"),"")</f>
        <v/>
      </c>
      <c r="B653" s="14">
        <f>IF(F653&lt;&gt;"","错误","")</f>
        <v/>
      </c>
      <c r="C653" s="14">
        <f>IF('03_地点锚点'!A153&lt;&gt;"","03_地点锚点","")</f>
        <v/>
      </c>
      <c r="D653" s="14">
        <f>IF('03_地点锚点'!A153&lt;&gt;"",'03_地点锚点'!A153,"")</f>
        <v/>
      </c>
      <c r="E653" s="14">
        <f>IF(F653&lt;&gt;"","综合校验","")</f>
        <v/>
      </c>
      <c r="F653" s="14">
        <f>IF('03_地点锚点'!A153&lt;&gt;"",IF('03_地点锚点'!A153="","缺少地点ID；","")&amp;IF('03_地点锚点'!B153="","缺少中文名称；","")&amp;IF('03_地点锚点'!D153="","缺少地点类型；","")&amp;IF('03_地点锚点'!G153="","缺少世界X；","")&amp;IF('03_地点锚点'!H153="","缺少世界Y；","")&amp;IF(AND('03_地点锚点'!G153&lt;&gt;"",OR('03_地点锚点'!G153&lt;0,'03_地点锚点'!G153&gt;WorldWidth)),"世界X越界；","")&amp;IF(AND('03_地点锚点'!H153&lt;&gt;"",OR('03_地点锚点'!H153&lt;0,'03_地点锚点'!H153&gt;WorldHeight)),"世界Y越界；","")&amp;IF(AND('03_地点锚点'!E153&lt;&gt;"",COUNTIF('02_固定地理'!$A$2:$A$501,'03_地点锚点'!E153)=0),"父级行政对象不存在；","")&amp;IF(AND('03_地点锚点'!F153&lt;&gt;"",COUNTIF('03_地点锚点'!$A$2:$A$501,'03_地点锚点'!F153)=0),"父级地点不存在；","")&amp;IF(AND('03_地点锚点'!A153&lt;&gt;"",COUNTIF('03_地点锚点'!$A$2:$A$501,'03_地点锚点'!A153)&gt;1),"ID重复；",""),"")</f>
        <v/>
      </c>
      <c r="G653" s="14">
        <f>IF(F653&lt;&gt;"","按字段批注、数据字典和来源记录修正后复核","")</f>
        <v/>
      </c>
      <c r="H653" s="14">
        <f>IF(F653&lt;&gt;"","待处理","")</f>
        <v/>
      </c>
    </row>
    <row r="654">
      <c r="A654" s="14">
        <f>IF(F654&lt;&gt;"","ISSUE-"&amp;TEXT(ROW()-1,"00000"),"")</f>
        <v/>
      </c>
      <c r="B654" s="14">
        <f>IF(F654&lt;&gt;"","错误","")</f>
        <v/>
      </c>
      <c r="C654" s="14">
        <f>IF('03_地点锚点'!A154&lt;&gt;"","03_地点锚点","")</f>
        <v/>
      </c>
      <c r="D654" s="14">
        <f>IF('03_地点锚点'!A154&lt;&gt;"",'03_地点锚点'!A154,"")</f>
        <v/>
      </c>
      <c r="E654" s="14">
        <f>IF(F654&lt;&gt;"","综合校验","")</f>
        <v/>
      </c>
      <c r="F654" s="14">
        <f>IF('03_地点锚点'!A154&lt;&gt;"",IF('03_地点锚点'!A154="","缺少地点ID；","")&amp;IF('03_地点锚点'!B154="","缺少中文名称；","")&amp;IF('03_地点锚点'!D154="","缺少地点类型；","")&amp;IF('03_地点锚点'!G154="","缺少世界X；","")&amp;IF('03_地点锚点'!H154="","缺少世界Y；","")&amp;IF(AND('03_地点锚点'!G154&lt;&gt;"",OR('03_地点锚点'!G154&lt;0,'03_地点锚点'!G154&gt;WorldWidth)),"世界X越界；","")&amp;IF(AND('03_地点锚点'!H154&lt;&gt;"",OR('03_地点锚点'!H154&lt;0,'03_地点锚点'!H154&gt;WorldHeight)),"世界Y越界；","")&amp;IF(AND('03_地点锚点'!E154&lt;&gt;"",COUNTIF('02_固定地理'!$A$2:$A$501,'03_地点锚点'!E154)=0),"父级行政对象不存在；","")&amp;IF(AND('03_地点锚点'!F154&lt;&gt;"",COUNTIF('03_地点锚点'!$A$2:$A$501,'03_地点锚点'!F154)=0),"父级地点不存在；","")&amp;IF(AND('03_地点锚点'!A154&lt;&gt;"",COUNTIF('03_地点锚点'!$A$2:$A$501,'03_地点锚点'!A154)&gt;1),"ID重复；",""),"")</f>
        <v/>
      </c>
      <c r="G654" s="14">
        <f>IF(F654&lt;&gt;"","按字段批注、数据字典和来源记录修正后复核","")</f>
        <v/>
      </c>
      <c r="H654" s="14">
        <f>IF(F654&lt;&gt;"","待处理","")</f>
        <v/>
      </c>
    </row>
    <row r="655">
      <c r="A655" s="14">
        <f>IF(F655&lt;&gt;"","ISSUE-"&amp;TEXT(ROW()-1,"00000"),"")</f>
        <v/>
      </c>
      <c r="B655" s="14">
        <f>IF(F655&lt;&gt;"","错误","")</f>
        <v/>
      </c>
      <c r="C655" s="14">
        <f>IF('03_地点锚点'!A155&lt;&gt;"","03_地点锚点","")</f>
        <v/>
      </c>
      <c r="D655" s="14">
        <f>IF('03_地点锚点'!A155&lt;&gt;"",'03_地点锚点'!A155,"")</f>
        <v/>
      </c>
      <c r="E655" s="14">
        <f>IF(F655&lt;&gt;"","综合校验","")</f>
        <v/>
      </c>
      <c r="F655" s="14">
        <f>IF('03_地点锚点'!A155&lt;&gt;"",IF('03_地点锚点'!A155="","缺少地点ID；","")&amp;IF('03_地点锚点'!B155="","缺少中文名称；","")&amp;IF('03_地点锚点'!D155="","缺少地点类型；","")&amp;IF('03_地点锚点'!G155="","缺少世界X；","")&amp;IF('03_地点锚点'!H155="","缺少世界Y；","")&amp;IF(AND('03_地点锚点'!G155&lt;&gt;"",OR('03_地点锚点'!G155&lt;0,'03_地点锚点'!G155&gt;WorldWidth)),"世界X越界；","")&amp;IF(AND('03_地点锚点'!H155&lt;&gt;"",OR('03_地点锚点'!H155&lt;0,'03_地点锚点'!H155&gt;WorldHeight)),"世界Y越界；","")&amp;IF(AND('03_地点锚点'!E155&lt;&gt;"",COUNTIF('02_固定地理'!$A$2:$A$501,'03_地点锚点'!E155)=0),"父级行政对象不存在；","")&amp;IF(AND('03_地点锚点'!F155&lt;&gt;"",COUNTIF('03_地点锚点'!$A$2:$A$501,'03_地点锚点'!F155)=0),"父级地点不存在；","")&amp;IF(AND('03_地点锚点'!A155&lt;&gt;"",COUNTIF('03_地点锚点'!$A$2:$A$501,'03_地点锚点'!A155)&gt;1),"ID重复；",""),"")</f>
        <v/>
      </c>
      <c r="G655" s="14">
        <f>IF(F655&lt;&gt;"","按字段批注、数据字典和来源记录修正后复核","")</f>
        <v/>
      </c>
      <c r="H655" s="14">
        <f>IF(F655&lt;&gt;"","待处理","")</f>
        <v/>
      </c>
    </row>
    <row r="656">
      <c r="A656" s="14">
        <f>IF(F656&lt;&gt;"","ISSUE-"&amp;TEXT(ROW()-1,"00000"),"")</f>
        <v/>
      </c>
      <c r="B656" s="14">
        <f>IF(F656&lt;&gt;"","错误","")</f>
        <v/>
      </c>
      <c r="C656" s="14">
        <f>IF('03_地点锚点'!A156&lt;&gt;"","03_地点锚点","")</f>
        <v/>
      </c>
      <c r="D656" s="14">
        <f>IF('03_地点锚点'!A156&lt;&gt;"",'03_地点锚点'!A156,"")</f>
        <v/>
      </c>
      <c r="E656" s="14">
        <f>IF(F656&lt;&gt;"","综合校验","")</f>
        <v/>
      </c>
      <c r="F656" s="14">
        <f>IF('03_地点锚点'!A156&lt;&gt;"",IF('03_地点锚点'!A156="","缺少地点ID；","")&amp;IF('03_地点锚点'!B156="","缺少中文名称；","")&amp;IF('03_地点锚点'!D156="","缺少地点类型；","")&amp;IF('03_地点锚点'!G156="","缺少世界X；","")&amp;IF('03_地点锚点'!H156="","缺少世界Y；","")&amp;IF(AND('03_地点锚点'!G156&lt;&gt;"",OR('03_地点锚点'!G156&lt;0,'03_地点锚点'!G156&gt;WorldWidth)),"世界X越界；","")&amp;IF(AND('03_地点锚点'!H156&lt;&gt;"",OR('03_地点锚点'!H156&lt;0,'03_地点锚点'!H156&gt;WorldHeight)),"世界Y越界；","")&amp;IF(AND('03_地点锚点'!E156&lt;&gt;"",COUNTIF('02_固定地理'!$A$2:$A$501,'03_地点锚点'!E156)=0),"父级行政对象不存在；","")&amp;IF(AND('03_地点锚点'!F156&lt;&gt;"",COUNTIF('03_地点锚点'!$A$2:$A$501,'03_地点锚点'!F156)=0),"父级地点不存在；","")&amp;IF(AND('03_地点锚点'!A156&lt;&gt;"",COUNTIF('03_地点锚点'!$A$2:$A$501,'03_地点锚点'!A156)&gt;1),"ID重复；",""),"")</f>
        <v/>
      </c>
      <c r="G656" s="14">
        <f>IF(F656&lt;&gt;"","按字段批注、数据字典和来源记录修正后复核","")</f>
        <v/>
      </c>
      <c r="H656" s="14">
        <f>IF(F656&lt;&gt;"","待处理","")</f>
        <v/>
      </c>
    </row>
    <row r="657">
      <c r="A657" s="14">
        <f>IF(F657&lt;&gt;"","ISSUE-"&amp;TEXT(ROW()-1,"00000"),"")</f>
        <v/>
      </c>
      <c r="B657" s="14">
        <f>IF(F657&lt;&gt;"","错误","")</f>
        <v/>
      </c>
      <c r="C657" s="14">
        <f>IF('03_地点锚点'!A157&lt;&gt;"","03_地点锚点","")</f>
        <v/>
      </c>
      <c r="D657" s="14">
        <f>IF('03_地点锚点'!A157&lt;&gt;"",'03_地点锚点'!A157,"")</f>
        <v/>
      </c>
      <c r="E657" s="14">
        <f>IF(F657&lt;&gt;"","综合校验","")</f>
        <v/>
      </c>
      <c r="F657" s="14">
        <f>IF('03_地点锚点'!A157&lt;&gt;"",IF('03_地点锚点'!A157="","缺少地点ID；","")&amp;IF('03_地点锚点'!B157="","缺少中文名称；","")&amp;IF('03_地点锚点'!D157="","缺少地点类型；","")&amp;IF('03_地点锚点'!G157="","缺少世界X；","")&amp;IF('03_地点锚点'!H157="","缺少世界Y；","")&amp;IF(AND('03_地点锚点'!G157&lt;&gt;"",OR('03_地点锚点'!G157&lt;0,'03_地点锚点'!G157&gt;WorldWidth)),"世界X越界；","")&amp;IF(AND('03_地点锚点'!H157&lt;&gt;"",OR('03_地点锚点'!H157&lt;0,'03_地点锚点'!H157&gt;WorldHeight)),"世界Y越界；","")&amp;IF(AND('03_地点锚点'!E157&lt;&gt;"",COUNTIF('02_固定地理'!$A$2:$A$501,'03_地点锚点'!E157)=0),"父级行政对象不存在；","")&amp;IF(AND('03_地点锚点'!F157&lt;&gt;"",COUNTIF('03_地点锚点'!$A$2:$A$501,'03_地点锚点'!F157)=0),"父级地点不存在；","")&amp;IF(AND('03_地点锚点'!A157&lt;&gt;"",COUNTIF('03_地点锚点'!$A$2:$A$501,'03_地点锚点'!A157)&gt;1),"ID重复；",""),"")</f>
        <v/>
      </c>
      <c r="G657" s="14">
        <f>IF(F657&lt;&gt;"","按字段批注、数据字典和来源记录修正后复核","")</f>
        <v/>
      </c>
      <c r="H657" s="14">
        <f>IF(F657&lt;&gt;"","待处理","")</f>
        <v/>
      </c>
    </row>
    <row r="658">
      <c r="A658" s="14">
        <f>IF(F658&lt;&gt;"","ISSUE-"&amp;TEXT(ROW()-1,"00000"),"")</f>
        <v/>
      </c>
      <c r="B658" s="14">
        <f>IF(F658&lt;&gt;"","错误","")</f>
        <v/>
      </c>
      <c r="C658" s="14">
        <f>IF('03_地点锚点'!A158&lt;&gt;"","03_地点锚点","")</f>
        <v/>
      </c>
      <c r="D658" s="14">
        <f>IF('03_地点锚点'!A158&lt;&gt;"",'03_地点锚点'!A158,"")</f>
        <v/>
      </c>
      <c r="E658" s="14">
        <f>IF(F658&lt;&gt;"","综合校验","")</f>
        <v/>
      </c>
      <c r="F658" s="14">
        <f>IF('03_地点锚点'!A158&lt;&gt;"",IF('03_地点锚点'!A158="","缺少地点ID；","")&amp;IF('03_地点锚点'!B158="","缺少中文名称；","")&amp;IF('03_地点锚点'!D158="","缺少地点类型；","")&amp;IF('03_地点锚点'!G158="","缺少世界X；","")&amp;IF('03_地点锚点'!H158="","缺少世界Y；","")&amp;IF(AND('03_地点锚点'!G158&lt;&gt;"",OR('03_地点锚点'!G158&lt;0,'03_地点锚点'!G158&gt;WorldWidth)),"世界X越界；","")&amp;IF(AND('03_地点锚点'!H158&lt;&gt;"",OR('03_地点锚点'!H158&lt;0,'03_地点锚点'!H158&gt;WorldHeight)),"世界Y越界；","")&amp;IF(AND('03_地点锚点'!E158&lt;&gt;"",COUNTIF('02_固定地理'!$A$2:$A$501,'03_地点锚点'!E158)=0),"父级行政对象不存在；","")&amp;IF(AND('03_地点锚点'!F158&lt;&gt;"",COUNTIF('03_地点锚点'!$A$2:$A$501,'03_地点锚点'!F158)=0),"父级地点不存在；","")&amp;IF(AND('03_地点锚点'!A158&lt;&gt;"",COUNTIF('03_地点锚点'!$A$2:$A$501,'03_地点锚点'!A158)&gt;1),"ID重复；",""),"")</f>
        <v/>
      </c>
      <c r="G658" s="14">
        <f>IF(F658&lt;&gt;"","按字段批注、数据字典和来源记录修正后复核","")</f>
        <v/>
      </c>
      <c r="H658" s="14">
        <f>IF(F658&lt;&gt;"","待处理","")</f>
        <v/>
      </c>
    </row>
    <row r="659">
      <c r="A659" s="14">
        <f>IF(F659&lt;&gt;"","ISSUE-"&amp;TEXT(ROW()-1,"00000"),"")</f>
        <v/>
      </c>
      <c r="B659" s="14">
        <f>IF(F659&lt;&gt;"","错误","")</f>
        <v/>
      </c>
      <c r="C659" s="14">
        <f>IF('03_地点锚点'!A159&lt;&gt;"","03_地点锚点","")</f>
        <v/>
      </c>
      <c r="D659" s="14">
        <f>IF('03_地点锚点'!A159&lt;&gt;"",'03_地点锚点'!A159,"")</f>
        <v/>
      </c>
      <c r="E659" s="14">
        <f>IF(F659&lt;&gt;"","综合校验","")</f>
        <v/>
      </c>
      <c r="F659" s="14">
        <f>IF('03_地点锚点'!A159&lt;&gt;"",IF('03_地点锚点'!A159="","缺少地点ID；","")&amp;IF('03_地点锚点'!B159="","缺少中文名称；","")&amp;IF('03_地点锚点'!D159="","缺少地点类型；","")&amp;IF('03_地点锚点'!G159="","缺少世界X；","")&amp;IF('03_地点锚点'!H159="","缺少世界Y；","")&amp;IF(AND('03_地点锚点'!G159&lt;&gt;"",OR('03_地点锚点'!G159&lt;0,'03_地点锚点'!G159&gt;WorldWidth)),"世界X越界；","")&amp;IF(AND('03_地点锚点'!H159&lt;&gt;"",OR('03_地点锚点'!H159&lt;0,'03_地点锚点'!H159&gt;WorldHeight)),"世界Y越界；","")&amp;IF(AND('03_地点锚点'!E159&lt;&gt;"",COUNTIF('02_固定地理'!$A$2:$A$501,'03_地点锚点'!E159)=0),"父级行政对象不存在；","")&amp;IF(AND('03_地点锚点'!F159&lt;&gt;"",COUNTIF('03_地点锚点'!$A$2:$A$501,'03_地点锚点'!F159)=0),"父级地点不存在；","")&amp;IF(AND('03_地点锚点'!A159&lt;&gt;"",COUNTIF('03_地点锚点'!$A$2:$A$501,'03_地点锚点'!A159)&gt;1),"ID重复；",""),"")</f>
        <v/>
      </c>
      <c r="G659" s="14">
        <f>IF(F659&lt;&gt;"","按字段批注、数据字典和来源记录修正后复核","")</f>
        <v/>
      </c>
      <c r="H659" s="14">
        <f>IF(F659&lt;&gt;"","待处理","")</f>
        <v/>
      </c>
    </row>
    <row r="660">
      <c r="A660" s="14">
        <f>IF(F660&lt;&gt;"","ISSUE-"&amp;TEXT(ROW()-1,"00000"),"")</f>
        <v/>
      </c>
      <c r="B660" s="14">
        <f>IF(F660&lt;&gt;"","错误","")</f>
        <v/>
      </c>
      <c r="C660" s="14">
        <f>IF('03_地点锚点'!A160&lt;&gt;"","03_地点锚点","")</f>
        <v/>
      </c>
      <c r="D660" s="14">
        <f>IF('03_地点锚点'!A160&lt;&gt;"",'03_地点锚点'!A160,"")</f>
        <v/>
      </c>
      <c r="E660" s="14">
        <f>IF(F660&lt;&gt;"","综合校验","")</f>
        <v/>
      </c>
      <c r="F660" s="14">
        <f>IF('03_地点锚点'!A160&lt;&gt;"",IF('03_地点锚点'!A160="","缺少地点ID；","")&amp;IF('03_地点锚点'!B160="","缺少中文名称；","")&amp;IF('03_地点锚点'!D160="","缺少地点类型；","")&amp;IF('03_地点锚点'!G160="","缺少世界X；","")&amp;IF('03_地点锚点'!H160="","缺少世界Y；","")&amp;IF(AND('03_地点锚点'!G160&lt;&gt;"",OR('03_地点锚点'!G160&lt;0,'03_地点锚点'!G160&gt;WorldWidth)),"世界X越界；","")&amp;IF(AND('03_地点锚点'!H160&lt;&gt;"",OR('03_地点锚点'!H160&lt;0,'03_地点锚点'!H160&gt;WorldHeight)),"世界Y越界；","")&amp;IF(AND('03_地点锚点'!E160&lt;&gt;"",COUNTIF('02_固定地理'!$A$2:$A$501,'03_地点锚点'!E160)=0),"父级行政对象不存在；","")&amp;IF(AND('03_地点锚点'!F160&lt;&gt;"",COUNTIF('03_地点锚点'!$A$2:$A$501,'03_地点锚点'!F160)=0),"父级地点不存在；","")&amp;IF(AND('03_地点锚点'!A160&lt;&gt;"",COUNTIF('03_地点锚点'!$A$2:$A$501,'03_地点锚点'!A160)&gt;1),"ID重复；",""),"")</f>
        <v/>
      </c>
      <c r="G660" s="14">
        <f>IF(F660&lt;&gt;"","按字段批注、数据字典和来源记录修正后复核","")</f>
        <v/>
      </c>
      <c r="H660" s="14">
        <f>IF(F660&lt;&gt;"","待处理","")</f>
        <v/>
      </c>
    </row>
    <row r="661">
      <c r="A661" s="14">
        <f>IF(F661&lt;&gt;"","ISSUE-"&amp;TEXT(ROW()-1,"00000"),"")</f>
        <v/>
      </c>
      <c r="B661" s="14">
        <f>IF(F661&lt;&gt;"","错误","")</f>
        <v/>
      </c>
      <c r="C661" s="14">
        <f>IF('03_地点锚点'!A161&lt;&gt;"","03_地点锚点","")</f>
        <v/>
      </c>
      <c r="D661" s="14">
        <f>IF('03_地点锚点'!A161&lt;&gt;"",'03_地点锚点'!A161,"")</f>
        <v/>
      </c>
      <c r="E661" s="14">
        <f>IF(F661&lt;&gt;"","综合校验","")</f>
        <v/>
      </c>
      <c r="F661" s="14">
        <f>IF('03_地点锚点'!A161&lt;&gt;"",IF('03_地点锚点'!A161="","缺少地点ID；","")&amp;IF('03_地点锚点'!B161="","缺少中文名称；","")&amp;IF('03_地点锚点'!D161="","缺少地点类型；","")&amp;IF('03_地点锚点'!G161="","缺少世界X；","")&amp;IF('03_地点锚点'!H161="","缺少世界Y；","")&amp;IF(AND('03_地点锚点'!G161&lt;&gt;"",OR('03_地点锚点'!G161&lt;0,'03_地点锚点'!G161&gt;WorldWidth)),"世界X越界；","")&amp;IF(AND('03_地点锚点'!H161&lt;&gt;"",OR('03_地点锚点'!H161&lt;0,'03_地点锚点'!H161&gt;WorldHeight)),"世界Y越界；","")&amp;IF(AND('03_地点锚点'!E161&lt;&gt;"",COUNTIF('02_固定地理'!$A$2:$A$501,'03_地点锚点'!E161)=0),"父级行政对象不存在；","")&amp;IF(AND('03_地点锚点'!F161&lt;&gt;"",COUNTIF('03_地点锚点'!$A$2:$A$501,'03_地点锚点'!F161)=0),"父级地点不存在；","")&amp;IF(AND('03_地点锚点'!A161&lt;&gt;"",COUNTIF('03_地点锚点'!$A$2:$A$501,'03_地点锚点'!A161)&gt;1),"ID重复；",""),"")</f>
        <v/>
      </c>
      <c r="G661" s="14">
        <f>IF(F661&lt;&gt;"","按字段批注、数据字典和来源记录修正后复核","")</f>
        <v/>
      </c>
      <c r="H661" s="14">
        <f>IF(F661&lt;&gt;"","待处理","")</f>
        <v/>
      </c>
    </row>
    <row r="662">
      <c r="A662" s="14">
        <f>IF(F662&lt;&gt;"","ISSUE-"&amp;TEXT(ROW()-1,"00000"),"")</f>
        <v/>
      </c>
      <c r="B662" s="14">
        <f>IF(F662&lt;&gt;"","错误","")</f>
        <v/>
      </c>
      <c r="C662" s="14">
        <f>IF('03_地点锚点'!A162&lt;&gt;"","03_地点锚点","")</f>
        <v/>
      </c>
      <c r="D662" s="14">
        <f>IF('03_地点锚点'!A162&lt;&gt;"",'03_地点锚点'!A162,"")</f>
        <v/>
      </c>
      <c r="E662" s="14">
        <f>IF(F662&lt;&gt;"","综合校验","")</f>
        <v/>
      </c>
      <c r="F662" s="14">
        <f>IF('03_地点锚点'!A162&lt;&gt;"",IF('03_地点锚点'!A162="","缺少地点ID；","")&amp;IF('03_地点锚点'!B162="","缺少中文名称；","")&amp;IF('03_地点锚点'!D162="","缺少地点类型；","")&amp;IF('03_地点锚点'!G162="","缺少世界X；","")&amp;IF('03_地点锚点'!H162="","缺少世界Y；","")&amp;IF(AND('03_地点锚点'!G162&lt;&gt;"",OR('03_地点锚点'!G162&lt;0,'03_地点锚点'!G162&gt;WorldWidth)),"世界X越界；","")&amp;IF(AND('03_地点锚点'!H162&lt;&gt;"",OR('03_地点锚点'!H162&lt;0,'03_地点锚点'!H162&gt;WorldHeight)),"世界Y越界；","")&amp;IF(AND('03_地点锚点'!E162&lt;&gt;"",COUNTIF('02_固定地理'!$A$2:$A$501,'03_地点锚点'!E162)=0),"父级行政对象不存在；","")&amp;IF(AND('03_地点锚点'!F162&lt;&gt;"",COUNTIF('03_地点锚点'!$A$2:$A$501,'03_地点锚点'!F162)=0),"父级地点不存在；","")&amp;IF(AND('03_地点锚点'!A162&lt;&gt;"",COUNTIF('03_地点锚点'!$A$2:$A$501,'03_地点锚点'!A162)&gt;1),"ID重复；",""),"")</f>
        <v/>
      </c>
      <c r="G662" s="14">
        <f>IF(F662&lt;&gt;"","按字段批注、数据字典和来源记录修正后复核","")</f>
        <v/>
      </c>
      <c r="H662" s="14">
        <f>IF(F662&lt;&gt;"","待处理","")</f>
        <v/>
      </c>
    </row>
    <row r="663">
      <c r="A663" s="14">
        <f>IF(F663&lt;&gt;"","ISSUE-"&amp;TEXT(ROW()-1,"00000"),"")</f>
        <v/>
      </c>
      <c r="B663" s="14">
        <f>IF(F663&lt;&gt;"","错误","")</f>
        <v/>
      </c>
      <c r="C663" s="14">
        <f>IF('03_地点锚点'!A163&lt;&gt;"","03_地点锚点","")</f>
        <v/>
      </c>
      <c r="D663" s="14">
        <f>IF('03_地点锚点'!A163&lt;&gt;"",'03_地点锚点'!A163,"")</f>
        <v/>
      </c>
      <c r="E663" s="14">
        <f>IF(F663&lt;&gt;"","综合校验","")</f>
        <v/>
      </c>
      <c r="F663" s="14">
        <f>IF('03_地点锚点'!A163&lt;&gt;"",IF('03_地点锚点'!A163="","缺少地点ID；","")&amp;IF('03_地点锚点'!B163="","缺少中文名称；","")&amp;IF('03_地点锚点'!D163="","缺少地点类型；","")&amp;IF('03_地点锚点'!G163="","缺少世界X；","")&amp;IF('03_地点锚点'!H163="","缺少世界Y；","")&amp;IF(AND('03_地点锚点'!G163&lt;&gt;"",OR('03_地点锚点'!G163&lt;0,'03_地点锚点'!G163&gt;WorldWidth)),"世界X越界；","")&amp;IF(AND('03_地点锚点'!H163&lt;&gt;"",OR('03_地点锚点'!H163&lt;0,'03_地点锚点'!H163&gt;WorldHeight)),"世界Y越界；","")&amp;IF(AND('03_地点锚点'!E163&lt;&gt;"",COUNTIF('02_固定地理'!$A$2:$A$501,'03_地点锚点'!E163)=0),"父级行政对象不存在；","")&amp;IF(AND('03_地点锚点'!F163&lt;&gt;"",COUNTIF('03_地点锚点'!$A$2:$A$501,'03_地点锚点'!F163)=0),"父级地点不存在；","")&amp;IF(AND('03_地点锚点'!A163&lt;&gt;"",COUNTIF('03_地点锚点'!$A$2:$A$501,'03_地点锚点'!A163)&gt;1),"ID重复；",""),"")</f>
        <v/>
      </c>
      <c r="G663" s="14">
        <f>IF(F663&lt;&gt;"","按字段批注、数据字典和来源记录修正后复核","")</f>
        <v/>
      </c>
      <c r="H663" s="14">
        <f>IF(F663&lt;&gt;"","待处理","")</f>
        <v/>
      </c>
    </row>
    <row r="664">
      <c r="A664" s="14">
        <f>IF(F664&lt;&gt;"","ISSUE-"&amp;TEXT(ROW()-1,"00000"),"")</f>
        <v/>
      </c>
      <c r="B664" s="14">
        <f>IF(F664&lt;&gt;"","错误","")</f>
        <v/>
      </c>
      <c r="C664" s="14">
        <f>IF('03_地点锚点'!A164&lt;&gt;"","03_地点锚点","")</f>
        <v/>
      </c>
      <c r="D664" s="14">
        <f>IF('03_地点锚点'!A164&lt;&gt;"",'03_地点锚点'!A164,"")</f>
        <v/>
      </c>
      <c r="E664" s="14">
        <f>IF(F664&lt;&gt;"","综合校验","")</f>
        <v/>
      </c>
      <c r="F664" s="14">
        <f>IF('03_地点锚点'!A164&lt;&gt;"",IF('03_地点锚点'!A164="","缺少地点ID；","")&amp;IF('03_地点锚点'!B164="","缺少中文名称；","")&amp;IF('03_地点锚点'!D164="","缺少地点类型；","")&amp;IF('03_地点锚点'!G164="","缺少世界X；","")&amp;IF('03_地点锚点'!H164="","缺少世界Y；","")&amp;IF(AND('03_地点锚点'!G164&lt;&gt;"",OR('03_地点锚点'!G164&lt;0,'03_地点锚点'!G164&gt;WorldWidth)),"世界X越界；","")&amp;IF(AND('03_地点锚点'!H164&lt;&gt;"",OR('03_地点锚点'!H164&lt;0,'03_地点锚点'!H164&gt;WorldHeight)),"世界Y越界；","")&amp;IF(AND('03_地点锚点'!E164&lt;&gt;"",COUNTIF('02_固定地理'!$A$2:$A$501,'03_地点锚点'!E164)=0),"父级行政对象不存在；","")&amp;IF(AND('03_地点锚点'!F164&lt;&gt;"",COUNTIF('03_地点锚点'!$A$2:$A$501,'03_地点锚点'!F164)=0),"父级地点不存在；","")&amp;IF(AND('03_地点锚点'!A164&lt;&gt;"",COUNTIF('03_地点锚点'!$A$2:$A$501,'03_地点锚点'!A164)&gt;1),"ID重复；",""),"")</f>
        <v/>
      </c>
      <c r="G664" s="14">
        <f>IF(F664&lt;&gt;"","按字段批注、数据字典和来源记录修正后复核","")</f>
        <v/>
      </c>
      <c r="H664" s="14">
        <f>IF(F664&lt;&gt;"","待处理","")</f>
        <v/>
      </c>
    </row>
    <row r="665">
      <c r="A665" s="14">
        <f>IF(F665&lt;&gt;"","ISSUE-"&amp;TEXT(ROW()-1,"00000"),"")</f>
        <v/>
      </c>
      <c r="B665" s="14">
        <f>IF(F665&lt;&gt;"","错误","")</f>
        <v/>
      </c>
      <c r="C665" s="14">
        <f>IF('03_地点锚点'!A165&lt;&gt;"","03_地点锚点","")</f>
        <v/>
      </c>
      <c r="D665" s="14">
        <f>IF('03_地点锚点'!A165&lt;&gt;"",'03_地点锚点'!A165,"")</f>
        <v/>
      </c>
      <c r="E665" s="14">
        <f>IF(F665&lt;&gt;"","综合校验","")</f>
        <v/>
      </c>
      <c r="F665" s="14">
        <f>IF('03_地点锚点'!A165&lt;&gt;"",IF('03_地点锚点'!A165="","缺少地点ID；","")&amp;IF('03_地点锚点'!B165="","缺少中文名称；","")&amp;IF('03_地点锚点'!D165="","缺少地点类型；","")&amp;IF('03_地点锚点'!G165="","缺少世界X；","")&amp;IF('03_地点锚点'!H165="","缺少世界Y；","")&amp;IF(AND('03_地点锚点'!G165&lt;&gt;"",OR('03_地点锚点'!G165&lt;0,'03_地点锚点'!G165&gt;WorldWidth)),"世界X越界；","")&amp;IF(AND('03_地点锚点'!H165&lt;&gt;"",OR('03_地点锚点'!H165&lt;0,'03_地点锚点'!H165&gt;WorldHeight)),"世界Y越界；","")&amp;IF(AND('03_地点锚点'!E165&lt;&gt;"",COUNTIF('02_固定地理'!$A$2:$A$501,'03_地点锚点'!E165)=0),"父级行政对象不存在；","")&amp;IF(AND('03_地点锚点'!F165&lt;&gt;"",COUNTIF('03_地点锚点'!$A$2:$A$501,'03_地点锚点'!F165)=0),"父级地点不存在；","")&amp;IF(AND('03_地点锚点'!A165&lt;&gt;"",COUNTIF('03_地点锚点'!$A$2:$A$501,'03_地点锚点'!A165)&gt;1),"ID重复；",""),"")</f>
        <v/>
      </c>
      <c r="G665" s="14">
        <f>IF(F665&lt;&gt;"","按字段批注、数据字典和来源记录修正后复核","")</f>
        <v/>
      </c>
      <c r="H665" s="14">
        <f>IF(F665&lt;&gt;"","待处理","")</f>
        <v/>
      </c>
    </row>
    <row r="666">
      <c r="A666" s="14">
        <f>IF(F666&lt;&gt;"","ISSUE-"&amp;TEXT(ROW()-1,"00000"),"")</f>
        <v/>
      </c>
      <c r="B666" s="14">
        <f>IF(F666&lt;&gt;"","错误","")</f>
        <v/>
      </c>
      <c r="C666" s="14">
        <f>IF('03_地点锚点'!A166&lt;&gt;"","03_地点锚点","")</f>
        <v/>
      </c>
      <c r="D666" s="14">
        <f>IF('03_地点锚点'!A166&lt;&gt;"",'03_地点锚点'!A166,"")</f>
        <v/>
      </c>
      <c r="E666" s="14">
        <f>IF(F666&lt;&gt;"","综合校验","")</f>
        <v/>
      </c>
      <c r="F666" s="14">
        <f>IF('03_地点锚点'!A166&lt;&gt;"",IF('03_地点锚点'!A166="","缺少地点ID；","")&amp;IF('03_地点锚点'!B166="","缺少中文名称；","")&amp;IF('03_地点锚点'!D166="","缺少地点类型；","")&amp;IF('03_地点锚点'!G166="","缺少世界X；","")&amp;IF('03_地点锚点'!H166="","缺少世界Y；","")&amp;IF(AND('03_地点锚点'!G166&lt;&gt;"",OR('03_地点锚点'!G166&lt;0,'03_地点锚点'!G166&gt;WorldWidth)),"世界X越界；","")&amp;IF(AND('03_地点锚点'!H166&lt;&gt;"",OR('03_地点锚点'!H166&lt;0,'03_地点锚点'!H166&gt;WorldHeight)),"世界Y越界；","")&amp;IF(AND('03_地点锚点'!E166&lt;&gt;"",COUNTIF('02_固定地理'!$A$2:$A$501,'03_地点锚点'!E166)=0),"父级行政对象不存在；","")&amp;IF(AND('03_地点锚点'!F166&lt;&gt;"",COUNTIF('03_地点锚点'!$A$2:$A$501,'03_地点锚点'!F166)=0),"父级地点不存在；","")&amp;IF(AND('03_地点锚点'!A166&lt;&gt;"",COUNTIF('03_地点锚点'!$A$2:$A$501,'03_地点锚点'!A166)&gt;1),"ID重复；",""),"")</f>
        <v/>
      </c>
      <c r="G666" s="14">
        <f>IF(F666&lt;&gt;"","按字段批注、数据字典和来源记录修正后复核","")</f>
        <v/>
      </c>
      <c r="H666" s="14">
        <f>IF(F666&lt;&gt;"","待处理","")</f>
        <v/>
      </c>
    </row>
    <row r="667">
      <c r="A667" s="14">
        <f>IF(F667&lt;&gt;"","ISSUE-"&amp;TEXT(ROW()-1,"00000"),"")</f>
        <v/>
      </c>
      <c r="B667" s="14">
        <f>IF(F667&lt;&gt;"","错误","")</f>
        <v/>
      </c>
      <c r="C667" s="14">
        <f>IF('03_地点锚点'!A167&lt;&gt;"","03_地点锚点","")</f>
        <v/>
      </c>
      <c r="D667" s="14">
        <f>IF('03_地点锚点'!A167&lt;&gt;"",'03_地点锚点'!A167,"")</f>
        <v/>
      </c>
      <c r="E667" s="14">
        <f>IF(F667&lt;&gt;"","综合校验","")</f>
        <v/>
      </c>
      <c r="F667" s="14">
        <f>IF('03_地点锚点'!A167&lt;&gt;"",IF('03_地点锚点'!A167="","缺少地点ID；","")&amp;IF('03_地点锚点'!B167="","缺少中文名称；","")&amp;IF('03_地点锚点'!D167="","缺少地点类型；","")&amp;IF('03_地点锚点'!G167="","缺少世界X；","")&amp;IF('03_地点锚点'!H167="","缺少世界Y；","")&amp;IF(AND('03_地点锚点'!G167&lt;&gt;"",OR('03_地点锚点'!G167&lt;0,'03_地点锚点'!G167&gt;WorldWidth)),"世界X越界；","")&amp;IF(AND('03_地点锚点'!H167&lt;&gt;"",OR('03_地点锚点'!H167&lt;0,'03_地点锚点'!H167&gt;WorldHeight)),"世界Y越界；","")&amp;IF(AND('03_地点锚点'!E167&lt;&gt;"",COUNTIF('02_固定地理'!$A$2:$A$501,'03_地点锚点'!E167)=0),"父级行政对象不存在；","")&amp;IF(AND('03_地点锚点'!F167&lt;&gt;"",COUNTIF('03_地点锚点'!$A$2:$A$501,'03_地点锚点'!F167)=0),"父级地点不存在；","")&amp;IF(AND('03_地点锚点'!A167&lt;&gt;"",COUNTIF('03_地点锚点'!$A$2:$A$501,'03_地点锚点'!A167)&gt;1),"ID重复；",""),"")</f>
        <v/>
      </c>
      <c r="G667" s="14">
        <f>IF(F667&lt;&gt;"","按字段批注、数据字典和来源记录修正后复核","")</f>
        <v/>
      </c>
      <c r="H667" s="14">
        <f>IF(F667&lt;&gt;"","待处理","")</f>
        <v/>
      </c>
    </row>
    <row r="668">
      <c r="A668" s="14">
        <f>IF(F668&lt;&gt;"","ISSUE-"&amp;TEXT(ROW()-1,"00000"),"")</f>
        <v/>
      </c>
      <c r="B668" s="14">
        <f>IF(F668&lt;&gt;"","错误","")</f>
        <v/>
      </c>
      <c r="C668" s="14">
        <f>IF('03_地点锚点'!A168&lt;&gt;"","03_地点锚点","")</f>
        <v/>
      </c>
      <c r="D668" s="14">
        <f>IF('03_地点锚点'!A168&lt;&gt;"",'03_地点锚点'!A168,"")</f>
        <v/>
      </c>
      <c r="E668" s="14">
        <f>IF(F668&lt;&gt;"","综合校验","")</f>
        <v/>
      </c>
      <c r="F668" s="14">
        <f>IF('03_地点锚点'!A168&lt;&gt;"",IF('03_地点锚点'!A168="","缺少地点ID；","")&amp;IF('03_地点锚点'!B168="","缺少中文名称；","")&amp;IF('03_地点锚点'!D168="","缺少地点类型；","")&amp;IF('03_地点锚点'!G168="","缺少世界X；","")&amp;IF('03_地点锚点'!H168="","缺少世界Y；","")&amp;IF(AND('03_地点锚点'!G168&lt;&gt;"",OR('03_地点锚点'!G168&lt;0,'03_地点锚点'!G168&gt;WorldWidth)),"世界X越界；","")&amp;IF(AND('03_地点锚点'!H168&lt;&gt;"",OR('03_地点锚点'!H168&lt;0,'03_地点锚点'!H168&gt;WorldHeight)),"世界Y越界；","")&amp;IF(AND('03_地点锚点'!E168&lt;&gt;"",COUNTIF('02_固定地理'!$A$2:$A$501,'03_地点锚点'!E168)=0),"父级行政对象不存在；","")&amp;IF(AND('03_地点锚点'!F168&lt;&gt;"",COUNTIF('03_地点锚点'!$A$2:$A$501,'03_地点锚点'!F168)=0),"父级地点不存在；","")&amp;IF(AND('03_地点锚点'!A168&lt;&gt;"",COUNTIF('03_地点锚点'!$A$2:$A$501,'03_地点锚点'!A168)&gt;1),"ID重复；",""),"")</f>
        <v/>
      </c>
      <c r="G668" s="14">
        <f>IF(F668&lt;&gt;"","按字段批注、数据字典和来源记录修正后复核","")</f>
        <v/>
      </c>
      <c r="H668" s="14">
        <f>IF(F668&lt;&gt;"","待处理","")</f>
        <v/>
      </c>
    </row>
    <row r="669">
      <c r="A669" s="14">
        <f>IF(F669&lt;&gt;"","ISSUE-"&amp;TEXT(ROW()-1,"00000"),"")</f>
        <v/>
      </c>
      <c r="B669" s="14">
        <f>IF(F669&lt;&gt;"","错误","")</f>
        <v/>
      </c>
      <c r="C669" s="14">
        <f>IF('03_地点锚点'!A169&lt;&gt;"","03_地点锚点","")</f>
        <v/>
      </c>
      <c r="D669" s="14">
        <f>IF('03_地点锚点'!A169&lt;&gt;"",'03_地点锚点'!A169,"")</f>
        <v/>
      </c>
      <c r="E669" s="14">
        <f>IF(F669&lt;&gt;"","综合校验","")</f>
        <v/>
      </c>
      <c r="F669" s="14">
        <f>IF('03_地点锚点'!A169&lt;&gt;"",IF('03_地点锚点'!A169="","缺少地点ID；","")&amp;IF('03_地点锚点'!B169="","缺少中文名称；","")&amp;IF('03_地点锚点'!D169="","缺少地点类型；","")&amp;IF('03_地点锚点'!G169="","缺少世界X；","")&amp;IF('03_地点锚点'!H169="","缺少世界Y；","")&amp;IF(AND('03_地点锚点'!G169&lt;&gt;"",OR('03_地点锚点'!G169&lt;0,'03_地点锚点'!G169&gt;WorldWidth)),"世界X越界；","")&amp;IF(AND('03_地点锚点'!H169&lt;&gt;"",OR('03_地点锚点'!H169&lt;0,'03_地点锚点'!H169&gt;WorldHeight)),"世界Y越界；","")&amp;IF(AND('03_地点锚点'!E169&lt;&gt;"",COUNTIF('02_固定地理'!$A$2:$A$501,'03_地点锚点'!E169)=0),"父级行政对象不存在；","")&amp;IF(AND('03_地点锚点'!F169&lt;&gt;"",COUNTIF('03_地点锚点'!$A$2:$A$501,'03_地点锚点'!F169)=0),"父级地点不存在；","")&amp;IF(AND('03_地点锚点'!A169&lt;&gt;"",COUNTIF('03_地点锚点'!$A$2:$A$501,'03_地点锚点'!A169)&gt;1),"ID重复；",""),"")</f>
        <v/>
      </c>
      <c r="G669" s="14">
        <f>IF(F669&lt;&gt;"","按字段批注、数据字典和来源记录修正后复核","")</f>
        <v/>
      </c>
      <c r="H669" s="14">
        <f>IF(F669&lt;&gt;"","待处理","")</f>
        <v/>
      </c>
    </row>
    <row r="670">
      <c r="A670" s="14">
        <f>IF(F670&lt;&gt;"","ISSUE-"&amp;TEXT(ROW()-1,"00000"),"")</f>
        <v/>
      </c>
      <c r="B670" s="14">
        <f>IF(F670&lt;&gt;"","错误","")</f>
        <v/>
      </c>
      <c r="C670" s="14">
        <f>IF('03_地点锚点'!A170&lt;&gt;"","03_地点锚点","")</f>
        <v/>
      </c>
      <c r="D670" s="14">
        <f>IF('03_地点锚点'!A170&lt;&gt;"",'03_地点锚点'!A170,"")</f>
        <v/>
      </c>
      <c r="E670" s="14">
        <f>IF(F670&lt;&gt;"","综合校验","")</f>
        <v/>
      </c>
      <c r="F670" s="14">
        <f>IF('03_地点锚点'!A170&lt;&gt;"",IF('03_地点锚点'!A170="","缺少地点ID；","")&amp;IF('03_地点锚点'!B170="","缺少中文名称；","")&amp;IF('03_地点锚点'!D170="","缺少地点类型；","")&amp;IF('03_地点锚点'!G170="","缺少世界X；","")&amp;IF('03_地点锚点'!H170="","缺少世界Y；","")&amp;IF(AND('03_地点锚点'!G170&lt;&gt;"",OR('03_地点锚点'!G170&lt;0,'03_地点锚点'!G170&gt;WorldWidth)),"世界X越界；","")&amp;IF(AND('03_地点锚点'!H170&lt;&gt;"",OR('03_地点锚点'!H170&lt;0,'03_地点锚点'!H170&gt;WorldHeight)),"世界Y越界；","")&amp;IF(AND('03_地点锚点'!E170&lt;&gt;"",COUNTIF('02_固定地理'!$A$2:$A$501,'03_地点锚点'!E170)=0),"父级行政对象不存在；","")&amp;IF(AND('03_地点锚点'!F170&lt;&gt;"",COUNTIF('03_地点锚点'!$A$2:$A$501,'03_地点锚点'!F170)=0),"父级地点不存在；","")&amp;IF(AND('03_地点锚点'!A170&lt;&gt;"",COUNTIF('03_地点锚点'!$A$2:$A$501,'03_地点锚点'!A170)&gt;1),"ID重复；",""),"")</f>
        <v/>
      </c>
      <c r="G670" s="14">
        <f>IF(F670&lt;&gt;"","按字段批注、数据字典和来源记录修正后复核","")</f>
        <v/>
      </c>
      <c r="H670" s="14">
        <f>IF(F670&lt;&gt;"","待处理","")</f>
        <v/>
      </c>
    </row>
    <row r="671">
      <c r="A671" s="14">
        <f>IF(F671&lt;&gt;"","ISSUE-"&amp;TEXT(ROW()-1,"00000"),"")</f>
        <v/>
      </c>
      <c r="B671" s="14">
        <f>IF(F671&lt;&gt;"","错误","")</f>
        <v/>
      </c>
      <c r="C671" s="14">
        <f>IF('03_地点锚点'!A171&lt;&gt;"","03_地点锚点","")</f>
        <v/>
      </c>
      <c r="D671" s="14">
        <f>IF('03_地点锚点'!A171&lt;&gt;"",'03_地点锚点'!A171,"")</f>
        <v/>
      </c>
      <c r="E671" s="14">
        <f>IF(F671&lt;&gt;"","综合校验","")</f>
        <v/>
      </c>
      <c r="F671" s="14">
        <f>IF('03_地点锚点'!A171&lt;&gt;"",IF('03_地点锚点'!A171="","缺少地点ID；","")&amp;IF('03_地点锚点'!B171="","缺少中文名称；","")&amp;IF('03_地点锚点'!D171="","缺少地点类型；","")&amp;IF('03_地点锚点'!G171="","缺少世界X；","")&amp;IF('03_地点锚点'!H171="","缺少世界Y；","")&amp;IF(AND('03_地点锚点'!G171&lt;&gt;"",OR('03_地点锚点'!G171&lt;0,'03_地点锚点'!G171&gt;WorldWidth)),"世界X越界；","")&amp;IF(AND('03_地点锚点'!H171&lt;&gt;"",OR('03_地点锚点'!H171&lt;0,'03_地点锚点'!H171&gt;WorldHeight)),"世界Y越界；","")&amp;IF(AND('03_地点锚点'!E171&lt;&gt;"",COUNTIF('02_固定地理'!$A$2:$A$501,'03_地点锚点'!E171)=0),"父级行政对象不存在；","")&amp;IF(AND('03_地点锚点'!F171&lt;&gt;"",COUNTIF('03_地点锚点'!$A$2:$A$501,'03_地点锚点'!F171)=0),"父级地点不存在；","")&amp;IF(AND('03_地点锚点'!A171&lt;&gt;"",COUNTIF('03_地点锚点'!$A$2:$A$501,'03_地点锚点'!A171)&gt;1),"ID重复；",""),"")</f>
        <v/>
      </c>
      <c r="G671" s="14">
        <f>IF(F671&lt;&gt;"","按字段批注、数据字典和来源记录修正后复核","")</f>
        <v/>
      </c>
      <c r="H671" s="14">
        <f>IF(F671&lt;&gt;"","待处理","")</f>
        <v/>
      </c>
    </row>
    <row r="672">
      <c r="A672" s="14">
        <f>IF(F672&lt;&gt;"","ISSUE-"&amp;TEXT(ROW()-1,"00000"),"")</f>
        <v/>
      </c>
      <c r="B672" s="14">
        <f>IF(F672&lt;&gt;"","错误","")</f>
        <v/>
      </c>
      <c r="C672" s="14">
        <f>IF('03_地点锚点'!A172&lt;&gt;"","03_地点锚点","")</f>
        <v/>
      </c>
      <c r="D672" s="14">
        <f>IF('03_地点锚点'!A172&lt;&gt;"",'03_地点锚点'!A172,"")</f>
        <v/>
      </c>
      <c r="E672" s="14">
        <f>IF(F672&lt;&gt;"","综合校验","")</f>
        <v/>
      </c>
      <c r="F672" s="14">
        <f>IF('03_地点锚点'!A172&lt;&gt;"",IF('03_地点锚点'!A172="","缺少地点ID；","")&amp;IF('03_地点锚点'!B172="","缺少中文名称；","")&amp;IF('03_地点锚点'!D172="","缺少地点类型；","")&amp;IF('03_地点锚点'!G172="","缺少世界X；","")&amp;IF('03_地点锚点'!H172="","缺少世界Y；","")&amp;IF(AND('03_地点锚点'!G172&lt;&gt;"",OR('03_地点锚点'!G172&lt;0,'03_地点锚点'!G172&gt;WorldWidth)),"世界X越界；","")&amp;IF(AND('03_地点锚点'!H172&lt;&gt;"",OR('03_地点锚点'!H172&lt;0,'03_地点锚点'!H172&gt;WorldHeight)),"世界Y越界；","")&amp;IF(AND('03_地点锚点'!E172&lt;&gt;"",COUNTIF('02_固定地理'!$A$2:$A$501,'03_地点锚点'!E172)=0),"父级行政对象不存在；","")&amp;IF(AND('03_地点锚点'!F172&lt;&gt;"",COUNTIF('03_地点锚点'!$A$2:$A$501,'03_地点锚点'!F172)=0),"父级地点不存在；","")&amp;IF(AND('03_地点锚点'!A172&lt;&gt;"",COUNTIF('03_地点锚点'!$A$2:$A$501,'03_地点锚点'!A172)&gt;1),"ID重复；",""),"")</f>
        <v/>
      </c>
      <c r="G672" s="14">
        <f>IF(F672&lt;&gt;"","按字段批注、数据字典和来源记录修正后复核","")</f>
        <v/>
      </c>
      <c r="H672" s="14">
        <f>IF(F672&lt;&gt;"","待处理","")</f>
        <v/>
      </c>
    </row>
    <row r="673">
      <c r="A673" s="14">
        <f>IF(F673&lt;&gt;"","ISSUE-"&amp;TEXT(ROW()-1,"00000"),"")</f>
        <v/>
      </c>
      <c r="B673" s="14">
        <f>IF(F673&lt;&gt;"","错误","")</f>
        <v/>
      </c>
      <c r="C673" s="14">
        <f>IF('03_地点锚点'!A173&lt;&gt;"","03_地点锚点","")</f>
        <v/>
      </c>
      <c r="D673" s="14">
        <f>IF('03_地点锚点'!A173&lt;&gt;"",'03_地点锚点'!A173,"")</f>
        <v/>
      </c>
      <c r="E673" s="14">
        <f>IF(F673&lt;&gt;"","综合校验","")</f>
        <v/>
      </c>
      <c r="F673" s="14">
        <f>IF('03_地点锚点'!A173&lt;&gt;"",IF('03_地点锚点'!A173="","缺少地点ID；","")&amp;IF('03_地点锚点'!B173="","缺少中文名称；","")&amp;IF('03_地点锚点'!D173="","缺少地点类型；","")&amp;IF('03_地点锚点'!G173="","缺少世界X；","")&amp;IF('03_地点锚点'!H173="","缺少世界Y；","")&amp;IF(AND('03_地点锚点'!G173&lt;&gt;"",OR('03_地点锚点'!G173&lt;0,'03_地点锚点'!G173&gt;WorldWidth)),"世界X越界；","")&amp;IF(AND('03_地点锚点'!H173&lt;&gt;"",OR('03_地点锚点'!H173&lt;0,'03_地点锚点'!H173&gt;WorldHeight)),"世界Y越界；","")&amp;IF(AND('03_地点锚点'!E173&lt;&gt;"",COUNTIF('02_固定地理'!$A$2:$A$501,'03_地点锚点'!E173)=0),"父级行政对象不存在；","")&amp;IF(AND('03_地点锚点'!F173&lt;&gt;"",COUNTIF('03_地点锚点'!$A$2:$A$501,'03_地点锚点'!F173)=0),"父级地点不存在；","")&amp;IF(AND('03_地点锚点'!A173&lt;&gt;"",COUNTIF('03_地点锚点'!$A$2:$A$501,'03_地点锚点'!A173)&gt;1),"ID重复；",""),"")</f>
        <v/>
      </c>
      <c r="G673" s="14">
        <f>IF(F673&lt;&gt;"","按字段批注、数据字典和来源记录修正后复核","")</f>
        <v/>
      </c>
      <c r="H673" s="14">
        <f>IF(F673&lt;&gt;"","待处理","")</f>
        <v/>
      </c>
    </row>
    <row r="674">
      <c r="A674" s="14">
        <f>IF(F674&lt;&gt;"","ISSUE-"&amp;TEXT(ROW()-1,"00000"),"")</f>
        <v/>
      </c>
      <c r="B674" s="14">
        <f>IF(F674&lt;&gt;"","错误","")</f>
        <v/>
      </c>
      <c r="C674" s="14">
        <f>IF('03_地点锚点'!A174&lt;&gt;"","03_地点锚点","")</f>
        <v/>
      </c>
      <c r="D674" s="14">
        <f>IF('03_地点锚点'!A174&lt;&gt;"",'03_地点锚点'!A174,"")</f>
        <v/>
      </c>
      <c r="E674" s="14">
        <f>IF(F674&lt;&gt;"","综合校验","")</f>
        <v/>
      </c>
      <c r="F674" s="14">
        <f>IF('03_地点锚点'!A174&lt;&gt;"",IF('03_地点锚点'!A174="","缺少地点ID；","")&amp;IF('03_地点锚点'!B174="","缺少中文名称；","")&amp;IF('03_地点锚点'!D174="","缺少地点类型；","")&amp;IF('03_地点锚点'!G174="","缺少世界X；","")&amp;IF('03_地点锚点'!H174="","缺少世界Y；","")&amp;IF(AND('03_地点锚点'!G174&lt;&gt;"",OR('03_地点锚点'!G174&lt;0,'03_地点锚点'!G174&gt;WorldWidth)),"世界X越界；","")&amp;IF(AND('03_地点锚点'!H174&lt;&gt;"",OR('03_地点锚点'!H174&lt;0,'03_地点锚点'!H174&gt;WorldHeight)),"世界Y越界；","")&amp;IF(AND('03_地点锚点'!E174&lt;&gt;"",COUNTIF('02_固定地理'!$A$2:$A$501,'03_地点锚点'!E174)=0),"父级行政对象不存在；","")&amp;IF(AND('03_地点锚点'!F174&lt;&gt;"",COUNTIF('03_地点锚点'!$A$2:$A$501,'03_地点锚点'!F174)=0),"父级地点不存在；","")&amp;IF(AND('03_地点锚点'!A174&lt;&gt;"",COUNTIF('03_地点锚点'!$A$2:$A$501,'03_地点锚点'!A174)&gt;1),"ID重复；",""),"")</f>
        <v/>
      </c>
      <c r="G674" s="14">
        <f>IF(F674&lt;&gt;"","按字段批注、数据字典和来源记录修正后复核","")</f>
        <v/>
      </c>
      <c r="H674" s="14">
        <f>IF(F674&lt;&gt;"","待处理","")</f>
        <v/>
      </c>
    </row>
    <row r="675">
      <c r="A675" s="14">
        <f>IF(F675&lt;&gt;"","ISSUE-"&amp;TEXT(ROW()-1,"00000"),"")</f>
        <v/>
      </c>
      <c r="B675" s="14">
        <f>IF(F675&lt;&gt;"","错误","")</f>
        <v/>
      </c>
      <c r="C675" s="14">
        <f>IF('03_地点锚点'!A175&lt;&gt;"","03_地点锚点","")</f>
        <v/>
      </c>
      <c r="D675" s="14">
        <f>IF('03_地点锚点'!A175&lt;&gt;"",'03_地点锚点'!A175,"")</f>
        <v/>
      </c>
      <c r="E675" s="14">
        <f>IF(F675&lt;&gt;"","综合校验","")</f>
        <v/>
      </c>
      <c r="F675" s="14">
        <f>IF('03_地点锚点'!A175&lt;&gt;"",IF('03_地点锚点'!A175="","缺少地点ID；","")&amp;IF('03_地点锚点'!B175="","缺少中文名称；","")&amp;IF('03_地点锚点'!D175="","缺少地点类型；","")&amp;IF('03_地点锚点'!G175="","缺少世界X；","")&amp;IF('03_地点锚点'!H175="","缺少世界Y；","")&amp;IF(AND('03_地点锚点'!G175&lt;&gt;"",OR('03_地点锚点'!G175&lt;0,'03_地点锚点'!G175&gt;WorldWidth)),"世界X越界；","")&amp;IF(AND('03_地点锚点'!H175&lt;&gt;"",OR('03_地点锚点'!H175&lt;0,'03_地点锚点'!H175&gt;WorldHeight)),"世界Y越界；","")&amp;IF(AND('03_地点锚点'!E175&lt;&gt;"",COUNTIF('02_固定地理'!$A$2:$A$501,'03_地点锚点'!E175)=0),"父级行政对象不存在；","")&amp;IF(AND('03_地点锚点'!F175&lt;&gt;"",COUNTIF('03_地点锚点'!$A$2:$A$501,'03_地点锚点'!F175)=0),"父级地点不存在；","")&amp;IF(AND('03_地点锚点'!A175&lt;&gt;"",COUNTIF('03_地点锚点'!$A$2:$A$501,'03_地点锚点'!A175)&gt;1),"ID重复；",""),"")</f>
        <v/>
      </c>
      <c r="G675" s="14">
        <f>IF(F675&lt;&gt;"","按字段批注、数据字典和来源记录修正后复核","")</f>
        <v/>
      </c>
      <c r="H675" s="14">
        <f>IF(F675&lt;&gt;"","待处理","")</f>
        <v/>
      </c>
    </row>
    <row r="676">
      <c r="A676" s="14">
        <f>IF(F676&lt;&gt;"","ISSUE-"&amp;TEXT(ROW()-1,"00000"),"")</f>
        <v/>
      </c>
      <c r="B676" s="14">
        <f>IF(F676&lt;&gt;"","错误","")</f>
        <v/>
      </c>
      <c r="C676" s="14">
        <f>IF('03_地点锚点'!A176&lt;&gt;"","03_地点锚点","")</f>
        <v/>
      </c>
      <c r="D676" s="14">
        <f>IF('03_地点锚点'!A176&lt;&gt;"",'03_地点锚点'!A176,"")</f>
        <v/>
      </c>
      <c r="E676" s="14">
        <f>IF(F676&lt;&gt;"","综合校验","")</f>
        <v/>
      </c>
      <c r="F676" s="14">
        <f>IF('03_地点锚点'!A176&lt;&gt;"",IF('03_地点锚点'!A176="","缺少地点ID；","")&amp;IF('03_地点锚点'!B176="","缺少中文名称；","")&amp;IF('03_地点锚点'!D176="","缺少地点类型；","")&amp;IF('03_地点锚点'!G176="","缺少世界X；","")&amp;IF('03_地点锚点'!H176="","缺少世界Y；","")&amp;IF(AND('03_地点锚点'!G176&lt;&gt;"",OR('03_地点锚点'!G176&lt;0,'03_地点锚点'!G176&gt;WorldWidth)),"世界X越界；","")&amp;IF(AND('03_地点锚点'!H176&lt;&gt;"",OR('03_地点锚点'!H176&lt;0,'03_地点锚点'!H176&gt;WorldHeight)),"世界Y越界；","")&amp;IF(AND('03_地点锚点'!E176&lt;&gt;"",COUNTIF('02_固定地理'!$A$2:$A$501,'03_地点锚点'!E176)=0),"父级行政对象不存在；","")&amp;IF(AND('03_地点锚点'!F176&lt;&gt;"",COUNTIF('03_地点锚点'!$A$2:$A$501,'03_地点锚点'!F176)=0),"父级地点不存在；","")&amp;IF(AND('03_地点锚点'!A176&lt;&gt;"",COUNTIF('03_地点锚点'!$A$2:$A$501,'03_地点锚点'!A176)&gt;1),"ID重复；",""),"")</f>
        <v/>
      </c>
      <c r="G676" s="14">
        <f>IF(F676&lt;&gt;"","按字段批注、数据字典和来源记录修正后复核","")</f>
        <v/>
      </c>
      <c r="H676" s="14">
        <f>IF(F676&lt;&gt;"","待处理","")</f>
        <v/>
      </c>
    </row>
    <row r="677">
      <c r="A677" s="14">
        <f>IF(F677&lt;&gt;"","ISSUE-"&amp;TEXT(ROW()-1,"00000"),"")</f>
        <v/>
      </c>
      <c r="B677" s="14">
        <f>IF(F677&lt;&gt;"","错误","")</f>
        <v/>
      </c>
      <c r="C677" s="14">
        <f>IF('03_地点锚点'!A177&lt;&gt;"","03_地点锚点","")</f>
        <v/>
      </c>
      <c r="D677" s="14">
        <f>IF('03_地点锚点'!A177&lt;&gt;"",'03_地点锚点'!A177,"")</f>
        <v/>
      </c>
      <c r="E677" s="14">
        <f>IF(F677&lt;&gt;"","综合校验","")</f>
        <v/>
      </c>
      <c r="F677" s="14">
        <f>IF('03_地点锚点'!A177&lt;&gt;"",IF('03_地点锚点'!A177="","缺少地点ID；","")&amp;IF('03_地点锚点'!B177="","缺少中文名称；","")&amp;IF('03_地点锚点'!D177="","缺少地点类型；","")&amp;IF('03_地点锚点'!G177="","缺少世界X；","")&amp;IF('03_地点锚点'!H177="","缺少世界Y；","")&amp;IF(AND('03_地点锚点'!G177&lt;&gt;"",OR('03_地点锚点'!G177&lt;0,'03_地点锚点'!G177&gt;WorldWidth)),"世界X越界；","")&amp;IF(AND('03_地点锚点'!H177&lt;&gt;"",OR('03_地点锚点'!H177&lt;0,'03_地点锚点'!H177&gt;WorldHeight)),"世界Y越界；","")&amp;IF(AND('03_地点锚点'!E177&lt;&gt;"",COUNTIF('02_固定地理'!$A$2:$A$501,'03_地点锚点'!E177)=0),"父级行政对象不存在；","")&amp;IF(AND('03_地点锚点'!F177&lt;&gt;"",COUNTIF('03_地点锚点'!$A$2:$A$501,'03_地点锚点'!F177)=0),"父级地点不存在；","")&amp;IF(AND('03_地点锚点'!A177&lt;&gt;"",COUNTIF('03_地点锚点'!$A$2:$A$501,'03_地点锚点'!A177)&gt;1),"ID重复；",""),"")</f>
        <v/>
      </c>
      <c r="G677" s="14">
        <f>IF(F677&lt;&gt;"","按字段批注、数据字典和来源记录修正后复核","")</f>
        <v/>
      </c>
      <c r="H677" s="14">
        <f>IF(F677&lt;&gt;"","待处理","")</f>
        <v/>
      </c>
    </row>
    <row r="678">
      <c r="A678" s="14">
        <f>IF(F678&lt;&gt;"","ISSUE-"&amp;TEXT(ROW()-1,"00000"),"")</f>
        <v/>
      </c>
      <c r="B678" s="14">
        <f>IF(F678&lt;&gt;"","错误","")</f>
        <v/>
      </c>
      <c r="C678" s="14">
        <f>IF('03_地点锚点'!A178&lt;&gt;"","03_地点锚点","")</f>
        <v/>
      </c>
      <c r="D678" s="14">
        <f>IF('03_地点锚点'!A178&lt;&gt;"",'03_地点锚点'!A178,"")</f>
        <v/>
      </c>
      <c r="E678" s="14">
        <f>IF(F678&lt;&gt;"","综合校验","")</f>
        <v/>
      </c>
      <c r="F678" s="14">
        <f>IF('03_地点锚点'!A178&lt;&gt;"",IF('03_地点锚点'!A178="","缺少地点ID；","")&amp;IF('03_地点锚点'!B178="","缺少中文名称；","")&amp;IF('03_地点锚点'!D178="","缺少地点类型；","")&amp;IF('03_地点锚点'!G178="","缺少世界X；","")&amp;IF('03_地点锚点'!H178="","缺少世界Y；","")&amp;IF(AND('03_地点锚点'!G178&lt;&gt;"",OR('03_地点锚点'!G178&lt;0,'03_地点锚点'!G178&gt;WorldWidth)),"世界X越界；","")&amp;IF(AND('03_地点锚点'!H178&lt;&gt;"",OR('03_地点锚点'!H178&lt;0,'03_地点锚点'!H178&gt;WorldHeight)),"世界Y越界；","")&amp;IF(AND('03_地点锚点'!E178&lt;&gt;"",COUNTIF('02_固定地理'!$A$2:$A$501,'03_地点锚点'!E178)=0),"父级行政对象不存在；","")&amp;IF(AND('03_地点锚点'!F178&lt;&gt;"",COUNTIF('03_地点锚点'!$A$2:$A$501,'03_地点锚点'!F178)=0),"父级地点不存在；","")&amp;IF(AND('03_地点锚点'!A178&lt;&gt;"",COUNTIF('03_地点锚点'!$A$2:$A$501,'03_地点锚点'!A178)&gt;1),"ID重复；",""),"")</f>
        <v/>
      </c>
      <c r="G678" s="14">
        <f>IF(F678&lt;&gt;"","按字段批注、数据字典和来源记录修正后复核","")</f>
        <v/>
      </c>
      <c r="H678" s="14">
        <f>IF(F678&lt;&gt;"","待处理","")</f>
        <v/>
      </c>
    </row>
    <row r="679">
      <c r="A679" s="14">
        <f>IF(F679&lt;&gt;"","ISSUE-"&amp;TEXT(ROW()-1,"00000"),"")</f>
        <v/>
      </c>
      <c r="B679" s="14">
        <f>IF(F679&lt;&gt;"","错误","")</f>
        <v/>
      </c>
      <c r="C679" s="14">
        <f>IF('03_地点锚点'!A179&lt;&gt;"","03_地点锚点","")</f>
        <v/>
      </c>
      <c r="D679" s="14">
        <f>IF('03_地点锚点'!A179&lt;&gt;"",'03_地点锚点'!A179,"")</f>
        <v/>
      </c>
      <c r="E679" s="14">
        <f>IF(F679&lt;&gt;"","综合校验","")</f>
        <v/>
      </c>
      <c r="F679" s="14">
        <f>IF('03_地点锚点'!A179&lt;&gt;"",IF('03_地点锚点'!A179="","缺少地点ID；","")&amp;IF('03_地点锚点'!B179="","缺少中文名称；","")&amp;IF('03_地点锚点'!D179="","缺少地点类型；","")&amp;IF('03_地点锚点'!G179="","缺少世界X；","")&amp;IF('03_地点锚点'!H179="","缺少世界Y；","")&amp;IF(AND('03_地点锚点'!G179&lt;&gt;"",OR('03_地点锚点'!G179&lt;0,'03_地点锚点'!G179&gt;WorldWidth)),"世界X越界；","")&amp;IF(AND('03_地点锚点'!H179&lt;&gt;"",OR('03_地点锚点'!H179&lt;0,'03_地点锚点'!H179&gt;WorldHeight)),"世界Y越界；","")&amp;IF(AND('03_地点锚点'!E179&lt;&gt;"",COUNTIF('02_固定地理'!$A$2:$A$501,'03_地点锚点'!E179)=0),"父级行政对象不存在；","")&amp;IF(AND('03_地点锚点'!F179&lt;&gt;"",COUNTIF('03_地点锚点'!$A$2:$A$501,'03_地点锚点'!F179)=0),"父级地点不存在；","")&amp;IF(AND('03_地点锚点'!A179&lt;&gt;"",COUNTIF('03_地点锚点'!$A$2:$A$501,'03_地点锚点'!A179)&gt;1),"ID重复；",""),"")</f>
        <v/>
      </c>
      <c r="G679" s="14">
        <f>IF(F679&lt;&gt;"","按字段批注、数据字典和来源记录修正后复核","")</f>
        <v/>
      </c>
      <c r="H679" s="14">
        <f>IF(F679&lt;&gt;"","待处理","")</f>
        <v/>
      </c>
    </row>
    <row r="680">
      <c r="A680" s="14">
        <f>IF(F680&lt;&gt;"","ISSUE-"&amp;TEXT(ROW()-1,"00000"),"")</f>
        <v/>
      </c>
      <c r="B680" s="14">
        <f>IF(F680&lt;&gt;"","错误","")</f>
        <v/>
      </c>
      <c r="C680" s="14">
        <f>IF('03_地点锚点'!A180&lt;&gt;"","03_地点锚点","")</f>
        <v/>
      </c>
      <c r="D680" s="14">
        <f>IF('03_地点锚点'!A180&lt;&gt;"",'03_地点锚点'!A180,"")</f>
        <v/>
      </c>
      <c r="E680" s="14">
        <f>IF(F680&lt;&gt;"","综合校验","")</f>
        <v/>
      </c>
      <c r="F680" s="14">
        <f>IF('03_地点锚点'!A180&lt;&gt;"",IF('03_地点锚点'!A180="","缺少地点ID；","")&amp;IF('03_地点锚点'!B180="","缺少中文名称；","")&amp;IF('03_地点锚点'!D180="","缺少地点类型；","")&amp;IF('03_地点锚点'!G180="","缺少世界X；","")&amp;IF('03_地点锚点'!H180="","缺少世界Y；","")&amp;IF(AND('03_地点锚点'!G180&lt;&gt;"",OR('03_地点锚点'!G180&lt;0,'03_地点锚点'!G180&gt;WorldWidth)),"世界X越界；","")&amp;IF(AND('03_地点锚点'!H180&lt;&gt;"",OR('03_地点锚点'!H180&lt;0,'03_地点锚点'!H180&gt;WorldHeight)),"世界Y越界；","")&amp;IF(AND('03_地点锚点'!E180&lt;&gt;"",COUNTIF('02_固定地理'!$A$2:$A$501,'03_地点锚点'!E180)=0),"父级行政对象不存在；","")&amp;IF(AND('03_地点锚点'!F180&lt;&gt;"",COUNTIF('03_地点锚点'!$A$2:$A$501,'03_地点锚点'!F180)=0),"父级地点不存在；","")&amp;IF(AND('03_地点锚点'!A180&lt;&gt;"",COUNTIF('03_地点锚点'!$A$2:$A$501,'03_地点锚点'!A180)&gt;1),"ID重复；",""),"")</f>
        <v/>
      </c>
      <c r="G680" s="14">
        <f>IF(F680&lt;&gt;"","按字段批注、数据字典和来源记录修正后复核","")</f>
        <v/>
      </c>
      <c r="H680" s="14">
        <f>IF(F680&lt;&gt;"","待处理","")</f>
        <v/>
      </c>
    </row>
    <row r="681">
      <c r="A681" s="14">
        <f>IF(F681&lt;&gt;"","ISSUE-"&amp;TEXT(ROW()-1,"00000"),"")</f>
        <v/>
      </c>
      <c r="B681" s="14">
        <f>IF(F681&lt;&gt;"","错误","")</f>
        <v/>
      </c>
      <c r="C681" s="14">
        <f>IF('03_地点锚点'!A181&lt;&gt;"","03_地点锚点","")</f>
        <v/>
      </c>
      <c r="D681" s="14">
        <f>IF('03_地点锚点'!A181&lt;&gt;"",'03_地点锚点'!A181,"")</f>
        <v/>
      </c>
      <c r="E681" s="14">
        <f>IF(F681&lt;&gt;"","综合校验","")</f>
        <v/>
      </c>
      <c r="F681" s="14">
        <f>IF('03_地点锚点'!A181&lt;&gt;"",IF('03_地点锚点'!A181="","缺少地点ID；","")&amp;IF('03_地点锚点'!B181="","缺少中文名称；","")&amp;IF('03_地点锚点'!D181="","缺少地点类型；","")&amp;IF('03_地点锚点'!G181="","缺少世界X；","")&amp;IF('03_地点锚点'!H181="","缺少世界Y；","")&amp;IF(AND('03_地点锚点'!G181&lt;&gt;"",OR('03_地点锚点'!G181&lt;0,'03_地点锚点'!G181&gt;WorldWidth)),"世界X越界；","")&amp;IF(AND('03_地点锚点'!H181&lt;&gt;"",OR('03_地点锚点'!H181&lt;0,'03_地点锚点'!H181&gt;WorldHeight)),"世界Y越界；","")&amp;IF(AND('03_地点锚点'!E181&lt;&gt;"",COUNTIF('02_固定地理'!$A$2:$A$501,'03_地点锚点'!E181)=0),"父级行政对象不存在；","")&amp;IF(AND('03_地点锚点'!F181&lt;&gt;"",COUNTIF('03_地点锚点'!$A$2:$A$501,'03_地点锚点'!F181)=0),"父级地点不存在；","")&amp;IF(AND('03_地点锚点'!A181&lt;&gt;"",COUNTIF('03_地点锚点'!$A$2:$A$501,'03_地点锚点'!A181)&gt;1),"ID重复；",""),"")</f>
        <v/>
      </c>
      <c r="G681" s="14">
        <f>IF(F681&lt;&gt;"","按字段批注、数据字典和来源记录修正后复核","")</f>
        <v/>
      </c>
      <c r="H681" s="14">
        <f>IF(F681&lt;&gt;"","待处理","")</f>
        <v/>
      </c>
    </row>
    <row r="682">
      <c r="A682" s="14">
        <f>IF(F682&lt;&gt;"","ISSUE-"&amp;TEXT(ROW()-1,"00000"),"")</f>
        <v/>
      </c>
      <c r="B682" s="14">
        <f>IF(F682&lt;&gt;"","错误","")</f>
        <v/>
      </c>
      <c r="C682" s="14">
        <f>IF('03_地点锚点'!A182&lt;&gt;"","03_地点锚点","")</f>
        <v/>
      </c>
      <c r="D682" s="14">
        <f>IF('03_地点锚点'!A182&lt;&gt;"",'03_地点锚点'!A182,"")</f>
        <v/>
      </c>
      <c r="E682" s="14">
        <f>IF(F682&lt;&gt;"","综合校验","")</f>
        <v/>
      </c>
      <c r="F682" s="14">
        <f>IF('03_地点锚点'!A182&lt;&gt;"",IF('03_地点锚点'!A182="","缺少地点ID；","")&amp;IF('03_地点锚点'!B182="","缺少中文名称；","")&amp;IF('03_地点锚点'!D182="","缺少地点类型；","")&amp;IF('03_地点锚点'!G182="","缺少世界X；","")&amp;IF('03_地点锚点'!H182="","缺少世界Y；","")&amp;IF(AND('03_地点锚点'!G182&lt;&gt;"",OR('03_地点锚点'!G182&lt;0,'03_地点锚点'!G182&gt;WorldWidth)),"世界X越界；","")&amp;IF(AND('03_地点锚点'!H182&lt;&gt;"",OR('03_地点锚点'!H182&lt;0,'03_地点锚点'!H182&gt;WorldHeight)),"世界Y越界；","")&amp;IF(AND('03_地点锚点'!E182&lt;&gt;"",COUNTIF('02_固定地理'!$A$2:$A$501,'03_地点锚点'!E182)=0),"父级行政对象不存在；","")&amp;IF(AND('03_地点锚点'!F182&lt;&gt;"",COUNTIF('03_地点锚点'!$A$2:$A$501,'03_地点锚点'!F182)=0),"父级地点不存在；","")&amp;IF(AND('03_地点锚点'!A182&lt;&gt;"",COUNTIF('03_地点锚点'!$A$2:$A$501,'03_地点锚点'!A182)&gt;1),"ID重复；",""),"")</f>
        <v/>
      </c>
      <c r="G682" s="14">
        <f>IF(F682&lt;&gt;"","按字段批注、数据字典和来源记录修正后复核","")</f>
        <v/>
      </c>
      <c r="H682" s="14">
        <f>IF(F682&lt;&gt;"","待处理","")</f>
        <v/>
      </c>
    </row>
    <row r="683">
      <c r="A683" s="14">
        <f>IF(F683&lt;&gt;"","ISSUE-"&amp;TEXT(ROW()-1,"00000"),"")</f>
        <v/>
      </c>
      <c r="B683" s="14">
        <f>IF(F683&lt;&gt;"","错误","")</f>
        <v/>
      </c>
      <c r="C683" s="14">
        <f>IF('03_地点锚点'!A183&lt;&gt;"","03_地点锚点","")</f>
        <v/>
      </c>
      <c r="D683" s="14">
        <f>IF('03_地点锚点'!A183&lt;&gt;"",'03_地点锚点'!A183,"")</f>
        <v/>
      </c>
      <c r="E683" s="14">
        <f>IF(F683&lt;&gt;"","综合校验","")</f>
        <v/>
      </c>
      <c r="F683" s="14">
        <f>IF('03_地点锚点'!A183&lt;&gt;"",IF('03_地点锚点'!A183="","缺少地点ID；","")&amp;IF('03_地点锚点'!B183="","缺少中文名称；","")&amp;IF('03_地点锚点'!D183="","缺少地点类型；","")&amp;IF('03_地点锚点'!G183="","缺少世界X；","")&amp;IF('03_地点锚点'!H183="","缺少世界Y；","")&amp;IF(AND('03_地点锚点'!G183&lt;&gt;"",OR('03_地点锚点'!G183&lt;0,'03_地点锚点'!G183&gt;WorldWidth)),"世界X越界；","")&amp;IF(AND('03_地点锚点'!H183&lt;&gt;"",OR('03_地点锚点'!H183&lt;0,'03_地点锚点'!H183&gt;WorldHeight)),"世界Y越界；","")&amp;IF(AND('03_地点锚点'!E183&lt;&gt;"",COUNTIF('02_固定地理'!$A$2:$A$501,'03_地点锚点'!E183)=0),"父级行政对象不存在；","")&amp;IF(AND('03_地点锚点'!F183&lt;&gt;"",COUNTIF('03_地点锚点'!$A$2:$A$501,'03_地点锚点'!F183)=0),"父级地点不存在；","")&amp;IF(AND('03_地点锚点'!A183&lt;&gt;"",COUNTIF('03_地点锚点'!$A$2:$A$501,'03_地点锚点'!A183)&gt;1),"ID重复；",""),"")</f>
        <v/>
      </c>
      <c r="G683" s="14">
        <f>IF(F683&lt;&gt;"","按字段批注、数据字典和来源记录修正后复核","")</f>
        <v/>
      </c>
      <c r="H683" s="14">
        <f>IF(F683&lt;&gt;"","待处理","")</f>
        <v/>
      </c>
    </row>
    <row r="684">
      <c r="A684" s="14">
        <f>IF(F684&lt;&gt;"","ISSUE-"&amp;TEXT(ROW()-1,"00000"),"")</f>
        <v/>
      </c>
      <c r="B684" s="14">
        <f>IF(F684&lt;&gt;"","错误","")</f>
        <v/>
      </c>
      <c r="C684" s="14">
        <f>IF('03_地点锚点'!A184&lt;&gt;"","03_地点锚点","")</f>
        <v/>
      </c>
      <c r="D684" s="14">
        <f>IF('03_地点锚点'!A184&lt;&gt;"",'03_地点锚点'!A184,"")</f>
        <v/>
      </c>
      <c r="E684" s="14">
        <f>IF(F684&lt;&gt;"","综合校验","")</f>
        <v/>
      </c>
      <c r="F684" s="14">
        <f>IF('03_地点锚点'!A184&lt;&gt;"",IF('03_地点锚点'!A184="","缺少地点ID；","")&amp;IF('03_地点锚点'!B184="","缺少中文名称；","")&amp;IF('03_地点锚点'!D184="","缺少地点类型；","")&amp;IF('03_地点锚点'!G184="","缺少世界X；","")&amp;IF('03_地点锚点'!H184="","缺少世界Y；","")&amp;IF(AND('03_地点锚点'!G184&lt;&gt;"",OR('03_地点锚点'!G184&lt;0,'03_地点锚点'!G184&gt;WorldWidth)),"世界X越界；","")&amp;IF(AND('03_地点锚点'!H184&lt;&gt;"",OR('03_地点锚点'!H184&lt;0,'03_地点锚点'!H184&gt;WorldHeight)),"世界Y越界；","")&amp;IF(AND('03_地点锚点'!E184&lt;&gt;"",COUNTIF('02_固定地理'!$A$2:$A$501,'03_地点锚点'!E184)=0),"父级行政对象不存在；","")&amp;IF(AND('03_地点锚点'!F184&lt;&gt;"",COUNTIF('03_地点锚点'!$A$2:$A$501,'03_地点锚点'!F184)=0),"父级地点不存在；","")&amp;IF(AND('03_地点锚点'!A184&lt;&gt;"",COUNTIF('03_地点锚点'!$A$2:$A$501,'03_地点锚点'!A184)&gt;1),"ID重复；",""),"")</f>
        <v/>
      </c>
      <c r="G684" s="14">
        <f>IF(F684&lt;&gt;"","按字段批注、数据字典和来源记录修正后复核","")</f>
        <v/>
      </c>
      <c r="H684" s="14">
        <f>IF(F684&lt;&gt;"","待处理","")</f>
        <v/>
      </c>
    </row>
    <row r="685">
      <c r="A685" s="14">
        <f>IF(F685&lt;&gt;"","ISSUE-"&amp;TEXT(ROW()-1,"00000"),"")</f>
        <v/>
      </c>
      <c r="B685" s="14">
        <f>IF(F685&lt;&gt;"","错误","")</f>
        <v/>
      </c>
      <c r="C685" s="14">
        <f>IF('03_地点锚点'!A185&lt;&gt;"","03_地点锚点","")</f>
        <v/>
      </c>
      <c r="D685" s="14">
        <f>IF('03_地点锚点'!A185&lt;&gt;"",'03_地点锚点'!A185,"")</f>
        <v/>
      </c>
      <c r="E685" s="14">
        <f>IF(F685&lt;&gt;"","综合校验","")</f>
        <v/>
      </c>
      <c r="F685" s="14">
        <f>IF('03_地点锚点'!A185&lt;&gt;"",IF('03_地点锚点'!A185="","缺少地点ID；","")&amp;IF('03_地点锚点'!B185="","缺少中文名称；","")&amp;IF('03_地点锚点'!D185="","缺少地点类型；","")&amp;IF('03_地点锚点'!G185="","缺少世界X；","")&amp;IF('03_地点锚点'!H185="","缺少世界Y；","")&amp;IF(AND('03_地点锚点'!G185&lt;&gt;"",OR('03_地点锚点'!G185&lt;0,'03_地点锚点'!G185&gt;WorldWidth)),"世界X越界；","")&amp;IF(AND('03_地点锚点'!H185&lt;&gt;"",OR('03_地点锚点'!H185&lt;0,'03_地点锚点'!H185&gt;WorldHeight)),"世界Y越界；","")&amp;IF(AND('03_地点锚点'!E185&lt;&gt;"",COUNTIF('02_固定地理'!$A$2:$A$501,'03_地点锚点'!E185)=0),"父级行政对象不存在；","")&amp;IF(AND('03_地点锚点'!F185&lt;&gt;"",COUNTIF('03_地点锚点'!$A$2:$A$501,'03_地点锚点'!F185)=0),"父级地点不存在；","")&amp;IF(AND('03_地点锚点'!A185&lt;&gt;"",COUNTIF('03_地点锚点'!$A$2:$A$501,'03_地点锚点'!A185)&gt;1),"ID重复；",""),"")</f>
        <v/>
      </c>
      <c r="G685" s="14">
        <f>IF(F685&lt;&gt;"","按字段批注、数据字典和来源记录修正后复核","")</f>
        <v/>
      </c>
      <c r="H685" s="14">
        <f>IF(F685&lt;&gt;"","待处理","")</f>
        <v/>
      </c>
    </row>
    <row r="686">
      <c r="A686" s="14">
        <f>IF(F686&lt;&gt;"","ISSUE-"&amp;TEXT(ROW()-1,"00000"),"")</f>
        <v/>
      </c>
      <c r="B686" s="14">
        <f>IF(F686&lt;&gt;"","错误","")</f>
        <v/>
      </c>
      <c r="C686" s="14">
        <f>IF('03_地点锚点'!A186&lt;&gt;"","03_地点锚点","")</f>
        <v/>
      </c>
      <c r="D686" s="14">
        <f>IF('03_地点锚点'!A186&lt;&gt;"",'03_地点锚点'!A186,"")</f>
        <v/>
      </c>
      <c r="E686" s="14">
        <f>IF(F686&lt;&gt;"","综合校验","")</f>
        <v/>
      </c>
      <c r="F686" s="14">
        <f>IF('03_地点锚点'!A186&lt;&gt;"",IF('03_地点锚点'!A186="","缺少地点ID；","")&amp;IF('03_地点锚点'!B186="","缺少中文名称；","")&amp;IF('03_地点锚点'!D186="","缺少地点类型；","")&amp;IF('03_地点锚点'!G186="","缺少世界X；","")&amp;IF('03_地点锚点'!H186="","缺少世界Y；","")&amp;IF(AND('03_地点锚点'!G186&lt;&gt;"",OR('03_地点锚点'!G186&lt;0,'03_地点锚点'!G186&gt;WorldWidth)),"世界X越界；","")&amp;IF(AND('03_地点锚点'!H186&lt;&gt;"",OR('03_地点锚点'!H186&lt;0,'03_地点锚点'!H186&gt;WorldHeight)),"世界Y越界；","")&amp;IF(AND('03_地点锚点'!E186&lt;&gt;"",COUNTIF('02_固定地理'!$A$2:$A$501,'03_地点锚点'!E186)=0),"父级行政对象不存在；","")&amp;IF(AND('03_地点锚点'!F186&lt;&gt;"",COUNTIF('03_地点锚点'!$A$2:$A$501,'03_地点锚点'!F186)=0),"父级地点不存在；","")&amp;IF(AND('03_地点锚点'!A186&lt;&gt;"",COUNTIF('03_地点锚点'!$A$2:$A$501,'03_地点锚点'!A186)&gt;1),"ID重复；",""),"")</f>
        <v/>
      </c>
      <c r="G686" s="14">
        <f>IF(F686&lt;&gt;"","按字段批注、数据字典和来源记录修正后复核","")</f>
        <v/>
      </c>
      <c r="H686" s="14">
        <f>IF(F686&lt;&gt;"","待处理","")</f>
        <v/>
      </c>
    </row>
    <row r="687">
      <c r="A687" s="14">
        <f>IF(F687&lt;&gt;"","ISSUE-"&amp;TEXT(ROW()-1,"00000"),"")</f>
        <v/>
      </c>
      <c r="B687" s="14">
        <f>IF(F687&lt;&gt;"","错误","")</f>
        <v/>
      </c>
      <c r="C687" s="14">
        <f>IF('03_地点锚点'!A187&lt;&gt;"","03_地点锚点","")</f>
        <v/>
      </c>
      <c r="D687" s="14">
        <f>IF('03_地点锚点'!A187&lt;&gt;"",'03_地点锚点'!A187,"")</f>
        <v/>
      </c>
      <c r="E687" s="14">
        <f>IF(F687&lt;&gt;"","综合校验","")</f>
        <v/>
      </c>
      <c r="F687" s="14">
        <f>IF('03_地点锚点'!A187&lt;&gt;"",IF('03_地点锚点'!A187="","缺少地点ID；","")&amp;IF('03_地点锚点'!B187="","缺少中文名称；","")&amp;IF('03_地点锚点'!D187="","缺少地点类型；","")&amp;IF('03_地点锚点'!G187="","缺少世界X；","")&amp;IF('03_地点锚点'!H187="","缺少世界Y；","")&amp;IF(AND('03_地点锚点'!G187&lt;&gt;"",OR('03_地点锚点'!G187&lt;0,'03_地点锚点'!G187&gt;WorldWidth)),"世界X越界；","")&amp;IF(AND('03_地点锚点'!H187&lt;&gt;"",OR('03_地点锚点'!H187&lt;0,'03_地点锚点'!H187&gt;WorldHeight)),"世界Y越界；","")&amp;IF(AND('03_地点锚点'!E187&lt;&gt;"",COUNTIF('02_固定地理'!$A$2:$A$501,'03_地点锚点'!E187)=0),"父级行政对象不存在；","")&amp;IF(AND('03_地点锚点'!F187&lt;&gt;"",COUNTIF('03_地点锚点'!$A$2:$A$501,'03_地点锚点'!F187)=0),"父级地点不存在；","")&amp;IF(AND('03_地点锚点'!A187&lt;&gt;"",COUNTIF('03_地点锚点'!$A$2:$A$501,'03_地点锚点'!A187)&gt;1),"ID重复；",""),"")</f>
        <v/>
      </c>
      <c r="G687" s="14">
        <f>IF(F687&lt;&gt;"","按字段批注、数据字典和来源记录修正后复核","")</f>
        <v/>
      </c>
      <c r="H687" s="14">
        <f>IF(F687&lt;&gt;"","待处理","")</f>
        <v/>
      </c>
    </row>
    <row r="688">
      <c r="A688" s="14">
        <f>IF(F688&lt;&gt;"","ISSUE-"&amp;TEXT(ROW()-1,"00000"),"")</f>
        <v/>
      </c>
      <c r="B688" s="14">
        <f>IF(F688&lt;&gt;"","错误","")</f>
        <v/>
      </c>
      <c r="C688" s="14">
        <f>IF('03_地点锚点'!A188&lt;&gt;"","03_地点锚点","")</f>
        <v/>
      </c>
      <c r="D688" s="14">
        <f>IF('03_地点锚点'!A188&lt;&gt;"",'03_地点锚点'!A188,"")</f>
        <v/>
      </c>
      <c r="E688" s="14">
        <f>IF(F688&lt;&gt;"","综合校验","")</f>
        <v/>
      </c>
      <c r="F688" s="14">
        <f>IF('03_地点锚点'!A188&lt;&gt;"",IF('03_地点锚点'!A188="","缺少地点ID；","")&amp;IF('03_地点锚点'!B188="","缺少中文名称；","")&amp;IF('03_地点锚点'!D188="","缺少地点类型；","")&amp;IF('03_地点锚点'!G188="","缺少世界X；","")&amp;IF('03_地点锚点'!H188="","缺少世界Y；","")&amp;IF(AND('03_地点锚点'!G188&lt;&gt;"",OR('03_地点锚点'!G188&lt;0,'03_地点锚点'!G188&gt;WorldWidth)),"世界X越界；","")&amp;IF(AND('03_地点锚点'!H188&lt;&gt;"",OR('03_地点锚点'!H188&lt;0,'03_地点锚点'!H188&gt;WorldHeight)),"世界Y越界；","")&amp;IF(AND('03_地点锚点'!E188&lt;&gt;"",COUNTIF('02_固定地理'!$A$2:$A$501,'03_地点锚点'!E188)=0),"父级行政对象不存在；","")&amp;IF(AND('03_地点锚点'!F188&lt;&gt;"",COUNTIF('03_地点锚点'!$A$2:$A$501,'03_地点锚点'!F188)=0),"父级地点不存在；","")&amp;IF(AND('03_地点锚点'!A188&lt;&gt;"",COUNTIF('03_地点锚点'!$A$2:$A$501,'03_地点锚点'!A188)&gt;1),"ID重复；",""),"")</f>
        <v/>
      </c>
      <c r="G688" s="14">
        <f>IF(F688&lt;&gt;"","按字段批注、数据字典和来源记录修正后复核","")</f>
        <v/>
      </c>
      <c r="H688" s="14">
        <f>IF(F688&lt;&gt;"","待处理","")</f>
        <v/>
      </c>
    </row>
    <row r="689">
      <c r="A689" s="14">
        <f>IF(F689&lt;&gt;"","ISSUE-"&amp;TEXT(ROW()-1,"00000"),"")</f>
        <v/>
      </c>
      <c r="B689" s="14">
        <f>IF(F689&lt;&gt;"","错误","")</f>
        <v/>
      </c>
      <c r="C689" s="14">
        <f>IF('03_地点锚点'!A189&lt;&gt;"","03_地点锚点","")</f>
        <v/>
      </c>
      <c r="D689" s="14">
        <f>IF('03_地点锚点'!A189&lt;&gt;"",'03_地点锚点'!A189,"")</f>
        <v/>
      </c>
      <c r="E689" s="14">
        <f>IF(F689&lt;&gt;"","综合校验","")</f>
        <v/>
      </c>
      <c r="F689" s="14">
        <f>IF('03_地点锚点'!A189&lt;&gt;"",IF('03_地点锚点'!A189="","缺少地点ID；","")&amp;IF('03_地点锚点'!B189="","缺少中文名称；","")&amp;IF('03_地点锚点'!D189="","缺少地点类型；","")&amp;IF('03_地点锚点'!G189="","缺少世界X；","")&amp;IF('03_地点锚点'!H189="","缺少世界Y；","")&amp;IF(AND('03_地点锚点'!G189&lt;&gt;"",OR('03_地点锚点'!G189&lt;0,'03_地点锚点'!G189&gt;WorldWidth)),"世界X越界；","")&amp;IF(AND('03_地点锚点'!H189&lt;&gt;"",OR('03_地点锚点'!H189&lt;0,'03_地点锚点'!H189&gt;WorldHeight)),"世界Y越界；","")&amp;IF(AND('03_地点锚点'!E189&lt;&gt;"",COUNTIF('02_固定地理'!$A$2:$A$501,'03_地点锚点'!E189)=0),"父级行政对象不存在；","")&amp;IF(AND('03_地点锚点'!F189&lt;&gt;"",COUNTIF('03_地点锚点'!$A$2:$A$501,'03_地点锚点'!F189)=0),"父级地点不存在；","")&amp;IF(AND('03_地点锚点'!A189&lt;&gt;"",COUNTIF('03_地点锚点'!$A$2:$A$501,'03_地点锚点'!A189)&gt;1),"ID重复；",""),"")</f>
        <v/>
      </c>
      <c r="G689" s="14">
        <f>IF(F689&lt;&gt;"","按字段批注、数据字典和来源记录修正后复核","")</f>
        <v/>
      </c>
      <c r="H689" s="14">
        <f>IF(F689&lt;&gt;"","待处理","")</f>
        <v/>
      </c>
    </row>
    <row r="690">
      <c r="A690" s="14">
        <f>IF(F690&lt;&gt;"","ISSUE-"&amp;TEXT(ROW()-1,"00000"),"")</f>
        <v/>
      </c>
      <c r="B690" s="14">
        <f>IF(F690&lt;&gt;"","错误","")</f>
        <v/>
      </c>
      <c r="C690" s="14">
        <f>IF('03_地点锚点'!A190&lt;&gt;"","03_地点锚点","")</f>
        <v/>
      </c>
      <c r="D690" s="14">
        <f>IF('03_地点锚点'!A190&lt;&gt;"",'03_地点锚点'!A190,"")</f>
        <v/>
      </c>
      <c r="E690" s="14">
        <f>IF(F690&lt;&gt;"","综合校验","")</f>
        <v/>
      </c>
      <c r="F690" s="14">
        <f>IF('03_地点锚点'!A190&lt;&gt;"",IF('03_地点锚点'!A190="","缺少地点ID；","")&amp;IF('03_地点锚点'!B190="","缺少中文名称；","")&amp;IF('03_地点锚点'!D190="","缺少地点类型；","")&amp;IF('03_地点锚点'!G190="","缺少世界X；","")&amp;IF('03_地点锚点'!H190="","缺少世界Y；","")&amp;IF(AND('03_地点锚点'!G190&lt;&gt;"",OR('03_地点锚点'!G190&lt;0,'03_地点锚点'!G190&gt;WorldWidth)),"世界X越界；","")&amp;IF(AND('03_地点锚点'!H190&lt;&gt;"",OR('03_地点锚点'!H190&lt;0,'03_地点锚点'!H190&gt;WorldHeight)),"世界Y越界；","")&amp;IF(AND('03_地点锚点'!E190&lt;&gt;"",COUNTIF('02_固定地理'!$A$2:$A$501,'03_地点锚点'!E190)=0),"父级行政对象不存在；","")&amp;IF(AND('03_地点锚点'!F190&lt;&gt;"",COUNTIF('03_地点锚点'!$A$2:$A$501,'03_地点锚点'!F190)=0),"父级地点不存在；","")&amp;IF(AND('03_地点锚点'!A190&lt;&gt;"",COUNTIF('03_地点锚点'!$A$2:$A$501,'03_地点锚点'!A190)&gt;1),"ID重复；",""),"")</f>
        <v/>
      </c>
      <c r="G690" s="14">
        <f>IF(F690&lt;&gt;"","按字段批注、数据字典和来源记录修正后复核","")</f>
        <v/>
      </c>
      <c r="H690" s="14">
        <f>IF(F690&lt;&gt;"","待处理","")</f>
        <v/>
      </c>
    </row>
    <row r="691">
      <c r="A691" s="14">
        <f>IF(F691&lt;&gt;"","ISSUE-"&amp;TEXT(ROW()-1,"00000"),"")</f>
        <v/>
      </c>
      <c r="B691" s="14">
        <f>IF(F691&lt;&gt;"","错误","")</f>
        <v/>
      </c>
      <c r="C691" s="14">
        <f>IF('03_地点锚点'!A191&lt;&gt;"","03_地点锚点","")</f>
        <v/>
      </c>
      <c r="D691" s="14">
        <f>IF('03_地点锚点'!A191&lt;&gt;"",'03_地点锚点'!A191,"")</f>
        <v/>
      </c>
      <c r="E691" s="14">
        <f>IF(F691&lt;&gt;"","综合校验","")</f>
        <v/>
      </c>
      <c r="F691" s="14">
        <f>IF('03_地点锚点'!A191&lt;&gt;"",IF('03_地点锚点'!A191="","缺少地点ID；","")&amp;IF('03_地点锚点'!B191="","缺少中文名称；","")&amp;IF('03_地点锚点'!D191="","缺少地点类型；","")&amp;IF('03_地点锚点'!G191="","缺少世界X；","")&amp;IF('03_地点锚点'!H191="","缺少世界Y；","")&amp;IF(AND('03_地点锚点'!G191&lt;&gt;"",OR('03_地点锚点'!G191&lt;0,'03_地点锚点'!G191&gt;WorldWidth)),"世界X越界；","")&amp;IF(AND('03_地点锚点'!H191&lt;&gt;"",OR('03_地点锚点'!H191&lt;0,'03_地点锚点'!H191&gt;WorldHeight)),"世界Y越界；","")&amp;IF(AND('03_地点锚点'!E191&lt;&gt;"",COUNTIF('02_固定地理'!$A$2:$A$501,'03_地点锚点'!E191)=0),"父级行政对象不存在；","")&amp;IF(AND('03_地点锚点'!F191&lt;&gt;"",COUNTIF('03_地点锚点'!$A$2:$A$501,'03_地点锚点'!F191)=0),"父级地点不存在；","")&amp;IF(AND('03_地点锚点'!A191&lt;&gt;"",COUNTIF('03_地点锚点'!$A$2:$A$501,'03_地点锚点'!A191)&gt;1),"ID重复；",""),"")</f>
        <v/>
      </c>
      <c r="G691" s="14">
        <f>IF(F691&lt;&gt;"","按字段批注、数据字典和来源记录修正后复核","")</f>
        <v/>
      </c>
      <c r="H691" s="14">
        <f>IF(F691&lt;&gt;"","待处理","")</f>
        <v/>
      </c>
    </row>
    <row r="692">
      <c r="A692" s="14">
        <f>IF(F692&lt;&gt;"","ISSUE-"&amp;TEXT(ROW()-1,"00000"),"")</f>
        <v/>
      </c>
      <c r="B692" s="14">
        <f>IF(F692&lt;&gt;"","错误","")</f>
        <v/>
      </c>
      <c r="C692" s="14">
        <f>IF('03_地点锚点'!A192&lt;&gt;"","03_地点锚点","")</f>
        <v/>
      </c>
      <c r="D692" s="14">
        <f>IF('03_地点锚点'!A192&lt;&gt;"",'03_地点锚点'!A192,"")</f>
        <v/>
      </c>
      <c r="E692" s="14">
        <f>IF(F692&lt;&gt;"","综合校验","")</f>
        <v/>
      </c>
      <c r="F692" s="14">
        <f>IF('03_地点锚点'!A192&lt;&gt;"",IF('03_地点锚点'!A192="","缺少地点ID；","")&amp;IF('03_地点锚点'!B192="","缺少中文名称；","")&amp;IF('03_地点锚点'!D192="","缺少地点类型；","")&amp;IF('03_地点锚点'!G192="","缺少世界X；","")&amp;IF('03_地点锚点'!H192="","缺少世界Y；","")&amp;IF(AND('03_地点锚点'!G192&lt;&gt;"",OR('03_地点锚点'!G192&lt;0,'03_地点锚点'!G192&gt;WorldWidth)),"世界X越界；","")&amp;IF(AND('03_地点锚点'!H192&lt;&gt;"",OR('03_地点锚点'!H192&lt;0,'03_地点锚点'!H192&gt;WorldHeight)),"世界Y越界；","")&amp;IF(AND('03_地点锚点'!E192&lt;&gt;"",COUNTIF('02_固定地理'!$A$2:$A$501,'03_地点锚点'!E192)=0),"父级行政对象不存在；","")&amp;IF(AND('03_地点锚点'!F192&lt;&gt;"",COUNTIF('03_地点锚点'!$A$2:$A$501,'03_地点锚点'!F192)=0),"父级地点不存在；","")&amp;IF(AND('03_地点锚点'!A192&lt;&gt;"",COUNTIF('03_地点锚点'!$A$2:$A$501,'03_地点锚点'!A192)&gt;1),"ID重复；",""),"")</f>
        <v/>
      </c>
      <c r="G692" s="14">
        <f>IF(F692&lt;&gt;"","按字段批注、数据字典和来源记录修正后复核","")</f>
        <v/>
      </c>
      <c r="H692" s="14">
        <f>IF(F692&lt;&gt;"","待处理","")</f>
        <v/>
      </c>
    </row>
    <row r="693">
      <c r="A693" s="14">
        <f>IF(F693&lt;&gt;"","ISSUE-"&amp;TEXT(ROW()-1,"00000"),"")</f>
        <v/>
      </c>
      <c r="B693" s="14">
        <f>IF(F693&lt;&gt;"","错误","")</f>
        <v/>
      </c>
      <c r="C693" s="14">
        <f>IF('03_地点锚点'!A193&lt;&gt;"","03_地点锚点","")</f>
        <v/>
      </c>
      <c r="D693" s="14">
        <f>IF('03_地点锚点'!A193&lt;&gt;"",'03_地点锚点'!A193,"")</f>
        <v/>
      </c>
      <c r="E693" s="14">
        <f>IF(F693&lt;&gt;"","综合校验","")</f>
        <v/>
      </c>
      <c r="F693" s="14">
        <f>IF('03_地点锚点'!A193&lt;&gt;"",IF('03_地点锚点'!A193="","缺少地点ID；","")&amp;IF('03_地点锚点'!B193="","缺少中文名称；","")&amp;IF('03_地点锚点'!D193="","缺少地点类型；","")&amp;IF('03_地点锚点'!G193="","缺少世界X；","")&amp;IF('03_地点锚点'!H193="","缺少世界Y；","")&amp;IF(AND('03_地点锚点'!G193&lt;&gt;"",OR('03_地点锚点'!G193&lt;0,'03_地点锚点'!G193&gt;WorldWidth)),"世界X越界；","")&amp;IF(AND('03_地点锚点'!H193&lt;&gt;"",OR('03_地点锚点'!H193&lt;0,'03_地点锚点'!H193&gt;WorldHeight)),"世界Y越界；","")&amp;IF(AND('03_地点锚点'!E193&lt;&gt;"",COUNTIF('02_固定地理'!$A$2:$A$501,'03_地点锚点'!E193)=0),"父级行政对象不存在；","")&amp;IF(AND('03_地点锚点'!F193&lt;&gt;"",COUNTIF('03_地点锚点'!$A$2:$A$501,'03_地点锚点'!F193)=0),"父级地点不存在；","")&amp;IF(AND('03_地点锚点'!A193&lt;&gt;"",COUNTIF('03_地点锚点'!$A$2:$A$501,'03_地点锚点'!A193)&gt;1),"ID重复；",""),"")</f>
        <v/>
      </c>
      <c r="G693" s="14">
        <f>IF(F693&lt;&gt;"","按字段批注、数据字典和来源记录修正后复核","")</f>
        <v/>
      </c>
      <c r="H693" s="14">
        <f>IF(F693&lt;&gt;"","待处理","")</f>
        <v/>
      </c>
    </row>
    <row r="694">
      <c r="A694" s="14">
        <f>IF(F694&lt;&gt;"","ISSUE-"&amp;TEXT(ROW()-1,"00000"),"")</f>
        <v/>
      </c>
      <c r="B694" s="14">
        <f>IF(F694&lt;&gt;"","错误","")</f>
        <v/>
      </c>
      <c r="C694" s="14">
        <f>IF('03_地点锚点'!A194&lt;&gt;"","03_地点锚点","")</f>
        <v/>
      </c>
      <c r="D694" s="14">
        <f>IF('03_地点锚点'!A194&lt;&gt;"",'03_地点锚点'!A194,"")</f>
        <v/>
      </c>
      <c r="E694" s="14">
        <f>IF(F694&lt;&gt;"","综合校验","")</f>
        <v/>
      </c>
      <c r="F694" s="14">
        <f>IF('03_地点锚点'!A194&lt;&gt;"",IF('03_地点锚点'!A194="","缺少地点ID；","")&amp;IF('03_地点锚点'!B194="","缺少中文名称；","")&amp;IF('03_地点锚点'!D194="","缺少地点类型；","")&amp;IF('03_地点锚点'!G194="","缺少世界X；","")&amp;IF('03_地点锚点'!H194="","缺少世界Y；","")&amp;IF(AND('03_地点锚点'!G194&lt;&gt;"",OR('03_地点锚点'!G194&lt;0,'03_地点锚点'!G194&gt;WorldWidth)),"世界X越界；","")&amp;IF(AND('03_地点锚点'!H194&lt;&gt;"",OR('03_地点锚点'!H194&lt;0,'03_地点锚点'!H194&gt;WorldHeight)),"世界Y越界；","")&amp;IF(AND('03_地点锚点'!E194&lt;&gt;"",COUNTIF('02_固定地理'!$A$2:$A$501,'03_地点锚点'!E194)=0),"父级行政对象不存在；","")&amp;IF(AND('03_地点锚点'!F194&lt;&gt;"",COUNTIF('03_地点锚点'!$A$2:$A$501,'03_地点锚点'!F194)=0),"父级地点不存在；","")&amp;IF(AND('03_地点锚点'!A194&lt;&gt;"",COUNTIF('03_地点锚点'!$A$2:$A$501,'03_地点锚点'!A194)&gt;1),"ID重复；",""),"")</f>
        <v/>
      </c>
      <c r="G694" s="14">
        <f>IF(F694&lt;&gt;"","按字段批注、数据字典和来源记录修正后复核","")</f>
        <v/>
      </c>
      <c r="H694" s="14">
        <f>IF(F694&lt;&gt;"","待处理","")</f>
        <v/>
      </c>
    </row>
    <row r="695">
      <c r="A695" s="14">
        <f>IF(F695&lt;&gt;"","ISSUE-"&amp;TEXT(ROW()-1,"00000"),"")</f>
        <v/>
      </c>
      <c r="B695" s="14">
        <f>IF(F695&lt;&gt;"","错误","")</f>
        <v/>
      </c>
      <c r="C695" s="14">
        <f>IF('03_地点锚点'!A195&lt;&gt;"","03_地点锚点","")</f>
        <v/>
      </c>
      <c r="D695" s="14">
        <f>IF('03_地点锚点'!A195&lt;&gt;"",'03_地点锚点'!A195,"")</f>
        <v/>
      </c>
      <c r="E695" s="14">
        <f>IF(F695&lt;&gt;"","综合校验","")</f>
        <v/>
      </c>
      <c r="F695" s="14">
        <f>IF('03_地点锚点'!A195&lt;&gt;"",IF('03_地点锚点'!A195="","缺少地点ID；","")&amp;IF('03_地点锚点'!B195="","缺少中文名称；","")&amp;IF('03_地点锚点'!D195="","缺少地点类型；","")&amp;IF('03_地点锚点'!G195="","缺少世界X；","")&amp;IF('03_地点锚点'!H195="","缺少世界Y；","")&amp;IF(AND('03_地点锚点'!G195&lt;&gt;"",OR('03_地点锚点'!G195&lt;0,'03_地点锚点'!G195&gt;WorldWidth)),"世界X越界；","")&amp;IF(AND('03_地点锚点'!H195&lt;&gt;"",OR('03_地点锚点'!H195&lt;0,'03_地点锚点'!H195&gt;WorldHeight)),"世界Y越界；","")&amp;IF(AND('03_地点锚点'!E195&lt;&gt;"",COUNTIF('02_固定地理'!$A$2:$A$501,'03_地点锚点'!E195)=0),"父级行政对象不存在；","")&amp;IF(AND('03_地点锚点'!F195&lt;&gt;"",COUNTIF('03_地点锚点'!$A$2:$A$501,'03_地点锚点'!F195)=0),"父级地点不存在；","")&amp;IF(AND('03_地点锚点'!A195&lt;&gt;"",COUNTIF('03_地点锚点'!$A$2:$A$501,'03_地点锚点'!A195)&gt;1),"ID重复；",""),"")</f>
        <v/>
      </c>
      <c r="G695" s="14">
        <f>IF(F695&lt;&gt;"","按字段批注、数据字典和来源记录修正后复核","")</f>
        <v/>
      </c>
      <c r="H695" s="14">
        <f>IF(F695&lt;&gt;"","待处理","")</f>
        <v/>
      </c>
    </row>
    <row r="696">
      <c r="A696" s="14">
        <f>IF(F696&lt;&gt;"","ISSUE-"&amp;TEXT(ROW()-1,"00000"),"")</f>
        <v/>
      </c>
      <c r="B696" s="14">
        <f>IF(F696&lt;&gt;"","错误","")</f>
        <v/>
      </c>
      <c r="C696" s="14">
        <f>IF('03_地点锚点'!A196&lt;&gt;"","03_地点锚点","")</f>
        <v/>
      </c>
      <c r="D696" s="14">
        <f>IF('03_地点锚点'!A196&lt;&gt;"",'03_地点锚点'!A196,"")</f>
        <v/>
      </c>
      <c r="E696" s="14">
        <f>IF(F696&lt;&gt;"","综合校验","")</f>
        <v/>
      </c>
      <c r="F696" s="14">
        <f>IF('03_地点锚点'!A196&lt;&gt;"",IF('03_地点锚点'!A196="","缺少地点ID；","")&amp;IF('03_地点锚点'!B196="","缺少中文名称；","")&amp;IF('03_地点锚点'!D196="","缺少地点类型；","")&amp;IF('03_地点锚点'!G196="","缺少世界X；","")&amp;IF('03_地点锚点'!H196="","缺少世界Y；","")&amp;IF(AND('03_地点锚点'!G196&lt;&gt;"",OR('03_地点锚点'!G196&lt;0,'03_地点锚点'!G196&gt;WorldWidth)),"世界X越界；","")&amp;IF(AND('03_地点锚点'!H196&lt;&gt;"",OR('03_地点锚点'!H196&lt;0,'03_地点锚点'!H196&gt;WorldHeight)),"世界Y越界；","")&amp;IF(AND('03_地点锚点'!E196&lt;&gt;"",COUNTIF('02_固定地理'!$A$2:$A$501,'03_地点锚点'!E196)=0),"父级行政对象不存在；","")&amp;IF(AND('03_地点锚点'!F196&lt;&gt;"",COUNTIF('03_地点锚点'!$A$2:$A$501,'03_地点锚点'!F196)=0),"父级地点不存在；","")&amp;IF(AND('03_地点锚点'!A196&lt;&gt;"",COUNTIF('03_地点锚点'!$A$2:$A$501,'03_地点锚点'!A196)&gt;1),"ID重复；",""),"")</f>
        <v/>
      </c>
      <c r="G696" s="14">
        <f>IF(F696&lt;&gt;"","按字段批注、数据字典和来源记录修正后复核","")</f>
        <v/>
      </c>
      <c r="H696" s="14">
        <f>IF(F696&lt;&gt;"","待处理","")</f>
        <v/>
      </c>
    </row>
    <row r="697">
      <c r="A697" s="14">
        <f>IF(F697&lt;&gt;"","ISSUE-"&amp;TEXT(ROW()-1,"00000"),"")</f>
        <v/>
      </c>
      <c r="B697" s="14">
        <f>IF(F697&lt;&gt;"","错误","")</f>
        <v/>
      </c>
      <c r="C697" s="14">
        <f>IF('03_地点锚点'!A197&lt;&gt;"","03_地点锚点","")</f>
        <v/>
      </c>
      <c r="D697" s="14">
        <f>IF('03_地点锚点'!A197&lt;&gt;"",'03_地点锚点'!A197,"")</f>
        <v/>
      </c>
      <c r="E697" s="14">
        <f>IF(F697&lt;&gt;"","综合校验","")</f>
        <v/>
      </c>
      <c r="F697" s="14">
        <f>IF('03_地点锚点'!A197&lt;&gt;"",IF('03_地点锚点'!A197="","缺少地点ID；","")&amp;IF('03_地点锚点'!B197="","缺少中文名称；","")&amp;IF('03_地点锚点'!D197="","缺少地点类型；","")&amp;IF('03_地点锚点'!G197="","缺少世界X；","")&amp;IF('03_地点锚点'!H197="","缺少世界Y；","")&amp;IF(AND('03_地点锚点'!G197&lt;&gt;"",OR('03_地点锚点'!G197&lt;0,'03_地点锚点'!G197&gt;WorldWidth)),"世界X越界；","")&amp;IF(AND('03_地点锚点'!H197&lt;&gt;"",OR('03_地点锚点'!H197&lt;0,'03_地点锚点'!H197&gt;WorldHeight)),"世界Y越界；","")&amp;IF(AND('03_地点锚点'!E197&lt;&gt;"",COUNTIF('02_固定地理'!$A$2:$A$501,'03_地点锚点'!E197)=0),"父级行政对象不存在；","")&amp;IF(AND('03_地点锚点'!F197&lt;&gt;"",COUNTIF('03_地点锚点'!$A$2:$A$501,'03_地点锚点'!F197)=0),"父级地点不存在；","")&amp;IF(AND('03_地点锚点'!A197&lt;&gt;"",COUNTIF('03_地点锚点'!$A$2:$A$501,'03_地点锚点'!A197)&gt;1),"ID重复；",""),"")</f>
        <v/>
      </c>
      <c r="G697" s="14">
        <f>IF(F697&lt;&gt;"","按字段批注、数据字典和来源记录修正后复核","")</f>
        <v/>
      </c>
      <c r="H697" s="14">
        <f>IF(F697&lt;&gt;"","待处理","")</f>
        <v/>
      </c>
    </row>
    <row r="698">
      <c r="A698" s="14">
        <f>IF(F698&lt;&gt;"","ISSUE-"&amp;TEXT(ROW()-1,"00000"),"")</f>
        <v/>
      </c>
      <c r="B698" s="14">
        <f>IF(F698&lt;&gt;"","错误","")</f>
        <v/>
      </c>
      <c r="C698" s="14">
        <f>IF('03_地点锚点'!A198&lt;&gt;"","03_地点锚点","")</f>
        <v/>
      </c>
      <c r="D698" s="14">
        <f>IF('03_地点锚点'!A198&lt;&gt;"",'03_地点锚点'!A198,"")</f>
        <v/>
      </c>
      <c r="E698" s="14">
        <f>IF(F698&lt;&gt;"","综合校验","")</f>
        <v/>
      </c>
      <c r="F698" s="14">
        <f>IF('03_地点锚点'!A198&lt;&gt;"",IF('03_地点锚点'!A198="","缺少地点ID；","")&amp;IF('03_地点锚点'!B198="","缺少中文名称；","")&amp;IF('03_地点锚点'!D198="","缺少地点类型；","")&amp;IF('03_地点锚点'!G198="","缺少世界X；","")&amp;IF('03_地点锚点'!H198="","缺少世界Y；","")&amp;IF(AND('03_地点锚点'!G198&lt;&gt;"",OR('03_地点锚点'!G198&lt;0,'03_地点锚点'!G198&gt;WorldWidth)),"世界X越界；","")&amp;IF(AND('03_地点锚点'!H198&lt;&gt;"",OR('03_地点锚点'!H198&lt;0,'03_地点锚点'!H198&gt;WorldHeight)),"世界Y越界；","")&amp;IF(AND('03_地点锚点'!E198&lt;&gt;"",COUNTIF('02_固定地理'!$A$2:$A$501,'03_地点锚点'!E198)=0),"父级行政对象不存在；","")&amp;IF(AND('03_地点锚点'!F198&lt;&gt;"",COUNTIF('03_地点锚点'!$A$2:$A$501,'03_地点锚点'!F198)=0),"父级地点不存在；","")&amp;IF(AND('03_地点锚点'!A198&lt;&gt;"",COUNTIF('03_地点锚点'!$A$2:$A$501,'03_地点锚点'!A198)&gt;1),"ID重复；",""),"")</f>
        <v/>
      </c>
      <c r="G698" s="14">
        <f>IF(F698&lt;&gt;"","按字段批注、数据字典和来源记录修正后复核","")</f>
        <v/>
      </c>
      <c r="H698" s="14">
        <f>IF(F698&lt;&gt;"","待处理","")</f>
        <v/>
      </c>
    </row>
    <row r="699">
      <c r="A699" s="14">
        <f>IF(F699&lt;&gt;"","ISSUE-"&amp;TEXT(ROW()-1,"00000"),"")</f>
        <v/>
      </c>
      <c r="B699" s="14">
        <f>IF(F699&lt;&gt;"","错误","")</f>
        <v/>
      </c>
      <c r="C699" s="14">
        <f>IF('03_地点锚点'!A199&lt;&gt;"","03_地点锚点","")</f>
        <v/>
      </c>
      <c r="D699" s="14">
        <f>IF('03_地点锚点'!A199&lt;&gt;"",'03_地点锚点'!A199,"")</f>
        <v/>
      </c>
      <c r="E699" s="14">
        <f>IF(F699&lt;&gt;"","综合校验","")</f>
        <v/>
      </c>
      <c r="F699" s="14">
        <f>IF('03_地点锚点'!A199&lt;&gt;"",IF('03_地点锚点'!A199="","缺少地点ID；","")&amp;IF('03_地点锚点'!B199="","缺少中文名称；","")&amp;IF('03_地点锚点'!D199="","缺少地点类型；","")&amp;IF('03_地点锚点'!G199="","缺少世界X；","")&amp;IF('03_地点锚点'!H199="","缺少世界Y；","")&amp;IF(AND('03_地点锚点'!G199&lt;&gt;"",OR('03_地点锚点'!G199&lt;0,'03_地点锚点'!G199&gt;WorldWidth)),"世界X越界；","")&amp;IF(AND('03_地点锚点'!H199&lt;&gt;"",OR('03_地点锚点'!H199&lt;0,'03_地点锚点'!H199&gt;WorldHeight)),"世界Y越界；","")&amp;IF(AND('03_地点锚点'!E199&lt;&gt;"",COUNTIF('02_固定地理'!$A$2:$A$501,'03_地点锚点'!E199)=0),"父级行政对象不存在；","")&amp;IF(AND('03_地点锚点'!F199&lt;&gt;"",COUNTIF('03_地点锚点'!$A$2:$A$501,'03_地点锚点'!F199)=0),"父级地点不存在；","")&amp;IF(AND('03_地点锚点'!A199&lt;&gt;"",COUNTIF('03_地点锚点'!$A$2:$A$501,'03_地点锚点'!A199)&gt;1),"ID重复；",""),"")</f>
        <v/>
      </c>
      <c r="G699" s="14">
        <f>IF(F699&lt;&gt;"","按字段批注、数据字典和来源记录修正后复核","")</f>
        <v/>
      </c>
      <c r="H699" s="14">
        <f>IF(F699&lt;&gt;"","待处理","")</f>
        <v/>
      </c>
    </row>
    <row r="700">
      <c r="A700" s="14">
        <f>IF(F700&lt;&gt;"","ISSUE-"&amp;TEXT(ROW()-1,"00000"),"")</f>
        <v/>
      </c>
      <c r="B700" s="14">
        <f>IF(F700&lt;&gt;"","错误","")</f>
        <v/>
      </c>
      <c r="C700" s="14">
        <f>IF('03_地点锚点'!A200&lt;&gt;"","03_地点锚点","")</f>
        <v/>
      </c>
      <c r="D700" s="14">
        <f>IF('03_地点锚点'!A200&lt;&gt;"",'03_地点锚点'!A200,"")</f>
        <v/>
      </c>
      <c r="E700" s="14">
        <f>IF(F700&lt;&gt;"","综合校验","")</f>
        <v/>
      </c>
      <c r="F700" s="14">
        <f>IF('03_地点锚点'!A200&lt;&gt;"",IF('03_地点锚点'!A200="","缺少地点ID；","")&amp;IF('03_地点锚点'!B200="","缺少中文名称；","")&amp;IF('03_地点锚点'!D200="","缺少地点类型；","")&amp;IF('03_地点锚点'!G200="","缺少世界X；","")&amp;IF('03_地点锚点'!H200="","缺少世界Y；","")&amp;IF(AND('03_地点锚点'!G200&lt;&gt;"",OR('03_地点锚点'!G200&lt;0,'03_地点锚点'!G200&gt;WorldWidth)),"世界X越界；","")&amp;IF(AND('03_地点锚点'!H200&lt;&gt;"",OR('03_地点锚点'!H200&lt;0,'03_地点锚点'!H200&gt;WorldHeight)),"世界Y越界；","")&amp;IF(AND('03_地点锚点'!E200&lt;&gt;"",COUNTIF('02_固定地理'!$A$2:$A$501,'03_地点锚点'!E200)=0),"父级行政对象不存在；","")&amp;IF(AND('03_地点锚点'!F200&lt;&gt;"",COUNTIF('03_地点锚点'!$A$2:$A$501,'03_地点锚点'!F200)=0),"父级地点不存在；","")&amp;IF(AND('03_地点锚点'!A200&lt;&gt;"",COUNTIF('03_地点锚点'!$A$2:$A$501,'03_地点锚点'!A200)&gt;1),"ID重复；",""),"")</f>
        <v/>
      </c>
      <c r="G700" s="14">
        <f>IF(F700&lt;&gt;"","按字段批注、数据字典和来源记录修正后复核","")</f>
        <v/>
      </c>
      <c r="H700" s="14">
        <f>IF(F700&lt;&gt;"","待处理","")</f>
        <v/>
      </c>
    </row>
    <row r="701">
      <c r="A701" s="14">
        <f>IF(F701&lt;&gt;"","ISSUE-"&amp;TEXT(ROW()-1,"00000"),"")</f>
        <v/>
      </c>
      <c r="B701" s="14">
        <f>IF(F701&lt;&gt;"","错误","")</f>
        <v/>
      </c>
      <c r="C701" s="14">
        <f>IF('03_地点锚点'!A201&lt;&gt;"","03_地点锚点","")</f>
        <v/>
      </c>
      <c r="D701" s="14">
        <f>IF('03_地点锚点'!A201&lt;&gt;"",'03_地点锚点'!A201,"")</f>
        <v/>
      </c>
      <c r="E701" s="14">
        <f>IF(F701&lt;&gt;"","综合校验","")</f>
        <v/>
      </c>
      <c r="F701" s="14">
        <f>IF('03_地点锚点'!A201&lt;&gt;"",IF('03_地点锚点'!A201="","缺少地点ID；","")&amp;IF('03_地点锚点'!B201="","缺少中文名称；","")&amp;IF('03_地点锚点'!D201="","缺少地点类型；","")&amp;IF('03_地点锚点'!G201="","缺少世界X；","")&amp;IF('03_地点锚点'!H201="","缺少世界Y；","")&amp;IF(AND('03_地点锚点'!G201&lt;&gt;"",OR('03_地点锚点'!G201&lt;0,'03_地点锚点'!G201&gt;WorldWidth)),"世界X越界；","")&amp;IF(AND('03_地点锚点'!H201&lt;&gt;"",OR('03_地点锚点'!H201&lt;0,'03_地点锚点'!H201&gt;WorldHeight)),"世界Y越界；","")&amp;IF(AND('03_地点锚点'!E201&lt;&gt;"",COUNTIF('02_固定地理'!$A$2:$A$501,'03_地点锚点'!E201)=0),"父级行政对象不存在；","")&amp;IF(AND('03_地点锚点'!F201&lt;&gt;"",COUNTIF('03_地点锚点'!$A$2:$A$501,'03_地点锚点'!F201)=0),"父级地点不存在；","")&amp;IF(AND('03_地点锚点'!A201&lt;&gt;"",COUNTIF('03_地点锚点'!$A$2:$A$501,'03_地点锚点'!A201)&gt;1),"ID重复；",""),"")</f>
        <v/>
      </c>
      <c r="G701" s="14">
        <f>IF(F701&lt;&gt;"","按字段批注、数据字典和来源记录修正后复核","")</f>
        <v/>
      </c>
      <c r="H701" s="14">
        <f>IF(F701&lt;&gt;"","待处理","")</f>
        <v/>
      </c>
    </row>
    <row r="702">
      <c r="A702" s="14">
        <f>IF(F702&lt;&gt;"","ISSUE-"&amp;TEXT(ROW()-1,"00000"),"")</f>
        <v/>
      </c>
      <c r="B702" s="14">
        <f>IF(F702&lt;&gt;"","错误","")</f>
        <v/>
      </c>
      <c r="C702" s="14">
        <f>IF('03_地点锚点'!A202&lt;&gt;"","03_地点锚点","")</f>
        <v/>
      </c>
      <c r="D702" s="14">
        <f>IF('03_地点锚点'!A202&lt;&gt;"",'03_地点锚点'!A202,"")</f>
        <v/>
      </c>
      <c r="E702" s="14">
        <f>IF(F702&lt;&gt;"","综合校验","")</f>
        <v/>
      </c>
      <c r="F702" s="14">
        <f>IF('03_地点锚点'!A202&lt;&gt;"",IF('03_地点锚点'!A202="","缺少地点ID；","")&amp;IF('03_地点锚点'!B202="","缺少中文名称；","")&amp;IF('03_地点锚点'!D202="","缺少地点类型；","")&amp;IF('03_地点锚点'!G202="","缺少世界X；","")&amp;IF('03_地点锚点'!H202="","缺少世界Y；","")&amp;IF(AND('03_地点锚点'!G202&lt;&gt;"",OR('03_地点锚点'!G202&lt;0,'03_地点锚点'!G202&gt;WorldWidth)),"世界X越界；","")&amp;IF(AND('03_地点锚点'!H202&lt;&gt;"",OR('03_地点锚点'!H202&lt;0,'03_地点锚点'!H202&gt;WorldHeight)),"世界Y越界；","")&amp;IF(AND('03_地点锚点'!E202&lt;&gt;"",COUNTIF('02_固定地理'!$A$2:$A$501,'03_地点锚点'!E202)=0),"父级行政对象不存在；","")&amp;IF(AND('03_地点锚点'!F202&lt;&gt;"",COUNTIF('03_地点锚点'!$A$2:$A$501,'03_地点锚点'!F202)=0),"父级地点不存在；","")&amp;IF(AND('03_地点锚点'!A202&lt;&gt;"",COUNTIF('03_地点锚点'!$A$2:$A$501,'03_地点锚点'!A202)&gt;1),"ID重复；",""),"")</f>
        <v/>
      </c>
      <c r="G702" s="14">
        <f>IF(F702&lt;&gt;"","按字段批注、数据字典和来源记录修正后复核","")</f>
        <v/>
      </c>
      <c r="H702" s="14">
        <f>IF(F702&lt;&gt;"","待处理","")</f>
        <v/>
      </c>
    </row>
    <row r="703">
      <c r="A703" s="14">
        <f>IF(F703&lt;&gt;"","ISSUE-"&amp;TEXT(ROW()-1,"00000"),"")</f>
        <v/>
      </c>
      <c r="B703" s="14">
        <f>IF(F703&lt;&gt;"","错误","")</f>
        <v/>
      </c>
      <c r="C703" s="14">
        <f>IF('03_地点锚点'!A203&lt;&gt;"","03_地点锚点","")</f>
        <v/>
      </c>
      <c r="D703" s="14">
        <f>IF('03_地点锚点'!A203&lt;&gt;"",'03_地点锚点'!A203,"")</f>
        <v/>
      </c>
      <c r="E703" s="14">
        <f>IF(F703&lt;&gt;"","综合校验","")</f>
        <v/>
      </c>
      <c r="F703" s="14">
        <f>IF('03_地点锚点'!A203&lt;&gt;"",IF('03_地点锚点'!A203="","缺少地点ID；","")&amp;IF('03_地点锚点'!B203="","缺少中文名称；","")&amp;IF('03_地点锚点'!D203="","缺少地点类型；","")&amp;IF('03_地点锚点'!G203="","缺少世界X；","")&amp;IF('03_地点锚点'!H203="","缺少世界Y；","")&amp;IF(AND('03_地点锚点'!G203&lt;&gt;"",OR('03_地点锚点'!G203&lt;0,'03_地点锚点'!G203&gt;WorldWidth)),"世界X越界；","")&amp;IF(AND('03_地点锚点'!H203&lt;&gt;"",OR('03_地点锚点'!H203&lt;0,'03_地点锚点'!H203&gt;WorldHeight)),"世界Y越界；","")&amp;IF(AND('03_地点锚点'!E203&lt;&gt;"",COUNTIF('02_固定地理'!$A$2:$A$501,'03_地点锚点'!E203)=0),"父级行政对象不存在；","")&amp;IF(AND('03_地点锚点'!F203&lt;&gt;"",COUNTIF('03_地点锚点'!$A$2:$A$501,'03_地点锚点'!F203)=0),"父级地点不存在；","")&amp;IF(AND('03_地点锚点'!A203&lt;&gt;"",COUNTIF('03_地点锚点'!$A$2:$A$501,'03_地点锚点'!A203)&gt;1),"ID重复；",""),"")</f>
        <v/>
      </c>
      <c r="G703" s="14">
        <f>IF(F703&lt;&gt;"","按字段批注、数据字典和来源记录修正后复核","")</f>
        <v/>
      </c>
      <c r="H703" s="14">
        <f>IF(F703&lt;&gt;"","待处理","")</f>
        <v/>
      </c>
    </row>
    <row r="704">
      <c r="A704" s="14">
        <f>IF(F704&lt;&gt;"","ISSUE-"&amp;TEXT(ROW()-1,"00000"),"")</f>
        <v/>
      </c>
      <c r="B704" s="14">
        <f>IF(F704&lt;&gt;"","错误","")</f>
        <v/>
      </c>
      <c r="C704" s="14">
        <f>IF('03_地点锚点'!A204&lt;&gt;"","03_地点锚点","")</f>
        <v/>
      </c>
      <c r="D704" s="14">
        <f>IF('03_地点锚点'!A204&lt;&gt;"",'03_地点锚点'!A204,"")</f>
        <v/>
      </c>
      <c r="E704" s="14">
        <f>IF(F704&lt;&gt;"","综合校验","")</f>
        <v/>
      </c>
      <c r="F704" s="14">
        <f>IF('03_地点锚点'!A204&lt;&gt;"",IF('03_地点锚点'!A204="","缺少地点ID；","")&amp;IF('03_地点锚点'!B204="","缺少中文名称；","")&amp;IF('03_地点锚点'!D204="","缺少地点类型；","")&amp;IF('03_地点锚点'!G204="","缺少世界X；","")&amp;IF('03_地点锚点'!H204="","缺少世界Y；","")&amp;IF(AND('03_地点锚点'!G204&lt;&gt;"",OR('03_地点锚点'!G204&lt;0,'03_地点锚点'!G204&gt;WorldWidth)),"世界X越界；","")&amp;IF(AND('03_地点锚点'!H204&lt;&gt;"",OR('03_地点锚点'!H204&lt;0,'03_地点锚点'!H204&gt;WorldHeight)),"世界Y越界；","")&amp;IF(AND('03_地点锚点'!E204&lt;&gt;"",COUNTIF('02_固定地理'!$A$2:$A$501,'03_地点锚点'!E204)=0),"父级行政对象不存在；","")&amp;IF(AND('03_地点锚点'!F204&lt;&gt;"",COUNTIF('03_地点锚点'!$A$2:$A$501,'03_地点锚点'!F204)=0),"父级地点不存在；","")&amp;IF(AND('03_地点锚点'!A204&lt;&gt;"",COUNTIF('03_地点锚点'!$A$2:$A$501,'03_地点锚点'!A204)&gt;1),"ID重复；",""),"")</f>
        <v/>
      </c>
      <c r="G704" s="14">
        <f>IF(F704&lt;&gt;"","按字段批注、数据字典和来源记录修正后复核","")</f>
        <v/>
      </c>
      <c r="H704" s="14">
        <f>IF(F704&lt;&gt;"","待处理","")</f>
        <v/>
      </c>
    </row>
    <row r="705">
      <c r="A705" s="14">
        <f>IF(F705&lt;&gt;"","ISSUE-"&amp;TEXT(ROW()-1,"00000"),"")</f>
        <v/>
      </c>
      <c r="B705" s="14">
        <f>IF(F705&lt;&gt;"","错误","")</f>
        <v/>
      </c>
      <c r="C705" s="14">
        <f>IF('03_地点锚点'!A205&lt;&gt;"","03_地点锚点","")</f>
        <v/>
      </c>
      <c r="D705" s="14">
        <f>IF('03_地点锚点'!A205&lt;&gt;"",'03_地点锚点'!A205,"")</f>
        <v/>
      </c>
      <c r="E705" s="14">
        <f>IF(F705&lt;&gt;"","综合校验","")</f>
        <v/>
      </c>
      <c r="F705" s="14">
        <f>IF('03_地点锚点'!A205&lt;&gt;"",IF('03_地点锚点'!A205="","缺少地点ID；","")&amp;IF('03_地点锚点'!B205="","缺少中文名称；","")&amp;IF('03_地点锚点'!D205="","缺少地点类型；","")&amp;IF('03_地点锚点'!G205="","缺少世界X；","")&amp;IF('03_地点锚点'!H205="","缺少世界Y；","")&amp;IF(AND('03_地点锚点'!G205&lt;&gt;"",OR('03_地点锚点'!G205&lt;0,'03_地点锚点'!G205&gt;WorldWidth)),"世界X越界；","")&amp;IF(AND('03_地点锚点'!H205&lt;&gt;"",OR('03_地点锚点'!H205&lt;0,'03_地点锚点'!H205&gt;WorldHeight)),"世界Y越界；","")&amp;IF(AND('03_地点锚点'!E205&lt;&gt;"",COUNTIF('02_固定地理'!$A$2:$A$501,'03_地点锚点'!E205)=0),"父级行政对象不存在；","")&amp;IF(AND('03_地点锚点'!F205&lt;&gt;"",COUNTIF('03_地点锚点'!$A$2:$A$501,'03_地点锚点'!F205)=0),"父级地点不存在；","")&amp;IF(AND('03_地点锚点'!A205&lt;&gt;"",COUNTIF('03_地点锚点'!$A$2:$A$501,'03_地点锚点'!A205)&gt;1),"ID重复；",""),"")</f>
        <v/>
      </c>
      <c r="G705" s="14">
        <f>IF(F705&lt;&gt;"","按字段批注、数据字典和来源记录修正后复核","")</f>
        <v/>
      </c>
      <c r="H705" s="14">
        <f>IF(F705&lt;&gt;"","待处理","")</f>
        <v/>
      </c>
    </row>
    <row r="706">
      <c r="A706" s="14">
        <f>IF(F706&lt;&gt;"","ISSUE-"&amp;TEXT(ROW()-1,"00000"),"")</f>
        <v/>
      </c>
      <c r="B706" s="14">
        <f>IF(F706&lt;&gt;"","错误","")</f>
        <v/>
      </c>
      <c r="C706" s="14">
        <f>IF('03_地点锚点'!A206&lt;&gt;"","03_地点锚点","")</f>
        <v/>
      </c>
      <c r="D706" s="14">
        <f>IF('03_地点锚点'!A206&lt;&gt;"",'03_地点锚点'!A206,"")</f>
        <v/>
      </c>
      <c r="E706" s="14">
        <f>IF(F706&lt;&gt;"","综合校验","")</f>
        <v/>
      </c>
      <c r="F706" s="14">
        <f>IF('03_地点锚点'!A206&lt;&gt;"",IF('03_地点锚点'!A206="","缺少地点ID；","")&amp;IF('03_地点锚点'!B206="","缺少中文名称；","")&amp;IF('03_地点锚点'!D206="","缺少地点类型；","")&amp;IF('03_地点锚点'!G206="","缺少世界X；","")&amp;IF('03_地点锚点'!H206="","缺少世界Y；","")&amp;IF(AND('03_地点锚点'!G206&lt;&gt;"",OR('03_地点锚点'!G206&lt;0,'03_地点锚点'!G206&gt;WorldWidth)),"世界X越界；","")&amp;IF(AND('03_地点锚点'!H206&lt;&gt;"",OR('03_地点锚点'!H206&lt;0,'03_地点锚点'!H206&gt;WorldHeight)),"世界Y越界；","")&amp;IF(AND('03_地点锚点'!E206&lt;&gt;"",COUNTIF('02_固定地理'!$A$2:$A$501,'03_地点锚点'!E206)=0),"父级行政对象不存在；","")&amp;IF(AND('03_地点锚点'!F206&lt;&gt;"",COUNTIF('03_地点锚点'!$A$2:$A$501,'03_地点锚点'!F206)=0),"父级地点不存在；","")&amp;IF(AND('03_地点锚点'!A206&lt;&gt;"",COUNTIF('03_地点锚点'!$A$2:$A$501,'03_地点锚点'!A206)&gt;1),"ID重复；",""),"")</f>
        <v/>
      </c>
      <c r="G706" s="14">
        <f>IF(F706&lt;&gt;"","按字段批注、数据字典和来源记录修正后复核","")</f>
        <v/>
      </c>
      <c r="H706" s="14">
        <f>IF(F706&lt;&gt;"","待处理","")</f>
        <v/>
      </c>
    </row>
    <row r="707">
      <c r="A707" s="14">
        <f>IF(F707&lt;&gt;"","ISSUE-"&amp;TEXT(ROW()-1,"00000"),"")</f>
        <v/>
      </c>
      <c r="B707" s="14">
        <f>IF(F707&lt;&gt;"","错误","")</f>
        <v/>
      </c>
      <c r="C707" s="14">
        <f>IF('03_地点锚点'!A207&lt;&gt;"","03_地点锚点","")</f>
        <v/>
      </c>
      <c r="D707" s="14">
        <f>IF('03_地点锚点'!A207&lt;&gt;"",'03_地点锚点'!A207,"")</f>
        <v/>
      </c>
      <c r="E707" s="14">
        <f>IF(F707&lt;&gt;"","综合校验","")</f>
        <v/>
      </c>
      <c r="F707" s="14">
        <f>IF('03_地点锚点'!A207&lt;&gt;"",IF('03_地点锚点'!A207="","缺少地点ID；","")&amp;IF('03_地点锚点'!B207="","缺少中文名称；","")&amp;IF('03_地点锚点'!D207="","缺少地点类型；","")&amp;IF('03_地点锚点'!G207="","缺少世界X；","")&amp;IF('03_地点锚点'!H207="","缺少世界Y；","")&amp;IF(AND('03_地点锚点'!G207&lt;&gt;"",OR('03_地点锚点'!G207&lt;0,'03_地点锚点'!G207&gt;WorldWidth)),"世界X越界；","")&amp;IF(AND('03_地点锚点'!H207&lt;&gt;"",OR('03_地点锚点'!H207&lt;0,'03_地点锚点'!H207&gt;WorldHeight)),"世界Y越界；","")&amp;IF(AND('03_地点锚点'!E207&lt;&gt;"",COUNTIF('02_固定地理'!$A$2:$A$501,'03_地点锚点'!E207)=0),"父级行政对象不存在；","")&amp;IF(AND('03_地点锚点'!F207&lt;&gt;"",COUNTIF('03_地点锚点'!$A$2:$A$501,'03_地点锚点'!F207)=0),"父级地点不存在；","")&amp;IF(AND('03_地点锚点'!A207&lt;&gt;"",COUNTIF('03_地点锚点'!$A$2:$A$501,'03_地点锚点'!A207)&gt;1),"ID重复；",""),"")</f>
        <v/>
      </c>
      <c r="G707" s="14">
        <f>IF(F707&lt;&gt;"","按字段批注、数据字典和来源记录修正后复核","")</f>
        <v/>
      </c>
      <c r="H707" s="14">
        <f>IF(F707&lt;&gt;"","待处理","")</f>
        <v/>
      </c>
    </row>
    <row r="708">
      <c r="A708" s="14">
        <f>IF(F708&lt;&gt;"","ISSUE-"&amp;TEXT(ROW()-1,"00000"),"")</f>
        <v/>
      </c>
      <c r="B708" s="14">
        <f>IF(F708&lt;&gt;"","错误","")</f>
        <v/>
      </c>
      <c r="C708" s="14">
        <f>IF('03_地点锚点'!A208&lt;&gt;"","03_地点锚点","")</f>
        <v/>
      </c>
      <c r="D708" s="14">
        <f>IF('03_地点锚点'!A208&lt;&gt;"",'03_地点锚点'!A208,"")</f>
        <v/>
      </c>
      <c r="E708" s="14">
        <f>IF(F708&lt;&gt;"","综合校验","")</f>
        <v/>
      </c>
      <c r="F708" s="14">
        <f>IF('03_地点锚点'!A208&lt;&gt;"",IF('03_地点锚点'!A208="","缺少地点ID；","")&amp;IF('03_地点锚点'!B208="","缺少中文名称；","")&amp;IF('03_地点锚点'!D208="","缺少地点类型；","")&amp;IF('03_地点锚点'!G208="","缺少世界X；","")&amp;IF('03_地点锚点'!H208="","缺少世界Y；","")&amp;IF(AND('03_地点锚点'!G208&lt;&gt;"",OR('03_地点锚点'!G208&lt;0,'03_地点锚点'!G208&gt;WorldWidth)),"世界X越界；","")&amp;IF(AND('03_地点锚点'!H208&lt;&gt;"",OR('03_地点锚点'!H208&lt;0,'03_地点锚点'!H208&gt;WorldHeight)),"世界Y越界；","")&amp;IF(AND('03_地点锚点'!E208&lt;&gt;"",COUNTIF('02_固定地理'!$A$2:$A$501,'03_地点锚点'!E208)=0),"父级行政对象不存在；","")&amp;IF(AND('03_地点锚点'!F208&lt;&gt;"",COUNTIF('03_地点锚点'!$A$2:$A$501,'03_地点锚点'!F208)=0),"父级地点不存在；","")&amp;IF(AND('03_地点锚点'!A208&lt;&gt;"",COUNTIF('03_地点锚点'!$A$2:$A$501,'03_地点锚点'!A208)&gt;1),"ID重复；",""),"")</f>
        <v/>
      </c>
      <c r="G708" s="14">
        <f>IF(F708&lt;&gt;"","按字段批注、数据字典和来源记录修正后复核","")</f>
        <v/>
      </c>
      <c r="H708" s="14">
        <f>IF(F708&lt;&gt;"","待处理","")</f>
        <v/>
      </c>
    </row>
    <row r="709">
      <c r="A709" s="14">
        <f>IF(F709&lt;&gt;"","ISSUE-"&amp;TEXT(ROW()-1,"00000"),"")</f>
        <v/>
      </c>
      <c r="B709" s="14">
        <f>IF(F709&lt;&gt;"","错误","")</f>
        <v/>
      </c>
      <c r="C709" s="14">
        <f>IF('03_地点锚点'!A209&lt;&gt;"","03_地点锚点","")</f>
        <v/>
      </c>
      <c r="D709" s="14">
        <f>IF('03_地点锚点'!A209&lt;&gt;"",'03_地点锚点'!A209,"")</f>
        <v/>
      </c>
      <c r="E709" s="14">
        <f>IF(F709&lt;&gt;"","综合校验","")</f>
        <v/>
      </c>
      <c r="F709" s="14">
        <f>IF('03_地点锚点'!A209&lt;&gt;"",IF('03_地点锚点'!A209="","缺少地点ID；","")&amp;IF('03_地点锚点'!B209="","缺少中文名称；","")&amp;IF('03_地点锚点'!D209="","缺少地点类型；","")&amp;IF('03_地点锚点'!G209="","缺少世界X；","")&amp;IF('03_地点锚点'!H209="","缺少世界Y；","")&amp;IF(AND('03_地点锚点'!G209&lt;&gt;"",OR('03_地点锚点'!G209&lt;0,'03_地点锚点'!G209&gt;WorldWidth)),"世界X越界；","")&amp;IF(AND('03_地点锚点'!H209&lt;&gt;"",OR('03_地点锚点'!H209&lt;0,'03_地点锚点'!H209&gt;WorldHeight)),"世界Y越界；","")&amp;IF(AND('03_地点锚点'!E209&lt;&gt;"",COUNTIF('02_固定地理'!$A$2:$A$501,'03_地点锚点'!E209)=0),"父级行政对象不存在；","")&amp;IF(AND('03_地点锚点'!F209&lt;&gt;"",COUNTIF('03_地点锚点'!$A$2:$A$501,'03_地点锚点'!F209)=0),"父级地点不存在；","")&amp;IF(AND('03_地点锚点'!A209&lt;&gt;"",COUNTIF('03_地点锚点'!$A$2:$A$501,'03_地点锚点'!A209)&gt;1),"ID重复；",""),"")</f>
        <v/>
      </c>
      <c r="G709" s="14">
        <f>IF(F709&lt;&gt;"","按字段批注、数据字典和来源记录修正后复核","")</f>
        <v/>
      </c>
      <c r="H709" s="14">
        <f>IF(F709&lt;&gt;"","待处理","")</f>
        <v/>
      </c>
    </row>
    <row r="710">
      <c r="A710" s="14">
        <f>IF(F710&lt;&gt;"","ISSUE-"&amp;TEXT(ROW()-1,"00000"),"")</f>
        <v/>
      </c>
      <c r="B710" s="14">
        <f>IF(F710&lt;&gt;"","错误","")</f>
        <v/>
      </c>
      <c r="C710" s="14">
        <f>IF('03_地点锚点'!A210&lt;&gt;"","03_地点锚点","")</f>
        <v/>
      </c>
      <c r="D710" s="14">
        <f>IF('03_地点锚点'!A210&lt;&gt;"",'03_地点锚点'!A210,"")</f>
        <v/>
      </c>
      <c r="E710" s="14">
        <f>IF(F710&lt;&gt;"","综合校验","")</f>
        <v/>
      </c>
      <c r="F710" s="14">
        <f>IF('03_地点锚点'!A210&lt;&gt;"",IF('03_地点锚点'!A210="","缺少地点ID；","")&amp;IF('03_地点锚点'!B210="","缺少中文名称；","")&amp;IF('03_地点锚点'!D210="","缺少地点类型；","")&amp;IF('03_地点锚点'!G210="","缺少世界X；","")&amp;IF('03_地点锚点'!H210="","缺少世界Y；","")&amp;IF(AND('03_地点锚点'!G210&lt;&gt;"",OR('03_地点锚点'!G210&lt;0,'03_地点锚点'!G210&gt;WorldWidth)),"世界X越界；","")&amp;IF(AND('03_地点锚点'!H210&lt;&gt;"",OR('03_地点锚点'!H210&lt;0,'03_地点锚点'!H210&gt;WorldHeight)),"世界Y越界；","")&amp;IF(AND('03_地点锚点'!E210&lt;&gt;"",COUNTIF('02_固定地理'!$A$2:$A$501,'03_地点锚点'!E210)=0),"父级行政对象不存在；","")&amp;IF(AND('03_地点锚点'!F210&lt;&gt;"",COUNTIF('03_地点锚点'!$A$2:$A$501,'03_地点锚点'!F210)=0),"父级地点不存在；","")&amp;IF(AND('03_地点锚点'!A210&lt;&gt;"",COUNTIF('03_地点锚点'!$A$2:$A$501,'03_地点锚点'!A210)&gt;1),"ID重复；",""),"")</f>
        <v/>
      </c>
      <c r="G710" s="14">
        <f>IF(F710&lt;&gt;"","按字段批注、数据字典和来源记录修正后复核","")</f>
        <v/>
      </c>
      <c r="H710" s="14">
        <f>IF(F710&lt;&gt;"","待处理","")</f>
        <v/>
      </c>
    </row>
    <row r="711">
      <c r="A711" s="14">
        <f>IF(F711&lt;&gt;"","ISSUE-"&amp;TEXT(ROW()-1,"00000"),"")</f>
        <v/>
      </c>
      <c r="B711" s="14">
        <f>IF(F711&lt;&gt;"","错误","")</f>
        <v/>
      </c>
      <c r="C711" s="14">
        <f>IF('03_地点锚点'!A211&lt;&gt;"","03_地点锚点","")</f>
        <v/>
      </c>
      <c r="D711" s="14">
        <f>IF('03_地点锚点'!A211&lt;&gt;"",'03_地点锚点'!A211,"")</f>
        <v/>
      </c>
      <c r="E711" s="14">
        <f>IF(F711&lt;&gt;"","综合校验","")</f>
        <v/>
      </c>
      <c r="F711" s="14">
        <f>IF('03_地点锚点'!A211&lt;&gt;"",IF('03_地点锚点'!A211="","缺少地点ID；","")&amp;IF('03_地点锚点'!B211="","缺少中文名称；","")&amp;IF('03_地点锚点'!D211="","缺少地点类型；","")&amp;IF('03_地点锚点'!G211="","缺少世界X；","")&amp;IF('03_地点锚点'!H211="","缺少世界Y；","")&amp;IF(AND('03_地点锚点'!G211&lt;&gt;"",OR('03_地点锚点'!G211&lt;0,'03_地点锚点'!G211&gt;WorldWidth)),"世界X越界；","")&amp;IF(AND('03_地点锚点'!H211&lt;&gt;"",OR('03_地点锚点'!H211&lt;0,'03_地点锚点'!H211&gt;WorldHeight)),"世界Y越界；","")&amp;IF(AND('03_地点锚点'!E211&lt;&gt;"",COUNTIF('02_固定地理'!$A$2:$A$501,'03_地点锚点'!E211)=0),"父级行政对象不存在；","")&amp;IF(AND('03_地点锚点'!F211&lt;&gt;"",COUNTIF('03_地点锚点'!$A$2:$A$501,'03_地点锚点'!F211)=0),"父级地点不存在；","")&amp;IF(AND('03_地点锚点'!A211&lt;&gt;"",COUNTIF('03_地点锚点'!$A$2:$A$501,'03_地点锚点'!A211)&gt;1),"ID重复；",""),"")</f>
        <v/>
      </c>
      <c r="G711" s="14">
        <f>IF(F711&lt;&gt;"","按字段批注、数据字典和来源记录修正后复核","")</f>
        <v/>
      </c>
      <c r="H711" s="14">
        <f>IF(F711&lt;&gt;"","待处理","")</f>
        <v/>
      </c>
    </row>
    <row r="712">
      <c r="A712" s="14">
        <f>IF(F712&lt;&gt;"","ISSUE-"&amp;TEXT(ROW()-1,"00000"),"")</f>
        <v/>
      </c>
      <c r="B712" s="14">
        <f>IF(F712&lt;&gt;"","错误","")</f>
        <v/>
      </c>
      <c r="C712" s="14">
        <f>IF('03_地点锚点'!A212&lt;&gt;"","03_地点锚点","")</f>
        <v/>
      </c>
      <c r="D712" s="14">
        <f>IF('03_地点锚点'!A212&lt;&gt;"",'03_地点锚点'!A212,"")</f>
        <v/>
      </c>
      <c r="E712" s="14">
        <f>IF(F712&lt;&gt;"","综合校验","")</f>
        <v/>
      </c>
      <c r="F712" s="14">
        <f>IF('03_地点锚点'!A212&lt;&gt;"",IF('03_地点锚点'!A212="","缺少地点ID；","")&amp;IF('03_地点锚点'!B212="","缺少中文名称；","")&amp;IF('03_地点锚点'!D212="","缺少地点类型；","")&amp;IF('03_地点锚点'!G212="","缺少世界X；","")&amp;IF('03_地点锚点'!H212="","缺少世界Y；","")&amp;IF(AND('03_地点锚点'!G212&lt;&gt;"",OR('03_地点锚点'!G212&lt;0,'03_地点锚点'!G212&gt;WorldWidth)),"世界X越界；","")&amp;IF(AND('03_地点锚点'!H212&lt;&gt;"",OR('03_地点锚点'!H212&lt;0,'03_地点锚点'!H212&gt;WorldHeight)),"世界Y越界；","")&amp;IF(AND('03_地点锚点'!E212&lt;&gt;"",COUNTIF('02_固定地理'!$A$2:$A$501,'03_地点锚点'!E212)=0),"父级行政对象不存在；","")&amp;IF(AND('03_地点锚点'!F212&lt;&gt;"",COUNTIF('03_地点锚点'!$A$2:$A$501,'03_地点锚点'!F212)=0),"父级地点不存在；","")&amp;IF(AND('03_地点锚点'!A212&lt;&gt;"",COUNTIF('03_地点锚点'!$A$2:$A$501,'03_地点锚点'!A212)&gt;1),"ID重复；",""),"")</f>
        <v/>
      </c>
      <c r="G712" s="14">
        <f>IF(F712&lt;&gt;"","按字段批注、数据字典和来源记录修正后复核","")</f>
        <v/>
      </c>
      <c r="H712" s="14">
        <f>IF(F712&lt;&gt;"","待处理","")</f>
        <v/>
      </c>
    </row>
    <row r="713">
      <c r="A713" s="14">
        <f>IF(F713&lt;&gt;"","ISSUE-"&amp;TEXT(ROW()-1,"00000"),"")</f>
        <v/>
      </c>
      <c r="B713" s="14">
        <f>IF(F713&lt;&gt;"","错误","")</f>
        <v/>
      </c>
      <c r="C713" s="14">
        <f>IF('03_地点锚点'!A213&lt;&gt;"","03_地点锚点","")</f>
        <v/>
      </c>
      <c r="D713" s="14">
        <f>IF('03_地点锚点'!A213&lt;&gt;"",'03_地点锚点'!A213,"")</f>
        <v/>
      </c>
      <c r="E713" s="14">
        <f>IF(F713&lt;&gt;"","综合校验","")</f>
        <v/>
      </c>
      <c r="F713" s="14">
        <f>IF('03_地点锚点'!A213&lt;&gt;"",IF('03_地点锚点'!A213="","缺少地点ID；","")&amp;IF('03_地点锚点'!B213="","缺少中文名称；","")&amp;IF('03_地点锚点'!D213="","缺少地点类型；","")&amp;IF('03_地点锚点'!G213="","缺少世界X；","")&amp;IF('03_地点锚点'!H213="","缺少世界Y；","")&amp;IF(AND('03_地点锚点'!G213&lt;&gt;"",OR('03_地点锚点'!G213&lt;0,'03_地点锚点'!G213&gt;WorldWidth)),"世界X越界；","")&amp;IF(AND('03_地点锚点'!H213&lt;&gt;"",OR('03_地点锚点'!H213&lt;0,'03_地点锚点'!H213&gt;WorldHeight)),"世界Y越界；","")&amp;IF(AND('03_地点锚点'!E213&lt;&gt;"",COUNTIF('02_固定地理'!$A$2:$A$501,'03_地点锚点'!E213)=0),"父级行政对象不存在；","")&amp;IF(AND('03_地点锚点'!F213&lt;&gt;"",COUNTIF('03_地点锚点'!$A$2:$A$501,'03_地点锚点'!F213)=0),"父级地点不存在；","")&amp;IF(AND('03_地点锚点'!A213&lt;&gt;"",COUNTIF('03_地点锚点'!$A$2:$A$501,'03_地点锚点'!A213)&gt;1),"ID重复；",""),"")</f>
        <v/>
      </c>
      <c r="G713" s="14">
        <f>IF(F713&lt;&gt;"","按字段批注、数据字典和来源记录修正后复核","")</f>
        <v/>
      </c>
      <c r="H713" s="14">
        <f>IF(F713&lt;&gt;"","待处理","")</f>
        <v/>
      </c>
    </row>
    <row r="714">
      <c r="A714" s="14">
        <f>IF(F714&lt;&gt;"","ISSUE-"&amp;TEXT(ROW()-1,"00000"),"")</f>
        <v/>
      </c>
      <c r="B714" s="14">
        <f>IF(F714&lt;&gt;"","错误","")</f>
        <v/>
      </c>
      <c r="C714" s="14">
        <f>IF('03_地点锚点'!A214&lt;&gt;"","03_地点锚点","")</f>
        <v/>
      </c>
      <c r="D714" s="14">
        <f>IF('03_地点锚点'!A214&lt;&gt;"",'03_地点锚点'!A214,"")</f>
        <v/>
      </c>
      <c r="E714" s="14">
        <f>IF(F714&lt;&gt;"","综合校验","")</f>
        <v/>
      </c>
      <c r="F714" s="14">
        <f>IF('03_地点锚点'!A214&lt;&gt;"",IF('03_地点锚点'!A214="","缺少地点ID；","")&amp;IF('03_地点锚点'!B214="","缺少中文名称；","")&amp;IF('03_地点锚点'!D214="","缺少地点类型；","")&amp;IF('03_地点锚点'!G214="","缺少世界X；","")&amp;IF('03_地点锚点'!H214="","缺少世界Y；","")&amp;IF(AND('03_地点锚点'!G214&lt;&gt;"",OR('03_地点锚点'!G214&lt;0,'03_地点锚点'!G214&gt;WorldWidth)),"世界X越界；","")&amp;IF(AND('03_地点锚点'!H214&lt;&gt;"",OR('03_地点锚点'!H214&lt;0,'03_地点锚点'!H214&gt;WorldHeight)),"世界Y越界；","")&amp;IF(AND('03_地点锚点'!E214&lt;&gt;"",COUNTIF('02_固定地理'!$A$2:$A$501,'03_地点锚点'!E214)=0),"父级行政对象不存在；","")&amp;IF(AND('03_地点锚点'!F214&lt;&gt;"",COUNTIF('03_地点锚点'!$A$2:$A$501,'03_地点锚点'!F214)=0),"父级地点不存在；","")&amp;IF(AND('03_地点锚点'!A214&lt;&gt;"",COUNTIF('03_地点锚点'!$A$2:$A$501,'03_地点锚点'!A214)&gt;1),"ID重复；",""),"")</f>
        <v/>
      </c>
      <c r="G714" s="14">
        <f>IF(F714&lt;&gt;"","按字段批注、数据字典和来源记录修正后复核","")</f>
        <v/>
      </c>
      <c r="H714" s="14">
        <f>IF(F714&lt;&gt;"","待处理","")</f>
        <v/>
      </c>
    </row>
    <row r="715">
      <c r="A715" s="14">
        <f>IF(F715&lt;&gt;"","ISSUE-"&amp;TEXT(ROW()-1,"00000"),"")</f>
        <v/>
      </c>
      <c r="B715" s="14">
        <f>IF(F715&lt;&gt;"","错误","")</f>
        <v/>
      </c>
      <c r="C715" s="14">
        <f>IF('03_地点锚点'!A215&lt;&gt;"","03_地点锚点","")</f>
        <v/>
      </c>
      <c r="D715" s="14">
        <f>IF('03_地点锚点'!A215&lt;&gt;"",'03_地点锚点'!A215,"")</f>
        <v/>
      </c>
      <c r="E715" s="14">
        <f>IF(F715&lt;&gt;"","综合校验","")</f>
        <v/>
      </c>
      <c r="F715" s="14">
        <f>IF('03_地点锚点'!A215&lt;&gt;"",IF('03_地点锚点'!A215="","缺少地点ID；","")&amp;IF('03_地点锚点'!B215="","缺少中文名称；","")&amp;IF('03_地点锚点'!D215="","缺少地点类型；","")&amp;IF('03_地点锚点'!G215="","缺少世界X；","")&amp;IF('03_地点锚点'!H215="","缺少世界Y；","")&amp;IF(AND('03_地点锚点'!G215&lt;&gt;"",OR('03_地点锚点'!G215&lt;0,'03_地点锚点'!G215&gt;WorldWidth)),"世界X越界；","")&amp;IF(AND('03_地点锚点'!H215&lt;&gt;"",OR('03_地点锚点'!H215&lt;0,'03_地点锚点'!H215&gt;WorldHeight)),"世界Y越界；","")&amp;IF(AND('03_地点锚点'!E215&lt;&gt;"",COUNTIF('02_固定地理'!$A$2:$A$501,'03_地点锚点'!E215)=0),"父级行政对象不存在；","")&amp;IF(AND('03_地点锚点'!F215&lt;&gt;"",COUNTIF('03_地点锚点'!$A$2:$A$501,'03_地点锚点'!F215)=0),"父级地点不存在；","")&amp;IF(AND('03_地点锚点'!A215&lt;&gt;"",COUNTIF('03_地点锚点'!$A$2:$A$501,'03_地点锚点'!A215)&gt;1),"ID重复；",""),"")</f>
        <v/>
      </c>
      <c r="G715" s="14">
        <f>IF(F715&lt;&gt;"","按字段批注、数据字典和来源记录修正后复核","")</f>
        <v/>
      </c>
      <c r="H715" s="14">
        <f>IF(F715&lt;&gt;"","待处理","")</f>
        <v/>
      </c>
    </row>
    <row r="716">
      <c r="A716" s="14">
        <f>IF(F716&lt;&gt;"","ISSUE-"&amp;TEXT(ROW()-1,"00000"),"")</f>
        <v/>
      </c>
      <c r="B716" s="14">
        <f>IF(F716&lt;&gt;"","错误","")</f>
        <v/>
      </c>
      <c r="C716" s="14">
        <f>IF('03_地点锚点'!A216&lt;&gt;"","03_地点锚点","")</f>
        <v/>
      </c>
      <c r="D716" s="14">
        <f>IF('03_地点锚点'!A216&lt;&gt;"",'03_地点锚点'!A216,"")</f>
        <v/>
      </c>
      <c r="E716" s="14">
        <f>IF(F716&lt;&gt;"","综合校验","")</f>
        <v/>
      </c>
      <c r="F716" s="14">
        <f>IF('03_地点锚点'!A216&lt;&gt;"",IF('03_地点锚点'!A216="","缺少地点ID；","")&amp;IF('03_地点锚点'!B216="","缺少中文名称；","")&amp;IF('03_地点锚点'!D216="","缺少地点类型；","")&amp;IF('03_地点锚点'!G216="","缺少世界X；","")&amp;IF('03_地点锚点'!H216="","缺少世界Y；","")&amp;IF(AND('03_地点锚点'!G216&lt;&gt;"",OR('03_地点锚点'!G216&lt;0,'03_地点锚点'!G216&gt;WorldWidth)),"世界X越界；","")&amp;IF(AND('03_地点锚点'!H216&lt;&gt;"",OR('03_地点锚点'!H216&lt;0,'03_地点锚点'!H216&gt;WorldHeight)),"世界Y越界；","")&amp;IF(AND('03_地点锚点'!E216&lt;&gt;"",COUNTIF('02_固定地理'!$A$2:$A$501,'03_地点锚点'!E216)=0),"父级行政对象不存在；","")&amp;IF(AND('03_地点锚点'!F216&lt;&gt;"",COUNTIF('03_地点锚点'!$A$2:$A$501,'03_地点锚点'!F216)=0),"父级地点不存在；","")&amp;IF(AND('03_地点锚点'!A216&lt;&gt;"",COUNTIF('03_地点锚点'!$A$2:$A$501,'03_地点锚点'!A216)&gt;1),"ID重复；",""),"")</f>
        <v/>
      </c>
      <c r="G716" s="14">
        <f>IF(F716&lt;&gt;"","按字段批注、数据字典和来源记录修正后复核","")</f>
        <v/>
      </c>
      <c r="H716" s="14">
        <f>IF(F716&lt;&gt;"","待处理","")</f>
        <v/>
      </c>
    </row>
    <row r="717">
      <c r="A717" s="14">
        <f>IF(F717&lt;&gt;"","ISSUE-"&amp;TEXT(ROW()-1,"00000"),"")</f>
        <v/>
      </c>
      <c r="B717" s="14">
        <f>IF(F717&lt;&gt;"","错误","")</f>
        <v/>
      </c>
      <c r="C717" s="14">
        <f>IF('03_地点锚点'!A217&lt;&gt;"","03_地点锚点","")</f>
        <v/>
      </c>
      <c r="D717" s="14">
        <f>IF('03_地点锚点'!A217&lt;&gt;"",'03_地点锚点'!A217,"")</f>
        <v/>
      </c>
      <c r="E717" s="14">
        <f>IF(F717&lt;&gt;"","综合校验","")</f>
        <v/>
      </c>
      <c r="F717" s="14">
        <f>IF('03_地点锚点'!A217&lt;&gt;"",IF('03_地点锚点'!A217="","缺少地点ID；","")&amp;IF('03_地点锚点'!B217="","缺少中文名称；","")&amp;IF('03_地点锚点'!D217="","缺少地点类型；","")&amp;IF('03_地点锚点'!G217="","缺少世界X；","")&amp;IF('03_地点锚点'!H217="","缺少世界Y；","")&amp;IF(AND('03_地点锚点'!G217&lt;&gt;"",OR('03_地点锚点'!G217&lt;0,'03_地点锚点'!G217&gt;WorldWidth)),"世界X越界；","")&amp;IF(AND('03_地点锚点'!H217&lt;&gt;"",OR('03_地点锚点'!H217&lt;0,'03_地点锚点'!H217&gt;WorldHeight)),"世界Y越界；","")&amp;IF(AND('03_地点锚点'!E217&lt;&gt;"",COUNTIF('02_固定地理'!$A$2:$A$501,'03_地点锚点'!E217)=0),"父级行政对象不存在；","")&amp;IF(AND('03_地点锚点'!F217&lt;&gt;"",COUNTIF('03_地点锚点'!$A$2:$A$501,'03_地点锚点'!F217)=0),"父级地点不存在；","")&amp;IF(AND('03_地点锚点'!A217&lt;&gt;"",COUNTIF('03_地点锚点'!$A$2:$A$501,'03_地点锚点'!A217)&gt;1),"ID重复；",""),"")</f>
        <v/>
      </c>
      <c r="G717" s="14">
        <f>IF(F717&lt;&gt;"","按字段批注、数据字典和来源记录修正后复核","")</f>
        <v/>
      </c>
      <c r="H717" s="14">
        <f>IF(F717&lt;&gt;"","待处理","")</f>
        <v/>
      </c>
    </row>
    <row r="718">
      <c r="A718" s="14">
        <f>IF(F718&lt;&gt;"","ISSUE-"&amp;TEXT(ROW()-1,"00000"),"")</f>
        <v/>
      </c>
      <c r="B718" s="14">
        <f>IF(F718&lt;&gt;"","错误","")</f>
        <v/>
      </c>
      <c r="C718" s="14">
        <f>IF('03_地点锚点'!A218&lt;&gt;"","03_地点锚点","")</f>
        <v/>
      </c>
      <c r="D718" s="14">
        <f>IF('03_地点锚点'!A218&lt;&gt;"",'03_地点锚点'!A218,"")</f>
        <v/>
      </c>
      <c r="E718" s="14">
        <f>IF(F718&lt;&gt;"","综合校验","")</f>
        <v/>
      </c>
      <c r="F718" s="14">
        <f>IF('03_地点锚点'!A218&lt;&gt;"",IF('03_地点锚点'!A218="","缺少地点ID；","")&amp;IF('03_地点锚点'!B218="","缺少中文名称；","")&amp;IF('03_地点锚点'!D218="","缺少地点类型；","")&amp;IF('03_地点锚点'!G218="","缺少世界X；","")&amp;IF('03_地点锚点'!H218="","缺少世界Y；","")&amp;IF(AND('03_地点锚点'!G218&lt;&gt;"",OR('03_地点锚点'!G218&lt;0,'03_地点锚点'!G218&gt;WorldWidth)),"世界X越界；","")&amp;IF(AND('03_地点锚点'!H218&lt;&gt;"",OR('03_地点锚点'!H218&lt;0,'03_地点锚点'!H218&gt;WorldHeight)),"世界Y越界；","")&amp;IF(AND('03_地点锚点'!E218&lt;&gt;"",COUNTIF('02_固定地理'!$A$2:$A$501,'03_地点锚点'!E218)=0),"父级行政对象不存在；","")&amp;IF(AND('03_地点锚点'!F218&lt;&gt;"",COUNTIF('03_地点锚点'!$A$2:$A$501,'03_地点锚点'!F218)=0),"父级地点不存在；","")&amp;IF(AND('03_地点锚点'!A218&lt;&gt;"",COUNTIF('03_地点锚点'!$A$2:$A$501,'03_地点锚点'!A218)&gt;1),"ID重复；",""),"")</f>
        <v/>
      </c>
      <c r="G718" s="14">
        <f>IF(F718&lt;&gt;"","按字段批注、数据字典和来源记录修正后复核","")</f>
        <v/>
      </c>
      <c r="H718" s="14">
        <f>IF(F718&lt;&gt;"","待处理","")</f>
        <v/>
      </c>
    </row>
    <row r="719">
      <c r="A719" s="14">
        <f>IF(F719&lt;&gt;"","ISSUE-"&amp;TEXT(ROW()-1,"00000"),"")</f>
        <v/>
      </c>
      <c r="B719" s="14">
        <f>IF(F719&lt;&gt;"","错误","")</f>
        <v/>
      </c>
      <c r="C719" s="14">
        <f>IF('03_地点锚点'!A219&lt;&gt;"","03_地点锚点","")</f>
        <v/>
      </c>
      <c r="D719" s="14">
        <f>IF('03_地点锚点'!A219&lt;&gt;"",'03_地点锚点'!A219,"")</f>
        <v/>
      </c>
      <c r="E719" s="14">
        <f>IF(F719&lt;&gt;"","综合校验","")</f>
        <v/>
      </c>
      <c r="F719" s="14">
        <f>IF('03_地点锚点'!A219&lt;&gt;"",IF('03_地点锚点'!A219="","缺少地点ID；","")&amp;IF('03_地点锚点'!B219="","缺少中文名称；","")&amp;IF('03_地点锚点'!D219="","缺少地点类型；","")&amp;IF('03_地点锚点'!G219="","缺少世界X；","")&amp;IF('03_地点锚点'!H219="","缺少世界Y；","")&amp;IF(AND('03_地点锚点'!G219&lt;&gt;"",OR('03_地点锚点'!G219&lt;0,'03_地点锚点'!G219&gt;WorldWidth)),"世界X越界；","")&amp;IF(AND('03_地点锚点'!H219&lt;&gt;"",OR('03_地点锚点'!H219&lt;0,'03_地点锚点'!H219&gt;WorldHeight)),"世界Y越界；","")&amp;IF(AND('03_地点锚点'!E219&lt;&gt;"",COUNTIF('02_固定地理'!$A$2:$A$501,'03_地点锚点'!E219)=0),"父级行政对象不存在；","")&amp;IF(AND('03_地点锚点'!F219&lt;&gt;"",COUNTIF('03_地点锚点'!$A$2:$A$501,'03_地点锚点'!F219)=0),"父级地点不存在；","")&amp;IF(AND('03_地点锚点'!A219&lt;&gt;"",COUNTIF('03_地点锚点'!$A$2:$A$501,'03_地点锚点'!A219)&gt;1),"ID重复；",""),"")</f>
        <v/>
      </c>
      <c r="G719" s="14">
        <f>IF(F719&lt;&gt;"","按字段批注、数据字典和来源记录修正后复核","")</f>
        <v/>
      </c>
      <c r="H719" s="14">
        <f>IF(F719&lt;&gt;"","待处理","")</f>
        <v/>
      </c>
    </row>
    <row r="720">
      <c r="A720" s="14">
        <f>IF(F720&lt;&gt;"","ISSUE-"&amp;TEXT(ROW()-1,"00000"),"")</f>
        <v/>
      </c>
      <c r="B720" s="14">
        <f>IF(F720&lt;&gt;"","错误","")</f>
        <v/>
      </c>
      <c r="C720" s="14">
        <f>IF('03_地点锚点'!A220&lt;&gt;"","03_地点锚点","")</f>
        <v/>
      </c>
      <c r="D720" s="14">
        <f>IF('03_地点锚点'!A220&lt;&gt;"",'03_地点锚点'!A220,"")</f>
        <v/>
      </c>
      <c r="E720" s="14">
        <f>IF(F720&lt;&gt;"","综合校验","")</f>
        <v/>
      </c>
      <c r="F720" s="14">
        <f>IF('03_地点锚点'!A220&lt;&gt;"",IF('03_地点锚点'!A220="","缺少地点ID；","")&amp;IF('03_地点锚点'!B220="","缺少中文名称；","")&amp;IF('03_地点锚点'!D220="","缺少地点类型；","")&amp;IF('03_地点锚点'!G220="","缺少世界X；","")&amp;IF('03_地点锚点'!H220="","缺少世界Y；","")&amp;IF(AND('03_地点锚点'!G220&lt;&gt;"",OR('03_地点锚点'!G220&lt;0,'03_地点锚点'!G220&gt;WorldWidth)),"世界X越界；","")&amp;IF(AND('03_地点锚点'!H220&lt;&gt;"",OR('03_地点锚点'!H220&lt;0,'03_地点锚点'!H220&gt;WorldHeight)),"世界Y越界；","")&amp;IF(AND('03_地点锚点'!E220&lt;&gt;"",COUNTIF('02_固定地理'!$A$2:$A$501,'03_地点锚点'!E220)=0),"父级行政对象不存在；","")&amp;IF(AND('03_地点锚点'!F220&lt;&gt;"",COUNTIF('03_地点锚点'!$A$2:$A$501,'03_地点锚点'!F220)=0),"父级地点不存在；","")&amp;IF(AND('03_地点锚点'!A220&lt;&gt;"",COUNTIF('03_地点锚点'!$A$2:$A$501,'03_地点锚点'!A220)&gt;1),"ID重复；",""),"")</f>
        <v/>
      </c>
      <c r="G720" s="14">
        <f>IF(F720&lt;&gt;"","按字段批注、数据字典和来源记录修正后复核","")</f>
        <v/>
      </c>
      <c r="H720" s="14">
        <f>IF(F720&lt;&gt;"","待处理","")</f>
        <v/>
      </c>
    </row>
    <row r="721">
      <c r="A721" s="14">
        <f>IF(F721&lt;&gt;"","ISSUE-"&amp;TEXT(ROW()-1,"00000"),"")</f>
        <v/>
      </c>
      <c r="B721" s="14">
        <f>IF(F721&lt;&gt;"","错误","")</f>
        <v/>
      </c>
      <c r="C721" s="14">
        <f>IF('03_地点锚点'!A221&lt;&gt;"","03_地点锚点","")</f>
        <v/>
      </c>
      <c r="D721" s="14">
        <f>IF('03_地点锚点'!A221&lt;&gt;"",'03_地点锚点'!A221,"")</f>
        <v/>
      </c>
      <c r="E721" s="14">
        <f>IF(F721&lt;&gt;"","综合校验","")</f>
        <v/>
      </c>
      <c r="F721" s="14">
        <f>IF('03_地点锚点'!A221&lt;&gt;"",IF('03_地点锚点'!A221="","缺少地点ID；","")&amp;IF('03_地点锚点'!B221="","缺少中文名称；","")&amp;IF('03_地点锚点'!D221="","缺少地点类型；","")&amp;IF('03_地点锚点'!G221="","缺少世界X；","")&amp;IF('03_地点锚点'!H221="","缺少世界Y；","")&amp;IF(AND('03_地点锚点'!G221&lt;&gt;"",OR('03_地点锚点'!G221&lt;0,'03_地点锚点'!G221&gt;WorldWidth)),"世界X越界；","")&amp;IF(AND('03_地点锚点'!H221&lt;&gt;"",OR('03_地点锚点'!H221&lt;0,'03_地点锚点'!H221&gt;WorldHeight)),"世界Y越界；","")&amp;IF(AND('03_地点锚点'!E221&lt;&gt;"",COUNTIF('02_固定地理'!$A$2:$A$501,'03_地点锚点'!E221)=0),"父级行政对象不存在；","")&amp;IF(AND('03_地点锚点'!F221&lt;&gt;"",COUNTIF('03_地点锚点'!$A$2:$A$501,'03_地点锚点'!F221)=0),"父级地点不存在；","")&amp;IF(AND('03_地点锚点'!A221&lt;&gt;"",COUNTIF('03_地点锚点'!$A$2:$A$501,'03_地点锚点'!A221)&gt;1),"ID重复；",""),"")</f>
        <v/>
      </c>
      <c r="G721" s="14">
        <f>IF(F721&lt;&gt;"","按字段批注、数据字典和来源记录修正后复核","")</f>
        <v/>
      </c>
      <c r="H721" s="14">
        <f>IF(F721&lt;&gt;"","待处理","")</f>
        <v/>
      </c>
    </row>
    <row r="722">
      <c r="A722" s="14">
        <f>IF(F722&lt;&gt;"","ISSUE-"&amp;TEXT(ROW()-1,"00000"),"")</f>
        <v/>
      </c>
      <c r="B722" s="14">
        <f>IF(F722&lt;&gt;"","错误","")</f>
        <v/>
      </c>
      <c r="C722" s="14">
        <f>IF('03_地点锚点'!A222&lt;&gt;"","03_地点锚点","")</f>
        <v/>
      </c>
      <c r="D722" s="14">
        <f>IF('03_地点锚点'!A222&lt;&gt;"",'03_地点锚点'!A222,"")</f>
        <v/>
      </c>
      <c r="E722" s="14">
        <f>IF(F722&lt;&gt;"","综合校验","")</f>
        <v/>
      </c>
      <c r="F722" s="14">
        <f>IF('03_地点锚点'!A222&lt;&gt;"",IF('03_地点锚点'!A222="","缺少地点ID；","")&amp;IF('03_地点锚点'!B222="","缺少中文名称；","")&amp;IF('03_地点锚点'!D222="","缺少地点类型；","")&amp;IF('03_地点锚点'!G222="","缺少世界X；","")&amp;IF('03_地点锚点'!H222="","缺少世界Y；","")&amp;IF(AND('03_地点锚点'!G222&lt;&gt;"",OR('03_地点锚点'!G222&lt;0,'03_地点锚点'!G222&gt;WorldWidth)),"世界X越界；","")&amp;IF(AND('03_地点锚点'!H222&lt;&gt;"",OR('03_地点锚点'!H222&lt;0,'03_地点锚点'!H222&gt;WorldHeight)),"世界Y越界；","")&amp;IF(AND('03_地点锚点'!E222&lt;&gt;"",COUNTIF('02_固定地理'!$A$2:$A$501,'03_地点锚点'!E222)=0),"父级行政对象不存在；","")&amp;IF(AND('03_地点锚点'!F222&lt;&gt;"",COUNTIF('03_地点锚点'!$A$2:$A$501,'03_地点锚点'!F222)=0),"父级地点不存在；","")&amp;IF(AND('03_地点锚点'!A222&lt;&gt;"",COUNTIF('03_地点锚点'!$A$2:$A$501,'03_地点锚点'!A222)&gt;1),"ID重复；",""),"")</f>
        <v/>
      </c>
      <c r="G722" s="14">
        <f>IF(F722&lt;&gt;"","按字段批注、数据字典和来源记录修正后复核","")</f>
        <v/>
      </c>
      <c r="H722" s="14">
        <f>IF(F722&lt;&gt;"","待处理","")</f>
        <v/>
      </c>
    </row>
    <row r="723">
      <c r="A723" s="14">
        <f>IF(F723&lt;&gt;"","ISSUE-"&amp;TEXT(ROW()-1,"00000"),"")</f>
        <v/>
      </c>
      <c r="B723" s="14">
        <f>IF(F723&lt;&gt;"","错误","")</f>
        <v/>
      </c>
      <c r="C723" s="14">
        <f>IF('03_地点锚点'!A223&lt;&gt;"","03_地点锚点","")</f>
        <v/>
      </c>
      <c r="D723" s="14">
        <f>IF('03_地点锚点'!A223&lt;&gt;"",'03_地点锚点'!A223,"")</f>
        <v/>
      </c>
      <c r="E723" s="14">
        <f>IF(F723&lt;&gt;"","综合校验","")</f>
        <v/>
      </c>
      <c r="F723" s="14">
        <f>IF('03_地点锚点'!A223&lt;&gt;"",IF('03_地点锚点'!A223="","缺少地点ID；","")&amp;IF('03_地点锚点'!B223="","缺少中文名称；","")&amp;IF('03_地点锚点'!D223="","缺少地点类型；","")&amp;IF('03_地点锚点'!G223="","缺少世界X；","")&amp;IF('03_地点锚点'!H223="","缺少世界Y；","")&amp;IF(AND('03_地点锚点'!G223&lt;&gt;"",OR('03_地点锚点'!G223&lt;0,'03_地点锚点'!G223&gt;WorldWidth)),"世界X越界；","")&amp;IF(AND('03_地点锚点'!H223&lt;&gt;"",OR('03_地点锚点'!H223&lt;0,'03_地点锚点'!H223&gt;WorldHeight)),"世界Y越界；","")&amp;IF(AND('03_地点锚点'!E223&lt;&gt;"",COUNTIF('02_固定地理'!$A$2:$A$501,'03_地点锚点'!E223)=0),"父级行政对象不存在；","")&amp;IF(AND('03_地点锚点'!F223&lt;&gt;"",COUNTIF('03_地点锚点'!$A$2:$A$501,'03_地点锚点'!F223)=0),"父级地点不存在；","")&amp;IF(AND('03_地点锚点'!A223&lt;&gt;"",COUNTIF('03_地点锚点'!$A$2:$A$501,'03_地点锚点'!A223)&gt;1),"ID重复；",""),"")</f>
        <v/>
      </c>
      <c r="G723" s="14">
        <f>IF(F723&lt;&gt;"","按字段批注、数据字典和来源记录修正后复核","")</f>
        <v/>
      </c>
      <c r="H723" s="14">
        <f>IF(F723&lt;&gt;"","待处理","")</f>
        <v/>
      </c>
    </row>
    <row r="724">
      <c r="A724" s="14">
        <f>IF(F724&lt;&gt;"","ISSUE-"&amp;TEXT(ROW()-1,"00000"),"")</f>
        <v/>
      </c>
      <c r="B724" s="14">
        <f>IF(F724&lt;&gt;"","错误","")</f>
        <v/>
      </c>
      <c r="C724" s="14">
        <f>IF('03_地点锚点'!A224&lt;&gt;"","03_地点锚点","")</f>
        <v/>
      </c>
      <c r="D724" s="14">
        <f>IF('03_地点锚点'!A224&lt;&gt;"",'03_地点锚点'!A224,"")</f>
        <v/>
      </c>
      <c r="E724" s="14">
        <f>IF(F724&lt;&gt;"","综合校验","")</f>
        <v/>
      </c>
      <c r="F724" s="14">
        <f>IF('03_地点锚点'!A224&lt;&gt;"",IF('03_地点锚点'!A224="","缺少地点ID；","")&amp;IF('03_地点锚点'!B224="","缺少中文名称；","")&amp;IF('03_地点锚点'!D224="","缺少地点类型；","")&amp;IF('03_地点锚点'!G224="","缺少世界X；","")&amp;IF('03_地点锚点'!H224="","缺少世界Y；","")&amp;IF(AND('03_地点锚点'!G224&lt;&gt;"",OR('03_地点锚点'!G224&lt;0,'03_地点锚点'!G224&gt;WorldWidth)),"世界X越界；","")&amp;IF(AND('03_地点锚点'!H224&lt;&gt;"",OR('03_地点锚点'!H224&lt;0,'03_地点锚点'!H224&gt;WorldHeight)),"世界Y越界；","")&amp;IF(AND('03_地点锚点'!E224&lt;&gt;"",COUNTIF('02_固定地理'!$A$2:$A$501,'03_地点锚点'!E224)=0),"父级行政对象不存在；","")&amp;IF(AND('03_地点锚点'!F224&lt;&gt;"",COUNTIF('03_地点锚点'!$A$2:$A$501,'03_地点锚点'!F224)=0),"父级地点不存在；","")&amp;IF(AND('03_地点锚点'!A224&lt;&gt;"",COUNTIF('03_地点锚点'!$A$2:$A$501,'03_地点锚点'!A224)&gt;1),"ID重复；",""),"")</f>
        <v/>
      </c>
      <c r="G724" s="14">
        <f>IF(F724&lt;&gt;"","按字段批注、数据字典和来源记录修正后复核","")</f>
        <v/>
      </c>
      <c r="H724" s="14">
        <f>IF(F724&lt;&gt;"","待处理","")</f>
        <v/>
      </c>
    </row>
    <row r="725">
      <c r="A725" s="14">
        <f>IF(F725&lt;&gt;"","ISSUE-"&amp;TEXT(ROW()-1,"00000"),"")</f>
        <v/>
      </c>
      <c r="B725" s="14">
        <f>IF(F725&lt;&gt;"","错误","")</f>
        <v/>
      </c>
      <c r="C725" s="14">
        <f>IF('03_地点锚点'!A225&lt;&gt;"","03_地点锚点","")</f>
        <v/>
      </c>
      <c r="D725" s="14">
        <f>IF('03_地点锚点'!A225&lt;&gt;"",'03_地点锚点'!A225,"")</f>
        <v/>
      </c>
      <c r="E725" s="14">
        <f>IF(F725&lt;&gt;"","综合校验","")</f>
        <v/>
      </c>
      <c r="F725" s="14">
        <f>IF('03_地点锚点'!A225&lt;&gt;"",IF('03_地点锚点'!A225="","缺少地点ID；","")&amp;IF('03_地点锚点'!B225="","缺少中文名称；","")&amp;IF('03_地点锚点'!D225="","缺少地点类型；","")&amp;IF('03_地点锚点'!G225="","缺少世界X；","")&amp;IF('03_地点锚点'!H225="","缺少世界Y；","")&amp;IF(AND('03_地点锚点'!G225&lt;&gt;"",OR('03_地点锚点'!G225&lt;0,'03_地点锚点'!G225&gt;WorldWidth)),"世界X越界；","")&amp;IF(AND('03_地点锚点'!H225&lt;&gt;"",OR('03_地点锚点'!H225&lt;0,'03_地点锚点'!H225&gt;WorldHeight)),"世界Y越界；","")&amp;IF(AND('03_地点锚点'!E225&lt;&gt;"",COUNTIF('02_固定地理'!$A$2:$A$501,'03_地点锚点'!E225)=0),"父级行政对象不存在；","")&amp;IF(AND('03_地点锚点'!F225&lt;&gt;"",COUNTIF('03_地点锚点'!$A$2:$A$501,'03_地点锚点'!F225)=0),"父级地点不存在；","")&amp;IF(AND('03_地点锚点'!A225&lt;&gt;"",COUNTIF('03_地点锚点'!$A$2:$A$501,'03_地点锚点'!A225)&gt;1),"ID重复；",""),"")</f>
        <v/>
      </c>
      <c r="G725" s="14">
        <f>IF(F725&lt;&gt;"","按字段批注、数据字典和来源记录修正后复核","")</f>
        <v/>
      </c>
      <c r="H725" s="14">
        <f>IF(F725&lt;&gt;"","待处理","")</f>
        <v/>
      </c>
    </row>
    <row r="726">
      <c r="A726" s="14">
        <f>IF(F726&lt;&gt;"","ISSUE-"&amp;TEXT(ROW()-1,"00000"),"")</f>
        <v/>
      </c>
      <c r="B726" s="14">
        <f>IF(F726&lt;&gt;"","错误","")</f>
        <v/>
      </c>
      <c r="C726" s="14">
        <f>IF('03_地点锚点'!A226&lt;&gt;"","03_地点锚点","")</f>
        <v/>
      </c>
      <c r="D726" s="14">
        <f>IF('03_地点锚点'!A226&lt;&gt;"",'03_地点锚点'!A226,"")</f>
        <v/>
      </c>
      <c r="E726" s="14">
        <f>IF(F726&lt;&gt;"","综合校验","")</f>
        <v/>
      </c>
      <c r="F726" s="14">
        <f>IF('03_地点锚点'!A226&lt;&gt;"",IF('03_地点锚点'!A226="","缺少地点ID；","")&amp;IF('03_地点锚点'!B226="","缺少中文名称；","")&amp;IF('03_地点锚点'!D226="","缺少地点类型；","")&amp;IF('03_地点锚点'!G226="","缺少世界X；","")&amp;IF('03_地点锚点'!H226="","缺少世界Y；","")&amp;IF(AND('03_地点锚点'!G226&lt;&gt;"",OR('03_地点锚点'!G226&lt;0,'03_地点锚点'!G226&gt;WorldWidth)),"世界X越界；","")&amp;IF(AND('03_地点锚点'!H226&lt;&gt;"",OR('03_地点锚点'!H226&lt;0,'03_地点锚点'!H226&gt;WorldHeight)),"世界Y越界；","")&amp;IF(AND('03_地点锚点'!E226&lt;&gt;"",COUNTIF('02_固定地理'!$A$2:$A$501,'03_地点锚点'!E226)=0),"父级行政对象不存在；","")&amp;IF(AND('03_地点锚点'!F226&lt;&gt;"",COUNTIF('03_地点锚点'!$A$2:$A$501,'03_地点锚点'!F226)=0),"父级地点不存在；","")&amp;IF(AND('03_地点锚点'!A226&lt;&gt;"",COUNTIF('03_地点锚点'!$A$2:$A$501,'03_地点锚点'!A226)&gt;1),"ID重复；",""),"")</f>
        <v/>
      </c>
      <c r="G726" s="14">
        <f>IF(F726&lt;&gt;"","按字段批注、数据字典和来源记录修正后复核","")</f>
        <v/>
      </c>
      <c r="H726" s="14">
        <f>IF(F726&lt;&gt;"","待处理","")</f>
        <v/>
      </c>
    </row>
    <row r="727">
      <c r="A727" s="14">
        <f>IF(F727&lt;&gt;"","ISSUE-"&amp;TEXT(ROW()-1,"00000"),"")</f>
        <v/>
      </c>
      <c r="B727" s="14">
        <f>IF(F727&lt;&gt;"","错误","")</f>
        <v/>
      </c>
      <c r="C727" s="14">
        <f>IF('03_地点锚点'!A227&lt;&gt;"","03_地点锚点","")</f>
        <v/>
      </c>
      <c r="D727" s="14">
        <f>IF('03_地点锚点'!A227&lt;&gt;"",'03_地点锚点'!A227,"")</f>
        <v/>
      </c>
      <c r="E727" s="14">
        <f>IF(F727&lt;&gt;"","综合校验","")</f>
        <v/>
      </c>
      <c r="F727" s="14">
        <f>IF('03_地点锚点'!A227&lt;&gt;"",IF('03_地点锚点'!A227="","缺少地点ID；","")&amp;IF('03_地点锚点'!B227="","缺少中文名称；","")&amp;IF('03_地点锚点'!D227="","缺少地点类型；","")&amp;IF('03_地点锚点'!G227="","缺少世界X；","")&amp;IF('03_地点锚点'!H227="","缺少世界Y；","")&amp;IF(AND('03_地点锚点'!G227&lt;&gt;"",OR('03_地点锚点'!G227&lt;0,'03_地点锚点'!G227&gt;WorldWidth)),"世界X越界；","")&amp;IF(AND('03_地点锚点'!H227&lt;&gt;"",OR('03_地点锚点'!H227&lt;0,'03_地点锚点'!H227&gt;WorldHeight)),"世界Y越界；","")&amp;IF(AND('03_地点锚点'!E227&lt;&gt;"",COUNTIF('02_固定地理'!$A$2:$A$501,'03_地点锚点'!E227)=0),"父级行政对象不存在；","")&amp;IF(AND('03_地点锚点'!F227&lt;&gt;"",COUNTIF('03_地点锚点'!$A$2:$A$501,'03_地点锚点'!F227)=0),"父级地点不存在；","")&amp;IF(AND('03_地点锚点'!A227&lt;&gt;"",COUNTIF('03_地点锚点'!$A$2:$A$501,'03_地点锚点'!A227)&gt;1),"ID重复；",""),"")</f>
        <v/>
      </c>
      <c r="G727" s="14">
        <f>IF(F727&lt;&gt;"","按字段批注、数据字典和来源记录修正后复核","")</f>
        <v/>
      </c>
      <c r="H727" s="14">
        <f>IF(F727&lt;&gt;"","待处理","")</f>
        <v/>
      </c>
    </row>
    <row r="728">
      <c r="A728" s="14">
        <f>IF(F728&lt;&gt;"","ISSUE-"&amp;TEXT(ROW()-1,"00000"),"")</f>
        <v/>
      </c>
      <c r="B728" s="14">
        <f>IF(F728&lt;&gt;"","错误","")</f>
        <v/>
      </c>
      <c r="C728" s="14">
        <f>IF('03_地点锚点'!A228&lt;&gt;"","03_地点锚点","")</f>
        <v/>
      </c>
      <c r="D728" s="14">
        <f>IF('03_地点锚点'!A228&lt;&gt;"",'03_地点锚点'!A228,"")</f>
        <v/>
      </c>
      <c r="E728" s="14">
        <f>IF(F728&lt;&gt;"","综合校验","")</f>
        <v/>
      </c>
      <c r="F728" s="14">
        <f>IF('03_地点锚点'!A228&lt;&gt;"",IF('03_地点锚点'!A228="","缺少地点ID；","")&amp;IF('03_地点锚点'!B228="","缺少中文名称；","")&amp;IF('03_地点锚点'!D228="","缺少地点类型；","")&amp;IF('03_地点锚点'!G228="","缺少世界X；","")&amp;IF('03_地点锚点'!H228="","缺少世界Y；","")&amp;IF(AND('03_地点锚点'!G228&lt;&gt;"",OR('03_地点锚点'!G228&lt;0,'03_地点锚点'!G228&gt;WorldWidth)),"世界X越界；","")&amp;IF(AND('03_地点锚点'!H228&lt;&gt;"",OR('03_地点锚点'!H228&lt;0,'03_地点锚点'!H228&gt;WorldHeight)),"世界Y越界；","")&amp;IF(AND('03_地点锚点'!E228&lt;&gt;"",COUNTIF('02_固定地理'!$A$2:$A$501,'03_地点锚点'!E228)=0),"父级行政对象不存在；","")&amp;IF(AND('03_地点锚点'!F228&lt;&gt;"",COUNTIF('03_地点锚点'!$A$2:$A$501,'03_地点锚点'!F228)=0),"父级地点不存在；","")&amp;IF(AND('03_地点锚点'!A228&lt;&gt;"",COUNTIF('03_地点锚点'!$A$2:$A$501,'03_地点锚点'!A228)&gt;1),"ID重复；",""),"")</f>
        <v/>
      </c>
      <c r="G728" s="14">
        <f>IF(F728&lt;&gt;"","按字段批注、数据字典和来源记录修正后复核","")</f>
        <v/>
      </c>
      <c r="H728" s="14">
        <f>IF(F728&lt;&gt;"","待处理","")</f>
        <v/>
      </c>
    </row>
    <row r="729">
      <c r="A729" s="14">
        <f>IF(F729&lt;&gt;"","ISSUE-"&amp;TEXT(ROW()-1,"00000"),"")</f>
        <v/>
      </c>
      <c r="B729" s="14">
        <f>IF(F729&lt;&gt;"","错误","")</f>
        <v/>
      </c>
      <c r="C729" s="14">
        <f>IF('03_地点锚点'!A229&lt;&gt;"","03_地点锚点","")</f>
        <v/>
      </c>
      <c r="D729" s="14">
        <f>IF('03_地点锚点'!A229&lt;&gt;"",'03_地点锚点'!A229,"")</f>
        <v/>
      </c>
      <c r="E729" s="14">
        <f>IF(F729&lt;&gt;"","综合校验","")</f>
        <v/>
      </c>
      <c r="F729" s="14">
        <f>IF('03_地点锚点'!A229&lt;&gt;"",IF('03_地点锚点'!A229="","缺少地点ID；","")&amp;IF('03_地点锚点'!B229="","缺少中文名称；","")&amp;IF('03_地点锚点'!D229="","缺少地点类型；","")&amp;IF('03_地点锚点'!G229="","缺少世界X；","")&amp;IF('03_地点锚点'!H229="","缺少世界Y；","")&amp;IF(AND('03_地点锚点'!G229&lt;&gt;"",OR('03_地点锚点'!G229&lt;0,'03_地点锚点'!G229&gt;WorldWidth)),"世界X越界；","")&amp;IF(AND('03_地点锚点'!H229&lt;&gt;"",OR('03_地点锚点'!H229&lt;0,'03_地点锚点'!H229&gt;WorldHeight)),"世界Y越界；","")&amp;IF(AND('03_地点锚点'!E229&lt;&gt;"",COUNTIF('02_固定地理'!$A$2:$A$501,'03_地点锚点'!E229)=0),"父级行政对象不存在；","")&amp;IF(AND('03_地点锚点'!F229&lt;&gt;"",COUNTIF('03_地点锚点'!$A$2:$A$501,'03_地点锚点'!F229)=0),"父级地点不存在；","")&amp;IF(AND('03_地点锚点'!A229&lt;&gt;"",COUNTIF('03_地点锚点'!$A$2:$A$501,'03_地点锚点'!A229)&gt;1),"ID重复；",""),"")</f>
        <v/>
      </c>
      <c r="G729" s="14">
        <f>IF(F729&lt;&gt;"","按字段批注、数据字典和来源记录修正后复核","")</f>
        <v/>
      </c>
      <c r="H729" s="14">
        <f>IF(F729&lt;&gt;"","待处理","")</f>
        <v/>
      </c>
    </row>
    <row r="730">
      <c r="A730" s="14">
        <f>IF(F730&lt;&gt;"","ISSUE-"&amp;TEXT(ROW()-1,"00000"),"")</f>
        <v/>
      </c>
      <c r="B730" s="14">
        <f>IF(F730&lt;&gt;"","错误","")</f>
        <v/>
      </c>
      <c r="C730" s="14">
        <f>IF('03_地点锚点'!A230&lt;&gt;"","03_地点锚点","")</f>
        <v/>
      </c>
      <c r="D730" s="14">
        <f>IF('03_地点锚点'!A230&lt;&gt;"",'03_地点锚点'!A230,"")</f>
        <v/>
      </c>
      <c r="E730" s="14">
        <f>IF(F730&lt;&gt;"","综合校验","")</f>
        <v/>
      </c>
      <c r="F730" s="14">
        <f>IF('03_地点锚点'!A230&lt;&gt;"",IF('03_地点锚点'!A230="","缺少地点ID；","")&amp;IF('03_地点锚点'!B230="","缺少中文名称；","")&amp;IF('03_地点锚点'!D230="","缺少地点类型；","")&amp;IF('03_地点锚点'!G230="","缺少世界X；","")&amp;IF('03_地点锚点'!H230="","缺少世界Y；","")&amp;IF(AND('03_地点锚点'!G230&lt;&gt;"",OR('03_地点锚点'!G230&lt;0,'03_地点锚点'!G230&gt;WorldWidth)),"世界X越界；","")&amp;IF(AND('03_地点锚点'!H230&lt;&gt;"",OR('03_地点锚点'!H230&lt;0,'03_地点锚点'!H230&gt;WorldHeight)),"世界Y越界；","")&amp;IF(AND('03_地点锚点'!E230&lt;&gt;"",COUNTIF('02_固定地理'!$A$2:$A$501,'03_地点锚点'!E230)=0),"父级行政对象不存在；","")&amp;IF(AND('03_地点锚点'!F230&lt;&gt;"",COUNTIF('03_地点锚点'!$A$2:$A$501,'03_地点锚点'!F230)=0),"父级地点不存在；","")&amp;IF(AND('03_地点锚点'!A230&lt;&gt;"",COUNTIF('03_地点锚点'!$A$2:$A$501,'03_地点锚点'!A230)&gt;1),"ID重复；",""),"")</f>
        <v/>
      </c>
      <c r="G730" s="14">
        <f>IF(F730&lt;&gt;"","按字段批注、数据字典和来源记录修正后复核","")</f>
        <v/>
      </c>
      <c r="H730" s="14">
        <f>IF(F730&lt;&gt;"","待处理","")</f>
        <v/>
      </c>
    </row>
    <row r="731">
      <c r="A731" s="14">
        <f>IF(F731&lt;&gt;"","ISSUE-"&amp;TEXT(ROW()-1,"00000"),"")</f>
        <v/>
      </c>
      <c r="B731" s="14">
        <f>IF(F731&lt;&gt;"","错误","")</f>
        <v/>
      </c>
      <c r="C731" s="14">
        <f>IF('03_地点锚点'!A231&lt;&gt;"","03_地点锚点","")</f>
        <v/>
      </c>
      <c r="D731" s="14">
        <f>IF('03_地点锚点'!A231&lt;&gt;"",'03_地点锚点'!A231,"")</f>
        <v/>
      </c>
      <c r="E731" s="14">
        <f>IF(F731&lt;&gt;"","综合校验","")</f>
        <v/>
      </c>
      <c r="F731" s="14">
        <f>IF('03_地点锚点'!A231&lt;&gt;"",IF('03_地点锚点'!A231="","缺少地点ID；","")&amp;IF('03_地点锚点'!B231="","缺少中文名称；","")&amp;IF('03_地点锚点'!D231="","缺少地点类型；","")&amp;IF('03_地点锚点'!G231="","缺少世界X；","")&amp;IF('03_地点锚点'!H231="","缺少世界Y；","")&amp;IF(AND('03_地点锚点'!G231&lt;&gt;"",OR('03_地点锚点'!G231&lt;0,'03_地点锚点'!G231&gt;WorldWidth)),"世界X越界；","")&amp;IF(AND('03_地点锚点'!H231&lt;&gt;"",OR('03_地点锚点'!H231&lt;0,'03_地点锚点'!H231&gt;WorldHeight)),"世界Y越界；","")&amp;IF(AND('03_地点锚点'!E231&lt;&gt;"",COUNTIF('02_固定地理'!$A$2:$A$501,'03_地点锚点'!E231)=0),"父级行政对象不存在；","")&amp;IF(AND('03_地点锚点'!F231&lt;&gt;"",COUNTIF('03_地点锚点'!$A$2:$A$501,'03_地点锚点'!F231)=0),"父级地点不存在；","")&amp;IF(AND('03_地点锚点'!A231&lt;&gt;"",COUNTIF('03_地点锚点'!$A$2:$A$501,'03_地点锚点'!A231)&gt;1),"ID重复；",""),"")</f>
        <v/>
      </c>
      <c r="G731" s="14">
        <f>IF(F731&lt;&gt;"","按字段批注、数据字典和来源记录修正后复核","")</f>
        <v/>
      </c>
      <c r="H731" s="14">
        <f>IF(F731&lt;&gt;"","待处理","")</f>
        <v/>
      </c>
    </row>
    <row r="732">
      <c r="A732" s="14">
        <f>IF(F732&lt;&gt;"","ISSUE-"&amp;TEXT(ROW()-1,"00000"),"")</f>
        <v/>
      </c>
      <c r="B732" s="14">
        <f>IF(F732&lt;&gt;"","错误","")</f>
        <v/>
      </c>
      <c r="C732" s="14">
        <f>IF('03_地点锚点'!A232&lt;&gt;"","03_地点锚点","")</f>
        <v/>
      </c>
      <c r="D732" s="14">
        <f>IF('03_地点锚点'!A232&lt;&gt;"",'03_地点锚点'!A232,"")</f>
        <v/>
      </c>
      <c r="E732" s="14">
        <f>IF(F732&lt;&gt;"","综合校验","")</f>
        <v/>
      </c>
      <c r="F732" s="14">
        <f>IF('03_地点锚点'!A232&lt;&gt;"",IF('03_地点锚点'!A232="","缺少地点ID；","")&amp;IF('03_地点锚点'!B232="","缺少中文名称；","")&amp;IF('03_地点锚点'!D232="","缺少地点类型；","")&amp;IF('03_地点锚点'!G232="","缺少世界X；","")&amp;IF('03_地点锚点'!H232="","缺少世界Y；","")&amp;IF(AND('03_地点锚点'!G232&lt;&gt;"",OR('03_地点锚点'!G232&lt;0,'03_地点锚点'!G232&gt;WorldWidth)),"世界X越界；","")&amp;IF(AND('03_地点锚点'!H232&lt;&gt;"",OR('03_地点锚点'!H232&lt;0,'03_地点锚点'!H232&gt;WorldHeight)),"世界Y越界；","")&amp;IF(AND('03_地点锚点'!E232&lt;&gt;"",COUNTIF('02_固定地理'!$A$2:$A$501,'03_地点锚点'!E232)=0),"父级行政对象不存在；","")&amp;IF(AND('03_地点锚点'!F232&lt;&gt;"",COUNTIF('03_地点锚点'!$A$2:$A$501,'03_地点锚点'!F232)=0),"父级地点不存在；","")&amp;IF(AND('03_地点锚点'!A232&lt;&gt;"",COUNTIF('03_地点锚点'!$A$2:$A$501,'03_地点锚点'!A232)&gt;1),"ID重复；",""),"")</f>
        <v/>
      </c>
      <c r="G732" s="14">
        <f>IF(F732&lt;&gt;"","按字段批注、数据字典和来源记录修正后复核","")</f>
        <v/>
      </c>
      <c r="H732" s="14">
        <f>IF(F732&lt;&gt;"","待处理","")</f>
        <v/>
      </c>
    </row>
    <row r="733">
      <c r="A733" s="14">
        <f>IF(F733&lt;&gt;"","ISSUE-"&amp;TEXT(ROW()-1,"00000"),"")</f>
        <v/>
      </c>
      <c r="B733" s="14">
        <f>IF(F733&lt;&gt;"","错误","")</f>
        <v/>
      </c>
      <c r="C733" s="14">
        <f>IF('03_地点锚点'!A233&lt;&gt;"","03_地点锚点","")</f>
        <v/>
      </c>
      <c r="D733" s="14">
        <f>IF('03_地点锚点'!A233&lt;&gt;"",'03_地点锚点'!A233,"")</f>
        <v/>
      </c>
      <c r="E733" s="14">
        <f>IF(F733&lt;&gt;"","综合校验","")</f>
        <v/>
      </c>
      <c r="F733" s="14">
        <f>IF('03_地点锚点'!A233&lt;&gt;"",IF('03_地点锚点'!A233="","缺少地点ID；","")&amp;IF('03_地点锚点'!B233="","缺少中文名称；","")&amp;IF('03_地点锚点'!D233="","缺少地点类型；","")&amp;IF('03_地点锚点'!G233="","缺少世界X；","")&amp;IF('03_地点锚点'!H233="","缺少世界Y；","")&amp;IF(AND('03_地点锚点'!G233&lt;&gt;"",OR('03_地点锚点'!G233&lt;0,'03_地点锚点'!G233&gt;WorldWidth)),"世界X越界；","")&amp;IF(AND('03_地点锚点'!H233&lt;&gt;"",OR('03_地点锚点'!H233&lt;0,'03_地点锚点'!H233&gt;WorldHeight)),"世界Y越界；","")&amp;IF(AND('03_地点锚点'!E233&lt;&gt;"",COUNTIF('02_固定地理'!$A$2:$A$501,'03_地点锚点'!E233)=0),"父级行政对象不存在；","")&amp;IF(AND('03_地点锚点'!F233&lt;&gt;"",COUNTIF('03_地点锚点'!$A$2:$A$501,'03_地点锚点'!F233)=0),"父级地点不存在；","")&amp;IF(AND('03_地点锚点'!A233&lt;&gt;"",COUNTIF('03_地点锚点'!$A$2:$A$501,'03_地点锚点'!A233)&gt;1),"ID重复；",""),"")</f>
        <v/>
      </c>
      <c r="G733" s="14">
        <f>IF(F733&lt;&gt;"","按字段批注、数据字典和来源记录修正后复核","")</f>
        <v/>
      </c>
      <c r="H733" s="14">
        <f>IF(F733&lt;&gt;"","待处理","")</f>
        <v/>
      </c>
    </row>
    <row r="734">
      <c r="A734" s="14">
        <f>IF(F734&lt;&gt;"","ISSUE-"&amp;TEXT(ROW()-1,"00000"),"")</f>
        <v/>
      </c>
      <c r="B734" s="14">
        <f>IF(F734&lt;&gt;"","错误","")</f>
        <v/>
      </c>
      <c r="C734" s="14">
        <f>IF('03_地点锚点'!A234&lt;&gt;"","03_地点锚点","")</f>
        <v/>
      </c>
      <c r="D734" s="14">
        <f>IF('03_地点锚点'!A234&lt;&gt;"",'03_地点锚点'!A234,"")</f>
        <v/>
      </c>
      <c r="E734" s="14">
        <f>IF(F734&lt;&gt;"","综合校验","")</f>
        <v/>
      </c>
      <c r="F734" s="14">
        <f>IF('03_地点锚点'!A234&lt;&gt;"",IF('03_地点锚点'!A234="","缺少地点ID；","")&amp;IF('03_地点锚点'!B234="","缺少中文名称；","")&amp;IF('03_地点锚点'!D234="","缺少地点类型；","")&amp;IF('03_地点锚点'!G234="","缺少世界X；","")&amp;IF('03_地点锚点'!H234="","缺少世界Y；","")&amp;IF(AND('03_地点锚点'!G234&lt;&gt;"",OR('03_地点锚点'!G234&lt;0,'03_地点锚点'!G234&gt;WorldWidth)),"世界X越界；","")&amp;IF(AND('03_地点锚点'!H234&lt;&gt;"",OR('03_地点锚点'!H234&lt;0,'03_地点锚点'!H234&gt;WorldHeight)),"世界Y越界；","")&amp;IF(AND('03_地点锚点'!E234&lt;&gt;"",COUNTIF('02_固定地理'!$A$2:$A$501,'03_地点锚点'!E234)=0),"父级行政对象不存在；","")&amp;IF(AND('03_地点锚点'!F234&lt;&gt;"",COUNTIF('03_地点锚点'!$A$2:$A$501,'03_地点锚点'!F234)=0),"父级地点不存在；","")&amp;IF(AND('03_地点锚点'!A234&lt;&gt;"",COUNTIF('03_地点锚点'!$A$2:$A$501,'03_地点锚点'!A234)&gt;1),"ID重复；",""),"")</f>
        <v/>
      </c>
      <c r="G734" s="14">
        <f>IF(F734&lt;&gt;"","按字段批注、数据字典和来源记录修正后复核","")</f>
        <v/>
      </c>
      <c r="H734" s="14">
        <f>IF(F734&lt;&gt;"","待处理","")</f>
        <v/>
      </c>
    </row>
    <row r="735">
      <c r="A735" s="14">
        <f>IF(F735&lt;&gt;"","ISSUE-"&amp;TEXT(ROW()-1,"00000"),"")</f>
        <v/>
      </c>
      <c r="B735" s="14">
        <f>IF(F735&lt;&gt;"","错误","")</f>
        <v/>
      </c>
      <c r="C735" s="14">
        <f>IF('03_地点锚点'!A235&lt;&gt;"","03_地点锚点","")</f>
        <v/>
      </c>
      <c r="D735" s="14">
        <f>IF('03_地点锚点'!A235&lt;&gt;"",'03_地点锚点'!A235,"")</f>
        <v/>
      </c>
      <c r="E735" s="14">
        <f>IF(F735&lt;&gt;"","综合校验","")</f>
        <v/>
      </c>
      <c r="F735" s="14">
        <f>IF('03_地点锚点'!A235&lt;&gt;"",IF('03_地点锚点'!A235="","缺少地点ID；","")&amp;IF('03_地点锚点'!B235="","缺少中文名称；","")&amp;IF('03_地点锚点'!D235="","缺少地点类型；","")&amp;IF('03_地点锚点'!G235="","缺少世界X；","")&amp;IF('03_地点锚点'!H235="","缺少世界Y；","")&amp;IF(AND('03_地点锚点'!G235&lt;&gt;"",OR('03_地点锚点'!G235&lt;0,'03_地点锚点'!G235&gt;WorldWidth)),"世界X越界；","")&amp;IF(AND('03_地点锚点'!H235&lt;&gt;"",OR('03_地点锚点'!H235&lt;0,'03_地点锚点'!H235&gt;WorldHeight)),"世界Y越界；","")&amp;IF(AND('03_地点锚点'!E235&lt;&gt;"",COUNTIF('02_固定地理'!$A$2:$A$501,'03_地点锚点'!E235)=0),"父级行政对象不存在；","")&amp;IF(AND('03_地点锚点'!F235&lt;&gt;"",COUNTIF('03_地点锚点'!$A$2:$A$501,'03_地点锚点'!F235)=0),"父级地点不存在；","")&amp;IF(AND('03_地点锚点'!A235&lt;&gt;"",COUNTIF('03_地点锚点'!$A$2:$A$501,'03_地点锚点'!A235)&gt;1),"ID重复；",""),"")</f>
        <v/>
      </c>
      <c r="G735" s="14">
        <f>IF(F735&lt;&gt;"","按字段批注、数据字典和来源记录修正后复核","")</f>
        <v/>
      </c>
      <c r="H735" s="14">
        <f>IF(F735&lt;&gt;"","待处理","")</f>
        <v/>
      </c>
    </row>
    <row r="736">
      <c r="A736" s="14">
        <f>IF(F736&lt;&gt;"","ISSUE-"&amp;TEXT(ROW()-1,"00000"),"")</f>
        <v/>
      </c>
      <c r="B736" s="14">
        <f>IF(F736&lt;&gt;"","错误","")</f>
        <v/>
      </c>
      <c r="C736" s="14">
        <f>IF('03_地点锚点'!A236&lt;&gt;"","03_地点锚点","")</f>
        <v/>
      </c>
      <c r="D736" s="14">
        <f>IF('03_地点锚点'!A236&lt;&gt;"",'03_地点锚点'!A236,"")</f>
        <v/>
      </c>
      <c r="E736" s="14">
        <f>IF(F736&lt;&gt;"","综合校验","")</f>
        <v/>
      </c>
      <c r="F736" s="14">
        <f>IF('03_地点锚点'!A236&lt;&gt;"",IF('03_地点锚点'!A236="","缺少地点ID；","")&amp;IF('03_地点锚点'!B236="","缺少中文名称；","")&amp;IF('03_地点锚点'!D236="","缺少地点类型；","")&amp;IF('03_地点锚点'!G236="","缺少世界X；","")&amp;IF('03_地点锚点'!H236="","缺少世界Y；","")&amp;IF(AND('03_地点锚点'!G236&lt;&gt;"",OR('03_地点锚点'!G236&lt;0,'03_地点锚点'!G236&gt;WorldWidth)),"世界X越界；","")&amp;IF(AND('03_地点锚点'!H236&lt;&gt;"",OR('03_地点锚点'!H236&lt;0,'03_地点锚点'!H236&gt;WorldHeight)),"世界Y越界；","")&amp;IF(AND('03_地点锚点'!E236&lt;&gt;"",COUNTIF('02_固定地理'!$A$2:$A$501,'03_地点锚点'!E236)=0),"父级行政对象不存在；","")&amp;IF(AND('03_地点锚点'!F236&lt;&gt;"",COUNTIF('03_地点锚点'!$A$2:$A$501,'03_地点锚点'!F236)=0),"父级地点不存在；","")&amp;IF(AND('03_地点锚点'!A236&lt;&gt;"",COUNTIF('03_地点锚点'!$A$2:$A$501,'03_地点锚点'!A236)&gt;1),"ID重复；",""),"")</f>
        <v/>
      </c>
      <c r="G736" s="14">
        <f>IF(F736&lt;&gt;"","按字段批注、数据字典和来源记录修正后复核","")</f>
        <v/>
      </c>
      <c r="H736" s="14">
        <f>IF(F736&lt;&gt;"","待处理","")</f>
        <v/>
      </c>
    </row>
    <row r="737">
      <c r="A737" s="14">
        <f>IF(F737&lt;&gt;"","ISSUE-"&amp;TEXT(ROW()-1,"00000"),"")</f>
        <v/>
      </c>
      <c r="B737" s="14">
        <f>IF(F737&lt;&gt;"","错误","")</f>
        <v/>
      </c>
      <c r="C737" s="14">
        <f>IF('03_地点锚点'!A237&lt;&gt;"","03_地点锚点","")</f>
        <v/>
      </c>
      <c r="D737" s="14">
        <f>IF('03_地点锚点'!A237&lt;&gt;"",'03_地点锚点'!A237,"")</f>
        <v/>
      </c>
      <c r="E737" s="14">
        <f>IF(F737&lt;&gt;"","综合校验","")</f>
        <v/>
      </c>
      <c r="F737" s="14">
        <f>IF('03_地点锚点'!A237&lt;&gt;"",IF('03_地点锚点'!A237="","缺少地点ID；","")&amp;IF('03_地点锚点'!B237="","缺少中文名称；","")&amp;IF('03_地点锚点'!D237="","缺少地点类型；","")&amp;IF('03_地点锚点'!G237="","缺少世界X；","")&amp;IF('03_地点锚点'!H237="","缺少世界Y；","")&amp;IF(AND('03_地点锚点'!G237&lt;&gt;"",OR('03_地点锚点'!G237&lt;0,'03_地点锚点'!G237&gt;WorldWidth)),"世界X越界；","")&amp;IF(AND('03_地点锚点'!H237&lt;&gt;"",OR('03_地点锚点'!H237&lt;0,'03_地点锚点'!H237&gt;WorldHeight)),"世界Y越界；","")&amp;IF(AND('03_地点锚点'!E237&lt;&gt;"",COUNTIF('02_固定地理'!$A$2:$A$501,'03_地点锚点'!E237)=0),"父级行政对象不存在；","")&amp;IF(AND('03_地点锚点'!F237&lt;&gt;"",COUNTIF('03_地点锚点'!$A$2:$A$501,'03_地点锚点'!F237)=0),"父级地点不存在；","")&amp;IF(AND('03_地点锚点'!A237&lt;&gt;"",COUNTIF('03_地点锚点'!$A$2:$A$501,'03_地点锚点'!A237)&gt;1),"ID重复；",""),"")</f>
        <v/>
      </c>
      <c r="G737" s="14">
        <f>IF(F737&lt;&gt;"","按字段批注、数据字典和来源记录修正后复核","")</f>
        <v/>
      </c>
      <c r="H737" s="14">
        <f>IF(F737&lt;&gt;"","待处理","")</f>
        <v/>
      </c>
    </row>
    <row r="738">
      <c r="A738" s="14">
        <f>IF(F738&lt;&gt;"","ISSUE-"&amp;TEXT(ROW()-1,"00000"),"")</f>
        <v/>
      </c>
      <c r="B738" s="14">
        <f>IF(F738&lt;&gt;"","错误","")</f>
        <v/>
      </c>
      <c r="C738" s="14">
        <f>IF('03_地点锚点'!A238&lt;&gt;"","03_地点锚点","")</f>
        <v/>
      </c>
      <c r="D738" s="14">
        <f>IF('03_地点锚点'!A238&lt;&gt;"",'03_地点锚点'!A238,"")</f>
        <v/>
      </c>
      <c r="E738" s="14">
        <f>IF(F738&lt;&gt;"","综合校验","")</f>
        <v/>
      </c>
      <c r="F738" s="14">
        <f>IF('03_地点锚点'!A238&lt;&gt;"",IF('03_地点锚点'!A238="","缺少地点ID；","")&amp;IF('03_地点锚点'!B238="","缺少中文名称；","")&amp;IF('03_地点锚点'!D238="","缺少地点类型；","")&amp;IF('03_地点锚点'!G238="","缺少世界X；","")&amp;IF('03_地点锚点'!H238="","缺少世界Y；","")&amp;IF(AND('03_地点锚点'!G238&lt;&gt;"",OR('03_地点锚点'!G238&lt;0,'03_地点锚点'!G238&gt;WorldWidth)),"世界X越界；","")&amp;IF(AND('03_地点锚点'!H238&lt;&gt;"",OR('03_地点锚点'!H238&lt;0,'03_地点锚点'!H238&gt;WorldHeight)),"世界Y越界；","")&amp;IF(AND('03_地点锚点'!E238&lt;&gt;"",COUNTIF('02_固定地理'!$A$2:$A$501,'03_地点锚点'!E238)=0),"父级行政对象不存在；","")&amp;IF(AND('03_地点锚点'!F238&lt;&gt;"",COUNTIF('03_地点锚点'!$A$2:$A$501,'03_地点锚点'!F238)=0),"父级地点不存在；","")&amp;IF(AND('03_地点锚点'!A238&lt;&gt;"",COUNTIF('03_地点锚点'!$A$2:$A$501,'03_地点锚点'!A238)&gt;1),"ID重复；",""),"")</f>
        <v/>
      </c>
      <c r="G738" s="14">
        <f>IF(F738&lt;&gt;"","按字段批注、数据字典和来源记录修正后复核","")</f>
        <v/>
      </c>
      <c r="H738" s="14">
        <f>IF(F738&lt;&gt;"","待处理","")</f>
        <v/>
      </c>
    </row>
    <row r="739">
      <c r="A739" s="14">
        <f>IF(F739&lt;&gt;"","ISSUE-"&amp;TEXT(ROW()-1,"00000"),"")</f>
        <v/>
      </c>
      <c r="B739" s="14">
        <f>IF(F739&lt;&gt;"","错误","")</f>
        <v/>
      </c>
      <c r="C739" s="14">
        <f>IF('03_地点锚点'!A239&lt;&gt;"","03_地点锚点","")</f>
        <v/>
      </c>
      <c r="D739" s="14">
        <f>IF('03_地点锚点'!A239&lt;&gt;"",'03_地点锚点'!A239,"")</f>
        <v/>
      </c>
      <c r="E739" s="14">
        <f>IF(F739&lt;&gt;"","综合校验","")</f>
        <v/>
      </c>
      <c r="F739" s="14">
        <f>IF('03_地点锚点'!A239&lt;&gt;"",IF('03_地点锚点'!A239="","缺少地点ID；","")&amp;IF('03_地点锚点'!B239="","缺少中文名称；","")&amp;IF('03_地点锚点'!D239="","缺少地点类型；","")&amp;IF('03_地点锚点'!G239="","缺少世界X；","")&amp;IF('03_地点锚点'!H239="","缺少世界Y；","")&amp;IF(AND('03_地点锚点'!G239&lt;&gt;"",OR('03_地点锚点'!G239&lt;0,'03_地点锚点'!G239&gt;WorldWidth)),"世界X越界；","")&amp;IF(AND('03_地点锚点'!H239&lt;&gt;"",OR('03_地点锚点'!H239&lt;0,'03_地点锚点'!H239&gt;WorldHeight)),"世界Y越界；","")&amp;IF(AND('03_地点锚点'!E239&lt;&gt;"",COUNTIF('02_固定地理'!$A$2:$A$501,'03_地点锚点'!E239)=0),"父级行政对象不存在；","")&amp;IF(AND('03_地点锚点'!F239&lt;&gt;"",COUNTIF('03_地点锚点'!$A$2:$A$501,'03_地点锚点'!F239)=0),"父级地点不存在；","")&amp;IF(AND('03_地点锚点'!A239&lt;&gt;"",COUNTIF('03_地点锚点'!$A$2:$A$501,'03_地点锚点'!A239)&gt;1),"ID重复；",""),"")</f>
        <v/>
      </c>
      <c r="G739" s="14">
        <f>IF(F739&lt;&gt;"","按字段批注、数据字典和来源记录修正后复核","")</f>
        <v/>
      </c>
      <c r="H739" s="14">
        <f>IF(F739&lt;&gt;"","待处理","")</f>
        <v/>
      </c>
    </row>
    <row r="740">
      <c r="A740" s="14">
        <f>IF(F740&lt;&gt;"","ISSUE-"&amp;TEXT(ROW()-1,"00000"),"")</f>
        <v/>
      </c>
      <c r="B740" s="14">
        <f>IF(F740&lt;&gt;"","错误","")</f>
        <v/>
      </c>
      <c r="C740" s="14">
        <f>IF('03_地点锚点'!A240&lt;&gt;"","03_地点锚点","")</f>
        <v/>
      </c>
      <c r="D740" s="14">
        <f>IF('03_地点锚点'!A240&lt;&gt;"",'03_地点锚点'!A240,"")</f>
        <v/>
      </c>
      <c r="E740" s="14">
        <f>IF(F740&lt;&gt;"","综合校验","")</f>
        <v/>
      </c>
      <c r="F740" s="14">
        <f>IF('03_地点锚点'!A240&lt;&gt;"",IF('03_地点锚点'!A240="","缺少地点ID；","")&amp;IF('03_地点锚点'!B240="","缺少中文名称；","")&amp;IF('03_地点锚点'!D240="","缺少地点类型；","")&amp;IF('03_地点锚点'!G240="","缺少世界X；","")&amp;IF('03_地点锚点'!H240="","缺少世界Y；","")&amp;IF(AND('03_地点锚点'!G240&lt;&gt;"",OR('03_地点锚点'!G240&lt;0,'03_地点锚点'!G240&gt;WorldWidth)),"世界X越界；","")&amp;IF(AND('03_地点锚点'!H240&lt;&gt;"",OR('03_地点锚点'!H240&lt;0,'03_地点锚点'!H240&gt;WorldHeight)),"世界Y越界；","")&amp;IF(AND('03_地点锚点'!E240&lt;&gt;"",COUNTIF('02_固定地理'!$A$2:$A$501,'03_地点锚点'!E240)=0),"父级行政对象不存在；","")&amp;IF(AND('03_地点锚点'!F240&lt;&gt;"",COUNTIF('03_地点锚点'!$A$2:$A$501,'03_地点锚点'!F240)=0),"父级地点不存在；","")&amp;IF(AND('03_地点锚点'!A240&lt;&gt;"",COUNTIF('03_地点锚点'!$A$2:$A$501,'03_地点锚点'!A240)&gt;1),"ID重复；",""),"")</f>
        <v/>
      </c>
      <c r="G740" s="14">
        <f>IF(F740&lt;&gt;"","按字段批注、数据字典和来源记录修正后复核","")</f>
        <v/>
      </c>
      <c r="H740" s="14">
        <f>IF(F740&lt;&gt;"","待处理","")</f>
        <v/>
      </c>
    </row>
    <row r="741">
      <c r="A741" s="14">
        <f>IF(F741&lt;&gt;"","ISSUE-"&amp;TEXT(ROW()-1,"00000"),"")</f>
        <v/>
      </c>
      <c r="B741" s="14">
        <f>IF(F741&lt;&gt;"","错误","")</f>
        <v/>
      </c>
      <c r="C741" s="14">
        <f>IF('03_地点锚点'!A241&lt;&gt;"","03_地点锚点","")</f>
        <v/>
      </c>
      <c r="D741" s="14">
        <f>IF('03_地点锚点'!A241&lt;&gt;"",'03_地点锚点'!A241,"")</f>
        <v/>
      </c>
      <c r="E741" s="14">
        <f>IF(F741&lt;&gt;"","综合校验","")</f>
        <v/>
      </c>
      <c r="F741" s="14">
        <f>IF('03_地点锚点'!A241&lt;&gt;"",IF('03_地点锚点'!A241="","缺少地点ID；","")&amp;IF('03_地点锚点'!B241="","缺少中文名称；","")&amp;IF('03_地点锚点'!D241="","缺少地点类型；","")&amp;IF('03_地点锚点'!G241="","缺少世界X；","")&amp;IF('03_地点锚点'!H241="","缺少世界Y；","")&amp;IF(AND('03_地点锚点'!G241&lt;&gt;"",OR('03_地点锚点'!G241&lt;0,'03_地点锚点'!G241&gt;WorldWidth)),"世界X越界；","")&amp;IF(AND('03_地点锚点'!H241&lt;&gt;"",OR('03_地点锚点'!H241&lt;0,'03_地点锚点'!H241&gt;WorldHeight)),"世界Y越界；","")&amp;IF(AND('03_地点锚点'!E241&lt;&gt;"",COUNTIF('02_固定地理'!$A$2:$A$501,'03_地点锚点'!E241)=0),"父级行政对象不存在；","")&amp;IF(AND('03_地点锚点'!F241&lt;&gt;"",COUNTIF('03_地点锚点'!$A$2:$A$501,'03_地点锚点'!F241)=0),"父级地点不存在；","")&amp;IF(AND('03_地点锚点'!A241&lt;&gt;"",COUNTIF('03_地点锚点'!$A$2:$A$501,'03_地点锚点'!A241)&gt;1),"ID重复；",""),"")</f>
        <v/>
      </c>
      <c r="G741" s="14">
        <f>IF(F741&lt;&gt;"","按字段批注、数据字典和来源记录修正后复核","")</f>
        <v/>
      </c>
      <c r="H741" s="14">
        <f>IF(F741&lt;&gt;"","待处理","")</f>
        <v/>
      </c>
    </row>
    <row r="742">
      <c r="A742" s="14">
        <f>IF(F742&lt;&gt;"","ISSUE-"&amp;TEXT(ROW()-1,"00000"),"")</f>
        <v/>
      </c>
      <c r="B742" s="14">
        <f>IF(F742&lt;&gt;"","错误","")</f>
        <v/>
      </c>
      <c r="C742" s="14">
        <f>IF('03_地点锚点'!A242&lt;&gt;"","03_地点锚点","")</f>
        <v/>
      </c>
      <c r="D742" s="14">
        <f>IF('03_地点锚点'!A242&lt;&gt;"",'03_地点锚点'!A242,"")</f>
        <v/>
      </c>
      <c r="E742" s="14">
        <f>IF(F742&lt;&gt;"","综合校验","")</f>
        <v/>
      </c>
      <c r="F742" s="14">
        <f>IF('03_地点锚点'!A242&lt;&gt;"",IF('03_地点锚点'!A242="","缺少地点ID；","")&amp;IF('03_地点锚点'!B242="","缺少中文名称；","")&amp;IF('03_地点锚点'!D242="","缺少地点类型；","")&amp;IF('03_地点锚点'!G242="","缺少世界X；","")&amp;IF('03_地点锚点'!H242="","缺少世界Y；","")&amp;IF(AND('03_地点锚点'!G242&lt;&gt;"",OR('03_地点锚点'!G242&lt;0,'03_地点锚点'!G242&gt;WorldWidth)),"世界X越界；","")&amp;IF(AND('03_地点锚点'!H242&lt;&gt;"",OR('03_地点锚点'!H242&lt;0,'03_地点锚点'!H242&gt;WorldHeight)),"世界Y越界；","")&amp;IF(AND('03_地点锚点'!E242&lt;&gt;"",COUNTIF('02_固定地理'!$A$2:$A$501,'03_地点锚点'!E242)=0),"父级行政对象不存在；","")&amp;IF(AND('03_地点锚点'!F242&lt;&gt;"",COUNTIF('03_地点锚点'!$A$2:$A$501,'03_地点锚点'!F242)=0),"父级地点不存在；","")&amp;IF(AND('03_地点锚点'!A242&lt;&gt;"",COUNTIF('03_地点锚点'!$A$2:$A$501,'03_地点锚点'!A242)&gt;1),"ID重复；",""),"")</f>
        <v/>
      </c>
      <c r="G742" s="14">
        <f>IF(F742&lt;&gt;"","按字段批注、数据字典和来源记录修正后复核","")</f>
        <v/>
      </c>
      <c r="H742" s="14">
        <f>IF(F742&lt;&gt;"","待处理","")</f>
        <v/>
      </c>
    </row>
    <row r="743">
      <c r="A743" s="14">
        <f>IF(F743&lt;&gt;"","ISSUE-"&amp;TEXT(ROW()-1,"00000"),"")</f>
        <v/>
      </c>
      <c r="B743" s="14">
        <f>IF(F743&lt;&gt;"","错误","")</f>
        <v/>
      </c>
      <c r="C743" s="14">
        <f>IF('03_地点锚点'!A243&lt;&gt;"","03_地点锚点","")</f>
        <v/>
      </c>
      <c r="D743" s="14">
        <f>IF('03_地点锚点'!A243&lt;&gt;"",'03_地点锚点'!A243,"")</f>
        <v/>
      </c>
      <c r="E743" s="14">
        <f>IF(F743&lt;&gt;"","综合校验","")</f>
        <v/>
      </c>
      <c r="F743" s="14">
        <f>IF('03_地点锚点'!A243&lt;&gt;"",IF('03_地点锚点'!A243="","缺少地点ID；","")&amp;IF('03_地点锚点'!B243="","缺少中文名称；","")&amp;IF('03_地点锚点'!D243="","缺少地点类型；","")&amp;IF('03_地点锚点'!G243="","缺少世界X；","")&amp;IF('03_地点锚点'!H243="","缺少世界Y；","")&amp;IF(AND('03_地点锚点'!G243&lt;&gt;"",OR('03_地点锚点'!G243&lt;0,'03_地点锚点'!G243&gt;WorldWidth)),"世界X越界；","")&amp;IF(AND('03_地点锚点'!H243&lt;&gt;"",OR('03_地点锚点'!H243&lt;0,'03_地点锚点'!H243&gt;WorldHeight)),"世界Y越界；","")&amp;IF(AND('03_地点锚点'!E243&lt;&gt;"",COUNTIF('02_固定地理'!$A$2:$A$501,'03_地点锚点'!E243)=0),"父级行政对象不存在；","")&amp;IF(AND('03_地点锚点'!F243&lt;&gt;"",COUNTIF('03_地点锚点'!$A$2:$A$501,'03_地点锚点'!F243)=0),"父级地点不存在；","")&amp;IF(AND('03_地点锚点'!A243&lt;&gt;"",COUNTIF('03_地点锚点'!$A$2:$A$501,'03_地点锚点'!A243)&gt;1),"ID重复；",""),"")</f>
        <v/>
      </c>
      <c r="G743" s="14">
        <f>IF(F743&lt;&gt;"","按字段批注、数据字典和来源记录修正后复核","")</f>
        <v/>
      </c>
      <c r="H743" s="14">
        <f>IF(F743&lt;&gt;"","待处理","")</f>
        <v/>
      </c>
    </row>
    <row r="744">
      <c r="A744" s="14">
        <f>IF(F744&lt;&gt;"","ISSUE-"&amp;TEXT(ROW()-1,"00000"),"")</f>
        <v/>
      </c>
      <c r="B744" s="14">
        <f>IF(F744&lt;&gt;"","错误","")</f>
        <v/>
      </c>
      <c r="C744" s="14">
        <f>IF('03_地点锚点'!A244&lt;&gt;"","03_地点锚点","")</f>
        <v/>
      </c>
      <c r="D744" s="14">
        <f>IF('03_地点锚点'!A244&lt;&gt;"",'03_地点锚点'!A244,"")</f>
        <v/>
      </c>
      <c r="E744" s="14">
        <f>IF(F744&lt;&gt;"","综合校验","")</f>
        <v/>
      </c>
      <c r="F744" s="14">
        <f>IF('03_地点锚点'!A244&lt;&gt;"",IF('03_地点锚点'!A244="","缺少地点ID；","")&amp;IF('03_地点锚点'!B244="","缺少中文名称；","")&amp;IF('03_地点锚点'!D244="","缺少地点类型；","")&amp;IF('03_地点锚点'!G244="","缺少世界X；","")&amp;IF('03_地点锚点'!H244="","缺少世界Y；","")&amp;IF(AND('03_地点锚点'!G244&lt;&gt;"",OR('03_地点锚点'!G244&lt;0,'03_地点锚点'!G244&gt;WorldWidth)),"世界X越界；","")&amp;IF(AND('03_地点锚点'!H244&lt;&gt;"",OR('03_地点锚点'!H244&lt;0,'03_地点锚点'!H244&gt;WorldHeight)),"世界Y越界；","")&amp;IF(AND('03_地点锚点'!E244&lt;&gt;"",COUNTIF('02_固定地理'!$A$2:$A$501,'03_地点锚点'!E244)=0),"父级行政对象不存在；","")&amp;IF(AND('03_地点锚点'!F244&lt;&gt;"",COUNTIF('03_地点锚点'!$A$2:$A$501,'03_地点锚点'!F244)=0),"父级地点不存在；","")&amp;IF(AND('03_地点锚点'!A244&lt;&gt;"",COUNTIF('03_地点锚点'!$A$2:$A$501,'03_地点锚点'!A244)&gt;1),"ID重复；",""),"")</f>
        <v/>
      </c>
      <c r="G744" s="14">
        <f>IF(F744&lt;&gt;"","按字段批注、数据字典和来源记录修正后复核","")</f>
        <v/>
      </c>
      <c r="H744" s="14">
        <f>IF(F744&lt;&gt;"","待处理","")</f>
        <v/>
      </c>
    </row>
    <row r="745">
      <c r="A745" s="14">
        <f>IF(F745&lt;&gt;"","ISSUE-"&amp;TEXT(ROW()-1,"00000"),"")</f>
        <v/>
      </c>
      <c r="B745" s="14">
        <f>IF(F745&lt;&gt;"","错误","")</f>
        <v/>
      </c>
      <c r="C745" s="14">
        <f>IF('03_地点锚点'!A245&lt;&gt;"","03_地点锚点","")</f>
        <v/>
      </c>
      <c r="D745" s="14">
        <f>IF('03_地点锚点'!A245&lt;&gt;"",'03_地点锚点'!A245,"")</f>
        <v/>
      </c>
      <c r="E745" s="14">
        <f>IF(F745&lt;&gt;"","综合校验","")</f>
        <v/>
      </c>
      <c r="F745" s="14">
        <f>IF('03_地点锚点'!A245&lt;&gt;"",IF('03_地点锚点'!A245="","缺少地点ID；","")&amp;IF('03_地点锚点'!B245="","缺少中文名称；","")&amp;IF('03_地点锚点'!D245="","缺少地点类型；","")&amp;IF('03_地点锚点'!G245="","缺少世界X；","")&amp;IF('03_地点锚点'!H245="","缺少世界Y；","")&amp;IF(AND('03_地点锚点'!G245&lt;&gt;"",OR('03_地点锚点'!G245&lt;0,'03_地点锚点'!G245&gt;WorldWidth)),"世界X越界；","")&amp;IF(AND('03_地点锚点'!H245&lt;&gt;"",OR('03_地点锚点'!H245&lt;0,'03_地点锚点'!H245&gt;WorldHeight)),"世界Y越界；","")&amp;IF(AND('03_地点锚点'!E245&lt;&gt;"",COUNTIF('02_固定地理'!$A$2:$A$501,'03_地点锚点'!E245)=0),"父级行政对象不存在；","")&amp;IF(AND('03_地点锚点'!F245&lt;&gt;"",COUNTIF('03_地点锚点'!$A$2:$A$501,'03_地点锚点'!F245)=0),"父级地点不存在；","")&amp;IF(AND('03_地点锚点'!A245&lt;&gt;"",COUNTIF('03_地点锚点'!$A$2:$A$501,'03_地点锚点'!A245)&gt;1),"ID重复；",""),"")</f>
        <v/>
      </c>
      <c r="G745" s="14">
        <f>IF(F745&lt;&gt;"","按字段批注、数据字典和来源记录修正后复核","")</f>
        <v/>
      </c>
      <c r="H745" s="14">
        <f>IF(F745&lt;&gt;"","待处理","")</f>
        <v/>
      </c>
    </row>
    <row r="746">
      <c r="A746" s="14">
        <f>IF(F746&lt;&gt;"","ISSUE-"&amp;TEXT(ROW()-1,"00000"),"")</f>
        <v/>
      </c>
      <c r="B746" s="14">
        <f>IF(F746&lt;&gt;"","错误","")</f>
        <v/>
      </c>
      <c r="C746" s="14">
        <f>IF('03_地点锚点'!A246&lt;&gt;"","03_地点锚点","")</f>
        <v/>
      </c>
      <c r="D746" s="14">
        <f>IF('03_地点锚点'!A246&lt;&gt;"",'03_地点锚点'!A246,"")</f>
        <v/>
      </c>
      <c r="E746" s="14">
        <f>IF(F746&lt;&gt;"","综合校验","")</f>
        <v/>
      </c>
      <c r="F746" s="14">
        <f>IF('03_地点锚点'!A246&lt;&gt;"",IF('03_地点锚点'!A246="","缺少地点ID；","")&amp;IF('03_地点锚点'!B246="","缺少中文名称；","")&amp;IF('03_地点锚点'!D246="","缺少地点类型；","")&amp;IF('03_地点锚点'!G246="","缺少世界X；","")&amp;IF('03_地点锚点'!H246="","缺少世界Y；","")&amp;IF(AND('03_地点锚点'!G246&lt;&gt;"",OR('03_地点锚点'!G246&lt;0,'03_地点锚点'!G246&gt;WorldWidth)),"世界X越界；","")&amp;IF(AND('03_地点锚点'!H246&lt;&gt;"",OR('03_地点锚点'!H246&lt;0,'03_地点锚点'!H246&gt;WorldHeight)),"世界Y越界；","")&amp;IF(AND('03_地点锚点'!E246&lt;&gt;"",COUNTIF('02_固定地理'!$A$2:$A$501,'03_地点锚点'!E246)=0),"父级行政对象不存在；","")&amp;IF(AND('03_地点锚点'!F246&lt;&gt;"",COUNTIF('03_地点锚点'!$A$2:$A$501,'03_地点锚点'!F246)=0),"父级地点不存在；","")&amp;IF(AND('03_地点锚点'!A246&lt;&gt;"",COUNTIF('03_地点锚点'!$A$2:$A$501,'03_地点锚点'!A246)&gt;1),"ID重复；",""),"")</f>
        <v/>
      </c>
      <c r="G746" s="14">
        <f>IF(F746&lt;&gt;"","按字段批注、数据字典和来源记录修正后复核","")</f>
        <v/>
      </c>
      <c r="H746" s="14">
        <f>IF(F746&lt;&gt;"","待处理","")</f>
        <v/>
      </c>
    </row>
    <row r="747">
      <c r="A747" s="14">
        <f>IF(F747&lt;&gt;"","ISSUE-"&amp;TEXT(ROW()-1,"00000"),"")</f>
        <v/>
      </c>
      <c r="B747" s="14">
        <f>IF(F747&lt;&gt;"","错误","")</f>
        <v/>
      </c>
      <c r="C747" s="14">
        <f>IF('03_地点锚点'!A247&lt;&gt;"","03_地点锚点","")</f>
        <v/>
      </c>
      <c r="D747" s="14">
        <f>IF('03_地点锚点'!A247&lt;&gt;"",'03_地点锚点'!A247,"")</f>
        <v/>
      </c>
      <c r="E747" s="14">
        <f>IF(F747&lt;&gt;"","综合校验","")</f>
        <v/>
      </c>
      <c r="F747" s="14">
        <f>IF('03_地点锚点'!A247&lt;&gt;"",IF('03_地点锚点'!A247="","缺少地点ID；","")&amp;IF('03_地点锚点'!B247="","缺少中文名称；","")&amp;IF('03_地点锚点'!D247="","缺少地点类型；","")&amp;IF('03_地点锚点'!G247="","缺少世界X；","")&amp;IF('03_地点锚点'!H247="","缺少世界Y；","")&amp;IF(AND('03_地点锚点'!G247&lt;&gt;"",OR('03_地点锚点'!G247&lt;0,'03_地点锚点'!G247&gt;WorldWidth)),"世界X越界；","")&amp;IF(AND('03_地点锚点'!H247&lt;&gt;"",OR('03_地点锚点'!H247&lt;0,'03_地点锚点'!H247&gt;WorldHeight)),"世界Y越界；","")&amp;IF(AND('03_地点锚点'!E247&lt;&gt;"",COUNTIF('02_固定地理'!$A$2:$A$501,'03_地点锚点'!E247)=0),"父级行政对象不存在；","")&amp;IF(AND('03_地点锚点'!F247&lt;&gt;"",COUNTIF('03_地点锚点'!$A$2:$A$501,'03_地点锚点'!F247)=0),"父级地点不存在；","")&amp;IF(AND('03_地点锚点'!A247&lt;&gt;"",COUNTIF('03_地点锚点'!$A$2:$A$501,'03_地点锚点'!A247)&gt;1),"ID重复；",""),"")</f>
        <v/>
      </c>
      <c r="G747" s="14">
        <f>IF(F747&lt;&gt;"","按字段批注、数据字典和来源记录修正后复核","")</f>
        <v/>
      </c>
      <c r="H747" s="14">
        <f>IF(F747&lt;&gt;"","待处理","")</f>
        <v/>
      </c>
    </row>
    <row r="748">
      <c r="A748" s="14">
        <f>IF(F748&lt;&gt;"","ISSUE-"&amp;TEXT(ROW()-1,"00000"),"")</f>
        <v/>
      </c>
      <c r="B748" s="14">
        <f>IF(F748&lt;&gt;"","错误","")</f>
        <v/>
      </c>
      <c r="C748" s="14">
        <f>IF('03_地点锚点'!A248&lt;&gt;"","03_地点锚点","")</f>
        <v/>
      </c>
      <c r="D748" s="14">
        <f>IF('03_地点锚点'!A248&lt;&gt;"",'03_地点锚点'!A248,"")</f>
        <v/>
      </c>
      <c r="E748" s="14">
        <f>IF(F748&lt;&gt;"","综合校验","")</f>
        <v/>
      </c>
      <c r="F748" s="14">
        <f>IF('03_地点锚点'!A248&lt;&gt;"",IF('03_地点锚点'!A248="","缺少地点ID；","")&amp;IF('03_地点锚点'!B248="","缺少中文名称；","")&amp;IF('03_地点锚点'!D248="","缺少地点类型；","")&amp;IF('03_地点锚点'!G248="","缺少世界X；","")&amp;IF('03_地点锚点'!H248="","缺少世界Y；","")&amp;IF(AND('03_地点锚点'!G248&lt;&gt;"",OR('03_地点锚点'!G248&lt;0,'03_地点锚点'!G248&gt;WorldWidth)),"世界X越界；","")&amp;IF(AND('03_地点锚点'!H248&lt;&gt;"",OR('03_地点锚点'!H248&lt;0,'03_地点锚点'!H248&gt;WorldHeight)),"世界Y越界；","")&amp;IF(AND('03_地点锚点'!E248&lt;&gt;"",COUNTIF('02_固定地理'!$A$2:$A$501,'03_地点锚点'!E248)=0),"父级行政对象不存在；","")&amp;IF(AND('03_地点锚点'!F248&lt;&gt;"",COUNTIF('03_地点锚点'!$A$2:$A$501,'03_地点锚点'!F248)=0),"父级地点不存在；","")&amp;IF(AND('03_地点锚点'!A248&lt;&gt;"",COUNTIF('03_地点锚点'!$A$2:$A$501,'03_地点锚点'!A248)&gt;1),"ID重复；",""),"")</f>
        <v/>
      </c>
      <c r="G748" s="14">
        <f>IF(F748&lt;&gt;"","按字段批注、数据字典和来源记录修正后复核","")</f>
        <v/>
      </c>
      <c r="H748" s="14">
        <f>IF(F748&lt;&gt;"","待处理","")</f>
        <v/>
      </c>
    </row>
    <row r="749">
      <c r="A749" s="14">
        <f>IF(F749&lt;&gt;"","ISSUE-"&amp;TEXT(ROW()-1,"00000"),"")</f>
        <v/>
      </c>
      <c r="B749" s="14">
        <f>IF(F749&lt;&gt;"","错误","")</f>
        <v/>
      </c>
      <c r="C749" s="14">
        <f>IF('03_地点锚点'!A249&lt;&gt;"","03_地点锚点","")</f>
        <v/>
      </c>
      <c r="D749" s="14">
        <f>IF('03_地点锚点'!A249&lt;&gt;"",'03_地点锚点'!A249,"")</f>
        <v/>
      </c>
      <c r="E749" s="14">
        <f>IF(F749&lt;&gt;"","综合校验","")</f>
        <v/>
      </c>
      <c r="F749" s="14">
        <f>IF('03_地点锚点'!A249&lt;&gt;"",IF('03_地点锚点'!A249="","缺少地点ID；","")&amp;IF('03_地点锚点'!B249="","缺少中文名称；","")&amp;IF('03_地点锚点'!D249="","缺少地点类型；","")&amp;IF('03_地点锚点'!G249="","缺少世界X；","")&amp;IF('03_地点锚点'!H249="","缺少世界Y；","")&amp;IF(AND('03_地点锚点'!G249&lt;&gt;"",OR('03_地点锚点'!G249&lt;0,'03_地点锚点'!G249&gt;WorldWidth)),"世界X越界；","")&amp;IF(AND('03_地点锚点'!H249&lt;&gt;"",OR('03_地点锚点'!H249&lt;0,'03_地点锚点'!H249&gt;WorldHeight)),"世界Y越界；","")&amp;IF(AND('03_地点锚点'!E249&lt;&gt;"",COUNTIF('02_固定地理'!$A$2:$A$501,'03_地点锚点'!E249)=0),"父级行政对象不存在；","")&amp;IF(AND('03_地点锚点'!F249&lt;&gt;"",COUNTIF('03_地点锚点'!$A$2:$A$501,'03_地点锚点'!F249)=0),"父级地点不存在；","")&amp;IF(AND('03_地点锚点'!A249&lt;&gt;"",COUNTIF('03_地点锚点'!$A$2:$A$501,'03_地点锚点'!A249)&gt;1),"ID重复；",""),"")</f>
        <v/>
      </c>
      <c r="G749" s="14">
        <f>IF(F749&lt;&gt;"","按字段批注、数据字典和来源记录修正后复核","")</f>
        <v/>
      </c>
      <c r="H749" s="14">
        <f>IF(F749&lt;&gt;"","待处理","")</f>
        <v/>
      </c>
    </row>
    <row r="750">
      <c r="A750" s="14">
        <f>IF(F750&lt;&gt;"","ISSUE-"&amp;TEXT(ROW()-1,"00000"),"")</f>
        <v/>
      </c>
      <c r="B750" s="14">
        <f>IF(F750&lt;&gt;"","错误","")</f>
        <v/>
      </c>
      <c r="C750" s="14">
        <f>IF('03_地点锚点'!A250&lt;&gt;"","03_地点锚点","")</f>
        <v/>
      </c>
      <c r="D750" s="14">
        <f>IF('03_地点锚点'!A250&lt;&gt;"",'03_地点锚点'!A250,"")</f>
        <v/>
      </c>
      <c r="E750" s="14">
        <f>IF(F750&lt;&gt;"","综合校验","")</f>
        <v/>
      </c>
      <c r="F750" s="14">
        <f>IF('03_地点锚点'!A250&lt;&gt;"",IF('03_地点锚点'!A250="","缺少地点ID；","")&amp;IF('03_地点锚点'!B250="","缺少中文名称；","")&amp;IF('03_地点锚点'!D250="","缺少地点类型；","")&amp;IF('03_地点锚点'!G250="","缺少世界X；","")&amp;IF('03_地点锚点'!H250="","缺少世界Y；","")&amp;IF(AND('03_地点锚点'!G250&lt;&gt;"",OR('03_地点锚点'!G250&lt;0,'03_地点锚点'!G250&gt;WorldWidth)),"世界X越界；","")&amp;IF(AND('03_地点锚点'!H250&lt;&gt;"",OR('03_地点锚点'!H250&lt;0,'03_地点锚点'!H250&gt;WorldHeight)),"世界Y越界；","")&amp;IF(AND('03_地点锚点'!E250&lt;&gt;"",COUNTIF('02_固定地理'!$A$2:$A$501,'03_地点锚点'!E250)=0),"父级行政对象不存在；","")&amp;IF(AND('03_地点锚点'!F250&lt;&gt;"",COUNTIF('03_地点锚点'!$A$2:$A$501,'03_地点锚点'!F250)=0),"父级地点不存在；","")&amp;IF(AND('03_地点锚点'!A250&lt;&gt;"",COUNTIF('03_地点锚点'!$A$2:$A$501,'03_地点锚点'!A250)&gt;1),"ID重复；",""),"")</f>
        <v/>
      </c>
      <c r="G750" s="14">
        <f>IF(F750&lt;&gt;"","按字段批注、数据字典和来源记录修正后复核","")</f>
        <v/>
      </c>
      <c r="H750" s="14">
        <f>IF(F750&lt;&gt;"","待处理","")</f>
        <v/>
      </c>
    </row>
    <row r="751">
      <c r="A751" s="14">
        <f>IF(F751&lt;&gt;"","ISSUE-"&amp;TEXT(ROW()-1,"00000"),"")</f>
        <v/>
      </c>
      <c r="B751" s="14">
        <f>IF(F751&lt;&gt;"","错误","")</f>
        <v/>
      </c>
      <c r="C751" s="14">
        <f>IF('03_地点锚点'!A251&lt;&gt;"","03_地点锚点","")</f>
        <v/>
      </c>
      <c r="D751" s="14">
        <f>IF('03_地点锚点'!A251&lt;&gt;"",'03_地点锚点'!A251,"")</f>
        <v/>
      </c>
      <c r="E751" s="14">
        <f>IF(F751&lt;&gt;"","综合校验","")</f>
        <v/>
      </c>
      <c r="F751" s="14">
        <f>IF('03_地点锚点'!A251&lt;&gt;"",IF('03_地点锚点'!A251="","缺少地点ID；","")&amp;IF('03_地点锚点'!B251="","缺少中文名称；","")&amp;IF('03_地点锚点'!D251="","缺少地点类型；","")&amp;IF('03_地点锚点'!G251="","缺少世界X；","")&amp;IF('03_地点锚点'!H251="","缺少世界Y；","")&amp;IF(AND('03_地点锚点'!G251&lt;&gt;"",OR('03_地点锚点'!G251&lt;0,'03_地点锚点'!G251&gt;WorldWidth)),"世界X越界；","")&amp;IF(AND('03_地点锚点'!H251&lt;&gt;"",OR('03_地点锚点'!H251&lt;0,'03_地点锚点'!H251&gt;WorldHeight)),"世界Y越界；","")&amp;IF(AND('03_地点锚点'!E251&lt;&gt;"",COUNTIF('02_固定地理'!$A$2:$A$501,'03_地点锚点'!E251)=0),"父级行政对象不存在；","")&amp;IF(AND('03_地点锚点'!F251&lt;&gt;"",COUNTIF('03_地点锚点'!$A$2:$A$501,'03_地点锚点'!F251)=0),"父级地点不存在；","")&amp;IF(AND('03_地点锚点'!A251&lt;&gt;"",COUNTIF('03_地点锚点'!$A$2:$A$501,'03_地点锚点'!A251)&gt;1),"ID重复；",""),"")</f>
        <v/>
      </c>
      <c r="G751" s="14">
        <f>IF(F751&lt;&gt;"","按字段批注、数据字典和来源记录修正后复核","")</f>
        <v/>
      </c>
      <c r="H751" s="14">
        <f>IF(F751&lt;&gt;"","待处理","")</f>
        <v/>
      </c>
    </row>
    <row r="752">
      <c r="A752" s="14">
        <f>IF(F752&lt;&gt;"","ISSUE-"&amp;TEXT(ROW()-1,"00000"),"")</f>
        <v/>
      </c>
      <c r="B752" s="14">
        <f>IF(F752&lt;&gt;"","错误","")</f>
        <v/>
      </c>
      <c r="C752" s="14">
        <f>IF('03_地点锚点'!A252&lt;&gt;"","03_地点锚点","")</f>
        <v/>
      </c>
      <c r="D752" s="14">
        <f>IF('03_地点锚点'!A252&lt;&gt;"",'03_地点锚点'!A252,"")</f>
        <v/>
      </c>
      <c r="E752" s="14">
        <f>IF(F752&lt;&gt;"","综合校验","")</f>
        <v/>
      </c>
      <c r="F752" s="14">
        <f>IF('03_地点锚点'!A252&lt;&gt;"",IF('03_地点锚点'!A252="","缺少地点ID；","")&amp;IF('03_地点锚点'!B252="","缺少中文名称；","")&amp;IF('03_地点锚点'!D252="","缺少地点类型；","")&amp;IF('03_地点锚点'!G252="","缺少世界X；","")&amp;IF('03_地点锚点'!H252="","缺少世界Y；","")&amp;IF(AND('03_地点锚点'!G252&lt;&gt;"",OR('03_地点锚点'!G252&lt;0,'03_地点锚点'!G252&gt;WorldWidth)),"世界X越界；","")&amp;IF(AND('03_地点锚点'!H252&lt;&gt;"",OR('03_地点锚点'!H252&lt;0,'03_地点锚点'!H252&gt;WorldHeight)),"世界Y越界；","")&amp;IF(AND('03_地点锚点'!E252&lt;&gt;"",COUNTIF('02_固定地理'!$A$2:$A$501,'03_地点锚点'!E252)=0),"父级行政对象不存在；","")&amp;IF(AND('03_地点锚点'!F252&lt;&gt;"",COUNTIF('03_地点锚点'!$A$2:$A$501,'03_地点锚点'!F252)=0),"父级地点不存在；","")&amp;IF(AND('03_地点锚点'!A252&lt;&gt;"",COUNTIF('03_地点锚点'!$A$2:$A$501,'03_地点锚点'!A252)&gt;1),"ID重复；",""),"")</f>
        <v/>
      </c>
      <c r="G752" s="14">
        <f>IF(F752&lt;&gt;"","按字段批注、数据字典和来源记录修正后复核","")</f>
        <v/>
      </c>
      <c r="H752" s="14">
        <f>IF(F752&lt;&gt;"","待处理","")</f>
        <v/>
      </c>
    </row>
    <row r="753">
      <c r="A753" s="14">
        <f>IF(F753&lt;&gt;"","ISSUE-"&amp;TEXT(ROW()-1,"00000"),"")</f>
        <v/>
      </c>
      <c r="B753" s="14">
        <f>IF(F753&lt;&gt;"","错误","")</f>
        <v/>
      </c>
      <c r="C753" s="14">
        <f>IF('03_地点锚点'!A253&lt;&gt;"","03_地点锚点","")</f>
        <v/>
      </c>
      <c r="D753" s="14">
        <f>IF('03_地点锚点'!A253&lt;&gt;"",'03_地点锚点'!A253,"")</f>
        <v/>
      </c>
      <c r="E753" s="14">
        <f>IF(F753&lt;&gt;"","综合校验","")</f>
        <v/>
      </c>
      <c r="F753" s="14">
        <f>IF('03_地点锚点'!A253&lt;&gt;"",IF('03_地点锚点'!A253="","缺少地点ID；","")&amp;IF('03_地点锚点'!B253="","缺少中文名称；","")&amp;IF('03_地点锚点'!D253="","缺少地点类型；","")&amp;IF('03_地点锚点'!G253="","缺少世界X；","")&amp;IF('03_地点锚点'!H253="","缺少世界Y；","")&amp;IF(AND('03_地点锚点'!G253&lt;&gt;"",OR('03_地点锚点'!G253&lt;0,'03_地点锚点'!G253&gt;WorldWidth)),"世界X越界；","")&amp;IF(AND('03_地点锚点'!H253&lt;&gt;"",OR('03_地点锚点'!H253&lt;0,'03_地点锚点'!H253&gt;WorldHeight)),"世界Y越界；","")&amp;IF(AND('03_地点锚点'!E253&lt;&gt;"",COUNTIF('02_固定地理'!$A$2:$A$501,'03_地点锚点'!E253)=0),"父级行政对象不存在；","")&amp;IF(AND('03_地点锚点'!F253&lt;&gt;"",COUNTIF('03_地点锚点'!$A$2:$A$501,'03_地点锚点'!F253)=0),"父级地点不存在；","")&amp;IF(AND('03_地点锚点'!A253&lt;&gt;"",COUNTIF('03_地点锚点'!$A$2:$A$501,'03_地点锚点'!A253)&gt;1),"ID重复；",""),"")</f>
        <v/>
      </c>
      <c r="G753" s="14">
        <f>IF(F753&lt;&gt;"","按字段批注、数据字典和来源记录修正后复核","")</f>
        <v/>
      </c>
      <c r="H753" s="14">
        <f>IF(F753&lt;&gt;"","待处理","")</f>
        <v/>
      </c>
    </row>
    <row r="754">
      <c r="A754" s="14">
        <f>IF(F754&lt;&gt;"","ISSUE-"&amp;TEXT(ROW()-1,"00000"),"")</f>
        <v/>
      </c>
      <c r="B754" s="14">
        <f>IF(F754&lt;&gt;"","错误","")</f>
        <v/>
      </c>
      <c r="C754" s="14">
        <f>IF('03_地点锚点'!A254&lt;&gt;"","03_地点锚点","")</f>
        <v/>
      </c>
      <c r="D754" s="14">
        <f>IF('03_地点锚点'!A254&lt;&gt;"",'03_地点锚点'!A254,"")</f>
        <v/>
      </c>
      <c r="E754" s="14">
        <f>IF(F754&lt;&gt;"","综合校验","")</f>
        <v/>
      </c>
      <c r="F754" s="14">
        <f>IF('03_地点锚点'!A254&lt;&gt;"",IF('03_地点锚点'!A254="","缺少地点ID；","")&amp;IF('03_地点锚点'!B254="","缺少中文名称；","")&amp;IF('03_地点锚点'!D254="","缺少地点类型；","")&amp;IF('03_地点锚点'!G254="","缺少世界X；","")&amp;IF('03_地点锚点'!H254="","缺少世界Y；","")&amp;IF(AND('03_地点锚点'!G254&lt;&gt;"",OR('03_地点锚点'!G254&lt;0,'03_地点锚点'!G254&gt;WorldWidth)),"世界X越界；","")&amp;IF(AND('03_地点锚点'!H254&lt;&gt;"",OR('03_地点锚点'!H254&lt;0,'03_地点锚点'!H254&gt;WorldHeight)),"世界Y越界；","")&amp;IF(AND('03_地点锚点'!E254&lt;&gt;"",COUNTIF('02_固定地理'!$A$2:$A$501,'03_地点锚点'!E254)=0),"父级行政对象不存在；","")&amp;IF(AND('03_地点锚点'!F254&lt;&gt;"",COUNTIF('03_地点锚点'!$A$2:$A$501,'03_地点锚点'!F254)=0),"父级地点不存在；","")&amp;IF(AND('03_地点锚点'!A254&lt;&gt;"",COUNTIF('03_地点锚点'!$A$2:$A$501,'03_地点锚点'!A254)&gt;1),"ID重复；",""),"")</f>
        <v/>
      </c>
      <c r="G754" s="14">
        <f>IF(F754&lt;&gt;"","按字段批注、数据字典和来源记录修正后复核","")</f>
        <v/>
      </c>
      <c r="H754" s="14">
        <f>IF(F754&lt;&gt;"","待处理","")</f>
        <v/>
      </c>
    </row>
    <row r="755">
      <c r="A755" s="14">
        <f>IF(F755&lt;&gt;"","ISSUE-"&amp;TEXT(ROW()-1,"00000"),"")</f>
        <v/>
      </c>
      <c r="B755" s="14">
        <f>IF(F755&lt;&gt;"","错误","")</f>
        <v/>
      </c>
      <c r="C755" s="14">
        <f>IF('03_地点锚点'!A255&lt;&gt;"","03_地点锚点","")</f>
        <v/>
      </c>
      <c r="D755" s="14">
        <f>IF('03_地点锚点'!A255&lt;&gt;"",'03_地点锚点'!A255,"")</f>
        <v/>
      </c>
      <c r="E755" s="14">
        <f>IF(F755&lt;&gt;"","综合校验","")</f>
        <v/>
      </c>
      <c r="F755" s="14">
        <f>IF('03_地点锚点'!A255&lt;&gt;"",IF('03_地点锚点'!A255="","缺少地点ID；","")&amp;IF('03_地点锚点'!B255="","缺少中文名称；","")&amp;IF('03_地点锚点'!D255="","缺少地点类型；","")&amp;IF('03_地点锚点'!G255="","缺少世界X；","")&amp;IF('03_地点锚点'!H255="","缺少世界Y；","")&amp;IF(AND('03_地点锚点'!G255&lt;&gt;"",OR('03_地点锚点'!G255&lt;0,'03_地点锚点'!G255&gt;WorldWidth)),"世界X越界；","")&amp;IF(AND('03_地点锚点'!H255&lt;&gt;"",OR('03_地点锚点'!H255&lt;0,'03_地点锚点'!H255&gt;WorldHeight)),"世界Y越界；","")&amp;IF(AND('03_地点锚点'!E255&lt;&gt;"",COUNTIF('02_固定地理'!$A$2:$A$501,'03_地点锚点'!E255)=0),"父级行政对象不存在；","")&amp;IF(AND('03_地点锚点'!F255&lt;&gt;"",COUNTIF('03_地点锚点'!$A$2:$A$501,'03_地点锚点'!F255)=0),"父级地点不存在；","")&amp;IF(AND('03_地点锚点'!A255&lt;&gt;"",COUNTIF('03_地点锚点'!$A$2:$A$501,'03_地点锚点'!A255)&gt;1),"ID重复；",""),"")</f>
        <v/>
      </c>
      <c r="G755" s="14">
        <f>IF(F755&lt;&gt;"","按字段批注、数据字典和来源记录修正后复核","")</f>
        <v/>
      </c>
      <c r="H755" s="14">
        <f>IF(F755&lt;&gt;"","待处理","")</f>
        <v/>
      </c>
    </row>
    <row r="756">
      <c r="A756" s="14">
        <f>IF(F756&lt;&gt;"","ISSUE-"&amp;TEXT(ROW()-1,"00000"),"")</f>
        <v/>
      </c>
      <c r="B756" s="14">
        <f>IF(F756&lt;&gt;"","错误","")</f>
        <v/>
      </c>
      <c r="C756" s="14">
        <f>IF('03_地点锚点'!A256&lt;&gt;"","03_地点锚点","")</f>
        <v/>
      </c>
      <c r="D756" s="14">
        <f>IF('03_地点锚点'!A256&lt;&gt;"",'03_地点锚点'!A256,"")</f>
        <v/>
      </c>
      <c r="E756" s="14">
        <f>IF(F756&lt;&gt;"","综合校验","")</f>
        <v/>
      </c>
      <c r="F756" s="14">
        <f>IF('03_地点锚点'!A256&lt;&gt;"",IF('03_地点锚点'!A256="","缺少地点ID；","")&amp;IF('03_地点锚点'!B256="","缺少中文名称；","")&amp;IF('03_地点锚点'!D256="","缺少地点类型；","")&amp;IF('03_地点锚点'!G256="","缺少世界X；","")&amp;IF('03_地点锚点'!H256="","缺少世界Y；","")&amp;IF(AND('03_地点锚点'!G256&lt;&gt;"",OR('03_地点锚点'!G256&lt;0,'03_地点锚点'!G256&gt;WorldWidth)),"世界X越界；","")&amp;IF(AND('03_地点锚点'!H256&lt;&gt;"",OR('03_地点锚点'!H256&lt;0,'03_地点锚点'!H256&gt;WorldHeight)),"世界Y越界；","")&amp;IF(AND('03_地点锚点'!E256&lt;&gt;"",COUNTIF('02_固定地理'!$A$2:$A$501,'03_地点锚点'!E256)=0),"父级行政对象不存在；","")&amp;IF(AND('03_地点锚点'!F256&lt;&gt;"",COUNTIF('03_地点锚点'!$A$2:$A$501,'03_地点锚点'!F256)=0),"父级地点不存在；","")&amp;IF(AND('03_地点锚点'!A256&lt;&gt;"",COUNTIF('03_地点锚点'!$A$2:$A$501,'03_地点锚点'!A256)&gt;1),"ID重复；",""),"")</f>
        <v/>
      </c>
      <c r="G756" s="14">
        <f>IF(F756&lt;&gt;"","按字段批注、数据字典和来源记录修正后复核","")</f>
        <v/>
      </c>
      <c r="H756" s="14">
        <f>IF(F756&lt;&gt;"","待处理","")</f>
        <v/>
      </c>
    </row>
    <row r="757">
      <c r="A757" s="14">
        <f>IF(F757&lt;&gt;"","ISSUE-"&amp;TEXT(ROW()-1,"00000"),"")</f>
        <v/>
      </c>
      <c r="B757" s="14">
        <f>IF(F757&lt;&gt;"","错误","")</f>
        <v/>
      </c>
      <c r="C757" s="14">
        <f>IF('03_地点锚点'!A257&lt;&gt;"","03_地点锚点","")</f>
        <v/>
      </c>
      <c r="D757" s="14">
        <f>IF('03_地点锚点'!A257&lt;&gt;"",'03_地点锚点'!A257,"")</f>
        <v/>
      </c>
      <c r="E757" s="14">
        <f>IF(F757&lt;&gt;"","综合校验","")</f>
        <v/>
      </c>
      <c r="F757" s="14">
        <f>IF('03_地点锚点'!A257&lt;&gt;"",IF('03_地点锚点'!A257="","缺少地点ID；","")&amp;IF('03_地点锚点'!B257="","缺少中文名称；","")&amp;IF('03_地点锚点'!D257="","缺少地点类型；","")&amp;IF('03_地点锚点'!G257="","缺少世界X；","")&amp;IF('03_地点锚点'!H257="","缺少世界Y；","")&amp;IF(AND('03_地点锚点'!G257&lt;&gt;"",OR('03_地点锚点'!G257&lt;0,'03_地点锚点'!G257&gt;WorldWidth)),"世界X越界；","")&amp;IF(AND('03_地点锚点'!H257&lt;&gt;"",OR('03_地点锚点'!H257&lt;0,'03_地点锚点'!H257&gt;WorldHeight)),"世界Y越界；","")&amp;IF(AND('03_地点锚点'!E257&lt;&gt;"",COUNTIF('02_固定地理'!$A$2:$A$501,'03_地点锚点'!E257)=0),"父级行政对象不存在；","")&amp;IF(AND('03_地点锚点'!F257&lt;&gt;"",COUNTIF('03_地点锚点'!$A$2:$A$501,'03_地点锚点'!F257)=0),"父级地点不存在；","")&amp;IF(AND('03_地点锚点'!A257&lt;&gt;"",COUNTIF('03_地点锚点'!$A$2:$A$501,'03_地点锚点'!A257)&gt;1),"ID重复；",""),"")</f>
        <v/>
      </c>
      <c r="G757" s="14">
        <f>IF(F757&lt;&gt;"","按字段批注、数据字典和来源记录修正后复核","")</f>
        <v/>
      </c>
      <c r="H757" s="14">
        <f>IF(F757&lt;&gt;"","待处理","")</f>
        <v/>
      </c>
    </row>
    <row r="758">
      <c r="A758" s="14">
        <f>IF(F758&lt;&gt;"","ISSUE-"&amp;TEXT(ROW()-1,"00000"),"")</f>
        <v/>
      </c>
      <c r="B758" s="14">
        <f>IF(F758&lt;&gt;"","错误","")</f>
        <v/>
      </c>
      <c r="C758" s="14">
        <f>IF('03_地点锚点'!A258&lt;&gt;"","03_地点锚点","")</f>
        <v/>
      </c>
      <c r="D758" s="14">
        <f>IF('03_地点锚点'!A258&lt;&gt;"",'03_地点锚点'!A258,"")</f>
        <v/>
      </c>
      <c r="E758" s="14">
        <f>IF(F758&lt;&gt;"","综合校验","")</f>
        <v/>
      </c>
      <c r="F758" s="14">
        <f>IF('03_地点锚点'!A258&lt;&gt;"",IF('03_地点锚点'!A258="","缺少地点ID；","")&amp;IF('03_地点锚点'!B258="","缺少中文名称；","")&amp;IF('03_地点锚点'!D258="","缺少地点类型；","")&amp;IF('03_地点锚点'!G258="","缺少世界X；","")&amp;IF('03_地点锚点'!H258="","缺少世界Y；","")&amp;IF(AND('03_地点锚点'!G258&lt;&gt;"",OR('03_地点锚点'!G258&lt;0,'03_地点锚点'!G258&gt;WorldWidth)),"世界X越界；","")&amp;IF(AND('03_地点锚点'!H258&lt;&gt;"",OR('03_地点锚点'!H258&lt;0,'03_地点锚点'!H258&gt;WorldHeight)),"世界Y越界；","")&amp;IF(AND('03_地点锚点'!E258&lt;&gt;"",COUNTIF('02_固定地理'!$A$2:$A$501,'03_地点锚点'!E258)=0),"父级行政对象不存在；","")&amp;IF(AND('03_地点锚点'!F258&lt;&gt;"",COUNTIF('03_地点锚点'!$A$2:$A$501,'03_地点锚点'!F258)=0),"父级地点不存在；","")&amp;IF(AND('03_地点锚点'!A258&lt;&gt;"",COUNTIF('03_地点锚点'!$A$2:$A$501,'03_地点锚点'!A258)&gt;1),"ID重复；",""),"")</f>
        <v/>
      </c>
      <c r="G758" s="14">
        <f>IF(F758&lt;&gt;"","按字段批注、数据字典和来源记录修正后复核","")</f>
        <v/>
      </c>
      <c r="H758" s="14">
        <f>IF(F758&lt;&gt;"","待处理","")</f>
        <v/>
      </c>
    </row>
    <row r="759">
      <c r="A759" s="14">
        <f>IF(F759&lt;&gt;"","ISSUE-"&amp;TEXT(ROW()-1,"00000"),"")</f>
        <v/>
      </c>
      <c r="B759" s="14">
        <f>IF(F759&lt;&gt;"","错误","")</f>
        <v/>
      </c>
      <c r="C759" s="14">
        <f>IF('03_地点锚点'!A259&lt;&gt;"","03_地点锚点","")</f>
        <v/>
      </c>
      <c r="D759" s="14">
        <f>IF('03_地点锚点'!A259&lt;&gt;"",'03_地点锚点'!A259,"")</f>
        <v/>
      </c>
      <c r="E759" s="14">
        <f>IF(F759&lt;&gt;"","综合校验","")</f>
        <v/>
      </c>
      <c r="F759" s="14">
        <f>IF('03_地点锚点'!A259&lt;&gt;"",IF('03_地点锚点'!A259="","缺少地点ID；","")&amp;IF('03_地点锚点'!B259="","缺少中文名称；","")&amp;IF('03_地点锚点'!D259="","缺少地点类型；","")&amp;IF('03_地点锚点'!G259="","缺少世界X；","")&amp;IF('03_地点锚点'!H259="","缺少世界Y；","")&amp;IF(AND('03_地点锚点'!G259&lt;&gt;"",OR('03_地点锚点'!G259&lt;0,'03_地点锚点'!G259&gt;WorldWidth)),"世界X越界；","")&amp;IF(AND('03_地点锚点'!H259&lt;&gt;"",OR('03_地点锚点'!H259&lt;0,'03_地点锚点'!H259&gt;WorldHeight)),"世界Y越界；","")&amp;IF(AND('03_地点锚点'!E259&lt;&gt;"",COUNTIF('02_固定地理'!$A$2:$A$501,'03_地点锚点'!E259)=0),"父级行政对象不存在；","")&amp;IF(AND('03_地点锚点'!F259&lt;&gt;"",COUNTIF('03_地点锚点'!$A$2:$A$501,'03_地点锚点'!F259)=0),"父级地点不存在；","")&amp;IF(AND('03_地点锚点'!A259&lt;&gt;"",COUNTIF('03_地点锚点'!$A$2:$A$501,'03_地点锚点'!A259)&gt;1),"ID重复；",""),"")</f>
        <v/>
      </c>
      <c r="G759" s="14">
        <f>IF(F759&lt;&gt;"","按字段批注、数据字典和来源记录修正后复核","")</f>
        <v/>
      </c>
      <c r="H759" s="14">
        <f>IF(F759&lt;&gt;"","待处理","")</f>
        <v/>
      </c>
    </row>
    <row r="760">
      <c r="A760" s="14">
        <f>IF(F760&lt;&gt;"","ISSUE-"&amp;TEXT(ROW()-1,"00000"),"")</f>
        <v/>
      </c>
      <c r="B760" s="14">
        <f>IF(F760&lt;&gt;"","错误","")</f>
        <v/>
      </c>
      <c r="C760" s="14">
        <f>IF('03_地点锚点'!A260&lt;&gt;"","03_地点锚点","")</f>
        <v/>
      </c>
      <c r="D760" s="14">
        <f>IF('03_地点锚点'!A260&lt;&gt;"",'03_地点锚点'!A260,"")</f>
        <v/>
      </c>
      <c r="E760" s="14">
        <f>IF(F760&lt;&gt;"","综合校验","")</f>
        <v/>
      </c>
      <c r="F760" s="14">
        <f>IF('03_地点锚点'!A260&lt;&gt;"",IF('03_地点锚点'!A260="","缺少地点ID；","")&amp;IF('03_地点锚点'!B260="","缺少中文名称；","")&amp;IF('03_地点锚点'!D260="","缺少地点类型；","")&amp;IF('03_地点锚点'!G260="","缺少世界X；","")&amp;IF('03_地点锚点'!H260="","缺少世界Y；","")&amp;IF(AND('03_地点锚点'!G260&lt;&gt;"",OR('03_地点锚点'!G260&lt;0,'03_地点锚点'!G260&gt;WorldWidth)),"世界X越界；","")&amp;IF(AND('03_地点锚点'!H260&lt;&gt;"",OR('03_地点锚点'!H260&lt;0,'03_地点锚点'!H260&gt;WorldHeight)),"世界Y越界；","")&amp;IF(AND('03_地点锚点'!E260&lt;&gt;"",COUNTIF('02_固定地理'!$A$2:$A$501,'03_地点锚点'!E260)=0),"父级行政对象不存在；","")&amp;IF(AND('03_地点锚点'!F260&lt;&gt;"",COUNTIF('03_地点锚点'!$A$2:$A$501,'03_地点锚点'!F260)=0),"父级地点不存在；","")&amp;IF(AND('03_地点锚点'!A260&lt;&gt;"",COUNTIF('03_地点锚点'!$A$2:$A$501,'03_地点锚点'!A260)&gt;1),"ID重复；",""),"")</f>
        <v/>
      </c>
      <c r="G760" s="14">
        <f>IF(F760&lt;&gt;"","按字段批注、数据字典和来源记录修正后复核","")</f>
        <v/>
      </c>
      <c r="H760" s="14">
        <f>IF(F760&lt;&gt;"","待处理","")</f>
        <v/>
      </c>
    </row>
    <row r="761">
      <c r="A761" s="14">
        <f>IF(F761&lt;&gt;"","ISSUE-"&amp;TEXT(ROW()-1,"00000"),"")</f>
        <v/>
      </c>
      <c r="B761" s="14">
        <f>IF(F761&lt;&gt;"","错误","")</f>
        <v/>
      </c>
      <c r="C761" s="14">
        <f>IF('03_地点锚点'!A261&lt;&gt;"","03_地点锚点","")</f>
        <v/>
      </c>
      <c r="D761" s="14">
        <f>IF('03_地点锚点'!A261&lt;&gt;"",'03_地点锚点'!A261,"")</f>
        <v/>
      </c>
      <c r="E761" s="14">
        <f>IF(F761&lt;&gt;"","综合校验","")</f>
        <v/>
      </c>
      <c r="F761" s="14">
        <f>IF('03_地点锚点'!A261&lt;&gt;"",IF('03_地点锚点'!A261="","缺少地点ID；","")&amp;IF('03_地点锚点'!B261="","缺少中文名称；","")&amp;IF('03_地点锚点'!D261="","缺少地点类型；","")&amp;IF('03_地点锚点'!G261="","缺少世界X；","")&amp;IF('03_地点锚点'!H261="","缺少世界Y；","")&amp;IF(AND('03_地点锚点'!G261&lt;&gt;"",OR('03_地点锚点'!G261&lt;0,'03_地点锚点'!G261&gt;WorldWidth)),"世界X越界；","")&amp;IF(AND('03_地点锚点'!H261&lt;&gt;"",OR('03_地点锚点'!H261&lt;0,'03_地点锚点'!H261&gt;WorldHeight)),"世界Y越界；","")&amp;IF(AND('03_地点锚点'!E261&lt;&gt;"",COUNTIF('02_固定地理'!$A$2:$A$501,'03_地点锚点'!E261)=0),"父级行政对象不存在；","")&amp;IF(AND('03_地点锚点'!F261&lt;&gt;"",COUNTIF('03_地点锚点'!$A$2:$A$501,'03_地点锚点'!F261)=0),"父级地点不存在；","")&amp;IF(AND('03_地点锚点'!A261&lt;&gt;"",COUNTIF('03_地点锚点'!$A$2:$A$501,'03_地点锚点'!A261)&gt;1),"ID重复；",""),"")</f>
        <v/>
      </c>
      <c r="G761" s="14">
        <f>IF(F761&lt;&gt;"","按字段批注、数据字典和来源记录修正后复核","")</f>
        <v/>
      </c>
      <c r="H761" s="14">
        <f>IF(F761&lt;&gt;"","待处理","")</f>
        <v/>
      </c>
    </row>
    <row r="762">
      <c r="A762" s="14">
        <f>IF(F762&lt;&gt;"","ISSUE-"&amp;TEXT(ROW()-1,"00000"),"")</f>
        <v/>
      </c>
      <c r="B762" s="14">
        <f>IF(F762&lt;&gt;"","错误","")</f>
        <v/>
      </c>
      <c r="C762" s="14">
        <f>IF('03_地点锚点'!A262&lt;&gt;"","03_地点锚点","")</f>
        <v/>
      </c>
      <c r="D762" s="14">
        <f>IF('03_地点锚点'!A262&lt;&gt;"",'03_地点锚点'!A262,"")</f>
        <v/>
      </c>
      <c r="E762" s="14">
        <f>IF(F762&lt;&gt;"","综合校验","")</f>
        <v/>
      </c>
      <c r="F762" s="14">
        <f>IF('03_地点锚点'!A262&lt;&gt;"",IF('03_地点锚点'!A262="","缺少地点ID；","")&amp;IF('03_地点锚点'!B262="","缺少中文名称；","")&amp;IF('03_地点锚点'!D262="","缺少地点类型；","")&amp;IF('03_地点锚点'!G262="","缺少世界X；","")&amp;IF('03_地点锚点'!H262="","缺少世界Y；","")&amp;IF(AND('03_地点锚点'!G262&lt;&gt;"",OR('03_地点锚点'!G262&lt;0,'03_地点锚点'!G262&gt;WorldWidth)),"世界X越界；","")&amp;IF(AND('03_地点锚点'!H262&lt;&gt;"",OR('03_地点锚点'!H262&lt;0,'03_地点锚点'!H262&gt;WorldHeight)),"世界Y越界；","")&amp;IF(AND('03_地点锚点'!E262&lt;&gt;"",COUNTIF('02_固定地理'!$A$2:$A$501,'03_地点锚点'!E262)=0),"父级行政对象不存在；","")&amp;IF(AND('03_地点锚点'!F262&lt;&gt;"",COUNTIF('03_地点锚点'!$A$2:$A$501,'03_地点锚点'!F262)=0),"父级地点不存在；","")&amp;IF(AND('03_地点锚点'!A262&lt;&gt;"",COUNTIF('03_地点锚点'!$A$2:$A$501,'03_地点锚点'!A262)&gt;1),"ID重复；",""),"")</f>
        <v/>
      </c>
      <c r="G762" s="14">
        <f>IF(F762&lt;&gt;"","按字段批注、数据字典和来源记录修正后复核","")</f>
        <v/>
      </c>
      <c r="H762" s="14">
        <f>IF(F762&lt;&gt;"","待处理","")</f>
        <v/>
      </c>
    </row>
    <row r="763">
      <c r="A763" s="14">
        <f>IF(F763&lt;&gt;"","ISSUE-"&amp;TEXT(ROW()-1,"00000"),"")</f>
        <v/>
      </c>
      <c r="B763" s="14">
        <f>IF(F763&lt;&gt;"","错误","")</f>
        <v/>
      </c>
      <c r="C763" s="14">
        <f>IF('03_地点锚点'!A263&lt;&gt;"","03_地点锚点","")</f>
        <v/>
      </c>
      <c r="D763" s="14">
        <f>IF('03_地点锚点'!A263&lt;&gt;"",'03_地点锚点'!A263,"")</f>
        <v/>
      </c>
      <c r="E763" s="14">
        <f>IF(F763&lt;&gt;"","综合校验","")</f>
        <v/>
      </c>
      <c r="F763" s="14">
        <f>IF('03_地点锚点'!A263&lt;&gt;"",IF('03_地点锚点'!A263="","缺少地点ID；","")&amp;IF('03_地点锚点'!B263="","缺少中文名称；","")&amp;IF('03_地点锚点'!D263="","缺少地点类型；","")&amp;IF('03_地点锚点'!G263="","缺少世界X；","")&amp;IF('03_地点锚点'!H263="","缺少世界Y；","")&amp;IF(AND('03_地点锚点'!G263&lt;&gt;"",OR('03_地点锚点'!G263&lt;0,'03_地点锚点'!G263&gt;WorldWidth)),"世界X越界；","")&amp;IF(AND('03_地点锚点'!H263&lt;&gt;"",OR('03_地点锚点'!H263&lt;0,'03_地点锚点'!H263&gt;WorldHeight)),"世界Y越界；","")&amp;IF(AND('03_地点锚点'!E263&lt;&gt;"",COUNTIF('02_固定地理'!$A$2:$A$501,'03_地点锚点'!E263)=0),"父级行政对象不存在；","")&amp;IF(AND('03_地点锚点'!F263&lt;&gt;"",COUNTIF('03_地点锚点'!$A$2:$A$501,'03_地点锚点'!F263)=0),"父级地点不存在；","")&amp;IF(AND('03_地点锚点'!A263&lt;&gt;"",COUNTIF('03_地点锚点'!$A$2:$A$501,'03_地点锚点'!A263)&gt;1),"ID重复；",""),"")</f>
        <v/>
      </c>
      <c r="G763" s="14">
        <f>IF(F763&lt;&gt;"","按字段批注、数据字典和来源记录修正后复核","")</f>
        <v/>
      </c>
      <c r="H763" s="14">
        <f>IF(F763&lt;&gt;"","待处理","")</f>
        <v/>
      </c>
    </row>
    <row r="764">
      <c r="A764" s="14">
        <f>IF(F764&lt;&gt;"","ISSUE-"&amp;TEXT(ROW()-1,"00000"),"")</f>
        <v/>
      </c>
      <c r="B764" s="14">
        <f>IF(F764&lt;&gt;"","错误","")</f>
        <v/>
      </c>
      <c r="C764" s="14">
        <f>IF('03_地点锚点'!A264&lt;&gt;"","03_地点锚点","")</f>
        <v/>
      </c>
      <c r="D764" s="14">
        <f>IF('03_地点锚点'!A264&lt;&gt;"",'03_地点锚点'!A264,"")</f>
        <v/>
      </c>
      <c r="E764" s="14">
        <f>IF(F764&lt;&gt;"","综合校验","")</f>
        <v/>
      </c>
      <c r="F764" s="14">
        <f>IF('03_地点锚点'!A264&lt;&gt;"",IF('03_地点锚点'!A264="","缺少地点ID；","")&amp;IF('03_地点锚点'!B264="","缺少中文名称；","")&amp;IF('03_地点锚点'!D264="","缺少地点类型；","")&amp;IF('03_地点锚点'!G264="","缺少世界X；","")&amp;IF('03_地点锚点'!H264="","缺少世界Y；","")&amp;IF(AND('03_地点锚点'!G264&lt;&gt;"",OR('03_地点锚点'!G264&lt;0,'03_地点锚点'!G264&gt;WorldWidth)),"世界X越界；","")&amp;IF(AND('03_地点锚点'!H264&lt;&gt;"",OR('03_地点锚点'!H264&lt;0,'03_地点锚点'!H264&gt;WorldHeight)),"世界Y越界；","")&amp;IF(AND('03_地点锚点'!E264&lt;&gt;"",COUNTIF('02_固定地理'!$A$2:$A$501,'03_地点锚点'!E264)=0),"父级行政对象不存在；","")&amp;IF(AND('03_地点锚点'!F264&lt;&gt;"",COUNTIF('03_地点锚点'!$A$2:$A$501,'03_地点锚点'!F264)=0),"父级地点不存在；","")&amp;IF(AND('03_地点锚点'!A264&lt;&gt;"",COUNTIF('03_地点锚点'!$A$2:$A$501,'03_地点锚点'!A264)&gt;1),"ID重复；",""),"")</f>
        <v/>
      </c>
      <c r="G764" s="14">
        <f>IF(F764&lt;&gt;"","按字段批注、数据字典和来源记录修正后复核","")</f>
        <v/>
      </c>
      <c r="H764" s="14">
        <f>IF(F764&lt;&gt;"","待处理","")</f>
        <v/>
      </c>
    </row>
    <row r="765">
      <c r="A765" s="14">
        <f>IF(F765&lt;&gt;"","ISSUE-"&amp;TEXT(ROW()-1,"00000"),"")</f>
        <v/>
      </c>
      <c r="B765" s="14">
        <f>IF(F765&lt;&gt;"","错误","")</f>
        <v/>
      </c>
      <c r="C765" s="14">
        <f>IF('03_地点锚点'!A265&lt;&gt;"","03_地点锚点","")</f>
        <v/>
      </c>
      <c r="D765" s="14">
        <f>IF('03_地点锚点'!A265&lt;&gt;"",'03_地点锚点'!A265,"")</f>
        <v/>
      </c>
      <c r="E765" s="14">
        <f>IF(F765&lt;&gt;"","综合校验","")</f>
        <v/>
      </c>
      <c r="F765" s="14">
        <f>IF('03_地点锚点'!A265&lt;&gt;"",IF('03_地点锚点'!A265="","缺少地点ID；","")&amp;IF('03_地点锚点'!B265="","缺少中文名称；","")&amp;IF('03_地点锚点'!D265="","缺少地点类型；","")&amp;IF('03_地点锚点'!G265="","缺少世界X；","")&amp;IF('03_地点锚点'!H265="","缺少世界Y；","")&amp;IF(AND('03_地点锚点'!G265&lt;&gt;"",OR('03_地点锚点'!G265&lt;0,'03_地点锚点'!G265&gt;WorldWidth)),"世界X越界；","")&amp;IF(AND('03_地点锚点'!H265&lt;&gt;"",OR('03_地点锚点'!H265&lt;0,'03_地点锚点'!H265&gt;WorldHeight)),"世界Y越界；","")&amp;IF(AND('03_地点锚点'!E265&lt;&gt;"",COUNTIF('02_固定地理'!$A$2:$A$501,'03_地点锚点'!E265)=0),"父级行政对象不存在；","")&amp;IF(AND('03_地点锚点'!F265&lt;&gt;"",COUNTIF('03_地点锚点'!$A$2:$A$501,'03_地点锚点'!F265)=0),"父级地点不存在；","")&amp;IF(AND('03_地点锚点'!A265&lt;&gt;"",COUNTIF('03_地点锚点'!$A$2:$A$501,'03_地点锚点'!A265)&gt;1),"ID重复；",""),"")</f>
        <v/>
      </c>
      <c r="G765" s="14">
        <f>IF(F765&lt;&gt;"","按字段批注、数据字典和来源记录修正后复核","")</f>
        <v/>
      </c>
      <c r="H765" s="14">
        <f>IF(F765&lt;&gt;"","待处理","")</f>
        <v/>
      </c>
    </row>
    <row r="766">
      <c r="A766" s="14">
        <f>IF(F766&lt;&gt;"","ISSUE-"&amp;TEXT(ROW()-1,"00000"),"")</f>
        <v/>
      </c>
      <c r="B766" s="14">
        <f>IF(F766&lt;&gt;"","错误","")</f>
        <v/>
      </c>
      <c r="C766" s="14">
        <f>IF('03_地点锚点'!A266&lt;&gt;"","03_地点锚点","")</f>
        <v/>
      </c>
      <c r="D766" s="14">
        <f>IF('03_地点锚点'!A266&lt;&gt;"",'03_地点锚点'!A266,"")</f>
        <v/>
      </c>
      <c r="E766" s="14">
        <f>IF(F766&lt;&gt;"","综合校验","")</f>
        <v/>
      </c>
      <c r="F766" s="14">
        <f>IF('03_地点锚点'!A266&lt;&gt;"",IF('03_地点锚点'!A266="","缺少地点ID；","")&amp;IF('03_地点锚点'!B266="","缺少中文名称；","")&amp;IF('03_地点锚点'!D266="","缺少地点类型；","")&amp;IF('03_地点锚点'!G266="","缺少世界X；","")&amp;IF('03_地点锚点'!H266="","缺少世界Y；","")&amp;IF(AND('03_地点锚点'!G266&lt;&gt;"",OR('03_地点锚点'!G266&lt;0,'03_地点锚点'!G266&gt;WorldWidth)),"世界X越界；","")&amp;IF(AND('03_地点锚点'!H266&lt;&gt;"",OR('03_地点锚点'!H266&lt;0,'03_地点锚点'!H266&gt;WorldHeight)),"世界Y越界；","")&amp;IF(AND('03_地点锚点'!E266&lt;&gt;"",COUNTIF('02_固定地理'!$A$2:$A$501,'03_地点锚点'!E266)=0),"父级行政对象不存在；","")&amp;IF(AND('03_地点锚点'!F266&lt;&gt;"",COUNTIF('03_地点锚点'!$A$2:$A$501,'03_地点锚点'!F266)=0),"父级地点不存在；","")&amp;IF(AND('03_地点锚点'!A266&lt;&gt;"",COUNTIF('03_地点锚点'!$A$2:$A$501,'03_地点锚点'!A266)&gt;1),"ID重复；",""),"")</f>
        <v/>
      </c>
      <c r="G766" s="14">
        <f>IF(F766&lt;&gt;"","按字段批注、数据字典和来源记录修正后复核","")</f>
        <v/>
      </c>
      <c r="H766" s="14">
        <f>IF(F766&lt;&gt;"","待处理","")</f>
        <v/>
      </c>
    </row>
    <row r="767">
      <c r="A767" s="14">
        <f>IF(F767&lt;&gt;"","ISSUE-"&amp;TEXT(ROW()-1,"00000"),"")</f>
        <v/>
      </c>
      <c r="B767" s="14">
        <f>IF(F767&lt;&gt;"","错误","")</f>
        <v/>
      </c>
      <c r="C767" s="14">
        <f>IF('03_地点锚点'!A267&lt;&gt;"","03_地点锚点","")</f>
        <v/>
      </c>
      <c r="D767" s="14">
        <f>IF('03_地点锚点'!A267&lt;&gt;"",'03_地点锚点'!A267,"")</f>
        <v/>
      </c>
      <c r="E767" s="14">
        <f>IF(F767&lt;&gt;"","综合校验","")</f>
        <v/>
      </c>
      <c r="F767" s="14">
        <f>IF('03_地点锚点'!A267&lt;&gt;"",IF('03_地点锚点'!A267="","缺少地点ID；","")&amp;IF('03_地点锚点'!B267="","缺少中文名称；","")&amp;IF('03_地点锚点'!D267="","缺少地点类型；","")&amp;IF('03_地点锚点'!G267="","缺少世界X；","")&amp;IF('03_地点锚点'!H267="","缺少世界Y；","")&amp;IF(AND('03_地点锚点'!G267&lt;&gt;"",OR('03_地点锚点'!G267&lt;0,'03_地点锚点'!G267&gt;WorldWidth)),"世界X越界；","")&amp;IF(AND('03_地点锚点'!H267&lt;&gt;"",OR('03_地点锚点'!H267&lt;0,'03_地点锚点'!H267&gt;WorldHeight)),"世界Y越界；","")&amp;IF(AND('03_地点锚点'!E267&lt;&gt;"",COUNTIF('02_固定地理'!$A$2:$A$501,'03_地点锚点'!E267)=0),"父级行政对象不存在；","")&amp;IF(AND('03_地点锚点'!F267&lt;&gt;"",COUNTIF('03_地点锚点'!$A$2:$A$501,'03_地点锚点'!F267)=0),"父级地点不存在；","")&amp;IF(AND('03_地点锚点'!A267&lt;&gt;"",COUNTIF('03_地点锚点'!$A$2:$A$501,'03_地点锚点'!A267)&gt;1),"ID重复；",""),"")</f>
        <v/>
      </c>
      <c r="G767" s="14">
        <f>IF(F767&lt;&gt;"","按字段批注、数据字典和来源记录修正后复核","")</f>
        <v/>
      </c>
      <c r="H767" s="14">
        <f>IF(F767&lt;&gt;"","待处理","")</f>
        <v/>
      </c>
    </row>
    <row r="768">
      <c r="A768" s="14">
        <f>IF(F768&lt;&gt;"","ISSUE-"&amp;TEXT(ROW()-1,"00000"),"")</f>
        <v/>
      </c>
      <c r="B768" s="14">
        <f>IF(F768&lt;&gt;"","错误","")</f>
        <v/>
      </c>
      <c r="C768" s="14">
        <f>IF('03_地点锚点'!A268&lt;&gt;"","03_地点锚点","")</f>
        <v/>
      </c>
      <c r="D768" s="14">
        <f>IF('03_地点锚点'!A268&lt;&gt;"",'03_地点锚点'!A268,"")</f>
        <v/>
      </c>
      <c r="E768" s="14">
        <f>IF(F768&lt;&gt;"","综合校验","")</f>
        <v/>
      </c>
      <c r="F768" s="14">
        <f>IF('03_地点锚点'!A268&lt;&gt;"",IF('03_地点锚点'!A268="","缺少地点ID；","")&amp;IF('03_地点锚点'!B268="","缺少中文名称；","")&amp;IF('03_地点锚点'!D268="","缺少地点类型；","")&amp;IF('03_地点锚点'!G268="","缺少世界X；","")&amp;IF('03_地点锚点'!H268="","缺少世界Y；","")&amp;IF(AND('03_地点锚点'!G268&lt;&gt;"",OR('03_地点锚点'!G268&lt;0,'03_地点锚点'!G268&gt;WorldWidth)),"世界X越界；","")&amp;IF(AND('03_地点锚点'!H268&lt;&gt;"",OR('03_地点锚点'!H268&lt;0,'03_地点锚点'!H268&gt;WorldHeight)),"世界Y越界；","")&amp;IF(AND('03_地点锚点'!E268&lt;&gt;"",COUNTIF('02_固定地理'!$A$2:$A$501,'03_地点锚点'!E268)=0),"父级行政对象不存在；","")&amp;IF(AND('03_地点锚点'!F268&lt;&gt;"",COUNTIF('03_地点锚点'!$A$2:$A$501,'03_地点锚点'!F268)=0),"父级地点不存在；","")&amp;IF(AND('03_地点锚点'!A268&lt;&gt;"",COUNTIF('03_地点锚点'!$A$2:$A$501,'03_地点锚点'!A268)&gt;1),"ID重复；",""),"")</f>
        <v/>
      </c>
      <c r="G768" s="14">
        <f>IF(F768&lt;&gt;"","按字段批注、数据字典和来源记录修正后复核","")</f>
        <v/>
      </c>
      <c r="H768" s="14">
        <f>IF(F768&lt;&gt;"","待处理","")</f>
        <v/>
      </c>
    </row>
    <row r="769">
      <c r="A769" s="14">
        <f>IF(F769&lt;&gt;"","ISSUE-"&amp;TEXT(ROW()-1,"00000"),"")</f>
        <v/>
      </c>
      <c r="B769" s="14">
        <f>IF(F769&lt;&gt;"","错误","")</f>
        <v/>
      </c>
      <c r="C769" s="14">
        <f>IF('03_地点锚点'!A269&lt;&gt;"","03_地点锚点","")</f>
        <v/>
      </c>
      <c r="D769" s="14">
        <f>IF('03_地点锚点'!A269&lt;&gt;"",'03_地点锚点'!A269,"")</f>
        <v/>
      </c>
      <c r="E769" s="14">
        <f>IF(F769&lt;&gt;"","综合校验","")</f>
        <v/>
      </c>
      <c r="F769" s="14">
        <f>IF('03_地点锚点'!A269&lt;&gt;"",IF('03_地点锚点'!A269="","缺少地点ID；","")&amp;IF('03_地点锚点'!B269="","缺少中文名称；","")&amp;IF('03_地点锚点'!D269="","缺少地点类型；","")&amp;IF('03_地点锚点'!G269="","缺少世界X；","")&amp;IF('03_地点锚点'!H269="","缺少世界Y；","")&amp;IF(AND('03_地点锚点'!G269&lt;&gt;"",OR('03_地点锚点'!G269&lt;0,'03_地点锚点'!G269&gt;WorldWidth)),"世界X越界；","")&amp;IF(AND('03_地点锚点'!H269&lt;&gt;"",OR('03_地点锚点'!H269&lt;0,'03_地点锚点'!H269&gt;WorldHeight)),"世界Y越界；","")&amp;IF(AND('03_地点锚点'!E269&lt;&gt;"",COUNTIF('02_固定地理'!$A$2:$A$501,'03_地点锚点'!E269)=0),"父级行政对象不存在；","")&amp;IF(AND('03_地点锚点'!F269&lt;&gt;"",COUNTIF('03_地点锚点'!$A$2:$A$501,'03_地点锚点'!F269)=0),"父级地点不存在；","")&amp;IF(AND('03_地点锚点'!A269&lt;&gt;"",COUNTIF('03_地点锚点'!$A$2:$A$501,'03_地点锚点'!A269)&gt;1),"ID重复；",""),"")</f>
        <v/>
      </c>
      <c r="G769" s="14">
        <f>IF(F769&lt;&gt;"","按字段批注、数据字典和来源记录修正后复核","")</f>
        <v/>
      </c>
      <c r="H769" s="14">
        <f>IF(F769&lt;&gt;"","待处理","")</f>
        <v/>
      </c>
    </row>
    <row r="770">
      <c r="A770" s="14">
        <f>IF(F770&lt;&gt;"","ISSUE-"&amp;TEXT(ROW()-1,"00000"),"")</f>
        <v/>
      </c>
      <c r="B770" s="14">
        <f>IF(F770&lt;&gt;"","错误","")</f>
        <v/>
      </c>
      <c r="C770" s="14">
        <f>IF('03_地点锚点'!A270&lt;&gt;"","03_地点锚点","")</f>
        <v/>
      </c>
      <c r="D770" s="14">
        <f>IF('03_地点锚点'!A270&lt;&gt;"",'03_地点锚点'!A270,"")</f>
        <v/>
      </c>
      <c r="E770" s="14">
        <f>IF(F770&lt;&gt;"","综合校验","")</f>
        <v/>
      </c>
      <c r="F770" s="14">
        <f>IF('03_地点锚点'!A270&lt;&gt;"",IF('03_地点锚点'!A270="","缺少地点ID；","")&amp;IF('03_地点锚点'!B270="","缺少中文名称；","")&amp;IF('03_地点锚点'!D270="","缺少地点类型；","")&amp;IF('03_地点锚点'!G270="","缺少世界X；","")&amp;IF('03_地点锚点'!H270="","缺少世界Y；","")&amp;IF(AND('03_地点锚点'!G270&lt;&gt;"",OR('03_地点锚点'!G270&lt;0,'03_地点锚点'!G270&gt;WorldWidth)),"世界X越界；","")&amp;IF(AND('03_地点锚点'!H270&lt;&gt;"",OR('03_地点锚点'!H270&lt;0,'03_地点锚点'!H270&gt;WorldHeight)),"世界Y越界；","")&amp;IF(AND('03_地点锚点'!E270&lt;&gt;"",COUNTIF('02_固定地理'!$A$2:$A$501,'03_地点锚点'!E270)=0),"父级行政对象不存在；","")&amp;IF(AND('03_地点锚点'!F270&lt;&gt;"",COUNTIF('03_地点锚点'!$A$2:$A$501,'03_地点锚点'!F270)=0),"父级地点不存在；","")&amp;IF(AND('03_地点锚点'!A270&lt;&gt;"",COUNTIF('03_地点锚点'!$A$2:$A$501,'03_地点锚点'!A270)&gt;1),"ID重复；",""),"")</f>
        <v/>
      </c>
      <c r="G770" s="14">
        <f>IF(F770&lt;&gt;"","按字段批注、数据字典和来源记录修正后复核","")</f>
        <v/>
      </c>
      <c r="H770" s="14">
        <f>IF(F770&lt;&gt;"","待处理","")</f>
        <v/>
      </c>
    </row>
    <row r="771">
      <c r="A771" s="14">
        <f>IF(F771&lt;&gt;"","ISSUE-"&amp;TEXT(ROW()-1,"00000"),"")</f>
        <v/>
      </c>
      <c r="B771" s="14">
        <f>IF(F771&lt;&gt;"","错误","")</f>
        <v/>
      </c>
      <c r="C771" s="14">
        <f>IF('03_地点锚点'!A271&lt;&gt;"","03_地点锚点","")</f>
        <v/>
      </c>
      <c r="D771" s="14">
        <f>IF('03_地点锚点'!A271&lt;&gt;"",'03_地点锚点'!A271,"")</f>
        <v/>
      </c>
      <c r="E771" s="14">
        <f>IF(F771&lt;&gt;"","综合校验","")</f>
        <v/>
      </c>
      <c r="F771" s="14">
        <f>IF('03_地点锚点'!A271&lt;&gt;"",IF('03_地点锚点'!A271="","缺少地点ID；","")&amp;IF('03_地点锚点'!B271="","缺少中文名称；","")&amp;IF('03_地点锚点'!D271="","缺少地点类型；","")&amp;IF('03_地点锚点'!G271="","缺少世界X；","")&amp;IF('03_地点锚点'!H271="","缺少世界Y；","")&amp;IF(AND('03_地点锚点'!G271&lt;&gt;"",OR('03_地点锚点'!G271&lt;0,'03_地点锚点'!G271&gt;WorldWidth)),"世界X越界；","")&amp;IF(AND('03_地点锚点'!H271&lt;&gt;"",OR('03_地点锚点'!H271&lt;0,'03_地点锚点'!H271&gt;WorldHeight)),"世界Y越界；","")&amp;IF(AND('03_地点锚点'!E271&lt;&gt;"",COUNTIF('02_固定地理'!$A$2:$A$501,'03_地点锚点'!E271)=0),"父级行政对象不存在；","")&amp;IF(AND('03_地点锚点'!F271&lt;&gt;"",COUNTIF('03_地点锚点'!$A$2:$A$501,'03_地点锚点'!F271)=0),"父级地点不存在；","")&amp;IF(AND('03_地点锚点'!A271&lt;&gt;"",COUNTIF('03_地点锚点'!$A$2:$A$501,'03_地点锚点'!A271)&gt;1),"ID重复；",""),"")</f>
        <v/>
      </c>
      <c r="G771" s="14">
        <f>IF(F771&lt;&gt;"","按字段批注、数据字典和来源记录修正后复核","")</f>
        <v/>
      </c>
      <c r="H771" s="14">
        <f>IF(F771&lt;&gt;"","待处理","")</f>
        <v/>
      </c>
    </row>
    <row r="772">
      <c r="A772" s="14">
        <f>IF(F772&lt;&gt;"","ISSUE-"&amp;TEXT(ROW()-1,"00000"),"")</f>
        <v/>
      </c>
      <c r="B772" s="14">
        <f>IF(F772&lt;&gt;"","错误","")</f>
        <v/>
      </c>
      <c r="C772" s="14">
        <f>IF('03_地点锚点'!A272&lt;&gt;"","03_地点锚点","")</f>
        <v/>
      </c>
      <c r="D772" s="14">
        <f>IF('03_地点锚点'!A272&lt;&gt;"",'03_地点锚点'!A272,"")</f>
        <v/>
      </c>
      <c r="E772" s="14">
        <f>IF(F772&lt;&gt;"","综合校验","")</f>
        <v/>
      </c>
      <c r="F772" s="14">
        <f>IF('03_地点锚点'!A272&lt;&gt;"",IF('03_地点锚点'!A272="","缺少地点ID；","")&amp;IF('03_地点锚点'!B272="","缺少中文名称；","")&amp;IF('03_地点锚点'!D272="","缺少地点类型；","")&amp;IF('03_地点锚点'!G272="","缺少世界X；","")&amp;IF('03_地点锚点'!H272="","缺少世界Y；","")&amp;IF(AND('03_地点锚点'!G272&lt;&gt;"",OR('03_地点锚点'!G272&lt;0,'03_地点锚点'!G272&gt;WorldWidth)),"世界X越界；","")&amp;IF(AND('03_地点锚点'!H272&lt;&gt;"",OR('03_地点锚点'!H272&lt;0,'03_地点锚点'!H272&gt;WorldHeight)),"世界Y越界；","")&amp;IF(AND('03_地点锚点'!E272&lt;&gt;"",COUNTIF('02_固定地理'!$A$2:$A$501,'03_地点锚点'!E272)=0),"父级行政对象不存在；","")&amp;IF(AND('03_地点锚点'!F272&lt;&gt;"",COUNTIF('03_地点锚点'!$A$2:$A$501,'03_地点锚点'!F272)=0),"父级地点不存在；","")&amp;IF(AND('03_地点锚点'!A272&lt;&gt;"",COUNTIF('03_地点锚点'!$A$2:$A$501,'03_地点锚点'!A272)&gt;1),"ID重复；",""),"")</f>
        <v/>
      </c>
      <c r="G772" s="14">
        <f>IF(F772&lt;&gt;"","按字段批注、数据字典和来源记录修正后复核","")</f>
        <v/>
      </c>
      <c r="H772" s="14">
        <f>IF(F772&lt;&gt;"","待处理","")</f>
        <v/>
      </c>
    </row>
    <row r="773">
      <c r="A773" s="14">
        <f>IF(F773&lt;&gt;"","ISSUE-"&amp;TEXT(ROW()-1,"00000"),"")</f>
        <v/>
      </c>
      <c r="B773" s="14">
        <f>IF(F773&lt;&gt;"","错误","")</f>
        <v/>
      </c>
      <c r="C773" s="14">
        <f>IF('03_地点锚点'!A273&lt;&gt;"","03_地点锚点","")</f>
        <v/>
      </c>
      <c r="D773" s="14">
        <f>IF('03_地点锚点'!A273&lt;&gt;"",'03_地点锚点'!A273,"")</f>
        <v/>
      </c>
      <c r="E773" s="14">
        <f>IF(F773&lt;&gt;"","综合校验","")</f>
        <v/>
      </c>
      <c r="F773" s="14">
        <f>IF('03_地点锚点'!A273&lt;&gt;"",IF('03_地点锚点'!A273="","缺少地点ID；","")&amp;IF('03_地点锚点'!B273="","缺少中文名称；","")&amp;IF('03_地点锚点'!D273="","缺少地点类型；","")&amp;IF('03_地点锚点'!G273="","缺少世界X；","")&amp;IF('03_地点锚点'!H273="","缺少世界Y；","")&amp;IF(AND('03_地点锚点'!G273&lt;&gt;"",OR('03_地点锚点'!G273&lt;0,'03_地点锚点'!G273&gt;WorldWidth)),"世界X越界；","")&amp;IF(AND('03_地点锚点'!H273&lt;&gt;"",OR('03_地点锚点'!H273&lt;0,'03_地点锚点'!H273&gt;WorldHeight)),"世界Y越界；","")&amp;IF(AND('03_地点锚点'!E273&lt;&gt;"",COUNTIF('02_固定地理'!$A$2:$A$501,'03_地点锚点'!E273)=0),"父级行政对象不存在；","")&amp;IF(AND('03_地点锚点'!F273&lt;&gt;"",COUNTIF('03_地点锚点'!$A$2:$A$501,'03_地点锚点'!F273)=0),"父级地点不存在；","")&amp;IF(AND('03_地点锚点'!A273&lt;&gt;"",COUNTIF('03_地点锚点'!$A$2:$A$501,'03_地点锚点'!A273)&gt;1),"ID重复；",""),"")</f>
        <v/>
      </c>
      <c r="G773" s="14">
        <f>IF(F773&lt;&gt;"","按字段批注、数据字典和来源记录修正后复核","")</f>
        <v/>
      </c>
      <c r="H773" s="14">
        <f>IF(F773&lt;&gt;"","待处理","")</f>
        <v/>
      </c>
    </row>
    <row r="774">
      <c r="A774" s="14">
        <f>IF(F774&lt;&gt;"","ISSUE-"&amp;TEXT(ROW()-1,"00000"),"")</f>
        <v/>
      </c>
      <c r="B774" s="14">
        <f>IF(F774&lt;&gt;"","错误","")</f>
        <v/>
      </c>
      <c r="C774" s="14">
        <f>IF('03_地点锚点'!A274&lt;&gt;"","03_地点锚点","")</f>
        <v/>
      </c>
      <c r="D774" s="14">
        <f>IF('03_地点锚点'!A274&lt;&gt;"",'03_地点锚点'!A274,"")</f>
        <v/>
      </c>
      <c r="E774" s="14">
        <f>IF(F774&lt;&gt;"","综合校验","")</f>
        <v/>
      </c>
      <c r="F774" s="14">
        <f>IF('03_地点锚点'!A274&lt;&gt;"",IF('03_地点锚点'!A274="","缺少地点ID；","")&amp;IF('03_地点锚点'!B274="","缺少中文名称；","")&amp;IF('03_地点锚点'!D274="","缺少地点类型；","")&amp;IF('03_地点锚点'!G274="","缺少世界X；","")&amp;IF('03_地点锚点'!H274="","缺少世界Y；","")&amp;IF(AND('03_地点锚点'!G274&lt;&gt;"",OR('03_地点锚点'!G274&lt;0,'03_地点锚点'!G274&gt;WorldWidth)),"世界X越界；","")&amp;IF(AND('03_地点锚点'!H274&lt;&gt;"",OR('03_地点锚点'!H274&lt;0,'03_地点锚点'!H274&gt;WorldHeight)),"世界Y越界；","")&amp;IF(AND('03_地点锚点'!E274&lt;&gt;"",COUNTIF('02_固定地理'!$A$2:$A$501,'03_地点锚点'!E274)=0),"父级行政对象不存在；","")&amp;IF(AND('03_地点锚点'!F274&lt;&gt;"",COUNTIF('03_地点锚点'!$A$2:$A$501,'03_地点锚点'!F274)=0),"父级地点不存在；","")&amp;IF(AND('03_地点锚点'!A274&lt;&gt;"",COUNTIF('03_地点锚点'!$A$2:$A$501,'03_地点锚点'!A274)&gt;1),"ID重复；",""),"")</f>
        <v/>
      </c>
      <c r="G774" s="14">
        <f>IF(F774&lt;&gt;"","按字段批注、数据字典和来源记录修正后复核","")</f>
        <v/>
      </c>
      <c r="H774" s="14">
        <f>IF(F774&lt;&gt;"","待处理","")</f>
        <v/>
      </c>
    </row>
    <row r="775">
      <c r="A775" s="14">
        <f>IF(F775&lt;&gt;"","ISSUE-"&amp;TEXT(ROW()-1,"00000"),"")</f>
        <v/>
      </c>
      <c r="B775" s="14">
        <f>IF(F775&lt;&gt;"","错误","")</f>
        <v/>
      </c>
      <c r="C775" s="14">
        <f>IF('03_地点锚点'!A275&lt;&gt;"","03_地点锚点","")</f>
        <v/>
      </c>
      <c r="D775" s="14">
        <f>IF('03_地点锚点'!A275&lt;&gt;"",'03_地点锚点'!A275,"")</f>
        <v/>
      </c>
      <c r="E775" s="14">
        <f>IF(F775&lt;&gt;"","综合校验","")</f>
        <v/>
      </c>
      <c r="F775" s="14">
        <f>IF('03_地点锚点'!A275&lt;&gt;"",IF('03_地点锚点'!A275="","缺少地点ID；","")&amp;IF('03_地点锚点'!B275="","缺少中文名称；","")&amp;IF('03_地点锚点'!D275="","缺少地点类型；","")&amp;IF('03_地点锚点'!G275="","缺少世界X；","")&amp;IF('03_地点锚点'!H275="","缺少世界Y；","")&amp;IF(AND('03_地点锚点'!G275&lt;&gt;"",OR('03_地点锚点'!G275&lt;0,'03_地点锚点'!G275&gt;WorldWidth)),"世界X越界；","")&amp;IF(AND('03_地点锚点'!H275&lt;&gt;"",OR('03_地点锚点'!H275&lt;0,'03_地点锚点'!H275&gt;WorldHeight)),"世界Y越界；","")&amp;IF(AND('03_地点锚点'!E275&lt;&gt;"",COUNTIF('02_固定地理'!$A$2:$A$501,'03_地点锚点'!E275)=0),"父级行政对象不存在；","")&amp;IF(AND('03_地点锚点'!F275&lt;&gt;"",COUNTIF('03_地点锚点'!$A$2:$A$501,'03_地点锚点'!F275)=0),"父级地点不存在；","")&amp;IF(AND('03_地点锚点'!A275&lt;&gt;"",COUNTIF('03_地点锚点'!$A$2:$A$501,'03_地点锚点'!A275)&gt;1),"ID重复；",""),"")</f>
        <v/>
      </c>
      <c r="G775" s="14">
        <f>IF(F775&lt;&gt;"","按字段批注、数据字典和来源记录修正后复核","")</f>
        <v/>
      </c>
      <c r="H775" s="14">
        <f>IF(F775&lt;&gt;"","待处理","")</f>
        <v/>
      </c>
    </row>
    <row r="776">
      <c r="A776" s="14">
        <f>IF(F776&lt;&gt;"","ISSUE-"&amp;TEXT(ROW()-1,"00000"),"")</f>
        <v/>
      </c>
      <c r="B776" s="14">
        <f>IF(F776&lt;&gt;"","错误","")</f>
        <v/>
      </c>
      <c r="C776" s="14">
        <f>IF('03_地点锚点'!A276&lt;&gt;"","03_地点锚点","")</f>
        <v/>
      </c>
      <c r="D776" s="14">
        <f>IF('03_地点锚点'!A276&lt;&gt;"",'03_地点锚点'!A276,"")</f>
        <v/>
      </c>
      <c r="E776" s="14">
        <f>IF(F776&lt;&gt;"","综合校验","")</f>
        <v/>
      </c>
      <c r="F776" s="14">
        <f>IF('03_地点锚点'!A276&lt;&gt;"",IF('03_地点锚点'!A276="","缺少地点ID；","")&amp;IF('03_地点锚点'!B276="","缺少中文名称；","")&amp;IF('03_地点锚点'!D276="","缺少地点类型；","")&amp;IF('03_地点锚点'!G276="","缺少世界X；","")&amp;IF('03_地点锚点'!H276="","缺少世界Y；","")&amp;IF(AND('03_地点锚点'!G276&lt;&gt;"",OR('03_地点锚点'!G276&lt;0,'03_地点锚点'!G276&gt;WorldWidth)),"世界X越界；","")&amp;IF(AND('03_地点锚点'!H276&lt;&gt;"",OR('03_地点锚点'!H276&lt;0,'03_地点锚点'!H276&gt;WorldHeight)),"世界Y越界；","")&amp;IF(AND('03_地点锚点'!E276&lt;&gt;"",COUNTIF('02_固定地理'!$A$2:$A$501,'03_地点锚点'!E276)=0),"父级行政对象不存在；","")&amp;IF(AND('03_地点锚点'!F276&lt;&gt;"",COUNTIF('03_地点锚点'!$A$2:$A$501,'03_地点锚点'!F276)=0),"父级地点不存在；","")&amp;IF(AND('03_地点锚点'!A276&lt;&gt;"",COUNTIF('03_地点锚点'!$A$2:$A$501,'03_地点锚点'!A276)&gt;1),"ID重复；",""),"")</f>
        <v/>
      </c>
      <c r="G776" s="14">
        <f>IF(F776&lt;&gt;"","按字段批注、数据字典和来源记录修正后复核","")</f>
        <v/>
      </c>
      <c r="H776" s="14">
        <f>IF(F776&lt;&gt;"","待处理","")</f>
        <v/>
      </c>
    </row>
    <row r="777">
      <c r="A777" s="14">
        <f>IF(F777&lt;&gt;"","ISSUE-"&amp;TEXT(ROW()-1,"00000"),"")</f>
        <v/>
      </c>
      <c r="B777" s="14">
        <f>IF(F777&lt;&gt;"","错误","")</f>
        <v/>
      </c>
      <c r="C777" s="14">
        <f>IF('03_地点锚点'!A277&lt;&gt;"","03_地点锚点","")</f>
        <v/>
      </c>
      <c r="D777" s="14">
        <f>IF('03_地点锚点'!A277&lt;&gt;"",'03_地点锚点'!A277,"")</f>
        <v/>
      </c>
      <c r="E777" s="14">
        <f>IF(F777&lt;&gt;"","综合校验","")</f>
        <v/>
      </c>
      <c r="F777" s="14">
        <f>IF('03_地点锚点'!A277&lt;&gt;"",IF('03_地点锚点'!A277="","缺少地点ID；","")&amp;IF('03_地点锚点'!B277="","缺少中文名称；","")&amp;IF('03_地点锚点'!D277="","缺少地点类型；","")&amp;IF('03_地点锚点'!G277="","缺少世界X；","")&amp;IF('03_地点锚点'!H277="","缺少世界Y；","")&amp;IF(AND('03_地点锚点'!G277&lt;&gt;"",OR('03_地点锚点'!G277&lt;0,'03_地点锚点'!G277&gt;WorldWidth)),"世界X越界；","")&amp;IF(AND('03_地点锚点'!H277&lt;&gt;"",OR('03_地点锚点'!H277&lt;0,'03_地点锚点'!H277&gt;WorldHeight)),"世界Y越界；","")&amp;IF(AND('03_地点锚点'!E277&lt;&gt;"",COUNTIF('02_固定地理'!$A$2:$A$501,'03_地点锚点'!E277)=0),"父级行政对象不存在；","")&amp;IF(AND('03_地点锚点'!F277&lt;&gt;"",COUNTIF('03_地点锚点'!$A$2:$A$501,'03_地点锚点'!F277)=0),"父级地点不存在；","")&amp;IF(AND('03_地点锚点'!A277&lt;&gt;"",COUNTIF('03_地点锚点'!$A$2:$A$501,'03_地点锚点'!A277)&gt;1),"ID重复；",""),"")</f>
        <v/>
      </c>
      <c r="G777" s="14">
        <f>IF(F777&lt;&gt;"","按字段批注、数据字典和来源记录修正后复核","")</f>
        <v/>
      </c>
      <c r="H777" s="14">
        <f>IF(F777&lt;&gt;"","待处理","")</f>
        <v/>
      </c>
    </row>
    <row r="778">
      <c r="A778" s="14">
        <f>IF(F778&lt;&gt;"","ISSUE-"&amp;TEXT(ROW()-1,"00000"),"")</f>
        <v/>
      </c>
      <c r="B778" s="14">
        <f>IF(F778&lt;&gt;"","错误","")</f>
        <v/>
      </c>
      <c r="C778" s="14">
        <f>IF('03_地点锚点'!A278&lt;&gt;"","03_地点锚点","")</f>
        <v/>
      </c>
      <c r="D778" s="14">
        <f>IF('03_地点锚点'!A278&lt;&gt;"",'03_地点锚点'!A278,"")</f>
        <v/>
      </c>
      <c r="E778" s="14">
        <f>IF(F778&lt;&gt;"","综合校验","")</f>
        <v/>
      </c>
      <c r="F778" s="14">
        <f>IF('03_地点锚点'!A278&lt;&gt;"",IF('03_地点锚点'!A278="","缺少地点ID；","")&amp;IF('03_地点锚点'!B278="","缺少中文名称；","")&amp;IF('03_地点锚点'!D278="","缺少地点类型；","")&amp;IF('03_地点锚点'!G278="","缺少世界X；","")&amp;IF('03_地点锚点'!H278="","缺少世界Y；","")&amp;IF(AND('03_地点锚点'!G278&lt;&gt;"",OR('03_地点锚点'!G278&lt;0,'03_地点锚点'!G278&gt;WorldWidth)),"世界X越界；","")&amp;IF(AND('03_地点锚点'!H278&lt;&gt;"",OR('03_地点锚点'!H278&lt;0,'03_地点锚点'!H278&gt;WorldHeight)),"世界Y越界；","")&amp;IF(AND('03_地点锚点'!E278&lt;&gt;"",COUNTIF('02_固定地理'!$A$2:$A$501,'03_地点锚点'!E278)=0),"父级行政对象不存在；","")&amp;IF(AND('03_地点锚点'!F278&lt;&gt;"",COUNTIF('03_地点锚点'!$A$2:$A$501,'03_地点锚点'!F278)=0),"父级地点不存在；","")&amp;IF(AND('03_地点锚点'!A278&lt;&gt;"",COUNTIF('03_地点锚点'!$A$2:$A$501,'03_地点锚点'!A278)&gt;1),"ID重复；",""),"")</f>
        <v/>
      </c>
      <c r="G778" s="14">
        <f>IF(F778&lt;&gt;"","按字段批注、数据字典和来源记录修正后复核","")</f>
        <v/>
      </c>
      <c r="H778" s="14">
        <f>IF(F778&lt;&gt;"","待处理","")</f>
        <v/>
      </c>
    </row>
    <row r="779">
      <c r="A779" s="14">
        <f>IF(F779&lt;&gt;"","ISSUE-"&amp;TEXT(ROW()-1,"00000"),"")</f>
        <v/>
      </c>
      <c r="B779" s="14">
        <f>IF(F779&lt;&gt;"","错误","")</f>
        <v/>
      </c>
      <c r="C779" s="14">
        <f>IF('03_地点锚点'!A279&lt;&gt;"","03_地点锚点","")</f>
        <v/>
      </c>
      <c r="D779" s="14">
        <f>IF('03_地点锚点'!A279&lt;&gt;"",'03_地点锚点'!A279,"")</f>
        <v/>
      </c>
      <c r="E779" s="14">
        <f>IF(F779&lt;&gt;"","综合校验","")</f>
        <v/>
      </c>
      <c r="F779" s="14">
        <f>IF('03_地点锚点'!A279&lt;&gt;"",IF('03_地点锚点'!A279="","缺少地点ID；","")&amp;IF('03_地点锚点'!B279="","缺少中文名称；","")&amp;IF('03_地点锚点'!D279="","缺少地点类型；","")&amp;IF('03_地点锚点'!G279="","缺少世界X；","")&amp;IF('03_地点锚点'!H279="","缺少世界Y；","")&amp;IF(AND('03_地点锚点'!G279&lt;&gt;"",OR('03_地点锚点'!G279&lt;0,'03_地点锚点'!G279&gt;WorldWidth)),"世界X越界；","")&amp;IF(AND('03_地点锚点'!H279&lt;&gt;"",OR('03_地点锚点'!H279&lt;0,'03_地点锚点'!H279&gt;WorldHeight)),"世界Y越界；","")&amp;IF(AND('03_地点锚点'!E279&lt;&gt;"",COUNTIF('02_固定地理'!$A$2:$A$501,'03_地点锚点'!E279)=0),"父级行政对象不存在；","")&amp;IF(AND('03_地点锚点'!F279&lt;&gt;"",COUNTIF('03_地点锚点'!$A$2:$A$501,'03_地点锚点'!F279)=0),"父级地点不存在；","")&amp;IF(AND('03_地点锚点'!A279&lt;&gt;"",COUNTIF('03_地点锚点'!$A$2:$A$501,'03_地点锚点'!A279)&gt;1),"ID重复；",""),"")</f>
        <v/>
      </c>
      <c r="G779" s="14">
        <f>IF(F779&lt;&gt;"","按字段批注、数据字典和来源记录修正后复核","")</f>
        <v/>
      </c>
      <c r="H779" s="14">
        <f>IF(F779&lt;&gt;"","待处理","")</f>
        <v/>
      </c>
    </row>
    <row r="780">
      <c r="A780" s="14">
        <f>IF(F780&lt;&gt;"","ISSUE-"&amp;TEXT(ROW()-1,"00000"),"")</f>
        <v/>
      </c>
      <c r="B780" s="14">
        <f>IF(F780&lt;&gt;"","错误","")</f>
        <v/>
      </c>
      <c r="C780" s="14">
        <f>IF('03_地点锚点'!A280&lt;&gt;"","03_地点锚点","")</f>
        <v/>
      </c>
      <c r="D780" s="14">
        <f>IF('03_地点锚点'!A280&lt;&gt;"",'03_地点锚点'!A280,"")</f>
        <v/>
      </c>
      <c r="E780" s="14">
        <f>IF(F780&lt;&gt;"","综合校验","")</f>
        <v/>
      </c>
      <c r="F780" s="14">
        <f>IF('03_地点锚点'!A280&lt;&gt;"",IF('03_地点锚点'!A280="","缺少地点ID；","")&amp;IF('03_地点锚点'!B280="","缺少中文名称；","")&amp;IF('03_地点锚点'!D280="","缺少地点类型；","")&amp;IF('03_地点锚点'!G280="","缺少世界X；","")&amp;IF('03_地点锚点'!H280="","缺少世界Y；","")&amp;IF(AND('03_地点锚点'!G280&lt;&gt;"",OR('03_地点锚点'!G280&lt;0,'03_地点锚点'!G280&gt;WorldWidth)),"世界X越界；","")&amp;IF(AND('03_地点锚点'!H280&lt;&gt;"",OR('03_地点锚点'!H280&lt;0,'03_地点锚点'!H280&gt;WorldHeight)),"世界Y越界；","")&amp;IF(AND('03_地点锚点'!E280&lt;&gt;"",COUNTIF('02_固定地理'!$A$2:$A$501,'03_地点锚点'!E280)=0),"父级行政对象不存在；","")&amp;IF(AND('03_地点锚点'!F280&lt;&gt;"",COUNTIF('03_地点锚点'!$A$2:$A$501,'03_地点锚点'!F280)=0),"父级地点不存在；","")&amp;IF(AND('03_地点锚点'!A280&lt;&gt;"",COUNTIF('03_地点锚点'!$A$2:$A$501,'03_地点锚点'!A280)&gt;1),"ID重复；",""),"")</f>
        <v/>
      </c>
      <c r="G780" s="14">
        <f>IF(F780&lt;&gt;"","按字段批注、数据字典和来源记录修正后复核","")</f>
        <v/>
      </c>
      <c r="H780" s="14">
        <f>IF(F780&lt;&gt;"","待处理","")</f>
        <v/>
      </c>
    </row>
    <row r="781">
      <c r="A781" s="14">
        <f>IF(F781&lt;&gt;"","ISSUE-"&amp;TEXT(ROW()-1,"00000"),"")</f>
        <v/>
      </c>
      <c r="B781" s="14">
        <f>IF(F781&lt;&gt;"","错误","")</f>
        <v/>
      </c>
      <c r="C781" s="14">
        <f>IF('03_地点锚点'!A281&lt;&gt;"","03_地点锚点","")</f>
        <v/>
      </c>
      <c r="D781" s="14">
        <f>IF('03_地点锚点'!A281&lt;&gt;"",'03_地点锚点'!A281,"")</f>
        <v/>
      </c>
      <c r="E781" s="14">
        <f>IF(F781&lt;&gt;"","综合校验","")</f>
        <v/>
      </c>
      <c r="F781" s="14">
        <f>IF('03_地点锚点'!A281&lt;&gt;"",IF('03_地点锚点'!A281="","缺少地点ID；","")&amp;IF('03_地点锚点'!B281="","缺少中文名称；","")&amp;IF('03_地点锚点'!D281="","缺少地点类型；","")&amp;IF('03_地点锚点'!G281="","缺少世界X；","")&amp;IF('03_地点锚点'!H281="","缺少世界Y；","")&amp;IF(AND('03_地点锚点'!G281&lt;&gt;"",OR('03_地点锚点'!G281&lt;0,'03_地点锚点'!G281&gt;WorldWidth)),"世界X越界；","")&amp;IF(AND('03_地点锚点'!H281&lt;&gt;"",OR('03_地点锚点'!H281&lt;0,'03_地点锚点'!H281&gt;WorldHeight)),"世界Y越界；","")&amp;IF(AND('03_地点锚点'!E281&lt;&gt;"",COUNTIF('02_固定地理'!$A$2:$A$501,'03_地点锚点'!E281)=0),"父级行政对象不存在；","")&amp;IF(AND('03_地点锚点'!F281&lt;&gt;"",COUNTIF('03_地点锚点'!$A$2:$A$501,'03_地点锚点'!F281)=0),"父级地点不存在；","")&amp;IF(AND('03_地点锚点'!A281&lt;&gt;"",COUNTIF('03_地点锚点'!$A$2:$A$501,'03_地点锚点'!A281)&gt;1),"ID重复；",""),"")</f>
        <v/>
      </c>
      <c r="G781" s="14">
        <f>IF(F781&lt;&gt;"","按字段批注、数据字典和来源记录修正后复核","")</f>
        <v/>
      </c>
      <c r="H781" s="14">
        <f>IF(F781&lt;&gt;"","待处理","")</f>
        <v/>
      </c>
    </row>
    <row r="782">
      <c r="A782" s="14">
        <f>IF(F782&lt;&gt;"","ISSUE-"&amp;TEXT(ROW()-1,"00000"),"")</f>
        <v/>
      </c>
      <c r="B782" s="14">
        <f>IF(F782&lt;&gt;"","错误","")</f>
        <v/>
      </c>
      <c r="C782" s="14">
        <f>IF('03_地点锚点'!A282&lt;&gt;"","03_地点锚点","")</f>
        <v/>
      </c>
      <c r="D782" s="14">
        <f>IF('03_地点锚点'!A282&lt;&gt;"",'03_地点锚点'!A282,"")</f>
        <v/>
      </c>
      <c r="E782" s="14">
        <f>IF(F782&lt;&gt;"","综合校验","")</f>
        <v/>
      </c>
      <c r="F782" s="14">
        <f>IF('03_地点锚点'!A282&lt;&gt;"",IF('03_地点锚点'!A282="","缺少地点ID；","")&amp;IF('03_地点锚点'!B282="","缺少中文名称；","")&amp;IF('03_地点锚点'!D282="","缺少地点类型；","")&amp;IF('03_地点锚点'!G282="","缺少世界X；","")&amp;IF('03_地点锚点'!H282="","缺少世界Y；","")&amp;IF(AND('03_地点锚点'!G282&lt;&gt;"",OR('03_地点锚点'!G282&lt;0,'03_地点锚点'!G282&gt;WorldWidth)),"世界X越界；","")&amp;IF(AND('03_地点锚点'!H282&lt;&gt;"",OR('03_地点锚点'!H282&lt;0,'03_地点锚点'!H282&gt;WorldHeight)),"世界Y越界；","")&amp;IF(AND('03_地点锚点'!E282&lt;&gt;"",COUNTIF('02_固定地理'!$A$2:$A$501,'03_地点锚点'!E282)=0),"父级行政对象不存在；","")&amp;IF(AND('03_地点锚点'!F282&lt;&gt;"",COUNTIF('03_地点锚点'!$A$2:$A$501,'03_地点锚点'!F282)=0),"父级地点不存在；","")&amp;IF(AND('03_地点锚点'!A282&lt;&gt;"",COUNTIF('03_地点锚点'!$A$2:$A$501,'03_地点锚点'!A282)&gt;1),"ID重复；",""),"")</f>
        <v/>
      </c>
      <c r="G782" s="14">
        <f>IF(F782&lt;&gt;"","按字段批注、数据字典和来源记录修正后复核","")</f>
        <v/>
      </c>
      <c r="H782" s="14">
        <f>IF(F782&lt;&gt;"","待处理","")</f>
        <v/>
      </c>
    </row>
    <row r="783">
      <c r="A783" s="14">
        <f>IF(F783&lt;&gt;"","ISSUE-"&amp;TEXT(ROW()-1,"00000"),"")</f>
        <v/>
      </c>
      <c r="B783" s="14">
        <f>IF(F783&lt;&gt;"","错误","")</f>
        <v/>
      </c>
      <c r="C783" s="14">
        <f>IF('03_地点锚点'!A283&lt;&gt;"","03_地点锚点","")</f>
        <v/>
      </c>
      <c r="D783" s="14">
        <f>IF('03_地点锚点'!A283&lt;&gt;"",'03_地点锚点'!A283,"")</f>
        <v/>
      </c>
      <c r="E783" s="14">
        <f>IF(F783&lt;&gt;"","综合校验","")</f>
        <v/>
      </c>
      <c r="F783" s="14">
        <f>IF('03_地点锚点'!A283&lt;&gt;"",IF('03_地点锚点'!A283="","缺少地点ID；","")&amp;IF('03_地点锚点'!B283="","缺少中文名称；","")&amp;IF('03_地点锚点'!D283="","缺少地点类型；","")&amp;IF('03_地点锚点'!G283="","缺少世界X；","")&amp;IF('03_地点锚点'!H283="","缺少世界Y；","")&amp;IF(AND('03_地点锚点'!G283&lt;&gt;"",OR('03_地点锚点'!G283&lt;0,'03_地点锚点'!G283&gt;WorldWidth)),"世界X越界；","")&amp;IF(AND('03_地点锚点'!H283&lt;&gt;"",OR('03_地点锚点'!H283&lt;0,'03_地点锚点'!H283&gt;WorldHeight)),"世界Y越界；","")&amp;IF(AND('03_地点锚点'!E283&lt;&gt;"",COUNTIF('02_固定地理'!$A$2:$A$501,'03_地点锚点'!E283)=0),"父级行政对象不存在；","")&amp;IF(AND('03_地点锚点'!F283&lt;&gt;"",COUNTIF('03_地点锚点'!$A$2:$A$501,'03_地点锚点'!F283)=0),"父级地点不存在；","")&amp;IF(AND('03_地点锚点'!A283&lt;&gt;"",COUNTIF('03_地点锚点'!$A$2:$A$501,'03_地点锚点'!A283)&gt;1),"ID重复；",""),"")</f>
        <v/>
      </c>
      <c r="G783" s="14">
        <f>IF(F783&lt;&gt;"","按字段批注、数据字典和来源记录修正后复核","")</f>
        <v/>
      </c>
      <c r="H783" s="14">
        <f>IF(F783&lt;&gt;"","待处理","")</f>
        <v/>
      </c>
    </row>
    <row r="784">
      <c r="A784" s="14">
        <f>IF(F784&lt;&gt;"","ISSUE-"&amp;TEXT(ROW()-1,"00000"),"")</f>
        <v/>
      </c>
      <c r="B784" s="14">
        <f>IF(F784&lt;&gt;"","错误","")</f>
        <v/>
      </c>
      <c r="C784" s="14">
        <f>IF('03_地点锚点'!A284&lt;&gt;"","03_地点锚点","")</f>
        <v/>
      </c>
      <c r="D784" s="14">
        <f>IF('03_地点锚点'!A284&lt;&gt;"",'03_地点锚点'!A284,"")</f>
        <v/>
      </c>
      <c r="E784" s="14">
        <f>IF(F784&lt;&gt;"","综合校验","")</f>
        <v/>
      </c>
      <c r="F784" s="14">
        <f>IF('03_地点锚点'!A284&lt;&gt;"",IF('03_地点锚点'!A284="","缺少地点ID；","")&amp;IF('03_地点锚点'!B284="","缺少中文名称；","")&amp;IF('03_地点锚点'!D284="","缺少地点类型；","")&amp;IF('03_地点锚点'!G284="","缺少世界X；","")&amp;IF('03_地点锚点'!H284="","缺少世界Y；","")&amp;IF(AND('03_地点锚点'!G284&lt;&gt;"",OR('03_地点锚点'!G284&lt;0,'03_地点锚点'!G284&gt;WorldWidth)),"世界X越界；","")&amp;IF(AND('03_地点锚点'!H284&lt;&gt;"",OR('03_地点锚点'!H284&lt;0,'03_地点锚点'!H284&gt;WorldHeight)),"世界Y越界；","")&amp;IF(AND('03_地点锚点'!E284&lt;&gt;"",COUNTIF('02_固定地理'!$A$2:$A$501,'03_地点锚点'!E284)=0),"父级行政对象不存在；","")&amp;IF(AND('03_地点锚点'!F284&lt;&gt;"",COUNTIF('03_地点锚点'!$A$2:$A$501,'03_地点锚点'!F284)=0),"父级地点不存在；","")&amp;IF(AND('03_地点锚点'!A284&lt;&gt;"",COUNTIF('03_地点锚点'!$A$2:$A$501,'03_地点锚点'!A284)&gt;1),"ID重复；",""),"")</f>
        <v/>
      </c>
      <c r="G784" s="14">
        <f>IF(F784&lt;&gt;"","按字段批注、数据字典和来源记录修正后复核","")</f>
        <v/>
      </c>
      <c r="H784" s="14">
        <f>IF(F784&lt;&gt;"","待处理","")</f>
        <v/>
      </c>
    </row>
    <row r="785">
      <c r="A785" s="14">
        <f>IF(F785&lt;&gt;"","ISSUE-"&amp;TEXT(ROW()-1,"00000"),"")</f>
        <v/>
      </c>
      <c r="B785" s="14">
        <f>IF(F785&lt;&gt;"","错误","")</f>
        <v/>
      </c>
      <c r="C785" s="14">
        <f>IF('03_地点锚点'!A285&lt;&gt;"","03_地点锚点","")</f>
        <v/>
      </c>
      <c r="D785" s="14">
        <f>IF('03_地点锚点'!A285&lt;&gt;"",'03_地点锚点'!A285,"")</f>
        <v/>
      </c>
      <c r="E785" s="14">
        <f>IF(F785&lt;&gt;"","综合校验","")</f>
        <v/>
      </c>
      <c r="F785" s="14">
        <f>IF('03_地点锚点'!A285&lt;&gt;"",IF('03_地点锚点'!A285="","缺少地点ID；","")&amp;IF('03_地点锚点'!B285="","缺少中文名称；","")&amp;IF('03_地点锚点'!D285="","缺少地点类型；","")&amp;IF('03_地点锚点'!G285="","缺少世界X；","")&amp;IF('03_地点锚点'!H285="","缺少世界Y；","")&amp;IF(AND('03_地点锚点'!G285&lt;&gt;"",OR('03_地点锚点'!G285&lt;0,'03_地点锚点'!G285&gt;WorldWidth)),"世界X越界；","")&amp;IF(AND('03_地点锚点'!H285&lt;&gt;"",OR('03_地点锚点'!H285&lt;0,'03_地点锚点'!H285&gt;WorldHeight)),"世界Y越界；","")&amp;IF(AND('03_地点锚点'!E285&lt;&gt;"",COUNTIF('02_固定地理'!$A$2:$A$501,'03_地点锚点'!E285)=0),"父级行政对象不存在；","")&amp;IF(AND('03_地点锚点'!F285&lt;&gt;"",COUNTIF('03_地点锚点'!$A$2:$A$501,'03_地点锚点'!F285)=0),"父级地点不存在；","")&amp;IF(AND('03_地点锚点'!A285&lt;&gt;"",COUNTIF('03_地点锚点'!$A$2:$A$501,'03_地点锚点'!A285)&gt;1),"ID重复；",""),"")</f>
        <v/>
      </c>
      <c r="G785" s="14">
        <f>IF(F785&lt;&gt;"","按字段批注、数据字典和来源记录修正后复核","")</f>
        <v/>
      </c>
      <c r="H785" s="14">
        <f>IF(F785&lt;&gt;"","待处理","")</f>
        <v/>
      </c>
    </row>
    <row r="786">
      <c r="A786" s="14">
        <f>IF(F786&lt;&gt;"","ISSUE-"&amp;TEXT(ROW()-1,"00000"),"")</f>
        <v/>
      </c>
      <c r="B786" s="14">
        <f>IF(F786&lt;&gt;"","错误","")</f>
        <v/>
      </c>
      <c r="C786" s="14">
        <f>IF('03_地点锚点'!A286&lt;&gt;"","03_地点锚点","")</f>
        <v/>
      </c>
      <c r="D786" s="14">
        <f>IF('03_地点锚点'!A286&lt;&gt;"",'03_地点锚点'!A286,"")</f>
        <v/>
      </c>
      <c r="E786" s="14">
        <f>IF(F786&lt;&gt;"","综合校验","")</f>
        <v/>
      </c>
      <c r="F786" s="14">
        <f>IF('03_地点锚点'!A286&lt;&gt;"",IF('03_地点锚点'!A286="","缺少地点ID；","")&amp;IF('03_地点锚点'!B286="","缺少中文名称；","")&amp;IF('03_地点锚点'!D286="","缺少地点类型；","")&amp;IF('03_地点锚点'!G286="","缺少世界X；","")&amp;IF('03_地点锚点'!H286="","缺少世界Y；","")&amp;IF(AND('03_地点锚点'!G286&lt;&gt;"",OR('03_地点锚点'!G286&lt;0,'03_地点锚点'!G286&gt;WorldWidth)),"世界X越界；","")&amp;IF(AND('03_地点锚点'!H286&lt;&gt;"",OR('03_地点锚点'!H286&lt;0,'03_地点锚点'!H286&gt;WorldHeight)),"世界Y越界；","")&amp;IF(AND('03_地点锚点'!E286&lt;&gt;"",COUNTIF('02_固定地理'!$A$2:$A$501,'03_地点锚点'!E286)=0),"父级行政对象不存在；","")&amp;IF(AND('03_地点锚点'!F286&lt;&gt;"",COUNTIF('03_地点锚点'!$A$2:$A$501,'03_地点锚点'!F286)=0),"父级地点不存在；","")&amp;IF(AND('03_地点锚点'!A286&lt;&gt;"",COUNTIF('03_地点锚点'!$A$2:$A$501,'03_地点锚点'!A286)&gt;1),"ID重复；",""),"")</f>
        <v/>
      </c>
      <c r="G786" s="14">
        <f>IF(F786&lt;&gt;"","按字段批注、数据字典和来源记录修正后复核","")</f>
        <v/>
      </c>
      <c r="H786" s="14">
        <f>IF(F786&lt;&gt;"","待处理","")</f>
        <v/>
      </c>
    </row>
    <row r="787">
      <c r="A787" s="14">
        <f>IF(F787&lt;&gt;"","ISSUE-"&amp;TEXT(ROW()-1,"00000"),"")</f>
        <v/>
      </c>
      <c r="B787" s="14">
        <f>IF(F787&lt;&gt;"","错误","")</f>
        <v/>
      </c>
      <c r="C787" s="14">
        <f>IF('03_地点锚点'!A287&lt;&gt;"","03_地点锚点","")</f>
        <v/>
      </c>
      <c r="D787" s="14">
        <f>IF('03_地点锚点'!A287&lt;&gt;"",'03_地点锚点'!A287,"")</f>
        <v/>
      </c>
      <c r="E787" s="14">
        <f>IF(F787&lt;&gt;"","综合校验","")</f>
        <v/>
      </c>
      <c r="F787" s="14">
        <f>IF('03_地点锚点'!A287&lt;&gt;"",IF('03_地点锚点'!A287="","缺少地点ID；","")&amp;IF('03_地点锚点'!B287="","缺少中文名称；","")&amp;IF('03_地点锚点'!D287="","缺少地点类型；","")&amp;IF('03_地点锚点'!G287="","缺少世界X；","")&amp;IF('03_地点锚点'!H287="","缺少世界Y；","")&amp;IF(AND('03_地点锚点'!G287&lt;&gt;"",OR('03_地点锚点'!G287&lt;0,'03_地点锚点'!G287&gt;WorldWidth)),"世界X越界；","")&amp;IF(AND('03_地点锚点'!H287&lt;&gt;"",OR('03_地点锚点'!H287&lt;0,'03_地点锚点'!H287&gt;WorldHeight)),"世界Y越界；","")&amp;IF(AND('03_地点锚点'!E287&lt;&gt;"",COUNTIF('02_固定地理'!$A$2:$A$501,'03_地点锚点'!E287)=0),"父级行政对象不存在；","")&amp;IF(AND('03_地点锚点'!F287&lt;&gt;"",COUNTIF('03_地点锚点'!$A$2:$A$501,'03_地点锚点'!F287)=0),"父级地点不存在；","")&amp;IF(AND('03_地点锚点'!A287&lt;&gt;"",COUNTIF('03_地点锚点'!$A$2:$A$501,'03_地点锚点'!A287)&gt;1),"ID重复；",""),"")</f>
        <v/>
      </c>
      <c r="G787" s="14">
        <f>IF(F787&lt;&gt;"","按字段批注、数据字典和来源记录修正后复核","")</f>
        <v/>
      </c>
      <c r="H787" s="14">
        <f>IF(F787&lt;&gt;"","待处理","")</f>
        <v/>
      </c>
    </row>
    <row r="788">
      <c r="A788" s="14">
        <f>IF(F788&lt;&gt;"","ISSUE-"&amp;TEXT(ROW()-1,"00000"),"")</f>
        <v/>
      </c>
      <c r="B788" s="14">
        <f>IF(F788&lt;&gt;"","错误","")</f>
        <v/>
      </c>
      <c r="C788" s="14">
        <f>IF('03_地点锚点'!A288&lt;&gt;"","03_地点锚点","")</f>
        <v/>
      </c>
      <c r="D788" s="14">
        <f>IF('03_地点锚点'!A288&lt;&gt;"",'03_地点锚点'!A288,"")</f>
        <v/>
      </c>
      <c r="E788" s="14">
        <f>IF(F788&lt;&gt;"","综合校验","")</f>
        <v/>
      </c>
      <c r="F788" s="14">
        <f>IF('03_地点锚点'!A288&lt;&gt;"",IF('03_地点锚点'!A288="","缺少地点ID；","")&amp;IF('03_地点锚点'!B288="","缺少中文名称；","")&amp;IF('03_地点锚点'!D288="","缺少地点类型；","")&amp;IF('03_地点锚点'!G288="","缺少世界X；","")&amp;IF('03_地点锚点'!H288="","缺少世界Y；","")&amp;IF(AND('03_地点锚点'!G288&lt;&gt;"",OR('03_地点锚点'!G288&lt;0,'03_地点锚点'!G288&gt;WorldWidth)),"世界X越界；","")&amp;IF(AND('03_地点锚点'!H288&lt;&gt;"",OR('03_地点锚点'!H288&lt;0,'03_地点锚点'!H288&gt;WorldHeight)),"世界Y越界；","")&amp;IF(AND('03_地点锚点'!E288&lt;&gt;"",COUNTIF('02_固定地理'!$A$2:$A$501,'03_地点锚点'!E288)=0),"父级行政对象不存在；","")&amp;IF(AND('03_地点锚点'!F288&lt;&gt;"",COUNTIF('03_地点锚点'!$A$2:$A$501,'03_地点锚点'!F288)=0),"父级地点不存在；","")&amp;IF(AND('03_地点锚点'!A288&lt;&gt;"",COUNTIF('03_地点锚点'!$A$2:$A$501,'03_地点锚点'!A288)&gt;1),"ID重复；",""),"")</f>
        <v/>
      </c>
      <c r="G788" s="14">
        <f>IF(F788&lt;&gt;"","按字段批注、数据字典和来源记录修正后复核","")</f>
        <v/>
      </c>
      <c r="H788" s="14">
        <f>IF(F788&lt;&gt;"","待处理","")</f>
        <v/>
      </c>
    </row>
    <row r="789">
      <c r="A789" s="14">
        <f>IF(F789&lt;&gt;"","ISSUE-"&amp;TEXT(ROW()-1,"00000"),"")</f>
        <v/>
      </c>
      <c r="B789" s="14">
        <f>IF(F789&lt;&gt;"","错误","")</f>
        <v/>
      </c>
      <c r="C789" s="14">
        <f>IF('03_地点锚点'!A289&lt;&gt;"","03_地点锚点","")</f>
        <v/>
      </c>
      <c r="D789" s="14">
        <f>IF('03_地点锚点'!A289&lt;&gt;"",'03_地点锚点'!A289,"")</f>
        <v/>
      </c>
      <c r="E789" s="14">
        <f>IF(F789&lt;&gt;"","综合校验","")</f>
        <v/>
      </c>
      <c r="F789" s="14">
        <f>IF('03_地点锚点'!A289&lt;&gt;"",IF('03_地点锚点'!A289="","缺少地点ID；","")&amp;IF('03_地点锚点'!B289="","缺少中文名称；","")&amp;IF('03_地点锚点'!D289="","缺少地点类型；","")&amp;IF('03_地点锚点'!G289="","缺少世界X；","")&amp;IF('03_地点锚点'!H289="","缺少世界Y；","")&amp;IF(AND('03_地点锚点'!G289&lt;&gt;"",OR('03_地点锚点'!G289&lt;0,'03_地点锚点'!G289&gt;WorldWidth)),"世界X越界；","")&amp;IF(AND('03_地点锚点'!H289&lt;&gt;"",OR('03_地点锚点'!H289&lt;0,'03_地点锚点'!H289&gt;WorldHeight)),"世界Y越界；","")&amp;IF(AND('03_地点锚点'!E289&lt;&gt;"",COUNTIF('02_固定地理'!$A$2:$A$501,'03_地点锚点'!E289)=0),"父级行政对象不存在；","")&amp;IF(AND('03_地点锚点'!F289&lt;&gt;"",COUNTIF('03_地点锚点'!$A$2:$A$501,'03_地点锚点'!F289)=0),"父级地点不存在；","")&amp;IF(AND('03_地点锚点'!A289&lt;&gt;"",COUNTIF('03_地点锚点'!$A$2:$A$501,'03_地点锚点'!A289)&gt;1),"ID重复；",""),"")</f>
        <v/>
      </c>
      <c r="G789" s="14">
        <f>IF(F789&lt;&gt;"","按字段批注、数据字典和来源记录修正后复核","")</f>
        <v/>
      </c>
      <c r="H789" s="14">
        <f>IF(F789&lt;&gt;"","待处理","")</f>
        <v/>
      </c>
    </row>
    <row r="790">
      <c r="A790" s="14">
        <f>IF(F790&lt;&gt;"","ISSUE-"&amp;TEXT(ROW()-1,"00000"),"")</f>
        <v/>
      </c>
      <c r="B790" s="14">
        <f>IF(F790&lt;&gt;"","错误","")</f>
        <v/>
      </c>
      <c r="C790" s="14">
        <f>IF('03_地点锚点'!A290&lt;&gt;"","03_地点锚点","")</f>
        <v/>
      </c>
      <c r="D790" s="14">
        <f>IF('03_地点锚点'!A290&lt;&gt;"",'03_地点锚点'!A290,"")</f>
        <v/>
      </c>
      <c r="E790" s="14">
        <f>IF(F790&lt;&gt;"","综合校验","")</f>
        <v/>
      </c>
      <c r="F790" s="14">
        <f>IF('03_地点锚点'!A290&lt;&gt;"",IF('03_地点锚点'!A290="","缺少地点ID；","")&amp;IF('03_地点锚点'!B290="","缺少中文名称；","")&amp;IF('03_地点锚点'!D290="","缺少地点类型；","")&amp;IF('03_地点锚点'!G290="","缺少世界X；","")&amp;IF('03_地点锚点'!H290="","缺少世界Y；","")&amp;IF(AND('03_地点锚点'!G290&lt;&gt;"",OR('03_地点锚点'!G290&lt;0,'03_地点锚点'!G290&gt;WorldWidth)),"世界X越界；","")&amp;IF(AND('03_地点锚点'!H290&lt;&gt;"",OR('03_地点锚点'!H290&lt;0,'03_地点锚点'!H290&gt;WorldHeight)),"世界Y越界；","")&amp;IF(AND('03_地点锚点'!E290&lt;&gt;"",COUNTIF('02_固定地理'!$A$2:$A$501,'03_地点锚点'!E290)=0),"父级行政对象不存在；","")&amp;IF(AND('03_地点锚点'!F290&lt;&gt;"",COUNTIF('03_地点锚点'!$A$2:$A$501,'03_地点锚点'!F290)=0),"父级地点不存在；","")&amp;IF(AND('03_地点锚点'!A290&lt;&gt;"",COUNTIF('03_地点锚点'!$A$2:$A$501,'03_地点锚点'!A290)&gt;1),"ID重复；",""),"")</f>
        <v/>
      </c>
      <c r="G790" s="14">
        <f>IF(F790&lt;&gt;"","按字段批注、数据字典和来源记录修正后复核","")</f>
        <v/>
      </c>
      <c r="H790" s="14">
        <f>IF(F790&lt;&gt;"","待处理","")</f>
        <v/>
      </c>
    </row>
    <row r="791">
      <c r="A791" s="14">
        <f>IF(F791&lt;&gt;"","ISSUE-"&amp;TEXT(ROW()-1,"00000"),"")</f>
        <v/>
      </c>
      <c r="B791" s="14">
        <f>IF(F791&lt;&gt;"","错误","")</f>
        <v/>
      </c>
      <c r="C791" s="14">
        <f>IF('03_地点锚点'!A291&lt;&gt;"","03_地点锚点","")</f>
        <v/>
      </c>
      <c r="D791" s="14">
        <f>IF('03_地点锚点'!A291&lt;&gt;"",'03_地点锚点'!A291,"")</f>
        <v/>
      </c>
      <c r="E791" s="14">
        <f>IF(F791&lt;&gt;"","综合校验","")</f>
        <v/>
      </c>
      <c r="F791" s="14">
        <f>IF('03_地点锚点'!A291&lt;&gt;"",IF('03_地点锚点'!A291="","缺少地点ID；","")&amp;IF('03_地点锚点'!B291="","缺少中文名称；","")&amp;IF('03_地点锚点'!D291="","缺少地点类型；","")&amp;IF('03_地点锚点'!G291="","缺少世界X；","")&amp;IF('03_地点锚点'!H291="","缺少世界Y；","")&amp;IF(AND('03_地点锚点'!G291&lt;&gt;"",OR('03_地点锚点'!G291&lt;0,'03_地点锚点'!G291&gt;WorldWidth)),"世界X越界；","")&amp;IF(AND('03_地点锚点'!H291&lt;&gt;"",OR('03_地点锚点'!H291&lt;0,'03_地点锚点'!H291&gt;WorldHeight)),"世界Y越界；","")&amp;IF(AND('03_地点锚点'!E291&lt;&gt;"",COUNTIF('02_固定地理'!$A$2:$A$501,'03_地点锚点'!E291)=0),"父级行政对象不存在；","")&amp;IF(AND('03_地点锚点'!F291&lt;&gt;"",COUNTIF('03_地点锚点'!$A$2:$A$501,'03_地点锚点'!F291)=0),"父级地点不存在；","")&amp;IF(AND('03_地点锚点'!A291&lt;&gt;"",COUNTIF('03_地点锚点'!$A$2:$A$501,'03_地点锚点'!A291)&gt;1),"ID重复；",""),"")</f>
        <v/>
      </c>
      <c r="G791" s="14">
        <f>IF(F791&lt;&gt;"","按字段批注、数据字典和来源记录修正后复核","")</f>
        <v/>
      </c>
      <c r="H791" s="14">
        <f>IF(F791&lt;&gt;"","待处理","")</f>
        <v/>
      </c>
    </row>
    <row r="792">
      <c r="A792" s="14">
        <f>IF(F792&lt;&gt;"","ISSUE-"&amp;TEXT(ROW()-1,"00000"),"")</f>
        <v/>
      </c>
      <c r="B792" s="14">
        <f>IF(F792&lt;&gt;"","错误","")</f>
        <v/>
      </c>
      <c r="C792" s="14">
        <f>IF('03_地点锚点'!A292&lt;&gt;"","03_地点锚点","")</f>
        <v/>
      </c>
      <c r="D792" s="14">
        <f>IF('03_地点锚点'!A292&lt;&gt;"",'03_地点锚点'!A292,"")</f>
        <v/>
      </c>
      <c r="E792" s="14">
        <f>IF(F792&lt;&gt;"","综合校验","")</f>
        <v/>
      </c>
      <c r="F792" s="14">
        <f>IF('03_地点锚点'!A292&lt;&gt;"",IF('03_地点锚点'!A292="","缺少地点ID；","")&amp;IF('03_地点锚点'!B292="","缺少中文名称；","")&amp;IF('03_地点锚点'!D292="","缺少地点类型；","")&amp;IF('03_地点锚点'!G292="","缺少世界X；","")&amp;IF('03_地点锚点'!H292="","缺少世界Y；","")&amp;IF(AND('03_地点锚点'!G292&lt;&gt;"",OR('03_地点锚点'!G292&lt;0,'03_地点锚点'!G292&gt;WorldWidth)),"世界X越界；","")&amp;IF(AND('03_地点锚点'!H292&lt;&gt;"",OR('03_地点锚点'!H292&lt;0,'03_地点锚点'!H292&gt;WorldHeight)),"世界Y越界；","")&amp;IF(AND('03_地点锚点'!E292&lt;&gt;"",COUNTIF('02_固定地理'!$A$2:$A$501,'03_地点锚点'!E292)=0),"父级行政对象不存在；","")&amp;IF(AND('03_地点锚点'!F292&lt;&gt;"",COUNTIF('03_地点锚点'!$A$2:$A$501,'03_地点锚点'!F292)=0),"父级地点不存在；","")&amp;IF(AND('03_地点锚点'!A292&lt;&gt;"",COUNTIF('03_地点锚点'!$A$2:$A$501,'03_地点锚点'!A292)&gt;1),"ID重复；",""),"")</f>
        <v/>
      </c>
      <c r="G792" s="14">
        <f>IF(F792&lt;&gt;"","按字段批注、数据字典和来源记录修正后复核","")</f>
        <v/>
      </c>
      <c r="H792" s="14">
        <f>IF(F792&lt;&gt;"","待处理","")</f>
        <v/>
      </c>
    </row>
    <row r="793">
      <c r="A793" s="14">
        <f>IF(F793&lt;&gt;"","ISSUE-"&amp;TEXT(ROW()-1,"00000"),"")</f>
        <v/>
      </c>
      <c r="B793" s="14">
        <f>IF(F793&lt;&gt;"","错误","")</f>
        <v/>
      </c>
      <c r="C793" s="14">
        <f>IF('03_地点锚点'!A293&lt;&gt;"","03_地点锚点","")</f>
        <v/>
      </c>
      <c r="D793" s="14">
        <f>IF('03_地点锚点'!A293&lt;&gt;"",'03_地点锚点'!A293,"")</f>
        <v/>
      </c>
      <c r="E793" s="14">
        <f>IF(F793&lt;&gt;"","综合校验","")</f>
        <v/>
      </c>
      <c r="F793" s="14">
        <f>IF('03_地点锚点'!A293&lt;&gt;"",IF('03_地点锚点'!A293="","缺少地点ID；","")&amp;IF('03_地点锚点'!B293="","缺少中文名称；","")&amp;IF('03_地点锚点'!D293="","缺少地点类型；","")&amp;IF('03_地点锚点'!G293="","缺少世界X；","")&amp;IF('03_地点锚点'!H293="","缺少世界Y；","")&amp;IF(AND('03_地点锚点'!G293&lt;&gt;"",OR('03_地点锚点'!G293&lt;0,'03_地点锚点'!G293&gt;WorldWidth)),"世界X越界；","")&amp;IF(AND('03_地点锚点'!H293&lt;&gt;"",OR('03_地点锚点'!H293&lt;0,'03_地点锚点'!H293&gt;WorldHeight)),"世界Y越界；","")&amp;IF(AND('03_地点锚点'!E293&lt;&gt;"",COUNTIF('02_固定地理'!$A$2:$A$501,'03_地点锚点'!E293)=0),"父级行政对象不存在；","")&amp;IF(AND('03_地点锚点'!F293&lt;&gt;"",COUNTIF('03_地点锚点'!$A$2:$A$501,'03_地点锚点'!F293)=0),"父级地点不存在；","")&amp;IF(AND('03_地点锚点'!A293&lt;&gt;"",COUNTIF('03_地点锚点'!$A$2:$A$501,'03_地点锚点'!A293)&gt;1),"ID重复；",""),"")</f>
        <v/>
      </c>
      <c r="G793" s="14">
        <f>IF(F793&lt;&gt;"","按字段批注、数据字典和来源记录修正后复核","")</f>
        <v/>
      </c>
      <c r="H793" s="14">
        <f>IF(F793&lt;&gt;"","待处理","")</f>
        <v/>
      </c>
    </row>
    <row r="794">
      <c r="A794" s="14">
        <f>IF(F794&lt;&gt;"","ISSUE-"&amp;TEXT(ROW()-1,"00000"),"")</f>
        <v/>
      </c>
      <c r="B794" s="14">
        <f>IF(F794&lt;&gt;"","错误","")</f>
        <v/>
      </c>
      <c r="C794" s="14">
        <f>IF('03_地点锚点'!A294&lt;&gt;"","03_地点锚点","")</f>
        <v/>
      </c>
      <c r="D794" s="14">
        <f>IF('03_地点锚点'!A294&lt;&gt;"",'03_地点锚点'!A294,"")</f>
        <v/>
      </c>
      <c r="E794" s="14">
        <f>IF(F794&lt;&gt;"","综合校验","")</f>
        <v/>
      </c>
      <c r="F794" s="14">
        <f>IF('03_地点锚点'!A294&lt;&gt;"",IF('03_地点锚点'!A294="","缺少地点ID；","")&amp;IF('03_地点锚点'!B294="","缺少中文名称；","")&amp;IF('03_地点锚点'!D294="","缺少地点类型；","")&amp;IF('03_地点锚点'!G294="","缺少世界X；","")&amp;IF('03_地点锚点'!H294="","缺少世界Y；","")&amp;IF(AND('03_地点锚点'!G294&lt;&gt;"",OR('03_地点锚点'!G294&lt;0,'03_地点锚点'!G294&gt;WorldWidth)),"世界X越界；","")&amp;IF(AND('03_地点锚点'!H294&lt;&gt;"",OR('03_地点锚点'!H294&lt;0,'03_地点锚点'!H294&gt;WorldHeight)),"世界Y越界；","")&amp;IF(AND('03_地点锚点'!E294&lt;&gt;"",COUNTIF('02_固定地理'!$A$2:$A$501,'03_地点锚点'!E294)=0),"父级行政对象不存在；","")&amp;IF(AND('03_地点锚点'!F294&lt;&gt;"",COUNTIF('03_地点锚点'!$A$2:$A$501,'03_地点锚点'!F294)=0),"父级地点不存在；","")&amp;IF(AND('03_地点锚点'!A294&lt;&gt;"",COUNTIF('03_地点锚点'!$A$2:$A$501,'03_地点锚点'!A294)&gt;1),"ID重复；",""),"")</f>
        <v/>
      </c>
      <c r="G794" s="14">
        <f>IF(F794&lt;&gt;"","按字段批注、数据字典和来源记录修正后复核","")</f>
        <v/>
      </c>
      <c r="H794" s="14">
        <f>IF(F794&lt;&gt;"","待处理","")</f>
        <v/>
      </c>
    </row>
    <row r="795">
      <c r="A795" s="14">
        <f>IF(F795&lt;&gt;"","ISSUE-"&amp;TEXT(ROW()-1,"00000"),"")</f>
        <v/>
      </c>
      <c r="B795" s="14">
        <f>IF(F795&lt;&gt;"","错误","")</f>
        <v/>
      </c>
      <c r="C795" s="14">
        <f>IF('03_地点锚点'!A295&lt;&gt;"","03_地点锚点","")</f>
        <v/>
      </c>
      <c r="D795" s="14">
        <f>IF('03_地点锚点'!A295&lt;&gt;"",'03_地点锚点'!A295,"")</f>
        <v/>
      </c>
      <c r="E795" s="14">
        <f>IF(F795&lt;&gt;"","综合校验","")</f>
        <v/>
      </c>
      <c r="F795" s="14">
        <f>IF('03_地点锚点'!A295&lt;&gt;"",IF('03_地点锚点'!A295="","缺少地点ID；","")&amp;IF('03_地点锚点'!B295="","缺少中文名称；","")&amp;IF('03_地点锚点'!D295="","缺少地点类型；","")&amp;IF('03_地点锚点'!G295="","缺少世界X；","")&amp;IF('03_地点锚点'!H295="","缺少世界Y；","")&amp;IF(AND('03_地点锚点'!G295&lt;&gt;"",OR('03_地点锚点'!G295&lt;0,'03_地点锚点'!G295&gt;WorldWidth)),"世界X越界；","")&amp;IF(AND('03_地点锚点'!H295&lt;&gt;"",OR('03_地点锚点'!H295&lt;0,'03_地点锚点'!H295&gt;WorldHeight)),"世界Y越界；","")&amp;IF(AND('03_地点锚点'!E295&lt;&gt;"",COUNTIF('02_固定地理'!$A$2:$A$501,'03_地点锚点'!E295)=0),"父级行政对象不存在；","")&amp;IF(AND('03_地点锚点'!F295&lt;&gt;"",COUNTIF('03_地点锚点'!$A$2:$A$501,'03_地点锚点'!F295)=0),"父级地点不存在；","")&amp;IF(AND('03_地点锚点'!A295&lt;&gt;"",COUNTIF('03_地点锚点'!$A$2:$A$501,'03_地点锚点'!A295)&gt;1),"ID重复；",""),"")</f>
        <v/>
      </c>
      <c r="G795" s="14">
        <f>IF(F795&lt;&gt;"","按字段批注、数据字典和来源记录修正后复核","")</f>
        <v/>
      </c>
      <c r="H795" s="14">
        <f>IF(F795&lt;&gt;"","待处理","")</f>
        <v/>
      </c>
    </row>
    <row r="796">
      <c r="A796" s="14">
        <f>IF(F796&lt;&gt;"","ISSUE-"&amp;TEXT(ROW()-1,"00000"),"")</f>
        <v/>
      </c>
      <c r="B796" s="14">
        <f>IF(F796&lt;&gt;"","错误","")</f>
        <v/>
      </c>
      <c r="C796" s="14">
        <f>IF('03_地点锚点'!A296&lt;&gt;"","03_地点锚点","")</f>
        <v/>
      </c>
      <c r="D796" s="14">
        <f>IF('03_地点锚点'!A296&lt;&gt;"",'03_地点锚点'!A296,"")</f>
        <v/>
      </c>
      <c r="E796" s="14">
        <f>IF(F796&lt;&gt;"","综合校验","")</f>
        <v/>
      </c>
      <c r="F796" s="14">
        <f>IF('03_地点锚点'!A296&lt;&gt;"",IF('03_地点锚点'!A296="","缺少地点ID；","")&amp;IF('03_地点锚点'!B296="","缺少中文名称；","")&amp;IF('03_地点锚点'!D296="","缺少地点类型；","")&amp;IF('03_地点锚点'!G296="","缺少世界X；","")&amp;IF('03_地点锚点'!H296="","缺少世界Y；","")&amp;IF(AND('03_地点锚点'!G296&lt;&gt;"",OR('03_地点锚点'!G296&lt;0,'03_地点锚点'!G296&gt;WorldWidth)),"世界X越界；","")&amp;IF(AND('03_地点锚点'!H296&lt;&gt;"",OR('03_地点锚点'!H296&lt;0,'03_地点锚点'!H296&gt;WorldHeight)),"世界Y越界；","")&amp;IF(AND('03_地点锚点'!E296&lt;&gt;"",COUNTIF('02_固定地理'!$A$2:$A$501,'03_地点锚点'!E296)=0),"父级行政对象不存在；","")&amp;IF(AND('03_地点锚点'!F296&lt;&gt;"",COUNTIF('03_地点锚点'!$A$2:$A$501,'03_地点锚点'!F296)=0),"父级地点不存在；","")&amp;IF(AND('03_地点锚点'!A296&lt;&gt;"",COUNTIF('03_地点锚点'!$A$2:$A$501,'03_地点锚点'!A296)&gt;1),"ID重复；",""),"")</f>
        <v/>
      </c>
      <c r="G796" s="14">
        <f>IF(F796&lt;&gt;"","按字段批注、数据字典和来源记录修正后复核","")</f>
        <v/>
      </c>
      <c r="H796" s="14">
        <f>IF(F796&lt;&gt;"","待处理","")</f>
        <v/>
      </c>
    </row>
    <row r="797">
      <c r="A797" s="14">
        <f>IF(F797&lt;&gt;"","ISSUE-"&amp;TEXT(ROW()-1,"00000"),"")</f>
        <v/>
      </c>
      <c r="B797" s="14">
        <f>IF(F797&lt;&gt;"","错误","")</f>
        <v/>
      </c>
      <c r="C797" s="14">
        <f>IF('03_地点锚点'!A297&lt;&gt;"","03_地点锚点","")</f>
        <v/>
      </c>
      <c r="D797" s="14">
        <f>IF('03_地点锚点'!A297&lt;&gt;"",'03_地点锚点'!A297,"")</f>
        <v/>
      </c>
      <c r="E797" s="14">
        <f>IF(F797&lt;&gt;"","综合校验","")</f>
        <v/>
      </c>
      <c r="F797" s="14">
        <f>IF('03_地点锚点'!A297&lt;&gt;"",IF('03_地点锚点'!A297="","缺少地点ID；","")&amp;IF('03_地点锚点'!B297="","缺少中文名称；","")&amp;IF('03_地点锚点'!D297="","缺少地点类型；","")&amp;IF('03_地点锚点'!G297="","缺少世界X；","")&amp;IF('03_地点锚点'!H297="","缺少世界Y；","")&amp;IF(AND('03_地点锚点'!G297&lt;&gt;"",OR('03_地点锚点'!G297&lt;0,'03_地点锚点'!G297&gt;WorldWidth)),"世界X越界；","")&amp;IF(AND('03_地点锚点'!H297&lt;&gt;"",OR('03_地点锚点'!H297&lt;0,'03_地点锚点'!H297&gt;WorldHeight)),"世界Y越界；","")&amp;IF(AND('03_地点锚点'!E297&lt;&gt;"",COUNTIF('02_固定地理'!$A$2:$A$501,'03_地点锚点'!E297)=0),"父级行政对象不存在；","")&amp;IF(AND('03_地点锚点'!F297&lt;&gt;"",COUNTIF('03_地点锚点'!$A$2:$A$501,'03_地点锚点'!F297)=0),"父级地点不存在；","")&amp;IF(AND('03_地点锚点'!A297&lt;&gt;"",COUNTIF('03_地点锚点'!$A$2:$A$501,'03_地点锚点'!A297)&gt;1),"ID重复；",""),"")</f>
        <v/>
      </c>
      <c r="G797" s="14">
        <f>IF(F797&lt;&gt;"","按字段批注、数据字典和来源记录修正后复核","")</f>
        <v/>
      </c>
      <c r="H797" s="14">
        <f>IF(F797&lt;&gt;"","待处理","")</f>
        <v/>
      </c>
    </row>
    <row r="798">
      <c r="A798" s="14">
        <f>IF(F798&lt;&gt;"","ISSUE-"&amp;TEXT(ROW()-1,"00000"),"")</f>
        <v/>
      </c>
      <c r="B798" s="14">
        <f>IF(F798&lt;&gt;"","错误","")</f>
        <v/>
      </c>
      <c r="C798" s="14">
        <f>IF('03_地点锚点'!A298&lt;&gt;"","03_地点锚点","")</f>
        <v/>
      </c>
      <c r="D798" s="14">
        <f>IF('03_地点锚点'!A298&lt;&gt;"",'03_地点锚点'!A298,"")</f>
        <v/>
      </c>
      <c r="E798" s="14">
        <f>IF(F798&lt;&gt;"","综合校验","")</f>
        <v/>
      </c>
      <c r="F798" s="14">
        <f>IF('03_地点锚点'!A298&lt;&gt;"",IF('03_地点锚点'!A298="","缺少地点ID；","")&amp;IF('03_地点锚点'!B298="","缺少中文名称；","")&amp;IF('03_地点锚点'!D298="","缺少地点类型；","")&amp;IF('03_地点锚点'!G298="","缺少世界X；","")&amp;IF('03_地点锚点'!H298="","缺少世界Y；","")&amp;IF(AND('03_地点锚点'!G298&lt;&gt;"",OR('03_地点锚点'!G298&lt;0,'03_地点锚点'!G298&gt;WorldWidth)),"世界X越界；","")&amp;IF(AND('03_地点锚点'!H298&lt;&gt;"",OR('03_地点锚点'!H298&lt;0,'03_地点锚点'!H298&gt;WorldHeight)),"世界Y越界；","")&amp;IF(AND('03_地点锚点'!E298&lt;&gt;"",COUNTIF('02_固定地理'!$A$2:$A$501,'03_地点锚点'!E298)=0),"父级行政对象不存在；","")&amp;IF(AND('03_地点锚点'!F298&lt;&gt;"",COUNTIF('03_地点锚点'!$A$2:$A$501,'03_地点锚点'!F298)=0),"父级地点不存在；","")&amp;IF(AND('03_地点锚点'!A298&lt;&gt;"",COUNTIF('03_地点锚点'!$A$2:$A$501,'03_地点锚点'!A298)&gt;1),"ID重复；",""),"")</f>
        <v/>
      </c>
      <c r="G798" s="14">
        <f>IF(F798&lt;&gt;"","按字段批注、数据字典和来源记录修正后复核","")</f>
        <v/>
      </c>
      <c r="H798" s="14">
        <f>IF(F798&lt;&gt;"","待处理","")</f>
        <v/>
      </c>
    </row>
    <row r="799">
      <c r="A799" s="14">
        <f>IF(F799&lt;&gt;"","ISSUE-"&amp;TEXT(ROW()-1,"00000"),"")</f>
        <v/>
      </c>
      <c r="B799" s="14">
        <f>IF(F799&lt;&gt;"","错误","")</f>
        <v/>
      </c>
      <c r="C799" s="14">
        <f>IF('03_地点锚点'!A299&lt;&gt;"","03_地点锚点","")</f>
        <v/>
      </c>
      <c r="D799" s="14">
        <f>IF('03_地点锚点'!A299&lt;&gt;"",'03_地点锚点'!A299,"")</f>
        <v/>
      </c>
      <c r="E799" s="14">
        <f>IF(F799&lt;&gt;"","综合校验","")</f>
        <v/>
      </c>
      <c r="F799" s="14">
        <f>IF('03_地点锚点'!A299&lt;&gt;"",IF('03_地点锚点'!A299="","缺少地点ID；","")&amp;IF('03_地点锚点'!B299="","缺少中文名称；","")&amp;IF('03_地点锚点'!D299="","缺少地点类型；","")&amp;IF('03_地点锚点'!G299="","缺少世界X；","")&amp;IF('03_地点锚点'!H299="","缺少世界Y；","")&amp;IF(AND('03_地点锚点'!G299&lt;&gt;"",OR('03_地点锚点'!G299&lt;0,'03_地点锚点'!G299&gt;WorldWidth)),"世界X越界；","")&amp;IF(AND('03_地点锚点'!H299&lt;&gt;"",OR('03_地点锚点'!H299&lt;0,'03_地点锚点'!H299&gt;WorldHeight)),"世界Y越界；","")&amp;IF(AND('03_地点锚点'!E299&lt;&gt;"",COUNTIF('02_固定地理'!$A$2:$A$501,'03_地点锚点'!E299)=0),"父级行政对象不存在；","")&amp;IF(AND('03_地点锚点'!F299&lt;&gt;"",COUNTIF('03_地点锚点'!$A$2:$A$501,'03_地点锚点'!F299)=0),"父级地点不存在；","")&amp;IF(AND('03_地点锚点'!A299&lt;&gt;"",COUNTIF('03_地点锚点'!$A$2:$A$501,'03_地点锚点'!A299)&gt;1),"ID重复；",""),"")</f>
        <v/>
      </c>
      <c r="G799" s="14">
        <f>IF(F799&lt;&gt;"","按字段批注、数据字典和来源记录修正后复核","")</f>
        <v/>
      </c>
      <c r="H799" s="14">
        <f>IF(F799&lt;&gt;"","待处理","")</f>
        <v/>
      </c>
    </row>
    <row r="800">
      <c r="A800" s="14">
        <f>IF(F800&lt;&gt;"","ISSUE-"&amp;TEXT(ROW()-1,"00000"),"")</f>
        <v/>
      </c>
      <c r="B800" s="14">
        <f>IF(F800&lt;&gt;"","错误","")</f>
        <v/>
      </c>
      <c r="C800" s="14">
        <f>IF('03_地点锚点'!A300&lt;&gt;"","03_地点锚点","")</f>
        <v/>
      </c>
      <c r="D800" s="14">
        <f>IF('03_地点锚点'!A300&lt;&gt;"",'03_地点锚点'!A300,"")</f>
        <v/>
      </c>
      <c r="E800" s="14">
        <f>IF(F800&lt;&gt;"","综合校验","")</f>
        <v/>
      </c>
      <c r="F800" s="14">
        <f>IF('03_地点锚点'!A300&lt;&gt;"",IF('03_地点锚点'!A300="","缺少地点ID；","")&amp;IF('03_地点锚点'!B300="","缺少中文名称；","")&amp;IF('03_地点锚点'!D300="","缺少地点类型；","")&amp;IF('03_地点锚点'!G300="","缺少世界X；","")&amp;IF('03_地点锚点'!H300="","缺少世界Y；","")&amp;IF(AND('03_地点锚点'!G300&lt;&gt;"",OR('03_地点锚点'!G300&lt;0,'03_地点锚点'!G300&gt;WorldWidth)),"世界X越界；","")&amp;IF(AND('03_地点锚点'!H300&lt;&gt;"",OR('03_地点锚点'!H300&lt;0,'03_地点锚点'!H300&gt;WorldHeight)),"世界Y越界；","")&amp;IF(AND('03_地点锚点'!E300&lt;&gt;"",COUNTIF('02_固定地理'!$A$2:$A$501,'03_地点锚点'!E300)=0),"父级行政对象不存在；","")&amp;IF(AND('03_地点锚点'!F300&lt;&gt;"",COUNTIF('03_地点锚点'!$A$2:$A$501,'03_地点锚点'!F300)=0),"父级地点不存在；","")&amp;IF(AND('03_地点锚点'!A300&lt;&gt;"",COUNTIF('03_地点锚点'!$A$2:$A$501,'03_地点锚点'!A300)&gt;1),"ID重复；",""),"")</f>
        <v/>
      </c>
      <c r="G800" s="14">
        <f>IF(F800&lt;&gt;"","按字段批注、数据字典和来源记录修正后复核","")</f>
        <v/>
      </c>
      <c r="H800" s="14">
        <f>IF(F800&lt;&gt;"","待处理","")</f>
        <v/>
      </c>
    </row>
    <row r="801">
      <c r="A801" s="14">
        <f>IF(F801&lt;&gt;"","ISSUE-"&amp;TEXT(ROW()-1,"00000"),"")</f>
        <v/>
      </c>
      <c r="B801" s="14">
        <f>IF(F801&lt;&gt;"","错误","")</f>
        <v/>
      </c>
      <c r="C801" s="14">
        <f>IF('03_地点锚点'!A301&lt;&gt;"","03_地点锚点","")</f>
        <v/>
      </c>
      <c r="D801" s="14">
        <f>IF('03_地点锚点'!A301&lt;&gt;"",'03_地点锚点'!A301,"")</f>
        <v/>
      </c>
      <c r="E801" s="14">
        <f>IF(F801&lt;&gt;"","综合校验","")</f>
        <v/>
      </c>
      <c r="F801" s="14">
        <f>IF('03_地点锚点'!A301&lt;&gt;"",IF('03_地点锚点'!A301="","缺少地点ID；","")&amp;IF('03_地点锚点'!B301="","缺少中文名称；","")&amp;IF('03_地点锚点'!D301="","缺少地点类型；","")&amp;IF('03_地点锚点'!G301="","缺少世界X；","")&amp;IF('03_地点锚点'!H301="","缺少世界Y；","")&amp;IF(AND('03_地点锚点'!G301&lt;&gt;"",OR('03_地点锚点'!G301&lt;0,'03_地点锚点'!G301&gt;WorldWidth)),"世界X越界；","")&amp;IF(AND('03_地点锚点'!H301&lt;&gt;"",OR('03_地点锚点'!H301&lt;0,'03_地点锚点'!H301&gt;WorldHeight)),"世界Y越界；","")&amp;IF(AND('03_地点锚点'!E301&lt;&gt;"",COUNTIF('02_固定地理'!$A$2:$A$501,'03_地点锚点'!E301)=0),"父级行政对象不存在；","")&amp;IF(AND('03_地点锚点'!F301&lt;&gt;"",COUNTIF('03_地点锚点'!$A$2:$A$501,'03_地点锚点'!F301)=0),"父级地点不存在；","")&amp;IF(AND('03_地点锚点'!A301&lt;&gt;"",COUNTIF('03_地点锚点'!$A$2:$A$501,'03_地点锚点'!A301)&gt;1),"ID重复；",""),"")</f>
        <v/>
      </c>
      <c r="G801" s="14">
        <f>IF(F801&lt;&gt;"","按字段批注、数据字典和来源记录修正后复核","")</f>
        <v/>
      </c>
      <c r="H801" s="14">
        <f>IF(F801&lt;&gt;"","待处理","")</f>
        <v/>
      </c>
    </row>
    <row r="802">
      <c r="A802" s="14">
        <f>IF(F802&lt;&gt;"","ISSUE-"&amp;TEXT(ROW()-1,"00000"),"")</f>
        <v/>
      </c>
      <c r="B802" s="14">
        <f>IF(F802&lt;&gt;"","错误","")</f>
        <v/>
      </c>
      <c r="C802" s="14">
        <f>IF('03_地点锚点'!A302&lt;&gt;"","03_地点锚点","")</f>
        <v/>
      </c>
      <c r="D802" s="14">
        <f>IF('03_地点锚点'!A302&lt;&gt;"",'03_地点锚点'!A302,"")</f>
        <v/>
      </c>
      <c r="E802" s="14">
        <f>IF(F802&lt;&gt;"","综合校验","")</f>
        <v/>
      </c>
      <c r="F802" s="14">
        <f>IF('03_地点锚点'!A302&lt;&gt;"",IF('03_地点锚点'!A302="","缺少地点ID；","")&amp;IF('03_地点锚点'!B302="","缺少中文名称；","")&amp;IF('03_地点锚点'!D302="","缺少地点类型；","")&amp;IF('03_地点锚点'!G302="","缺少世界X；","")&amp;IF('03_地点锚点'!H302="","缺少世界Y；","")&amp;IF(AND('03_地点锚点'!G302&lt;&gt;"",OR('03_地点锚点'!G302&lt;0,'03_地点锚点'!G302&gt;WorldWidth)),"世界X越界；","")&amp;IF(AND('03_地点锚点'!H302&lt;&gt;"",OR('03_地点锚点'!H302&lt;0,'03_地点锚点'!H302&gt;WorldHeight)),"世界Y越界；","")&amp;IF(AND('03_地点锚点'!E302&lt;&gt;"",COUNTIF('02_固定地理'!$A$2:$A$501,'03_地点锚点'!E302)=0),"父级行政对象不存在；","")&amp;IF(AND('03_地点锚点'!F302&lt;&gt;"",COUNTIF('03_地点锚点'!$A$2:$A$501,'03_地点锚点'!F302)=0),"父级地点不存在；","")&amp;IF(AND('03_地点锚点'!A302&lt;&gt;"",COUNTIF('03_地点锚点'!$A$2:$A$501,'03_地点锚点'!A302)&gt;1),"ID重复；",""),"")</f>
        <v/>
      </c>
      <c r="G802" s="14">
        <f>IF(F802&lt;&gt;"","按字段批注、数据字典和来源记录修正后复核","")</f>
        <v/>
      </c>
      <c r="H802" s="14">
        <f>IF(F802&lt;&gt;"","待处理","")</f>
        <v/>
      </c>
    </row>
    <row r="803">
      <c r="A803" s="14">
        <f>IF(F803&lt;&gt;"","ISSUE-"&amp;TEXT(ROW()-1,"00000"),"")</f>
        <v/>
      </c>
      <c r="B803" s="14">
        <f>IF(F803&lt;&gt;"","错误","")</f>
        <v/>
      </c>
      <c r="C803" s="14">
        <f>IF('03_地点锚点'!A303&lt;&gt;"","03_地点锚点","")</f>
        <v/>
      </c>
      <c r="D803" s="14">
        <f>IF('03_地点锚点'!A303&lt;&gt;"",'03_地点锚点'!A303,"")</f>
        <v/>
      </c>
      <c r="E803" s="14">
        <f>IF(F803&lt;&gt;"","综合校验","")</f>
        <v/>
      </c>
      <c r="F803" s="14">
        <f>IF('03_地点锚点'!A303&lt;&gt;"",IF('03_地点锚点'!A303="","缺少地点ID；","")&amp;IF('03_地点锚点'!B303="","缺少中文名称；","")&amp;IF('03_地点锚点'!D303="","缺少地点类型；","")&amp;IF('03_地点锚点'!G303="","缺少世界X；","")&amp;IF('03_地点锚点'!H303="","缺少世界Y；","")&amp;IF(AND('03_地点锚点'!G303&lt;&gt;"",OR('03_地点锚点'!G303&lt;0,'03_地点锚点'!G303&gt;WorldWidth)),"世界X越界；","")&amp;IF(AND('03_地点锚点'!H303&lt;&gt;"",OR('03_地点锚点'!H303&lt;0,'03_地点锚点'!H303&gt;WorldHeight)),"世界Y越界；","")&amp;IF(AND('03_地点锚点'!E303&lt;&gt;"",COUNTIF('02_固定地理'!$A$2:$A$501,'03_地点锚点'!E303)=0),"父级行政对象不存在；","")&amp;IF(AND('03_地点锚点'!F303&lt;&gt;"",COUNTIF('03_地点锚点'!$A$2:$A$501,'03_地点锚点'!F303)=0),"父级地点不存在；","")&amp;IF(AND('03_地点锚点'!A303&lt;&gt;"",COUNTIF('03_地点锚点'!$A$2:$A$501,'03_地点锚点'!A303)&gt;1),"ID重复；",""),"")</f>
        <v/>
      </c>
      <c r="G803" s="14">
        <f>IF(F803&lt;&gt;"","按字段批注、数据字典和来源记录修正后复核","")</f>
        <v/>
      </c>
      <c r="H803" s="14">
        <f>IF(F803&lt;&gt;"","待处理","")</f>
        <v/>
      </c>
    </row>
    <row r="804">
      <c r="A804" s="14">
        <f>IF(F804&lt;&gt;"","ISSUE-"&amp;TEXT(ROW()-1,"00000"),"")</f>
        <v/>
      </c>
      <c r="B804" s="14">
        <f>IF(F804&lt;&gt;"","错误","")</f>
        <v/>
      </c>
      <c r="C804" s="14">
        <f>IF('03_地点锚点'!A304&lt;&gt;"","03_地点锚点","")</f>
        <v/>
      </c>
      <c r="D804" s="14">
        <f>IF('03_地点锚点'!A304&lt;&gt;"",'03_地点锚点'!A304,"")</f>
        <v/>
      </c>
      <c r="E804" s="14">
        <f>IF(F804&lt;&gt;"","综合校验","")</f>
        <v/>
      </c>
      <c r="F804" s="14">
        <f>IF('03_地点锚点'!A304&lt;&gt;"",IF('03_地点锚点'!A304="","缺少地点ID；","")&amp;IF('03_地点锚点'!B304="","缺少中文名称；","")&amp;IF('03_地点锚点'!D304="","缺少地点类型；","")&amp;IF('03_地点锚点'!G304="","缺少世界X；","")&amp;IF('03_地点锚点'!H304="","缺少世界Y；","")&amp;IF(AND('03_地点锚点'!G304&lt;&gt;"",OR('03_地点锚点'!G304&lt;0,'03_地点锚点'!G304&gt;WorldWidth)),"世界X越界；","")&amp;IF(AND('03_地点锚点'!H304&lt;&gt;"",OR('03_地点锚点'!H304&lt;0,'03_地点锚点'!H304&gt;WorldHeight)),"世界Y越界；","")&amp;IF(AND('03_地点锚点'!E304&lt;&gt;"",COUNTIF('02_固定地理'!$A$2:$A$501,'03_地点锚点'!E304)=0),"父级行政对象不存在；","")&amp;IF(AND('03_地点锚点'!F304&lt;&gt;"",COUNTIF('03_地点锚点'!$A$2:$A$501,'03_地点锚点'!F304)=0),"父级地点不存在；","")&amp;IF(AND('03_地点锚点'!A304&lt;&gt;"",COUNTIF('03_地点锚点'!$A$2:$A$501,'03_地点锚点'!A304)&gt;1),"ID重复；",""),"")</f>
        <v/>
      </c>
      <c r="G804" s="14">
        <f>IF(F804&lt;&gt;"","按字段批注、数据字典和来源记录修正后复核","")</f>
        <v/>
      </c>
      <c r="H804" s="14">
        <f>IF(F804&lt;&gt;"","待处理","")</f>
        <v/>
      </c>
    </row>
    <row r="805">
      <c r="A805" s="14">
        <f>IF(F805&lt;&gt;"","ISSUE-"&amp;TEXT(ROW()-1,"00000"),"")</f>
        <v/>
      </c>
      <c r="B805" s="14">
        <f>IF(F805&lt;&gt;"","错误","")</f>
        <v/>
      </c>
      <c r="C805" s="14">
        <f>IF('03_地点锚点'!A305&lt;&gt;"","03_地点锚点","")</f>
        <v/>
      </c>
      <c r="D805" s="14">
        <f>IF('03_地点锚点'!A305&lt;&gt;"",'03_地点锚点'!A305,"")</f>
        <v/>
      </c>
      <c r="E805" s="14">
        <f>IF(F805&lt;&gt;"","综合校验","")</f>
        <v/>
      </c>
      <c r="F805" s="14">
        <f>IF('03_地点锚点'!A305&lt;&gt;"",IF('03_地点锚点'!A305="","缺少地点ID；","")&amp;IF('03_地点锚点'!B305="","缺少中文名称；","")&amp;IF('03_地点锚点'!D305="","缺少地点类型；","")&amp;IF('03_地点锚点'!G305="","缺少世界X；","")&amp;IF('03_地点锚点'!H305="","缺少世界Y；","")&amp;IF(AND('03_地点锚点'!G305&lt;&gt;"",OR('03_地点锚点'!G305&lt;0,'03_地点锚点'!G305&gt;WorldWidth)),"世界X越界；","")&amp;IF(AND('03_地点锚点'!H305&lt;&gt;"",OR('03_地点锚点'!H305&lt;0,'03_地点锚点'!H305&gt;WorldHeight)),"世界Y越界；","")&amp;IF(AND('03_地点锚点'!E305&lt;&gt;"",COUNTIF('02_固定地理'!$A$2:$A$501,'03_地点锚点'!E305)=0),"父级行政对象不存在；","")&amp;IF(AND('03_地点锚点'!F305&lt;&gt;"",COUNTIF('03_地点锚点'!$A$2:$A$501,'03_地点锚点'!F305)=0),"父级地点不存在；","")&amp;IF(AND('03_地点锚点'!A305&lt;&gt;"",COUNTIF('03_地点锚点'!$A$2:$A$501,'03_地点锚点'!A305)&gt;1),"ID重复；",""),"")</f>
        <v/>
      </c>
      <c r="G805" s="14">
        <f>IF(F805&lt;&gt;"","按字段批注、数据字典和来源记录修正后复核","")</f>
        <v/>
      </c>
      <c r="H805" s="14">
        <f>IF(F805&lt;&gt;"","待处理","")</f>
        <v/>
      </c>
    </row>
    <row r="806">
      <c r="A806" s="14">
        <f>IF(F806&lt;&gt;"","ISSUE-"&amp;TEXT(ROW()-1,"00000"),"")</f>
        <v/>
      </c>
      <c r="B806" s="14">
        <f>IF(F806&lt;&gt;"","错误","")</f>
        <v/>
      </c>
      <c r="C806" s="14">
        <f>IF('03_地点锚点'!A306&lt;&gt;"","03_地点锚点","")</f>
        <v/>
      </c>
      <c r="D806" s="14">
        <f>IF('03_地点锚点'!A306&lt;&gt;"",'03_地点锚点'!A306,"")</f>
        <v/>
      </c>
      <c r="E806" s="14">
        <f>IF(F806&lt;&gt;"","综合校验","")</f>
        <v/>
      </c>
      <c r="F806" s="14">
        <f>IF('03_地点锚点'!A306&lt;&gt;"",IF('03_地点锚点'!A306="","缺少地点ID；","")&amp;IF('03_地点锚点'!B306="","缺少中文名称；","")&amp;IF('03_地点锚点'!D306="","缺少地点类型；","")&amp;IF('03_地点锚点'!G306="","缺少世界X；","")&amp;IF('03_地点锚点'!H306="","缺少世界Y；","")&amp;IF(AND('03_地点锚点'!G306&lt;&gt;"",OR('03_地点锚点'!G306&lt;0,'03_地点锚点'!G306&gt;WorldWidth)),"世界X越界；","")&amp;IF(AND('03_地点锚点'!H306&lt;&gt;"",OR('03_地点锚点'!H306&lt;0,'03_地点锚点'!H306&gt;WorldHeight)),"世界Y越界；","")&amp;IF(AND('03_地点锚点'!E306&lt;&gt;"",COUNTIF('02_固定地理'!$A$2:$A$501,'03_地点锚点'!E306)=0),"父级行政对象不存在；","")&amp;IF(AND('03_地点锚点'!F306&lt;&gt;"",COUNTIF('03_地点锚点'!$A$2:$A$501,'03_地点锚点'!F306)=0),"父级地点不存在；","")&amp;IF(AND('03_地点锚点'!A306&lt;&gt;"",COUNTIF('03_地点锚点'!$A$2:$A$501,'03_地点锚点'!A306)&gt;1),"ID重复；",""),"")</f>
        <v/>
      </c>
      <c r="G806" s="14">
        <f>IF(F806&lt;&gt;"","按字段批注、数据字典和来源记录修正后复核","")</f>
        <v/>
      </c>
      <c r="H806" s="14">
        <f>IF(F806&lt;&gt;"","待处理","")</f>
        <v/>
      </c>
    </row>
    <row r="807">
      <c r="A807" s="14">
        <f>IF(F807&lt;&gt;"","ISSUE-"&amp;TEXT(ROW()-1,"00000"),"")</f>
        <v/>
      </c>
      <c r="B807" s="14">
        <f>IF(F807&lt;&gt;"","错误","")</f>
        <v/>
      </c>
      <c r="C807" s="14">
        <f>IF('03_地点锚点'!A307&lt;&gt;"","03_地点锚点","")</f>
        <v/>
      </c>
      <c r="D807" s="14">
        <f>IF('03_地点锚点'!A307&lt;&gt;"",'03_地点锚点'!A307,"")</f>
        <v/>
      </c>
      <c r="E807" s="14">
        <f>IF(F807&lt;&gt;"","综合校验","")</f>
        <v/>
      </c>
      <c r="F807" s="14">
        <f>IF('03_地点锚点'!A307&lt;&gt;"",IF('03_地点锚点'!A307="","缺少地点ID；","")&amp;IF('03_地点锚点'!B307="","缺少中文名称；","")&amp;IF('03_地点锚点'!D307="","缺少地点类型；","")&amp;IF('03_地点锚点'!G307="","缺少世界X；","")&amp;IF('03_地点锚点'!H307="","缺少世界Y；","")&amp;IF(AND('03_地点锚点'!G307&lt;&gt;"",OR('03_地点锚点'!G307&lt;0,'03_地点锚点'!G307&gt;WorldWidth)),"世界X越界；","")&amp;IF(AND('03_地点锚点'!H307&lt;&gt;"",OR('03_地点锚点'!H307&lt;0,'03_地点锚点'!H307&gt;WorldHeight)),"世界Y越界；","")&amp;IF(AND('03_地点锚点'!E307&lt;&gt;"",COUNTIF('02_固定地理'!$A$2:$A$501,'03_地点锚点'!E307)=0),"父级行政对象不存在；","")&amp;IF(AND('03_地点锚点'!F307&lt;&gt;"",COUNTIF('03_地点锚点'!$A$2:$A$501,'03_地点锚点'!F307)=0),"父级地点不存在；","")&amp;IF(AND('03_地点锚点'!A307&lt;&gt;"",COUNTIF('03_地点锚点'!$A$2:$A$501,'03_地点锚点'!A307)&gt;1),"ID重复；",""),"")</f>
        <v/>
      </c>
      <c r="G807" s="14">
        <f>IF(F807&lt;&gt;"","按字段批注、数据字典和来源记录修正后复核","")</f>
        <v/>
      </c>
      <c r="H807" s="14">
        <f>IF(F807&lt;&gt;"","待处理","")</f>
        <v/>
      </c>
    </row>
    <row r="808">
      <c r="A808" s="14">
        <f>IF(F808&lt;&gt;"","ISSUE-"&amp;TEXT(ROW()-1,"00000"),"")</f>
        <v/>
      </c>
      <c r="B808" s="14">
        <f>IF(F808&lt;&gt;"","错误","")</f>
        <v/>
      </c>
      <c r="C808" s="14">
        <f>IF('03_地点锚点'!A308&lt;&gt;"","03_地点锚点","")</f>
        <v/>
      </c>
      <c r="D808" s="14">
        <f>IF('03_地点锚点'!A308&lt;&gt;"",'03_地点锚点'!A308,"")</f>
        <v/>
      </c>
      <c r="E808" s="14">
        <f>IF(F808&lt;&gt;"","综合校验","")</f>
        <v/>
      </c>
      <c r="F808" s="14">
        <f>IF('03_地点锚点'!A308&lt;&gt;"",IF('03_地点锚点'!A308="","缺少地点ID；","")&amp;IF('03_地点锚点'!B308="","缺少中文名称；","")&amp;IF('03_地点锚点'!D308="","缺少地点类型；","")&amp;IF('03_地点锚点'!G308="","缺少世界X；","")&amp;IF('03_地点锚点'!H308="","缺少世界Y；","")&amp;IF(AND('03_地点锚点'!G308&lt;&gt;"",OR('03_地点锚点'!G308&lt;0,'03_地点锚点'!G308&gt;WorldWidth)),"世界X越界；","")&amp;IF(AND('03_地点锚点'!H308&lt;&gt;"",OR('03_地点锚点'!H308&lt;0,'03_地点锚点'!H308&gt;WorldHeight)),"世界Y越界；","")&amp;IF(AND('03_地点锚点'!E308&lt;&gt;"",COUNTIF('02_固定地理'!$A$2:$A$501,'03_地点锚点'!E308)=0),"父级行政对象不存在；","")&amp;IF(AND('03_地点锚点'!F308&lt;&gt;"",COUNTIF('03_地点锚点'!$A$2:$A$501,'03_地点锚点'!F308)=0),"父级地点不存在；","")&amp;IF(AND('03_地点锚点'!A308&lt;&gt;"",COUNTIF('03_地点锚点'!$A$2:$A$501,'03_地点锚点'!A308)&gt;1),"ID重复；",""),"")</f>
        <v/>
      </c>
      <c r="G808" s="14">
        <f>IF(F808&lt;&gt;"","按字段批注、数据字典和来源记录修正后复核","")</f>
        <v/>
      </c>
      <c r="H808" s="14">
        <f>IF(F808&lt;&gt;"","待处理","")</f>
        <v/>
      </c>
    </row>
    <row r="809">
      <c r="A809" s="14">
        <f>IF(F809&lt;&gt;"","ISSUE-"&amp;TEXT(ROW()-1,"00000"),"")</f>
        <v/>
      </c>
      <c r="B809" s="14">
        <f>IF(F809&lt;&gt;"","错误","")</f>
        <v/>
      </c>
      <c r="C809" s="14">
        <f>IF('03_地点锚点'!A309&lt;&gt;"","03_地点锚点","")</f>
        <v/>
      </c>
      <c r="D809" s="14">
        <f>IF('03_地点锚点'!A309&lt;&gt;"",'03_地点锚点'!A309,"")</f>
        <v/>
      </c>
      <c r="E809" s="14">
        <f>IF(F809&lt;&gt;"","综合校验","")</f>
        <v/>
      </c>
      <c r="F809" s="14">
        <f>IF('03_地点锚点'!A309&lt;&gt;"",IF('03_地点锚点'!A309="","缺少地点ID；","")&amp;IF('03_地点锚点'!B309="","缺少中文名称；","")&amp;IF('03_地点锚点'!D309="","缺少地点类型；","")&amp;IF('03_地点锚点'!G309="","缺少世界X；","")&amp;IF('03_地点锚点'!H309="","缺少世界Y；","")&amp;IF(AND('03_地点锚点'!G309&lt;&gt;"",OR('03_地点锚点'!G309&lt;0,'03_地点锚点'!G309&gt;WorldWidth)),"世界X越界；","")&amp;IF(AND('03_地点锚点'!H309&lt;&gt;"",OR('03_地点锚点'!H309&lt;0,'03_地点锚点'!H309&gt;WorldHeight)),"世界Y越界；","")&amp;IF(AND('03_地点锚点'!E309&lt;&gt;"",COUNTIF('02_固定地理'!$A$2:$A$501,'03_地点锚点'!E309)=0),"父级行政对象不存在；","")&amp;IF(AND('03_地点锚点'!F309&lt;&gt;"",COUNTIF('03_地点锚点'!$A$2:$A$501,'03_地点锚点'!F309)=0),"父级地点不存在；","")&amp;IF(AND('03_地点锚点'!A309&lt;&gt;"",COUNTIF('03_地点锚点'!$A$2:$A$501,'03_地点锚点'!A309)&gt;1),"ID重复；",""),"")</f>
        <v/>
      </c>
      <c r="G809" s="14">
        <f>IF(F809&lt;&gt;"","按字段批注、数据字典和来源记录修正后复核","")</f>
        <v/>
      </c>
      <c r="H809" s="14">
        <f>IF(F809&lt;&gt;"","待处理","")</f>
        <v/>
      </c>
    </row>
    <row r="810">
      <c r="A810" s="14">
        <f>IF(F810&lt;&gt;"","ISSUE-"&amp;TEXT(ROW()-1,"00000"),"")</f>
        <v/>
      </c>
      <c r="B810" s="14">
        <f>IF(F810&lt;&gt;"","错误","")</f>
        <v/>
      </c>
      <c r="C810" s="14">
        <f>IF('03_地点锚点'!A310&lt;&gt;"","03_地点锚点","")</f>
        <v/>
      </c>
      <c r="D810" s="14">
        <f>IF('03_地点锚点'!A310&lt;&gt;"",'03_地点锚点'!A310,"")</f>
        <v/>
      </c>
      <c r="E810" s="14">
        <f>IF(F810&lt;&gt;"","综合校验","")</f>
        <v/>
      </c>
      <c r="F810" s="14">
        <f>IF('03_地点锚点'!A310&lt;&gt;"",IF('03_地点锚点'!A310="","缺少地点ID；","")&amp;IF('03_地点锚点'!B310="","缺少中文名称；","")&amp;IF('03_地点锚点'!D310="","缺少地点类型；","")&amp;IF('03_地点锚点'!G310="","缺少世界X；","")&amp;IF('03_地点锚点'!H310="","缺少世界Y；","")&amp;IF(AND('03_地点锚点'!G310&lt;&gt;"",OR('03_地点锚点'!G310&lt;0,'03_地点锚点'!G310&gt;WorldWidth)),"世界X越界；","")&amp;IF(AND('03_地点锚点'!H310&lt;&gt;"",OR('03_地点锚点'!H310&lt;0,'03_地点锚点'!H310&gt;WorldHeight)),"世界Y越界；","")&amp;IF(AND('03_地点锚点'!E310&lt;&gt;"",COUNTIF('02_固定地理'!$A$2:$A$501,'03_地点锚点'!E310)=0),"父级行政对象不存在；","")&amp;IF(AND('03_地点锚点'!F310&lt;&gt;"",COUNTIF('03_地点锚点'!$A$2:$A$501,'03_地点锚点'!F310)=0),"父级地点不存在；","")&amp;IF(AND('03_地点锚点'!A310&lt;&gt;"",COUNTIF('03_地点锚点'!$A$2:$A$501,'03_地点锚点'!A310)&gt;1),"ID重复；",""),"")</f>
        <v/>
      </c>
      <c r="G810" s="14">
        <f>IF(F810&lt;&gt;"","按字段批注、数据字典和来源记录修正后复核","")</f>
        <v/>
      </c>
      <c r="H810" s="14">
        <f>IF(F810&lt;&gt;"","待处理","")</f>
        <v/>
      </c>
    </row>
    <row r="811">
      <c r="A811" s="14">
        <f>IF(F811&lt;&gt;"","ISSUE-"&amp;TEXT(ROW()-1,"00000"),"")</f>
        <v/>
      </c>
      <c r="B811" s="14">
        <f>IF(F811&lt;&gt;"","错误","")</f>
        <v/>
      </c>
      <c r="C811" s="14">
        <f>IF('03_地点锚点'!A311&lt;&gt;"","03_地点锚点","")</f>
        <v/>
      </c>
      <c r="D811" s="14">
        <f>IF('03_地点锚点'!A311&lt;&gt;"",'03_地点锚点'!A311,"")</f>
        <v/>
      </c>
      <c r="E811" s="14">
        <f>IF(F811&lt;&gt;"","综合校验","")</f>
        <v/>
      </c>
      <c r="F811" s="14">
        <f>IF('03_地点锚点'!A311&lt;&gt;"",IF('03_地点锚点'!A311="","缺少地点ID；","")&amp;IF('03_地点锚点'!B311="","缺少中文名称；","")&amp;IF('03_地点锚点'!D311="","缺少地点类型；","")&amp;IF('03_地点锚点'!G311="","缺少世界X；","")&amp;IF('03_地点锚点'!H311="","缺少世界Y；","")&amp;IF(AND('03_地点锚点'!G311&lt;&gt;"",OR('03_地点锚点'!G311&lt;0,'03_地点锚点'!G311&gt;WorldWidth)),"世界X越界；","")&amp;IF(AND('03_地点锚点'!H311&lt;&gt;"",OR('03_地点锚点'!H311&lt;0,'03_地点锚点'!H311&gt;WorldHeight)),"世界Y越界；","")&amp;IF(AND('03_地点锚点'!E311&lt;&gt;"",COUNTIF('02_固定地理'!$A$2:$A$501,'03_地点锚点'!E311)=0),"父级行政对象不存在；","")&amp;IF(AND('03_地点锚点'!F311&lt;&gt;"",COUNTIF('03_地点锚点'!$A$2:$A$501,'03_地点锚点'!F311)=0),"父级地点不存在；","")&amp;IF(AND('03_地点锚点'!A311&lt;&gt;"",COUNTIF('03_地点锚点'!$A$2:$A$501,'03_地点锚点'!A311)&gt;1),"ID重复；",""),"")</f>
        <v/>
      </c>
      <c r="G811" s="14">
        <f>IF(F811&lt;&gt;"","按字段批注、数据字典和来源记录修正后复核","")</f>
        <v/>
      </c>
      <c r="H811" s="14">
        <f>IF(F811&lt;&gt;"","待处理","")</f>
        <v/>
      </c>
    </row>
    <row r="812">
      <c r="A812" s="14">
        <f>IF(F812&lt;&gt;"","ISSUE-"&amp;TEXT(ROW()-1,"00000"),"")</f>
        <v/>
      </c>
      <c r="B812" s="14">
        <f>IF(F812&lt;&gt;"","错误","")</f>
        <v/>
      </c>
      <c r="C812" s="14">
        <f>IF('03_地点锚点'!A312&lt;&gt;"","03_地点锚点","")</f>
        <v/>
      </c>
      <c r="D812" s="14">
        <f>IF('03_地点锚点'!A312&lt;&gt;"",'03_地点锚点'!A312,"")</f>
        <v/>
      </c>
      <c r="E812" s="14">
        <f>IF(F812&lt;&gt;"","综合校验","")</f>
        <v/>
      </c>
      <c r="F812" s="14">
        <f>IF('03_地点锚点'!A312&lt;&gt;"",IF('03_地点锚点'!A312="","缺少地点ID；","")&amp;IF('03_地点锚点'!B312="","缺少中文名称；","")&amp;IF('03_地点锚点'!D312="","缺少地点类型；","")&amp;IF('03_地点锚点'!G312="","缺少世界X；","")&amp;IF('03_地点锚点'!H312="","缺少世界Y；","")&amp;IF(AND('03_地点锚点'!G312&lt;&gt;"",OR('03_地点锚点'!G312&lt;0,'03_地点锚点'!G312&gt;WorldWidth)),"世界X越界；","")&amp;IF(AND('03_地点锚点'!H312&lt;&gt;"",OR('03_地点锚点'!H312&lt;0,'03_地点锚点'!H312&gt;WorldHeight)),"世界Y越界；","")&amp;IF(AND('03_地点锚点'!E312&lt;&gt;"",COUNTIF('02_固定地理'!$A$2:$A$501,'03_地点锚点'!E312)=0),"父级行政对象不存在；","")&amp;IF(AND('03_地点锚点'!F312&lt;&gt;"",COUNTIF('03_地点锚点'!$A$2:$A$501,'03_地点锚点'!F312)=0),"父级地点不存在；","")&amp;IF(AND('03_地点锚点'!A312&lt;&gt;"",COUNTIF('03_地点锚点'!$A$2:$A$501,'03_地点锚点'!A312)&gt;1),"ID重复；",""),"")</f>
        <v/>
      </c>
      <c r="G812" s="14">
        <f>IF(F812&lt;&gt;"","按字段批注、数据字典和来源记录修正后复核","")</f>
        <v/>
      </c>
      <c r="H812" s="14">
        <f>IF(F812&lt;&gt;"","待处理","")</f>
        <v/>
      </c>
    </row>
    <row r="813">
      <c r="A813" s="14">
        <f>IF(F813&lt;&gt;"","ISSUE-"&amp;TEXT(ROW()-1,"00000"),"")</f>
        <v/>
      </c>
      <c r="B813" s="14">
        <f>IF(F813&lt;&gt;"","错误","")</f>
        <v/>
      </c>
      <c r="C813" s="14">
        <f>IF('03_地点锚点'!A313&lt;&gt;"","03_地点锚点","")</f>
        <v/>
      </c>
      <c r="D813" s="14">
        <f>IF('03_地点锚点'!A313&lt;&gt;"",'03_地点锚点'!A313,"")</f>
        <v/>
      </c>
      <c r="E813" s="14">
        <f>IF(F813&lt;&gt;"","综合校验","")</f>
        <v/>
      </c>
      <c r="F813" s="14">
        <f>IF('03_地点锚点'!A313&lt;&gt;"",IF('03_地点锚点'!A313="","缺少地点ID；","")&amp;IF('03_地点锚点'!B313="","缺少中文名称；","")&amp;IF('03_地点锚点'!D313="","缺少地点类型；","")&amp;IF('03_地点锚点'!G313="","缺少世界X；","")&amp;IF('03_地点锚点'!H313="","缺少世界Y；","")&amp;IF(AND('03_地点锚点'!G313&lt;&gt;"",OR('03_地点锚点'!G313&lt;0,'03_地点锚点'!G313&gt;WorldWidth)),"世界X越界；","")&amp;IF(AND('03_地点锚点'!H313&lt;&gt;"",OR('03_地点锚点'!H313&lt;0,'03_地点锚点'!H313&gt;WorldHeight)),"世界Y越界；","")&amp;IF(AND('03_地点锚点'!E313&lt;&gt;"",COUNTIF('02_固定地理'!$A$2:$A$501,'03_地点锚点'!E313)=0),"父级行政对象不存在；","")&amp;IF(AND('03_地点锚点'!F313&lt;&gt;"",COUNTIF('03_地点锚点'!$A$2:$A$501,'03_地点锚点'!F313)=0),"父级地点不存在；","")&amp;IF(AND('03_地点锚点'!A313&lt;&gt;"",COUNTIF('03_地点锚点'!$A$2:$A$501,'03_地点锚点'!A313)&gt;1),"ID重复；",""),"")</f>
        <v/>
      </c>
      <c r="G813" s="14">
        <f>IF(F813&lt;&gt;"","按字段批注、数据字典和来源记录修正后复核","")</f>
        <v/>
      </c>
      <c r="H813" s="14">
        <f>IF(F813&lt;&gt;"","待处理","")</f>
        <v/>
      </c>
    </row>
    <row r="814">
      <c r="A814" s="14">
        <f>IF(F814&lt;&gt;"","ISSUE-"&amp;TEXT(ROW()-1,"00000"),"")</f>
        <v/>
      </c>
      <c r="B814" s="14">
        <f>IF(F814&lt;&gt;"","错误","")</f>
        <v/>
      </c>
      <c r="C814" s="14">
        <f>IF('03_地点锚点'!A314&lt;&gt;"","03_地点锚点","")</f>
        <v/>
      </c>
      <c r="D814" s="14">
        <f>IF('03_地点锚点'!A314&lt;&gt;"",'03_地点锚点'!A314,"")</f>
        <v/>
      </c>
      <c r="E814" s="14">
        <f>IF(F814&lt;&gt;"","综合校验","")</f>
        <v/>
      </c>
      <c r="F814" s="14">
        <f>IF('03_地点锚点'!A314&lt;&gt;"",IF('03_地点锚点'!A314="","缺少地点ID；","")&amp;IF('03_地点锚点'!B314="","缺少中文名称；","")&amp;IF('03_地点锚点'!D314="","缺少地点类型；","")&amp;IF('03_地点锚点'!G314="","缺少世界X；","")&amp;IF('03_地点锚点'!H314="","缺少世界Y；","")&amp;IF(AND('03_地点锚点'!G314&lt;&gt;"",OR('03_地点锚点'!G314&lt;0,'03_地点锚点'!G314&gt;WorldWidth)),"世界X越界；","")&amp;IF(AND('03_地点锚点'!H314&lt;&gt;"",OR('03_地点锚点'!H314&lt;0,'03_地点锚点'!H314&gt;WorldHeight)),"世界Y越界；","")&amp;IF(AND('03_地点锚点'!E314&lt;&gt;"",COUNTIF('02_固定地理'!$A$2:$A$501,'03_地点锚点'!E314)=0),"父级行政对象不存在；","")&amp;IF(AND('03_地点锚点'!F314&lt;&gt;"",COUNTIF('03_地点锚点'!$A$2:$A$501,'03_地点锚点'!F314)=0),"父级地点不存在；","")&amp;IF(AND('03_地点锚点'!A314&lt;&gt;"",COUNTIF('03_地点锚点'!$A$2:$A$501,'03_地点锚点'!A314)&gt;1),"ID重复；",""),"")</f>
        <v/>
      </c>
      <c r="G814" s="14">
        <f>IF(F814&lt;&gt;"","按字段批注、数据字典和来源记录修正后复核","")</f>
        <v/>
      </c>
      <c r="H814" s="14">
        <f>IF(F814&lt;&gt;"","待处理","")</f>
        <v/>
      </c>
    </row>
    <row r="815">
      <c r="A815" s="14">
        <f>IF(F815&lt;&gt;"","ISSUE-"&amp;TEXT(ROW()-1,"00000"),"")</f>
        <v/>
      </c>
      <c r="B815" s="14">
        <f>IF(F815&lt;&gt;"","错误","")</f>
        <v/>
      </c>
      <c r="C815" s="14">
        <f>IF('03_地点锚点'!A315&lt;&gt;"","03_地点锚点","")</f>
        <v/>
      </c>
      <c r="D815" s="14">
        <f>IF('03_地点锚点'!A315&lt;&gt;"",'03_地点锚点'!A315,"")</f>
        <v/>
      </c>
      <c r="E815" s="14">
        <f>IF(F815&lt;&gt;"","综合校验","")</f>
        <v/>
      </c>
      <c r="F815" s="14">
        <f>IF('03_地点锚点'!A315&lt;&gt;"",IF('03_地点锚点'!A315="","缺少地点ID；","")&amp;IF('03_地点锚点'!B315="","缺少中文名称；","")&amp;IF('03_地点锚点'!D315="","缺少地点类型；","")&amp;IF('03_地点锚点'!G315="","缺少世界X；","")&amp;IF('03_地点锚点'!H315="","缺少世界Y；","")&amp;IF(AND('03_地点锚点'!G315&lt;&gt;"",OR('03_地点锚点'!G315&lt;0,'03_地点锚点'!G315&gt;WorldWidth)),"世界X越界；","")&amp;IF(AND('03_地点锚点'!H315&lt;&gt;"",OR('03_地点锚点'!H315&lt;0,'03_地点锚点'!H315&gt;WorldHeight)),"世界Y越界；","")&amp;IF(AND('03_地点锚点'!E315&lt;&gt;"",COUNTIF('02_固定地理'!$A$2:$A$501,'03_地点锚点'!E315)=0),"父级行政对象不存在；","")&amp;IF(AND('03_地点锚点'!F315&lt;&gt;"",COUNTIF('03_地点锚点'!$A$2:$A$501,'03_地点锚点'!F315)=0),"父级地点不存在；","")&amp;IF(AND('03_地点锚点'!A315&lt;&gt;"",COUNTIF('03_地点锚点'!$A$2:$A$501,'03_地点锚点'!A315)&gt;1),"ID重复；",""),"")</f>
        <v/>
      </c>
      <c r="G815" s="14">
        <f>IF(F815&lt;&gt;"","按字段批注、数据字典和来源记录修正后复核","")</f>
        <v/>
      </c>
      <c r="H815" s="14">
        <f>IF(F815&lt;&gt;"","待处理","")</f>
        <v/>
      </c>
    </row>
    <row r="816">
      <c r="A816" s="14">
        <f>IF(F816&lt;&gt;"","ISSUE-"&amp;TEXT(ROW()-1,"00000"),"")</f>
        <v/>
      </c>
      <c r="B816" s="14">
        <f>IF(F816&lt;&gt;"","错误","")</f>
        <v/>
      </c>
      <c r="C816" s="14">
        <f>IF('03_地点锚点'!A316&lt;&gt;"","03_地点锚点","")</f>
        <v/>
      </c>
      <c r="D816" s="14">
        <f>IF('03_地点锚点'!A316&lt;&gt;"",'03_地点锚点'!A316,"")</f>
        <v/>
      </c>
      <c r="E816" s="14">
        <f>IF(F816&lt;&gt;"","综合校验","")</f>
        <v/>
      </c>
      <c r="F816" s="14">
        <f>IF('03_地点锚点'!A316&lt;&gt;"",IF('03_地点锚点'!A316="","缺少地点ID；","")&amp;IF('03_地点锚点'!B316="","缺少中文名称；","")&amp;IF('03_地点锚点'!D316="","缺少地点类型；","")&amp;IF('03_地点锚点'!G316="","缺少世界X；","")&amp;IF('03_地点锚点'!H316="","缺少世界Y；","")&amp;IF(AND('03_地点锚点'!G316&lt;&gt;"",OR('03_地点锚点'!G316&lt;0,'03_地点锚点'!G316&gt;WorldWidth)),"世界X越界；","")&amp;IF(AND('03_地点锚点'!H316&lt;&gt;"",OR('03_地点锚点'!H316&lt;0,'03_地点锚点'!H316&gt;WorldHeight)),"世界Y越界；","")&amp;IF(AND('03_地点锚点'!E316&lt;&gt;"",COUNTIF('02_固定地理'!$A$2:$A$501,'03_地点锚点'!E316)=0),"父级行政对象不存在；","")&amp;IF(AND('03_地点锚点'!F316&lt;&gt;"",COUNTIF('03_地点锚点'!$A$2:$A$501,'03_地点锚点'!F316)=0),"父级地点不存在；","")&amp;IF(AND('03_地点锚点'!A316&lt;&gt;"",COUNTIF('03_地点锚点'!$A$2:$A$501,'03_地点锚点'!A316)&gt;1),"ID重复；",""),"")</f>
        <v/>
      </c>
      <c r="G816" s="14">
        <f>IF(F816&lt;&gt;"","按字段批注、数据字典和来源记录修正后复核","")</f>
        <v/>
      </c>
      <c r="H816" s="14">
        <f>IF(F816&lt;&gt;"","待处理","")</f>
        <v/>
      </c>
    </row>
    <row r="817">
      <c r="A817" s="14">
        <f>IF(F817&lt;&gt;"","ISSUE-"&amp;TEXT(ROW()-1,"00000"),"")</f>
        <v/>
      </c>
      <c r="B817" s="14">
        <f>IF(F817&lt;&gt;"","错误","")</f>
        <v/>
      </c>
      <c r="C817" s="14">
        <f>IF('03_地点锚点'!A317&lt;&gt;"","03_地点锚点","")</f>
        <v/>
      </c>
      <c r="D817" s="14">
        <f>IF('03_地点锚点'!A317&lt;&gt;"",'03_地点锚点'!A317,"")</f>
        <v/>
      </c>
      <c r="E817" s="14">
        <f>IF(F817&lt;&gt;"","综合校验","")</f>
        <v/>
      </c>
      <c r="F817" s="14">
        <f>IF('03_地点锚点'!A317&lt;&gt;"",IF('03_地点锚点'!A317="","缺少地点ID；","")&amp;IF('03_地点锚点'!B317="","缺少中文名称；","")&amp;IF('03_地点锚点'!D317="","缺少地点类型；","")&amp;IF('03_地点锚点'!G317="","缺少世界X；","")&amp;IF('03_地点锚点'!H317="","缺少世界Y；","")&amp;IF(AND('03_地点锚点'!G317&lt;&gt;"",OR('03_地点锚点'!G317&lt;0,'03_地点锚点'!G317&gt;WorldWidth)),"世界X越界；","")&amp;IF(AND('03_地点锚点'!H317&lt;&gt;"",OR('03_地点锚点'!H317&lt;0,'03_地点锚点'!H317&gt;WorldHeight)),"世界Y越界；","")&amp;IF(AND('03_地点锚点'!E317&lt;&gt;"",COUNTIF('02_固定地理'!$A$2:$A$501,'03_地点锚点'!E317)=0),"父级行政对象不存在；","")&amp;IF(AND('03_地点锚点'!F317&lt;&gt;"",COUNTIF('03_地点锚点'!$A$2:$A$501,'03_地点锚点'!F317)=0),"父级地点不存在；","")&amp;IF(AND('03_地点锚点'!A317&lt;&gt;"",COUNTIF('03_地点锚点'!$A$2:$A$501,'03_地点锚点'!A317)&gt;1),"ID重复；",""),"")</f>
        <v/>
      </c>
      <c r="G817" s="14">
        <f>IF(F817&lt;&gt;"","按字段批注、数据字典和来源记录修正后复核","")</f>
        <v/>
      </c>
      <c r="H817" s="14">
        <f>IF(F817&lt;&gt;"","待处理","")</f>
        <v/>
      </c>
    </row>
    <row r="818">
      <c r="A818" s="14">
        <f>IF(F818&lt;&gt;"","ISSUE-"&amp;TEXT(ROW()-1,"00000"),"")</f>
        <v/>
      </c>
      <c r="B818" s="14">
        <f>IF(F818&lt;&gt;"","错误","")</f>
        <v/>
      </c>
      <c r="C818" s="14">
        <f>IF('03_地点锚点'!A318&lt;&gt;"","03_地点锚点","")</f>
        <v/>
      </c>
      <c r="D818" s="14">
        <f>IF('03_地点锚点'!A318&lt;&gt;"",'03_地点锚点'!A318,"")</f>
        <v/>
      </c>
      <c r="E818" s="14">
        <f>IF(F818&lt;&gt;"","综合校验","")</f>
        <v/>
      </c>
      <c r="F818" s="14">
        <f>IF('03_地点锚点'!A318&lt;&gt;"",IF('03_地点锚点'!A318="","缺少地点ID；","")&amp;IF('03_地点锚点'!B318="","缺少中文名称；","")&amp;IF('03_地点锚点'!D318="","缺少地点类型；","")&amp;IF('03_地点锚点'!G318="","缺少世界X；","")&amp;IF('03_地点锚点'!H318="","缺少世界Y；","")&amp;IF(AND('03_地点锚点'!G318&lt;&gt;"",OR('03_地点锚点'!G318&lt;0,'03_地点锚点'!G318&gt;WorldWidth)),"世界X越界；","")&amp;IF(AND('03_地点锚点'!H318&lt;&gt;"",OR('03_地点锚点'!H318&lt;0,'03_地点锚点'!H318&gt;WorldHeight)),"世界Y越界；","")&amp;IF(AND('03_地点锚点'!E318&lt;&gt;"",COUNTIF('02_固定地理'!$A$2:$A$501,'03_地点锚点'!E318)=0),"父级行政对象不存在；","")&amp;IF(AND('03_地点锚点'!F318&lt;&gt;"",COUNTIF('03_地点锚点'!$A$2:$A$501,'03_地点锚点'!F318)=0),"父级地点不存在；","")&amp;IF(AND('03_地点锚点'!A318&lt;&gt;"",COUNTIF('03_地点锚点'!$A$2:$A$501,'03_地点锚点'!A318)&gt;1),"ID重复；",""),"")</f>
        <v/>
      </c>
      <c r="G818" s="14">
        <f>IF(F818&lt;&gt;"","按字段批注、数据字典和来源记录修正后复核","")</f>
        <v/>
      </c>
      <c r="H818" s="14">
        <f>IF(F818&lt;&gt;"","待处理","")</f>
        <v/>
      </c>
    </row>
    <row r="819">
      <c r="A819" s="14">
        <f>IF(F819&lt;&gt;"","ISSUE-"&amp;TEXT(ROW()-1,"00000"),"")</f>
        <v/>
      </c>
      <c r="B819" s="14">
        <f>IF(F819&lt;&gt;"","错误","")</f>
        <v/>
      </c>
      <c r="C819" s="14">
        <f>IF('03_地点锚点'!A319&lt;&gt;"","03_地点锚点","")</f>
        <v/>
      </c>
      <c r="D819" s="14">
        <f>IF('03_地点锚点'!A319&lt;&gt;"",'03_地点锚点'!A319,"")</f>
        <v/>
      </c>
      <c r="E819" s="14">
        <f>IF(F819&lt;&gt;"","综合校验","")</f>
        <v/>
      </c>
      <c r="F819" s="14">
        <f>IF('03_地点锚点'!A319&lt;&gt;"",IF('03_地点锚点'!A319="","缺少地点ID；","")&amp;IF('03_地点锚点'!B319="","缺少中文名称；","")&amp;IF('03_地点锚点'!D319="","缺少地点类型；","")&amp;IF('03_地点锚点'!G319="","缺少世界X；","")&amp;IF('03_地点锚点'!H319="","缺少世界Y；","")&amp;IF(AND('03_地点锚点'!G319&lt;&gt;"",OR('03_地点锚点'!G319&lt;0,'03_地点锚点'!G319&gt;WorldWidth)),"世界X越界；","")&amp;IF(AND('03_地点锚点'!H319&lt;&gt;"",OR('03_地点锚点'!H319&lt;0,'03_地点锚点'!H319&gt;WorldHeight)),"世界Y越界；","")&amp;IF(AND('03_地点锚点'!E319&lt;&gt;"",COUNTIF('02_固定地理'!$A$2:$A$501,'03_地点锚点'!E319)=0),"父级行政对象不存在；","")&amp;IF(AND('03_地点锚点'!F319&lt;&gt;"",COUNTIF('03_地点锚点'!$A$2:$A$501,'03_地点锚点'!F319)=0),"父级地点不存在；","")&amp;IF(AND('03_地点锚点'!A319&lt;&gt;"",COUNTIF('03_地点锚点'!$A$2:$A$501,'03_地点锚点'!A319)&gt;1),"ID重复；",""),"")</f>
        <v/>
      </c>
      <c r="G819" s="14">
        <f>IF(F819&lt;&gt;"","按字段批注、数据字典和来源记录修正后复核","")</f>
        <v/>
      </c>
      <c r="H819" s="14">
        <f>IF(F819&lt;&gt;"","待处理","")</f>
        <v/>
      </c>
    </row>
    <row r="820">
      <c r="A820" s="14">
        <f>IF(F820&lt;&gt;"","ISSUE-"&amp;TEXT(ROW()-1,"00000"),"")</f>
        <v/>
      </c>
      <c r="B820" s="14">
        <f>IF(F820&lt;&gt;"","错误","")</f>
        <v/>
      </c>
      <c r="C820" s="14">
        <f>IF('03_地点锚点'!A320&lt;&gt;"","03_地点锚点","")</f>
        <v/>
      </c>
      <c r="D820" s="14">
        <f>IF('03_地点锚点'!A320&lt;&gt;"",'03_地点锚点'!A320,"")</f>
        <v/>
      </c>
      <c r="E820" s="14">
        <f>IF(F820&lt;&gt;"","综合校验","")</f>
        <v/>
      </c>
      <c r="F820" s="14">
        <f>IF('03_地点锚点'!A320&lt;&gt;"",IF('03_地点锚点'!A320="","缺少地点ID；","")&amp;IF('03_地点锚点'!B320="","缺少中文名称；","")&amp;IF('03_地点锚点'!D320="","缺少地点类型；","")&amp;IF('03_地点锚点'!G320="","缺少世界X；","")&amp;IF('03_地点锚点'!H320="","缺少世界Y；","")&amp;IF(AND('03_地点锚点'!G320&lt;&gt;"",OR('03_地点锚点'!G320&lt;0,'03_地点锚点'!G320&gt;WorldWidth)),"世界X越界；","")&amp;IF(AND('03_地点锚点'!H320&lt;&gt;"",OR('03_地点锚点'!H320&lt;0,'03_地点锚点'!H320&gt;WorldHeight)),"世界Y越界；","")&amp;IF(AND('03_地点锚点'!E320&lt;&gt;"",COUNTIF('02_固定地理'!$A$2:$A$501,'03_地点锚点'!E320)=0),"父级行政对象不存在；","")&amp;IF(AND('03_地点锚点'!F320&lt;&gt;"",COUNTIF('03_地点锚点'!$A$2:$A$501,'03_地点锚点'!F320)=0),"父级地点不存在；","")&amp;IF(AND('03_地点锚点'!A320&lt;&gt;"",COUNTIF('03_地点锚点'!$A$2:$A$501,'03_地点锚点'!A320)&gt;1),"ID重复；",""),"")</f>
        <v/>
      </c>
      <c r="G820" s="14">
        <f>IF(F820&lt;&gt;"","按字段批注、数据字典和来源记录修正后复核","")</f>
        <v/>
      </c>
      <c r="H820" s="14">
        <f>IF(F820&lt;&gt;"","待处理","")</f>
        <v/>
      </c>
    </row>
    <row r="821">
      <c r="A821" s="14">
        <f>IF(F821&lt;&gt;"","ISSUE-"&amp;TEXT(ROW()-1,"00000"),"")</f>
        <v/>
      </c>
      <c r="B821" s="14">
        <f>IF(F821&lt;&gt;"","错误","")</f>
        <v/>
      </c>
      <c r="C821" s="14">
        <f>IF('03_地点锚点'!A321&lt;&gt;"","03_地点锚点","")</f>
        <v/>
      </c>
      <c r="D821" s="14">
        <f>IF('03_地点锚点'!A321&lt;&gt;"",'03_地点锚点'!A321,"")</f>
        <v/>
      </c>
      <c r="E821" s="14">
        <f>IF(F821&lt;&gt;"","综合校验","")</f>
        <v/>
      </c>
      <c r="F821" s="14">
        <f>IF('03_地点锚点'!A321&lt;&gt;"",IF('03_地点锚点'!A321="","缺少地点ID；","")&amp;IF('03_地点锚点'!B321="","缺少中文名称；","")&amp;IF('03_地点锚点'!D321="","缺少地点类型；","")&amp;IF('03_地点锚点'!G321="","缺少世界X；","")&amp;IF('03_地点锚点'!H321="","缺少世界Y；","")&amp;IF(AND('03_地点锚点'!G321&lt;&gt;"",OR('03_地点锚点'!G321&lt;0,'03_地点锚点'!G321&gt;WorldWidth)),"世界X越界；","")&amp;IF(AND('03_地点锚点'!H321&lt;&gt;"",OR('03_地点锚点'!H321&lt;0,'03_地点锚点'!H321&gt;WorldHeight)),"世界Y越界；","")&amp;IF(AND('03_地点锚点'!E321&lt;&gt;"",COUNTIF('02_固定地理'!$A$2:$A$501,'03_地点锚点'!E321)=0),"父级行政对象不存在；","")&amp;IF(AND('03_地点锚点'!F321&lt;&gt;"",COUNTIF('03_地点锚点'!$A$2:$A$501,'03_地点锚点'!F321)=0),"父级地点不存在；","")&amp;IF(AND('03_地点锚点'!A321&lt;&gt;"",COUNTIF('03_地点锚点'!$A$2:$A$501,'03_地点锚点'!A321)&gt;1),"ID重复；",""),"")</f>
        <v/>
      </c>
      <c r="G821" s="14">
        <f>IF(F821&lt;&gt;"","按字段批注、数据字典和来源记录修正后复核","")</f>
        <v/>
      </c>
      <c r="H821" s="14">
        <f>IF(F821&lt;&gt;"","待处理","")</f>
        <v/>
      </c>
    </row>
    <row r="822">
      <c r="A822" s="14">
        <f>IF(F822&lt;&gt;"","ISSUE-"&amp;TEXT(ROW()-1,"00000"),"")</f>
        <v/>
      </c>
      <c r="B822" s="14">
        <f>IF(F822&lt;&gt;"","错误","")</f>
        <v/>
      </c>
      <c r="C822" s="14">
        <f>IF('03_地点锚点'!A322&lt;&gt;"","03_地点锚点","")</f>
        <v/>
      </c>
      <c r="D822" s="14">
        <f>IF('03_地点锚点'!A322&lt;&gt;"",'03_地点锚点'!A322,"")</f>
        <v/>
      </c>
      <c r="E822" s="14">
        <f>IF(F822&lt;&gt;"","综合校验","")</f>
        <v/>
      </c>
      <c r="F822" s="14">
        <f>IF('03_地点锚点'!A322&lt;&gt;"",IF('03_地点锚点'!A322="","缺少地点ID；","")&amp;IF('03_地点锚点'!B322="","缺少中文名称；","")&amp;IF('03_地点锚点'!D322="","缺少地点类型；","")&amp;IF('03_地点锚点'!G322="","缺少世界X；","")&amp;IF('03_地点锚点'!H322="","缺少世界Y；","")&amp;IF(AND('03_地点锚点'!G322&lt;&gt;"",OR('03_地点锚点'!G322&lt;0,'03_地点锚点'!G322&gt;WorldWidth)),"世界X越界；","")&amp;IF(AND('03_地点锚点'!H322&lt;&gt;"",OR('03_地点锚点'!H322&lt;0,'03_地点锚点'!H322&gt;WorldHeight)),"世界Y越界；","")&amp;IF(AND('03_地点锚点'!E322&lt;&gt;"",COUNTIF('02_固定地理'!$A$2:$A$501,'03_地点锚点'!E322)=0),"父级行政对象不存在；","")&amp;IF(AND('03_地点锚点'!F322&lt;&gt;"",COUNTIF('03_地点锚点'!$A$2:$A$501,'03_地点锚点'!F322)=0),"父级地点不存在；","")&amp;IF(AND('03_地点锚点'!A322&lt;&gt;"",COUNTIF('03_地点锚点'!$A$2:$A$501,'03_地点锚点'!A322)&gt;1),"ID重复；",""),"")</f>
        <v/>
      </c>
      <c r="G822" s="14">
        <f>IF(F822&lt;&gt;"","按字段批注、数据字典和来源记录修正后复核","")</f>
        <v/>
      </c>
      <c r="H822" s="14">
        <f>IF(F822&lt;&gt;"","待处理","")</f>
        <v/>
      </c>
    </row>
    <row r="823">
      <c r="A823" s="14">
        <f>IF(F823&lt;&gt;"","ISSUE-"&amp;TEXT(ROW()-1,"00000"),"")</f>
        <v/>
      </c>
      <c r="B823" s="14">
        <f>IF(F823&lt;&gt;"","错误","")</f>
        <v/>
      </c>
      <c r="C823" s="14">
        <f>IF('03_地点锚点'!A323&lt;&gt;"","03_地点锚点","")</f>
        <v/>
      </c>
      <c r="D823" s="14">
        <f>IF('03_地点锚点'!A323&lt;&gt;"",'03_地点锚点'!A323,"")</f>
        <v/>
      </c>
      <c r="E823" s="14">
        <f>IF(F823&lt;&gt;"","综合校验","")</f>
        <v/>
      </c>
      <c r="F823" s="14">
        <f>IF('03_地点锚点'!A323&lt;&gt;"",IF('03_地点锚点'!A323="","缺少地点ID；","")&amp;IF('03_地点锚点'!B323="","缺少中文名称；","")&amp;IF('03_地点锚点'!D323="","缺少地点类型；","")&amp;IF('03_地点锚点'!G323="","缺少世界X；","")&amp;IF('03_地点锚点'!H323="","缺少世界Y；","")&amp;IF(AND('03_地点锚点'!G323&lt;&gt;"",OR('03_地点锚点'!G323&lt;0,'03_地点锚点'!G323&gt;WorldWidth)),"世界X越界；","")&amp;IF(AND('03_地点锚点'!H323&lt;&gt;"",OR('03_地点锚点'!H323&lt;0,'03_地点锚点'!H323&gt;WorldHeight)),"世界Y越界；","")&amp;IF(AND('03_地点锚点'!E323&lt;&gt;"",COUNTIF('02_固定地理'!$A$2:$A$501,'03_地点锚点'!E323)=0),"父级行政对象不存在；","")&amp;IF(AND('03_地点锚点'!F323&lt;&gt;"",COUNTIF('03_地点锚点'!$A$2:$A$501,'03_地点锚点'!F323)=0),"父级地点不存在；","")&amp;IF(AND('03_地点锚点'!A323&lt;&gt;"",COUNTIF('03_地点锚点'!$A$2:$A$501,'03_地点锚点'!A323)&gt;1),"ID重复；",""),"")</f>
        <v/>
      </c>
      <c r="G823" s="14">
        <f>IF(F823&lt;&gt;"","按字段批注、数据字典和来源记录修正后复核","")</f>
        <v/>
      </c>
      <c r="H823" s="14">
        <f>IF(F823&lt;&gt;"","待处理","")</f>
        <v/>
      </c>
    </row>
    <row r="824">
      <c r="A824" s="14">
        <f>IF(F824&lt;&gt;"","ISSUE-"&amp;TEXT(ROW()-1,"00000"),"")</f>
        <v/>
      </c>
      <c r="B824" s="14">
        <f>IF(F824&lt;&gt;"","错误","")</f>
        <v/>
      </c>
      <c r="C824" s="14">
        <f>IF('03_地点锚点'!A324&lt;&gt;"","03_地点锚点","")</f>
        <v/>
      </c>
      <c r="D824" s="14">
        <f>IF('03_地点锚点'!A324&lt;&gt;"",'03_地点锚点'!A324,"")</f>
        <v/>
      </c>
      <c r="E824" s="14">
        <f>IF(F824&lt;&gt;"","综合校验","")</f>
        <v/>
      </c>
      <c r="F824" s="14">
        <f>IF('03_地点锚点'!A324&lt;&gt;"",IF('03_地点锚点'!A324="","缺少地点ID；","")&amp;IF('03_地点锚点'!B324="","缺少中文名称；","")&amp;IF('03_地点锚点'!D324="","缺少地点类型；","")&amp;IF('03_地点锚点'!G324="","缺少世界X；","")&amp;IF('03_地点锚点'!H324="","缺少世界Y；","")&amp;IF(AND('03_地点锚点'!G324&lt;&gt;"",OR('03_地点锚点'!G324&lt;0,'03_地点锚点'!G324&gt;WorldWidth)),"世界X越界；","")&amp;IF(AND('03_地点锚点'!H324&lt;&gt;"",OR('03_地点锚点'!H324&lt;0,'03_地点锚点'!H324&gt;WorldHeight)),"世界Y越界；","")&amp;IF(AND('03_地点锚点'!E324&lt;&gt;"",COUNTIF('02_固定地理'!$A$2:$A$501,'03_地点锚点'!E324)=0),"父级行政对象不存在；","")&amp;IF(AND('03_地点锚点'!F324&lt;&gt;"",COUNTIF('03_地点锚点'!$A$2:$A$501,'03_地点锚点'!F324)=0),"父级地点不存在；","")&amp;IF(AND('03_地点锚点'!A324&lt;&gt;"",COUNTIF('03_地点锚点'!$A$2:$A$501,'03_地点锚点'!A324)&gt;1),"ID重复；",""),"")</f>
        <v/>
      </c>
      <c r="G824" s="14">
        <f>IF(F824&lt;&gt;"","按字段批注、数据字典和来源记录修正后复核","")</f>
        <v/>
      </c>
      <c r="H824" s="14">
        <f>IF(F824&lt;&gt;"","待处理","")</f>
        <v/>
      </c>
    </row>
    <row r="825">
      <c r="A825" s="14">
        <f>IF(F825&lt;&gt;"","ISSUE-"&amp;TEXT(ROW()-1,"00000"),"")</f>
        <v/>
      </c>
      <c r="B825" s="14">
        <f>IF(F825&lt;&gt;"","错误","")</f>
        <v/>
      </c>
      <c r="C825" s="14">
        <f>IF('03_地点锚点'!A325&lt;&gt;"","03_地点锚点","")</f>
        <v/>
      </c>
      <c r="D825" s="14">
        <f>IF('03_地点锚点'!A325&lt;&gt;"",'03_地点锚点'!A325,"")</f>
        <v/>
      </c>
      <c r="E825" s="14">
        <f>IF(F825&lt;&gt;"","综合校验","")</f>
        <v/>
      </c>
      <c r="F825" s="14">
        <f>IF('03_地点锚点'!A325&lt;&gt;"",IF('03_地点锚点'!A325="","缺少地点ID；","")&amp;IF('03_地点锚点'!B325="","缺少中文名称；","")&amp;IF('03_地点锚点'!D325="","缺少地点类型；","")&amp;IF('03_地点锚点'!G325="","缺少世界X；","")&amp;IF('03_地点锚点'!H325="","缺少世界Y；","")&amp;IF(AND('03_地点锚点'!G325&lt;&gt;"",OR('03_地点锚点'!G325&lt;0,'03_地点锚点'!G325&gt;WorldWidth)),"世界X越界；","")&amp;IF(AND('03_地点锚点'!H325&lt;&gt;"",OR('03_地点锚点'!H325&lt;0,'03_地点锚点'!H325&gt;WorldHeight)),"世界Y越界；","")&amp;IF(AND('03_地点锚点'!E325&lt;&gt;"",COUNTIF('02_固定地理'!$A$2:$A$501,'03_地点锚点'!E325)=0),"父级行政对象不存在；","")&amp;IF(AND('03_地点锚点'!F325&lt;&gt;"",COUNTIF('03_地点锚点'!$A$2:$A$501,'03_地点锚点'!F325)=0),"父级地点不存在；","")&amp;IF(AND('03_地点锚点'!A325&lt;&gt;"",COUNTIF('03_地点锚点'!$A$2:$A$501,'03_地点锚点'!A325)&gt;1),"ID重复；",""),"")</f>
        <v/>
      </c>
      <c r="G825" s="14">
        <f>IF(F825&lt;&gt;"","按字段批注、数据字典和来源记录修正后复核","")</f>
        <v/>
      </c>
      <c r="H825" s="14">
        <f>IF(F825&lt;&gt;"","待处理","")</f>
        <v/>
      </c>
    </row>
    <row r="826">
      <c r="A826" s="14">
        <f>IF(F826&lt;&gt;"","ISSUE-"&amp;TEXT(ROW()-1,"00000"),"")</f>
        <v/>
      </c>
      <c r="B826" s="14">
        <f>IF(F826&lt;&gt;"","错误","")</f>
        <v/>
      </c>
      <c r="C826" s="14">
        <f>IF('03_地点锚点'!A326&lt;&gt;"","03_地点锚点","")</f>
        <v/>
      </c>
      <c r="D826" s="14">
        <f>IF('03_地点锚点'!A326&lt;&gt;"",'03_地点锚点'!A326,"")</f>
        <v/>
      </c>
      <c r="E826" s="14">
        <f>IF(F826&lt;&gt;"","综合校验","")</f>
        <v/>
      </c>
      <c r="F826" s="14">
        <f>IF('03_地点锚点'!A326&lt;&gt;"",IF('03_地点锚点'!A326="","缺少地点ID；","")&amp;IF('03_地点锚点'!B326="","缺少中文名称；","")&amp;IF('03_地点锚点'!D326="","缺少地点类型；","")&amp;IF('03_地点锚点'!G326="","缺少世界X；","")&amp;IF('03_地点锚点'!H326="","缺少世界Y；","")&amp;IF(AND('03_地点锚点'!G326&lt;&gt;"",OR('03_地点锚点'!G326&lt;0,'03_地点锚点'!G326&gt;WorldWidth)),"世界X越界；","")&amp;IF(AND('03_地点锚点'!H326&lt;&gt;"",OR('03_地点锚点'!H326&lt;0,'03_地点锚点'!H326&gt;WorldHeight)),"世界Y越界；","")&amp;IF(AND('03_地点锚点'!E326&lt;&gt;"",COUNTIF('02_固定地理'!$A$2:$A$501,'03_地点锚点'!E326)=0),"父级行政对象不存在；","")&amp;IF(AND('03_地点锚点'!F326&lt;&gt;"",COUNTIF('03_地点锚点'!$A$2:$A$501,'03_地点锚点'!F326)=0),"父级地点不存在；","")&amp;IF(AND('03_地点锚点'!A326&lt;&gt;"",COUNTIF('03_地点锚点'!$A$2:$A$501,'03_地点锚点'!A326)&gt;1),"ID重复；",""),"")</f>
        <v/>
      </c>
      <c r="G826" s="14">
        <f>IF(F826&lt;&gt;"","按字段批注、数据字典和来源记录修正后复核","")</f>
        <v/>
      </c>
      <c r="H826" s="14">
        <f>IF(F826&lt;&gt;"","待处理","")</f>
        <v/>
      </c>
    </row>
    <row r="827">
      <c r="A827" s="14">
        <f>IF(F827&lt;&gt;"","ISSUE-"&amp;TEXT(ROW()-1,"00000"),"")</f>
        <v/>
      </c>
      <c r="B827" s="14">
        <f>IF(F827&lt;&gt;"","错误","")</f>
        <v/>
      </c>
      <c r="C827" s="14">
        <f>IF('03_地点锚点'!A327&lt;&gt;"","03_地点锚点","")</f>
        <v/>
      </c>
      <c r="D827" s="14">
        <f>IF('03_地点锚点'!A327&lt;&gt;"",'03_地点锚点'!A327,"")</f>
        <v/>
      </c>
      <c r="E827" s="14">
        <f>IF(F827&lt;&gt;"","综合校验","")</f>
        <v/>
      </c>
      <c r="F827" s="14">
        <f>IF('03_地点锚点'!A327&lt;&gt;"",IF('03_地点锚点'!A327="","缺少地点ID；","")&amp;IF('03_地点锚点'!B327="","缺少中文名称；","")&amp;IF('03_地点锚点'!D327="","缺少地点类型；","")&amp;IF('03_地点锚点'!G327="","缺少世界X；","")&amp;IF('03_地点锚点'!H327="","缺少世界Y；","")&amp;IF(AND('03_地点锚点'!G327&lt;&gt;"",OR('03_地点锚点'!G327&lt;0,'03_地点锚点'!G327&gt;WorldWidth)),"世界X越界；","")&amp;IF(AND('03_地点锚点'!H327&lt;&gt;"",OR('03_地点锚点'!H327&lt;0,'03_地点锚点'!H327&gt;WorldHeight)),"世界Y越界；","")&amp;IF(AND('03_地点锚点'!E327&lt;&gt;"",COUNTIF('02_固定地理'!$A$2:$A$501,'03_地点锚点'!E327)=0),"父级行政对象不存在；","")&amp;IF(AND('03_地点锚点'!F327&lt;&gt;"",COUNTIF('03_地点锚点'!$A$2:$A$501,'03_地点锚点'!F327)=0),"父级地点不存在；","")&amp;IF(AND('03_地点锚点'!A327&lt;&gt;"",COUNTIF('03_地点锚点'!$A$2:$A$501,'03_地点锚点'!A327)&gt;1),"ID重复；",""),"")</f>
        <v/>
      </c>
      <c r="G827" s="14">
        <f>IF(F827&lt;&gt;"","按字段批注、数据字典和来源记录修正后复核","")</f>
        <v/>
      </c>
      <c r="H827" s="14">
        <f>IF(F827&lt;&gt;"","待处理","")</f>
        <v/>
      </c>
    </row>
    <row r="828">
      <c r="A828" s="14">
        <f>IF(F828&lt;&gt;"","ISSUE-"&amp;TEXT(ROW()-1,"00000"),"")</f>
        <v/>
      </c>
      <c r="B828" s="14">
        <f>IF(F828&lt;&gt;"","错误","")</f>
        <v/>
      </c>
      <c r="C828" s="14">
        <f>IF('03_地点锚点'!A328&lt;&gt;"","03_地点锚点","")</f>
        <v/>
      </c>
      <c r="D828" s="14">
        <f>IF('03_地点锚点'!A328&lt;&gt;"",'03_地点锚点'!A328,"")</f>
        <v/>
      </c>
      <c r="E828" s="14">
        <f>IF(F828&lt;&gt;"","综合校验","")</f>
        <v/>
      </c>
      <c r="F828" s="14">
        <f>IF('03_地点锚点'!A328&lt;&gt;"",IF('03_地点锚点'!A328="","缺少地点ID；","")&amp;IF('03_地点锚点'!B328="","缺少中文名称；","")&amp;IF('03_地点锚点'!D328="","缺少地点类型；","")&amp;IF('03_地点锚点'!G328="","缺少世界X；","")&amp;IF('03_地点锚点'!H328="","缺少世界Y；","")&amp;IF(AND('03_地点锚点'!G328&lt;&gt;"",OR('03_地点锚点'!G328&lt;0,'03_地点锚点'!G328&gt;WorldWidth)),"世界X越界；","")&amp;IF(AND('03_地点锚点'!H328&lt;&gt;"",OR('03_地点锚点'!H328&lt;0,'03_地点锚点'!H328&gt;WorldHeight)),"世界Y越界；","")&amp;IF(AND('03_地点锚点'!E328&lt;&gt;"",COUNTIF('02_固定地理'!$A$2:$A$501,'03_地点锚点'!E328)=0),"父级行政对象不存在；","")&amp;IF(AND('03_地点锚点'!F328&lt;&gt;"",COUNTIF('03_地点锚点'!$A$2:$A$501,'03_地点锚点'!F328)=0),"父级地点不存在；","")&amp;IF(AND('03_地点锚点'!A328&lt;&gt;"",COUNTIF('03_地点锚点'!$A$2:$A$501,'03_地点锚点'!A328)&gt;1),"ID重复；",""),"")</f>
        <v/>
      </c>
      <c r="G828" s="14">
        <f>IF(F828&lt;&gt;"","按字段批注、数据字典和来源记录修正后复核","")</f>
        <v/>
      </c>
      <c r="H828" s="14">
        <f>IF(F828&lt;&gt;"","待处理","")</f>
        <v/>
      </c>
    </row>
    <row r="829">
      <c r="A829" s="14">
        <f>IF(F829&lt;&gt;"","ISSUE-"&amp;TEXT(ROW()-1,"00000"),"")</f>
        <v/>
      </c>
      <c r="B829" s="14">
        <f>IF(F829&lt;&gt;"","错误","")</f>
        <v/>
      </c>
      <c r="C829" s="14">
        <f>IF('03_地点锚点'!A329&lt;&gt;"","03_地点锚点","")</f>
        <v/>
      </c>
      <c r="D829" s="14">
        <f>IF('03_地点锚点'!A329&lt;&gt;"",'03_地点锚点'!A329,"")</f>
        <v/>
      </c>
      <c r="E829" s="14">
        <f>IF(F829&lt;&gt;"","综合校验","")</f>
        <v/>
      </c>
      <c r="F829" s="14">
        <f>IF('03_地点锚点'!A329&lt;&gt;"",IF('03_地点锚点'!A329="","缺少地点ID；","")&amp;IF('03_地点锚点'!B329="","缺少中文名称；","")&amp;IF('03_地点锚点'!D329="","缺少地点类型；","")&amp;IF('03_地点锚点'!G329="","缺少世界X；","")&amp;IF('03_地点锚点'!H329="","缺少世界Y；","")&amp;IF(AND('03_地点锚点'!G329&lt;&gt;"",OR('03_地点锚点'!G329&lt;0,'03_地点锚点'!G329&gt;WorldWidth)),"世界X越界；","")&amp;IF(AND('03_地点锚点'!H329&lt;&gt;"",OR('03_地点锚点'!H329&lt;0,'03_地点锚点'!H329&gt;WorldHeight)),"世界Y越界；","")&amp;IF(AND('03_地点锚点'!E329&lt;&gt;"",COUNTIF('02_固定地理'!$A$2:$A$501,'03_地点锚点'!E329)=0),"父级行政对象不存在；","")&amp;IF(AND('03_地点锚点'!F329&lt;&gt;"",COUNTIF('03_地点锚点'!$A$2:$A$501,'03_地点锚点'!F329)=0),"父级地点不存在；","")&amp;IF(AND('03_地点锚点'!A329&lt;&gt;"",COUNTIF('03_地点锚点'!$A$2:$A$501,'03_地点锚点'!A329)&gt;1),"ID重复；",""),"")</f>
        <v/>
      </c>
      <c r="G829" s="14">
        <f>IF(F829&lt;&gt;"","按字段批注、数据字典和来源记录修正后复核","")</f>
        <v/>
      </c>
      <c r="H829" s="14">
        <f>IF(F829&lt;&gt;"","待处理","")</f>
        <v/>
      </c>
    </row>
    <row r="830">
      <c r="A830" s="14">
        <f>IF(F830&lt;&gt;"","ISSUE-"&amp;TEXT(ROW()-1,"00000"),"")</f>
        <v/>
      </c>
      <c r="B830" s="14">
        <f>IF(F830&lt;&gt;"","错误","")</f>
        <v/>
      </c>
      <c r="C830" s="14">
        <f>IF('03_地点锚点'!A330&lt;&gt;"","03_地点锚点","")</f>
        <v/>
      </c>
      <c r="D830" s="14">
        <f>IF('03_地点锚点'!A330&lt;&gt;"",'03_地点锚点'!A330,"")</f>
        <v/>
      </c>
      <c r="E830" s="14">
        <f>IF(F830&lt;&gt;"","综合校验","")</f>
        <v/>
      </c>
      <c r="F830" s="14">
        <f>IF('03_地点锚点'!A330&lt;&gt;"",IF('03_地点锚点'!A330="","缺少地点ID；","")&amp;IF('03_地点锚点'!B330="","缺少中文名称；","")&amp;IF('03_地点锚点'!D330="","缺少地点类型；","")&amp;IF('03_地点锚点'!G330="","缺少世界X；","")&amp;IF('03_地点锚点'!H330="","缺少世界Y；","")&amp;IF(AND('03_地点锚点'!G330&lt;&gt;"",OR('03_地点锚点'!G330&lt;0,'03_地点锚点'!G330&gt;WorldWidth)),"世界X越界；","")&amp;IF(AND('03_地点锚点'!H330&lt;&gt;"",OR('03_地点锚点'!H330&lt;0,'03_地点锚点'!H330&gt;WorldHeight)),"世界Y越界；","")&amp;IF(AND('03_地点锚点'!E330&lt;&gt;"",COUNTIF('02_固定地理'!$A$2:$A$501,'03_地点锚点'!E330)=0),"父级行政对象不存在；","")&amp;IF(AND('03_地点锚点'!F330&lt;&gt;"",COUNTIF('03_地点锚点'!$A$2:$A$501,'03_地点锚点'!F330)=0),"父级地点不存在；","")&amp;IF(AND('03_地点锚点'!A330&lt;&gt;"",COUNTIF('03_地点锚点'!$A$2:$A$501,'03_地点锚点'!A330)&gt;1),"ID重复；",""),"")</f>
        <v/>
      </c>
      <c r="G830" s="14">
        <f>IF(F830&lt;&gt;"","按字段批注、数据字典和来源记录修正后复核","")</f>
        <v/>
      </c>
      <c r="H830" s="14">
        <f>IF(F830&lt;&gt;"","待处理","")</f>
        <v/>
      </c>
    </row>
    <row r="831">
      <c r="A831" s="14">
        <f>IF(F831&lt;&gt;"","ISSUE-"&amp;TEXT(ROW()-1,"00000"),"")</f>
        <v/>
      </c>
      <c r="B831" s="14">
        <f>IF(F831&lt;&gt;"","错误","")</f>
        <v/>
      </c>
      <c r="C831" s="14">
        <f>IF('03_地点锚点'!A331&lt;&gt;"","03_地点锚点","")</f>
        <v/>
      </c>
      <c r="D831" s="14">
        <f>IF('03_地点锚点'!A331&lt;&gt;"",'03_地点锚点'!A331,"")</f>
        <v/>
      </c>
      <c r="E831" s="14">
        <f>IF(F831&lt;&gt;"","综合校验","")</f>
        <v/>
      </c>
      <c r="F831" s="14">
        <f>IF('03_地点锚点'!A331&lt;&gt;"",IF('03_地点锚点'!A331="","缺少地点ID；","")&amp;IF('03_地点锚点'!B331="","缺少中文名称；","")&amp;IF('03_地点锚点'!D331="","缺少地点类型；","")&amp;IF('03_地点锚点'!G331="","缺少世界X；","")&amp;IF('03_地点锚点'!H331="","缺少世界Y；","")&amp;IF(AND('03_地点锚点'!G331&lt;&gt;"",OR('03_地点锚点'!G331&lt;0,'03_地点锚点'!G331&gt;WorldWidth)),"世界X越界；","")&amp;IF(AND('03_地点锚点'!H331&lt;&gt;"",OR('03_地点锚点'!H331&lt;0,'03_地点锚点'!H331&gt;WorldHeight)),"世界Y越界；","")&amp;IF(AND('03_地点锚点'!E331&lt;&gt;"",COUNTIF('02_固定地理'!$A$2:$A$501,'03_地点锚点'!E331)=0),"父级行政对象不存在；","")&amp;IF(AND('03_地点锚点'!F331&lt;&gt;"",COUNTIF('03_地点锚点'!$A$2:$A$501,'03_地点锚点'!F331)=0),"父级地点不存在；","")&amp;IF(AND('03_地点锚点'!A331&lt;&gt;"",COUNTIF('03_地点锚点'!$A$2:$A$501,'03_地点锚点'!A331)&gt;1),"ID重复；",""),"")</f>
        <v/>
      </c>
      <c r="G831" s="14">
        <f>IF(F831&lt;&gt;"","按字段批注、数据字典和来源记录修正后复核","")</f>
        <v/>
      </c>
      <c r="H831" s="14">
        <f>IF(F831&lt;&gt;"","待处理","")</f>
        <v/>
      </c>
    </row>
    <row r="832">
      <c r="A832" s="14">
        <f>IF(F832&lt;&gt;"","ISSUE-"&amp;TEXT(ROW()-1,"00000"),"")</f>
        <v/>
      </c>
      <c r="B832" s="14">
        <f>IF(F832&lt;&gt;"","错误","")</f>
        <v/>
      </c>
      <c r="C832" s="14">
        <f>IF('03_地点锚点'!A332&lt;&gt;"","03_地点锚点","")</f>
        <v/>
      </c>
      <c r="D832" s="14">
        <f>IF('03_地点锚点'!A332&lt;&gt;"",'03_地点锚点'!A332,"")</f>
        <v/>
      </c>
      <c r="E832" s="14">
        <f>IF(F832&lt;&gt;"","综合校验","")</f>
        <v/>
      </c>
      <c r="F832" s="14">
        <f>IF('03_地点锚点'!A332&lt;&gt;"",IF('03_地点锚点'!A332="","缺少地点ID；","")&amp;IF('03_地点锚点'!B332="","缺少中文名称；","")&amp;IF('03_地点锚点'!D332="","缺少地点类型；","")&amp;IF('03_地点锚点'!G332="","缺少世界X；","")&amp;IF('03_地点锚点'!H332="","缺少世界Y；","")&amp;IF(AND('03_地点锚点'!G332&lt;&gt;"",OR('03_地点锚点'!G332&lt;0,'03_地点锚点'!G332&gt;WorldWidth)),"世界X越界；","")&amp;IF(AND('03_地点锚点'!H332&lt;&gt;"",OR('03_地点锚点'!H332&lt;0,'03_地点锚点'!H332&gt;WorldHeight)),"世界Y越界；","")&amp;IF(AND('03_地点锚点'!E332&lt;&gt;"",COUNTIF('02_固定地理'!$A$2:$A$501,'03_地点锚点'!E332)=0),"父级行政对象不存在；","")&amp;IF(AND('03_地点锚点'!F332&lt;&gt;"",COUNTIF('03_地点锚点'!$A$2:$A$501,'03_地点锚点'!F332)=0),"父级地点不存在；","")&amp;IF(AND('03_地点锚点'!A332&lt;&gt;"",COUNTIF('03_地点锚点'!$A$2:$A$501,'03_地点锚点'!A332)&gt;1),"ID重复；",""),"")</f>
        <v/>
      </c>
      <c r="G832" s="14">
        <f>IF(F832&lt;&gt;"","按字段批注、数据字典和来源记录修正后复核","")</f>
        <v/>
      </c>
      <c r="H832" s="14">
        <f>IF(F832&lt;&gt;"","待处理","")</f>
        <v/>
      </c>
    </row>
    <row r="833">
      <c r="A833" s="14">
        <f>IF(F833&lt;&gt;"","ISSUE-"&amp;TEXT(ROW()-1,"00000"),"")</f>
        <v/>
      </c>
      <c r="B833" s="14">
        <f>IF(F833&lt;&gt;"","错误","")</f>
        <v/>
      </c>
      <c r="C833" s="14">
        <f>IF('03_地点锚点'!A333&lt;&gt;"","03_地点锚点","")</f>
        <v/>
      </c>
      <c r="D833" s="14">
        <f>IF('03_地点锚点'!A333&lt;&gt;"",'03_地点锚点'!A333,"")</f>
        <v/>
      </c>
      <c r="E833" s="14">
        <f>IF(F833&lt;&gt;"","综合校验","")</f>
        <v/>
      </c>
      <c r="F833" s="14">
        <f>IF('03_地点锚点'!A333&lt;&gt;"",IF('03_地点锚点'!A333="","缺少地点ID；","")&amp;IF('03_地点锚点'!B333="","缺少中文名称；","")&amp;IF('03_地点锚点'!D333="","缺少地点类型；","")&amp;IF('03_地点锚点'!G333="","缺少世界X；","")&amp;IF('03_地点锚点'!H333="","缺少世界Y；","")&amp;IF(AND('03_地点锚点'!G333&lt;&gt;"",OR('03_地点锚点'!G333&lt;0,'03_地点锚点'!G333&gt;WorldWidth)),"世界X越界；","")&amp;IF(AND('03_地点锚点'!H333&lt;&gt;"",OR('03_地点锚点'!H333&lt;0,'03_地点锚点'!H333&gt;WorldHeight)),"世界Y越界；","")&amp;IF(AND('03_地点锚点'!E333&lt;&gt;"",COUNTIF('02_固定地理'!$A$2:$A$501,'03_地点锚点'!E333)=0),"父级行政对象不存在；","")&amp;IF(AND('03_地点锚点'!F333&lt;&gt;"",COUNTIF('03_地点锚点'!$A$2:$A$501,'03_地点锚点'!F333)=0),"父级地点不存在；","")&amp;IF(AND('03_地点锚点'!A333&lt;&gt;"",COUNTIF('03_地点锚点'!$A$2:$A$501,'03_地点锚点'!A333)&gt;1),"ID重复；",""),"")</f>
        <v/>
      </c>
      <c r="G833" s="14">
        <f>IF(F833&lt;&gt;"","按字段批注、数据字典和来源记录修正后复核","")</f>
        <v/>
      </c>
      <c r="H833" s="14">
        <f>IF(F833&lt;&gt;"","待处理","")</f>
        <v/>
      </c>
    </row>
    <row r="834">
      <c r="A834" s="14">
        <f>IF(F834&lt;&gt;"","ISSUE-"&amp;TEXT(ROW()-1,"00000"),"")</f>
        <v/>
      </c>
      <c r="B834" s="14">
        <f>IF(F834&lt;&gt;"","错误","")</f>
        <v/>
      </c>
      <c r="C834" s="14">
        <f>IF('03_地点锚点'!A334&lt;&gt;"","03_地点锚点","")</f>
        <v/>
      </c>
      <c r="D834" s="14">
        <f>IF('03_地点锚点'!A334&lt;&gt;"",'03_地点锚点'!A334,"")</f>
        <v/>
      </c>
      <c r="E834" s="14">
        <f>IF(F834&lt;&gt;"","综合校验","")</f>
        <v/>
      </c>
      <c r="F834" s="14">
        <f>IF('03_地点锚点'!A334&lt;&gt;"",IF('03_地点锚点'!A334="","缺少地点ID；","")&amp;IF('03_地点锚点'!B334="","缺少中文名称；","")&amp;IF('03_地点锚点'!D334="","缺少地点类型；","")&amp;IF('03_地点锚点'!G334="","缺少世界X；","")&amp;IF('03_地点锚点'!H334="","缺少世界Y；","")&amp;IF(AND('03_地点锚点'!G334&lt;&gt;"",OR('03_地点锚点'!G334&lt;0,'03_地点锚点'!G334&gt;WorldWidth)),"世界X越界；","")&amp;IF(AND('03_地点锚点'!H334&lt;&gt;"",OR('03_地点锚点'!H334&lt;0,'03_地点锚点'!H334&gt;WorldHeight)),"世界Y越界；","")&amp;IF(AND('03_地点锚点'!E334&lt;&gt;"",COUNTIF('02_固定地理'!$A$2:$A$501,'03_地点锚点'!E334)=0),"父级行政对象不存在；","")&amp;IF(AND('03_地点锚点'!F334&lt;&gt;"",COUNTIF('03_地点锚点'!$A$2:$A$501,'03_地点锚点'!F334)=0),"父级地点不存在；","")&amp;IF(AND('03_地点锚点'!A334&lt;&gt;"",COUNTIF('03_地点锚点'!$A$2:$A$501,'03_地点锚点'!A334)&gt;1),"ID重复；",""),"")</f>
        <v/>
      </c>
      <c r="G834" s="14">
        <f>IF(F834&lt;&gt;"","按字段批注、数据字典和来源记录修正后复核","")</f>
        <v/>
      </c>
      <c r="H834" s="14">
        <f>IF(F834&lt;&gt;"","待处理","")</f>
        <v/>
      </c>
    </row>
    <row r="835">
      <c r="A835" s="14">
        <f>IF(F835&lt;&gt;"","ISSUE-"&amp;TEXT(ROW()-1,"00000"),"")</f>
        <v/>
      </c>
      <c r="B835" s="14">
        <f>IF(F835&lt;&gt;"","错误","")</f>
        <v/>
      </c>
      <c r="C835" s="14">
        <f>IF('03_地点锚点'!A335&lt;&gt;"","03_地点锚点","")</f>
        <v/>
      </c>
      <c r="D835" s="14">
        <f>IF('03_地点锚点'!A335&lt;&gt;"",'03_地点锚点'!A335,"")</f>
        <v/>
      </c>
      <c r="E835" s="14">
        <f>IF(F835&lt;&gt;"","综合校验","")</f>
        <v/>
      </c>
      <c r="F835" s="14">
        <f>IF('03_地点锚点'!A335&lt;&gt;"",IF('03_地点锚点'!A335="","缺少地点ID；","")&amp;IF('03_地点锚点'!B335="","缺少中文名称；","")&amp;IF('03_地点锚点'!D335="","缺少地点类型；","")&amp;IF('03_地点锚点'!G335="","缺少世界X；","")&amp;IF('03_地点锚点'!H335="","缺少世界Y；","")&amp;IF(AND('03_地点锚点'!G335&lt;&gt;"",OR('03_地点锚点'!G335&lt;0,'03_地点锚点'!G335&gt;WorldWidth)),"世界X越界；","")&amp;IF(AND('03_地点锚点'!H335&lt;&gt;"",OR('03_地点锚点'!H335&lt;0,'03_地点锚点'!H335&gt;WorldHeight)),"世界Y越界；","")&amp;IF(AND('03_地点锚点'!E335&lt;&gt;"",COUNTIF('02_固定地理'!$A$2:$A$501,'03_地点锚点'!E335)=0),"父级行政对象不存在；","")&amp;IF(AND('03_地点锚点'!F335&lt;&gt;"",COUNTIF('03_地点锚点'!$A$2:$A$501,'03_地点锚点'!F335)=0),"父级地点不存在；","")&amp;IF(AND('03_地点锚点'!A335&lt;&gt;"",COUNTIF('03_地点锚点'!$A$2:$A$501,'03_地点锚点'!A335)&gt;1),"ID重复；",""),"")</f>
        <v/>
      </c>
      <c r="G835" s="14">
        <f>IF(F835&lt;&gt;"","按字段批注、数据字典和来源记录修正后复核","")</f>
        <v/>
      </c>
      <c r="H835" s="14">
        <f>IF(F835&lt;&gt;"","待处理","")</f>
        <v/>
      </c>
    </row>
    <row r="836">
      <c r="A836" s="14">
        <f>IF(F836&lt;&gt;"","ISSUE-"&amp;TEXT(ROW()-1,"00000"),"")</f>
        <v/>
      </c>
      <c r="B836" s="14">
        <f>IF(F836&lt;&gt;"","错误","")</f>
        <v/>
      </c>
      <c r="C836" s="14">
        <f>IF('03_地点锚点'!A336&lt;&gt;"","03_地点锚点","")</f>
        <v/>
      </c>
      <c r="D836" s="14">
        <f>IF('03_地点锚点'!A336&lt;&gt;"",'03_地点锚点'!A336,"")</f>
        <v/>
      </c>
      <c r="E836" s="14">
        <f>IF(F836&lt;&gt;"","综合校验","")</f>
        <v/>
      </c>
      <c r="F836" s="14">
        <f>IF('03_地点锚点'!A336&lt;&gt;"",IF('03_地点锚点'!A336="","缺少地点ID；","")&amp;IF('03_地点锚点'!B336="","缺少中文名称；","")&amp;IF('03_地点锚点'!D336="","缺少地点类型；","")&amp;IF('03_地点锚点'!G336="","缺少世界X；","")&amp;IF('03_地点锚点'!H336="","缺少世界Y；","")&amp;IF(AND('03_地点锚点'!G336&lt;&gt;"",OR('03_地点锚点'!G336&lt;0,'03_地点锚点'!G336&gt;WorldWidth)),"世界X越界；","")&amp;IF(AND('03_地点锚点'!H336&lt;&gt;"",OR('03_地点锚点'!H336&lt;0,'03_地点锚点'!H336&gt;WorldHeight)),"世界Y越界；","")&amp;IF(AND('03_地点锚点'!E336&lt;&gt;"",COUNTIF('02_固定地理'!$A$2:$A$501,'03_地点锚点'!E336)=0),"父级行政对象不存在；","")&amp;IF(AND('03_地点锚点'!F336&lt;&gt;"",COUNTIF('03_地点锚点'!$A$2:$A$501,'03_地点锚点'!F336)=0),"父级地点不存在；","")&amp;IF(AND('03_地点锚点'!A336&lt;&gt;"",COUNTIF('03_地点锚点'!$A$2:$A$501,'03_地点锚点'!A336)&gt;1),"ID重复；",""),"")</f>
        <v/>
      </c>
      <c r="G836" s="14">
        <f>IF(F836&lt;&gt;"","按字段批注、数据字典和来源记录修正后复核","")</f>
        <v/>
      </c>
      <c r="H836" s="14">
        <f>IF(F836&lt;&gt;"","待处理","")</f>
        <v/>
      </c>
    </row>
    <row r="837">
      <c r="A837" s="14">
        <f>IF(F837&lt;&gt;"","ISSUE-"&amp;TEXT(ROW()-1,"00000"),"")</f>
        <v/>
      </c>
      <c r="B837" s="14">
        <f>IF(F837&lt;&gt;"","错误","")</f>
        <v/>
      </c>
      <c r="C837" s="14">
        <f>IF('03_地点锚点'!A337&lt;&gt;"","03_地点锚点","")</f>
        <v/>
      </c>
      <c r="D837" s="14">
        <f>IF('03_地点锚点'!A337&lt;&gt;"",'03_地点锚点'!A337,"")</f>
        <v/>
      </c>
      <c r="E837" s="14">
        <f>IF(F837&lt;&gt;"","综合校验","")</f>
        <v/>
      </c>
      <c r="F837" s="14">
        <f>IF('03_地点锚点'!A337&lt;&gt;"",IF('03_地点锚点'!A337="","缺少地点ID；","")&amp;IF('03_地点锚点'!B337="","缺少中文名称；","")&amp;IF('03_地点锚点'!D337="","缺少地点类型；","")&amp;IF('03_地点锚点'!G337="","缺少世界X；","")&amp;IF('03_地点锚点'!H337="","缺少世界Y；","")&amp;IF(AND('03_地点锚点'!G337&lt;&gt;"",OR('03_地点锚点'!G337&lt;0,'03_地点锚点'!G337&gt;WorldWidth)),"世界X越界；","")&amp;IF(AND('03_地点锚点'!H337&lt;&gt;"",OR('03_地点锚点'!H337&lt;0,'03_地点锚点'!H337&gt;WorldHeight)),"世界Y越界；","")&amp;IF(AND('03_地点锚点'!E337&lt;&gt;"",COUNTIF('02_固定地理'!$A$2:$A$501,'03_地点锚点'!E337)=0),"父级行政对象不存在；","")&amp;IF(AND('03_地点锚点'!F337&lt;&gt;"",COUNTIF('03_地点锚点'!$A$2:$A$501,'03_地点锚点'!F337)=0),"父级地点不存在；","")&amp;IF(AND('03_地点锚点'!A337&lt;&gt;"",COUNTIF('03_地点锚点'!$A$2:$A$501,'03_地点锚点'!A337)&gt;1),"ID重复；",""),"")</f>
        <v/>
      </c>
      <c r="G837" s="14">
        <f>IF(F837&lt;&gt;"","按字段批注、数据字典和来源记录修正后复核","")</f>
        <v/>
      </c>
      <c r="H837" s="14">
        <f>IF(F837&lt;&gt;"","待处理","")</f>
        <v/>
      </c>
    </row>
    <row r="838">
      <c r="A838" s="14">
        <f>IF(F838&lt;&gt;"","ISSUE-"&amp;TEXT(ROW()-1,"00000"),"")</f>
        <v/>
      </c>
      <c r="B838" s="14">
        <f>IF(F838&lt;&gt;"","错误","")</f>
        <v/>
      </c>
      <c r="C838" s="14">
        <f>IF('03_地点锚点'!A338&lt;&gt;"","03_地点锚点","")</f>
        <v/>
      </c>
      <c r="D838" s="14">
        <f>IF('03_地点锚点'!A338&lt;&gt;"",'03_地点锚点'!A338,"")</f>
        <v/>
      </c>
      <c r="E838" s="14">
        <f>IF(F838&lt;&gt;"","综合校验","")</f>
        <v/>
      </c>
      <c r="F838" s="14">
        <f>IF('03_地点锚点'!A338&lt;&gt;"",IF('03_地点锚点'!A338="","缺少地点ID；","")&amp;IF('03_地点锚点'!B338="","缺少中文名称；","")&amp;IF('03_地点锚点'!D338="","缺少地点类型；","")&amp;IF('03_地点锚点'!G338="","缺少世界X；","")&amp;IF('03_地点锚点'!H338="","缺少世界Y；","")&amp;IF(AND('03_地点锚点'!G338&lt;&gt;"",OR('03_地点锚点'!G338&lt;0,'03_地点锚点'!G338&gt;WorldWidth)),"世界X越界；","")&amp;IF(AND('03_地点锚点'!H338&lt;&gt;"",OR('03_地点锚点'!H338&lt;0,'03_地点锚点'!H338&gt;WorldHeight)),"世界Y越界；","")&amp;IF(AND('03_地点锚点'!E338&lt;&gt;"",COUNTIF('02_固定地理'!$A$2:$A$501,'03_地点锚点'!E338)=0),"父级行政对象不存在；","")&amp;IF(AND('03_地点锚点'!F338&lt;&gt;"",COUNTIF('03_地点锚点'!$A$2:$A$501,'03_地点锚点'!F338)=0),"父级地点不存在；","")&amp;IF(AND('03_地点锚点'!A338&lt;&gt;"",COUNTIF('03_地点锚点'!$A$2:$A$501,'03_地点锚点'!A338)&gt;1),"ID重复；",""),"")</f>
        <v/>
      </c>
      <c r="G838" s="14">
        <f>IF(F838&lt;&gt;"","按字段批注、数据字典和来源记录修正后复核","")</f>
        <v/>
      </c>
      <c r="H838" s="14">
        <f>IF(F838&lt;&gt;"","待处理","")</f>
        <v/>
      </c>
    </row>
    <row r="839">
      <c r="A839" s="14">
        <f>IF(F839&lt;&gt;"","ISSUE-"&amp;TEXT(ROW()-1,"00000"),"")</f>
        <v/>
      </c>
      <c r="B839" s="14">
        <f>IF(F839&lt;&gt;"","错误","")</f>
        <v/>
      </c>
      <c r="C839" s="14">
        <f>IF('03_地点锚点'!A339&lt;&gt;"","03_地点锚点","")</f>
        <v/>
      </c>
      <c r="D839" s="14">
        <f>IF('03_地点锚点'!A339&lt;&gt;"",'03_地点锚点'!A339,"")</f>
        <v/>
      </c>
      <c r="E839" s="14">
        <f>IF(F839&lt;&gt;"","综合校验","")</f>
        <v/>
      </c>
      <c r="F839" s="14">
        <f>IF('03_地点锚点'!A339&lt;&gt;"",IF('03_地点锚点'!A339="","缺少地点ID；","")&amp;IF('03_地点锚点'!B339="","缺少中文名称；","")&amp;IF('03_地点锚点'!D339="","缺少地点类型；","")&amp;IF('03_地点锚点'!G339="","缺少世界X；","")&amp;IF('03_地点锚点'!H339="","缺少世界Y；","")&amp;IF(AND('03_地点锚点'!G339&lt;&gt;"",OR('03_地点锚点'!G339&lt;0,'03_地点锚点'!G339&gt;WorldWidth)),"世界X越界；","")&amp;IF(AND('03_地点锚点'!H339&lt;&gt;"",OR('03_地点锚点'!H339&lt;0,'03_地点锚点'!H339&gt;WorldHeight)),"世界Y越界；","")&amp;IF(AND('03_地点锚点'!E339&lt;&gt;"",COUNTIF('02_固定地理'!$A$2:$A$501,'03_地点锚点'!E339)=0),"父级行政对象不存在；","")&amp;IF(AND('03_地点锚点'!F339&lt;&gt;"",COUNTIF('03_地点锚点'!$A$2:$A$501,'03_地点锚点'!F339)=0),"父级地点不存在；","")&amp;IF(AND('03_地点锚点'!A339&lt;&gt;"",COUNTIF('03_地点锚点'!$A$2:$A$501,'03_地点锚点'!A339)&gt;1),"ID重复；",""),"")</f>
        <v/>
      </c>
      <c r="G839" s="14">
        <f>IF(F839&lt;&gt;"","按字段批注、数据字典和来源记录修正后复核","")</f>
        <v/>
      </c>
      <c r="H839" s="14">
        <f>IF(F839&lt;&gt;"","待处理","")</f>
        <v/>
      </c>
    </row>
    <row r="840">
      <c r="A840" s="14">
        <f>IF(F840&lt;&gt;"","ISSUE-"&amp;TEXT(ROW()-1,"00000"),"")</f>
        <v/>
      </c>
      <c r="B840" s="14">
        <f>IF(F840&lt;&gt;"","错误","")</f>
        <v/>
      </c>
      <c r="C840" s="14">
        <f>IF('03_地点锚点'!A340&lt;&gt;"","03_地点锚点","")</f>
        <v/>
      </c>
      <c r="D840" s="14">
        <f>IF('03_地点锚点'!A340&lt;&gt;"",'03_地点锚点'!A340,"")</f>
        <v/>
      </c>
      <c r="E840" s="14">
        <f>IF(F840&lt;&gt;"","综合校验","")</f>
        <v/>
      </c>
      <c r="F840" s="14">
        <f>IF('03_地点锚点'!A340&lt;&gt;"",IF('03_地点锚点'!A340="","缺少地点ID；","")&amp;IF('03_地点锚点'!B340="","缺少中文名称；","")&amp;IF('03_地点锚点'!D340="","缺少地点类型；","")&amp;IF('03_地点锚点'!G340="","缺少世界X；","")&amp;IF('03_地点锚点'!H340="","缺少世界Y；","")&amp;IF(AND('03_地点锚点'!G340&lt;&gt;"",OR('03_地点锚点'!G340&lt;0,'03_地点锚点'!G340&gt;WorldWidth)),"世界X越界；","")&amp;IF(AND('03_地点锚点'!H340&lt;&gt;"",OR('03_地点锚点'!H340&lt;0,'03_地点锚点'!H340&gt;WorldHeight)),"世界Y越界；","")&amp;IF(AND('03_地点锚点'!E340&lt;&gt;"",COUNTIF('02_固定地理'!$A$2:$A$501,'03_地点锚点'!E340)=0),"父级行政对象不存在；","")&amp;IF(AND('03_地点锚点'!F340&lt;&gt;"",COUNTIF('03_地点锚点'!$A$2:$A$501,'03_地点锚点'!F340)=0),"父级地点不存在；","")&amp;IF(AND('03_地点锚点'!A340&lt;&gt;"",COUNTIF('03_地点锚点'!$A$2:$A$501,'03_地点锚点'!A340)&gt;1),"ID重复；",""),"")</f>
        <v/>
      </c>
      <c r="G840" s="14">
        <f>IF(F840&lt;&gt;"","按字段批注、数据字典和来源记录修正后复核","")</f>
        <v/>
      </c>
      <c r="H840" s="14">
        <f>IF(F840&lt;&gt;"","待处理","")</f>
        <v/>
      </c>
    </row>
    <row r="841">
      <c r="A841" s="14">
        <f>IF(F841&lt;&gt;"","ISSUE-"&amp;TEXT(ROW()-1,"00000"),"")</f>
        <v/>
      </c>
      <c r="B841" s="14">
        <f>IF(F841&lt;&gt;"","错误","")</f>
        <v/>
      </c>
      <c r="C841" s="14">
        <f>IF('03_地点锚点'!A341&lt;&gt;"","03_地点锚点","")</f>
        <v/>
      </c>
      <c r="D841" s="14">
        <f>IF('03_地点锚点'!A341&lt;&gt;"",'03_地点锚点'!A341,"")</f>
        <v/>
      </c>
      <c r="E841" s="14">
        <f>IF(F841&lt;&gt;"","综合校验","")</f>
        <v/>
      </c>
      <c r="F841" s="14">
        <f>IF('03_地点锚点'!A341&lt;&gt;"",IF('03_地点锚点'!A341="","缺少地点ID；","")&amp;IF('03_地点锚点'!B341="","缺少中文名称；","")&amp;IF('03_地点锚点'!D341="","缺少地点类型；","")&amp;IF('03_地点锚点'!G341="","缺少世界X；","")&amp;IF('03_地点锚点'!H341="","缺少世界Y；","")&amp;IF(AND('03_地点锚点'!G341&lt;&gt;"",OR('03_地点锚点'!G341&lt;0,'03_地点锚点'!G341&gt;WorldWidth)),"世界X越界；","")&amp;IF(AND('03_地点锚点'!H341&lt;&gt;"",OR('03_地点锚点'!H341&lt;0,'03_地点锚点'!H341&gt;WorldHeight)),"世界Y越界；","")&amp;IF(AND('03_地点锚点'!E341&lt;&gt;"",COUNTIF('02_固定地理'!$A$2:$A$501,'03_地点锚点'!E341)=0),"父级行政对象不存在；","")&amp;IF(AND('03_地点锚点'!F341&lt;&gt;"",COUNTIF('03_地点锚点'!$A$2:$A$501,'03_地点锚点'!F341)=0),"父级地点不存在；","")&amp;IF(AND('03_地点锚点'!A341&lt;&gt;"",COUNTIF('03_地点锚点'!$A$2:$A$501,'03_地点锚点'!A341)&gt;1),"ID重复；",""),"")</f>
        <v/>
      </c>
      <c r="G841" s="14">
        <f>IF(F841&lt;&gt;"","按字段批注、数据字典和来源记录修正后复核","")</f>
        <v/>
      </c>
      <c r="H841" s="14">
        <f>IF(F841&lt;&gt;"","待处理","")</f>
        <v/>
      </c>
    </row>
    <row r="842">
      <c r="A842" s="14">
        <f>IF(F842&lt;&gt;"","ISSUE-"&amp;TEXT(ROW()-1,"00000"),"")</f>
        <v/>
      </c>
      <c r="B842" s="14">
        <f>IF(F842&lt;&gt;"","错误","")</f>
        <v/>
      </c>
      <c r="C842" s="14">
        <f>IF('03_地点锚点'!A342&lt;&gt;"","03_地点锚点","")</f>
        <v/>
      </c>
      <c r="D842" s="14">
        <f>IF('03_地点锚点'!A342&lt;&gt;"",'03_地点锚点'!A342,"")</f>
        <v/>
      </c>
      <c r="E842" s="14">
        <f>IF(F842&lt;&gt;"","综合校验","")</f>
        <v/>
      </c>
      <c r="F842" s="14">
        <f>IF('03_地点锚点'!A342&lt;&gt;"",IF('03_地点锚点'!A342="","缺少地点ID；","")&amp;IF('03_地点锚点'!B342="","缺少中文名称；","")&amp;IF('03_地点锚点'!D342="","缺少地点类型；","")&amp;IF('03_地点锚点'!G342="","缺少世界X；","")&amp;IF('03_地点锚点'!H342="","缺少世界Y；","")&amp;IF(AND('03_地点锚点'!G342&lt;&gt;"",OR('03_地点锚点'!G342&lt;0,'03_地点锚点'!G342&gt;WorldWidth)),"世界X越界；","")&amp;IF(AND('03_地点锚点'!H342&lt;&gt;"",OR('03_地点锚点'!H342&lt;0,'03_地点锚点'!H342&gt;WorldHeight)),"世界Y越界；","")&amp;IF(AND('03_地点锚点'!E342&lt;&gt;"",COUNTIF('02_固定地理'!$A$2:$A$501,'03_地点锚点'!E342)=0),"父级行政对象不存在；","")&amp;IF(AND('03_地点锚点'!F342&lt;&gt;"",COUNTIF('03_地点锚点'!$A$2:$A$501,'03_地点锚点'!F342)=0),"父级地点不存在；","")&amp;IF(AND('03_地点锚点'!A342&lt;&gt;"",COUNTIF('03_地点锚点'!$A$2:$A$501,'03_地点锚点'!A342)&gt;1),"ID重复；",""),"")</f>
        <v/>
      </c>
      <c r="G842" s="14">
        <f>IF(F842&lt;&gt;"","按字段批注、数据字典和来源记录修正后复核","")</f>
        <v/>
      </c>
      <c r="H842" s="14">
        <f>IF(F842&lt;&gt;"","待处理","")</f>
        <v/>
      </c>
    </row>
    <row r="843">
      <c r="A843" s="14">
        <f>IF(F843&lt;&gt;"","ISSUE-"&amp;TEXT(ROW()-1,"00000"),"")</f>
        <v/>
      </c>
      <c r="B843" s="14">
        <f>IF(F843&lt;&gt;"","错误","")</f>
        <v/>
      </c>
      <c r="C843" s="14">
        <f>IF('03_地点锚点'!A343&lt;&gt;"","03_地点锚点","")</f>
        <v/>
      </c>
      <c r="D843" s="14">
        <f>IF('03_地点锚点'!A343&lt;&gt;"",'03_地点锚点'!A343,"")</f>
        <v/>
      </c>
      <c r="E843" s="14">
        <f>IF(F843&lt;&gt;"","综合校验","")</f>
        <v/>
      </c>
      <c r="F843" s="14">
        <f>IF('03_地点锚点'!A343&lt;&gt;"",IF('03_地点锚点'!A343="","缺少地点ID；","")&amp;IF('03_地点锚点'!B343="","缺少中文名称；","")&amp;IF('03_地点锚点'!D343="","缺少地点类型；","")&amp;IF('03_地点锚点'!G343="","缺少世界X；","")&amp;IF('03_地点锚点'!H343="","缺少世界Y；","")&amp;IF(AND('03_地点锚点'!G343&lt;&gt;"",OR('03_地点锚点'!G343&lt;0,'03_地点锚点'!G343&gt;WorldWidth)),"世界X越界；","")&amp;IF(AND('03_地点锚点'!H343&lt;&gt;"",OR('03_地点锚点'!H343&lt;0,'03_地点锚点'!H343&gt;WorldHeight)),"世界Y越界；","")&amp;IF(AND('03_地点锚点'!E343&lt;&gt;"",COUNTIF('02_固定地理'!$A$2:$A$501,'03_地点锚点'!E343)=0),"父级行政对象不存在；","")&amp;IF(AND('03_地点锚点'!F343&lt;&gt;"",COUNTIF('03_地点锚点'!$A$2:$A$501,'03_地点锚点'!F343)=0),"父级地点不存在；","")&amp;IF(AND('03_地点锚点'!A343&lt;&gt;"",COUNTIF('03_地点锚点'!$A$2:$A$501,'03_地点锚点'!A343)&gt;1),"ID重复；",""),"")</f>
        <v/>
      </c>
      <c r="G843" s="14">
        <f>IF(F843&lt;&gt;"","按字段批注、数据字典和来源记录修正后复核","")</f>
        <v/>
      </c>
      <c r="H843" s="14">
        <f>IF(F843&lt;&gt;"","待处理","")</f>
        <v/>
      </c>
    </row>
    <row r="844">
      <c r="A844" s="14">
        <f>IF(F844&lt;&gt;"","ISSUE-"&amp;TEXT(ROW()-1,"00000"),"")</f>
        <v/>
      </c>
      <c r="B844" s="14">
        <f>IF(F844&lt;&gt;"","错误","")</f>
        <v/>
      </c>
      <c r="C844" s="14">
        <f>IF('03_地点锚点'!A344&lt;&gt;"","03_地点锚点","")</f>
        <v/>
      </c>
      <c r="D844" s="14">
        <f>IF('03_地点锚点'!A344&lt;&gt;"",'03_地点锚点'!A344,"")</f>
        <v/>
      </c>
      <c r="E844" s="14">
        <f>IF(F844&lt;&gt;"","综合校验","")</f>
        <v/>
      </c>
      <c r="F844" s="14">
        <f>IF('03_地点锚点'!A344&lt;&gt;"",IF('03_地点锚点'!A344="","缺少地点ID；","")&amp;IF('03_地点锚点'!B344="","缺少中文名称；","")&amp;IF('03_地点锚点'!D344="","缺少地点类型；","")&amp;IF('03_地点锚点'!G344="","缺少世界X；","")&amp;IF('03_地点锚点'!H344="","缺少世界Y；","")&amp;IF(AND('03_地点锚点'!G344&lt;&gt;"",OR('03_地点锚点'!G344&lt;0,'03_地点锚点'!G344&gt;WorldWidth)),"世界X越界；","")&amp;IF(AND('03_地点锚点'!H344&lt;&gt;"",OR('03_地点锚点'!H344&lt;0,'03_地点锚点'!H344&gt;WorldHeight)),"世界Y越界；","")&amp;IF(AND('03_地点锚点'!E344&lt;&gt;"",COUNTIF('02_固定地理'!$A$2:$A$501,'03_地点锚点'!E344)=0),"父级行政对象不存在；","")&amp;IF(AND('03_地点锚点'!F344&lt;&gt;"",COUNTIF('03_地点锚点'!$A$2:$A$501,'03_地点锚点'!F344)=0),"父级地点不存在；","")&amp;IF(AND('03_地点锚点'!A344&lt;&gt;"",COUNTIF('03_地点锚点'!$A$2:$A$501,'03_地点锚点'!A344)&gt;1),"ID重复；",""),"")</f>
        <v/>
      </c>
      <c r="G844" s="14">
        <f>IF(F844&lt;&gt;"","按字段批注、数据字典和来源记录修正后复核","")</f>
        <v/>
      </c>
      <c r="H844" s="14">
        <f>IF(F844&lt;&gt;"","待处理","")</f>
        <v/>
      </c>
    </row>
    <row r="845">
      <c r="A845" s="14">
        <f>IF(F845&lt;&gt;"","ISSUE-"&amp;TEXT(ROW()-1,"00000"),"")</f>
        <v/>
      </c>
      <c r="B845" s="14">
        <f>IF(F845&lt;&gt;"","错误","")</f>
        <v/>
      </c>
      <c r="C845" s="14">
        <f>IF('03_地点锚点'!A345&lt;&gt;"","03_地点锚点","")</f>
        <v/>
      </c>
      <c r="D845" s="14">
        <f>IF('03_地点锚点'!A345&lt;&gt;"",'03_地点锚点'!A345,"")</f>
        <v/>
      </c>
      <c r="E845" s="14">
        <f>IF(F845&lt;&gt;"","综合校验","")</f>
        <v/>
      </c>
      <c r="F845" s="14">
        <f>IF('03_地点锚点'!A345&lt;&gt;"",IF('03_地点锚点'!A345="","缺少地点ID；","")&amp;IF('03_地点锚点'!B345="","缺少中文名称；","")&amp;IF('03_地点锚点'!D345="","缺少地点类型；","")&amp;IF('03_地点锚点'!G345="","缺少世界X；","")&amp;IF('03_地点锚点'!H345="","缺少世界Y；","")&amp;IF(AND('03_地点锚点'!G345&lt;&gt;"",OR('03_地点锚点'!G345&lt;0,'03_地点锚点'!G345&gt;WorldWidth)),"世界X越界；","")&amp;IF(AND('03_地点锚点'!H345&lt;&gt;"",OR('03_地点锚点'!H345&lt;0,'03_地点锚点'!H345&gt;WorldHeight)),"世界Y越界；","")&amp;IF(AND('03_地点锚点'!E345&lt;&gt;"",COUNTIF('02_固定地理'!$A$2:$A$501,'03_地点锚点'!E345)=0),"父级行政对象不存在；","")&amp;IF(AND('03_地点锚点'!F345&lt;&gt;"",COUNTIF('03_地点锚点'!$A$2:$A$501,'03_地点锚点'!F345)=0),"父级地点不存在；","")&amp;IF(AND('03_地点锚点'!A345&lt;&gt;"",COUNTIF('03_地点锚点'!$A$2:$A$501,'03_地点锚点'!A345)&gt;1),"ID重复；",""),"")</f>
        <v/>
      </c>
      <c r="G845" s="14">
        <f>IF(F845&lt;&gt;"","按字段批注、数据字典和来源记录修正后复核","")</f>
        <v/>
      </c>
      <c r="H845" s="14">
        <f>IF(F845&lt;&gt;"","待处理","")</f>
        <v/>
      </c>
    </row>
    <row r="846">
      <c r="A846" s="14">
        <f>IF(F846&lt;&gt;"","ISSUE-"&amp;TEXT(ROW()-1,"00000"),"")</f>
        <v/>
      </c>
      <c r="B846" s="14">
        <f>IF(F846&lt;&gt;"","错误","")</f>
        <v/>
      </c>
      <c r="C846" s="14">
        <f>IF('03_地点锚点'!A346&lt;&gt;"","03_地点锚点","")</f>
        <v/>
      </c>
      <c r="D846" s="14">
        <f>IF('03_地点锚点'!A346&lt;&gt;"",'03_地点锚点'!A346,"")</f>
        <v/>
      </c>
      <c r="E846" s="14">
        <f>IF(F846&lt;&gt;"","综合校验","")</f>
        <v/>
      </c>
      <c r="F846" s="14">
        <f>IF('03_地点锚点'!A346&lt;&gt;"",IF('03_地点锚点'!A346="","缺少地点ID；","")&amp;IF('03_地点锚点'!B346="","缺少中文名称；","")&amp;IF('03_地点锚点'!D346="","缺少地点类型；","")&amp;IF('03_地点锚点'!G346="","缺少世界X；","")&amp;IF('03_地点锚点'!H346="","缺少世界Y；","")&amp;IF(AND('03_地点锚点'!G346&lt;&gt;"",OR('03_地点锚点'!G346&lt;0,'03_地点锚点'!G346&gt;WorldWidth)),"世界X越界；","")&amp;IF(AND('03_地点锚点'!H346&lt;&gt;"",OR('03_地点锚点'!H346&lt;0,'03_地点锚点'!H346&gt;WorldHeight)),"世界Y越界；","")&amp;IF(AND('03_地点锚点'!E346&lt;&gt;"",COUNTIF('02_固定地理'!$A$2:$A$501,'03_地点锚点'!E346)=0),"父级行政对象不存在；","")&amp;IF(AND('03_地点锚点'!F346&lt;&gt;"",COUNTIF('03_地点锚点'!$A$2:$A$501,'03_地点锚点'!F346)=0),"父级地点不存在；","")&amp;IF(AND('03_地点锚点'!A346&lt;&gt;"",COUNTIF('03_地点锚点'!$A$2:$A$501,'03_地点锚点'!A346)&gt;1),"ID重复；",""),"")</f>
        <v/>
      </c>
      <c r="G846" s="14">
        <f>IF(F846&lt;&gt;"","按字段批注、数据字典和来源记录修正后复核","")</f>
        <v/>
      </c>
      <c r="H846" s="14">
        <f>IF(F846&lt;&gt;"","待处理","")</f>
        <v/>
      </c>
    </row>
    <row r="847">
      <c r="A847" s="14">
        <f>IF(F847&lt;&gt;"","ISSUE-"&amp;TEXT(ROW()-1,"00000"),"")</f>
        <v/>
      </c>
      <c r="B847" s="14">
        <f>IF(F847&lt;&gt;"","错误","")</f>
        <v/>
      </c>
      <c r="C847" s="14">
        <f>IF('03_地点锚点'!A347&lt;&gt;"","03_地点锚点","")</f>
        <v/>
      </c>
      <c r="D847" s="14">
        <f>IF('03_地点锚点'!A347&lt;&gt;"",'03_地点锚点'!A347,"")</f>
        <v/>
      </c>
      <c r="E847" s="14">
        <f>IF(F847&lt;&gt;"","综合校验","")</f>
        <v/>
      </c>
      <c r="F847" s="14">
        <f>IF('03_地点锚点'!A347&lt;&gt;"",IF('03_地点锚点'!A347="","缺少地点ID；","")&amp;IF('03_地点锚点'!B347="","缺少中文名称；","")&amp;IF('03_地点锚点'!D347="","缺少地点类型；","")&amp;IF('03_地点锚点'!G347="","缺少世界X；","")&amp;IF('03_地点锚点'!H347="","缺少世界Y；","")&amp;IF(AND('03_地点锚点'!G347&lt;&gt;"",OR('03_地点锚点'!G347&lt;0,'03_地点锚点'!G347&gt;WorldWidth)),"世界X越界；","")&amp;IF(AND('03_地点锚点'!H347&lt;&gt;"",OR('03_地点锚点'!H347&lt;0,'03_地点锚点'!H347&gt;WorldHeight)),"世界Y越界；","")&amp;IF(AND('03_地点锚点'!E347&lt;&gt;"",COUNTIF('02_固定地理'!$A$2:$A$501,'03_地点锚点'!E347)=0),"父级行政对象不存在；","")&amp;IF(AND('03_地点锚点'!F347&lt;&gt;"",COUNTIF('03_地点锚点'!$A$2:$A$501,'03_地点锚点'!F347)=0),"父级地点不存在；","")&amp;IF(AND('03_地点锚点'!A347&lt;&gt;"",COUNTIF('03_地点锚点'!$A$2:$A$501,'03_地点锚点'!A347)&gt;1),"ID重复；",""),"")</f>
        <v/>
      </c>
      <c r="G847" s="14">
        <f>IF(F847&lt;&gt;"","按字段批注、数据字典和来源记录修正后复核","")</f>
        <v/>
      </c>
      <c r="H847" s="14">
        <f>IF(F847&lt;&gt;"","待处理","")</f>
        <v/>
      </c>
    </row>
    <row r="848">
      <c r="A848" s="14">
        <f>IF(F848&lt;&gt;"","ISSUE-"&amp;TEXT(ROW()-1,"00000"),"")</f>
        <v/>
      </c>
      <c r="B848" s="14">
        <f>IF(F848&lt;&gt;"","错误","")</f>
        <v/>
      </c>
      <c r="C848" s="14">
        <f>IF('03_地点锚点'!A348&lt;&gt;"","03_地点锚点","")</f>
        <v/>
      </c>
      <c r="D848" s="14">
        <f>IF('03_地点锚点'!A348&lt;&gt;"",'03_地点锚点'!A348,"")</f>
        <v/>
      </c>
      <c r="E848" s="14">
        <f>IF(F848&lt;&gt;"","综合校验","")</f>
        <v/>
      </c>
      <c r="F848" s="14">
        <f>IF('03_地点锚点'!A348&lt;&gt;"",IF('03_地点锚点'!A348="","缺少地点ID；","")&amp;IF('03_地点锚点'!B348="","缺少中文名称；","")&amp;IF('03_地点锚点'!D348="","缺少地点类型；","")&amp;IF('03_地点锚点'!G348="","缺少世界X；","")&amp;IF('03_地点锚点'!H348="","缺少世界Y；","")&amp;IF(AND('03_地点锚点'!G348&lt;&gt;"",OR('03_地点锚点'!G348&lt;0,'03_地点锚点'!G348&gt;WorldWidth)),"世界X越界；","")&amp;IF(AND('03_地点锚点'!H348&lt;&gt;"",OR('03_地点锚点'!H348&lt;0,'03_地点锚点'!H348&gt;WorldHeight)),"世界Y越界；","")&amp;IF(AND('03_地点锚点'!E348&lt;&gt;"",COUNTIF('02_固定地理'!$A$2:$A$501,'03_地点锚点'!E348)=0),"父级行政对象不存在；","")&amp;IF(AND('03_地点锚点'!F348&lt;&gt;"",COUNTIF('03_地点锚点'!$A$2:$A$501,'03_地点锚点'!F348)=0),"父级地点不存在；","")&amp;IF(AND('03_地点锚点'!A348&lt;&gt;"",COUNTIF('03_地点锚点'!$A$2:$A$501,'03_地点锚点'!A348)&gt;1),"ID重复；",""),"")</f>
        <v/>
      </c>
      <c r="G848" s="14">
        <f>IF(F848&lt;&gt;"","按字段批注、数据字典和来源记录修正后复核","")</f>
        <v/>
      </c>
      <c r="H848" s="14">
        <f>IF(F848&lt;&gt;"","待处理","")</f>
        <v/>
      </c>
    </row>
    <row r="849">
      <c r="A849" s="14">
        <f>IF(F849&lt;&gt;"","ISSUE-"&amp;TEXT(ROW()-1,"00000"),"")</f>
        <v/>
      </c>
      <c r="B849" s="14">
        <f>IF(F849&lt;&gt;"","错误","")</f>
        <v/>
      </c>
      <c r="C849" s="14">
        <f>IF('03_地点锚点'!A349&lt;&gt;"","03_地点锚点","")</f>
        <v/>
      </c>
      <c r="D849" s="14">
        <f>IF('03_地点锚点'!A349&lt;&gt;"",'03_地点锚点'!A349,"")</f>
        <v/>
      </c>
      <c r="E849" s="14">
        <f>IF(F849&lt;&gt;"","综合校验","")</f>
        <v/>
      </c>
      <c r="F849" s="14">
        <f>IF('03_地点锚点'!A349&lt;&gt;"",IF('03_地点锚点'!A349="","缺少地点ID；","")&amp;IF('03_地点锚点'!B349="","缺少中文名称；","")&amp;IF('03_地点锚点'!D349="","缺少地点类型；","")&amp;IF('03_地点锚点'!G349="","缺少世界X；","")&amp;IF('03_地点锚点'!H349="","缺少世界Y；","")&amp;IF(AND('03_地点锚点'!G349&lt;&gt;"",OR('03_地点锚点'!G349&lt;0,'03_地点锚点'!G349&gt;WorldWidth)),"世界X越界；","")&amp;IF(AND('03_地点锚点'!H349&lt;&gt;"",OR('03_地点锚点'!H349&lt;0,'03_地点锚点'!H349&gt;WorldHeight)),"世界Y越界；","")&amp;IF(AND('03_地点锚点'!E349&lt;&gt;"",COUNTIF('02_固定地理'!$A$2:$A$501,'03_地点锚点'!E349)=0),"父级行政对象不存在；","")&amp;IF(AND('03_地点锚点'!F349&lt;&gt;"",COUNTIF('03_地点锚点'!$A$2:$A$501,'03_地点锚点'!F349)=0),"父级地点不存在；","")&amp;IF(AND('03_地点锚点'!A349&lt;&gt;"",COUNTIF('03_地点锚点'!$A$2:$A$501,'03_地点锚点'!A349)&gt;1),"ID重复；",""),"")</f>
        <v/>
      </c>
      <c r="G849" s="14">
        <f>IF(F849&lt;&gt;"","按字段批注、数据字典和来源记录修正后复核","")</f>
        <v/>
      </c>
      <c r="H849" s="14">
        <f>IF(F849&lt;&gt;"","待处理","")</f>
        <v/>
      </c>
    </row>
    <row r="850">
      <c r="A850" s="14">
        <f>IF(F850&lt;&gt;"","ISSUE-"&amp;TEXT(ROW()-1,"00000"),"")</f>
        <v/>
      </c>
      <c r="B850" s="14">
        <f>IF(F850&lt;&gt;"","错误","")</f>
        <v/>
      </c>
      <c r="C850" s="14">
        <f>IF('03_地点锚点'!A350&lt;&gt;"","03_地点锚点","")</f>
        <v/>
      </c>
      <c r="D850" s="14">
        <f>IF('03_地点锚点'!A350&lt;&gt;"",'03_地点锚点'!A350,"")</f>
        <v/>
      </c>
      <c r="E850" s="14">
        <f>IF(F850&lt;&gt;"","综合校验","")</f>
        <v/>
      </c>
      <c r="F850" s="14">
        <f>IF('03_地点锚点'!A350&lt;&gt;"",IF('03_地点锚点'!A350="","缺少地点ID；","")&amp;IF('03_地点锚点'!B350="","缺少中文名称；","")&amp;IF('03_地点锚点'!D350="","缺少地点类型；","")&amp;IF('03_地点锚点'!G350="","缺少世界X；","")&amp;IF('03_地点锚点'!H350="","缺少世界Y；","")&amp;IF(AND('03_地点锚点'!G350&lt;&gt;"",OR('03_地点锚点'!G350&lt;0,'03_地点锚点'!G350&gt;WorldWidth)),"世界X越界；","")&amp;IF(AND('03_地点锚点'!H350&lt;&gt;"",OR('03_地点锚点'!H350&lt;0,'03_地点锚点'!H350&gt;WorldHeight)),"世界Y越界；","")&amp;IF(AND('03_地点锚点'!E350&lt;&gt;"",COUNTIF('02_固定地理'!$A$2:$A$501,'03_地点锚点'!E350)=0),"父级行政对象不存在；","")&amp;IF(AND('03_地点锚点'!F350&lt;&gt;"",COUNTIF('03_地点锚点'!$A$2:$A$501,'03_地点锚点'!F350)=0),"父级地点不存在；","")&amp;IF(AND('03_地点锚点'!A350&lt;&gt;"",COUNTIF('03_地点锚点'!$A$2:$A$501,'03_地点锚点'!A350)&gt;1),"ID重复；",""),"")</f>
        <v/>
      </c>
      <c r="G850" s="14">
        <f>IF(F850&lt;&gt;"","按字段批注、数据字典和来源记录修正后复核","")</f>
        <v/>
      </c>
      <c r="H850" s="14">
        <f>IF(F850&lt;&gt;"","待处理","")</f>
        <v/>
      </c>
    </row>
    <row r="851">
      <c r="A851" s="14">
        <f>IF(F851&lt;&gt;"","ISSUE-"&amp;TEXT(ROW()-1,"00000"),"")</f>
        <v/>
      </c>
      <c r="B851" s="14">
        <f>IF(F851&lt;&gt;"","错误","")</f>
        <v/>
      </c>
      <c r="C851" s="14">
        <f>IF('03_地点锚点'!A351&lt;&gt;"","03_地点锚点","")</f>
        <v/>
      </c>
      <c r="D851" s="14">
        <f>IF('03_地点锚点'!A351&lt;&gt;"",'03_地点锚点'!A351,"")</f>
        <v/>
      </c>
      <c r="E851" s="14">
        <f>IF(F851&lt;&gt;"","综合校验","")</f>
        <v/>
      </c>
      <c r="F851" s="14">
        <f>IF('03_地点锚点'!A351&lt;&gt;"",IF('03_地点锚点'!A351="","缺少地点ID；","")&amp;IF('03_地点锚点'!B351="","缺少中文名称；","")&amp;IF('03_地点锚点'!D351="","缺少地点类型；","")&amp;IF('03_地点锚点'!G351="","缺少世界X；","")&amp;IF('03_地点锚点'!H351="","缺少世界Y；","")&amp;IF(AND('03_地点锚点'!G351&lt;&gt;"",OR('03_地点锚点'!G351&lt;0,'03_地点锚点'!G351&gt;WorldWidth)),"世界X越界；","")&amp;IF(AND('03_地点锚点'!H351&lt;&gt;"",OR('03_地点锚点'!H351&lt;0,'03_地点锚点'!H351&gt;WorldHeight)),"世界Y越界；","")&amp;IF(AND('03_地点锚点'!E351&lt;&gt;"",COUNTIF('02_固定地理'!$A$2:$A$501,'03_地点锚点'!E351)=0),"父级行政对象不存在；","")&amp;IF(AND('03_地点锚点'!F351&lt;&gt;"",COUNTIF('03_地点锚点'!$A$2:$A$501,'03_地点锚点'!F351)=0),"父级地点不存在；","")&amp;IF(AND('03_地点锚点'!A351&lt;&gt;"",COUNTIF('03_地点锚点'!$A$2:$A$501,'03_地点锚点'!A351)&gt;1),"ID重复；",""),"")</f>
        <v/>
      </c>
      <c r="G851" s="14">
        <f>IF(F851&lt;&gt;"","按字段批注、数据字典和来源记录修正后复核","")</f>
        <v/>
      </c>
      <c r="H851" s="14">
        <f>IF(F851&lt;&gt;"","待处理","")</f>
        <v/>
      </c>
    </row>
    <row r="852">
      <c r="A852" s="14">
        <f>IF(F852&lt;&gt;"","ISSUE-"&amp;TEXT(ROW()-1,"00000"),"")</f>
        <v/>
      </c>
      <c r="B852" s="14">
        <f>IF(F852&lt;&gt;"","错误","")</f>
        <v/>
      </c>
      <c r="C852" s="14">
        <f>IF('03_地点锚点'!A352&lt;&gt;"","03_地点锚点","")</f>
        <v/>
      </c>
      <c r="D852" s="14">
        <f>IF('03_地点锚点'!A352&lt;&gt;"",'03_地点锚点'!A352,"")</f>
        <v/>
      </c>
      <c r="E852" s="14">
        <f>IF(F852&lt;&gt;"","综合校验","")</f>
        <v/>
      </c>
      <c r="F852" s="14">
        <f>IF('03_地点锚点'!A352&lt;&gt;"",IF('03_地点锚点'!A352="","缺少地点ID；","")&amp;IF('03_地点锚点'!B352="","缺少中文名称；","")&amp;IF('03_地点锚点'!D352="","缺少地点类型；","")&amp;IF('03_地点锚点'!G352="","缺少世界X；","")&amp;IF('03_地点锚点'!H352="","缺少世界Y；","")&amp;IF(AND('03_地点锚点'!G352&lt;&gt;"",OR('03_地点锚点'!G352&lt;0,'03_地点锚点'!G352&gt;WorldWidth)),"世界X越界；","")&amp;IF(AND('03_地点锚点'!H352&lt;&gt;"",OR('03_地点锚点'!H352&lt;0,'03_地点锚点'!H352&gt;WorldHeight)),"世界Y越界；","")&amp;IF(AND('03_地点锚点'!E352&lt;&gt;"",COUNTIF('02_固定地理'!$A$2:$A$501,'03_地点锚点'!E352)=0),"父级行政对象不存在；","")&amp;IF(AND('03_地点锚点'!F352&lt;&gt;"",COUNTIF('03_地点锚点'!$A$2:$A$501,'03_地点锚点'!F352)=0),"父级地点不存在；","")&amp;IF(AND('03_地点锚点'!A352&lt;&gt;"",COUNTIF('03_地点锚点'!$A$2:$A$501,'03_地点锚点'!A352)&gt;1),"ID重复；",""),"")</f>
        <v/>
      </c>
      <c r="G852" s="14">
        <f>IF(F852&lt;&gt;"","按字段批注、数据字典和来源记录修正后复核","")</f>
        <v/>
      </c>
      <c r="H852" s="14">
        <f>IF(F852&lt;&gt;"","待处理","")</f>
        <v/>
      </c>
    </row>
    <row r="853">
      <c r="A853" s="14">
        <f>IF(F853&lt;&gt;"","ISSUE-"&amp;TEXT(ROW()-1,"00000"),"")</f>
        <v/>
      </c>
      <c r="B853" s="14">
        <f>IF(F853&lt;&gt;"","错误","")</f>
        <v/>
      </c>
      <c r="C853" s="14">
        <f>IF('03_地点锚点'!A353&lt;&gt;"","03_地点锚点","")</f>
        <v/>
      </c>
      <c r="D853" s="14">
        <f>IF('03_地点锚点'!A353&lt;&gt;"",'03_地点锚点'!A353,"")</f>
        <v/>
      </c>
      <c r="E853" s="14">
        <f>IF(F853&lt;&gt;"","综合校验","")</f>
        <v/>
      </c>
      <c r="F853" s="14">
        <f>IF('03_地点锚点'!A353&lt;&gt;"",IF('03_地点锚点'!A353="","缺少地点ID；","")&amp;IF('03_地点锚点'!B353="","缺少中文名称；","")&amp;IF('03_地点锚点'!D353="","缺少地点类型；","")&amp;IF('03_地点锚点'!G353="","缺少世界X；","")&amp;IF('03_地点锚点'!H353="","缺少世界Y；","")&amp;IF(AND('03_地点锚点'!G353&lt;&gt;"",OR('03_地点锚点'!G353&lt;0,'03_地点锚点'!G353&gt;WorldWidth)),"世界X越界；","")&amp;IF(AND('03_地点锚点'!H353&lt;&gt;"",OR('03_地点锚点'!H353&lt;0,'03_地点锚点'!H353&gt;WorldHeight)),"世界Y越界；","")&amp;IF(AND('03_地点锚点'!E353&lt;&gt;"",COUNTIF('02_固定地理'!$A$2:$A$501,'03_地点锚点'!E353)=0),"父级行政对象不存在；","")&amp;IF(AND('03_地点锚点'!F353&lt;&gt;"",COUNTIF('03_地点锚点'!$A$2:$A$501,'03_地点锚点'!F353)=0),"父级地点不存在；","")&amp;IF(AND('03_地点锚点'!A353&lt;&gt;"",COUNTIF('03_地点锚点'!$A$2:$A$501,'03_地点锚点'!A353)&gt;1),"ID重复；",""),"")</f>
        <v/>
      </c>
      <c r="G853" s="14">
        <f>IF(F853&lt;&gt;"","按字段批注、数据字典和来源记录修正后复核","")</f>
        <v/>
      </c>
      <c r="H853" s="14">
        <f>IF(F853&lt;&gt;"","待处理","")</f>
        <v/>
      </c>
    </row>
    <row r="854">
      <c r="A854" s="14">
        <f>IF(F854&lt;&gt;"","ISSUE-"&amp;TEXT(ROW()-1,"00000"),"")</f>
        <v/>
      </c>
      <c r="B854" s="14">
        <f>IF(F854&lt;&gt;"","错误","")</f>
        <v/>
      </c>
      <c r="C854" s="14">
        <f>IF('03_地点锚点'!A354&lt;&gt;"","03_地点锚点","")</f>
        <v/>
      </c>
      <c r="D854" s="14">
        <f>IF('03_地点锚点'!A354&lt;&gt;"",'03_地点锚点'!A354,"")</f>
        <v/>
      </c>
      <c r="E854" s="14">
        <f>IF(F854&lt;&gt;"","综合校验","")</f>
        <v/>
      </c>
      <c r="F854" s="14">
        <f>IF('03_地点锚点'!A354&lt;&gt;"",IF('03_地点锚点'!A354="","缺少地点ID；","")&amp;IF('03_地点锚点'!B354="","缺少中文名称；","")&amp;IF('03_地点锚点'!D354="","缺少地点类型；","")&amp;IF('03_地点锚点'!G354="","缺少世界X；","")&amp;IF('03_地点锚点'!H354="","缺少世界Y；","")&amp;IF(AND('03_地点锚点'!G354&lt;&gt;"",OR('03_地点锚点'!G354&lt;0,'03_地点锚点'!G354&gt;WorldWidth)),"世界X越界；","")&amp;IF(AND('03_地点锚点'!H354&lt;&gt;"",OR('03_地点锚点'!H354&lt;0,'03_地点锚点'!H354&gt;WorldHeight)),"世界Y越界；","")&amp;IF(AND('03_地点锚点'!E354&lt;&gt;"",COUNTIF('02_固定地理'!$A$2:$A$501,'03_地点锚点'!E354)=0),"父级行政对象不存在；","")&amp;IF(AND('03_地点锚点'!F354&lt;&gt;"",COUNTIF('03_地点锚点'!$A$2:$A$501,'03_地点锚点'!F354)=0),"父级地点不存在；","")&amp;IF(AND('03_地点锚点'!A354&lt;&gt;"",COUNTIF('03_地点锚点'!$A$2:$A$501,'03_地点锚点'!A354)&gt;1),"ID重复；",""),"")</f>
        <v/>
      </c>
      <c r="G854" s="14">
        <f>IF(F854&lt;&gt;"","按字段批注、数据字典和来源记录修正后复核","")</f>
        <v/>
      </c>
      <c r="H854" s="14">
        <f>IF(F854&lt;&gt;"","待处理","")</f>
        <v/>
      </c>
    </row>
    <row r="855">
      <c r="A855" s="14">
        <f>IF(F855&lt;&gt;"","ISSUE-"&amp;TEXT(ROW()-1,"00000"),"")</f>
        <v/>
      </c>
      <c r="B855" s="14">
        <f>IF(F855&lt;&gt;"","错误","")</f>
        <v/>
      </c>
      <c r="C855" s="14">
        <f>IF('03_地点锚点'!A355&lt;&gt;"","03_地点锚点","")</f>
        <v/>
      </c>
      <c r="D855" s="14">
        <f>IF('03_地点锚点'!A355&lt;&gt;"",'03_地点锚点'!A355,"")</f>
        <v/>
      </c>
      <c r="E855" s="14">
        <f>IF(F855&lt;&gt;"","综合校验","")</f>
        <v/>
      </c>
      <c r="F855" s="14">
        <f>IF('03_地点锚点'!A355&lt;&gt;"",IF('03_地点锚点'!A355="","缺少地点ID；","")&amp;IF('03_地点锚点'!B355="","缺少中文名称；","")&amp;IF('03_地点锚点'!D355="","缺少地点类型；","")&amp;IF('03_地点锚点'!G355="","缺少世界X；","")&amp;IF('03_地点锚点'!H355="","缺少世界Y；","")&amp;IF(AND('03_地点锚点'!G355&lt;&gt;"",OR('03_地点锚点'!G355&lt;0,'03_地点锚点'!G355&gt;WorldWidth)),"世界X越界；","")&amp;IF(AND('03_地点锚点'!H355&lt;&gt;"",OR('03_地点锚点'!H355&lt;0,'03_地点锚点'!H355&gt;WorldHeight)),"世界Y越界；","")&amp;IF(AND('03_地点锚点'!E355&lt;&gt;"",COUNTIF('02_固定地理'!$A$2:$A$501,'03_地点锚点'!E355)=0),"父级行政对象不存在；","")&amp;IF(AND('03_地点锚点'!F355&lt;&gt;"",COUNTIF('03_地点锚点'!$A$2:$A$501,'03_地点锚点'!F355)=0),"父级地点不存在；","")&amp;IF(AND('03_地点锚点'!A355&lt;&gt;"",COUNTIF('03_地点锚点'!$A$2:$A$501,'03_地点锚点'!A355)&gt;1),"ID重复；",""),"")</f>
        <v/>
      </c>
      <c r="G855" s="14">
        <f>IF(F855&lt;&gt;"","按字段批注、数据字典和来源记录修正后复核","")</f>
        <v/>
      </c>
      <c r="H855" s="14">
        <f>IF(F855&lt;&gt;"","待处理","")</f>
        <v/>
      </c>
    </row>
    <row r="856">
      <c r="A856" s="14">
        <f>IF(F856&lt;&gt;"","ISSUE-"&amp;TEXT(ROW()-1,"00000"),"")</f>
        <v/>
      </c>
      <c r="B856" s="14">
        <f>IF(F856&lt;&gt;"","错误","")</f>
        <v/>
      </c>
      <c r="C856" s="14">
        <f>IF('03_地点锚点'!A356&lt;&gt;"","03_地点锚点","")</f>
        <v/>
      </c>
      <c r="D856" s="14">
        <f>IF('03_地点锚点'!A356&lt;&gt;"",'03_地点锚点'!A356,"")</f>
        <v/>
      </c>
      <c r="E856" s="14">
        <f>IF(F856&lt;&gt;"","综合校验","")</f>
        <v/>
      </c>
      <c r="F856" s="14">
        <f>IF('03_地点锚点'!A356&lt;&gt;"",IF('03_地点锚点'!A356="","缺少地点ID；","")&amp;IF('03_地点锚点'!B356="","缺少中文名称；","")&amp;IF('03_地点锚点'!D356="","缺少地点类型；","")&amp;IF('03_地点锚点'!G356="","缺少世界X；","")&amp;IF('03_地点锚点'!H356="","缺少世界Y；","")&amp;IF(AND('03_地点锚点'!G356&lt;&gt;"",OR('03_地点锚点'!G356&lt;0,'03_地点锚点'!G356&gt;WorldWidth)),"世界X越界；","")&amp;IF(AND('03_地点锚点'!H356&lt;&gt;"",OR('03_地点锚点'!H356&lt;0,'03_地点锚点'!H356&gt;WorldHeight)),"世界Y越界；","")&amp;IF(AND('03_地点锚点'!E356&lt;&gt;"",COUNTIF('02_固定地理'!$A$2:$A$501,'03_地点锚点'!E356)=0),"父级行政对象不存在；","")&amp;IF(AND('03_地点锚点'!F356&lt;&gt;"",COUNTIF('03_地点锚点'!$A$2:$A$501,'03_地点锚点'!F356)=0),"父级地点不存在；","")&amp;IF(AND('03_地点锚点'!A356&lt;&gt;"",COUNTIF('03_地点锚点'!$A$2:$A$501,'03_地点锚点'!A356)&gt;1),"ID重复；",""),"")</f>
        <v/>
      </c>
      <c r="G856" s="14">
        <f>IF(F856&lt;&gt;"","按字段批注、数据字典和来源记录修正后复核","")</f>
        <v/>
      </c>
      <c r="H856" s="14">
        <f>IF(F856&lt;&gt;"","待处理","")</f>
        <v/>
      </c>
    </row>
    <row r="857">
      <c r="A857" s="14">
        <f>IF(F857&lt;&gt;"","ISSUE-"&amp;TEXT(ROW()-1,"00000"),"")</f>
        <v/>
      </c>
      <c r="B857" s="14">
        <f>IF(F857&lt;&gt;"","错误","")</f>
        <v/>
      </c>
      <c r="C857" s="14">
        <f>IF('03_地点锚点'!A357&lt;&gt;"","03_地点锚点","")</f>
        <v/>
      </c>
      <c r="D857" s="14">
        <f>IF('03_地点锚点'!A357&lt;&gt;"",'03_地点锚点'!A357,"")</f>
        <v/>
      </c>
      <c r="E857" s="14">
        <f>IF(F857&lt;&gt;"","综合校验","")</f>
        <v/>
      </c>
      <c r="F857" s="14">
        <f>IF('03_地点锚点'!A357&lt;&gt;"",IF('03_地点锚点'!A357="","缺少地点ID；","")&amp;IF('03_地点锚点'!B357="","缺少中文名称；","")&amp;IF('03_地点锚点'!D357="","缺少地点类型；","")&amp;IF('03_地点锚点'!G357="","缺少世界X；","")&amp;IF('03_地点锚点'!H357="","缺少世界Y；","")&amp;IF(AND('03_地点锚点'!G357&lt;&gt;"",OR('03_地点锚点'!G357&lt;0,'03_地点锚点'!G357&gt;WorldWidth)),"世界X越界；","")&amp;IF(AND('03_地点锚点'!H357&lt;&gt;"",OR('03_地点锚点'!H357&lt;0,'03_地点锚点'!H357&gt;WorldHeight)),"世界Y越界；","")&amp;IF(AND('03_地点锚点'!E357&lt;&gt;"",COUNTIF('02_固定地理'!$A$2:$A$501,'03_地点锚点'!E357)=0),"父级行政对象不存在；","")&amp;IF(AND('03_地点锚点'!F357&lt;&gt;"",COUNTIF('03_地点锚点'!$A$2:$A$501,'03_地点锚点'!F357)=0),"父级地点不存在；","")&amp;IF(AND('03_地点锚点'!A357&lt;&gt;"",COUNTIF('03_地点锚点'!$A$2:$A$501,'03_地点锚点'!A357)&gt;1),"ID重复；",""),"")</f>
        <v/>
      </c>
      <c r="G857" s="14">
        <f>IF(F857&lt;&gt;"","按字段批注、数据字典和来源记录修正后复核","")</f>
        <v/>
      </c>
      <c r="H857" s="14">
        <f>IF(F857&lt;&gt;"","待处理","")</f>
        <v/>
      </c>
    </row>
    <row r="858">
      <c r="A858" s="14">
        <f>IF(F858&lt;&gt;"","ISSUE-"&amp;TEXT(ROW()-1,"00000"),"")</f>
        <v/>
      </c>
      <c r="B858" s="14">
        <f>IF(F858&lt;&gt;"","错误","")</f>
        <v/>
      </c>
      <c r="C858" s="14">
        <f>IF('03_地点锚点'!A358&lt;&gt;"","03_地点锚点","")</f>
        <v/>
      </c>
      <c r="D858" s="14">
        <f>IF('03_地点锚点'!A358&lt;&gt;"",'03_地点锚点'!A358,"")</f>
        <v/>
      </c>
      <c r="E858" s="14">
        <f>IF(F858&lt;&gt;"","综合校验","")</f>
        <v/>
      </c>
      <c r="F858" s="14">
        <f>IF('03_地点锚点'!A358&lt;&gt;"",IF('03_地点锚点'!A358="","缺少地点ID；","")&amp;IF('03_地点锚点'!B358="","缺少中文名称；","")&amp;IF('03_地点锚点'!D358="","缺少地点类型；","")&amp;IF('03_地点锚点'!G358="","缺少世界X；","")&amp;IF('03_地点锚点'!H358="","缺少世界Y；","")&amp;IF(AND('03_地点锚点'!G358&lt;&gt;"",OR('03_地点锚点'!G358&lt;0,'03_地点锚点'!G358&gt;WorldWidth)),"世界X越界；","")&amp;IF(AND('03_地点锚点'!H358&lt;&gt;"",OR('03_地点锚点'!H358&lt;0,'03_地点锚点'!H358&gt;WorldHeight)),"世界Y越界；","")&amp;IF(AND('03_地点锚点'!E358&lt;&gt;"",COUNTIF('02_固定地理'!$A$2:$A$501,'03_地点锚点'!E358)=0),"父级行政对象不存在；","")&amp;IF(AND('03_地点锚点'!F358&lt;&gt;"",COUNTIF('03_地点锚点'!$A$2:$A$501,'03_地点锚点'!F358)=0),"父级地点不存在；","")&amp;IF(AND('03_地点锚点'!A358&lt;&gt;"",COUNTIF('03_地点锚点'!$A$2:$A$501,'03_地点锚点'!A358)&gt;1),"ID重复；",""),"")</f>
        <v/>
      </c>
      <c r="G858" s="14">
        <f>IF(F858&lt;&gt;"","按字段批注、数据字典和来源记录修正后复核","")</f>
        <v/>
      </c>
      <c r="H858" s="14">
        <f>IF(F858&lt;&gt;"","待处理","")</f>
        <v/>
      </c>
    </row>
    <row r="859">
      <c r="A859" s="14">
        <f>IF(F859&lt;&gt;"","ISSUE-"&amp;TEXT(ROW()-1,"00000"),"")</f>
        <v/>
      </c>
      <c r="B859" s="14">
        <f>IF(F859&lt;&gt;"","错误","")</f>
        <v/>
      </c>
      <c r="C859" s="14">
        <f>IF('03_地点锚点'!A359&lt;&gt;"","03_地点锚点","")</f>
        <v/>
      </c>
      <c r="D859" s="14">
        <f>IF('03_地点锚点'!A359&lt;&gt;"",'03_地点锚点'!A359,"")</f>
        <v/>
      </c>
      <c r="E859" s="14">
        <f>IF(F859&lt;&gt;"","综合校验","")</f>
        <v/>
      </c>
      <c r="F859" s="14">
        <f>IF('03_地点锚点'!A359&lt;&gt;"",IF('03_地点锚点'!A359="","缺少地点ID；","")&amp;IF('03_地点锚点'!B359="","缺少中文名称；","")&amp;IF('03_地点锚点'!D359="","缺少地点类型；","")&amp;IF('03_地点锚点'!G359="","缺少世界X；","")&amp;IF('03_地点锚点'!H359="","缺少世界Y；","")&amp;IF(AND('03_地点锚点'!G359&lt;&gt;"",OR('03_地点锚点'!G359&lt;0,'03_地点锚点'!G359&gt;WorldWidth)),"世界X越界；","")&amp;IF(AND('03_地点锚点'!H359&lt;&gt;"",OR('03_地点锚点'!H359&lt;0,'03_地点锚点'!H359&gt;WorldHeight)),"世界Y越界；","")&amp;IF(AND('03_地点锚点'!E359&lt;&gt;"",COUNTIF('02_固定地理'!$A$2:$A$501,'03_地点锚点'!E359)=0),"父级行政对象不存在；","")&amp;IF(AND('03_地点锚点'!F359&lt;&gt;"",COUNTIF('03_地点锚点'!$A$2:$A$501,'03_地点锚点'!F359)=0),"父级地点不存在；","")&amp;IF(AND('03_地点锚点'!A359&lt;&gt;"",COUNTIF('03_地点锚点'!$A$2:$A$501,'03_地点锚点'!A359)&gt;1),"ID重复；",""),"")</f>
        <v/>
      </c>
      <c r="G859" s="14">
        <f>IF(F859&lt;&gt;"","按字段批注、数据字典和来源记录修正后复核","")</f>
        <v/>
      </c>
      <c r="H859" s="14">
        <f>IF(F859&lt;&gt;"","待处理","")</f>
        <v/>
      </c>
    </row>
    <row r="860">
      <c r="A860" s="14">
        <f>IF(F860&lt;&gt;"","ISSUE-"&amp;TEXT(ROW()-1,"00000"),"")</f>
        <v/>
      </c>
      <c r="B860" s="14">
        <f>IF(F860&lt;&gt;"","错误","")</f>
        <v/>
      </c>
      <c r="C860" s="14">
        <f>IF('03_地点锚点'!A360&lt;&gt;"","03_地点锚点","")</f>
        <v/>
      </c>
      <c r="D860" s="14">
        <f>IF('03_地点锚点'!A360&lt;&gt;"",'03_地点锚点'!A360,"")</f>
        <v/>
      </c>
      <c r="E860" s="14">
        <f>IF(F860&lt;&gt;"","综合校验","")</f>
        <v/>
      </c>
      <c r="F860" s="14">
        <f>IF('03_地点锚点'!A360&lt;&gt;"",IF('03_地点锚点'!A360="","缺少地点ID；","")&amp;IF('03_地点锚点'!B360="","缺少中文名称；","")&amp;IF('03_地点锚点'!D360="","缺少地点类型；","")&amp;IF('03_地点锚点'!G360="","缺少世界X；","")&amp;IF('03_地点锚点'!H360="","缺少世界Y；","")&amp;IF(AND('03_地点锚点'!G360&lt;&gt;"",OR('03_地点锚点'!G360&lt;0,'03_地点锚点'!G360&gt;WorldWidth)),"世界X越界；","")&amp;IF(AND('03_地点锚点'!H360&lt;&gt;"",OR('03_地点锚点'!H360&lt;0,'03_地点锚点'!H360&gt;WorldHeight)),"世界Y越界；","")&amp;IF(AND('03_地点锚点'!E360&lt;&gt;"",COUNTIF('02_固定地理'!$A$2:$A$501,'03_地点锚点'!E360)=0),"父级行政对象不存在；","")&amp;IF(AND('03_地点锚点'!F360&lt;&gt;"",COUNTIF('03_地点锚点'!$A$2:$A$501,'03_地点锚点'!F360)=0),"父级地点不存在；","")&amp;IF(AND('03_地点锚点'!A360&lt;&gt;"",COUNTIF('03_地点锚点'!$A$2:$A$501,'03_地点锚点'!A360)&gt;1),"ID重复；",""),"")</f>
        <v/>
      </c>
      <c r="G860" s="14">
        <f>IF(F860&lt;&gt;"","按字段批注、数据字典和来源记录修正后复核","")</f>
        <v/>
      </c>
      <c r="H860" s="14">
        <f>IF(F860&lt;&gt;"","待处理","")</f>
        <v/>
      </c>
    </row>
    <row r="861">
      <c r="A861" s="14">
        <f>IF(F861&lt;&gt;"","ISSUE-"&amp;TEXT(ROW()-1,"00000"),"")</f>
        <v/>
      </c>
      <c r="B861" s="14">
        <f>IF(F861&lt;&gt;"","错误","")</f>
        <v/>
      </c>
      <c r="C861" s="14">
        <f>IF('03_地点锚点'!A361&lt;&gt;"","03_地点锚点","")</f>
        <v/>
      </c>
      <c r="D861" s="14">
        <f>IF('03_地点锚点'!A361&lt;&gt;"",'03_地点锚点'!A361,"")</f>
        <v/>
      </c>
      <c r="E861" s="14">
        <f>IF(F861&lt;&gt;"","综合校验","")</f>
        <v/>
      </c>
      <c r="F861" s="14">
        <f>IF('03_地点锚点'!A361&lt;&gt;"",IF('03_地点锚点'!A361="","缺少地点ID；","")&amp;IF('03_地点锚点'!B361="","缺少中文名称；","")&amp;IF('03_地点锚点'!D361="","缺少地点类型；","")&amp;IF('03_地点锚点'!G361="","缺少世界X；","")&amp;IF('03_地点锚点'!H361="","缺少世界Y；","")&amp;IF(AND('03_地点锚点'!G361&lt;&gt;"",OR('03_地点锚点'!G361&lt;0,'03_地点锚点'!G361&gt;WorldWidth)),"世界X越界；","")&amp;IF(AND('03_地点锚点'!H361&lt;&gt;"",OR('03_地点锚点'!H361&lt;0,'03_地点锚点'!H361&gt;WorldHeight)),"世界Y越界；","")&amp;IF(AND('03_地点锚点'!E361&lt;&gt;"",COUNTIF('02_固定地理'!$A$2:$A$501,'03_地点锚点'!E361)=0),"父级行政对象不存在；","")&amp;IF(AND('03_地点锚点'!F361&lt;&gt;"",COUNTIF('03_地点锚点'!$A$2:$A$501,'03_地点锚点'!F361)=0),"父级地点不存在；","")&amp;IF(AND('03_地点锚点'!A361&lt;&gt;"",COUNTIF('03_地点锚点'!$A$2:$A$501,'03_地点锚点'!A361)&gt;1),"ID重复；",""),"")</f>
        <v/>
      </c>
      <c r="G861" s="14">
        <f>IF(F861&lt;&gt;"","按字段批注、数据字典和来源记录修正后复核","")</f>
        <v/>
      </c>
      <c r="H861" s="14">
        <f>IF(F861&lt;&gt;"","待处理","")</f>
        <v/>
      </c>
    </row>
    <row r="862">
      <c r="A862" s="14">
        <f>IF(F862&lt;&gt;"","ISSUE-"&amp;TEXT(ROW()-1,"00000"),"")</f>
        <v/>
      </c>
      <c r="B862" s="14">
        <f>IF(F862&lt;&gt;"","错误","")</f>
        <v/>
      </c>
      <c r="C862" s="14">
        <f>IF('03_地点锚点'!A362&lt;&gt;"","03_地点锚点","")</f>
        <v/>
      </c>
      <c r="D862" s="14">
        <f>IF('03_地点锚点'!A362&lt;&gt;"",'03_地点锚点'!A362,"")</f>
        <v/>
      </c>
      <c r="E862" s="14">
        <f>IF(F862&lt;&gt;"","综合校验","")</f>
        <v/>
      </c>
      <c r="F862" s="14">
        <f>IF('03_地点锚点'!A362&lt;&gt;"",IF('03_地点锚点'!A362="","缺少地点ID；","")&amp;IF('03_地点锚点'!B362="","缺少中文名称；","")&amp;IF('03_地点锚点'!D362="","缺少地点类型；","")&amp;IF('03_地点锚点'!G362="","缺少世界X；","")&amp;IF('03_地点锚点'!H362="","缺少世界Y；","")&amp;IF(AND('03_地点锚点'!G362&lt;&gt;"",OR('03_地点锚点'!G362&lt;0,'03_地点锚点'!G362&gt;WorldWidth)),"世界X越界；","")&amp;IF(AND('03_地点锚点'!H362&lt;&gt;"",OR('03_地点锚点'!H362&lt;0,'03_地点锚点'!H362&gt;WorldHeight)),"世界Y越界；","")&amp;IF(AND('03_地点锚点'!E362&lt;&gt;"",COUNTIF('02_固定地理'!$A$2:$A$501,'03_地点锚点'!E362)=0),"父级行政对象不存在；","")&amp;IF(AND('03_地点锚点'!F362&lt;&gt;"",COUNTIF('03_地点锚点'!$A$2:$A$501,'03_地点锚点'!F362)=0),"父级地点不存在；","")&amp;IF(AND('03_地点锚点'!A362&lt;&gt;"",COUNTIF('03_地点锚点'!$A$2:$A$501,'03_地点锚点'!A362)&gt;1),"ID重复；",""),"")</f>
        <v/>
      </c>
      <c r="G862" s="14">
        <f>IF(F862&lt;&gt;"","按字段批注、数据字典和来源记录修正后复核","")</f>
        <v/>
      </c>
      <c r="H862" s="14">
        <f>IF(F862&lt;&gt;"","待处理","")</f>
        <v/>
      </c>
    </row>
    <row r="863">
      <c r="A863" s="14">
        <f>IF(F863&lt;&gt;"","ISSUE-"&amp;TEXT(ROW()-1,"00000"),"")</f>
        <v/>
      </c>
      <c r="B863" s="14">
        <f>IF(F863&lt;&gt;"","错误","")</f>
        <v/>
      </c>
      <c r="C863" s="14">
        <f>IF('03_地点锚点'!A363&lt;&gt;"","03_地点锚点","")</f>
        <v/>
      </c>
      <c r="D863" s="14">
        <f>IF('03_地点锚点'!A363&lt;&gt;"",'03_地点锚点'!A363,"")</f>
        <v/>
      </c>
      <c r="E863" s="14">
        <f>IF(F863&lt;&gt;"","综合校验","")</f>
        <v/>
      </c>
      <c r="F863" s="14">
        <f>IF('03_地点锚点'!A363&lt;&gt;"",IF('03_地点锚点'!A363="","缺少地点ID；","")&amp;IF('03_地点锚点'!B363="","缺少中文名称；","")&amp;IF('03_地点锚点'!D363="","缺少地点类型；","")&amp;IF('03_地点锚点'!G363="","缺少世界X；","")&amp;IF('03_地点锚点'!H363="","缺少世界Y；","")&amp;IF(AND('03_地点锚点'!G363&lt;&gt;"",OR('03_地点锚点'!G363&lt;0,'03_地点锚点'!G363&gt;WorldWidth)),"世界X越界；","")&amp;IF(AND('03_地点锚点'!H363&lt;&gt;"",OR('03_地点锚点'!H363&lt;0,'03_地点锚点'!H363&gt;WorldHeight)),"世界Y越界；","")&amp;IF(AND('03_地点锚点'!E363&lt;&gt;"",COUNTIF('02_固定地理'!$A$2:$A$501,'03_地点锚点'!E363)=0),"父级行政对象不存在；","")&amp;IF(AND('03_地点锚点'!F363&lt;&gt;"",COUNTIF('03_地点锚点'!$A$2:$A$501,'03_地点锚点'!F363)=0),"父级地点不存在；","")&amp;IF(AND('03_地点锚点'!A363&lt;&gt;"",COUNTIF('03_地点锚点'!$A$2:$A$501,'03_地点锚点'!A363)&gt;1),"ID重复；",""),"")</f>
        <v/>
      </c>
      <c r="G863" s="14">
        <f>IF(F863&lt;&gt;"","按字段批注、数据字典和来源记录修正后复核","")</f>
        <v/>
      </c>
      <c r="H863" s="14">
        <f>IF(F863&lt;&gt;"","待处理","")</f>
        <v/>
      </c>
    </row>
    <row r="864">
      <c r="A864" s="14">
        <f>IF(F864&lt;&gt;"","ISSUE-"&amp;TEXT(ROW()-1,"00000"),"")</f>
        <v/>
      </c>
      <c r="B864" s="14">
        <f>IF(F864&lt;&gt;"","错误","")</f>
        <v/>
      </c>
      <c r="C864" s="14">
        <f>IF('03_地点锚点'!A364&lt;&gt;"","03_地点锚点","")</f>
        <v/>
      </c>
      <c r="D864" s="14">
        <f>IF('03_地点锚点'!A364&lt;&gt;"",'03_地点锚点'!A364,"")</f>
        <v/>
      </c>
      <c r="E864" s="14">
        <f>IF(F864&lt;&gt;"","综合校验","")</f>
        <v/>
      </c>
      <c r="F864" s="14">
        <f>IF('03_地点锚点'!A364&lt;&gt;"",IF('03_地点锚点'!A364="","缺少地点ID；","")&amp;IF('03_地点锚点'!B364="","缺少中文名称；","")&amp;IF('03_地点锚点'!D364="","缺少地点类型；","")&amp;IF('03_地点锚点'!G364="","缺少世界X；","")&amp;IF('03_地点锚点'!H364="","缺少世界Y；","")&amp;IF(AND('03_地点锚点'!G364&lt;&gt;"",OR('03_地点锚点'!G364&lt;0,'03_地点锚点'!G364&gt;WorldWidth)),"世界X越界；","")&amp;IF(AND('03_地点锚点'!H364&lt;&gt;"",OR('03_地点锚点'!H364&lt;0,'03_地点锚点'!H364&gt;WorldHeight)),"世界Y越界；","")&amp;IF(AND('03_地点锚点'!E364&lt;&gt;"",COUNTIF('02_固定地理'!$A$2:$A$501,'03_地点锚点'!E364)=0),"父级行政对象不存在；","")&amp;IF(AND('03_地点锚点'!F364&lt;&gt;"",COUNTIF('03_地点锚点'!$A$2:$A$501,'03_地点锚点'!F364)=0),"父级地点不存在；","")&amp;IF(AND('03_地点锚点'!A364&lt;&gt;"",COUNTIF('03_地点锚点'!$A$2:$A$501,'03_地点锚点'!A364)&gt;1),"ID重复；",""),"")</f>
        <v/>
      </c>
      <c r="G864" s="14">
        <f>IF(F864&lt;&gt;"","按字段批注、数据字典和来源记录修正后复核","")</f>
        <v/>
      </c>
      <c r="H864" s="14">
        <f>IF(F864&lt;&gt;"","待处理","")</f>
        <v/>
      </c>
    </row>
    <row r="865">
      <c r="A865" s="14">
        <f>IF(F865&lt;&gt;"","ISSUE-"&amp;TEXT(ROW()-1,"00000"),"")</f>
        <v/>
      </c>
      <c r="B865" s="14">
        <f>IF(F865&lt;&gt;"","错误","")</f>
        <v/>
      </c>
      <c r="C865" s="14">
        <f>IF('03_地点锚点'!A365&lt;&gt;"","03_地点锚点","")</f>
        <v/>
      </c>
      <c r="D865" s="14">
        <f>IF('03_地点锚点'!A365&lt;&gt;"",'03_地点锚点'!A365,"")</f>
        <v/>
      </c>
      <c r="E865" s="14">
        <f>IF(F865&lt;&gt;"","综合校验","")</f>
        <v/>
      </c>
      <c r="F865" s="14">
        <f>IF('03_地点锚点'!A365&lt;&gt;"",IF('03_地点锚点'!A365="","缺少地点ID；","")&amp;IF('03_地点锚点'!B365="","缺少中文名称；","")&amp;IF('03_地点锚点'!D365="","缺少地点类型；","")&amp;IF('03_地点锚点'!G365="","缺少世界X；","")&amp;IF('03_地点锚点'!H365="","缺少世界Y；","")&amp;IF(AND('03_地点锚点'!G365&lt;&gt;"",OR('03_地点锚点'!G365&lt;0,'03_地点锚点'!G365&gt;WorldWidth)),"世界X越界；","")&amp;IF(AND('03_地点锚点'!H365&lt;&gt;"",OR('03_地点锚点'!H365&lt;0,'03_地点锚点'!H365&gt;WorldHeight)),"世界Y越界；","")&amp;IF(AND('03_地点锚点'!E365&lt;&gt;"",COUNTIF('02_固定地理'!$A$2:$A$501,'03_地点锚点'!E365)=0),"父级行政对象不存在；","")&amp;IF(AND('03_地点锚点'!F365&lt;&gt;"",COUNTIF('03_地点锚点'!$A$2:$A$501,'03_地点锚点'!F365)=0),"父级地点不存在；","")&amp;IF(AND('03_地点锚点'!A365&lt;&gt;"",COUNTIF('03_地点锚点'!$A$2:$A$501,'03_地点锚点'!A365)&gt;1),"ID重复；",""),"")</f>
        <v/>
      </c>
      <c r="G865" s="14">
        <f>IF(F865&lt;&gt;"","按字段批注、数据字典和来源记录修正后复核","")</f>
        <v/>
      </c>
      <c r="H865" s="14">
        <f>IF(F865&lt;&gt;"","待处理","")</f>
        <v/>
      </c>
    </row>
    <row r="866">
      <c r="A866" s="14">
        <f>IF(F866&lt;&gt;"","ISSUE-"&amp;TEXT(ROW()-1,"00000"),"")</f>
        <v/>
      </c>
      <c r="B866" s="14">
        <f>IF(F866&lt;&gt;"","错误","")</f>
        <v/>
      </c>
      <c r="C866" s="14">
        <f>IF('03_地点锚点'!A366&lt;&gt;"","03_地点锚点","")</f>
        <v/>
      </c>
      <c r="D866" s="14">
        <f>IF('03_地点锚点'!A366&lt;&gt;"",'03_地点锚点'!A366,"")</f>
        <v/>
      </c>
      <c r="E866" s="14">
        <f>IF(F866&lt;&gt;"","综合校验","")</f>
        <v/>
      </c>
      <c r="F866" s="14">
        <f>IF('03_地点锚点'!A366&lt;&gt;"",IF('03_地点锚点'!A366="","缺少地点ID；","")&amp;IF('03_地点锚点'!B366="","缺少中文名称；","")&amp;IF('03_地点锚点'!D366="","缺少地点类型；","")&amp;IF('03_地点锚点'!G366="","缺少世界X；","")&amp;IF('03_地点锚点'!H366="","缺少世界Y；","")&amp;IF(AND('03_地点锚点'!G366&lt;&gt;"",OR('03_地点锚点'!G366&lt;0,'03_地点锚点'!G366&gt;WorldWidth)),"世界X越界；","")&amp;IF(AND('03_地点锚点'!H366&lt;&gt;"",OR('03_地点锚点'!H366&lt;0,'03_地点锚点'!H366&gt;WorldHeight)),"世界Y越界；","")&amp;IF(AND('03_地点锚点'!E366&lt;&gt;"",COUNTIF('02_固定地理'!$A$2:$A$501,'03_地点锚点'!E366)=0),"父级行政对象不存在；","")&amp;IF(AND('03_地点锚点'!F366&lt;&gt;"",COUNTIF('03_地点锚点'!$A$2:$A$501,'03_地点锚点'!F366)=0),"父级地点不存在；","")&amp;IF(AND('03_地点锚点'!A366&lt;&gt;"",COUNTIF('03_地点锚点'!$A$2:$A$501,'03_地点锚点'!A366)&gt;1),"ID重复；",""),"")</f>
        <v/>
      </c>
      <c r="G866" s="14">
        <f>IF(F866&lt;&gt;"","按字段批注、数据字典和来源记录修正后复核","")</f>
        <v/>
      </c>
      <c r="H866" s="14">
        <f>IF(F866&lt;&gt;"","待处理","")</f>
        <v/>
      </c>
    </row>
    <row r="867">
      <c r="A867" s="14">
        <f>IF(F867&lt;&gt;"","ISSUE-"&amp;TEXT(ROW()-1,"00000"),"")</f>
        <v/>
      </c>
      <c r="B867" s="14">
        <f>IF(F867&lt;&gt;"","错误","")</f>
        <v/>
      </c>
      <c r="C867" s="14">
        <f>IF('03_地点锚点'!A367&lt;&gt;"","03_地点锚点","")</f>
        <v/>
      </c>
      <c r="D867" s="14">
        <f>IF('03_地点锚点'!A367&lt;&gt;"",'03_地点锚点'!A367,"")</f>
        <v/>
      </c>
      <c r="E867" s="14">
        <f>IF(F867&lt;&gt;"","综合校验","")</f>
        <v/>
      </c>
      <c r="F867" s="14">
        <f>IF('03_地点锚点'!A367&lt;&gt;"",IF('03_地点锚点'!A367="","缺少地点ID；","")&amp;IF('03_地点锚点'!B367="","缺少中文名称；","")&amp;IF('03_地点锚点'!D367="","缺少地点类型；","")&amp;IF('03_地点锚点'!G367="","缺少世界X；","")&amp;IF('03_地点锚点'!H367="","缺少世界Y；","")&amp;IF(AND('03_地点锚点'!G367&lt;&gt;"",OR('03_地点锚点'!G367&lt;0,'03_地点锚点'!G367&gt;WorldWidth)),"世界X越界；","")&amp;IF(AND('03_地点锚点'!H367&lt;&gt;"",OR('03_地点锚点'!H367&lt;0,'03_地点锚点'!H367&gt;WorldHeight)),"世界Y越界；","")&amp;IF(AND('03_地点锚点'!E367&lt;&gt;"",COUNTIF('02_固定地理'!$A$2:$A$501,'03_地点锚点'!E367)=0),"父级行政对象不存在；","")&amp;IF(AND('03_地点锚点'!F367&lt;&gt;"",COUNTIF('03_地点锚点'!$A$2:$A$501,'03_地点锚点'!F367)=0),"父级地点不存在；","")&amp;IF(AND('03_地点锚点'!A367&lt;&gt;"",COUNTIF('03_地点锚点'!$A$2:$A$501,'03_地点锚点'!A367)&gt;1),"ID重复；",""),"")</f>
        <v/>
      </c>
      <c r="G867" s="14">
        <f>IF(F867&lt;&gt;"","按字段批注、数据字典和来源记录修正后复核","")</f>
        <v/>
      </c>
      <c r="H867" s="14">
        <f>IF(F867&lt;&gt;"","待处理","")</f>
        <v/>
      </c>
    </row>
    <row r="868">
      <c r="A868" s="14">
        <f>IF(F868&lt;&gt;"","ISSUE-"&amp;TEXT(ROW()-1,"00000"),"")</f>
        <v/>
      </c>
      <c r="B868" s="14">
        <f>IF(F868&lt;&gt;"","错误","")</f>
        <v/>
      </c>
      <c r="C868" s="14">
        <f>IF('03_地点锚点'!A368&lt;&gt;"","03_地点锚点","")</f>
        <v/>
      </c>
      <c r="D868" s="14">
        <f>IF('03_地点锚点'!A368&lt;&gt;"",'03_地点锚点'!A368,"")</f>
        <v/>
      </c>
      <c r="E868" s="14">
        <f>IF(F868&lt;&gt;"","综合校验","")</f>
        <v/>
      </c>
      <c r="F868" s="14">
        <f>IF('03_地点锚点'!A368&lt;&gt;"",IF('03_地点锚点'!A368="","缺少地点ID；","")&amp;IF('03_地点锚点'!B368="","缺少中文名称；","")&amp;IF('03_地点锚点'!D368="","缺少地点类型；","")&amp;IF('03_地点锚点'!G368="","缺少世界X；","")&amp;IF('03_地点锚点'!H368="","缺少世界Y；","")&amp;IF(AND('03_地点锚点'!G368&lt;&gt;"",OR('03_地点锚点'!G368&lt;0,'03_地点锚点'!G368&gt;WorldWidth)),"世界X越界；","")&amp;IF(AND('03_地点锚点'!H368&lt;&gt;"",OR('03_地点锚点'!H368&lt;0,'03_地点锚点'!H368&gt;WorldHeight)),"世界Y越界；","")&amp;IF(AND('03_地点锚点'!E368&lt;&gt;"",COUNTIF('02_固定地理'!$A$2:$A$501,'03_地点锚点'!E368)=0),"父级行政对象不存在；","")&amp;IF(AND('03_地点锚点'!F368&lt;&gt;"",COUNTIF('03_地点锚点'!$A$2:$A$501,'03_地点锚点'!F368)=0),"父级地点不存在；","")&amp;IF(AND('03_地点锚点'!A368&lt;&gt;"",COUNTIF('03_地点锚点'!$A$2:$A$501,'03_地点锚点'!A368)&gt;1),"ID重复；",""),"")</f>
        <v/>
      </c>
      <c r="G868" s="14">
        <f>IF(F868&lt;&gt;"","按字段批注、数据字典和来源记录修正后复核","")</f>
        <v/>
      </c>
      <c r="H868" s="14">
        <f>IF(F868&lt;&gt;"","待处理","")</f>
        <v/>
      </c>
    </row>
    <row r="869">
      <c r="A869" s="14">
        <f>IF(F869&lt;&gt;"","ISSUE-"&amp;TEXT(ROW()-1,"00000"),"")</f>
        <v/>
      </c>
      <c r="B869" s="14">
        <f>IF(F869&lt;&gt;"","错误","")</f>
        <v/>
      </c>
      <c r="C869" s="14">
        <f>IF('03_地点锚点'!A369&lt;&gt;"","03_地点锚点","")</f>
        <v/>
      </c>
      <c r="D869" s="14">
        <f>IF('03_地点锚点'!A369&lt;&gt;"",'03_地点锚点'!A369,"")</f>
        <v/>
      </c>
      <c r="E869" s="14">
        <f>IF(F869&lt;&gt;"","综合校验","")</f>
        <v/>
      </c>
      <c r="F869" s="14">
        <f>IF('03_地点锚点'!A369&lt;&gt;"",IF('03_地点锚点'!A369="","缺少地点ID；","")&amp;IF('03_地点锚点'!B369="","缺少中文名称；","")&amp;IF('03_地点锚点'!D369="","缺少地点类型；","")&amp;IF('03_地点锚点'!G369="","缺少世界X；","")&amp;IF('03_地点锚点'!H369="","缺少世界Y；","")&amp;IF(AND('03_地点锚点'!G369&lt;&gt;"",OR('03_地点锚点'!G369&lt;0,'03_地点锚点'!G369&gt;WorldWidth)),"世界X越界；","")&amp;IF(AND('03_地点锚点'!H369&lt;&gt;"",OR('03_地点锚点'!H369&lt;0,'03_地点锚点'!H369&gt;WorldHeight)),"世界Y越界；","")&amp;IF(AND('03_地点锚点'!E369&lt;&gt;"",COUNTIF('02_固定地理'!$A$2:$A$501,'03_地点锚点'!E369)=0),"父级行政对象不存在；","")&amp;IF(AND('03_地点锚点'!F369&lt;&gt;"",COUNTIF('03_地点锚点'!$A$2:$A$501,'03_地点锚点'!F369)=0),"父级地点不存在；","")&amp;IF(AND('03_地点锚点'!A369&lt;&gt;"",COUNTIF('03_地点锚点'!$A$2:$A$501,'03_地点锚点'!A369)&gt;1),"ID重复；",""),"")</f>
        <v/>
      </c>
      <c r="G869" s="14">
        <f>IF(F869&lt;&gt;"","按字段批注、数据字典和来源记录修正后复核","")</f>
        <v/>
      </c>
      <c r="H869" s="14">
        <f>IF(F869&lt;&gt;"","待处理","")</f>
        <v/>
      </c>
    </row>
    <row r="870">
      <c r="A870" s="14">
        <f>IF(F870&lt;&gt;"","ISSUE-"&amp;TEXT(ROW()-1,"00000"),"")</f>
        <v/>
      </c>
      <c r="B870" s="14">
        <f>IF(F870&lt;&gt;"","错误","")</f>
        <v/>
      </c>
      <c r="C870" s="14">
        <f>IF('03_地点锚点'!A370&lt;&gt;"","03_地点锚点","")</f>
        <v/>
      </c>
      <c r="D870" s="14">
        <f>IF('03_地点锚点'!A370&lt;&gt;"",'03_地点锚点'!A370,"")</f>
        <v/>
      </c>
      <c r="E870" s="14">
        <f>IF(F870&lt;&gt;"","综合校验","")</f>
        <v/>
      </c>
      <c r="F870" s="14">
        <f>IF('03_地点锚点'!A370&lt;&gt;"",IF('03_地点锚点'!A370="","缺少地点ID；","")&amp;IF('03_地点锚点'!B370="","缺少中文名称；","")&amp;IF('03_地点锚点'!D370="","缺少地点类型；","")&amp;IF('03_地点锚点'!G370="","缺少世界X；","")&amp;IF('03_地点锚点'!H370="","缺少世界Y；","")&amp;IF(AND('03_地点锚点'!G370&lt;&gt;"",OR('03_地点锚点'!G370&lt;0,'03_地点锚点'!G370&gt;WorldWidth)),"世界X越界；","")&amp;IF(AND('03_地点锚点'!H370&lt;&gt;"",OR('03_地点锚点'!H370&lt;0,'03_地点锚点'!H370&gt;WorldHeight)),"世界Y越界；","")&amp;IF(AND('03_地点锚点'!E370&lt;&gt;"",COUNTIF('02_固定地理'!$A$2:$A$501,'03_地点锚点'!E370)=0),"父级行政对象不存在；","")&amp;IF(AND('03_地点锚点'!F370&lt;&gt;"",COUNTIF('03_地点锚点'!$A$2:$A$501,'03_地点锚点'!F370)=0),"父级地点不存在；","")&amp;IF(AND('03_地点锚点'!A370&lt;&gt;"",COUNTIF('03_地点锚点'!$A$2:$A$501,'03_地点锚点'!A370)&gt;1),"ID重复；",""),"")</f>
        <v/>
      </c>
      <c r="G870" s="14">
        <f>IF(F870&lt;&gt;"","按字段批注、数据字典和来源记录修正后复核","")</f>
        <v/>
      </c>
      <c r="H870" s="14">
        <f>IF(F870&lt;&gt;"","待处理","")</f>
        <v/>
      </c>
    </row>
    <row r="871">
      <c r="A871" s="14">
        <f>IF(F871&lt;&gt;"","ISSUE-"&amp;TEXT(ROW()-1,"00000"),"")</f>
        <v/>
      </c>
      <c r="B871" s="14">
        <f>IF(F871&lt;&gt;"","错误","")</f>
        <v/>
      </c>
      <c r="C871" s="14">
        <f>IF('03_地点锚点'!A371&lt;&gt;"","03_地点锚点","")</f>
        <v/>
      </c>
      <c r="D871" s="14">
        <f>IF('03_地点锚点'!A371&lt;&gt;"",'03_地点锚点'!A371,"")</f>
        <v/>
      </c>
      <c r="E871" s="14">
        <f>IF(F871&lt;&gt;"","综合校验","")</f>
        <v/>
      </c>
      <c r="F871" s="14">
        <f>IF('03_地点锚点'!A371&lt;&gt;"",IF('03_地点锚点'!A371="","缺少地点ID；","")&amp;IF('03_地点锚点'!B371="","缺少中文名称；","")&amp;IF('03_地点锚点'!D371="","缺少地点类型；","")&amp;IF('03_地点锚点'!G371="","缺少世界X；","")&amp;IF('03_地点锚点'!H371="","缺少世界Y；","")&amp;IF(AND('03_地点锚点'!G371&lt;&gt;"",OR('03_地点锚点'!G371&lt;0,'03_地点锚点'!G371&gt;WorldWidth)),"世界X越界；","")&amp;IF(AND('03_地点锚点'!H371&lt;&gt;"",OR('03_地点锚点'!H371&lt;0,'03_地点锚点'!H371&gt;WorldHeight)),"世界Y越界；","")&amp;IF(AND('03_地点锚点'!E371&lt;&gt;"",COUNTIF('02_固定地理'!$A$2:$A$501,'03_地点锚点'!E371)=0),"父级行政对象不存在；","")&amp;IF(AND('03_地点锚点'!F371&lt;&gt;"",COUNTIF('03_地点锚点'!$A$2:$A$501,'03_地点锚点'!F371)=0),"父级地点不存在；","")&amp;IF(AND('03_地点锚点'!A371&lt;&gt;"",COUNTIF('03_地点锚点'!$A$2:$A$501,'03_地点锚点'!A371)&gt;1),"ID重复；",""),"")</f>
        <v/>
      </c>
      <c r="G871" s="14">
        <f>IF(F871&lt;&gt;"","按字段批注、数据字典和来源记录修正后复核","")</f>
        <v/>
      </c>
      <c r="H871" s="14">
        <f>IF(F871&lt;&gt;"","待处理","")</f>
        <v/>
      </c>
    </row>
    <row r="872">
      <c r="A872" s="14">
        <f>IF(F872&lt;&gt;"","ISSUE-"&amp;TEXT(ROW()-1,"00000"),"")</f>
        <v/>
      </c>
      <c r="B872" s="14">
        <f>IF(F872&lt;&gt;"","错误","")</f>
        <v/>
      </c>
      <c r="C872" s="14">
        <f>IF('03_地点锚点'!A372&lt;&gt;"","03_地点锚点","")</f>
        <v/>
      </c>
      <c r="D872" s="14">
        <f>IF('03_地点锚点'!A372&lt;&gt;"",'03_地点锚点'!A372,"")</f>
        <v/>
      </c>
      <c r="E872" s="14">
        <f>IF(F872&lt;&gt;"","综合校验","")</f>
        <v/>
      </c>
      <c r="F872" s="14">
        <f>IF('03_地点锚点'!A372&lt;&gt;"",IF('03_地点锚点'!A372="","缺少地点ID；","")&amp;IF('03_地点锚点'!B372="","缺少中文名称；","")&amp;IF('03_地点锚点'!D372="","缺少地点类型；","")&amp;IF('03_地点锚点'!G372="","缺少世界X；","")&amp;IF('03_地点锚点'!H372="","缺少世界Y；","")&amp;IF(AND('03_地点锚点'!G372&lt;&gt;"",OR('03_地点锚点'!G372&lt;0,'03_地点锚点'!G372&gt;WorldWidth)),"世界X越界；","")&amp;IF(AND('03_地点锚点'!H372&lt;&gt;"",OR('03_地点锚点'!H372&lt;0,'03_地点锚点'!H372&gt;WorldHeight)),"世界Y越界；","")&amp;IF(AND('03_地点锚点'!E372&lt;&gt;"",COUNTIF('02_固定地理'!$A$2:$A$501,'03_地点锚点'!E372)=0),"父级行政对象不存在；","")&amp;IF(AND('03_地点锚点'!F372&lt;&gt;"",COUNTIF('03_地点锚点'!$A$2:$A$501,'03_地点锚点'!F372)=0),"父级地点不存在；","")&amp;IF(AND('03_地点锚点'!A372&lt;&gt;"",COUNTIF('03_地点锚点'!$A$2:$A$501,'03_地点锚点'!A372)&gt;1),"ID重复；",""),"")</f>
        <v/>
      </c>
      <c r="G872" s="14">
        <f>IF(F872&lt;&gt;"","按字段批注、数据字典和来源记录修正后复核","")</f>
        <v/>
      </c>
      <c r="H872" s="14">
        <f>IF(F872&lt;&gt;"","待处理","")</f>
        <v/>
      </c>
    </row>
    <row r="873">
      <c r="A873" s="14">
        <f>IF(F873&lt;&gt;"","ISSUE-"&amp;TEXT(ROW()-1,"00000"),"")</f>
        <v/>
      </c>
      <c r="B873" s="14">
        <f>IF(F873&lt;&gt;"","错误","")</f>
        <v/>
      </c>
      <c r="C873" s="14">
        <f>IF('03_地点锚点'!A373&lt;&gt;"","03_地点锚点","")</f>
        <v/>
      </c>
      <c r="D873" s="14">
        <f>IF('03_地点锚点'!A373&lt;&gt;"",'03_地点锚点'!A373,"")</f>
        <v/>
      </c>
      <c r="E873" s="14">
        <f>IF(F873&lt;&gt;"","综合校验","")</f>
        <v/>
      </c>
      <c r="F873" s="14">
        <f>IF('03_地点锚点'!A373&lt;&gt;"",IF('03_地点锚点'!A373="","缺少地点ID；","")&amp;IF('03_地点锚点'!B373="","缺少中文名称；","")&amp;IF('03_地点锚点'!D373="","缺少地点类型；","")&amp;IF('03_地点锚点'!G373="","缺少世界X；","")&amp;IF('03_地点锚点'!H373="","缺少世界Y；","")&amp;IF(AND('03_地点锚点'!G373&lt;&gt;"",OR('03_地点锚点'!G373&lt;0,'03_地点锚点'!G373&gt;WorldWidth)),"世界X越界；","")&amp;IF(AND('03_地点锚点'!H373&lt;&gt;"",OR('03_地点锚点'!H373&lt;0,'03_地点锚点'!H373&gt;WorldHeight)),"世界Y越界；","")&amp;IF(AND('03_地点锚点'!E373&lt;&gt;"",COUNTIF('02_固定地理'!$A$2:$A$501,'03_地点锚点'!E373)=0),"父级行政对象不存在；","")&amp;IF(AND('03_地点锚点'!F373&lt;&gt;"",COUNTIF('03_地点锚点'!$A$2:$A$501,'03_地点锚点'!F373)=0),"父级地点不存在；","")&amp;IF(AND('03_地点锚点'!A373&lt;&gt;"",COUNTIF('03_地点锚点'!$A$2:$A$501,'03_地点锚点'!A373)&gt;1),"ID重复；",""),"")</f>
        <v/>
      </c>
      <c r="G873" s="14">
        <f>IF(F873&lt;&gt;"","按字段批注、数据字典和来源记录修正后复核","")</f>
        <v/>
      </c>
      <c r="H873" s="14">
        <f>IF(F873&lt;&gt;"","待处理","")</f>
        <v/>
      </c>
    </row>
    <row r="874">
      <c r="A874" s="14">
        <f>IF(F874&lt;&gt;"","ISSUE-"&amp;TEXT(ROW()-1,"00000"),"")</f>
        <v/>
      </c>
      <c r="B874" s="14">
        <f>IF(F874&lt;&gt;"","错误","")</f>
        <v/>
      </c>
      <c r="C874" s="14">
        <f>IF('03_地点锚点'!A374&lt;&gt;"","03_地点锚点","")</f>
        <v/>
      </c>
      <c r="D874" s="14">
        <f>IF('03_地点锚点'!A374&lt;&gt;"",'03_地点锚点'!A374,"")</f>
        <v/>
      </c>
      <c r="E874" s="14">
        <f>IF(F874&lt;&gt;"","综合校验","")</f>
        <v/>
      </c>
      <c r="F874" s="14">
        <f>IF('03_地点锚点'!A374&lt;&gt;"",IF('03_地点锚点'!A374="","缺少地点ID；","")&amp;IF('03_地点锚点'!B374="","缺少中文名称；","")&amp;IF('03_地点锚点'!D374="","缺少地点类型；","")&amp;IF('03_地点锚点'!G374="","缺少世界X；","")&amp;IF('03_地点锚点'!H374="","缺少世界Y；","")&amp;IF(AND('03_地点锚点'!G374&lt;&gt;"",OR('03_地点锚点'!G374&lt;0,'03_地点锚点'!G374&gt;WorldWidth)),"世界X越界；","")&amp;IF(AND('03_地点锚点'!H374&lt;&gt;"",OR('03_地点锚点'!H374&lt;0,'03_地点锚点'!H374&gt;WorldHeight)),"世界Y越界；","")&amp;IF(AND('03_地点锚点'!E374&lt;&gt;"",COUNTIF('02_固定地理'!$A$2:$A$501,'03_地点锚点'!E374)=0),"父级行政对象不存在；","")&amp;IF(AND('03_地点锚点'!F374&lt;&gt;"",COUNTIF('03_地点锚点'!$A$2:$A$501,'03_地点锚点'!F374)=0),"父级地点不存在；","")&amp;IF(AND('03_地点锚点'!A374&lt;&gt;"",COUNTIF('03_地点锚点'!$A$2:$A$501,'03_地点锚点'!A374)&gt;1),"ID重复；",""),"")</f>
        <v/>
      </c>
      <c r="G874" s="14">
        <f>IF(F874&lt;&gt;"","按字段批注、数据字典和来源记录修正后复核","")</f>
        <v/>
      </c>
      <c r="H874" s="14">
        <f>IF(F874&lt;&gt;"","待处理","")</f>
        <v/>
      </c>
    </row>
    <row r="875">
      <c r="A875" s="14">
        <f>IF(F875&lt;&gt;"","ISSUE-"&amp;TEXT(ROW()-1,"00000"),"")</f>
        <v/>
      </c>
      <c r="B875" s="14">
        <f>IF(F875&lt;&gt;"","错误","")</f>
        <v/>
      </c>
      <c r="C875" s="14">
        <f>IF('03_地点锚点'!A375&lt;&gt;"","03_地点锚点","")</f>
        <v/>
      </c>
      <c r="D875" s="14">
        <f>IF('03_地点锚点'!A375&lt;&gt;"",'03_地点锚点'!A375,"")</f>
        <v/>
      </c>
      <c r="E875" s="14">
        <f>IF(F875&lt;&gt;"","综合校验","")</f>
        <v/>
      </c>
      <c r="F875" s="14">
        <f>IF('03_地点锚点'!A375&lt;&gt;"",IF('03_地点锚点'!A375="","缺少地点ID；","")&amp;IF('03_地点锚点'!B375="","缺少中文名称；","")&amp;IF('03_地点锚点'!D375="","缺少地点类型；","")&amp;IF('03_地点锚点'!G375="","缺少世界X；","")&amp;IF('03_地点锚点'!H375="","缺少世界Y；","")&amp;IF(AND('03_地点锚点'!G375&lt;&gt;"",OR('03_地点锚点'!G375&lt;0,'03_地点锚点'!G375&gt;WorldWidth)),"世界X越界；","")&amp;IF(AND('03_地点锚点'!H375&lt;&gt;"",OR('03_地点锚点'!H375&lt;0,'03_地点锚点'!H375&gt;WorldHeight)),"世界Y越界；","")&amp;IF(AND('03_地点锚点'!E375&lt;&gt;"",COUNTIF('02_固定地理'!$A$2:$A$501,'03_地点锚点'!E375)=0),"父级行政对象不存在；","")&amp;IF(AND('03_地点锚点'!F375&lt;&gt;"",COUNTIF('03_地点锚点'!$A$2:$A$501,'03_地点锚点'!F375)=0),"父级地点不存在；","")&amp;IF(AND('03_地点锚点'!A375&lt;&gt;"",COUNTIF('03_地点锚点'!$A$2:$A$501,'03_地点锚点'!A375)&gt;1),"ID重复；",""),"")</f>
        <v/>
      </c>
      <c r="G875" s="14">
        <f>IF(F875&lt;&gt;"","按字段批注、数据字典和来源记录修正后复核","")</f>
        <v/>
      </c>
      <c r="H875" s="14">
        <f>IF(F875&lt;&gt;"","待处理","")</f>
        <v/>
      </c>
    </row>
    <row r="876">
      <c r="A876" s="14">
        <f>IF(F876&lt;&gt;"","ISSUE-"&amp;TEXT(ROW()-1,"00000"),"")</f>
        <v/>
      </c>
      <c r="B876" s="14">
        <f>IF(F876&lt;&gt;"","错误","")</f>
        <v/>
      </c>
      <c r="C876" s="14">
        <f>IF('03_地点锚点'!A376&lt;&gt;"","03_地点锚点","")</f>
        <v/>
      </c>
      <c r="D876" s="14">
        <f>IF('03_地点锚点'!A376&lt;&gt;"",'03_地点锚点'!A376,"")</f>
        <v/>
      </c>
      <c r="E876" s="14">
        <f>IF(F876&lt;&gt;"","综合校验","")</f>
        <v/>
      </c>
      <c r="F876" s="14">
        <f>IF('03_地点锚点'!A376&lt;&gt;"",IF('03_地点锚点'!A376="","缺少地点ID；","")&amp;IF('03_地点锚点'!B376="","缺少中文名称；","")&amp;IF('03_地点锚点'!D376="","缺少地点类型；","")&amp;IF('03_地点锚点'!G376="","缺少世界X；","")&amp;IF('03_地点锚点'!H376="","缺少世界Y；","")&amp;IF(AND('03_地点锚点'!G376&lt;&gt;"",OR('03_地点锚点'!G376&lt;0,'03_地点锚点'!G376&gt;WorldWidth)),"世界X越界；","")&amp;IF(AND('03_地点锚点'!H376&lt;&gt;"",OR('03_地点锚点'!H376&lt;0,'03_地点锚点'!H376&gt;WorldHeight)),"世界Y越界；","")&amp;IF(AND('03_地点锚点'!E376&lt;&gt;"",COUNTIF('02_固定地理'!$A$2:$A$501,'03_地点锚点'!E376)=0),"父级行政对象不存在；","")&amp;IF(AND('03_地点锚点'!F376&lt;&gt;"",COUNTIF('03_地点锚点'!$A$2:$A$501,'03_地点锚点'!F376)=0),"父级地点不存在；","")&amp;IF(AND('03_地点锚点'!A376&lt;&gt;"",COUNTIF('03_地点锚点'!$A$2:$A$501,'03_地点锚点'!A376)&gt;1),"ID重复；",""),"")</f>
        <v/>
      </c>
      <c r="G876" s="14">
        <f>IF(F876&lt;&gt;"","按字段批注、数据字典和来源记录修正后复核","")</f>
        <v/>
      </c>
      <c r="H876" s="14">
        <f>IF(F876&lt;&gt;"","待处理","")</f>
        <v/>
      </c>
    </row>
    <row r="877">
      <c r="A877" s="14">
        <f>IF(F877&lt;&gt;"","ISSUE-"&amp;TEXT(ROW()-1,"00000"),"")</f>
        <v/>
      </c>
      <c r="B877" s="14">
        <f>IF(F877&lt;&gt;"","错误","")</f>
        <v/>
      </c>
      <c r="C877" s="14">
        <f>IF('03_地点锚点'!A377&lt;&gt;"","03_地点锚点","")</f>
        <v/>
      </c>
      <c r="D877" s="14">
        <f>IF('03_地点锚点'!A377&lt;&gt;"",'03_地点锚点'!A377,"")</f>
        <v/>
      </c>
      <c r="E877" s="14">
        <f>IF(F877&lt;&gt;"","综合校验","")</f>
        <v/>
      </c>
      <c r="F877" s="14">
        <f>IF('03_地点锚点'!A377&lt;&gt;"",IF('03_地点锚点'!A377="","缺少地点ID；","")&amp;IF('03_地点锚点'!B377="","缺少中文名称；","")&amp;IF('03_地点锚点'!D377="","缺少地点类型；","")&amp;IF('03_地点锚点'!G377="","缺少世界X；","")&amp;IF('03_地点锚点'!H377="","缺少世界Y；","")&amp;IF(AND('03_地点锚点'!G377&lt;&gt;"",OR('03_地点锚点'!G377&lt;0,'03_地点锚点'!G377&gt;WorldWidth)),"世界X越界；","")&amp;IF(AND('03_地点锚点'!H377&lt;&gt;"",OR('03_地点锚点'!H377&lt;0,'03_地点锚点'!H377&gt;WorldHeight)),"世界Y越界；","")&amp;IF(AND('03_地点锚点'!E377&lt;&gt;"",COUNTIF('02_固定地理'!$A$2:$A$501,'03_地点锚点'!E377)=0),"父级行政对象不存在；","")&amp;IF(AND('03_地点锚点'!F377&lt;&gt;"",COUNTIF('03_地点锚点'!$A$2:$A$501,'03_地点锚点'!F377)=0),"父级地点不存在；","")&amp;IF(AND('03_地点锚点'!A377&lt;&gt;"",COUNTIF('03_地点锚点'!$A$2:$A$501,'03_地点锚点'!A377)&gt;1),"ID重复；",""),"")</f>
        <v/>
      </c>
      <c r="G877" s="14">
        <f>IF(F877&lt;&gt;"","按字段批注、数据字典和来源记录修正后复核","")</f>
        <v/>
      </c>
      <c r="H877" s="14">
        <f>IF(F877&lt;&gt;"","待处理","")</f>
        <v/>
      </c>
    </row>
    <row r="878">
      <c r="A878" s="14">
        <f>IF(F878&lt;&gt;"","ISSUE-"&amp;TEXT(ROW()-1,"00000"),"")</f>
        <v/>
      </c>
      <c r="B878" s="14">
        <f>IF(F878&lt;&gt;"","错误","")</f>
        <v/>
      </c>
      <c r="C878" s="14">
        <f>IF('03_地点锚点'!A378&lt;&gt;"","03_地点锚点","")</f>
        <v/>
      </c>
      <c r="D878" s="14">
        <f>IF('03_地点锚点'!A378&lt;&gt;"",'03_地点锚点'!A378,"")</f>
        <v/>
      </c>
      <c r="E878" s="14">
        <f>IF(F878&lt;&gt;"","综合校验","")</f>
        <v/>
      </c>
      <c r="F878" s="14">
        <f>IF('03_地点锚点'!A378&lt;&gt;"",IF('03_地点锚点'!A378="","缺少地点ID；","")&amp;IF('03_地点锚点'!B378="","缺少中文名称；","")&amp;IF('03_地点锚点'!D378="","缺少地点类型；","")&amp;IF('03_地点锚点'!G378="","缺少世界X；","")&amp;IF('03_地点锚点'!H378="","缺少世界Y；","")&amp;IF(AND('03_地点锚点'!G378&lt;&gt;"",OR('03_地点锚点'!G378&lt;0,'03_地点锚点'!G378&gt;WorldWidth)),"世界X越界；","")&amp;IF(AND('03_地点锚点'!H378&lt;&gt;"",OR('03_地点锚点'!H378&lt;0,'03_地点锚点'!H378&gt;WorldHeight)),"世界Y越界；","")&amp;IF(AND('03_地点锚点'!E378&lt;&gt;"",COUNTIF('02_固定地理'!$A$2:$A$501,'03_地点锚点'!E378)=0),"父级行政对象不存在；","")&amp;IF(AND('03_地点锚点'!F378&lt;&gt;"",COUNTIF('03_地点锚点'!$A$2:$A$501,'03_地点锚点'!F378)=0),"父级地点不存在；","")&amp;IF(AND('03_地点锚点'!A378&lt;&gt;"",COUNTIF('03_地点锚点'!$A$2:$A$501,'03_地点锚点'!A378)&gt;1),"ID重复；",""),"")</f>
        <v/>
      </c>
      <c r="G878" s="14">
        <f>IF(F878&lt;&gt;"","按字段批注、数据字典和来源记录修正后复核","")</f>
        <v/>
      </c>
      <c r="H878" s="14">
        <f>IF(F878&lt;&gt;"","待处理","")</f>
        <v/>
      </c>
    </row>
    <row r="879">
      <c r="A879" s="14">
        <f>IF(F879&lt;&gt;"","ISSUE-"&amp;TEXT(ROW()-1,"00000"),"")</f>
        <v/>
      </c>
      <c r="B879" s="14">
        <f>IF(F879&lt;&gt;"","错误","")</f>
        <v/>
      </c>
      <c r="C879" s="14">
        <f>IF('03_地点锚点'!A379&lt;&gt;"","03_地点锚点","")</f>
        <v/>
      </c>
      <c r="D879" s="14">
        <f>IF('03_地点锚点'!A379&lt;&gt;"",'03_地点锚点'!A379,"")</f>
        <v/>
      </c>
      <c r="E879" s="14">
        <f>IF(F879&lt;&gt;"","综合校验","")</f>
        <v/>
      </c>
      <c r="F879" s="14">
        <f>IF('03_地点锚点'!A379&lt;&gt;"",IF('03_地点锚点'!A379="","缺少地点ID；","")&amp;IF('03_地点锚点'!B379="","缺少中文名称；","")&amp;IF('03_地点锚点'!D379="","缺少地点类型；","")&amp;IF('03_地点锚点'!G379="","缺少世界X；","")&amp;IF('03_地点锚点'!H379="","缺少世界Y；","")&amp;IF(AND('03_地点锚点'!G379&lt;&gt;"",OR('03_地点锚点'!G379&lt;0,'03_地点锚点'!G379&gt;WorldWidth)),"世界X越界；","")&amp;IF(AND('03_地点锚点'!H379&lt;&gt;"",OR('03_地点锚点'!H379&lt;0,'03_地点锚点'!H379&gt;WorldHeight)),"世界Y越界；","")&amp;IF(AND('03_地点锚点'!E379&lt;&gt;"",COUNTIF('02_固定地理'!$A$2:$A$501,'03_地点锚点'!E379)=0),"父级行政对象不存在；","")&amp;IF(AND('03_地点锚点'!F379&lt;&gt;"",COUNTIF('03_地点锚点'!$A$2:$A$501,'03_地点锚点'!F379)=0),"父级地点不存在；","")&amp;IF(AND('03_地点锚点'!A379&lt;&gt;"",COUNTIF('03_地点锚点'!$A$2:$A$501,'03_地点锚点'!A379)&gt;1),"ID重复；",""),"")</f>
        <v/>
      </c>
      <c r="G879" s="14">
        <f>IF(F879&lt;&gt;"","按字段批注、数据字典和来源记录修正后复核","")</f>
        <v/>
      </c>
      <c r="H879" s="14">
        <f>IF(F879&lt;&gt;"","待处理","")</f>
        <v/>
      </c>
    </row>
    <row r="880">
      <c r="A880" s="14">
        <f>IF(F880&lt;&gt;"","ISSUE-"&amp;TEXT(ROW()-1,"00000"),"")</f>
        <v/>
      </c>
      <c r="B880" s="14">
        <f>IF(F880&lt;&gt;"","错误","")</f>
        <v/>
      </c>
      <c r="C880" s="14">
        <f>IF('03_地点锚点'!A380&lt;&gt;"","03_地点锚点","")</f>
        <v/>
      </c>
      <c r="D880" s="14">
        <f>IF('03_地点锚点'!A380&lt;&gt;"",'03_地点锚点'!A380,"")</f>
        <v/>
      </c>
      <c r="E880" s="14">
        <f>IF(F880&lt;&gt;"","综合校验","")</f>
        <v/>
      </c>
      <c r="F880" s="14">
        <f>IF('03_地点锚点'!A380&lt;&gt;"",IF('03_地点锚点'!A380="","缺少地点ID；","")&amp;IF('03_地点锚点'!B380="","缺少中文名称；","")&amp;IF('03_地点锚点'!D380="","缺少地点类型；","")&amp;IF('03_地点锚点'!G380="","缺少世界X；","")&amp;IF('03_地点锚点'!H380="","缺少世界Y；","")&amp;IF(AND('03_地点锚点'!G380&lt;&gt;"",OR('03_地点锚点'!G380&lt;0,'03_地点锚点'!G380&gt;WorldWidth)),"世界X越界；","")&amp;IF(AND('03_地点锚点'!H380&lt;&gt;"",OR('03_地点锚点'!H380&lt;0,'03_地点锚点'!H380&gt;WorldHeight)),"世界Y越界；","")&amp;IF(AND('03_地点锚点'!E380&lt;&gt;"",COUNTIF('02_固定地理'!$A$2:$A$501,'03_地点锚点'!E380)=0),"父级行政对象不存在；","")&amp;IF(AND('03_地点锚点'!F380&lt;&gt;"",COUNTIF('03_地点锚点'!$A$2:$A$501,'03_地点锚点'!F380)=0),"父级地点不存在；","")&amp;IF(AND('03_地点锚点'!A380&lt;&gt;"",COUNTIF('03_地点锚点'!$A$2:$A$501,'03_地点锚点'!A380)&gt;1),"ID重复；",""),"")</f>
        <v/>
      </c>
      <c r="G880" s="14">
        <f>IF(F880&lt;&gt;"","按字段批注、数据字典和来源记录修正后复核","")</f>
        <v/>
      </c>
      <c r="H880" s="14">
        <f>IF(F880&lt;&gt;"","待处理","")</f>
        <v/>
      </c>
    </row>
    <row r="881">
      <c r="A881" s="14">
        <f>IF(F881&lt;&gt;"","ISSUE-"&amp;TEXT(ROW()-1,"00000"),"")</f>
        <v/>
      </c>
      <c r="B881" s="14">
        <f>IF(F881&lt;&gt;"","错误","")</f>
        <v/>
      </c>
      <c r="C881" s="14">
        <f>IF('03_地点锚点'!A381&lt;&gt;"","03_地点锚点","")</f>
        <v/>
      </c>
      <c r="D881" s="14">
        <f>IF('03_地点锚点'!A381&lt;&gt;"",'03_地点锚点'!A381,"")</f>
        <v/>
      </c>
      <c r="E881" s="14">
        <f>IF(F881&lt;&gt;"","综合校验","")</f>
        <v/>
      </c>
      <c r="F881" s="14">
        <f>IF('03_地点锚点'!A381&lt;&gt;"",IF('03_地点锚点'!A381="","缺少地点ID；","")&amp;IF('03_地点锚点'!B381="","缺少中文名称；","")&amp;IF('03_地点锚点'!D381="","缺少地点类型；","")&amp;IF('03_地点锚点'!G381="","缺少世界X；","")&amp;IF('03_地点锚点'!H381="","缺少世界Y；","")&amp;IF(AND('03_地点锚点'!G381&lt;&gt;"",OR('03_地点锚点'!G381&lt;0,'03_地点锚点'!G381&gt;WorldWidth)),"世界X越界；","")&amp;IF(AND('03_地点锚点'!H381&lt;&gt;"",OR('03_地点锚点'!H381&lt;0,'03_地点锚点'!H381&gt;WorldHeight)),"世界Y越界；","")&amp;IF(AND('03_地点锚点'!E381&lt;&gt;"",COUNTIF('02_固定地理'!$A$2:$A$501,'03_地点锚点'!E381)=0),"父级行政对象不存在；","")&amp;IF(AND('03_地点锚点'!F381&lt;&gt;"",COUNTIF('03_地点锚点'!$A$2:$A$501,'03_地点锚点'!F381)=0),"父级地点不存在；","")&amp;IF(AND('03_地点锚点'!A381&lt;&gt;"",COUNTIF('03_地点锚点'!$A$2:$A$501,'03_地点锚点'!A381)&gt;1),"ID重复；",""),"")</f>
        <v/>
      </c>
      <c r="G881" s="14">
        <f>IF(F881&lt;&gt;"","按字段批注、数据字典和来源记录修正后复核","")</f>
        <v/>
      </c>
      <c r="H881" s="14">
        <f>IF(F881&lt;&gt;"","待处理","")</f>
        <v/>
      </c>
    </row>
    <row r="882">
      <c r="A882" s="14">
        <f>IF(F882&lt;&gt;"","ISSUE-"&amp;TEXT(ROW()-1,"00000"),"")</f>
        <v/>
      </c>
      <c r="B882" s="14">
        <f>IF(F882&lt;&gt;"","错误","")</f>
        <v/>
      </c>
      <c r="C882" s="14">
        <f>IF('03_地点锚点'!A382&lt;&gt;"","03_地点锚点","")</f>
        <v/>
      </c>
      <c r="D882" s="14">
        <f>IF('03_地点锚点'!A382&lt;&gt;"",'03_地点锚点'!A382,"")</f>
        <v/>
      </c>
      <c r="E882" s="14">
        <f>IF(F882&lt;&gt;"","综合校验","")</f>
        <v/>
      </c>
      <c r="F882" s="14">
        <f>IF('03_地点锚点'!A382&lt;&gt;"",IF('03_地点锚点'!A382="","缺少地点ID；","")&amp;IF('03_地点锚点'!B382="","缺少中文名称；","")&amp;IF('03_地点锚点'!D382="","缺少地点类型；","")&amp;IF('03_地点锚点'!G382="","缺少世界X；","")&amp;IF('03_地点锚点'!H382="","缺少世界Y；","")&amp;IF(AND('03_地点锚点'!G382&lt;&gt;"",OR('03_地点锚点'!G382&lt;0,'03_地点锚点'!G382&gt;WorldWidth)),"世界X越界；","")&amp;IF(AND('03_地点锚点'!H382&lt;&gt;"",OR('03_地点锚点'!H382&lt;0,'03_地点锚点'!H382&gt;WorldHeight)),"世界Y越界；","")&amp;IF(AND('03_地点锚点'!E382&lt;&gt;"",COUNTIF('02_固定地理'!$A$2:$A$501,'03_地点锚点'!E382)=0),"父级行政对象不存在；","")&amp;IF(AND('03_地点锚点'!F382&lt;&gt;"",COUNTIF('03_地点锚点'!$A$2:$A$501,'03_地点锚点'!F382)=0),"父级地点不存在；","")&amp;IF(AND('03_地点锚点'!A382&lt;&gt;"",COUNTIF('03_地点锚点'!$A$2:$A$501,'03_地点锚点'!A382)&gt;1),"ID重复；",""),"")</f>
        <v/>
      </c>
      <c r="G882" s="14">
        <f>IF(F882&lt;&gt;"","按字段批注、数据字典和来源记录修正后复核","")</f>
        <v/>
      </c>
      <c r="H882" s="14">
        <f>IF(F882&lt;&gt;"","待处理","")</f>
        <v/>
      </c>
    </row>
    <row r="883">
      <c r="A883" s="14">
        <f>IF(F883&lt;&gt;"","ISSUE-"&amp;TEXT(ROW()-1,"00000"),"")</f>
        <v/>
      </c>
      <c r="B883" s="14">
        <f>IF(F883&lt;&gt;"","错误","")</f>
        <v/>
      </c>
      <c r="C883" s="14">
        <f>IF('03_地点锚点'!A383&lt;&gt;"","03_地点锚点","")</f>
        <v/>
      </c>
      <c r="D883" s="14">
        <f>IF('03_地点锚点'!A383&lt;&gt;"",'03_地点锚点'!A383,"")</f>
        <v/>
      </c>
      <c r="E883" s="14">
        <f>IF(F883&lt;&gt;"","综合校验","")</f>
        <v/>
      </c>
      <c r="F883" s="14">
        <f>IF('03_地点锚点'!A383&lt;&gt;"",IF('03_地点锚点'!A383="","缺少地点ID；","")&amp;IF('03_地点锚点'!B383="","缺少中文名称；","")&amp;IF('03_地点锚点'!D383="","缺少地点类型；","")&amp;IF('03_地点锚点'!G383="","缺少世界X；","")&amp;IF('03_地点锚点'!H383="","缺少世界Y；","")&amp;IF(AND('03_地点锚点'!G383&lt;&gt;"",OR('03_地点锚点'!G383&lt;0,'03_地点锚点'!G383&gt;WorldWidth)),"世界X越界；","")&amp;IF(AND('03_地点锚点'!H383&lt;&gt;"",OR('03_地点锚点'!H383&lt;0,'03_地点锚点'!H383&gt;WorldHeight)),"世界Y越界；","")&amp;IF(AND('03_地点锚点'!E383&lt;&gt;"",COUNTIF('02_固定地理'!$A$2:$A$501,'03_地点锚点'!E383)=0),"父级行政对象不存在；","")&amp;IF(AND('03_地点锚点'!F383&lt;&gt;"",COUNTIF('03_地点锚点'!$A$2:$A$501,'03_地点锚点'!F383)=0),"父级地点不存在；","")&amp;IF(AND('03_地点锚点'!A383&lt;&gt;"",COUNTIF('03_地点锚点'!$A$2:$A$501,'03_地点锚点'!A383)&gt;1),"ID重复；",""),"")</f>
        <v/>
      </c>
      <c r="G883" s="14">
        <f>IF(F883&lt;&gt;"","按字段批注、数据字典和来源记录修正后复核","")</f>
        <v/>
      </c>
      <c r="H883" s="14">
        <f>IF(F883&lt;&gt;"","待处理","")</f>
        <v/>
      </c>
    </row>
    <row r="884">
      <c r="A884" s="14">
        <f>IF(F884&lt;&gt;"","ISSUE-"&amp;TEXT(ROW()-1,"00000"),"")</f>
        <v/>
      </c>
      <c r="B884" s="14">
        <f>IF(F884&lt;&gt;"","错误","")</f>
        <v/>
      </c>
      <c r="C884" s="14">
        <f>IF('03_地点锚点'!A384&lt;&gt;"","03_地点锚点","")</f>
        <v/>
      </c>
      <c r="D884" s="14">
        <f>IF('03_地点锚点'!A384&lt;&gt;"",'03_地点锚点'!A384,"")</f>
        <v/>
      </c>
      <c r="E884" s="14">
        <f>IF(F884&lt;&gt;"","综合校验","")</f>
        <v/>
      </c>
      <c r="F884" s="14">
        <f>IF('03_地点锚点'!A384&lt;&gt;"",IF('03_地点锚点'!A384="","缺少地点ID；","")&amp;IF('03_地点锚点'!B384="","缺少中文名称；","")&amp;IF('03_地点锚点'!D384="","缺少地点类型；","")&amp;IF('03_地点锚点'!G384="","缺少世界X；","")&amp;IF('03_地点锚点'!H384="","缺少世界Y；","")&amp;IF(AND('03_地点锚点'!G384&lt;&gt;"",OR('03_地点锚点'!G384&lt;0,'03_地点锚点'!G384&gt;WorldWidth)),"世界X越界；","")&amp;IF(AND('03_地点锚点'!H384&lt;&gt;"",OR('03_地点锚点'!H384&lt;0,'03_地点锚点'!H384&gt;WorldHeight)),"世界Y越界；","")&amp;IF(AND('03_地点锚点'!E384&lt;&gt;"",COUNTIF('02_固定地理'!$A$2:$A$501,'03_地点锚点'!E384)=0),"父级行政对象不存在；","")&amp;IF(AND('03_地点锚点'!F384&lt;&gt;"",COUNTIF('03_地点锚点'!$A$2:$A$501,'03_地点锚点'!F384)=0),"父级地点不存在；","")&amp;IF(AND('03_地点锚点'!A384&lt;&gt;"",COUNTIF('03_地点锚点'!$A$2:$A$501,'03_地点锚点'!A384)&gt;1),"ID重复；",""),"")</f>
        <v/>
      </c>
      <c r="G884" s="14">
        <f>IF(F884&lt;&gt;"","按字段批注、数据字典和来源记录修正后复核","")</f>
        <v/>
      </c>
      <c r="H884" s="14">
        <f>IF(F884&lt;&gt;"","待处理","")</f>
        <v/>
      </c>
    </row>
    <row r="885">
      <c r="A885" s="14">
        <f>IF(F885&lt;&gt;"","ISSUE-"&amp;TEXT(ROW()-1,"00000"),"")</f>
        <v/>
      </c>
      <c r="B885" s="14">
        <f>IF(F885&lt;&gt;"","错误","")</f>
        <v/>
      </c>
      <c r="C885" s="14">
        <f>IF('03_地点锚点'!A385&lt;&gt;"","03_地点锚点","")</f>
        <v/>
      </c>
      <c r="D885" s="14">
        <f>IF('03_地点锚点'!A385&lt;&gt;"",'03_地点锚点'!A385,"")</f>
        <v/>
      </c>
      <c r="E885" s="14">
        <f>IF(F885&lt;&gt;"","综合校验","")</f>
        <v/>
      </c>
      <c r="F885" s="14">
        <f>IF('03_地点锚点'!A385&lt;&gt;"",IF('03_地点锚点'!A385="","缺少地点ID；","")&amp;IF('03_地点锚点'!B385="","缺少中文名称；","")&amp;IF('03_地点锚点'!D385="","缺少地点类型；","")&amp;IF('03_地点锚点'!G385="","缺少世界X；","")&amp;IF('03_地点锚点'!H385="","缺少世界Y；","")&amp;IF(AND('03_地点锚点'!G385&lt;&gt;"",OR('03_地点锚点'!G385&lt;0,'03_地点锚点'!G385&gt;WorldWidth)),"世界X越界；","")&amp;IF(AND('03_地点锚点'!H385&lt;&gt;"",OR('03_地点锚点'!H385&lt;0,'03_地点锚点'!H385&gt;WorldHeight)),"世界Y越界；","")&amp;IF(AND('03_地点锚点'!E385&lt;&gt;"",COUNTIF('02_固定地理'!$A$2:$A$501,'03_地点锚点'!E385)=0),"父级行政对象不存在；","")&amp;IF(AND('03_地点锚点'!F385&lt;&gt;"",COUNTIF('03_地点锚点'!$A$2:$A$501,'03_地点锚点'!F385)=0),"父级地点不存在；","")&amp;IF(AND('03_地点锚点'!A385&lt;&gt;"",COUNTIF('03_地点锚点'!$A$2:$A$501,'03_地点锚点'!A385)&gt;1),"ID重复；",""),"")</f>
        <v/>
      </c>
      <c r="G885" s="14">
        <f>IF(F885&lt;&gt;"","按字段批注、数据字典和来源记录修正后复核","")</f>
        <v/>
      </c>
      <c r="H885" s="14">
        <f>IF(F885&lt;&gt;"","待处理","")</f>
        <v/>
      </c>
    </row>
    <row r="886">
      <c r="A886" s="14">
        <f>IF(F886&lt;&gt;"","ISSUE-"&amp;TEXT(ROW()-1,"00000"),"")</f>
        <v/>
      </c>
      <c r="B886" s="14">
        <f>IF(F886&lt;&gt;"","错误","")</f>
        <v/>
      </c>
      <c r="C886" s="14">
        <f>IF('03_地点锚点'!A386&lt;&gt;"","03_地点锚点","")</f>
        <v/>
      </c>
      <c r="D886" s="14">
        <f>IF('03_地点锚点'!A386&lt;&gt;"",'03_地点锚点'!A386,"")</f>
        <v/>
      </c>
      <c r="E886" s="14">
        <f>IF(F886&lt;&gt;"","综合校验","")</f>
        <v/>
      </c>
      <c r="F886" s="14">
        <f>IF('03_地点锚点'!A386&lt;&gt;"",IF('03_地点锚点'!A386="","缺少地点ID；","")&amp;IF('03_地点锚点'!B386="","缺少中文名称；","")&amp;IF('03_地点锚点'!D386="","缺少地点类型；","")&amp;IF('03_地点锚点'!G386="","缺少世界X；","")&amp;IF('03_地点锚点'!H386="","缺少世界Y；","")&amp;IF(AND('03_地点锚点'!G386&lt;&gt;"",OR('03_地点锚点'!G386&lt;0,'03_地点锚点'!G386&gt;WorldWidth)),"世界X越界；","")&amp;IF(AND('03_地点锚点'!H386&lt;&gt;"",OR('03_地点锚点'!H386&lt;0,'03_地点锚点'!H386&gt;WorldHeight)),"世界Y越界；","")&amp;IF(AND('03_地点锚点'!E386&lt;&gt;"",COUNTIF('02_固定地理'!$A$2:$A$501,'03_地点锚点'!E386)=0),"父级行政对象不存在；","")&amp;IF(AND('03_地点锚点'!F386&lt;&gt;"",COUNTIF('03_地点锚点'!$A$2:$A$501,'03_地点锚点'!F386)=0),"父级地点不存在；","")&amp;IF(AND('03_地点锚点'!A386&lt;&gt;"",COUNTIF('03_地点锚点'!$A$2:$A$501,'03_地点锚点'!A386)&gt;1),"ID重复；",""),"")</f>
        <v/>
      </c>
      <c r="G886" s="14">
        <f>IF(F886&lt;&gt;"","按字段批注、数据字典和来源记录修正后复核","")</f>
        <v/>
      </c>
      <c r="H886" s="14">
        <f>IF(F886&lt;&gt;"","待处理","")</f>
        <v/>
      </c>
    </row>
    <row r="887">
      <c r="A887" s="14">
        <f>IF(F887&lt;&gt;"","ISSUE-"&amp;TEXT(ROW()-1,"00000"),"")</f>
        <v/>
      </c>
      <c r="B887" s="14">
        <f>IF(F887&lt;&gt;"","错误","")</f>
        <v/>
      </c>
      <c r="C887" s="14">
        <f>IF('03_地点锚点'!A387&lt;&gt;"","03_地点锚点","")</f>
        <v/>
      </c>
      <c r="D887" s="14">
        <f>IF('03_地点锚点'!A387&lt;&gt;"",'03_地点锚点'!A387,"")</f>
        <v/>
      </c>
      <c r="E887" s="14">
        <f>IF(F887&lt;&gt;"","综合校验","")</f>
        <v/>
      </c>
      <c r="F887" s="14">
        <f>IF('03_地点锚点'!A387&lt;&gt;"",IF('03_地点锚点'!A387="","缺少地点ID；","")&amp;IF('03_地点锚点'!B387="","缺少中文名称；","")&amp;IF('03_地点锚点'!D387="","缺少地点类型；","")&amp;IF('03_地点锚点'!G387="","缺少世界X；","")&amp;IF('03_地点锚点'!H387="","缺少世界Y；","")&amp;IF(AND('03_地点锚点'!G387&lt;&gt;"",OR('03_地点锚点'!G387&lt;0,'03_地点锚点'!G387&gt;WorldWidth)),"世界X越界；","")&amp;IF(AND('03_地点锚点'!H387&lt;&gt;"",OR('03_地点锚点'!H387&lt;0,'03_地点锚点'!H387&gt;WorldHeight)),"世界Y越界；","")&amp;IF(AND('03_地点锚点'!E387&lt;&gt;"",COUNTIF('02_固定地理'!$A$2:$A$501,'03_地点锚点'!E387)=0),"父级行政对象不存在；","")&amp;IF(AND('03_地点锚点'!F387&lt;&gt;"",COUNTIF('03_地点锚点'!$A$2:$A$501,'03_地点锚点'!F387)=0),"父级地点不存在；","")&amp;IF(AND('03_地点锚点'!A387&lt;&gt;"",COUNTIF('03_地点锚点'!$A$2:$A$501,'03_地点锚点'!A387)&gt;1),"ID重复；",""),"")</f>
        <v/>
      </c>
      <c r="G887" s="14">
        <f>IF(F887&lt;&gt;"","按字段批注、数据字典和来源记录修正后复核","")</f>
        <v/>
      </c>
      <c r="H887" s="14">
        <f>IF(F887&lt;&gt;"","待处理","")</f>
        <v/>
      </c>
    </row>
    <row r="888">
      <c r="A888" s="14">
        <f>IF(F888&lt;&gt;"","ISSUE-"&amp;TEXT(ROW()-1,"00000"),"")</f>
        <v/>
      </c>
      <c r="B888" s="14">
        <f>IF(F888&lt;&gt;"","错误","")</f>
        <v/>
      </c>
      <c r="C888" s="14">
        <f>IF('03_地点锚点'!A388&lt;&gt;"","03_地点锚点","")</f>
        <v/>
      </c>
      <c r="D888" s="14">
        <f>IF('03_地点锚点'!A388&lt;&gt;"",'03_地点锚点'!A388,"")</f>
        <v/>
      </c>
      <c r="E888" s="14">
        <f>IF(F888&lt;&gt;"","综合校验","")</f>
        <v/>
      </c>
      <c r="F888" s="14">
        <f>IF('03_地点锚点'!A388&lt;&gt;"",IF('03_地点锚点'!A388="","缺少地点ID；","")&amp;IF('03_地点锚点'!B388="","缺少中文名称；","")&amp;IF('03_地点锚点'!D388="","缺少地点类型；","")&amp;IF('03_地点锚点'!G388="","缺少世界X；","")&amp;IF('03_地点锚点'!H388="","缺少世界Y；","")&amp;IF(AND('03_地点锚点'!G388&lt;&gt;"",OR('03_地点锚点'!G388&lt;0,'03_地点锚点'!G388&gt;WorldWidth)),"世界X越界；","")&amp;IF(AND('03_地点锚点'!H388&lt;&gt;"",OR('03_地点锚点'!H388&lt;0,'03_地点锚点'!H388&gt;WorldHeight)),"世界Y越界；","")&amp;IF(AND('03_地点锚点'!E388&lt;&gt;"",COUNTIF('02_固定地理'!$A$2:$A$501,'03_地点锚点'!E388)=0),"父级行政对象不存在；","")&amp;IF(AND('03_地点锚点'!F388&lt;&gt;"",COUNTIF('03_地点锚点'!$A$2:$A$501,'03_地点锚点'!F388)=0),"父级地点不存在；","")&amp;IF(AND('03_地点锚点'!A388&lt;&gt;"",COUNTIF('03_地点锚点'!$A$2:$A$501,'03_地点锚点'!A388)&gt;1),"ID重复；",""),"")</f>
        <v/>
      </c>
      <c r="G888" s="14">
        <f>IF(F888&lt;&gt;"","按字段批注、数据字典和来源记录修正后复核","")</f>
        <v/>
      </c>
      <c r="H888" s="14">
        <f>IF(F888&lt;&gt;"","待处理","")</f>
        <v/>
      </c>
    </row>
    <row r="889">
      <c r="A889" s="14">
        <f>IF(F889&lt;&gt;"","ISSUE-"&amp;TEXT(ROW()-1,"00000"),"")</f>
        <v/>
      </c>
      <c r="B889" s="14">
        <f>IF(F889&lt;&gt;"","错误","")</f>
        <v/>
      </c>
      <c r="C889" s="14">
        <f>IF('03_地点锚点'!A389&lt;&gt;"","03_地点锚点","")</f>
        <v/>
      </c>
      <c r="D889" s="14">
        <f>IF('03_地点锚点'!A389&lt;&gt;"",'03_地点锚点'!A389,"")</f>
        <v/>
      </c>
      <c r="E889" s="14">
        <f>IF(F889&lt;&gt;"","综合校验","")</f>
        <v/>
      </c>
      <c r="F889" s="14">
        <f>IF('03_地点锚点'!A389&lt;&gt;"",IF('03_地点锚点'!A389="","缺少地点ID；","")&amp;IF('03_地点锚点'!B389="","缺少中文名称；","")&amp;IF('03_地点锚点'!D389="","缺少地点类型；","")&amp;IF('03_地点锚点'!G389="","缺少世界X；","")&amp;IF('03_地点锚点'!H389="","缺少世界Y；","")&amp;IF(AND('03_地点锚点'!G389&lt;&gt;"",OR('03_地点锚点'!G389&lt;0,'03_地点锚点'!G389&gt;WorldWidth)),"世界X越界；","")&amp;IF(AND('03_地点锚点'!H389&lt;&gt;"",OR('03_地点锚点'!H389&lt;0,'03_地点锚点'!H389&gt;WorldHeight)),"世界Y越界；","")&amp;IF(AND('03_地点锚点'!E389&lt;&gt;"",COUNTIF('02_固定地理'!$A$2:$A$501,'03_地点锚点'!E389)=0),"父级行政对象不存在；","")&amp;IF(AND('03_地点锚点'!F389&lt;&gt;"",COUNTIF('03_地点锚点'!$A$2:$A$501,'03_地点锚点'!F389)=0),"父级地点不存在；","")&amp;IF(AND('03_地点锚点'!A389&lt;&gt;"",COUNTIF('03_地点锚点'!$A$2:$A$501,'03_地点锚点'!A389)&gt;1),"ID重复；",""),"")</f>
        <v/>
      </c>
      <c r="G889" s="14">
        <f>IF(F889&lt;&gt;"","按字段批注、数据字典和来源记录修正后复核","")</f>
        <v/>
      </c>
      <c r="H889" s="14">
        <f>IF(F889&lt;&gt;"","待处理","")</f>
        <v/>
      </c>
    </row>
    <row r="890">
      <c r="A890" s="14">
        <f>IF(F890&lt;&gt;"","ISSUE-"&amp;TEXT(ROW()-1,"00000"),"")</f>
        <v/>
      </c>
      <c r="B890" s="14">
        <f>IF(F890&lt;&gt;"","错误","")</f>
        <v/>
      </c>
      <c r="C890" s="14">
        <f>IF('03_地点锚点'!A390&lt;&gt;"","03_地点锚点","")</f>
        <v/>
      </c>
      <c r="D890" s="14">
        <f>IF('03_地点锚点'!A390&lt;&gt;"",'03_地点锚点'!A390,"")</f>
        <v/>
      </c>
      <c r="E890" s="14">
        <f>IF(F890&lt;&gt;"","综合校验","")</f>
        <v/>
      </c>
      <c r="F890" s="14">
        <f>IF('03_地点锚点'!A390&lt;&gt;"",IF('03_地点锚点'!A390="","缺少地点ID；","")&amp;IF('03_地点锚点'!B390="","缺少中文名称；","")&amp;IF('03_地点锚点'!D390="","缺少地点类型；","")&amp;IF('03_地点锚点'!G390="","缺少世界X；","")&amp;IF('03_地点锚点'!H390="","缺少世界Y；","")&amp;IF(AND('03_地点锚点'!G390&lt;&gt;"",OR('03_地点锚点'!G390&lt;0,'03_地点锚点'!G390&gt;WorldWidth)),"世界X越界；","")&amp;IF(AND('03_地点锚点'!H390&lt;&gt;"",OR('03_地点锚点'!H390&lt;0,'03_地点锚点'!H390&gt;WorldHeight)),"世界Y越界；","")&amp;IF(AND('03_地点锚点'!E390&lt;&gt;"",COUNTIF('02_固定地理'!$A$2:$A$501,'03_地点锚点'!E390)=0),"父级行政对象不存在；","")&amp;IF(AND('03_地点锚点'!F390&lt;&gt;"",COUNTIF('03_地点锚点'!$A$2:$A$501,'03_地点锚点'!F390)=0),"父级地点不存在；","")&amp;IF(AND('03_地点锚点'!A390&lt;&gt;"",COUNTIF('03_地点锚点'!$A$2:$A$501,'03_地点锚点'!A390)&gt;1),"ID重复；",""),"")</f>
        <v/>
      </c>
      <c r="G890" s="14">
        <f>IF(F890&lt;&gt;"","按字段批注、数据字典和来源记录修正后复核","")</f>
        <v/>
      </c>
      <c r="H890" s="14">
        <f>IF(F890&lt;&gt;"","待处理","")</f>
        <v/>
      </c>
    </row>
    <row r="891">
      <c r="A891" s="14">
        <f>IF(F891&lt;&gt;"","ISSUE-"&amp;TEXT(ROW()-1,"00000"),"")</f>
        <v/>
      </c>
      <c r="B891" s="14">
        <f>IF(F891&lt;&gt;"","错误","")</f>
        <v/>
      </c>
      <c r="C891" s="14">
        <f>IF('03_地点锚点'!A391&lt;&gt;"","03_地点锚点","")</f>
        <v/>
      </c>
      <c r="D891" s="14">
        <f>IF('03_地点锚点'!A391&lt;&gt;"",'03_地点锚点'!A391,"")</f>
        <v/>
      </c>
      <c r="E891" s="14">
        <f>IF(F891&lt;&gt;"","综合校验","")</f>
        <v/>
      </c>
      <c r="F891" s="14">
        <f>IF('03_地点锚点'!A391&lt;&gt;"",IF('03_地点锚点'!A391="","缺少地点ID；","")&amp;IF('03_地点锚点'!B391="","缺少中文名称；","")&amp;IF('03_地点锚点'!D391="","缺少地点类型；","")&amp;IF('03_地点锚点'!G391="","缺少世界X；","")&amp;IF('03_地点锚点'!H391="","缺少世界Y；","")&amp;IF(AND('03_地点锚点'!G391&lt;&gt;"",OR('03_地点锚点'!G391&lt;0,'03_地点锚点'!G391&gt;WorldWidth)),"世界X越界；","")&amp;IF(AND('03_地点锚点'!H391&lt;&gt;"",OR('03_地点锚点'!H391&lt;0,'03_地点锚点'!H391&gt;WorldHeight)),"世界Y越界；","")&amp;IF(AND('03_地点锚点'!E391&lt;&gt;"",COUNTIF('02_固定地理'!$A$2:$A$501,'03_地点锚点'!E391)=0),"父级行政对象不存在；","")&amp;IF(AND('03_地点锚点'!F391&lt;&gt;"",COUNTIF('03_地点锚点'!$A$2:$A$501,'03_地点锚点'!F391)=0),"父级地点不存在；","")&amp;IF(AND('03_地点锚点'!A391&lt;&gt;"",COUNTIF('03_地点锚点'!$A$2:$A$501,'03_地点锚点'!A391)&gt;1),"ID重复；",""),"")</f>
        <v/>
      </c>
      <c r="G891" s="14">
        <f>IF(F891&lt;&gt;"","按字段批注、数据字典和来源记录修正后复核","")</f>
        <v/>
      </c>
      <c r="H891" s="14">
        <f>IF(F891&lt;&gt;"","待处理","")</f>
        <v/>
      </c>
    </row>
    <row r="892">
      <c r="A892" s="14">
        <f>IF(F892&lt;&gt;"","ISSUE-"&amp;TEXT(ROW()-1,"00000"),"")</f>
        <v/>
      </c>
      <c r="B892" s="14">
        <f>IF(F892&lt;&gt;"","错误","")</f>
        <v/>
      </c>
      <c r="C892" s="14">
        <f>IF('03_地点锚点'!A392&lt;&gt;"","03_地点锚点","")</f>
        <v/>
      </c>
      <c r="D892" s="14">
        <f>IF('03_地点锚点'!A392&lt;&gt;"",'03_地点锚点'!A392,"")</f>
        <v/>
      </c>
      <c r="E892" s="14">
        <f>IF(F892&lt;&gt;"","综合校验","")</f>
        <v/>
      </c>
      <c r="F892" s="14">
        <f>IF('03_地点锚点'!A392&lt;&gt;"",IF('03_地点锚点'!A392="","缺少地点ID；","")&amp;IF('03_地点锚点'!B392="","缺少中文名称；","")&amp;IF('03_地点锚点'!D392="","缺少地点类型；","")&amp;IF('03_地点锚点'!G392="","缺少世界X；","")&amp;IF('03_地点锚点'!H392="","缺少世界Y；","")&amp;IF(AND('03_地点锚点'!G392&lt;&gt;"",OR('03_地点锚点'!G392&lt;0,'03_地点锚点'!G392&gt;WorldWidth)),"世界X越界；","")&amp;IF(AND('03_地点锚点'!H392&lt;&gt;"",OR('03_地点锚点'!H392&lt;0,'03_地点锚点'!H392&gt;WorldHeight)),"世界Y越界；","")&amp;IF(AND('03_地点锚点'!E392&lt;&gt;"",COUNTIF('02_固定地理'!$A$2:$A$501,'03_地点锚点'!E392)=0),"父级行政对象不存在；","")&amp;IF(AND('03_地点锚点'!F392&lt;&gt;"",COUNTIF('03_地点锚点'!$A$2:$A$501,'03_地点锚点'!F392)=0),"父级地点不存在；","")&amp;IF(AND('03_地点锚点'!A392&lt;&gt;"",COUNTIF('03_地点锚点'!$A$2:$A$501,'03_地点锚点'!A392)&gt;1),"ID重复；",""),"")</f>
        <v/>
      </c>
      <c r="G892" s="14">
        <f>IF(F892&lt;&gt;"","按字段批注、数据字典和来源记录修正后复核","")</f>
        <v/>
      </c>
      <c r="H892" s="14">
        <f>IF(F892&lt;&gt;"","待处理","")</f>
        <v/>
      </c>
    </row>
    <row r="893">
      <c r="A893" s="14">
        <f>IF(F893&lt;&gt;"","ISSUE-"&amp;TEXT(ROW()-1,"00000"),"")</f>
        <v/>
      </c>
      <c r="B893" s="14">
        <f>IF(F893&lt;&gt;"","错误","")</f>
        <v/>
      </c>
      <c r="C893" s="14">
        <f>IF('03_地点锚点'!A393&lt;&gt;"","03_地点锚点","")</f>
        <v/>
      </c>
      <c r="D893" s="14">
        <f>IF('03_地点锚点'!A393&lt;&gt;"",'03_地点锚点'!A393,"")</f>
        <v/>
      </c>
      <c r="E893" s="14">
        <f>IF(F893&lt;&gt;"","综合校验","")</f>
        <v/>
      </c>
      <c r="F893" s="14">
        <f>IF('03_地点锚点'!A393&lt;&gt;"",IF('03_地点锚点'!A393="","缺少地点ID；","")&amp;IF('03_地点锚点'!B393="","缺少中文名称；","")&amp;IF('03_地点锚点'!D393="","缺少地点类型；","")&amp;IF('03_地点锚点'!G393="","缺少世界X；","")&amp;IF('03_地点锚点'!H393="","缺少世界Y；","")&amp;IF(AND('03_地点锚点'!G393&lt;&gt;"",OR('03_地点锚点'!G393&lt;0,'03_地点锚点'!G393&gt;WorldWidth)),"世界X越界；","")&amp;IF(AND('03_地点锚点'!H393&lt;&gt;"",OR('03_地点锚点'!H393&lt;0,'03_地点锚点'!H393&gt;WorldHeight)),"世界Y越界；","")&amp;IF(AND('03_地点锚点'!E393&lt;&gt;"",COUNTIF('02_固定地理'!$A$2:$A$501,'03_地点锚点'!E393)=0),"父级行政对象不存在；","")&amp;IF(AND('03_地点锚点'!F393&lt;&gt;"",COUNTIF('03_地点锚点'!$A$2:$A$501,'03_地点锚点'!F393)=0),"父级地点不存在；","")&amp;IF(AND('03_地点锚点'!A393&lt;&gt;"",COUNTIF('03_地点锚点'!$A$2:$A$501,'03_地点锚点'!A393)&gt;1),"ID重复；",""),"")</f>
        <v/>
      </c>
      <c r="G893" s="14">
        <f>IF(F893&lt;&gt;"","按字段批注、数据字典和来源记录修正后复核","")</f>
        <v/>
      </c>
      <c r="H893" s="14">
        <f>IF(F893&lt;&gt;"","待处理","")</f>
        <v/>
      </c>
    </row>
    <row r="894">
      <c r="A894" s="14">
        <f>IF(F894&lt;&gt;"","ISSUE-"&amp;TEXT(ROW()-1,"00000"),"")</f>
        <v/>
      </c>
      <c r="B894" s="14">
        <f>IF(F894&lt;&gt;"","错误","")</f>
        <v/>
      </c>
      <c r="C894" s="14">
        <f>IF('03_地点锚点'!A394&lt;&gt;"","03_地点锚点","")</f>
        <v/>
      </c>
      <c r="D894" s="14">
        <f>IF('03_地点锚点'!A394&lt;&gt;"",'03_地点锚点'!A394,"")</f>
        <v/>
      </c>
      <c r="E894" s="14">
        <f>IF(F894&lt;&gt;"","综合校验","")</f>
        <v/>
      </c>
      <c r="F894" s="14">
        <f>IF('03_地点锚点'!A394&lt;&gt;"",IF('03_地点锚点'!A394="","缺少地点ID；","")&amp;IF('03_地点锚点'!B394="","缺少中文名称；","")&amp;IF('03_地点锚点'!D394="","缺少地点类型；","")&amp;IF('03_地点锚点'!G394="","缺少世界X；","")&amp;IF('03_地点锚点'!H394="","缺少世界Y；","")&amp;IF(AND('03_地点锚点'!G394&lt;&gt;"",OR('03_地点锚点'!G394&lt;0,'03_地点锚点'!G394&gt;WorldWidth)),"世界X越界；","")&amp;IF(AND('03_地点锚点'!H394&lt;&gt;"",OR('03_地点锚点'!H394&lt;0,'03_地点锚点'!H394&gt;WorldHeight)),"世界Y越界；","")&amp;IF(AND('03_地点锚点'!E394&lt;&gt;"",COUNTIF('02_固定地理'!$A$2:$A$501,'03_地点锚点'!E394)=0),"父级行政对象不存在；","")&amp;IF(AND('03_地点锚点'!F394&lt;&gt;"",COUNTIF('03_地点锚点'!$A$2:$A$501,'03_地点锚点'!F394)=0),"父级地点不存在；","")&amp;IF(AND('03_地点锚点'!A394&lt;&gt;"",COUNTIF('03_地点锚点'!$A$2:$A$501,'03_地点锚点'!A394)&gt;1),"ID重复；",""),"")</f>
        <v/>
      </c>
      <c r="G894" s="14">
        <f>IF(F894&lt;&gt;"","按字段批注、数据字典和来源记录修正后复核","")</f>
        <v/>
      </c>
      <c r="H894" s="14">
        <f>IF(F894&lt;&gt;"","待处理","")</f>
        <v/>
      </c>
    </row>
    <row r="895">
      <c r="A895" s="14">
        <f>IF(F895&lt;&gt;"","ISSUE-"&amp;TEXT(ROW()-1,"00000"),"")</f>
        <v/>
      </c>
      <c r="B895" s="14">
        <f>IF(F895&lt;&gt;"","错误","")</f>
        <v/>
      </c>
      <c r="C895" s="14">
        <f>IF('03_地点锚点'!A395&lt;&gt;"","03_地点锚点","")</f>
        <v/>
      </c>
      <c r="D895" s="14">
        <f>IF('03_地点锚点'!A395&lt;&gt;"",'03_地点锚点'!A395,"")</f>
        <v/>
      </c>
      <c r="E895" s="14">
        <f>IF(F895&lt;&gt;"","综合校验","")</f>
        <v/>
      </c>
      <c r="F895" s="14">
        <f>IF('03_地点锚点'!A395&lt;&gt;"",IF('03_地点锚点'!A395="","缺少地点ID；","")&amp;IF('03_地点锚点'!B395="","缺少中文名称；","")&amp;IF('03_地点锚点'!D395="","缺少地点类型；","")&amp;IF('03_地点锚点'!G395="","缺少世界X；","")&amp;IF('03_地点锚点'!H395="","缺少世界Y；","")&amp;IF(AND('03_地点锚点'!G395&lt;&gt;"",OR('03_地点锚点'!G395&lt;0,'03_地点锚点'!G395&gt;WorldWidth)),"世界X越界；","")&amp;IF(AND('03_地点锚点'!H395&lt;&gt;"",OR('03_地点锚点'!H395&lt;0,'03_地点锚点'!H395&gt;WorldHeight)),"世界Y越界；","")&amp;IF(AND('03_地点锚点'!E395&lt;&gt;"",COUNTIF('02_固定地理'!$A$2:$A$501,'03_地点锚点'!E395)=0),"父级行政对象不存在；","")&amp;IF(AND('03_地点锚点'!F395&lt;&gt;"",COUNTIF('03_地点锚点'!$A$2:$A$501,'03_地点锚点'!F395)=0),"父级地点不存在；","")&amp;IF(AND('03_地点锚点'!A395&lt;&gt;"",COUNTIF('03_地点锚点'!$A$2:$A$501,'03_地点锚点'!A395)&gt;1),"ID重复；",""),"")</f>
        <v/>
      </c>
      <c r="G895" s="14">
        <f>IF(F895&lt;&gt;"","按字段批注、数据字典和来源记录修正后复核","")</f>
        <v/>
      </c>
      <c r="H895" s="14">
        <f>IF(F895&lt;&gt;"","待处理","")</f>
        <v/>
      </c>
    </row>
    <row r="896">
      <c r="A896" s="14">
        <f>IF(F896&lt;&gt;"","ISSUE-"&amp;TEXT(ROW()-1,"00000"),"")</f>
        <v/>
      </c>
      <c r="B896" s="14">
        <f>IF(F896&lt;&gt;"","错误","")</f>
        <v/>
      </c>
      <c r="C896" s="14">
        <f>IF('03_地点锚点'!A396&lt;&gt;"","03_地点锚点","")</f>
        <v/>
      </c>
      <c r="D896" s="14">
        <f>IF('03_地点锚点'!A396&lt;&gt;"",'03_地点锚点'!A396,"")</f>
        <v/>
      </c>
      <c r="E896" s="14">
        <f>IF(F896&lt;&gt;"","综合校验","")</f>
        <v/>
      </c>
      <c r="F896" s="14">
        <f>IF('03_地点锚点'!A396&lt;&gt;"",IF('03_地点锚点'!A396="","缺少地点ID；","")&amp;IF('03_地点锚点'!B396="","缺少中文名称；","")&amp;IF('03_地点锚点'!D396="","缺少地点类型；","")&amp;IF('03_地点锚点'!G396="","缺少世界X；","")&amp;IF('03_地点锚点'!H396="","缺少世界Y；","")&amp;IF(AND('03_地点锚点'!G396&lt;&gt;"",OR('03_地点锚点'!G396&lt;0,'03_地点锚点'!G396&gt;WorldWidth)),"世界X越界；","")&amp;IF(AND('03_地点锚点'!H396&lt;&gt;"",OR('03_地点锚点'!H396&lt;0,'03_地点锚点'!H396&gt;WorldHeight)),"世界Y越界；","")&amp;IF(AND('03_地点锚点'!E396&lt;&gt;"",COUNTIF('02_固定地理'!$A$2:$A$501,'03_地点锚点'!E396)=0),"父级行政对象不存在；","")&amp;IF(AND('03_地点锚点'!F396&lt;&gt;"",COUNTIF('03_地点锚点'!$A$2:$A$501,'03_地点锚点'!F396)=0),"父级地点不存在；","")&amp;IF(AND('03_地点锚点'!A396&lt;&gt;"",COUNTIF('03_地点锚点'!$A$2:$A$501,'03_地点锚点'!A396)&gt;1),"ID重复；",""),"")</f>
        <v/>
      </c>
      <c r="G896" s="14">
        <f>IF(F896&lt;&gt;"","按字段批注、数据字典和来源记录修正后复核","")</f>
        <v/>
      </c>
      <c r="H896" s="14">
        <f>IF(F896&lt;&gt;"","待处理","")</f>
        <v/>
      </c>
    </row>
    <row r="897">
      <c r="A897" s="14">
        <f>IF(F897&lt;&gt;"","ISSUE-"&amp;TEXT(ROW()-1,"00000"),"")</f>
        <v/>
      </c>
      <c r="B897" s="14">
        <f>IF(F897&lt;&gt;"","错误","")</f>
        <v/>
      </c>
      <c r="C897" s="14">
        <f>IF('03_地点锚点'!A397&lt;&gt;"","03_地点锚点","")</f>
        <v/>
      </c>
      <c r="D897" s="14">
        <f>IF('03_地点锚点'!A397&lt;&gt;"",'03_地点锚点'!A397,"")</f>
        <v/>
      </c>
      <c r="E897" s="14">
        <f>IF(F897&lt;&gt;"","综合校验","")</f>
        <v/>
      </c>
      <c r="F897" s="14">
        <f>IF('03_地点锚点'!A397&lt;&gt;"",IF('03_地点锚点'!A397="","缺少地点ID；","")&amp;IF('03_地点锚点'!B397="","缺少中文名称；","")&amp;IF('03_地点锚点'!D397="","缺少地点类型；","")&amp;IF('03_地点锚点'!G397="","缺少世界X；","")&amp;IF('03_地点锚点'!H397="","缺少世界Y；","")&amp;IF(AND('03_地点锚点'!G397&lt;&gt;"",OR('03_地点锚点'!G397&lt;0,'03_地点锚点'!G397&gt;WorldWidth)),"世界X越界；","")&amp;IF(AND('03_地点锚点'!H397&lt;&gt;"",OR('03_地点锚点'!H397&lt;0,'03_地点锚点'!H397&gt;WorldHeight)),"世界Y越界；","")&amp;IF(AND('03_地点锚点'!E397&lt;&gt;"",COUNTIF('02_固定地理'!$A$2:$A$501,'03_地点锚点'!E397)=0),"父级行政对象不存在；","")&amp;IF(AND('03_地点锚点'!F397&lt;&gt;"",COUNTIF('03_地点锚点'!$A$2:$A$501,'03_地点锚点'!F397)=0),"父级地点不存在；","")&amp;IF(AND('03_地点锚点'!A397&lt;&gt;"",COUNTIF('03_地点锚点'!$A$2:$A$501,'03_地点锚点'!A397)&gt;1),"ID重复；",""),"")</f>
        <v/>
      </c>
      <c r="G897" s="14">
        <f>IF(F897&lt;&gt;"","按字段批注、数据字典和来源记录修正后复核","")</f>
        <v/>
      </c>
      <c r="H897" s="14">
        <f>IF(F897&lt;&gt;"","待处理","")</f>
        <v/>
      </c>
    </row>
    <row r="898">
      <c r="A898" s="14">
        <f>IF(F898&lt;&gt;"","ISSUE-"&amp;TEXT(ROW()-1,"00000"),"")</f>
        <v/>
      </c>
      <c r="B898" s="14">
        <f>IF(F898&lt;&gt;"","错误","")</f>
        <v/>
      </c>
      <c r="C898" s="14">
        <f>IF('03_地点锚点'!A398&lt;&gt;"","03_地点锚点","")</f>
        <v/>
      </c>
      <c r="D898" s="14">
        <f>IF('03_地点锚点'!A398&lt;&gt;"",'03_地点锚点'!A398,"")</f>
        <v/>
      </c>
      <c r="E898" s="14">
        <f>IF(F898&lt;&gt;"","综合校验","")</f>
        <v/>
      </c>
      <c r="F898" s="14">
        <f>IF('03_地点锚点'!A398&lt;&gt;"",IF('03_地点锚点'!A398="","缺少地点ID；","")&amp;IF('03_地点锚点'!B398="","缺少中文名称；","")&amp;IF('03_地点锚点'!D398="","缺少地点类型；","")&amp;IF('03_地点锚点'!G398="","缺少世界X；","")&amp;IF('03_地点锚点'!H398="","缺少世界Y；","")&amp;IF(AND('03_地点锚点'!G398&lt;&gt;"",OR('03_地点锚点'!G398&lt;0,'03_地点锚点'!G398&gt;WorldWidth)),"世界X越界；","")&amp;IF(AND('03_地点锚点'!H398&lt;&gt;"",OR('03_地点锚点'!H398&lt;0,'03_地点锚点'!H398&gt;WorldHeight)),"世界Y越界；","")&amp;IF(AND('03_地点锚点'!E398&lt;&gt;"",COUNTIF('02_固定地理'!$A$2:$A$501,'03_地点锚点'!E398)=0),"父级行政对象不存在；","")&amp;IF(AND('03_地点锚点'!F398&lt;&gt;"",COUNTIF('03_地点锚点'!$A$2:$A$501,'03_地点锚点'!F398)=0),"父级地点不存在；","")&amp;IF(AND('03_地点锚点'!A398&lt;&gt;"",COUNTIF('03_地点锚点'!$A$2:$A$501,'03_地点锚点'!A398)&gt;1),"ID重复；",""),"")</f>
        <v/>
      </c>
      <c r="G898" s="14">
        <f>IF(F898&lt;&gt;"","按字段批注、数据字典和来源记录修正后复核","")</f>
        <v/>
      </c>
      <c r="H898" s="14">
        <f>IF(F898&lt;&gt;"","待处理","")</f>
        <v/>
      </c>
    </row>
    <row r="899">
      <c r="A899" s="14">
        <f>IF(F899&lt;&gt;"","ISSUE-"&amp;TEXT(ROW()-1,"00000"),"")</f>
        <v/>
      </c>
      <c r="B899" s="14">
        <f>IF(F899&lt;&gt;"","错误","")</f>
        <v/>
      </c>
      <c r="C899" s="14">
        <f>IF('03_地点锚点'!A399&lt;&gt;"","03_地点锚点","")</f>
        <v/>
      </c>
      <c r="D899" s="14">
        <f>IF('03_地点锚点'!A399&lt;&gt;"",'03_地点锚点'!A399,"")</f>
        <v/>
      </c>
      <c r="E899" s="14">
        <f>IF(F899&lt;&gt;"","综合校验","")</f>
        <v/>
      </c>
      <c r="F899" s="14">
        <f>IF('03_地点锚点'!A399&lt;&gt;"",IF('03_地点锚点'!A399="","缺少地点ID；","")&amp;IF('03_地点锚点'!B399="","缺少中文名称；","")&amp;IF('03_地点锚点'!D399="","缺少地点类型；","")&amp;IF('03_地点锚点'!G399="","缺少世界X；","")&amp;IF('03_地点锚点'!H399="","缺少世界Y；","")&amp;IF(AND('03_地点锚点'!G399&lt;&gt;"",OR('03_地点锚点'!G399&lt;0,'03_地点锚点'!G399&gt;WorldWidth)),"世界X越界；","")&amp;IF(AND('03_地点锚点'!H399&lt;&gt;"",OR('03_地点锚点'!H399&lt;0,'03_地点锚点'!H399&gt;WorldHeight)),"世界Y越界；","")&amp;IF(AND('03_地点锚点'!E399&lt;&gt;"",COUNTIF('02_固定地理'!$A$2:$A$501,'03_地点锚点'!E399)=0),"父级行政对象不存在；","")&amp;IF(AND('03_地点锚点'!F399&lt;&gt;"",COUNTIF('03_地点锚点'!$A$2:$A$501,'03_地点锚点'!F399)=0),"父级地点不存在；","")&amp;IF(AND('03_地点锚点'!A399&lt;&gt;"",COUNTIF('03_地点锚点'!$A$2:$A$501,'03_地点锚点'!A399)&gt;1),"ID重复；",""),"")</f>
        <v/>
      </c>
      <c r="G899" s="14">
        <f>IF(F899&lt;&gt;"","按字段批注、数据字典和来源记录修正后复核","")</f>
        <v/>
      </c>
      <c r="H899" s="14">
        <f>IF(F899&lt;&gt;"","待处理","")</f>
        <v/>
      </c>
    </row>
    <row r="900">
      <c r="A900" s="14">
        <f>IF(F900&lt;&gt;"","ISSUE-"&amp;TEXT(ROW()-1,"00000"),"")</f>
        <v/>
      </c>
      <c r="B900" s="14">
        <f>IF(F900&lt;&gt;"","错误","")</f>
        <v/>
      </c>
      <c r="C900" s="14">
        <f>IF('03_地点锚点'!A400&lt;&gt;"","03_地点锚点","")</f>
        <v/>
      </c>
      <c r="D900" s="14">
        <f>IF('03_地点锚点'!A400&lt;&gt;"",'03_地点锚点'!A400,"")</f>
        <v/>
      </c>
      <c r="E900" s="14">
        <f>IF(F900&lt;&gt;"","综合校验","")</f>
        <v/>
      </c>
      <c r="F900" s="14">
        <f>IF('03_地点锚点'!A400&lt;&gt;"",IF('03_地点锚点'!A400="","缺少地点ID；","")&amp;IF('03_地点锚点'!B400="","缺少中文名称；","")&amp;IF('03_地点锚点'!D400="","缺少地点类型；","")&amp;IF('03_地点锚点'!G400="","缺少世界X；","")&amp;IF('03_地点锚点'!H400="","缺少世界Y；","")&amp;IF(AND('03_地点锚点'!G400&lt;&gt;"",OR('03_地点锚点'!G400&lt;0,'03_地点锚点'!G400&gt;WorldWidth)),"世界X越界；","")&amp;IF(AND('03_地点锚点'!H400&lt;&gt;"",OR('03_地点锚点'!H400&lt;0,'03_地点锚点'!H400&gt;WorldHeight)),"世界Y越界；","")&amp;IF(AND('03_地点锚点'!E400&lt;&gt;"",COUNTIF('02_固定地理'!$A$2:$A$501,'03_地点锚点'!E400)=0),"父级行政对象不存在；","")&amp;IF(AND('03_地点锚点'!F400&lt;&gt;"",COUNTIF('03_地点锚点'!$A$2:$A$501,'03_地点锚点'!F400)=0),"父级地点不存在；","")&amp;IF(AND('03_地点锚点'!A400&lt;&gt;"",COUNTIF('03_地点锚点'!$A$2:$A$501,'03_地点锚点'!A400)&gt;1),"ID重复；",""),"")</f>
        <v/>
      </c>
      <c r="G900" s="14">
        <f>IF(F900&lt;&gt;"","按字段批注、数据字典和来源记录修正后复核","")</f>
        <v/>
      </c>
      <c r="H900" s="14">
        <f>IF(F900&lt;&gt;"","待处理","")</f>
        <v/>
      </c>
    </row>
    <row r="901">
      <c r="A901" s="14">
        <f>IF(F901&lt;&gt;"","ISSUE-"&amp;TEXT(ROW()-1,"00000"),"")</f>
        <v/>
      </c>
      <c r="B901" s="14">
        <f>IF(F901&lt;&gt;"","错误","")</f>
        <v/>
      </c>
      <c r="C901" s="14">
        <f>IF('03_地点锚点'!A401&lt;&gt;"","03_地点锚点","")</f>
        <v/>
      </c>
      <c r="D901" s="14">
        <f>IF('03_地点锚点'!A401&lt;&gt;"",'03_地点锚点'!A401,"")</f>
        <v/>
      </c>
      <c r="E901" s="14">
        <f>IF(F901&lt;&gt;"","综合校验","")</f>
        <v/>
      </c>
      <c r="F901" s="14">
        <f>IF('03_地点锚点'!A401&lt;&gt;"",IF('03_地点锚点'!A401="","缺少地点ID；","")&amp;IF('03_地点锚点'!B401="","缺少中文名称；","")&amp;IF('03_地点锚点'!D401="","缺少地点类型；","")&amp;IF('03_地点锚点'!G401="","缺少世界X；","")&amp;IF('03_地点锚点'!H401="","缺少世界Y；","")&amp;IF(AND('03_地点锚点'!G401&lt;&gt;"",OR('03_地点锚点'!G401&lt;0,'03_地点锚点'!G401&gt;WorldWidth)),"世界X越界；","")&amp;IF(AND('03_地点锚点'!H401&lt;&gt;"",OR('03_地点锚点'!H401&lt;0,'03_地点锚点'!H401&gt;WorldHeight)),"世界Y越界；","")&amp;IF(AND('03_地点锚点'!E401&lt;&gt;"",COUNTIF('02_固定地理'!$A$2:$A$501,'03_地点锚点'!E401)=0),"父级行政对象不存在；","")&amp;IF(AND('03_地点锚点'!F401&lt;&gt;"",COUNTIF('03_地点锚点'!$A$2:$A$501,'03_地点锚点'!F401)=0),"父级地点不存在；","")&amp;IF(AND('03_地点锚点'!A401&lt;&gt;"",COUNTIF('03_地点锚点'!$A$2:$A$501,'03_地点锚点'!A401)&gt;1),"ID重复；",""),"")</f>
        <v/>
      </c>
      <c r="G901" s="14">
        <f>IF(F901&lt;&gt;"","按字段批注、数据字典和来源记录修正后复核","")</f>
        <v/>
      </c>
      <c r="H901" s="14">
        <f>IF(F901&lt;&gt;"","待处理","")</f>
        <v/>
      </c>
    </row>
    <row r="902">
      <c r="A902" s="14">
        <f>IF(F902&lt;&gt;"","ISSUE-"&amp;TEXT(ROW()-1,"00000"),"")</f>
        <v/>
      </c>
      <c r="B902" s="14">
        <f>IF(F902&lt;&gt;"","错误","")</f>
        <v/>
      </c>
      <c r="C902" s="14">
        <f>IF('03_地点锚点'!A402&lt;&gt;"","03_地点锚点","")</f>
        <v/>
      </c>
      <c r="D902" s="14">
        <f>IF('03_地点锚点'!A402&lt;&gt;"",'03_地点锚点'!A402,"")</f>
        <v/>
      </c>
      <c r="E902" s="14">
        <f>IF(F902&lt;&gt;"","综合校验","")</f>
        <v/>
      </c>
      <c r="F902" s="14">
        <f>IF('03_地点锚点'!A402&lt;&gt;"",IF('03_地点锚点'!A402="","缺少地点ID；","")&amp;IF('03_地点锚点'!B402="","缺少中文名称；","")&amp;IF('03_地点锚点'!D402="","缺少地点类型；","")&amp;IF('03_地点锚点'!G402="","缺少世界X；","")&amp;IF('03_地点锚点'!H402="","缺少世界Y；","")&amp;IF(AND('03_地点锚点'!G402&lt;&gt;"",OR('03_地点锚点'!G402&lt;0,'03_地点锚点'!G402&gt;WorldWidth)),"世界X越界；","")&amp;IF(AND('03_地点锚点'!H402&lt;&gt;"",OR('03_地点锚点'!H402&lt;0,'03_地点锚点'!H402&gt;WorldHeight)),"世界Y越界；","")&amp;IF(AND('03_地点锚点'!E402&lt;&gt;"",COUNTIF('02_固定地理'!$A$2:$A$501,'03_地点锚点'!E402)=0),"父级行政对象不存在；","")&amp;IF(AND('03_地点锚点'!F402&lt;&gt;"",COUNTIF('03_地点锚点'!$A$2:$A$501,'03_地点锚点'!F402)=0),"父级地点不存在；","")&amp;IF(AND('03_地点锚点'!A402&lt;&gt;"",COUNTIF('03_地点锚点'!$A$2:$A$501,'03_地点锚点'!A402)&gt;1),"ID重复；",""),"")</f>
        <v/>
      </c>
      <c r="G902" s="14">
        <f>IF(F902&lt;&gt;"","按字段批注、数据字典和来源记录修正后复核","")</f>
        <v/>
      </c>
      <c r="H902" s="14">
        <f>IF(F902&lt;&gt;"","待处理","")</f>
        <v/>
      </c>
    </row>
    <row r="903">
      <c r="A903" s="14">
        <f>IF(F903&lt;&gt;"","ISSUE-"&amp;TEXT(ROW()-1,"00000"),"")</f>
        <v/>
      </c>
      <c r="B903" s="14">
        <f>IF(F903&lt;&gt;"","错误","")</f>
        <v/>
      </c>
      <c r="C903" s="14">
        <f>IF('03_地点锚点'!A403&lt;&gt;"","03_地点锚点","")</f>
        <v/>
      </c>
      <c r="D903" s="14">
        <f>IF('03_地点锚点'!A403&lt;&gt;"",'03_地点锚点'!A403,"")</f>
        <v/>
      </c>
      <c r="E903" s="14">
        <f>IF(F903&lt;&gt;"","综合校验","")</f>
        <v/>
      </c>
      <c r="F903" s="14">
        <f>IF('03_地点锚点'!A403&lt;&gt;"",IF('03_地点锚点'!A403="","缺少地点ID；","")&amp;IF('03_地点锚点'!B403="","缺少中文名称；","")&amp;IF('03_地点锚点'!D403="","缺少地点类型；","")&amp;IF('03_地点锚点'!G403="","缺少世界X；","")&amp;IF('03_地点锚点'!H403="","缺少世界Y；","")&amp;IF(AND('03_地点锚点'!G403&lt;&gt;"",OR('03_地点锚点'!G403&lt;0,'03_地点锚点'!G403&gt;WorldWidth)),"世界X越界；","")&amp;IF(AND('03_地点锚点'!H403&lt;&gt;"",OR('03_地点锚点'!H403&lt;0,'03_地点锚点'!H403&gt;WorldHeight)),"世界Y越界；","")&amp;IF(AND('03_地点锚点'!E403&lt;&gt;"",COUNTIF('02_固定地理'!$A$2:$A$501,'03_地点锚点'!E403)=0),"父级行政对象不存在；","")&amp;IF(AND('03_地点锚点'!F403&lt;&gt;"",COUNTIF('03_地点锚点'!$A$2:$A$501,'03_地点锚点'!F403)=0),"父级地点不存在；","")&amp;IF(AND('03_地点锚点'!A403&lt;&gt;"",COUNTIF('03_地点锚点'!$A$2:$A$501,'03_地点锚点'!A403)&gt;1),"ID重复；",""),"")</f>
        <v/>
      </c>
      <c r="G903" s="14">
        <f>IF(F903&lt;&gt;"","按字段批注、数据字典和来源记录修正后复核","")</f>
        <v/>
      </c>
      <c r="H903" s="14">
        <f>IF(F903&lt;&gt;"","待处理","")</f>
        <v/>
      </c>
    </row>
    <row r="904">
      <c r="A904" s="14">
        <f>IF(F904&lt;&gt;"","ISSUE-"&amp;TEXT(ROW()-1,"00000"),"")</f>
        <v/>
      </c>
      <c r="B904" s="14">
        <f>IF(F904&lt;&gt;"","错误","")</f>
        <v/>
      </c>
      <c r="C904" s="14">
        <f>IF('03_地点锚点'!A404&lt;&gt;"","03_地点锚点","")</f>
        <v/>
      </c>
      <c r="D904" s="14">
        <f>IF('03_地点锚点'!A404&lt;&gt;"",'03_地点锚点'!A404,"")</f>
        <v/>
      </c>
      <c r="E904" s="14">
        <f>IF(F904&lt;&gt;"","综合校验","")</f>
        <v/>
      </c>
      <c r="F904" s="14">
        <f>IF('03_地点锚点'!A404&lt;&gt;"",IF('03_地点锚点'!A404="","缺少地点ID；","")&amp;IF('03_地点锚点'!B404="","缺少中文名称；","")&amp;IF('03_地点锚点'!D404="","缺少地点类型；","")&amp;IF('03_地点锚点'!G404="","缺少世界X；","")&amp;IF('03_地点锚点'!H404="","缺少世界Y；","")&amp;IF(AND('03_地点锚点'!G404&lt;&gt;"",OR('03_地点锚点'!G404&lt;0,'03_地点锚点'!G404&gt;WorldWidth)),"世界X越界；","")&amp;IF(AND('03_地点锚点'!H404&lt;&gt;"",OR('03_地点锚点'!H404&lt;0,'03_地点锚点'!H404&gt;WorldHeight)),"世界Y越界；","")&amp;IF(AND('03_地点锚点'!E404&lt;&gt;"",COUNTIF('02_固定地理'!$A$2:$A$501,'03_地点锚点'!E404)=0),"父级行政对象不存在；","")&amp;IF(AND('03_地点锚点'!F404&lt;&gt;"",COUNTIF('03_地点锚点'!$A$2:$A$501,'03_地点锚点'!F404)=0),"父级地点不存在；","")&amp;IF(AND('03_地点锚点'!A404&lt;&gt;"",COUNTIF('03_地点锚点'!$A$2:$A$501,'03_地点锚点'!A404)&gt;1),"ID重复；",""),"")</f>
        <v/>
      </c>
      <c r="G904" s="14">
        <f>IF(F904&lt;&gt;"","按字段批注、数据字典和来源记录修正后复核","")</f>
        <v/>
      </c>
      <c r="H904" s="14">
        <f>IF(F904&lt;&gt;"","待处理","")</f>
        <v/>
      </c>
    </row>
    <row r="905">
      <c r="A905" s="14">
        <f>IF(F905&lt;&gt;"","ISSUE-"&amp;TEXT(ROW()-1,"00000"),"")</f>
        <v/>
      </c>
      <c r="B905" s="14">
        <f>IF(F905&lt;&gt;"","错误","")</f>
        <v/>
      </c>
      <c r="C905" s="14">
        <f>IF('03_地点锚点'!A405&lt;&gt;"","03_地点锚点","")</f>
        <v/>
      </c>
      <c r="D905" s="14">
        <f>IF('03_地点锚点'!A405&lt;&gt;"",'03_地点锚点'!A405,"")</f>
        <v/>
      </c>
      <c r="E905" s="14">
        <f>IF(F905&lt;&gt;"","综合校验","")</f>
        <v/>
      </c>
      <c r="F905" s="14">
        <f>IF('03_地点锚点'!A405&lt;&gt;"",IF('03_地点锚点'!A405="","缺少地点ID；","")&amp;IF('03_地点锚点'!B405="","缺少中文名称；","")&amp;IF('03_地点锚点'!D405="","缺少地点类型；","")&amp;IF('03_地点锚点'!G405="","缺少世界X；","")&amp;IF('03_地点锚点'!H405="","缺少世界Y；","")&amp;IF(AND('03_地点锚点'!G405&lt;&gt;"",OR('03_地点锚点'!G405&lt;0,'03_地点锚点'!G405&gt;WorldWidth)),"世界X越界；","")&amp;IF(AND('03_地点锚点'!H405&lt;&gt;"",OR('03_地点锚点'!H405&lt;0,'03_地点锚点'!H405&gt;WorldHeight)),"世界Y越界；","")&amp;IF(AND('03_地点锚点'!E405&lt;&gt;"",COUNTIF('02_固定地理'!$A$2:$A$501,'03_地点锚点'!E405)=0),"父级行政对象不存在；","")&amp;IF(AND('03_地点锚点'!F405&lt;&gt;"",COUNTIF('03_地点锚点'!$A$2:$A$501,'03_地点锚点'!F405)=0),"父级地点不存在；","")&amp;IF(AND('03_地点锚点'!A405&lt;&gt;"",COUNTIF('03_地点锚点'!$A$2:$A$501,'03_地点锚点'!A405)&gt;1),"ID重复；",""),"")</f>
        <v/>
      </c>
      <c r="G905" s="14">
        <f>IF(F905&lt;&gt;"","按字段批注、数据字典和来源记录修正后复核","")</f>
        <v/>
      </c>
      <c r="H905" s="14">
        <f>IF(F905&lt;&gt;"","待处理","")</f>
        <v/>
      </c>
    </row>
    <row r="906">
      <c r="A906" s="14">
        <f>IF(F906&lt;&gt;"","ISSUE-"&amp;TEXT(ROW()-1,"00000"),"")</f>
        <v/>
      </c>
      <c r="B906" s="14">
        <f>IF(F906&lt;&gt;"","错误","")</f>
        <v/>
      </c>
      <c r="C906" s="14">
        <f>IF('03_地点锚点'!A406&lt;&gt;"","03_地点锚点","")</f>
        <v/>
      </c>
      <c r="D906" s="14">
        <f>IF('03_地点锚点'!A406&lt;&gt;"",'03_地点锚点'!A406,"")</f>
        <v/>
      </c>
      <c r="E906" s="14">
        <f>IF(F906&lt;&gt;"","综合校验","")</f>
        <v/>
      </c>
      <c r="F906" s="14">
        <f>IF('03_地点锚点'!A406&lt;&gt;"",IF('03_地点锚点'!A406="","缺少地点ID；","")&amp;IF('03_地点锚点'!B406="","缺少中文名称；","")&amp;IF('03_地点锚点'!D406="","缺少地点类型；","")&amp;IF('03_地点锚点'!G406="","缺少世界X；","")&amp;IF('03_地点锚点'!H406="","缺少世界Y；","")&amp;IF(AND('03_地点锚点'!G406&lt;&gt;"",OR('03_地点锚点'!G406&lt;0,'03_地点锚点'!G406&gt;WorldWidth)),"世界X越界；","")&amp;IF(AND('03_地点锚点'!H406&lt;&gt;"",OR('03_地点锚点'!H406&lt;0,'03_地点锚点'!H406&gt;WorldHeight)),"世界Y越界；","")&amp;IF(AND('03_地点锚点'!E406&lt;&gt;"",COUNTIF('02_固定地理'!$A$2:$A$501,'03_地点锚点'!E406)=0),"父级行政对象不存在；","")&amp;IF(AND('03_地点锚点'!F406&lt;&gt;"",COUNTIF('03_地点锚点'!$A$2:$A$501,'03_地点锚点'!F406)=0),"父级地点不存在；","")&amp;IF(AND('03_地点锚点'!A406&lt;&gt;"",COUNTIF('03_地点锚点'!$A$2:$A$501,'03_地点锚点'!A406)&gt;1),"ID重复；",""),"")</f>
        <v/>
      </c>
      <c r="G906" s="14">
        <f>IF(F906&lt;&gt;"","按字段批注、数据字典和来源记录修正后复核","")</f>
        <v/>
      </c>
      <c r="H906" s="14">
        <f>IF(F906&lt;&gt;"","待处理","")</f>
        <v/>
      </c>
    </row>
    <row r="907">
      <c r="A907" s="14">
        <f>IF(F907&lt;&gt;"","ISSUE-"&amp;TEXT(ROW()-1,"00000"),"")</f>
        <v/>
      </c>
      <c r="B907" s="14">
        <f>IF(F907&lt;&gt;"","错误","")</f>
        <v/>
      </c>
      <c r="C907" s="14">
        <f>IF('03_地点锚点'!A407&lt;&gt;"","03_地点锚点","")</f>
        <v/>
      </c>
      <c r="D907" s="14">
        <f>IF('03_地点锚点'!A407&lt;&gt;"",'03_地点锚点'!A407,"")</f>
        <v/>
      </c>
      <c r="E907" s="14">
        <f>IF(F907&lt;&gt;"","综合校验","")</f>
        <v/>
      </c>
      <c r="F907" s="14">
        <f>IF('03_地点锚点'!A407&lt;&gt;"",IF('03_地点锚点'!A407="","缺少地点ID；","")&amp;IF('03_地点锚点'!B407="","缺少中文名称；","")&amp;IF('03_地点锚点'!D407="","缺少地点类型；","")&amp;IF('03_地点锚点'!G407="","缺少世界X；","")&amp;IF('03_地点锚点'!H407="","缺少世界Y；","")&amp;IF(AND('03_地点锚点'!G407&lt;&gt;"",OR('03_地点锚点'!G407&lt;0,'03_地点锚点'!G407&gt;WorldWidth)),"世界X越界；","")&amp;IF(AND('03_地点锚点'!H407&lt;&gt;"",OR('03_地点锚点'!H407&lt;0,'03_地点锚点'!H407&gt;WorldHeight)),"世界Y越界；","")&amp;IF(AND('03_地点锚点'!E407&lt;&gt;"",COUNTIF('02_固定地理'!$A$2:$A$501,'03_地点锚点'!E407)=0),"父级行政对象不存在；","")&amp;IF(AND('03_地点锚点'!F407&lt;&gt;"",COUNTIF('03_地点锚点'!$A$2:$A$501,'03_地点锚点'!F407)=0),"父级地点不存在；","")&amp;IF(AND('03_地点锚点'!A407&lt;&gt;"",COUNTIF('03_地点锚点'!$A$2:$A$501,'03_地点锚点'!A407)&gt;1),"ID重复；",""),"")</f>
        <v/>
      </c>
      <c r="G907" s="14">
        <f>IF(F907&lt;&gt;"","按字段批注、数据字典和来源记录修正后复核","")</f>
        <v/>
      </c>
      <c r="H907" s="14">
        <f>IF(F907&lt;&gt;"","待处理","")</f>
        <v/>
      </c>
    </row>
    <row r="908">
      <c r="A908" s="14">
        <f>IF(F908&lt;&gt;"","ISSUE-"&amp;TEXT(ROW()-1,"00000"),"")</f>
        <v/>
      </c>
      <c r="B908" s="14">
        <f>IF(F908&lt;&gt;"","错误","")</f>
        <v/>
      </c>
      <c r="C908" s="14">
        <f>IF('03_地点锚点'!A408&lt;&gt;"","03_地点锚点","")</f>
        <v/>
      </c>
      <c r="D908" s="14">
        <f>IF('03_地点锚点'!A408&lt;&gt;"",'03_地点锚点'!A408,"")</f>
        <v/>
      </c>
      <c r="E908" s="14">
        <f>IF(F908&lt;&gt;"","综合校验","")</f>
        <v/>
      </c>
      <c r="F908" s="14">
        <f>IF('03_地点锚点'!A408&lt;&gt;"",IF('03_地点锚点'!A408="","缺少地点ID；","")&amp;IF('03_地点锚点'!B408="","缺少中文名称；","")&amp;IF('03_地点锚点'!D408="","缺少地点类型；","")&amp;IF('03_地点锚点'!G408="","缺少世界X；","")&amp;IF('03_地点锚点'!H408="","缺少世界Y；","")&amp;IF(AND('03_地点锚点'!G408&lt;&gt;"",OR('03_地点锚点'!G408&lt;0,'03_地点锚点'!G408&gt;WorldWidth)),"世界X越界；","")&amp;IF(AND('03_地点锚点'!H408&lt;&gt;"",OR('03_地点锚点'!H408&lt;0,'03_地点锚点'!H408&gt;WorldHeight)),"世界Y越界；","")&amp;IF(AND('03_地点锚点'!E408&lt;&gt;"",COUNTIF('02_固定地理'!$A$2:$A$501,'03_地点锚点'!E408)=0),"父级行政对象不存在；","")&amp;IF(AND('03_地点锚点'!F408&lt;&gt;"",COUNTIF('03_地点锚点'!$A$2:$A$501,'03_地点锚点'!F408)=0),"父级地点不存在；","")&amp;IF(AND('03_地点锚点'!A408&lt;&gt;"",COUNTIF('03_地点锚点'!$A$2:$A$501,'03_地点锚点'!A408)&gt;1),"ID重复；",""),"")</f>
        <v/>
      </c>
      <c r="G908" s="14">
        <f>IF(F908&lt;&gt;"","按字段批注、数据字典和来源记录修正后复核","")</f>
        <v/>
      </c>
      <c r="H908" s="14">
        <f>IF(F908&lt;&gt;"","待处理","")</f>
        <v/>
      </c>
    </row>
    <row r="909">
      <c r="A909" s="14">
        <f>IF(F909&lt;&gt;"","ISSUE-"&amp;TEXT(ROW()-1,"00000"),"")</f>
        <v/>
      </c>
      <c r="B909" s="14">
        <f>IF(F909&lt;&gt;"","错误","")</f>
        <v/>
      </c>
      <c r="C909" s="14">
        <f>IF('03_地点锚点'!A409&lt;&gt;"","03_地点锚点","")</f>
        <v/>
      </c>
      <c r="D909" s="14">
        <f>IF('03_地点锚点'!A409&lt;&gt;"",'03_地点锚点'!A409,"")</f>
        <v/>
      </c>
      <c r="E909" s="14">
        <f>IF(F909&lt;&gt;"","综合校验","")</f>
        <v/>
      </c>
      <c r="F909" s="14">
        <f>IF('03_地点锚点'!A409&lt;&gt;"",IF('03_地点锚点'!A409="","缺少地点ID；","")&amp;IF('03_地点锚点'!B409="","缺少中文名称；","")&amp;IF('03_地点锚点'!D409="","缺少地点类型；","")&amp;IF('03_地点锚点'!G409="","缺少世界X；","")&amp;IF('03_地点锚点'!H409="","缺少世界Y；","")&amp;IF(AND('03_地点锚点'!G409&lt;&gt;"",OR('03_地点锚点'!G409&lt;0,'03_地点锚点'!G409&gt;WorldWidth)),"世界X越界；","")&amp;IF(AND('03_地点锚点'!H409&lt;&gt;"",OR('03_地点锚点'!H409&lt;0,'03_地点锚点'!H409&gt;WorldHeight)),"世界Y越界；","")&amp;IF(AND('03_地点锚点'!E409&lt;&gt;"",COUNTIF('02_固定地理'!$A$2:$A$501,'03_地点锚点'!E409)=0),"父级行政对象不存在；","")&amp;IF(AND('03_地点锚点'!F409&lt;&gt;"",COUNTIF('03_地点锚点'!$A$2:$A$501,'03_地点锚点'!F409)=0),"父级地点不存在；","")&amp;IF(AND('03_地点锚点'!A409&lt;&gt;"",COUNTIF('03_地点锚点'!$A$2:$A$501,'03_地点锚点'!A409)&gt;1),"ID重复；",""),"")</f>
        <v/>
      </c>
      <c r="G909" s="14">
        <f>IF(F909&lt;&gt;"","按字段批注、数据字典和来源记录修正后复核","")</f>
        <v/>
      </c>
      <c r="H909" s="14">
        <f>IF(F909&lt;&gt;"","待处理","")</f>
        <v/>
      </c>
    </row>
    <row r="910">
      <c r="A910" s="14">
        <f>IF(F910&lt;&gt;"","ISSUE-"&amp;TEXT(ROW()-1,"00000"),"")</f>
        <v/>
      </c>
      <c r="B910" s="14">
        <f>IF(F910&lt;&gt;"","错误","")</f>
        <v/>
      </c>
      <c r="C910" s="14">
        <f>IF('03_地点锚点'!A410&lt;&gt;"","03_地点锚点","")</f>
        <v/>
      </c>
      <c r="D910" s="14">
        <f>IF('03_地点锚点'!A410&lt;&gt;"",'03_地点锚点'!A410,"")</f>
        <v/>
      </c>
      <c r="E910" s="14">
        <f>IF(F910&lt;&gt;"","综合校验","")</f>
        <v/>
      </c>
      <c r="F910" s="14">
        <f>IF('03_地点锚点'!A410&lt;&gt;"",IF('03_地点锚点'!A410="","缺少地点ID；","")&amp;IF('03_地点锚点'!B410="","缺少中文名称；","")&amp;IF('03_地点锚点'!D410="","缺少地点类型；","")&amp;IF('03_地点锚点'!G410="","缺少世界X；","")&amp;IF('03_地点锚点'!H410="","缺少世界Y；","")&amp;IF(AND('03_地点锚点'!G410&lt;&gt;"",OR('03_地点锚点'!G410&lt;0,'03_地点锚点'!G410&gt;WorldWidth)),"世界X越界；","")&amp;IF(AND('03_地点锚点'!H410&lt;&gt;"",OR('03_地点锚点'!H410&lt;0,'03_地点锚点'!H410&gt;WorldHeight)),"世界Y越界；","")&amp;IF(AND('03_地点锚点'!E410&lt;&gt;"",COUNTIF('02_固定地理'!$A$2:$A$501,'03_地点锚点'!E410)=0),"父级行政对象不存在；","")&amp;IF(AND('03_地点锚点'!F410&lt;&gt;"",COUNTIF('03_地点锚点'!$A$2:$A$501,'03_地点锚点'!F410)=0),"父级地点不存在；","")&amp;IF(AND('03_地点锚点'!A410&lt;&gt;"",COUNTIF('03_地点锚点'!$A$2:$A$501,'03_地点锚点'!A410)&gt;1),"ID重复；",""),"")</f>
        <v/>
      </c>
      <c r="G910" s="14">
        <f>IF(F910&lt;&gt;"","按字段批注、数据字典和来源记录修正后复核","")</f>
        <v/>
      </c>
      <c r="H910" s="14">
        <f>IF(F910&lt;&gt;"","待处理","")</f>
        <v/>
      </c>
    </row>
    <row r="911">
      <c r="A911" s="14">
        <f>IF(F911&lt;&gt;"","ISSUE-"&amp;TEXT(ROW()-1,"00000"),"")</f>
        <v/>
      </c>
      <c r="B911" s="14">
        <f>IF(F911&lt;&gt;"","错误","")</f>
        <v/>
      </c>
      <c r="C911" s="14">
        <f>IF('03_地点锚点'!A411&lt;&gt;"","03_地点锚点","")</f>
        <v/>
      </c>
      <c r="D911" s="14">
        <f>IF('03_地点锚点'!A411&lt;&gt;"",'03_地点锚点'!A411,"")</f>
        <v/>
      </c>
      <c r="E911" s="14">
        <f>IF(F911&lt;&gt;"","综合校验","")</f>
        <v/>
      </c>
      <c r="F911" s="14">
        <f>IF('03_地点锚点'!A411&lt;&gt;"",IF('03_地点锚点'!A411="","缺少地点ID；","")&amp;IF('03_地点锚点'!B411="","缺少中文名称；","")&amp;IF('03_地点锚点'!D411="","缺少地点类型；","")&amp;IF('03_地点锚点'!G411="","缺少世界X；","")&amp;IF('03_地点锚点'!H411="","缺少世界Y；","")&amp;IF(AND('03_地点锚点'!G411&lt;&gt;"",OR('03_地点锚点'!G411&lt;0,'03_地点锚点'!G411&gt;WorldWidth)),"世界X越界；","")&amp;IF(AND('03_地点锚点'!H411&lt;&gt;"",OR('03_地点锚点'!H411&lt;0,'03_地点锚点'!H411&gt;WorldHeight)),"世界Y越界；","")&amp;IF(AND('03_地点锚点'!E411&lt;&gt;"",COUNTIF('02_固定地理'!$A$2:$A$501,'03_地点锚点'!E411)=0),"父级行政对象不存在；","")&amp;IF(AND('03_地点锚点'!F411&lt;&gt;"",COUNTIF('03_地点锚点'!$A$2:$A$501,'03_地点锚点'!F411)=0),"父级地点不存在；","")&amp;IF(AND('03_地点锚点'!A411&lt;&gt;"",COUNTIF('03_地点锚点'!$A$2:$A$501,'03_地点锚点'!A411)&gt;1),"ID重复；",""),"")</f>
        <v/>
      </c>
      <c r="G911" s="14">
        <f>IF(F911&lt;&gt;"","按字段批注、数据字典和来源记录修正后复核","")</f>
        <v/>
      </c>
      <c r="H911" s="14">
        <f>IF(F911&lt;&gt;"","待处理","")</f>
        <v/>
      </c>
    </row>
    <row r="912">
      <c r="A912" s="14">
        <f>IF(F912&lt;&gt;"","ISSUE-"&amp;TEXT(ROW()-1,"00000"),"")</f>
        <v/>
      </c>
      <c r="B912" s="14">
        <f>IF(F912&lt;&gt;"","错误","")</f>
        <v/>
      </c>
      <c r="C912" s="14">
        <f>IF('03_地点锚点'!A412&lt;&gt;"","03_地点锚点","")</f>
        <v/>
      </c>
      <c r="D912" s="14">
        <f>IF('03_地点锚点'!A412&lt;&gt;"",'03_地点锚点'!A412,"")</f>
        <v/>
      </c>
      <c r="E912" s="14">
        <f>IF(F912&lt;&gt;"","综合校验","")</f>
        <v/>
      </c>
      <c r="F912" s="14">
        <f>IF('03_地点锚点'!A412&lt;&gt;"",IF('03_地点锚点'!A412="","缺少地点ID；","")&amp;IF('03_地点锚点'!B412="","缺少中文名称；","")&amp;IF('03_地点锚点'!D412="","缺少地点类型；","")&amp;IF('03_地点锚点'!G412="","缺少世界X；","")&amp;IF('03_地点锚点'!H412="","缺少世界Y；","")&amp;IF(AND('03_地点锚点'!G412&lt;&gt;"",OR('03_地点锚点'!G412&lt;0,'03_地点锚点'!G412&gt;WorldWidth)),"世界X越界；","")&amp;IF(AND('03_地点锚点'!H412&lt;&gt;"",OR('03_地点锚点'!H412&lt;0,'03_地点锚点'!H412&gt;WorldHeight)),"世界Y越界；","")&amp;IF(AND('03_地点锚点'!E412&lt;&gt;"",COUNTIF('02_固定地理'!$A$2:$A$501,'03_地点锚点'!E412)=0),"父级行政对象不存在；","")&amp;IF(AND('03_地点锚点'!F412&lt;&gt;"",COUNTIF('03_地点锚点'!$A$2:$A$501,'03_地点锚点'!F412)=0),"父级地点不存在；","")&amp;IF(AND('03_地点锚点'!A412&lt;&gt;"",COUNTIF('03_地点锚点'!$A$2:$A$501,'03_地点锚点'!A412)&gt;1),"ID重复；",""),"")</f>
        <v/>
      </c>
      <c r="G912" s="14">
        <f>IF(F912&lt;&gt;"","按字段批注、数据字典和来源记录修正后复核","")</f>
        <v/>
      </c>
      <c r="H912" s="14">
        <f>IF(F912&lt;&gt;"","待处理","")</f>
        <v/>
      </c>
    </row>
    <row r="913">
      <c r="A913" s="14">
        <f>IF(F913&lt;&gt;"","ISSUE-"&amp;TEXT(ROW()-1,"00000"),"")</f>
        <v/>
      </c>
      <c r="B913" s="14">
        <f>IF(F913&lt;&gt;"","错误","")</f>
        <v/>
      </c>
      <c r="C913" s="14">
        <f>IF('03_地点锚点'!A413&lt;&gt;"","03_地点锚点","")</f>
        <v/>
      </c>
      <c r="D913" s="14">
        <f>IF('03_地点锚点'!A413&lt;&gt;"",'03_地点锚点'!A413,"")</f>
        <v/>
      </c>
      <c r="E913" s="14">
        <f>IF(F913&lt;&gt;"","综合校验","")</f>
        <v/>
      </c>
      <c r="F913" s="14">
        <f>IF('03_地点锚点'!A413&lt;&gt;"",IF('03_地点锚点'!A413="","缺少地点ID；","")&amp;IF('03_地点锚点'!B413="","缺少中文名称；","")&amp;IF('03_地点锚点'!D413="","缺少地点类型；","")&amp;IF('03_地点锚点'!G413="","缺少世界X；","")&amp;IF('03_地点锚点'!H413="","缺少世界Y；","")&amp;IF(AND('03_地点锚点'!G413&lt;&gt;"",OR('03_地点锚点'!G413&lt;0,'03_地点锚点'!G413&gt;WorldWidth)),"世界X越界；","")&amp;IF(AND('03_地点锚点'!H413&lt;&gt;"",OR('03_地点锚点'!H413&lt;0,'03_地点锚点'!H413&gt;WorldHeight)),"世界Y越界；","")&amp;IF(AND('03_地点锚点'!E413&lt;&gt;"",COUNTIF('02_固定地理'!$A$2:$A$501,'03_地点锚点'!E413)=0),"父级行政对象不存在；","")&amp;IF(AND('03_地点锚点'!F413&lt;&gt;"",COUNTIF('03_地点锚点'!$A$2:$A$501,'03_地点锚点'!F413)=0),"父级地点不存在；","")&amp;IF(AND('03_地点锚点'!A413&lt;&gt;"",COUNTIF('03_地点锚点'!$A$2:$A$501,'03_地点锚点'!A413)&gt;1),"ID重复；",""),"")</f>
        <v/>
      </c>
      <c r="G913" s="14">
        <f>IF(F913&lt;&gt;"","按字段批注、数据字典和来源记录修正后复核","")</f>
        <v/>
      </c>
      <c r="H913" s="14">
        <f>IF(F913&lt;&gt;"","待处理","")</f>
        <v/>
      </c>
    </row>
    <row r="914">
      <c r="A914" s="14">
        <f>IF(F914&lt;&gt;"","ISSUE-"&amp;TEXT(ROW()-1,"00000"),"")</f>
        <v/>
      </c>
      <c r="B914" s="14">
        <f>IF(F914&lt;&gt;"","错误","")</f>
        <v/>
      </c>
      <c r="C914" s="14">
        <f>IF('03_地点锚点'!A414&lt;&gt;"","03_地点锚点","")</f>
        <v/>
      </c>
      <c r="D914" s="14">
        <f>IF('03_地点锚点'!A414&lt;&gt;"",'03_地点锚点'!A414,"")</f>
        <v/>
      </c>
      <c r="E914" s="14">
        <f>IF(F914&lt;&gt;"","综合校验","")</f>
        <v/>
      </c>
      <c r="F914" s="14">
        <f>IF('03_地点锚点'!A414&lt;&gt;"",IF('03_地点锚点'!A414="","缺少地点ID；","")&amp;IF('03_地点锚点'!B414="","缺少中文名称；","")&amp;IF('03_地点锚点'!D414="","缺少地点类型；","")&amp;IF('03_地点锚点'!G414="","缺少世界X；","")&amp;IF('03_地点锚点'!H414="","缺少世界Y；","")&amp;IF(AND('03_地点锚点'!G414&lt;&gt;"",OR('03_地点锚点'!G414&lt;0,'03_地点锚点'!G414&gt;WorldWidth)),"世界X越界；","")&amp;IF(AND('03_地点锚点'!H414&lt;&gt;"",OR('03_地点锚点'!H414&lt;0,'03_地点锚点'!H414&gt;WorldHeight)),"世界Y越界；","")&amp;IF(AND('03_地点锚点'!E414&lt;&gt;"",COUNTIF('02_固定地理'!$A$2:$A$501,'03_地点锚点'!E414)=0),"父级行政对象不存在；","")&amp;IF(AND('03_地点锚点'!F414&lt;&gt;"",COUNTIF('03_地点锚点'!$A$2:$A$501,'03_地点锚点'!F414)=0),"父级地点不存在；","")&amp;IF(AND('03_地点锚点'!A414&lt;&gt;"",COUNTIF('03_地点锚点'!$A$2:$A$501,'03_地点锚点'!A414)&gt;1),"ID重复；",""),"")</f>
        <v/>
      </c>
      <c r="G914" s="14">
        <f>IF(F914&lt;&gt;"","按字段批注、数据字典和来源记录修正后复核","")</f>
        <v/>
      </c>
      <c r="H914" s="14">
        <f>IF(F914&lt;&gt;"","待处理","")</f>
        <v/>
      </c>
    </row>
    <row r="915">
      <c r="A915" s="14">
        <f>IF(F915&lt;&gt;"","ISSUE-"&amp;TEXT(ROW()-1,"00000"),"")</f>
        <v/>
      </c>
      <c r="B915" s="14">
        <f>IF(F915&lt;&gt;"","错误","")</f>
        <v/>
      </c>
      <c r="C915" s="14">
        <f>IF('03_地点锚点'!A415&lt;&gt;"","03_地点锚点","")</f>
        <v/>
      </c>
      <c r="D915" s="14">
        <f>IF('03_地点锚点'!A415&lt;&gt;"",'03_地点锚点'!A415,"")</f>
        <v/>
      </c>
      <c r="E915" s="14">
        <f>IF(F915&lt;&gt;"","综合校验","")</f>
        <v/>
      </c>
      <c r="F915" s="14">
        <f>IF('03_地点锚点'!A415&lt;&gt;"",IF('03_地点锚点'!A415="","缺少地点ID；","")&amp;IF('03_地点锚点'!B415="","缺少中文名称；","")&amp;IF('03_地点锚点'!D415="","缺少地点类型；","")&amp;IF('03_地点锚点'!G415="","缺少世界X；","")&amp;IF('03_地点锚点'!H415="","缺少世界Y；","")&amp;IF(AND('03_地点锚点'!G415&lt;&gt;"",OR('03_地点锚点'!G415&lt;0,'03_地点锚点'!G415&gt;WorldWidth)),"世界X越界；","")&amp;IF(AND('03_地点锚点'!H415&lt;&gt;"",OR('03_地点锚点'!H415&lt;0,'03_地点锚点'!H415&gt;WorldHeight)),"世界Y越界；","")&amp;IF(AND('03_地点锚点'!E415&lt;&gt;"",COUNTIF('02_固定地理'!$A$2:$A$501,'03_地点锚点'!E415)=0),"父级行政对象不存在；","")&amp;IF(AND('03_地点锚点'!F415&lt;&gt;"",COUNTIF('03_地点锚点'!$A$2:$A$501,'03_地点锚点'!F415)=0),"父级地点不存在；","")&amp;IF(AND('03_地点锚点'!A415&lt;&gt;"",COUNTIF('03_地点锚点'!$A$2:$A$501,'03_地点锚点'!A415)&gt;1),"ID重复；",""),"")</f>
        <v/>
      </c>
      <c r="G915" s="14">
        <f>IF(F915&lt;&gt;"","按字段批注、数据字典和来源记录修正后复核","")</f>
        <v/>
      </c>
      <c r="H915" s="14">
        <f>IF(F915&lt;&gt;"","待处理","")</f>
        <v/>
      </c>
    </row>
    <row r="916">
      <c r="A916" s="14">
        <f>IF(F916&lt;&gt;"","ISSUE-"&amp;TEXT(ROW()-1,"00000"),"")</f>
        <v/>
      </c>
      <c r="B916" s="14">
        <f>IF(F916&lt;&gt;"","错误","")</f>
        <v/>
      </c>
      <c r="C916" s="14">
        <f>IF('03_地点锚点'!A416&lt;&gt;"","03_地点锚点","")</f>
        <v/>
      </c>
      <c r="D916" s="14">
        <f>IF('03_地点锚点'!A416&lt;&gt;"",'03_地点锚点'!A416,"")</f>
        <v/>
      </c>
      <c r="E916" s="14">
        <f>IF(F916&lt;&gt;"","综合校验","")</f>
        <v/>
      </c>
      <c r="F916" s="14">
        <f>IF('03_地点锚点'!A416&lt;&gt;"",IF('03_地点锚点'!A416="","缺少地点ID；","")&amp;IF('03_地点锚点'!B416="","缺少中文名称；","")&amp;IF('03_地点锚点'!D416="","缺少地点类型；","")&amp;IF('03_地点锚点'!G416="","缺少世界X；","")&amp;IF('03_地点锚点'!H416="","缺少世界Y；","")&amp;IF(AND('03_地点锚点'!G416&lt;&gt;"",OR('03_地点锚点'!G416&lt;0,'03_地点锚点'!G416&gt;WorldWidth)),"世界X越界；","")&amp;IF(AND('03_地点锚点'!H416&lt;&gt;"",OR('03_地点锚点'!H416&lt;0,'03_地点锚点'!H416&gt;WorldHeight)),"世界Y越界；","")&amp;IF(AND('03_地点锚点'!E416&lt;&gt;"",COUNTIF('02_固定地理'!$A$2:$A$501,'03_地点锚点'!E416)=0),"父级行政对象不存在；","")&amp;IF(AND('03_地点锚点'!F416&lt;&gt;"",COUNTIF('03_地点锚点'!$A$2:$A$501,'03_地点锚点'!F416)=0),"父级地点不存在；","")&amp;IF(AND('03_地点锚点'!A416&lt;&gt;"",COUNTIF('03_地点锚点'!$A$2:$A$501,'03_地点锚点'!A416)&gt;1),"ID重复；",""),"")</f>
        <v/>
      </c>
      <c r="G916" s="14">
        <f>IF(F916&lt;&gt;"","按字段批注、数据字典和来源记录修正后复核","")</f>
        <v/>
      </c>
      <c r="H916" s="14">
        <f>IF(F916&lt;&gt;"","待处理","")</f>
        <v/>
      </c>
    </row>
    <row r="917">
      <c r="A917" s="14">
        <f>IF(F917&lt;&gt;"","ISSUE-"&amp;TEXT(ROW()-1,"00000"),"")</f>
        <v/>
      </c>
      <c r="B917" s="14">
        <f>IF(F917&lt;&gt;"","错误","")</f>
        <v/>
      </c>
      <c r="C917" s="14">
        <f>IF('03_地点锚点'!A417&lt;&gt;"","03_地点锚点","")</f>
        <v/>
      </c>
      <c r="D917" s="14">
        <f>IF('03_地点锚点'!A417&lt;&gt;"",'03_地点锚点'!A417,"")</f>
        <v/>
      </c>
      <c r="E917" s="14">
        <f>IF(F917&lt;&gt;"","综合校验","")</f>
        <v/>
      </c>
      <c r="F917" s="14">
        <f>IF('03_地点锚点'!A417&lt;&gt;"",IF('03_地点锚点'!A417="","缺少地点ID；","")&amp;IF('03_地点锚点'!B417="","缺少中文名称；","")&amp;IF('03_地点锚点'!D417="","缺少地点类型；","")&amp;IF('03_地点锚点'!G417="","缺少世界X；","")&amp;IF('03_地点锚点'!H417="","缺少世界Y；","")&amp;IF(AND('03_地点锚点'!G417&lt;&gt;"",OR('03_地点锚点'!G417&lt;0,'03_地点锚点'!G417&gt;WorldWidth)),"世界X越界；","")&amp;IF(AND('03_地点锚点'!H417&lt;&gt;"",OR('03_地点锚点'!H417&lt;0,'03_地点锚点'!H417&gt;WorldHeight)),"世界Y越界；","")&amp;IF(AND('03_地点锚点'!E417&lt;&gt;"",COUNTIF('02_固定地理'!$A$2:$A$501,'03_地点锚点'!E417)=0),"父级行政对象不存在；","")&amp;IF(AND('03_地点锚点'!F417&lt;&gt;"",COUNTIF('03_地点锚点'!$A$2:$A$501,'03_地点锚点'!F417)=0),"父级地点不存在；","")&amp;IF(AND('03_地点锚点'!A417&lt;&gt;"",COUNTIF('03_地点锚点'!$A$2:$A$501,'03_地点锚点'!A417)&gt;1),"ID重复；",""),"")</f>
        <v/>
      </c>
      <c r="G917" s="14">
        <f>IF(F917&lt;&gt;"","按字段批注、数据字典和来源记录修正后复核","")</f>
        <v/>
      </c>
      <c r="H917" s="14">
        <f>IF(F917&lt;&gt;"","待处理","")</f>
        <v/>
      </c>
    </row>
    <row r="918">
      <c r="A918" s="14">
        <f>IF(F918&lt;&gt;"","ISSUE-"&amp;TEXT(ROW()-1,"00000"),"")</f>
        <v/>
      </c>
      <c r="B918" s="14">
        <f>IF(F918&lt;&gt;"","错误","")</f>
        <v/>
      </c>
      <c r="C918" s="14">
        <f>IF('03_地点锚点'!A418&lt;&gt;"","03_地点锚点","")</f>
        <v/>
      </c>
      <c r="D918" s="14">
        <f>IF('03_地点锚点'!A418&lt;&gt;"",'03_地点锚点'!A418,"")</f>
        <v/>
      </c>
      <c r="E918" s="14">
        <f>IF(F918&lt;&gt;"","综合校验","")</f>
        <v/>
      </c>
      <c r="F918" s="14">
        <f>IF('03_地点锚点'!A418&lt;&gt;"",IF('03_地点锚点'!A418="","缺少地点ID；","")&amp;IF('03_地点锚点'!B418="","缺少中文名称；","")&amp;IF('03_地点锚点'!D418="","缺少地点类型；","")&amp;IF('03_地点锚点'!G418="","缺少世界X；","")&amp;IF('03_地点锚点'!H418="","缺少世界Y；","")&amp;IF(AND('03_地点锚点'!G418&lt;&gt;"",OR('03_地点锚点'!G418&lt;0,'03_地点锚点'!G418&gt;WorldWidth)),"世界X越界；","")&amp;IF(AND('03_地点锚点'!H418&lt;&gt;"",OR('03_地点锚点'!H418&lt;0,'03_地点锚点'!H418&gt;WorldHeight)),"世界Y越界；","")&amp;IF(AND('03_地点锚点'!E418&lt;&gt;"",COUNTIF('02_固定地理'!$A$2:$A$501,'03_地点锚点'!E418)=0),"父级行政对象不存在；","")&amp;IF(AND('03_地点锚点'!F418&lt;&gt;"",COUNTIF('03_地点锚点'!$A$2:$A$501,'03_地点锚点'!F418)=0),"父级地点不存在；","")&amp;IF(AND('03_地点锚点'!A418&lt;&gt;"",COUNTIF('03_地点锚点'!$A$2:$A$501,'03_地点锚点'!A418)&gt;1),"ID重复；",""),"")</f>
        <v/>
      </c>
      <c r="G918" s="14">
        <f>IF(F918&lt;&gt;"","按字段批注、数据字典和来源记录修正后复核","")</f>
        <v/>
      </c>
      <c r="H918" s="14">
        <f>IF(F918&lt;&gt;"","待处理","")</f>
        <v/>
      </c>
    </row>
    <row r="919">
      <c r="A919" s="14">
        <f>IF(F919&lt;&gt;"","ISSUE-"&amp;TEXT(ROW()-1,"00000"),"")</f>
        <v/>
      </c>
      <c r="B919" s="14">
        <f>IF(F919&lt;&gt;"","错误","")</f>
        <v/>
      </c>
      <c r="C919" s="14">
        <f>IF('03_地点锚点'!A419&lt;&gt;"","03_地点锚点","")</f>
        <v/>
      </c>
      <c r="D919" s="14">
        <f>IF('03_地点锚点'!A419&lt;&gt;"",'03_地点锚点'!A419,"")</f>
        <v/>
      </c>
      <c r="E919" s="14">
        <f>IF(F919&lt;&gt;"","综合校验","")</f>
        <v/>
      </c>
      <c r="F919" s="14">
        <f>IF('03_地点锚点'!A419&lt;&gt;"",IF('03_地点锚点'!A419="","缺少地点ID；","")&amp;IF('03_地点锚点'!B419="","缺少中文名称；","")&amp;IF('03_地点锚点'!D419="","缺少地点类型；","")&amp;IF('03_地点锚点'!G419="","缺少世界X；","")&amp;IF('03_地点锚点'!H419="","缺少世界Y；","")&amp;IF(AND('03_地点锚点'!G419&lt;&gt;"",OR('03_地点锚点'!G419&lt;0,'03_地点锚点'!G419&gt;WorldWidth)),"世界X越界；","")&amp;IF(AND('03_地点锚点'!H419&lt;&gt;"",OR('03_地点锚点'!H419&lt;0,'03_地点锚点'!H419&gt;WorldHeight)),"世界Y越界；","")&amp;IF(AND('03_地点锚点'!E419&lt;&gt;"",COUNTIF('02_固定地理'!$A$2:$A$501,'03_地点锚点'!E419)=0),"父级行政对象不存在；","")&amp;IF(AND('03_地点锚点'!F419&lt;&gt;"",COUNTIF('03_地点锚点'!$A$2:$A$501,'03_地点锚点'!F419)=0),"父级地点不存在；","")&amp;IF(AND('03_地点锚点'!A419&lt;&gt;"",COUNTIF('03_地点锚点'!$A$2:$A$501,'03_地点锚点'!A419)&gt;1),"ID重复；",""),"")</f>
        <v/>
      </c>
      <c r="G919" s="14">
        <f>IF(F919&lt;&gt;"","按字段批注、数据字典和来源记录修正后复核","")</f>
        <v/>
      </c>
      <c r="H919" s="14">
        <f>IF(F919&lt;&gt;"","待处理","")</f>
        <v/>
      </c>
    </row>
    <row r="920">
      <c r="A920" s="14">
        <f>IF(F920&lt;&gt;"","ISSUE-"&amp;TEXT(ROW()-1,"00000"),"")</f>
        <v/>
      </c>
      <c r="B920" s="14">
        <f>IF(F920&lt;&gt;"","错误","")</f>
        <v/>
      </c>
      <c r="C920" s="14">
        <f>IF('03_地点锚点'!A420&lt;&gt;"","03_地点锚点","")</f>
        <v/>
      </c>
      <c r="D920" s="14">
        <f>IF('03_地点锚点'!A420&lt;&gt;"",'03_地点锚点'!A420,"")</f>
        <v/>
      </c>
      <c r="E920" s="14">
        <f>IF(F920&lt;&gt;"","综合校验","")</f>
        <v/>
      </c>
      <c r="F920" s="14">
        <f>IF('03_地点锚点'!A420&lt;&gt;"",IF('03_地点锚点'!A420="","缺少地点ID；","")&amp;IF('03_地点锚点'!B420="","缺少中文名称；","")&amp;IF('03_地点锚点'!D420="","缺少地点类型；","")&amp;IF('03_地点锚点'!G420="","缺少世界X；","")&amp;IF('03_地点锚点'!H420="","缺少世界Y；","")&amp;IF(AND('03_地点锚点'!G420&lt;&gt;"",OR('03_地点锚点'!G420&lt;0,'03_地点锚点'!G420&gt;WorldWidth)),"世界X越界；","")&amp;IF(AND('03_地点锚点'!H420&lt;&gt;"",OR('03_地点锚点'!H420&lt;0,'03_地点锚点'!H420&gt;WorldHeight)),"世界Y越界；","")&amp;IF(AND('03_地点锚点'!E420&lt;&gt;"",COUNTIF('02_固定地理'!$A$2:$A$501,'03_地点锚点'!E420)=0),"父级行政对象不存在；","")&amp;IF(AND('03_地点锚点'!F420&lt;&gt;"",COUNTIF('03_地点锚点'!$A$2:$A$501,'03_地点锚点'!F420)=0),"父级地点不存在；","")&amp;IF(AND('03_地点锚点'!A420&lt;&gt;"",COUNTIF('03_地点锚点'!$A$2:$A$501,'03_地点锚点'!A420)&gt;1),"ID重复；",""),"")</f>
        <v/>
      </c>
      <c r="G920" s="14">
        <f>IF(F920&lt;&gt;"","按字段批注、数据字典和来源记录修正后复核","")</f>
        <v/>
      </c>
      <c r="H920" s="14">
        <f>IF(F920&lt;&gt;"","待处理","")</f>
        <v/>
      </c>
    </row>
    <row r="921">
      <c r="A921" s="14">
        <f>IF(F921&lt;&gt;"","ISSUE-"&amp;TEXT(ROW()-1,"00000"),"")</f>
        <v/>
      </c>
      <c r="B921" s="14">
        <f>IF(F921&lt;&gt;"","错误","")</f>
        <v/>
      </c>
      <c r="C921" s="14">
        <f>IF('03_地点锚点'!A421&lt;&gt;"","03_地点锚点","")</f>
        <v/>
      </c>
      <c r="D921" s="14">
        <f>IF('03_地点锚点'!A421&lt;&gt;"",'03_地点锚点'!A421,"")</f>
        <v/>
      </c>
      <c r="E921" s="14">
        <f>IF(F921&lt;&gt;"","综合校验","")</f>
        <v/>
      </c>
      <c r="F921" s="14">
        <f>IF('03_地点锚点'!A421&lt;&gt;"",IF('03_地点锚点'!A421="","缺少地点ID；","")&amp;IF('03_地点锚点'!B421="","缺少中文名称；","")&amp;IF('03_地点锚点'!D421="","缺少地点类型；","")&amp;IF('03_地点锚点'!G421="","缺少世界X；","")&amp;IF('03_地点锚点'!H421="","缺少世界Y；","")&amp;IF(AND('03_地点锚点'!G421&lt;&gt;"",OR('03_地点锚点'!G421&lt;0,'03_地点锚点'!G421&gt;WorldWidth)),"世界X越界；","")&amp;IF(AND('03_地点锚点'!H421&lt;&gt;"",OR('03_地点锚点'!H421&lt;0,'03_地点锚点'!H421&gt;WorldHeight)),"世界Y越界；","")&amp;IF(AND('03_地点锚点'!E421&lt;&gt;"",COUNTIF('02_固定地理'!$A$2:$A$501,'03_地点锚点'!E421)=0),"父级行政对象不存在；","")&amp;IF(AND('03_地点锚点'!F421&lt;&gt;"",COUNTIF('03_地点锚点'!$A$2:$A$501,'03_地点锚点'!F421)=0),"父级地点不存在；","")&amp;IF(AND('03_地点锚点'!A421&lt;&gt;"",COUNTIF('03_地点锚点'!$A$2:$A$501,'03_地点锚点'!A421)&gt;1),"ID重复；",""),"")</f>
        <v/>
      </c>
      <c r="G921" s="14">
        <f>IF(F921&lt;&gt;"","按字段批注、数据字典和来源记录修正后复核","")</f>
        <v/>
      </c>
      <c r="H921" s="14">
        <f>IF(F921&lt;&gt;"","待处理","")</f>
        <v/>
      </c>
    </row>
    <row r="922">
      <c r="A922" s="14">
        <f>IF(F922&lt;&gt;"","ISSUE-"&amp;TEXT(ROW()-1,"00000"),"")</f>
        <v/>
      </c>
      <c r="B922" s="14">
        <f>IF(F922&lt;&gt;"","错误","")</f>
        <v/>
      </c>
      <c r="C922" s="14">
        <f>IF('03_地点锚点'!A422&lt;&gt;"","03_地点锚点","")</f>
        <v/>
      </c>
      <c r="D922" s="14">
        <f>IF('03_地点锚点'!A422&lt;&gt;"",'03_地点锚点'!A422,"")</f>
        <v/>
      </c>
      <c r="E922" s="14">
        <f>IF(F922&lt;&gt;"","综合校验","")</f>
        <v/>
      </c>
      <c r="F922" s="14">
        <f>IF('03_地点锚点'!A422&lt;&gt;"",IF('03_地点锚点'!A422="","缺少地点ID；","")&amp;IF('03_地点锚点'!B422="","缺少中文名称；","")&amp;IF('03_地点锚点'!D422="","缺少地点类型；","")&amp;IF('03_地点锚点'!G422="","缺少世界X；","")&amp;IF('03_地点锚点'!H422="","缺少世界Y；","")&amp;IF(AND('03_地点锚点'!G422&lt;&gt;"",OR('03_地点锚点'!G422&lt;0,'03_地点锚点'!G422&gt;WorldWidth)),"世界X越界；","")&amp;IF(AND('03_地点锚点'!H422&lt;&gt;"",OR('03_地点锚点'!H422&lt;0,'03_地点锚点'!H422&gt;WorldHeight)),"世界Y越界；","")&amp;IF(AND('03_地点锚点'!E422&lt;&gt;"",COUNTIF('02_固定地理'!$A$2:$A$501,'03_地点锚点'!E422)=0),"父级行政对象不存在；","")&amp;IF(AND('03_地点锚点'!F422&lt;&gt;"",COUNTIF('03_地点锚点'!$A$2:$A$501,'03_地点锚点'!F422)=0),"父级地点不存在；","")&amp;IF(AND('03_地点锚点'!A422&lt;&gt;"",COUNTIF('03_地点锚点'!$A$2:$A$501,'03_地点锚点'!A422)&gt;1),"ID重复；",""),"")</f>
        <v/>
      </c>
      <c r="G922" s="14">
        <f>IF(F922&lt;&gt;"","按字段批注、数据字典和来源记录修正后复核","")</f>
        <v/>
      </c>
      <c r="H922" s="14">
        <f>IF(F922&lt;&gt;"","待处理","")</f>
        <v/>
      </c>
    </row>
    <row r="923">
      <c r="A923" s="14">
        <f>IF(F923&lt;&gt;"","ISSUE-"&amp;TEXT(ROW()-1,"00000"),"")</f>
        <v/>
      </c>
      <c r="B923" s="14">
        <f>IF(F923&lt;&gt;"","错误","")</f>
        <v/>
      </c>
      <c r="C923" s="14">
        <f>IF('03_地点锚点'!A423&lt;&gt;"","03_地点锚点","")</f>
        <v/>
      </c>
      <c r="D923" s="14">
        <f>IF('03_地点锚点'!A423&lt;&gt;"",'03_地点锚点'!A423,"")</f>
        <v/>
      </c>
      <c r="E923" s="14">
        <f>IF(F923&lt;&gt;"","综合校验","")</f>
        <v/>
      </c>
      <c r="F923" s="14">
        <f>IF('03_地点锚点'!A423&lt;&gt;"",IF('03_地点锚点'!A423="","缺少地点ID；","")&amp;IF('03_地点锚点'!B423="","缺少中文名称；","")&amp;IF('03_地点锚点'!D423="","缺少地点类型；","")&amp;IF('03_地点锚点'!G423="","缺少世界X；","")&amp;IF('03_地点锚点'!H423="","缺少世界Y；","")&amp;IF(AND('03_地点锚点'!G423&lt;&gt;"",OR('03_地点锚点'!G423&lt;0,'03_地点锚点'!G423&gt;WorldWidth)),"世界X越界；","")&amp;IF(AND('03_地点锚点'!H423&lt;&gt;"",OR('03_地点锚点'!H423&lt;0,'03_地点锚点'!H423&gt;WorldHeight)),"世界Y越界；","")&amp;IF(AND('03_地点锚点'!E423&lt;&gt;"",COUNTIF('02_固定地理'!$A$2:$A$501,'03_地点锚点'!E423)=0),"父级行政对象不存在；","")&amp;IF(AND('03_地点锚点'!F423&lt;&gt;"",COUNTIF('03_地点锚点'!$A$2:$A$501,'03_地点锚点'!F423)=0),"父级地点不存在；","")&amp;IF(AND('03_地点锚点'!A423&lt;&gt;"",COUNTIF('03_地点锚点'!$A$2:$A$501,'03_地点锚点'!A423)&gt;1),"ID重复；",""),"")</f>
        <v/>
      </c>
      <c r="G923" s="14">
        <f>IF(F923&lt;&gt;"","按字段批注、数据字典和来源记录修正后复核","")</f>
        <v/>
      </c>
      <c r="H923" s="14">
        <f>IF(F923&lt;&gt;"","待处理","")</f>
        <v/>
      </c>
    </row>
    <row r="924">
      <c r="A924" s="14">
        <f>IF(F924&lt;&gt;"","ISSUE-"&amp;TEXT(ROW()-1,"00000"),"")</f>
        <v/>
      </c>
      <c r="B924" s="14">
        <f>IF(F924&lt;&gt;"","错误","")</f>
        <v/>
      </c>
      <c r="C924" s="14">
        <f>IF('03_地点锚点'!A424&lt;&gt;"","03_地点锚点","")</f>
        <v/>
      </c>
      <c r="D924" s="14">
        <f>IF('03_地点锚点'!A424&lt;&gt;"",'03_地点锚点'!A424,"")</f>
        <v/>
      </c>
      <c r="E924" s="14">
        <f>IF(F924&lt;&gt;"","综合校验","")</f>
        <v/>
      </c>
      <c r="F924" s="14">
        <f>IF('03_地点锚点'!A424&lt;&gt;"",IF('03_地点锚点'!A424="","缺少地点ID；","")&amp;IF('03_地点锚点'!B424="","缺少中文名称；","")&amp;IF('03_地点锚点'!D424="","缺少地点类型；","")&amp;IF('03_地点锚点'!G424="","缺少世界X；","")&amp;IF('03_地点锚点'!H424="","缺少世界Y；","")&amp;IF(AND('03_地点锚点'!G424&lt;&gt;"",OR('03_地点锚点'!G424&lt;0,'03_地点锚点'!G424&gt;WorldWidth)),"世界X越界；","")&amp;IF(AND('03_地点锚点'!H424&lt;&gt;"",OR('03_地点锚点'!H424&lt;0,'03_地点锚点'!H424&gt;WorldHeight)),"世界Y越界；","")&amp;IF(AND('03_地点锚点'!E424&lt;&gt;"",COUNTIF('02_固定地理'!$A$2:$A$501,'03_地点锚点'!E424)=0),"父级行政对象不存在；","")&amp;IF(AND('03_地点锚点'!F424&lt;&gt;"",COUNTIF('03_地点锚点'!$A$2:$A$501,'03_地点锚点'!F424)=0),"父级地点不存在；","")&amp;IF(AND('03_地点锚点'!A424&lt;&gt;"",COUNTIF('03_地点锚点'!$A$2:$A$501,'03_地点锚点'!A424)&gt;1),"ID重复；",""),"")</f>
        <v/>
      </c>
      <c r="G924" s="14">
        <f>IF(F924&lt;&gt;"","按字段批注、数据字典和来源记录修正后复核","")</f>
        <v/>
      </c>
      <c r="H924" s="14">
        <f>IF(F924&lt;&gt;"","待处理","")</f>
        <v/>
      </c>
    </row>
    <row r="925">
      <c r="A925" s="14">
        <f>IF(F925&lt;&gt;"","ISSUE-"&amp;TEXT(ROW()-1,"00000"),"")</f>
        <v/>
      </c>
      <c r="B925" s="14">
        <f>IF(F925&lt;&gt;"","错误","")</f>
        <v/>
      </c>
      <c r="C925" s="14">
        <f>IF('03_地点锚点'!A425&lt;&gt;"","03_地点锚点","")</f>
        <v/>
      </c>
      <c r="D925" s="14">
        <f>IF('03_地点锚点'!A425&lt;&gt;"",'03_地点锚点'!A425,"")</f>
        <v/>
      </c>
      <c r="E925" s="14">
        <f>IF(F925&lt;&gt;"","综合校验","")</f>
        <v/>
      </c>
      <c r="F925" s="14">
        <f>IF('03_地点锚点'!A425&lt;&gt;"",IF('03_地点锚点'!A425="","缺少地点ID；","")&amp;IF('03_地点锚点'!B425="","缺少中文名称；","")&amp;IF('03_地点锚点'!D425="","缺少地点类型；","")&amp;IF('03_地点锚点'!G425="","缺少世界X；","")&amp;IF('03_地点锚点'!H425="","缺少世界Y；","")&amp;IF(AND('03_地点锚点'!G425&lt;&gt;"",OR('03_地点锚点'!G425&lt;0,'03_地点锚点'!G425&gt;WorldWidth)),"世界X越界；","")&amp;IF(AND('03_地点锚点'!H425&lt;&gt;"",OR('03_地点锚点'!H425&lt;0,'03_地点锚点'!H425&gt;WorldHeight)),"世界Y越界；","")&amp;IF(AND('03_地点锚点'!E425&lt;&gt;"",COUNTIF('02_固定地理'!$A$2:$A$501,'03_地点锚点'!E425)=0),"父级行政对象不存在；","")&amp;IF(AND('03_地点锚点'!F425&lt;&gt;"",COUNTIF('03_地点锚点'!$A$2:$A$501,'03_地点锚点'!F425)=0),"父级地点不存在；","")&amp;IF(AND('03_地点锚点'!A425&lt;&gt;"",COUNTIF('03_地点锚点'!$A$2:$A$501,'03_地点锚点'!A425)&gt;1),"ID重复；",""),"")</f>
        <v/>
      </c>
      <c r="G925" s="14">
        <f>IF(F925&lt;&gt;"","按字段批注、数据字典和来源记录修正后复核","")</f>
        <v/>
      </c>
      <c r="H925" s="14">
        <f>IF(F925&lt;&gt;"","待处理","")</f>
        <v/>
      </c>
    </row>
    <row r="926">
      <c r="A926" s="14">
        <f>IF(F926&lt;&gt;"","ISSUE-"&amp;TEXT(ROW()-1,"00000"),"")</f>
        <v/>
      </c>
      <c r="B926" s="14">
        <f>IF(F926&lt;&gt;"","错误","")</f>
        <v/>
      </c>
      <c r="C926" s="14">
        <f>IF('03_地点锚点'!A426&lt;&gt;"","03_地点锚点","")</f>
        <v/>
      </c>
      <c r="D926" s="14">
        <f>IF('03_地点锚点'!A426&lt;&gt;"",'03_地点锚点'!A426,"")</f>
        <v/>
      </c>
      <c r="E926" s="14">
        <f>IF(F926&lt;&gt;"","综合校验","")</f>
        <v/>
      </c>
      <c r="F926" s="14">
        <f>IF('03_地点锚点'!A426&lt;&gt;"",IF('03_地点锚点'!A426="","缺少地点ID；","")&amp;IF('03_地点锚点'!B426="","缺少中文名称；","")&amp;IF('03_地点锚点'!D426="","缺少地点类型；","")&amp;IF('03_地点锚点'!G426="","缺少世界X；","")&amp;IF('03_地点锚点'!H426="","缺少世界Y；","")&amp;IF(AND('03_地点锚点'!G426&lt;&gt;"",OR('03_地点锚点'!G426&lt;0,'03_地点锚点'!G426&gt;WorldWidth)),"世界X越界；","")&amp;IF(AND('03_地点锚点'!H426&lt;&gt;"",OR('03_地点锚点'!H426&lt;0,'03_地点锚点'!H426&gt;WorldHeight)),"世界Y越界；","")&amp;IF(AND('03_地点锚点'!E426&lt;&gt;"",COUNTIF('02_固定地理'!$A$2:$A$501,'03_地点锚点'!E426)=0),"父级行政对象不存在；","")&amp;IF(AND('03_地点锚点'!F426&lt;&gt;"",COUNTIF('03_地点锚点'!$A$2:$A$501,'03_地点锚点'!F426)=0),"父级地点不存在；","")&amp;IF(AND('03_地点锚点'!A426&lt;&gt;"",COUNTIF('03_地点锚点'!$A$2:$A$501,'03_地点锚点'!A426)&gt;1),"ID重复；",""),"")</f>
        <v/>
      </c>
      <c r="G926" s="14">
        <f>IF(F926&lt;&gt;"","按字段批注、数据字典和来源记录修正后复核","")</f>
        <v/>
      </c>
      <c r="H926" s="14">
        <f>IF(F926&lt;&gt;"","待处理","")</f>
        <v/>
      </c>
    </row>
    <row r="927">
      <c r="A927" s="14">
        <f>IF(F927&lt;&gt;"","ISSUE-"&amp;TEXT(ROW()-1,"00000"),"")</f>
        <v/>
      </c>
      <c r="B927" s="14">
        <f>IF(F927&lt;&gt;"","错误","")</f>
        <v/>
      </c>
      <c r="C927" s="14">
        <f>IF('03_地点锚点'!A427&lt;&gt;"","03_地点锚点","")</f>
        <v/>
      </c>
      <c r="D927" s="14">
        <f>IF('03_地点锚点'!A427&lt;&gt;"",'03_地点锚点'!A427,"")</f>
        <v/>
      </c>
      <c r="E927" s="14">
        <f>IF(F927&lt;&gt;"","综合校验","")</f>
        <v/>
      </c>
      <c r="F927" s="14">
        <f>IF('03_地点锚点'!A427&lt;&gt;"",IF('03_地点锚点'!A427="","缺少地点ID；","")&amp;IF('03_地点锚点'!B427="","缺少中文名称；","")&amp;IF('03_地点锚点'!D427="","缺少地点类型；","")&amp;IF('03_地点锚点'!G427="","缺少世界X；","")&amp;IF('03_地点锚点'!H427="","缺少世界Y；","")&amp;IF(AND('03_地点锚点'!G427&lt;&gt;"",OR('03_地点锚点'!G427&lt;0,'03_地点锚点'!G427&gt;WorldWidth)),"世界X越界；","")&amp;IF(AND('03_地点锚点'!H427&lt;&gt;"",OR('03_地点锚点'!H427&lt;0,'03_地点锚点'!H427&gt;WorldHeight)),"世界Y越界；","")&amp;IF(AND('03_地点锚点'!E427&lt;&gt;"",COUNTIF('02_固定地理'!$A$2:$A$501,'03_地点锚点'!E427)=0),"父级行政对象不存在；","")&amp;IF(AND('03_地点锚点'!F427&lt;&gt;"",COUNTIF('03_地点锚点'!$A$2:$A$501,'03_地点锚点'!F427)=0),"父级地点不存在；","")&amp;IF(AND('03_地点锚点'!A427&lt;&gt;"",COUNTIF('03_地点锚点'!$A$2:$A$501,'03_地点锚点'!A427)&gt;1),"ID重复；",""),"")</f>
        <v/>
      </c>
      <c r="G927" s="14">
        <f>IF(F927&lt;&gt;"","按字段批注、数据字典和来源记录修正后复核","")</f>
        <v/>
      </c>
      <c r="H927" s="14">
        <f>IF(F927&lt;&gt;"","待处理","")</f>
        <v/>
      </c>
    </row>
    <row r="928">
      <c r="A928" s="14">
        <f>IF(F928&lt;&gt;"","ISSUE-"&amp;TEXT(ROW()-1,"00000"),"")</f>
        <v/>
      </c>
      <c r="B928" s="14">
        <f>IF(F928&lt;&gt;"","错误","")</f>
        <v/>
      </c>
      <c r="C928" s="14">
        <f>IF('03_地点锚点'!A428&lt;&gt;"","03_地点锚点","")</f>
        <v/>
      </c>
      <c r="D928" s="14">
        <f>IF('03_地点锚点'!A428&lt;&gt;"",'03_地点锚点'!A428,"")</f>
        <v/>
      </c>
      <c r="E928" s="14">
        <f>IF(F928&lt;&gt;"","综合校验","")</f>
        <v/>
      </c>
      <c r="F928" s="14">
        <f>IF('03_地点锚点'!A428&lt;&gt;"",IF('03_地点锚点'!A428="","缺少地点ID；","")&amp;IF('03_地点锚点'!B428="","缺少中文名称；","")&amp;IF('03_地点锚点'!D428="","缺少地点类型；","")&amp;IF('03_地点锚点'!G428="","缺少世界X；","")&amp;IF('03_地点锚点'!H428="","缺少世界Y；","")&amp;IF(AND('03_地点锚点'!G428&lt;&gt;"",OR('03_地点锚点'!G428&lt;0,'03_地点锚点'!G428&gt;WorldWidth)),"世界X越界；","")&amp;IF(AND('03_地点锚点'!H428&lt;&gt;"",OR('03_地点锚点'!H428&lt;0,'03_地点锚点'!H428&gt;WorldHeight)),"世界Y越界；","")&amp;IF(AND('03_地点锚点'!E428&lt;&gt;"",COUNTIF('02_固定地理'!$A$2:$A$501,'03_地点锚点'!E428)=0),"父级行政对象不存在；","")&amp;IF(AND('03_地点锚点'!F428&lt;&gt;"",COUNTIF('03_地点锚点'!$A$2:$A$501,'03_地点锚点'!F428)=0),"父级地点不存在；","")&amp;IF(AND('03_地点锚点'!A428&lt;&gt;"",COUNTIF('03_地点锚点'!$A$2:$A$501,'03_地点锚点'!A428)&gt;1),"ID重复；",""),"")</f>
        <v/>
      </c>
      <c r="G928" s="14">
        <f>IF(F928&lt;&gt;"","按字段批注、数据字典和来源记录修正后复核","")</f>
        <v/>
      </c>
      <c r="H928" s="14">
        <f>IF(F928&lt;&gt;"","待处理","")</f>
        <v/>
      </c>
    </row>
    <row r="929">
      <c r="A929" s="14">
        <f>IF(F929&lt;&gt;"","ISSUE-"&amp;TEXT(ROW()-1,"00000"),"")</f>
        <v/>
      </c>
      <c r="B929" s="14">
        <f>IF(F929&lt;&gt;"","错误","")</f>
        <v/>
      </c>
      <c r="C929" s="14">
        <f>IF('03_地点锚点'!A429&lt;&gt;"","03_地点锚点","")</f>
        <v/>
      </c>
      <c r="D929" s="14">
        <f>IF('03_地点锚点'!A429&lt;&gt;"",'03_地点锚点'!A429,"")</f>
        <v/>
      </c>
      <c r="E929" s="14">
        <f>IF(F929&lt;&gt;"","综合校验","")</f>
        <v/>
      </c>
      <c r="F929" s="14">
        <f>IF('03_地点锚点'!A429&lt;&gt;"",IF('03_地点锚点'!A429="","缺少地点ID；","")&amp;IF('03_地点锚点'!B429="","缺少中文名称；","")&amp;IF('03_地点锚点'!D429="","缺少地点类型；","")&amp;IF('03_地点锚点'!G429="","缺少世界X；","")&amp;IF('03_地点锚点'!H429="","缺少世界Y；","")&amp;IF(AND('03_地点锚点'!G429&lt;&gt;"",OR('03_地点锚点'!G429&lt;0,'03_地点锚点'!G429&gt;WorldWidth)),"世界X越界；","")&amp;IF(AND('03_地点锚点'!H429&lt;&gt;"",OR('03_地点锚点'!H429&lt;0,'03_地点锚点'!H429&gt;WorldHeight)),"世界Y越界；","")&amp;IF(AND('03_地点锚点'!E429&lt;&gt;"",COUNTIF('02_固定地理'!$A$2:$A$501,'03_地点锚点'!E429)=0),"父级行政对象不存在；","")&amp;IF(AND('03_地点锚点'!F429&lt;&gt;"",COUNTIF('03_地点锚点'!$A$2:$A$501,'03_地点锚点'!F429)=0),"父级地点不存在；","")&amp;IF(AND('03_地点锚点'!A429&lt;&gt;"",COUNTIF('03_地点锚点'!$A$2:$A$501,'03_地点锚点'!A429)&gt;1),"ID重复；",""),"")</f>
        <v/>
      </c>
      <c r="G929" s="14">
        <f>IF(F929&lt;&gt;"","按字段批注、数据字典和来源记录修正后复核","")</f>
        <v/>
      </c>
      <c r="H929" s="14">
        <f>IF(F929&lt;&gt;"","待处理","")</f>
        <v/>
      </c>
    </row>
    <row r="930">
      <c r="A930" s="14">
        <f>IF(F930&lt;&gt;"","ISSUE-"&amp;TEXT(ROW()-1,"00000"),"")</f>
        <v/>
      </c>
      <c r="B930" s="14">
        <f>IF(F930&lt;&gt;"","错误","")</f>
        <v/>
      </c>
      <c r="C930" s="14">
        <f>IF('03_地点锚点'!A430&lt;&gt;"","03_地点锚点","")</f>
        <v/>
      </c>
      <c r="D930" s="14">
        <f>IF('03_地点锚点'!A430&lt;&gt;"",'03_地点锚点'!A430,"")</f>
        <v/>
      </c>
      <c r="E930" s="14">
        <f>IF(F930&lt;&gt;"","综合校验","")</f>
        <v/>
      </c>
      <c r="F930" s="14">
        <f>IF('03_地点锚点'!A430&lt;&gt;"",IF('03_地点锚点'!A430="","缺少地点ID；","")&amp;IF('03_地点锚点'!B430="","缺少中文名称；","")&amp;IF('03_地点锚点'!D430="","缺少地点类型；","")&amp;IF('03_地点锚点'!G430="","缺少世界X；","")&amp;IF('03_地点锚点'!H430="","缺少世界Y；","")&amp;IF(AND('03_地点锚点'!G430&lt;&gt;"",OR('03_地点锚点'!G430&lt;0,'03_地点锚点'!G430&gt;WorldWidth)),"世界X越界；","")&amp;IF(AND('03_地点锚点'!H430&lt;&gt;"",OR('03_地点锚点'!H430&lt;0,'03_地点锚点'!H430&gt;WorldHeight)),"世界Y越界；","")&amp;IF(AND('03_地点锚点'!E430&lt;&gt;"",COUNTIF('02_固定地理'!$A$2:$A$501,'03_地点锚点'!E430)=0),"父级行政对象不存在；","")&amp;IF(AND('03_地点锚点'!F430&lt;&gt;"",COUNTIF('03_地点锚点'!$A$2:$A$501,'03_地点锚点'!F430)=0),"父级地点不存在；","")&amp;IF(AND('03_地点锚点'!A430&lt;&gt;"",COUNTIF('03_地点锚点'!$A$2:$A$501,'03_地点锚点'!A430)&gt;1),"ID重复；",""),"")</f>
        <v/>
      </c>
      <c r="G930" s="14">
        <f>IF(F930&lt;&gt;"","按字段批注、数据字典和来源记录修正后复核","")</f>
        <v/>
      </c>
      <c r="H930" s="14">
        <f>IF(F930&lt;&gt;"","待处理","")</f>
        <v/>
      </c>
    </row>
    <row r="931">
      <c r="A931" s="14">
        <f>IF(F931&lt;&gt;"","ISSUE-"&amp;TEXT(ROW()-1,"00000"),"")</f>
        <v/>
      </c>
      <c r="B931" s="14">
        <f>IF(F931&lt;&gt;"","错误","")</f>
        <v/>
      </c>
      <c r="C931" s="14">
        <f>IF('03_地点锚点'!A431&lt;&gt;"","03_地点锚点","")</f>
        <v/>
      </c>
      <c r="D931" s="14">
        <f>IF('03_地点锚点'!A431&lt;&gt;"",'03_地点锚点'!A431,"")</f>
        <v/>
      </c>
      <c r="E931" s="14">
        <f>IF(F931&lt;&gt;"","综合校验","")</f>
        <v/>
      </c>
      <c r="F931" s="14">
        <f>IF('03_地点锚点'!A431&lt;&gt;"",IF('03_地点锚点'!A431="","缺少地点ID；","")&amp;IF('03_地点锚点'!B431="","缺少中文名称；","")&amp;IF('03_地点锚点'!D431="","缺少地点类型；","")&amp;IF('03_地点锚点'!G431="","缺少世界X；","")&amp;IF('03_地点锚点'!H431="","缺少世界Y；","")&amp;IF(AND('03_地点锚点'!G431&lt;&gt;"",OR('03_地点锚点'!G431&lt;0,'03_地点锚点'!G431&gt;WorldWidth)),"世界X越界；","")&amp;IF(AND('03_地点锚点'!H431&lt;&gt;"",OR('03_地点锚点'!H431&lt;0,'03_地点锚点'!H431&gt;WorldHeight)),"世界Y越界；","")&amp;IF(AND('03_地点锚点'!E431&lt;&gt;"",COUNTIF('02_固定地理'!$A$2:$A$501,'03_地点锚点'!E431)=0),"父级行政对象不存在；","")&amp;IF(AND('03_地点锚点'!F431&lt;&gt;"",COUNTIF('03_地点锚点'!$A$2:$A$501,'03_地点锚点'!F431)=0),"父级地点不存在；","")&amp;IF(AND('03_地点锚点'!A431&lt;&gt;"",COUNTIF('03_地点锚点'!$A$2:$A$501,'03_地点锚点'!A431)&gt;1),"ID重复；",""),"")</f>
        <v/>
      </c>
      <c r="G931" s="14">
        <f>IF(F931&lt;&gt;"","按字段批注、数据字典和来源记录修正后复核","")</f>
        <v/>
      </c>
      <c r="H931" s="14">
        <f>IF(F931&lt;&gt;"","待处理","")</f>
        <v/>
      </c>
    </row>
    <row r="932">
      <c r="A932" s="14">
        <f>IF(F932&lt;&gt;"","ISSUE-"&amp;TEXT(ROW()-1,"00000"),"")</f>
        <v/>
      </c>
      <c r="B932" s="14">
        <f>IF(F932&lt;&gt;"","错误","")</f>
        <v/>
      </c>
      <c r="C932" s="14">
        <f>IF('03_地点锚点'!A432&lt;&gt;"","03_地点锚点","")</f>
        <v/>
      </c>
      <c r="D932" s="14">
        <f>IF('03_地点锚点'!A432&lt;&gt;"",'03_地点锚点'!A432,"")</f>
        <v/>
      </c>
      <c r="E932" s="14">
        <f>IF(F932&lt;&gt;"","综合校验","")</f>
        <v/>
      </c>
      <c r="F932" s="14">
        <f>IF('03_地点锚点'!A432&lt;&gt;"",IF('03_地点锚点'!A432="","缺少地点ID；","")&amp;IF('03_地点锚点'!B432="","缺少中文名称；","")&amp;IF('03_地点锚点'!D432="","缺少地点类型；","")&amp;IF('03_地点锚点'!G432="","缺少世界X；","")&amp;IF('03_地点锚点'!H432="","缺少世界Y；","")&amp;IF(AND('03_地点锚点'!G432&lt;&gt;"",OR('03_地点锚点'!G432&lt;0,'03_地点锚点'!G432&gt;WorldWidth)),"世界X越界；","")&amp;IF(AND('03_地点锚点'!H432&lt;&gt;"",OR('03_地点锚点'!H432&lt;0,'03_地点锚点'!H432&gt;WorldHeight)),"世界Y越界；","")&amp;IF(AND('03_地点锚点'!E432&lt;&gt;"",COUNTIF('02_固定地理'!$A$2:$A$501,'03_地点锚点'!E432)=0),"父级行政对象不存在；","")&amp;IF(AND('03_地点锚点'!F432&lt;&gt;"",COUNTIF('03_地点锚点'!$A$2:$A$501,'03_地点锚点'!F432)=0),"父级地点不存在；","")&amp;IF(AND('03_地点锚点'!A432&lt;&gt;"",COUNTIF('03_地点锚点'!$A$2:$A$501,'03_地点锚点'!A432)&gt;1),"ID重复；",""),"")</f>
        <v/>
      </c>
      <c r="G932" s="14">
        <f>IF(F932&lt;&gt;"","按字段批注、数据字典和来源记录修正后复核","")</f>
        <v/>
      </c>
      <c r="H932" s="14">
        <f>IF(F932&lt;&gt;"","待处理","")</f>
        <v/>
      </c>
    </row>
    <row r="933">
      <c r="A933" s="14">
        <f>IF(F933&lt;&gt;"","ISSUE-"&amp;TEXT(ROW()-1,"00000"),"")</f>
        <v/>
      </c>
      <c r="B933" s="14">
        <f>IF(F933&lt;&gt;"","错误","")</f>
        <v/>
      </c>
      <c r="C933" s="14">
        <f>IF('03_地点锚点'!A433&lt;&gt;"","03_地点锚点","")</f>
        <v/>
      </c>
      <c r="D933" s="14">
        <f>IF('03_地点锚点'!A433&lt;&gt;"",'03_地点锚点'!A433,"")</f>
        <v/>
      </c>
      <c r="E933" s="14">
        <f>IF(F933&lt;&gt;"","综合校验","")</f>
        <v/>
      </c>
      <c r="F933" s="14">
        <f>IF('03_地点锚点'!A433&lt;&gt;"",IF('03_地点锚点'!A433="","缺少地点ID；","")&amp;IF('03_地点锚点'!B433="","缺少中文名称；","")&amp;IF('03_地点锚点'!D433="","缺少地点类型；","")&amp;IF('03_地点锚点'!G433="","缺少世界X；","")&amp;IF('03_地点锚点'!H433="","缺少世界Y；","")&amp;IF(AND('03_地点锚点'!G433&lt;&gt;"",OR('03_地点锚点'!G433&lt;0,'03_地点锚点'!G433&gt;WorldWidth)),"世界X越界；","")&amp;IF(AND('03_地点锚点'!H433&lt;&gt;"",OR('03_地点锚点'!H433&lt;0,'03_地点锚点'!H433&gt;WorldHeight)),"世界Y越界；","")&amp;IF(AND('03_地点锚点'!E433&lt;&gt;"",COUNTIF('02_固定地理'!$A$2:$A$501,'03_地点锚点'!E433)=0),"父级行政对象不存在；","")&amp;IF(AND('03_地点锚点'!F433&lt;&gt;"",COUNTIF('03_地点锚点'!$A$2:$A$501,'03_地点锚点'!F433)=0),"父级地点不存在；","")&amp;IF(AND('03_地点锚点'!A433&lt;&gt;"",COUNTIF('03_地点锚点'!$A$2:$A$501,'03_地点锚点'!A433)&gt;1),"ID重复；",""),"")</f>
        <v/>
      </c>
      <c r="G933" s="14">
        <f>IF(F933&lt;&gt;"","按字段批注、数据字典和来源记录修正后复核","")</f>
        <v/>
      </c>
      <c r="H933" s="14">
        <f>IF(F933&lt;&gt;"","待处理","")</f>
        <v/>
      </c>
    </row>
    <row r="934">
      <c r="A934" s="14">
        <f>IF(F934&lt;&gt;"","ISSUE-"&amp;TEXT(ROW()-1,"00000"),"")</f>
        <v/>
      </c>
      <c r="B934" s="14">
        <f>IF(F934&lt;&gt;"","错误","")</f>
        <v/>
      </c>
      <c r="C934" s="14">
        <f>IF('03_地点锚点'!A434&lt;&gt;"","03_地点锚点","")</f>
        <v/>
      </c>
      <c r="D934" s="14">
        <f>IF('03_地点锚点'!A434&lt;&gt;"",'03_地点锚点'!A434,"")</f>
        <v/>
      </c>
      <c r="E934" s="14">
        <f>IF(F934&lt;&gt;"","综合校验","")</f>
        <v/>
      </c>
      <c r="F934" s="14">
        <f>IF('03_地点锚点'!A434&lt;&gt;"",IF('03_地点锚点'!A434="","缺少地点ID；","")&amp;IF('03_地点锚点'!B434="","缺少中文名称；","")&amp;IF('03_地点锚点'!D434="","缺少地点类型；","")&amp;IF('03_地点锚点'!G434="","缺少世界X；","")&amp;IF('03_地点锚点'!H434="","缺少世界Y；","")&amp;IF(AND('03_地点锚点'!G434&lt;&gt;"",OR('03_地点锚点'!G434&lt;0,'03_地点锚点'!G434&gt;WorldWidth)),"世界X越界；","")&amp;IF(AND('03_地点锚点'!H434&lt;&gt;"",OR('03_地点锚点'!H434&lt;0,'03_地点锚点'!H434&gt;WorldHeight)),"世界Y越界；","")&amp;IF(AND('03_地点锚点'!E434&lt;&gt;"",COUNTIF('02_固定地理'!$A$2:$A$501,'03_地点锚点'!E434)=0),"父级行政对象不存在；","")&amp;IF(AND('03_地点锚点'!F434&lt;&gt;"",COUNTIF('03_地点锚点'!$A$2:$A$501,'03_地点锚点'!F434)=0),"父级地点不存在；","")&amp;IF(AND('03_地点锚点'!A434&lt;&gt;"",COUNTIF('03_地点锚点'!$A$2:$A$501,'03_地点锚点'!A434)&gt;1),"ID重复；",""),"")</f>
        <v/>
      </c>
      <c r="G934" s="14">
        <f>IF(F934&lt;&gt;"","按字段批注、数据字典和来源记录修正后复核","")</f>
        <v/>
      </c>
      <c r="H934" s="14">
        <f>IF(F934&lt;&gt;"","待处理","")</f>
        <v/>
      </c>
    </row>
    <row r="935">
      <c r="A935" s="14">
        <f>IF(F935&lt;&gt;"","ISSUE-"&amp;TEXT(ROW()-1,"00000"),"")</f>
        <v/>
      </c>
      <c r="B935" s="14">
        <f>IF(F935&lt;&gt;"","错误","")</f>
        <v/>
      </c>
      <c r="C935" s="14">
        <f>IF('03_地点锚点'!A435&lt;&gt;"","03_地点锚点","")</f>
        <v/>
      </c>
      <c r="D935" s="14">
        <f>IF('03_地点锚点'!A435&lt;&gt;"",'03_地点锚点'!A435,"")</f>
        <v/>
      </c>
      <c r="E935" s="14">
        <f>IF(F935&lt;&gt;"","综合校验","")</f>
        <v/>
      </c>
      <c r="F935" s="14">
        <f>IF('03_地点锚点'!A435&lt;&gt;"",IF('03_地点锚点'!A435="","缺少地点ID；","")&amp;IF('03_地点锚点'!B435="","缺少中文名称；","")&amp;IF('03_地点锚点'!D435="","缺少地点类型；","")&amp;IF('03_地点锚点'!G435="","缺少世界X；","")&amp;IF('03_地点锚点'!H435="","缺少世界Y；","")&amp;IF(AND('03_地点锚点'!G435&lt;&gt;"",OR('03_地点锚点'!G435&lt;0,'03_地点锚点'!G435&gt;WorldWidth)),"世界X越界；","")&amp;IF(AND('03_地点锚点'!H435&lt;&gt;"",OR('03_地点锚点'!H435&lt;0,'03_地点锚点'!H435&gt;WorldHeight)),"世界Y越界；","")&amp;IF(AND('03_地点锚点'!E435&lt;&gt;"",COUNTIF('02_固定地理'!$A$2:$A$501,'03_地点锚点'!E435)=0),"父级行政对象不存在；","")&amp;IF(AND('03_地点锚点'!F435&lt;&gt;"",COUNTIF('03_地点锚点'!$A$2:$A$501,'03_地点锚点'!F435)=0),"父级地点不存在；","")&amp;IF(AND('03_地点锚点'!A435&lt;&gt;"",COUNTIF('03_地点锚点'!$A$2:$A$501,'03_地点锚点'!A435)&gt;1),"ID重复；",""),"")</f>
        <v/>
      </c>
      <c r="G935" s="14">
        <f>IF(F935&lt;&gt;"","按字段批注、数据字典和来源记录修正后复核","")</f>
        <v/>
      </c>
      <c r="H935" s="14">
        <f>IF(F935&lt;&gt;"","待处理","")</f>
        <v/>
      </c>
    </row>
    <row r="936">
      <c r="A936" s="14">
        <f>IF(F936&lt;&gt;"","ISSUE-"&amp;TEXT(ROW()-1,"00000"),"")</f>
        <v/>
      </c>
      <c r="B936" s="14">
        <f>IF(F936&lt;&gt;"","错误","")</f>
        <v/>
      </c>
      <c r="C936" s="14">
        <f>IF('03_地点锚点'!A436&lt;&gt;"","03_地点锚点","")</f>
        <v/>
      </c>
      <c r="D936" s="14">
        <f>IF('03_地点锚点'!A436&lt;&gt;"",'03_地点锚点'!A436,"")</f>
        <v/>
      </c>
      <c r="E936" s="14">
        <f>IF(F936&lt;&gt;"","综合校验","")</f>
        <v/>
      </c>
      <c r="F936" s="14">
        <f>IF('03_地点锚点'!A436&lt;&gt;"",IF('03_地点锚点'!A436="","缺少地点ID；","")&amp;IF('03_地点锚点'!B436="","缺少中文名称；","")&amp;IF('03_地点锚点'!D436="","缺少地点类型；","")&amp;IF('03_地点锚点'!G436="","缺少世界X；","")&amp;IF('03_地点锚点'!H436="","缺少世界Y；","")&amp;IF(AND('03_地点锚点'!G436&lt;&gt;"",OR('03_地点锚点'!G436&lt;0,'03_地点锚点'!G436&gt;WorldWidth)),"世界X越界；","")&amp;IF(AND('03_地点锚点'!H436&lt;&gt;"",OR('03_地点锚点'!H436&lt;0,'03_地点锚点'!H436&gt;WorldHeight)),"世界Y越界；","")&amp;IF(AND('03_地点锚点'!E436&lt;&gt;"",COUNTIF('02_固定地理'!$A$2:$A$501,'03_地点锚点'!E436)=0),"父级行政对象不存在；","")&amp;IF(AND('03_地点锚点'!F436&lt;&gt;"",COUNTIF('03_地点锚点'!$A$2:$A$501,'03_地点锚点'!F436)=0),"父级地点不存在；","")&amp;IF(AND('03_地点锚点'!A436&lt;&gt;"",COUNTIF('03_地点锚点'!$A$2:$A$501,'03_地点锚点'!A436)&gt;1),"ID重复；",""),"")</f>
        <v/>
      </c>
      <c r="G936" s="14">
        <f>IF(F936&lt;&gt;"","按字段批注、数据字典和来源记录修正后复核","")</f>
        <v/>
      </c>
      <c r="H936" s="14">
        <f>IF(F936&lt;&gt;"","待处理","")</f>
        <v/>
      </c>
    </row>
    <row r="937">
      <c r="A937" s="14">
        <f>IF(F937&lt;&gt;"","ISSUE-"&amp;TEXT(ROW()-1,"00000"),"")</f>
        <v/>
      </c>
      <c r="B937" s="14">
        <f>IF(F937&lt;&gt;"","错误","")</f>
        <v/>
      </c>
      <c r="C937" s="14">
        <f>IF('03_地点锚点'!A437&lt;&gt;"","03_地点锚点","")</f>
        <v/>
      </c>
      <c r="D937" s="14">
        <f>IF('03_地点锚点'!A437&lt;&gt;"",'03_地点锚点'!A437,"")</f>
        <v/>
      </c>
      <c r="E937" s="14">
        <f>IF(F937&lt;&gt;"","综合校验","")</f>
        <v/>
      </c>
      <c r="F937" s="14">
        <f>IF('03_地点锚点'!A437&lt;&gt;"",IF('03_地点锚点'!A437="","缺少地点ID；","")&amp;IF('03_地点锚点'!B437="","缺少中文名称；","")&amp;IF('03_地点锚点'!D437="","缺少地点类型；","")&amp;IF('03_地点锚点'!G437="","缺少世界X；","")&amp;IF('03_地点锚点'!H437="","缺少世界Y；","")&amp;IF(AND('03_地点锚点'!G437&lt;&gt;"",OR('03_地点锚点'!G437&lt;0,'03_地点锚点'!G437&gt;WorldWidth)),"世界X越界；","")&amp;IF(AND('03_地点锚点'!H437&lt;&gt;"",OR('03_地点锚点'!H437&lt;0,'03_地点锚点'!H437&gt;WorldHeight)),"世界Y越界；","")&amp;IF(AND('03_地点锚点'!E437&lt;&gt;"",COUNTIF('02_固定地理'!$A$2:$A$501,'03_地点锚点'!E437)=0),"父级行政对象不存在；","")&amp;IF(AND('03_地点锚点'!F437&lt;&gt;"",COUNTIF('03_地点锚点'!$A$2:$A$501,'03_地点锚点'!F437)=0),"父级地点不存在；","")&amp;IF(AND('03_地点锚点'!A437&lt;&gt;"",COUNTIF('03_地点锚点'!$A$2:$A$501,'03_地点锚点'!A437)&gt;1),"ID重复；",""),"")</f>
        <v/>
      </c>
      <c r="G937" s="14">
        <f>IF(F937&lt;&gt;"","按字段批注、数据字典和来源记录修正后复核","")</f>
        <v/>
      </c>
      <c r="H937" s="14">
        <f>IF(F937&lt;&gt;"","待处理","")</f>
        <v/>
      </c>
    </row>
    <row r="938">
      <c r="A938" s="14">
        <f>IF(F938&lt;&gt;"","ISSUE-"&amp;TEXT(ROW()-1,"00000"),"")</f>
        <v/>
      </c>
      <c r="B938" s="14">
        <f>IF(F938&lt;&gt;"","错误","")</f>
        <v/>
      </c>
      <c r="C938" s="14">
        <f>IF('03_地点锚点'!A438&lt;&gt;"","03_地点锚点","")</f>
        <v/>
      </c>
      <c r="D938" s="14">
        <f>IF('03_地点锚点'!A438&lt;&gt;"",'03_地点锚点'!A438,"")</f>
        <v/>
      </c>
      <c r="E938" s="14">
        <f>IF(F938&lt;&gt;"","综合校验","")</f>
        <v/>
      </c>
      <c r="F938" s="14">
        <f>IF('03_地点锚点'!A438&lt;&gt;"",IF('03_地点锚点'!A438="","缺少地点ID；","")&amp;IF('03_地点锚点'!B438="","缺少中文名称；","")&amp;IF('03_地点锚点'!D438="","缺少地点类型；","")&amp;IF('03_地点锚点'!G438="","缺少世界X；","")&amp;IF('03_地点锚点'!H438="","缺少世界Y；","")&amp;IF(AND('03_地点锚点'!G438&lt;&gt;"",OR('03_地点锚点'!G438&lt;0,'03_地点锚点'!G438&gt;WorldWidth)),"世界X越界；","")&amp;IF(AND('03_地点锚点'!H438&lt;&gt;"",OR('03_地点锚点'!H438&lt;0,'03_地点锚点'!H438&gt;WorldHeight)),"世界Y越界；","")&amp;IF(AND('03_地点锚点'!E438&lt;&gt;"",COUNTIF('02_固定地理'!$A$2:$A$501,'03_地点锚点'!E438)=0),"父级行政对象不存在；","")&amp;IF(AND('03_地点锚点'!F438&lt;&gt;"",COUNTIF('03_地点锚点'!$A$2:$A$501,'03_地点锚点'!F438)=0),"父级地点不存在；","")&amp;IF(AND('03_地点锚点'!A438&lt;&gt;"",COUNTIF('03_地点锚点'!$A$2:$A$501,'03_地点锚点'!A438)&gt;1),"ID重复；",""),"")</f>
        <v/>
      </c>
      <c r="G938" s="14">
        <f>IF(F938&lt;&gt;"","按字段批注、数据字典和来源记录修正后复核","")</f>
        <v/>
      </c>
      <c r="H938" s="14">
        <f>IF(F938&lt;&gt;"","待处理","")</f>
        <v/>
      </c>
    </row>
    <row r="939">
      <c r="A939" s="14">
        <f>IF(F939&lt;&gt;"","ISSUE-"&amp;TEXT(ROW()-1,"00000"),"")</f>
        <v/>
      </c>
      <c r="B939" s="14">
        <f>IF(F939&lt;&gt;"","错误","")</f>
        <v/>
      </c>
      <c r="C939" s="14">
        <f>IF('03_地点锚点'!A439&lt;&gt;"","03_地点锚点","")</f>
        <v/>
      </c>
      <c r="D939" s="14">
        <f>IF('03_地点锚点'!A439&lt;&gt;"",'03_地点锚点'!A439,"")</f>
        <v/>
      </c>
      <c r="E939" s="14">
        <f>IF(F939&lt;&gt;"","综合校验","")</f>
        <v/>
      </c>
      <c r="F939" s="14">
        <f>IF('03_地点锚点'!A439&lt;&gt;"",IF('03_地点锚点'!A439="","缺少地点ID；","")&amp;IF('03_地点锚点'!B439="","缺少中文名称；","")&amp;IF('03_地点锚点'!D439="","缺少地点类型；","")&amp;IF('03_地点锚点'!G439="","缺少世界X；","")&amp;IF('03_地点锚点'!H439="","缺少世界Y；","")&amp;IF(AND('03_地点锚点'!G439&lt;&gt;"",OR('03_地点锚点'!G439&lt;0,'03_地点锚点'!G439&gt;WorldWidth)),"世界X越界；","")&amp;IF(AND('03_地点锚点'!H439&lt;&gt;"",OR('03_地点锚点'!H439&lt;0,'03_地点锚点'!H439&gt;WorldHeight)),"世界Y越界；","")&amp;IF(AND('03_地点锚点'!E439&lt;&gt;"",COUNTIF('02_固定地理'!$A$2:$A$501,'03_地点锚点'!E439)=0),"父级行政对象不存在；","")&amp;IF(AND('03_地点锚点'!F439&lt;&gt;"",COUNTIF('03_地点锚点'!$A$2:$A$501,'03_地点锚点'!F439)=0),"父级地点不存在；","")&amp;IF(AND('03_地点锚点'!A439&lt;&gt;"",COUNTIF('03_地点锚点'!$A$2:$A$501,'03_地点锚点'!A439)&gt;1),"ID重复；",""),"")</f>
        <v/>
      </c>
      <c r="G939" s="14">
        <f>IF(F939&lt;&gt;"","按字段批注、数据字典和来源记录修正后复核","")</f>
        <v/>
      </c>
      <c r="H939" s="14">
        <f>IF(F939&lt;&gt;"","待处理","")</f>
        <v/>
      </c>
    </row>
    <row r="940">
      <c r="A940" s="14">
        <f>IF(F940&lt;&gt;"","ISSUE-"&amp;TEXT(ROW()-1,"00000"),"")</f>
        <v/>
      </c>
      <c r="B940" s="14">
        <f>IF(F940&lt;&gt;"","错误","")</f>
        <v/>
      </c>
      <c r="C940" s="14">
        <f>IF('03_地点锚点'!A440&lt;&gt;"","03_地点锚点","")</f>
        <v/>
      </c>
      <c r="D940" s="14">
        <f>IF('03_地点锚点'!A440&lt;&gt;"",'03_地点锚点'!A440,"")</f>
        <v/>
      </c>
      <c r="E940" s="14">
        <f>IF(F940&lt;&gt;"","综合校验","")</f>
        <v/>
      </c>
      <c r="F940" s="14">
        <f>IF('03_地点锚点'!A440&lt;&gt;"",IF('03_地点锚点'!A440="","缺少地点ID；","")&amp;IF('03_地点锚点'!B440="","缺少中文名称；","")&amp;IF('03_地点锚点'!D440="","缺少地点类型；","")&amp;IF('03_地点锚点'!G440="","缺少世界X；","")&amp;IF('03_地点锚点'!H440="","缺少世界Y；","")&amp;IF(AND('03_地点锚点'!G440&lt;&gt;"",OR('03_地点锚点'!G440&lt;0,'03_地点锚点'!G440&gt;WorldWidth)),"世界X越界；","")&amp;IF(AND('03_地点锚点'!H440&lt;&gt;"",OR('03_地点锚点'!H440&lt;0,'03_地点锚点'!H440&gt;WorldHeight)),"世界Y越界；","")&amp;IF(AND('03_地点锚点'!E440&lt;&gt;"",COUNTIF('02_固定地理'!$A$2:$A$501,'03_地点锚点'!E440)=0),"父级行政对象不存在；","")&amp;IF(AND('03_地点锚点'!F440&lt;&gt;"",COUNTIF('03_地点锚点'!$A$2:$A$501,'03_地点锚点'!F440)=0),"父级地点不存在；","")&amp;IF(AND('03_地点锚点'!A440&lt;&gt;"",COUNTIF('03_地点锚点'!$A$2:$A$501,'03_地点锚点'!A440)&gt;1),"ID重复；",""),"")</f>
        <v/>
      </c>
      <c r="G940" s="14">
        <f>IF(F940&lt;&gt;"","按字段批注、数据字典和来源记录修正后复核","")</f>
        <v/>
      </c>
      <c r="H940" s="14">
        <f>IF(F940&lt;&gt;"","待处理","")</f>
        <v/>
      </c>
    </row>
    <row r="941">
      <c r="A941" s="14">
        <f>IF(F941&lt;&gt;"","ISSUE-"&amp;TEXT(ROW()-1,"00000"),"")</f>
        <v/>
      </c>
      <c r="B941" s="14">
        <f>IF(F941&lt;&gt;"","错误","")</f>
        <v/>
      </c>
      <c r="C941" s="14">
        <f>IF('03_地点锚点'!A441&lt;&gt;"","03_地点锚点","")</f>
        <v/>
      </c>
      <c r="D941" s="14">
        <f>IF('03_地点锚点'!A441&lt;&gt;"",'03_地点锚点'!A441,"")</f>
        <v/>
      </c>
      <c r="E941" s="14">
        <f>IF(F941&lt;&gt;"","综合校验","")</f>
        <v/>
      </c>
      <c r="F941" s="14">
        <f>IF('03_地点锚点'!A441&lt;&gt;"",IF('03_地点锚点'!A441="","缺少地点ID；","")&amp;IF('03_地点锚点'!B441="","缺少中文名称；","")&amp;IF('03_地点锚点'!D441="","缺少地点类型；","")&amp;IF('03_地点锚点'!G441="","缺少世界X；","")&amp;IF('03_地点锚点'!H441="","缺少世界Y；","")&amp;IF(AND('03_地点锚点'!G441&lt;&gt;"",OR('03_地点锚点'!G441&lt;0,'03_地点锚点'!G441&gt;WorldWidth)),"世界X越界；","")&amp;IF(AND('03_地点锚点'!H441&lt;&gt;"",OR('03_地点锚点'!H441&lt;0,'03_地点锚点'!H441&gt;WorldHeight)),"世界Y越界；","")&amp;IF(AND('03_地点锚点'!E441&lt;&gt;"",COUNTIF('02_固定地理'!$A$2:$A$501,'03_地点锚点'!E441)=0),"父级行政对象不存在；","")&amp;IF(AND('03_地点锚点'!F441&lt;&gt;"",COUNTIF('03_地点锚点'!$A$2:$A$501,'03_地点锚点'!F441)=0),"父级地点不存在；","")&amp;IF(AND('03_地点锚点'!A441&lt;&gt;"",COUNTIF('03_地点锚点'!$A$2:$A$501,'03_地点锚点'!A441)&gt;1),"ID重复；",""),"")</f>
        <v/>
      </c>
      <c r="G941" s="14">
        <f>IF(F941&lt;&gt;"","按字段批注、数据字典和来源记录修正后复核","")</f>
        <v/>
      </c>
      <c r="H941" s="14">
        <f>IF(F941&lt;&gt;"","待处理","")</f>
        <v/>
      </c>
    </row>
    <row r="942">
      <c r="A942" s="14">
        <f>IF(F942&lt;&gt;"","ISSUE-"&amp;TEXT(ROW()-1,"00000"),"")</f>
        <v/>
      </c>
      <c r="B942" s="14">
        <f>IF(F942&lt;&gt;"","错误","")</f>
        <v/>
      </c>
      <c r="C942" s="14">
        <f>IF('03_地点锚点'!A442&lt;&gt;"","03_地点锚点","")</f>
        <v/>
      </c>
      <c r="D942" s="14">
        <f>IF('03_地点锚点'!A442&lt;&gt;"",'03_地点锚点'!A442,"")</f>
        <v/>
      </c>
      <c r="E942" s="14">
        <f>IF(F942&lt;&gt;"","综合校验","")</f>
        <v/>
      </c>
      <c r="F942" s="14">
        <f>IF('03_地点锚点'!A442&lt;&gt;"",IF('03_地点锚点'!A442="","缺少地点ID；","")&amp;IF('03_地点锚点'!B442="","缺少中文名称；","")&amp;IF('03_地点锚点'!D442="","缺少地点类型；","")&amp;IF('03_地点锚点'!G442="","缺少世界X；","")&amp;IF('03_地点锚点'!H442="","缺少世界Y；","")&amp;IF(AND('03_地点锚点'!G442&lt;&gt;"",OR('03_地点锚点'!G442&lt;0,'03_地点锚点'!G442&gt;WorldWidth)),"世界X越界；","")&amp;IF(AND('03_地点锚点'!H442&lt;&gt;"",OR('03_地点锚点'!H442&lt;0,'03_地点锚点'!H442&gt;WorldHeight)),"世界Y越界；","")&amp;IF(AND('03_地点锚点'!E442&lt;&gt;"",COUNTIF('02_固定地理'!$A$2:$A$501,'03_地点锚点'!E442)=0),"父级行政对象不存在；","")&amp;IF(AND('03_地点锚点'!F442&lt;&gt;"",COUNTIF('03_地点锚点'!$A$2:$A$501,'03_地点锚点'!F442)=0),"父级地点不存在；","")&amp;IF(AND('03_地点锚点'!A442&lt;&gt;"",COUNTIF('03_地点锚点'!$A$2:$A$501,'03_地点锚点'!A442)&gt;1),"ID重复；",""),"")</f>
        <v/>
      </c>
      <c r="G942" s="14">
        <f>IF(F942&lt;&gt;"","按字段批注、数据字典和来源记录修正后复核","")</f>
        <v/>
      </c>
      <c r="H942" s="14">
        <f>IF(F942&lt;&gt;"","待处理","")</f>
        <v/>
      </c>
    </row>
    <row r="943">
      <c r="A943" s="14">
        <f>IF(F943&lt;&gt;"","ISSUE-"&amp;TEXT(ROW()-1,"00000"),"")</f>
        <v/>
      </c>
      <c r="B943" s="14">
        <f>IF(F943&lt;&gt;"","错误","")</f>
        <v/>
      </c>
      <c r="C943" s="14">
        <f>IF('03_地点锚点'!A443&lt;&gt;"","03_地点锚点","")</f>
        <v/>
      </c>
      <c r="D943" s="14">
        <f>IF('03_地点锚点'!A443&lt;&gt;"",'03_地点锚点'!A443,"")</f>
        <v/>
      </c>
      <c r="E943" s="14">
        <f>IF(F943&lt;&gt;"","综合校验","")</f>
        <v/>
      </c>
      <c r="F943" s="14">
        <f>IF('03_地点锚点'!A443&lt;&gt;"",IF('03_地点锚点'!A443="","缺少地点ID；","")&amp;IF('03_地点锚点'!B443="","缺少中文名称；","")&amp;IF('03_地点锚点'!D443="","缺少地点类型；","")&amp;IF('03_地点锚点'!G443="","缺少世界X；","")&amp;IF('03_地点锚点'!H443="","缺少世界Y；","")&amp;IF(AND('03_地点锚点'!G443&lt;&gt;"",OR('03_地点锚点'!G443&lt;0,'03_地点锚点'!G443&gt;WorldWidth)),"世界X越界；","")&amp;IF(AND('03_地点锚点'!H443&lt;&gt;"",OR('03_地点锚点'!H443&lt;0,'03_地点锚点'!H443&gt;WorldHeight)),"世界Y越界；","")&amp;IF(AND('03_地点锚点'!E443&lt;&gt;"",COUNTIF('02_固定地理'!$A$2:$A$501,'03_地点锚点'!E443)=0),"父级行政对象不存在；","")&amp;IF(AND('03_地点锚点'!F443&lt;&gt;"",COUNTIF('03_地点锚点'!$A$2:$A$501,'03_地点锚点'!F443)=0),"父级地点不存在；","")&amp;IF(AND('03_地点锚点'!A443&lt;&gt;"",COUNTIF('03_地点锚点'!$A$2:$A$501,'03_地点锚点'!A443)&gt;1),"ID重复；",""),"")</f>
        <v/>
      </c>
      <c r="G943" s="14">
        <f>IF(F943&lt;&gt;"","按字段批注、数据字典和来源记录修正后复核","")</f>
        <v/>
      </c>
      <c r="H943" s="14">
        <f>IF(F943&lt;&gt;"","待处理","")</f>
        <v/>
      </c>
    </row>
    <row r="944">
      <c r="A944" s="14">
        <f>IF(F944&lt;&gt;"","ISSUE-"&amp;TEXT(ROW()-1,"00000"),"")</f>
        <v/>
      </c>
      <c r="B944" s="14">
        <f>IF(F944&lt;&gt;"","错误","")</f>
        <v/>
      </c>
      <c r="C944" s="14">
        <f>IF('03_地点锚点'!A444&lt;&gt;"","03_地点锚点","")</f>
        <v/>
      </c>
      <c r="D944" s="14">
        <f>IF('03_地点锚点'!A444&lt;&gt;"",'03_地点锚点'!A444,"")</f>
        <v/>
      </c>
      <c r="E944" s="14">
        <f>IF(F944&lt;&gt;"","综合校验","")</f>
        <v/>
      </c>
      <c r="F944" s="14">
        <f>IF('03_地点锚点'!A444&lt;&gt;"",IF('03_地点锚点'!A444="","缺少地点ID；","")&amp;IF('03_地点锚点'!B444="","缺少中文名称；","")&amp;IF('03_地点锚点'!D444="","缺少地点类型；","")&amp;IF('03_地点锚点'!G444="","缺少世界X；","")&amp;IF('03_地点锚点'!H444="","缺少世界Y；","")&amp;IF(AND('03_地点锚点'!G444&lt;&gt;"",OR('03_地点锚点'!G444&lt;0,'03_地点锚点'!G444&gt;WorldWidth)),"世界X越界；","")&amp;IF(AND('03_地点锚点'!H444&lt;&gt;"",OR('03_地点锚点'!H444&lt;0,'03_地点锚点'!H444&gt;WorldHeight)),"世界Y越界；","")&amp;IF(AND('03_地点锚点'!E444&lt;&gt;"",COUNTIF('02_固定地理'!$A$2:$A$501,'03_地点锚点'!E444)=0),"父级行政对象不存在；","")&amp;IF(AND('03_地点锚点'!F444&lt;&gt;"",COUNTIF('03_地点锚点'!$A$2:$A$501,'03_地点锚点'!F444)=0),"父级地点不存在；","")&amp;IF(AND('03_地点锚点'!A444&lt;&gt;"",COUNTIF('03_地点锚点'!$A$2:$A$501,'03_地点锚点'!A444)&gt;1),"ID重复；",""),"")</f>
        <v/>
      </c>
      <c r="G944" s="14">
        <f>IF(F944&lt;&gt;"","按字段批注、数据字典和来源记录修正后复核","")</f>
        <v/>
      </c>
      <c r="H944" s="14">
        <f>IF(F944&lt;&gt;"","待处理","")</f>
        <v/>
      </c>
    </row>
    <row r="945">
      <c r="A945" s="14">
        <f>IF(F945&lt;&gt;"","ISSUE-"&amp;TEXT(ROW()-1,"00000"),"")</f>
        <v/>
      </c>
      <c r="B945" s="14">
        <f>IF(F945&lt;&gt;"","错误","")</f>
        <v/>
      </c>
      <c r="C945" s="14">
        <f>IF('03_地点锚点'!A445&lt;&gt;"","03_地点锚点","")</f>
        <v/>
      </c>
      <c r="D945" s="14">
        <f>IF('03_地点锚点'!A445&lt;&gt;"",'03_地点锚点'!A445,"")</f>
        <v/>
      </c>
      <c r="E945" s="14">
        <f>IF(F945&lt;&gt;"","综合校验","")</f>
        <v/>
      </c>
      <c r="F945" s="14">
        <f>IF('03_地点锚点'!A445&lt;&gt;"",IF('03_地点锚点'!A445="","缺少地点ID；","")&amp;IF('03_地点锚点'!B445="","缺少中文名称；","")&amp;IF('03_地点锚点'!D445="","缺少地点类型；","")&amp;IF('03_地点锚点'!G445="","缺少世界X；","")&amp;IF('03_地点锚点'!H445="","缺少世界Y；","")&amp;IF(AND('03_地点锚点'!G445&lt;&gt;"",OR('03_地点锚点'!G445&lt;0,'03_地点锚点'!G445&gt;WorldWidth)),"世界X越界；","")&amp;IF(AND('03_地点锚点'!H445&lt;&gt;"",OR('03_地点锚点'!H445&lt;0,'03_地点锚点'!H445&gt;WorldHeight)),"世界Y越界；","")&amp;IF(AND('03_地点锚点'!E445&lt;&gt;"",COUNTIF('02_固定地理'!$A$2:$A$501,'03_地点锚点'!E445)=0),"父级行政对象不存在；","")&amp;IF(AND('03_地点锚点'!F445&lt;&gt;"",COUNTIF('03_地点锚点'!$A$2:$A$501,'03_地点锚点'!F445)=0),"父级地点不存在；","")&amp;IF(AND('03_地点锚点'!A445&lt;&gt;"",COUNTIF('03_地点锚点'!$A$2:$A$501,'03_地点锚点'!A445)&gt;1),"ID重复；",""),"")</f>
        <v/>
      </c>
      <c r="G945" s="14">
        <f>IF(F945&lt;&gt;"","按字段批注、数据字典和来源记录修正后复核","")</f>
        <v/>
      </c>
      <c r="H945" s="14">
        <f>IF(F945&lt;&gt;"","待处理","")</f>
        <v/>
      </c>
    </row>
    <row r="946">
      <c r="A946" s="14">
        <f>IF(F946&lt;&gt;"","ISSUE-"&amp;TEXT(ROW()-1,"00000"),"")</f>
        <v/>
      </c>
      <c r="B946" s="14">
        <f>IF(F946&lt;&gt;"","错误","")</f>
        <v/>
      </c>
      <c r="C946" s="14">
        <f>IF('03_地点锚点'!A446&lt;&gt;"","03_地点锚点","")</f>
        <v/>
      </c>
      <c r="D946" s="14">
        <f>IF('03_地点锚点'!A446&lt;&gt;"",'03_地点锚点'!A446,"")</f>
        <v/>
      </c>
      <c r="E946" s="14">
        <f>IF(F946&lt;&gt;"","综合校验","")</f>
        <v/>
      </c>
      <c r="F946" s="14">
        <f>IF('03_地点锚点'!A446&lt;&gt;"",IF('03_地点锚点'!A446="","缺少地点ID；","")&amp;IF('03_地点锚点'!B446="","缺少中文名称；","")&amp;IF('03_地点锚点'!D446="","缺少地点类型；","")&amp;IF('03_地点锚点'!G446="","缺少世界X；","")&amp;IF('03_地点锚点'!H446="","缺少世界Y；","")&amp;IF(AND('03_地点锚点'!G446&lt;&gt;"",OR('03_地点锚点'!G446&lt;0,'03_地点锚点'!G446&gt;WorldWidth)),"世界X越界；","")&amp;IF(AND('03_地点锚点'!H446&lt;&gt;"",OR('03_地点锚点'!H446&lt;0,'03_地点锚点'!H446&gt;WorldHeight)),"世界Y越界；","")&amp;IF(AND('03_地点锚点'!E446&lt;&gt;"",COUNTIF('02_固定地理'!$A$2:$A$501,'03_地点锚点'!E446)=0),"父级行政对象不存在；","")&amp;IF(AND('03_地点锚点'!F446&lt;&gt;"",COUNTIF('03_地点锚点'!$A$2:$A$501,'03_地点锚点'!F446)=0),"父级地点不存在；","")&amp;IF(AND('03_地点锚点'!A446&lt;&gt;"",COUNTIF('03_地点锚点'!$A$2:$A$501,'03_地点锚点'!A446)&gt;1),"ID重复；",""),"")</f>
        <v/>
      </c>
      <c r="G946" s="14">
        <f>IF(F946&lt;&gt;"","按字段批注、数据字典和来源记录修正后复核","")</f>
        <v/>
      </c>
      <c r="H946" s="14">
        <f>IF(F946&lt;&gt;"","待处理","")</f>
        <v/>
      </c>
    </row>
    <row r="947">
      <c r="A947" s="14">
        <f>IF(F947&lt;&gt;"","ISSUE-"&amp;TEXT(ROW()-1,"00000"),"")</f>
        <v/>
      </c>
      <c r="B947" s="14">
        <f>IF(F947&lt;&gt;"","错误","")</f>
        <v/>
      </c>
      <c r="C947" s="14">
        <f>IF('03_地点锚点'!A447&lt;&gt;"","03_地点锚点","")</f>
        <v/>
      </c>
      <c r="D947" s="14">
        <f>IF('03_地点锚点'!A447&lt;&gt;"",'03_地点锚点'!A447,"")</f>
        <v/>
      </c>
      <c r="E947" s="14">
        <f>IF(F947&lt;&gt;"","综合校验","")</f>
        <v/>
      </c>
      <c r="F947" s="14">
        <f>IF('03_地点锚点'!A447&lt;&gt;"",IF('03_地点锚点'!A447="","缺少地点ID；","")&amp;IF('03_地点锚点'!B447="","缺少中文名称；","")&amp;IF('03_地点锚点'!D447="","缺少地点类型；","")&amp;IF('03_地点锚点'!G447="","缺少世界X；","")&amp;IF('03_地点锚点'!H447="","缺少世界Y；","")&amp;IF(AND('03_地点锚点'!G447&lt;&gt;"",OR('03_地点锚点'!G447&lt;0,'03_地点锚点'!G447&gt;WorldWidth)),"世界X越界；","")&amp;IF(AND('03_地点锚点'!H447&lt;&gt;"",OR('03_地点锚点'!H447&lt;0,'03_地点锚点'!H447&gt;WorldHeight)),"世界Y越界；","")&amp;IF(AND('03_地点锚点'!E447&lt;&gt;"",COUNTIF('02_固定地理'!$A$2:$A$501,'03_地点锚点'!E447)=0),"父级行政对象不存在；","")&amp;IF(AND('03_地点锚点'!F447&lt;&gt;"",COUNTIF('03_地点锚点'!$A$2:$A$501,'03_地点锚点'!F447)=0),"父级地点不存在；","")&amp;IF(AND('03_地点锚点'!A447&lt;&gt;"",COUNTIF('03_地点锚点'!$A$2:$A$501,'03_地点锚点'!A447)&gt;1),"ID重复；",""),"")</f>
        <v/>
      </c>
      <c r="G947" s="14">
        <f>IF(F947&lt;&gt;"","按字段批注、数据字典和来源记录修正后复核","")</f>
        <v/>
      </c>
      <c r="H947" s="14">
        <f>IF(F947&lt;&gt;"","待处理","")</f>
        <v/>
      </c>
    </row>
    <row r="948">
      <c r="A948" s="14">
        <f>IF(F948&lt;&gt;"","ISSUE-"&amp;TEXT(ROW()-1,"00000"),"")</f>
        <v/>
      </c>
      <c r="B948" s="14">
        <f>IF(F948&lt;&gt;"","错误","")</f>
        <v/>
      </c>
      <c r="C948" s="14">
        <f>IF('03_地点锚点'!A448&lt;&gt;"","03_地点锚点","")</f>
        <v/>
      </c>
      <c r="D948" s="14">
        <f>IF('03_地点锚点'!A448&lt;&gt;"",'03_地点锚点'!A448,"")</f>
        <v/>
      </c>
      <c r="E948" s="14">
        <f>IF(F948&lt;&gt;"","综合校验","")</f>
        <v/>
      </c>
      <c r="F948" s="14">
        <f>IF('03_地点锚点'!A448&lt;&gt;"",IF('03_地点锚点'!A448="","缺少地点ID；","")&amp;IF('03_地点锚点'!B448="","缺少中文名称；","")&amp;IF('03_地点锚点'!D448="","缺少地点类型；","")&amp;IF('03_地点锚点'!G448="","缺少世界X；","")&amp;IF('03_地点锚点'!H448="","缺少世界Y；","")&amp;IF(AND('03_地点锚点'!G448&lt;&gt;"",OR('03_地点锚点'!G448&lt;0,'03_地点锚点'!G448&gt;WorldWidth)),"世界X越界；","")&amp;IF(AND('03_地点锚点'!H448&lt;&gt;"",OR('03_地点锚点'!H448&lt;0,'03_地点锚点'!H448&gt;WorldHeight)),"世界Y越界；","")&amp;IF(AND('03_地点锚点'!E448&lt;&gt;"",COUNTIF('02_固定地理'!$A$2:$A$501,'03_地点锚点'!E448)=0),"父级行政对象不存在；","")&amp;IF(AND('03_地点锚点'!F448&lt;&gt;"",COUNTIF('03_地点锚点'!$A$2:$A$501,'03_地点锚点'!F448)=0),"父级地点不存在；","")&amp;IF(AND('03_地点锚点'!A448&lt;&gt;"",COUNTIF('03_地点锚点'!$A$2:$A$501,'03_地点锚点'!A448)&gt;1),"ID重复；",""),"")</f>
        <v/>
      </c>
      <c r="G948" s="14">
        <f>IF(F948&lt;&gt;"","按字段批注、数据字典和来源记录修正后复核","")</f>
        <v/>
      </c>
      <c r="H948" s="14">
        <f>IF(F948&lt;&gt;"","待处理","")</f>
        <v/>
      </c>
    </row>
    <row r="949">
      <c r="A949" s="14">
        <f>IF(F949&lt;&gt;"","ISSUE-"&amp;TEXT(ROW()-1,"00000"),"")</f>
        <v/>
      </c>
      <c r="B949" s="14">
        <f>IF(F949&lt;&gt;"","错误","")</f>
        <v/>
      </c>
      <c r="C949" s="14">
        <f>IF('03_地点锚点'!A449&lt;&gt;"","03_地点锚点","")</f>
        <v/>
      </c>
      <c r="D949" s="14">
        <f>IF('03_地点锚点'!A449&lt;&gt;"",'03_地点锚点'!A449,"")</f>
        <v/>
      </c>
      <c r="E949" s="14">
        <f>IF(F949&lt;&gt;"","综合校验","")</f>
        <v/>
      </c>
      <c r="F949" s="14">
        <f>IF('03_地点锚点'!A449&lt;&gt;"",IF('03_地点锚点'!A449="","缺少地点ID；","")&amp;IF('03_地点锚点'!B449="","缺少中文名称；","")&amp;IF('03_地点锚点'!D449="","缺少地点类型；","")&amp;IF('03_地点锚点'!G449="","缺少世界X；","")&amp;IF('03_地点锚点'!H449="","缺少世界Y；","")&amp;IF(AND('03_地点锚点'!G449&lt;&gt;"",OR('03_地点锚点'!G449&lt;0,'03_地点锚点'!G449&gt;WorldWidth)),"世界X越界；","")&amp;IF(AND('03_地点锚点'!H449&lt;&gt;"",OR('03_地点锚点'!H449&lt;0,'03_地点锚点'!H449&gt;WorldHeight)),"世界Y越界；","")&amp;IF(AND('03_地点锚点'!E449&lt;&gt;"",COUNTIF('02_固定地理'!$A$2:$A$501,'03_地点锚点'!E449)=0),"父级行政对象不存在；","")&amp;IF(AND('03_地点锚点'!F449&lt;&gt;"",COUNTIF('03_地点锚点'!$A$2:$A$501,'03_地点锚点'!F449)=0),"父级地点不存在；","")&amp;IF(AND('03_地点锚点'!A449&lt;&gt;"",COUNTIF('03_地点锚点'!$A$2:$A$501,'03_地点锚点'!A449)&gt;1),"ID重复；",""),"")</f>
        <v/>
      </c>
      <c r="G949" s="14">
        <f>IF(F949&lt;&gt;"","按字段批注、数据字典和来源记录修正后复核","")</f>
        <v/>
      </c>
      <c r="H949" s="14">
        <f>IF(F949&lt;&gt;"","待处理","")</f>
        <v/>
      </c>
    </row>
    <row r="950">
      <c r="A950" s="14">
        <f>IF(F950&lt;&gt;"","ISSUE-"&amp;TEXT(ROW()-1,"00000"),"")</f>
        <v/>
      </c>
      <c r="B950" s="14">
        <f>IF(F950&lt;&gt;"","错误","")</f>
        <v/>
      </c>
      <c r="C950" s="14">
        <f>IF('03_地点锚点'!A450&lt;&gt;"","03_地点锚点","")</f>
        <v/>
      </c>
      <c r="D950" s="14">
        <f>IF('03_地点锚点'!A450&lt;&gt;"",'03_地点锚点'!A450,"")</f>
        <v/>
      </c>
      <c r="E950" s="14">
        <f>IF(F950&lt;&gt;"","综合校验","")</f>
        <v/>
      </c>
      <c r="F950" s="14">
        <f>IF('03_地点锚点'!A450&lt;&gt;"",IF('03_地点锚点'!A450="","缺少地点ID；","")&amp;IF('03_地点锚点'!B450="","缺少中文名称；","")&amp;IF('03_地点锚点'!D450="","缺少地点类型；","")&amp;IF('03_地点锚点'!G450="","缺少世界X；","")&amp;IF('03_地点锚点'!H450="","缺少世界Y；","")&amp;IF(AND('03_地点锚点'!G450&lt;&gt;"",OR('03_地点锚点'!G450&lt;0,'03_地点锚点'!G450&gt;WorldWidth)),"世界X越界；","")&amp;IF(AND('03_地点锚点'!H450&lt;&gt;"",OR('03_地点锚点'!H450&lt;0,'03_地点锚点'!H450&gt;WorldHeight)),"世界Y越界；","")&amp;IF(AND('03_地点锚点'!E450&lt;&gt;"",COUNTIF('02_固定地理'!$A$2:$A$501,'03_地点锚点'!E450)=0),"父级行政对象不存在；","")&amp;IF(AND('03_地点锚点'!F450&lt;&gt;"",COUNTIF('03_地点锚点'!$A$2:$A$501,'03_地点锚点'!F450)=0),"父级地点不存在；","")&amp;IF(AND('03_地点锚点'!A450&lt;&gt;"",COUNTIF('03_地点锚点'!$A$2:$A$501,'03_地点锚点'!A450)&gt;1),"ID重复；",""),"")</f>
        <v/>
      </c>
      <c r="G950" s="14">
        <f>IF(F950&lt;&gt;"","按字段批注、数据字典和来源记录修正后复核","")</f>
        <v/>
      </c>
      <c r="H950" s="14">
        <f>IF(F950&lt;&gt;"","待处理","")</f>
        <v/>
      </c>
    </row>
    <row r="951">
      <c r="A951" s="14">
        <f>IF(F951&lt;&gt;"","ISSUE-"&amp;TEXT(ROW()-1,"00000"),"")</f>
        <v/>
      </c>
      <c r="B951" s="14">
        <f>IF(F951&lt;&gt;"","错误","")</f>
        <v/>
      </c>
      <c r="C951" s="14">
        <f>IF('03_地点锚点'!A451&lt;&gt;"","03_地点锚点","")</f>
        <v/>
      </c>
      <c r="D951" s="14">
        <f>IF('03_地点锚点'!A451&lt;&gt;"",'03_地点锚点'!A451,"")</f>
        <v/>
      </c>
      <c r="E951" s="14">
        <f>IF(F951&lt;&gt;"","综合校验","")</f>
        <v/>
      </c>
      <c r="F951" s="14">
        <f>IF('03_地点锚点'!A451&lt;&gt;"",IF('03_地点锚点'!A451="","缺少地点ID；","")&amp;IF('03_地点锚点'!B451="","缺少中文名称；","")&amp;IF('03_地点锚点'!D451="","缺少地点类型；","")&amp;IF('03_地点锚点'!G451="","缺少世界X；","")&amp;IF('03_地点锚点'!H451="","缺少世界Y；","")&amp;IF(AND('03_地点锚点'!G451&lt;&gt;"",OR('03_地点锚点'!G451&lt;0,'03_地点锚点'!G451&gt;WorldWidth)),"世界X越界；","")&amp;IF(AND('03_地点锚点'!H451&lt;&gt;"",OR('03_地点锚点'!H451&lt;0,'03_地点锚点'!H451&gt;WorldHeight)),"世界Y越界；","")&amp;IF(AND('03_地点锚点'!E451&lt;&gt;"",COUNTIF('02_固定地理'!$A$2:$A$501,'03_地点锚点'!E451)=0),"父级行政对象不存在；","")&amp;IF(AND('03_地点锚点'!F451&lt;&gt;"",COUNTIF('03_地点锚点'!$A$2:$A$501,'03_地点锚点'!F451)=0),"父级地点不存在；","")&amp;IF(AND('03_地点锚点'!A451&lt;&gt;"",COUNTIF('03_地点锚点'!$A$2:$A$501,'03_地点锚点'!A451)&gt;1),"ID重复；",""),"")</f>
        <v/>
      </c>
      <c r="G951" s="14">
        <f>IF(F951&lt;&gt;"","按字段批注、数据字典和来源记录修正后复核","")</f>
        <v/>
      </c>
      <c r="H951" s="14">
        <f>IF(F951&lt;&gt;"","待处理","")</f>
        <v/>
      </c>
    </row>
    <row r="952">
      <c r="A952" s="14">
        <f>IF(F952&lt;&gt;"","ISSUE-"&amp;TEXT(ROW()-1,"00000"),"")</f>
        <v/>
      </c>
      <c r="B952" s="14">
        <f>IF(F952&lt;&gt;"","错误","")</f>
        <v/>
      </c>
      <c r="C952" s="14">
        <f>IF('03_地点锚点'!A452&lt;&gt;"","03_地点锚点","")</f>
        <v/>
      </c>
      <c r="D952" s="14">
        <f>IF('03_地点锚点'!A452&lt;&gt;"",'03_地点锚点'!A452,"")</f>
        <v/>
      </c>
      <c r="E952" s="14">
        <f>IF(F952&lt;&gt;"","综合校验","")</f>
        <v/>
      </c>
      <c r="F952" s="14">
        <f>IF('03_地点锚点'!A452&lt;&gt;"",IF('03_地点锚点'!A452="","缺少地点ID；","")&amp;IF('03_地点锚点'!B452="","缺少中文名称；","")&amp;IF('03_地点锚点'!D452="","缺少地点类型；","")&amp;IF('03_地点锚点'!G452="","缺少世界X；","")&amp;IF('03_地点锚点'!H452="","缺少世界Y；","")&amp;IF(AND('03_地点锚点'!G452&lt;&gt;"",OR('03_地点锚点'!G452&lt;0,'03_地点锚点'!G452&gt;WorldWidth)),"世界X越界；","")&amp;IF(AND('03_地点锚点'!H452&lt;&gt;"",OR('03_地点锚点'!H452&lt;0,'03_地点锚点'!H452&gt;WorldHeight)),"世界Y越界；","")&amp;IF(AND('03_地点锚点'!E452&lt;&gt;"",COUNTIF('02_固定地理'!$A$2:$A$501,'03_地点锚点'!E452)=0),"父级行政对象不存在；","")&amp;IF(AND('03_地点锚点'!F452&lt;&gt;"",COUNTIF('03_地点锚点'!$A$2:$A$501,'03_地点锚点'!F452)=0),"父级地点不存在；","")&amp;IF(AND('03_地点锚点'!A452&lt;&gt;"",COUNTIF('03_地点锚点'!$A$2:$A$501,'03_地点锚点'!A452)&gt;1),"ID重复；",""),"")</f>
        <v/>
      </c>
      <c r="G952" s="14">
        <f>IF(F952&lt;&gt;"","按字段批注、数据字典和来源记录修正后复核","")</f>
        <v/>
      </c>
      <c r="H952" s="14">
        <f>IF(F952&lt;&gt;"","待处理","")</f>
        <v/>
      </c>
    </row>
    <row r="953">
      <c r="A953" s="14">
        <f>IF(F953&lt;&gt;"","ISSUE-"&amp;TEXT(ROW()-1,"00000"),"")</f>
        <v/>
      </c>
      <c r="B953" s="14">
        <f>IF(F953&lt;&gt;"","错误","")</f>
        <v/>
      </c>
      <c r="C953" s="14">
        <f>IF('03_地点锚点'!A453&lt;&gt;"","03_地点锚点","")</f>
        <v/>
      </c>
      <c r="D953" s="14">
        <f>IF('03_地点锚点'!A453&lt;&gt;"",'03_地点锚点'!A453,"")</f>
        <v/>
      </c>
      <c r="E953" s="14">
        <f>IF(F953&lt;&gt;"","综合校验","")</f>
        <v/>
      </c>
      <c r="F953" s="14">
        <f>IF('03_地点锚点'!A453&lt;&gt;"",IF('03_地点锚点'!A453="","缺少地点ID；","")&amp;IF('03_地点锚点'!B453="","缺少中文名称；","")&amp;IF('03_地点锚点'!D453="","缺少地点类型；","")&amp;IF('03_地点锚点'!G453="","缺少世界X；","")&amp;IF('03_地点锚点'!H453="","缺少世界Y；","")&amp;IF(AND('03_地点锚点'!G453&lt;&gt;"",OR('03_地点锚点'!G453&lt;0,'03_地点锚点'!G453&gt;WorldWidth)),"世界X越界；","")&amp;IF(AND('03_地点锚点'!H453&lt;&gt;"",OR('03_地点锚点'!H453&lt;0,'03_地点锚点'!H453&gt;WorldHeight)),"世界Y越界；","")&amp;IF(AND('03_地点锚点'!E453&lt;&gt;"",COUNTIF('02_固定地理'!$A$2:$A$501,'03_地点锚点'!E453)=0),"父级行政对象不存在；","")&amp;IF(AND('03_地点锚点'!F453&lt;&gt;"",COUNTIF('03_地点锚点'!$A$2:$A$501,'03_地点锚点'!F453)=0),"父级地点不存在；","")&amp;IF(AND('03_地点锚点'!A453&lt;&gt;"",COUNTIF('03_地点锚点'!$A$2:$A$501,'03_地点锚点'!A453)&gt;1),"ID重复；",""),"")</f>
        <v/>
      </c>
      <c r="G953" s="14">
        <f>IF(F953&lt;&gt;"","按字段批注、数据字典和来源记录修正后复核","")</f>
        <v/>
      </c>
      <c r="H953" s="14">
        <f>IF(F953&lt;&gt;"","待处理","")</f>
        <v/>
      </c>
    </row>
    <row r="954">
      <c r="A954" s="14">
        <f>IF(F954&lt;&gt;"","ISSUE-"&amp;TEXT(ROW()-1,"00000"),"")</f>
        <v/>
      </c>
      <c r="B954" s="14">
        <f>IF(F954&lt;&gt;"","错误","")</f>
        <v/>
      </c>
      <c r="C954" s="14">
        <f>IF('03_地点锚点'!A454&lt;&gt;"","03_地点锚点","")</f>
        <v/>
      </c>
      <c r="D954" s="14">
        <f>IF('03_地点锚点'!A454&lt;&gt;"",'03_地点锚点'!A454,"")</f>
        <v/>
      </c>
      <c r="E954" s="14">
        <f>IF(F954&lt;&gt;"","综合校验","")</f>
        <v/>
      </c>
      <c r="F954" s="14">
        <f>IF('03_地点锚点'!A454&lt;&gt;"",IF('03_地点锚点'!A454="","缺少地点ID；","")&amp;IF('03_地点锚点'!B454="","缺少中文名称；","")&amp;IF('03_地点锚点'!D454="","缺少地点类型；","")&amp;IF('03_地点锚点'!G454="","缺少世界X；","")&amp;IF('03_地点锚点'!H454="","缺少世界Y；","")&amp;IF(AND('03_地点锚点'!G454&lt;&gt;"",OR('03_地点锚点'!G454&lt;0,'03_地点锚点'!G454&gt;WorldWidth)),"世界X越界；","")&amp;IF(AND('03_地点锚点'!H454&lt;&gt;"",OR('03_地点锚点'!H454&lt;0,'03_地点锚点'!H454&gt;WorldHeight)),"世界Y越界；","")&amp;IF(AND('03_地点锚点'!E454&lt;&gt;"",COUNTIF('02_固定地理'!$A$2:$A$501,'03_地点锚点'!E454)=0),"父级行政对象不存在；","")&amp;IF(AND('03_地点锚点'!F454&lt;&gt;"",COUNTIF('03_地点锚点'!$A$2:$A$501,'03_地点锚点'!F454)=0),"父级地点不存在；","")&amp;IF(AND('03_地点锚点'!A454&lt;&gt;"",COUNTIF('03_地点锚点'!$A$2:$A$501,'03_地点锚点'!A454)&gt;1),"ID重复；",""),"")</f>
        <v/>
      </c>
      <c r="G954" s="14">
        <f>IF(F954&lt;&gt;"","按字段批注、数据字典和来源记录修正后复核","")</f>
        <v/>
      </c>
      <c r="H954" s="14">
        <f>IF(F954&lt;&gt;"","待处理","")</f>
        <v/>
      </c>
    </row>
    <row r="955">
      <c r="A955" s="14">
        <f>IF(F955&lt;&gt;"","ISSUE-"&amp;TEXT(ROW()-1,"00000"),"")</f>
        <v/>
      </c>
      <c r="B955" s="14">
        <f>IF(F955&lt;&gt;"","错误","")</f>
        <v/>
      </c>
      <c r="C955" s="14">
        <f>IF('03_地点锚点'!A455&lt;&gt;"","03_地点锚点","")</f>
        <v/>
      </c>
      <c r="D955" s="14">
        <f>IF('03_地点锚点'!A455&lt;&gt;"",'03_地点锚点'!A455,"")</f>
        <v/>
      </c>
      <c r="E955" s="14">
        <f>IF(F955&lt;&gt;"","综合校验","")</f>
        <v/>
      </c>
      <c r="F955" s="14">
        <f>IF('03_地点锚点'!A455&lt;&gt;"",IF('03_地点锚点'!A455="","缺少地点ID；","")&amp;IF('03_地点锚点'!B455="","缺少中文名称；","")&amp;IF('03_地点锚点'!D455="","缺少地点类型；","")&amp;IF('03_地点锚点'!G455="","缺少世界X；","")&amp;IF('03_地点锚点'!H455="","缺少世界Y；","")&amp;IF(AND('03_地点锚点'!G455&lt;&gt;"",OR('03_地点锚点'!G455&lt;0,'03_地点锚点'!G455&gt;WorldWidth)),"世界X越界；","")&amp;IF(AND('03_地点锚点'!H455&lt;&gt;"",OR('03_地点锚点'!H455&lt;0,'03_地点锚点'!H455&gt;WorldHeight)),"世界Y越界；","")&amp;IF(AND('03_地点锚点'!E455&lt;&gt;"",COUNTIF('02_固定地理'!$A$2:$A$501,'03_地点锚点'!E455)=0),"父级行政对象不存在；","")&amp;IF(AND('03_地点锚点'!F455&lt;&gt;"",COUNTIF('03_地点锚点'!$A$2:$A$501,'03_地点锚点'!F455)=0),"父级地点不存在；","")&amp;IF(AND('03_地点锚点'!A455&lt;&gt;"",COUNTIF('03_地点锚点'!$A$2:$A$501,'03_地点锚点'!A455)&gt;1),"ID重复；",""),"")</f>
        <v/>
      </c>
      <c r="G955" s="14">
        <f>IF(F955&lt;&gt;"","按字段批注、数据字典和来源记录修正后复核","")</f>
        <v/>
      </c>
      <c r="H955" s="14">
        <f>IF(F955&lt;&gt;"","待处理","")</f>
        <v/>
      </c>
    </row>
    <row r="956">
      <c r="A956" s="14">
        <f>IF(F956&lt;&gt;"","ISSUE-"&amp;TEXT(ROW()-1,"00000"),"")</f>
        <v/>
      </c>
      <c r="B956" s="14">
        <f>IF(F956&lt;&gt;"","错误","")</f>
        <v/>
      </c>
      <c r="C956" s="14">
        <f>IF('03_地点锚点'!A456&lt;&gt;"","03_地点锚点","")</f>
        <v/>
      </c>
      <c r="D956" s="14">
        <f>IF('03_地点锚点'!A456&lt;&gt;"",'03_地点锚点'!A456,"")</f>
        <v/>
      </c>
      <c r="E956" s="14">
        <f>IF(F956&lt;&gt;"","综合校验","")</f>
        <v/>
      </c>
      <c r="F956" s="14">
        <f>IF('03_地点锚点'!A456&lt;&gt;"",IF('03_地点锚点'!A456="","缺少地点ID；","")&amp;IF('03_地点锚点'!B456="","缺少中文名称；","")&amp;IF('03_地点锚点'!D456="","缺少地点类型；","")&amp;IF('03_地点锚点'!G456="","缺少世界X；","")&amp;IF('03_地点锚点'!H456="","缺少世界Y；","")&amp;IF(AND('03_地点锚点'!G456&lt;&gt;"",OR('03_地点锚点'!G456&lt;0,'03_地点锚点'!G456&gt;WorldWidth)),"世界X越界；","")&amp;IF(AND('03_地点锚点'!H456&lt;&gt;"",OR('03_地点锚点'!H456&lt;0,'03_地点锚点'!H456&gt;WorldHeight)),"世界Y越界；","")&amp;IF(AND('03_地点锚点'!E456&lt;&gt;"",COUNTIF('02_固定地理'!$A$2:$A$501,'03_地点锚点'!E456)=0),"父级行政对象不存在；","")&amp;IF(AND('03_地点锚点'!F456&lt;&gt;"",COUNTIF('03_地点锚点'!$A$2:$A$501,'03_地点锚点'!F456)=0),"父级地点不存在；","")&amp;IF(AND('03_地点锚点'!A456&lt;&gt;"",COUNTIF('03_地点锚点'!$A$2:$A$501,'03_地点锚点'!A456)&gt;1),"ID重复；",""),"")</f>
        <v/>
      </c>
      <c r="G956" s="14">
        <f>IF(F956&lt;&gt;"","按字段批注、数据字典和来源记录修正后复核","")</f>
        <v/>
      </c>
      <c r="H956" s="14">
        <f>IF(F956&lt;&gt;"","待处理","")</f>
        <v/>
      </c>
    </row>
    <row r="957">
      <c r="A957" s="14">
        <f>IF(F957&lt;&gt;"","ISSUE-"&amp;TEXT(ROW()-1,"00000"),"")</f>
        <v/>
      </c>
      <c r="B957" s="14">
        <f>IF(F957&lt;&gt;"","错误","")</f>
        <v/>
      </c>
      <c r="C957" s="14">
        <f>IF('03_地点锚点'!A457&lt;&gt;"","03_地点锚点","")</f>
        <v/>
      </c>
      <c r="D957" s="14">
        <f>IF('03_地点锚点'!A457&lt;&gt;"",'03_地点锚点'!A457,"")</f>
        <v/>
      </c>
      <c r="E957" s="14">
        <f>IF(F957&lt;&gt;"","综合校验","")</f>
        <v/>
      </c>
      <c r="F957" s="14">
        <f>IF('03_地点锚点'!A457&lt;&gt;"",IF('03_地点锚点'!A457="","缺少地点ID；","")&amp;IF('03_地点锚点'!B457="","缺少中文名称；","")&amp;IF('03_地点锚点'!D457="","缺少地点类型；","")&amp;IF('03_地点锚点'!G457="","缺少世界X；","")&amp;IF('03_地点锚点'!H457="","缺少世界Y；","")&amp;IF(AND('03_地点锚点'!G457&lt;&gt;"",OR('03_地点锚点'!G457&lt;0,'03_地点锚点'!G457&gt;WorldWidth)),"世界X越界；","")&amp;IF(AND('03_地点锚点'!H457&lt;&gt;"",OR('03_地点锚点'!H457&lt;0,'03_地点锚点'!H457&gt;WorldHeight)),"世界Y越界；","")&amp;IF(AND('03_地点锚点'!E457&lt;&gt;"",COUNTIF('02_固定地理'!$A$2:$A$501,'03_地点锚点'!E457)=0),"父级行政对象不存在；","")&amp;IF(AND('03_地点锚点'!F457&lt;&gt;"",COUNTIF('03_地点锚点'!$A$2:$A$501,'03_地点锚点'!F457)=0),"父级地点不存在；","")&amp;IF(AND('03_地点锚点'!A457&lt;&gt;"",COUNTIF('03_地点锚点'!$A$2:$A$501,'03_地点锚点'!A457)&gt;1),"ID重复；",""),"")</f>
        <v/>
      </c>
      <c r="G957" s="14">
        <f>IF(F957&lt;&gt;"","按字段批注、数据字典和来源记录修正后复核","")</f>
        <v/>
      </c>
      <c r="H957" s="14">
        <f>IF(F957&lt;&gt;"","待处理","")</f>
        <v/>
      </c>
    </row>
    <row r="958">
      <c r="A958" s="14">
        <f>IF(F958&lt;&gt;"","ISSUE-"&amp;TEXT(ROW()-1,"00000"),"")</f>
        <v/>
      </c>
      <c r="B958" s="14">
        <f>IF(F958&lt;&gt;"","错误","")</f>
        <v/>
      </c>
      <c r="C958" s="14">
        <f>IF('03_地点锚点'!A458&lt;&gt;"","03_地点锚点","")</f>
        <v/>
      </c>
      <c r="D958" s="14">
        <f>IF('03_地点锚点'!A458&lt;&gt;"",'03_地点锚点'!A458,"")</f>
        <v/>
      </c>
      <c r="E958" s="14">
        <f>IF(F958&lt;&gt;"","综合校验","")</f>
        <v/>
      </c>
      <c r="F958" s="14">
        <f>IF('03_地点锚点'!A458&lt;&gt;"",IF('03_地点锚点'!A458="","缺少地点ID；","")&amp;IF('03_地点锚点'!B458="","缺少中文名称；","")&amp;IF('03_地点锚点'!D458="","缺少地点类型；","")&amp;IF('03_地点锚点'!G458="","缺少世界X；","")&amp;IF('03_地点锚点'!H458="","缺少世界Y；","")&amp;IF(AND('03_地点锚点'!G458&lt;&gt;"",OR('03_地点锚点'!G458&lt;0,'03_地点锚点'!G458&gt;WorldWidth)),"世界X越界；","")&amp;IF(AND('03_地点锚点'!H458&lt;&gt;"",OR('03_地点锚点'!H458&lt;0,'03_地点锚点'!H458&gt;WorldHeight)),"世界Y越界；","")&amp;IF(AND('03_地点锚点'!E458&lt;&gt;"",COUNTIF('02_固定地理'!$A$2:$A$501,'03_地点锚点'!E458)=0),"父级行政对象不存在；","")&amp;IF(AND('03_地点锚点'!F458&lt;&gt;"",COUNTIF('03_地点锚点'!$A$2:$A$501,'03_地点锚点'!F458)=0),"父级地点不存在；","")&amp;IF(AND('03_地点锚点'!A458&lt;&gt;"",COUNTIF('03_地点锚点'!$A$2:$A$501,'03_地点锚点'!A458)&gt;1),"ID重复；",""),"")</f>
        <v/>
      </c>
      <c r="G958" s="14">
        <f>IF(F958&lt;&gt;"","按字段批注、数据字典和来源记录修正后复核","")</f>
        <v/>
      </c>
      <c r="H958" s="14">
        <f>IF(F958&lt;&gt;"","待处理","")</f>
        <v/>
      </c>
    </row>
    <row r="959">
      <c r="A959" s="14">
        <f>IF(F959&lt;&gt;"","ISSUE-"&amp;TEXT(ROW()-1,"00000"),"")</f>
        <v/>
      </c>
      <c r="B959" s="14">
        <f>IF(F959&lt;&gt;"","错误","")</f>
        <v/>
      </c>
      <c r="C959" s="14">
        <f>IF('03_地点锚点'!A459&lt;&gt;"","03_地点锚点","")</f>
        <v/>
      </c>
      <c r="D959" s="14">
        <f>IF('03_地点锚点'!A459&lt;&gt;"",'03_地点锚点'!A459,"")</f>
        <v/>
      </c>
      <c r="E959" s="14">
        <f>IF(F959&lt;&gt;"","综合校验","")</f>
        <v/>
      </c>
      <c r="F959" s="14">
        <f>IF('03_地点锚点'!A459&lt;&gt;"",IF('03_地点锚点'!A459="","缺少地点ID；","")&amp;IF('03_地点锚点'!B459="","缺少中文名称；","")&amp;IF('03_地点锚点'!D459="","缺少地点类型；","")&amp;IF('03_地点锚点'!G459="","缺少世界X；","")&amp;IF('03_地点锚点'!H459="","缺少世界Y；","")&amp;IF(AND('03_地点锚点'!G459&lt;&gt;"",OR('03_地点锚点'!G459&lt;0,'03_地点锚点'!G459&gt;WorldWidth)),"世界X越界；","")&amp;IF(AND('03_地点锚点'!H459&lt;&gt;"",OR('03_地点锚点'!H459&lt;0,'03_地点锚点'!H459&gt;WorldHeight)),"世界Y越界；","")&amp;IF(AND('03_地点锚点'!E459&lt;&gt;"",COUNTIF('02_固定地理'!$A$2:$A$501,'03_地点锚点'!E459)=0),"父级行政对象不存在；","")&amp;IF(AND('03_地点锚点'!F459&lt;&gt;"",COUNTIF('03_地点锚点'!$A$2:$A$501,'03_地点锚点'!F459)=0),"父级地点不存在；","")&amp;IF(AND('03_地点锚点'!A459&lt;&gt;"",COUNTIF('03_地点锚点'!$A$2:$A$501,'03_地点锚点'!A459)&gt;1),"ID重复；",""),"")</f>
        <v/>
      </c>
      <c r="G959" s="14">
        <f>IF(F959&lt;&gt;"","按字段批注、数据字典和来源记录修正后复核","")</f>
        <v/>
      </c>
      <c r="H959" s="14">
        <f>IF(F959&lt;&gt;"","待处理","")</f>
        <v/>
      </c>
    </row>
    <row r="960">
      <c r="A960" s="14">
        <f>IF(F960&lt;&gt;"","ISSUE-"&amp;TEXT(ROW()-1,"00000"),"")</f>
        <v/>
      </c>
      <c r="B960" s="14">
        <f>IF(F960&lt;&gt;"","错误","")</f>
        <v/>
      </c>
      <c r="C960" s="14">
        <f>IF('03_地点锚点'!A460&lt;&gt;"","03_地点锚点","")</f>
        <v/>
      </c>
      <c r="D960" s="14">
        <f>IF('03_地点锚点'!A460&lt;&gt;"",'03_地点锚点'!A460,"")</f>
        <v/>
      </c>
      <c r="E960" s="14">
        <f>IF(F960&lt;&gt;"","综合校验","")</f>
        <v/>
      </c>
      <c r="F960" s="14">
        <f>IF('03_地点锚点'!A460&lt;&gt;"",IF('03_地点锚点'!A460="","缺少地点ID；","")&amp;IF('03_地点锚点'!B460="","缺少中文名称；","")&amp;IF('03_地点锚点'!D460="","缺少地点类型；","")&amp;IF('03_地点锚点'!G460="","缺少世界X；","")&amp;IF('03_地点锚点'!H460="","缺少世界Y；","")&amp;IF(AND('03_地点锚点'!G460&lt;&gt;"",OR('03_地点锚点'!G460&lt;0,'03_地点锚点'!G460&gt;WorldWidth)),"世界X越界；","")&amp;IF(AND('03_地点锚点'!H460&lt;&gt;"",OR('03_地点锚点'!H460&lt;0,'03_地点锚点'!H460&gt;WorldHeight)),"世界Y越界；","")&amp;IF(AND('03_地点锚点'!E460&lt;&gt;"",COUNTIF('02_固定地理'!$A$2:$A$501,'03_地点锚点'!E460)=0),"父级行政对象不存在；","")&amp;IF(AND('03_地点锚点'!F460&lt;&gt;"",COUNTIF('03_地点锚点'!$A$2:$A$501,'03_地点锚点'!F460)=0),"父级地点不存在；","")&amp;IF(AND('03_地点锚点'!A460&lt;&gt;"",COUNTIF('03_地点锚点'!$A$2:$A$501,'03_地点锚点'!A460)&gt;1),"ID重复；",""),"")</f>
        <v/>
      </c>
      <c r="G960" s="14">
        <f>IF(F960&lt;&gt;"","按字段批注、数据字典和来源记录修正后复核","")</f>
        <v/>
      </c>
      <c r="H960" s="14">
        <f>IF(F960&lt;&gt;"","待处理","")</f>
        <v/>
      </c>
    </row>
    <row r="961">
      <c r="A961" s="14">
        <f>IF(F961&lt;&gt;"","ISSUE-"&amp;TEXT(ROW()-1,"00000"),"")</f>
        <v/>
      </c>
      <c r="B961" s="14">
        <f>IF(F961&lt;&gt;"","错误","")</f>
        <v/>
      </c>
      <c r="C961" s="14">
        <f>IF('03_地点锚点'!A461&lt;&gt;"","03_地点锚点","")</f>
        <v/>
      </c>
      <c r="D961" s="14">
        <f>IF('03_地点锚点'!A461&lt;&gt;"",'03_地点锚点'!A461,"")</f>
        <v/>
      </c>
      <c r="E961" s="14">
        <f>IF(F961&lt;&gt;"","综合校验","")</f>
        <v/>
      </c>
      <c r="F961" s="14">
        <f>IF('03_地点锚点'!A461&lt;&gt;"",IF('03_地点锚点'!A461="","缺少地点ID；","")&amp;IF('03_地点锚点'!B461="","缺少中文名称；","")&amp;IF('03_地点锚点'!D461="","缺少地点类型；","")&amp;IF('03_地点锚点'!G461="","缺少世界X；","")&amp;IF('03_地点锚点'!H461="","缺少世界Y；","")&amp;IF(AND('03_地点锚点'!G461&lt;&gt;"",OR('03_地点锚点'!G461&lt;0,'03_地点锚点'!G461&gt;WorldWidth)),"世界X越界；","")&amp;IF(AND('03_地点锚点'!H461&lt;&gt;"",OR('03_地点锚点'!H461&lt;0,'03_地点锚点'!H461&gt;WorldHeight)),"世界Y越界；","")&amp;IF(AND('03_地点锚点'!E461&lt;&gt;"",COUNTIF('02_固定地理'!$A$2:$A$501,'03_地点锚点'!E461)=0),"父级行政对象不存在；","")&amp;IF(AND('03_地点锚点'!F461&lt;&gt;"",COUNTIF('03_地点锚点'!$A$2:$A$501,'03_地点锚点'!F461)=0),"父级地点不存在；","")&amp;IF(AND('03_地点锚点'!A461&lt;&gt;"",COUNTIF('03_地点锚点'!$A$2:$A$501,'03_地点锚点'!A461)&gt;1),"ID重复；",""),"")</f>
        <v/>
      </c>
      <c r="G961" s="14">
        <f>IF(F961&lt;&gt;"","按字段批注、数据字典和来源记录修正后复核","")</f>
        <v/>
      </c>
      <c r="H961" s="14">
        <f>IF(F961&lt;&gt;"","待处理","")</f>
        <v/>
      </c>
    </row>
    <row r="962">
      <c r="A962" s="14">
        <f>IF(F962&lt;&gt;"","ISSUE-"&amp;TEXT(ROW()-1,"00000"),"")</f>
        <v/>
      </c>
      <c r="B962" s="14">
        <f>IF(F962&lt;&gt;"","错误","")</f>
        <v/>
      </c>
      <c r="C962" s="14">
        <f>IF('03_地点锚点'!A462&lt;&gt;"","03_地点锚点","")</f>
        <v/>
      </c>
      <c r="D962" s="14">
        <f>IF('03_地点锚点'!A462&lt;&gt;"",'03_地点锚点'!A462,"")</f>
        <v/>
      </c>
      <c r="E962" s="14">
        <f>IF(F962&lt;&gt;"","综合校验","")</f>
        <v/>
      </c>
      <c r="F962" s="14">
        <f>IF('03_地点锚点'!A462&lt;&gt;"",IF('03_地点锚点'!A462="","缺少地点ID；","")&amp;IF('03_地点锚点'!B462="","缺少中文名称；","")&amp;IF('03_地点锚点'!D462="","缺少地点类型；","")&amp;IF('03_地点锚点'!G462="","缺少世界X；","")&amp;IF('03_地点锚点'!H462="","缺少世界Y；","")&amp;IF(AND('03_地点锚点'!G462&lt;&gt;"",OR('03_地点锚点'!G462&lt;0,'03_地点锚点'!G462&gt;WorldWidth)),"世界X越界；","")&amp;IF(AND('03_地点锚点'!H462&lt;&gt;"",OR('03_地点锚点'!H462&lt;0,'03_地点锚点'!H462&gt;WorldHeight)),"世界Y越界；","")&amp;IF(AND('03_地点锚点'!E462&lt;&gt;"",COUNTIF('02_固定地理'!$A$2:$A$501,'03_地点锚点'!E462)=0),"父级行政对象不存在；","")&amp;IF(AND('03_地点锚点'!F462&lt;&gt;"",COUNTIF('03_地点锚点'!$A$2:$A$501,'03_地点锚点'!F462)=0),"父级地点不存在；","")&amp;IF(AND('03_地点锚点'!A462&lt;&gt;"",COUNTIF('03_地点锚点'!$A$2:$A$501,'03_地点锚点'!A462)&gt;1),"ID重复；",""),"")</f>
        <v/>
      </c>
      <c r="G962" s="14">
        <f>IF(F962&lt;&gt;"","按字段批注、数据字典和来源记录修正后复核","")</f>
        <v/>
      </c>
      <c r="H962" s="14">
        <f>IF(F962&lt;&gt;"","待处理","")</f>
        <v/>
      </c>
    </row>
    <row r="963">
      <c r="A963" s="14">
        <f>IF(F963&lt;&gt;"","ISSUE-"&amp;TEXT(ROW()-1,"00000"),"")</f>
        <v/>
      </c>
      <c r="B963" s="14">
        <f>IF(F963&lt;&gt;"","错误","")</f>
        <v/>
      </c>
      <c r="C963" s="14">
        <f>IF('03_地点锚点'!A463&lt;&gt;"","03_地点锚点","")</f>
        <v/>
      </c>
      <c r="D963" s="14">
        <f>IF('03_地点锚点'!A463&lt;&gt;"",'03_地点锚点'!A463,"")</f>
        <v/>
      </c>
      <c r="E963" s="14">
        <f>IF(F963&lt;&gt;"","综合校验","")</f>
        <v/>
      </c>
      <c r="F963" s="14">
        <f>IF('03_地点锚点'!A463&lt;&gt;"",IF('03_地点锚点'!A463="","缺少地点ID；","")&amp;IF('03_地点锚点'!B463="","缺少中文名称；","")&amp;IF('03_地点锚点'!D463="","缺少地点类型；","")&amp;IF('03_地点锚点'!G463="","缺少世界X；","")&amp;IF('03_地点锚点'!H463="","缺少世界Y；","")&amp;IF(AND('03_地点锚点'!G463&lt;&gt;"",OR('03_地点锚点'!G463&lt;0,'03_地点锚点'!G463&gt;WorldWidth)),"世界X越界；","")&amp;IF(AND('03_地点锚点'!H463&lt;&gt;"",OR('03_地点锚点'!H463&lt;0,'03_地点锚点'!H463&gt;WorldHeight)),"世界Y越界；","")&amp;IF(AND('03_地点锚点'!E463&lt;&gt;"",COUNTIF('02_固定地理'!$A$2:$A$501,'03_地点锚点'!E463)=0),"父级行政对象不存在；","")&amp;IF(AND('03_地点锚点'!F463&lt;&gt;"",COUNTIF('03_地点锚点'!$A$2:$A$501,'03_地点锚点'!F463)=0),"父级地点不存在；","")&amp;IF(AND('03_地点锚点'!A463&lt;&gt;"",COUNTIF('03_地点锚点'!$A$2:$A$501,'03_地点锚点'!A463)&gt;1),"ID重复；",""),"")</f>
        <v/>
      </c>
      <c r="G963" s="14">
        <f>IF(F963&lt;&gt;"","按字段批注、数据字典和来源记录修正后复核","")</f>
        <v/>
      </c>
      <c r="H963" s="14">
        <f>IF(F963&lt;&gt;"","待处理","")</f>
        <v/>
      </c>
    </row>
    <row r="964">
      <c r="A964" s="14">
        <f>IF(F964&lt;&gt;"","ISSUE-"&amp;TEXT(ROW()-1,"00000"),"")</f>
        <v/>
      </c>
      <c r="B964" s="14">
        <f>IF(F964&lt;&gt;"","错误","")</f>
        <v/>
      </c>
      <c r="C964" s="14">
        <f>IF('03_地点锚点'!A464&lt;&gt;"","03_地点锚点","")</f>
        <v/>
      </c>
      <c r="D964" s="14">
        <f>IF('03_地点锚点'!A464&lt;&gt;"",'03_地点锚点'!A464,"")</f>
        <v/>
      </c>
      <c r="E964" s="14">
        <f>IF(F964&lt;&gt;"","综合校验","")</f>
        <v/>
      </c>
      <c r="F964" s="14">
        <f>IF('03_地点锚点'!A464&lt;&gt;"",IF('03_地点锚点'!A464="","缺少地点ID；","")&amp;IF('03_地点锚点'!B464="","缺少中文名称；","")&amp;IF('03_地点锚点'!D464="","缺少地点类型；","")&amp;IF('03_地点锚点'!G464="","缺少世界X；","")&amp;IF('03_地点锚点'!H464="","缺少世界Y；","")&amp;IF(AND('03_地点锚点'!G464&lt;&gt;"",OR('03_地点锚点'!G464&lt;0,'03_地点锚点'!G464&gt;WorldWidth)),"世界X越界；","")&amp;IF(AND('03_地点锚点'!H464&lt;&gt;"",OR('03_地点锚点'!H464&lt;0,'03_地点锚点'!H464&gt;WorldHeight)),"世界Y越界；","")&amp;IF(AND('03_地点锚点'!E464&lt;&gt;"",COUNTIF('02_固定地理'!$A$2:$A$501,'03_地点锚点'!E464)=0),"父级行政对象不存在；","")&amp;IF(AND('03_地点锚点'!F464&lt;&gt;"",COUNTIF('03_地点锚点'!$A$2:$A$501,'03_地点锚点'!F464)=0),"父级地点不存在；","")&amp;IF(AND('03_地点锚点'!A464&lt;&gt;"",COUNTIF('03_地点锚点'!$A$2:$A$501,'03_地点锚点'!A464)&gt;1),"ID重复；",""),"")</f>
        <v/>
      </c>
      <c r="G964" s="14">
        <f>IF(F964&lt;&gt;"","按字段批注、数据字典和来源记录修正后复核","")</f>
        <v/>
      </c>
      <c r="H964" s="14">
        <f>IF(F964&lt;&gt;"","待处理","")</f>
        <v/>
      </c>
    </row>
    <row r="965">
      <c r="A965" s="14">
        <f>IF(F965&lt;&gt;"","ISSUE-"&amp;TEXT(ROW()-1,"00000"),"")</f>
        <v/>
      </c>
      <c r="B965" s="14">
        <f>IF(F965&lt;&gt;"","错误","")</f>
        <v/>
      </c>
      <c r="C965" s="14">
        <f>IF('03_地点锚点'!A465&lt;&gt;"","03_地点锚点","")</f>
        <v/>
      </c>
      <c r="D965" s="14">
        <f>IF('03_地点锚点'!A465&lt;&gt;"",'03_地点锚点'!A465,"")</f>
        <v/>
      </c>
      <c r="E965" s="14">
        <f>IF(F965&lt;&gt;"","综合校验","")</f>
        <v/>
      </c>
      <c r="F965" s="14">
        <f>IF('03_地点锚点'!A465&lt;&gt;"",IF('03_地点锚点'!A465="","缺少地点ID；","")&amp;IF('03_地点锚点'!B465="","缺少中文名称；","")&amp;IF('03_地点锚点'!D465="","缺少地点类型；","")&amp;IF('03_地点锚点'!G465="","缺少世界X；","")&amp;IF('03_地点锚点'!H465="","缺少世界Y；","")&amp;IF(AND('03_地点锚点'!G465&lt;&gt;"",OR('03_地点锚点'!G465&lt;0,'03_地点锚点'!G465&gt;WorldWidth)),"世界X越界；","")&amp;IF(AND('03_地点锚点'!H465&lt;&gt;"",OR('03_地点锚点'!H465&lt;0,'03_地点锚点'!H465&gt;WorldHeight)),"世界Y越界；","")&amp;IF(AND('03_地点锚点'!E465&lt;&gt;"",COUNTIF('02_固定地理'!$A$2:$A$501,'03_地点锚点'!E465)=0),"父级行政对象不存在；","")&amp;IF(AND('03_地点锚点'!F465&lt;&gt;"",COUNTIF('03_地点锚点'!$A$2:$A$501,'03_地点锚点'!F465)=0),"父级地点不存在；","")&amp;IF(AND('03_地点锚点'!A465&lt;&gt;"",COUNTIF('03_地点锚点'!$A$2:$A$501,'03_地点锚点'!A465)&gt;1),"ID重复；",""),"")</f>
        <v/>
      </c>
      <c r="G965" s="14">
        <f>IF(F965&lt;&gt;"","按字段批注、数据字典和来源记录修正后复核","")</f>
        <v/>
      </c>
      <c r="H965" s="14">
        <f>IF(F965&lt;&gt;"","待处理","")</f>
        <v/>
      </c>
    </row>
    <row r="966">
      <c r="A966" s="14">
        <f>IF(F966&lt;&gt;"","ISSUE-"&amp;TEXT(ROW()-1,"00000"),"")</f>
        <v/>
      </c>
      <c r="B966" s="14">
        <f>IF(F966&lt;&gt;"","错误","")</f>
        <v/>
      </c>
      <c r="C966" s="14">
        <f>IF('03_地点锚点'!A466&lt;&gt;"","03_地点锚点","")</f>
        <v/>
      </c>
      <c r="D966" s="14">
        <f>IF('03_地点锚点'!A466&lt;&gt;"",'03_地点锚点'!A466,"")</f>
        <v/>
      </c>
      <c r="E966" s="14">
        <f>IF(F966&lt;&gt;"","综合校验","")</f>
        <v/>
      </c>
      <c r="F966" s="14">
        <f>IF('03_地点锚点'!A466&lt;&gt;"",IF('03_地点锚点'!A466="","缺少地点ID；","")&amp;IF('03_地点锚点'!B466="","缺少中文名称；","")&amp;IF('03_地点锚点'!D466="","缺少地点类型；","")&amp;IF('03_地点锚点'!G466="","缺少世界X；","")&amp;IF('03_地点锚点'!H466="","缺少世界Y；","")&amp;IF(AND('03_地点锚点'!G466&lt;&gt;"",OR('03_地点锚点'!G466&lt;0,'03_地点锚点'!G466&gt;WorldWidth)),"世界X越界；","")&amp;IF(AND('03_地点锚点'!H466&lt;&gt;"",OR('03_地点锚点'!H466&lt;0,'03_地点锚点'!H466&gt;WorldHeight)),"世界Y越界；","")&amp;IF(AND('03_地点锚点'!E466&lt;&gt;"",COUNTIF('02_固定地理'!$A$2:$A$501,'03_地点锚点'!E466)=0),"父级行政对象不存在；","")&amp;IF(AND('03_地点锚点'!F466&lt;&gt;"",COUNTIF('03_地点锚点'!$A$2:$A$501,'03_地点锚点'!F466)=0),"父级地点不存在；","")&amp;IF(AND('03_地点锚点'!A466&lt;&gt;"",COUNTIF('03_地点锚点'!$A$2:$A$501,'03_地点锚点'!A466)&gt;1),"ID重复；",""),"")</f>
        <v/>
      </c>
      <c r="G966" s="14">
        <f>IF(F966&lt;&gt;"","按字段批注、数据字典和来源记录修正后复核","")</f>
        <v/>
      </c>
      <c r="H966" s="14">
        <f>IF(F966&lt;&gt;"","待处理","")</f>
        <v/>
      </c>
    </row>
    <row r="967">
      <c r="A967" s="14">
        <f>IF(F967&lt;&gt;"","ISSUE-"&amp;TEXT(ROW()-1,"00000"),"")</f>
        <v/>
      </c>
      <c r="B967" s="14">
        <f>IF(F967&lt;&gt;"","错误","")</f>
        <v/>
      </c>
      <c r="C967" s="14">
        <f>IF('03_地点锚点'!A467&lt;&gt;"","03_地点锚点","")</f>
        <v/>
      </c>
      <c r="D967" s="14">
        <f>IF('03_地点锚点'!A467&lt;&gt;"",'03_地点锚点'!A467,"")</f>
        <v/>
      </c>
      <c r="E967" s="14">
        <f>IF(F967&lt;&gt;"","综合校验","")</f>
        <v/>
      </c>
      <c r="F967" s="14">
        <f>IF('03_地点锚点'!A467&lt;&gt;"",IF('03_地点锚点'!A467="","缺少地点ID；","")&amp;IF('03_地点锚点'!B467="","缺少中文名称；","")&amp;IF('03_地点锚点'!D467="","缺少地点类型；","")&amp;IF('03_地点锚点'!G467="","缺少世界X；","")&amp;IF('03_地点锚点'!H467="","缺少世界Y；","")&amp;IF(AND('03_地点锚点'!G467&lt;&gt;"",OR('03_地点锚点'!G467&lt;0,'03_地点锚点'!G467&gt;WorldWidth)),"世界X越界；","")&amp;IF(AND('03_地点锚点'!H467&lt;&gt;"",OR('03_地点锚点'!H467&lt;0,'03_地点锚点'!H467&gt;WorldHeight)),"世界Y越界；","")&amp;IF(AND('03_地点锚点'!E467&lt;&gt;"",COUNTIF('02_固定地理'!$A$2:$A$501,'03_地点锚点'!E467)=0),"父级行政对象不存在；","")&amp;IF(AND('03_地点锚点'!F467&lt;&gt;"",COUNTIF('03_地点锚点'!$A$2:$A$501,'03_地点锚点'!F467)=0),"父级地点不存在；","")&amp;IF(AND('03_地点锚点'!A467&lt;&gt;"",COUNTIF('03_地点锚点'!$A$2:$A$501,'03_地点锚点'!A467)&gt;1),"ID重复；",""),"")</f>
        <v/>
      </c>
      <c r="G967" s="14">
        <f>IF(F967&lt;&gt;"","按字段批注、数据字典和来源记录修正后复核","")</f>
        <v/>
      </c>
      <c r="H967" s="14">
        <f>IF(F967&lt;&gt;"","待处理","")</f>
        <v/>
      </c>
    </row>
    <row r="968">
      <c r="A968" s="14">
        <f>IF(F968&lt;&gt;"","ISSUE-"&amp;TEXT(ROW()-1,"00000"),"")</f>
        <v/>
      </c>
      <c r="B968" s="14">
        <f>IF(F968&lt;&gt;"","错误","")</f>
        <v/>
      </c>
      <c r="C968" s="14">
        <f>IF('03_地点锚点'!A468&lt;&gt;"","03_地点锚点","")</f>
        <v/>
      </c>
      <c r="D968" s="14">
        <f>IF('03_地点锚点'!A468&lt;&gt;"",'03_地点锚点'!A468,"")</f>
        <v/>
      </c>
      <c r="E968" s="14">
        <f>IF(F968&lt;&gt;"","综合校验","")</f>
        <v/>
      </c>
      <c r="F968" s="14">
        <f>IF('03_地点锚点'!A468&lt;&gt;"",IF('03_地点锚点'!A468="","缺少地点ID；","")&amp;IF('03_地点锚点'!B468="","缺少中文名称；","")&amp;IF('03_地点锚点'!D468="","缺少地点类型；","")&amp;IF('03_地点锚点'!G468="","缺少世界X；","")&amp;IF('03_地点锚点'!H468="","缺少世界Y；","")&amp;IF(AND('03_地点锚点'!G468&lt;&gt;"",OR('03_地点锚点'!G468&lt;0,'03_地点锚点'!G468&gt;WorldWidth)),"世界X越界；","")&amp;IF(AND('03_地点锚点'!H468&lt;&gt;"",OR('03_地点锚点'!H468&lt;0,'03_地点锚点'!H468&gt;WorldHeight)),"世界Y越界；","")&amp;IF(AND('03_地点锚点'!E468&lt;&gt;"",COUNTIF('02_固定地理'!$A$2:$A$501,'03_地点锚点'!E468)=0),"父级行政对象不存在；","")&amp;IF(AND('03_地点锚点'!F468&lt;&gt;"",COUNTIF('03_地点锚点'!$A$2:$A$501,'03_地点锚点'!F468)=0),"父级地点不存在；","")&amp;IF(AND('03_地点锚点'!A468&lt;&gt;"",COUNTIF('03_地点锚点'!$A$2:$A$501,'03_地点锚点'!A468)&gt;1),"ID重复；",""),"")</f>
        <v/>
      </c>
      <c r="G968" s="14">
        <f>IF(F968&lt;&gt;"","按字段批注、数据字典和来源记录修正后复核","")</f>
        <v/>
      </c>
      <c r="H968" s="14">
        <f>IF(F968&lt;&gt;"","待处理","")</f>
        <v/>
      </c>
    </row>
    <row r="969">
      <c r="A969" s="14">
        <f>IF(F969&lt;&gt;"","ISSUE-"&amp;TEXT(ROW()-1,"00000"),"")</f>
        <v/>
      </c>
      <c r="B969" s="14">
        <f>IF(F969&lt;&gt;"","错误","")</f>
        <v/>
      </c>
      <c r="C969" s="14">
        <f>IF('03_地点锚点'!A469&lt;&gt;"","03_地点锚点","")</f>
        <v/>
      </c>
      <c r="D969" s="14">
        <f>IF('03_地点锚点'!A469&lt;&gt;"",'03_地点锚点'!A469,"")</f>
        <v/>
      </c>
      <c r="E969" s="14">
        <f>IF(F969&lt;&gt;"","综合校验","")</f>
        <v/>
      </c>
      <c r="F969" s="14">
        <f>IF('03_地点锚点'!A469&lt;&gt;"",IF('03_地点锚点'!A469="","缺少地点ID；","")&amp;IF('03_地点锚点'!B469="","缺少中文名称；","")&amp;IF('03_地点锚点'!D469="","缺少地点类型；","")&amp;IF('03_地点锚点'!G469="","缺少世界X；","")&amp;IF('03_地点锚点'!H469="","缺少世界Y；","")&amp;IF(AND('03_地点锚点'!G469&lt;&gt;"",OR('03_地点锚点'!G469&lt;0,'03_地点锚点'!G469&gt;WorldWidth)),"世界X越界；","")&amp;IF(AND('03_地点锚点'!H469&lt;&gt;"",OR('03_地点锚点'!H469&lt;0,'03_地点锚点'!H469&gt;WorldHeight)),"世界Y越界；","")&amp;IF(AND('03_地点锚点'!E469&lt;&gt;"",COUNTIF('02_固定地理'!$A$2:$A$501,'03_地点锚点'!E469)=0),"父级行政对象不存在；","")&amp;IF(AND('03_地点锚点'!F469&lt;&gt;"",COUNTIF('03_地点锚点'!$A$2:$A$501,'03_地点锚点'!F469)=0),"父级地点不存在；","")&amp;IF(AND('03_地点锚点'!A469&lt;&gt;"",COUNTIF('03_地点锚点'!$A$2:$A$501,'03_地点锚点'!A469)&gt;1),"ID重复；",""),"")</f>
        <v/>
      </c>
      <c r="G969" s="14">
        <f>IF(F969&lt;&gt;"","按字段批注、数据字典和来源记录修正后复核","")</f>
        <v/>
      </c>
      <c r="H969" s="14">
        <f>IF(F969&lt;&gt;"","待处理","")</f>
        <v/>
      </c>
    </row>
    <row r="970">
      <c r="A970" s="14">
        <f>IF(F970&lt;&gt;"","ISSUE-"&amp;TEXT(ROW()-1,"00000"),"")</f>
        <v/>
      </c>
      <c r="B970" s="14">
        <f>IF(F970&lt;&gt;"","错误","")</f>
        <v/>
      </c>
      <c r="C970" s="14">
        <f>IF('03_地点锚点'!A470&lt;&gt;"","03_地点锚点","")</f>
        <v/>
      </c>
      <c r="D970" s="14">
        <f>IF('03_地点锚点'!A470&lt;&gt;"",'03_地点锚点'!A470,"")</f>
        <v/>
      </c>
      <c r="E970" s="14">
        <f>IF(F970&lt;&gt;"","综合校验","")</f>
        <v/>
      </c>
      <c r="F970" s="14">
        <f>IF('03_地点锚点'!A470&lt;&gt;"",IF('03_地点锚点'!A470="","缺少地点ID；","")&amp;IF('03_地点锚点'!B470="","缺少中文名称；","")&amp;IF('03_地点锚点'!D470="","缺少地点类型；","")&amp;IF('03_地点锚点'!G470="","缺少世界X；","")&amp;IF('03_地点锚点'!H470="","缺少世界Y；","")&amp;IF(AND('03_地点锚点'!G470&lt;&gt;"",OR('03_地点锚点'!G470&lt;0,'03_地点锚点'!G470&gt;WorldWidth)),"世界X越界；","")&amp;IF(AND('03_地点锚点'!H470&lt;&gt;"",OR('03_地点锚点'!H470&lt;0,'03_地点锚点'!H470&gt;WorldHeight)),"世界Y越界；","")&amp;IF(AND('03_地点锚点'!E470&lt;&gt;"",COUNTIF('02_固定地理'!$A$2:$A$501,'03_地点锚点'!E470)=0),"父级行政对象不存在；","")&amp;IF(AND('03_地点锚点'!F470&lt;&gt;"",COUNTIF('03_地点锚点'!$A$2:$A$501,'03_地点锚点'!F470)=0),"父级地点不存在；","")&amp;IF(AND('03_地点锚点'!A470&lt;&gt;"",COUNTIF('03_地点锚点'!$A$2:$A$501,'03_地点锚点'!A470)&gt;1),"ID重复；",""),"")</f>
        <v/>
      </c>
      <c r="G970" s="14">
        <f>IF(F970&lt;&gt;"","按字段批注、数据字典和来源记录修正后复核","")</f>
        <v/>
      </c>
      <c r="H970" s="14">
        <f>IF(F970&lt;&gt;"","待处理","")</f>
        <v/>
      </c>
    </row>
    <row r="971">
      <c r="A971" s="14">
        <f>IF(F971&lt;&gt;"","ISSUE-"&amp;TEXT(ROW()-1,"00000"),"")</f>
        <v/>
      </c>
      <c r="B971" s="14">
        <f>IF(F971&lt;&gt;"","错误","")</f>
        <v/>
      </c>
      <c r="C971" s="14">
        <f>IF('03_地点锚点'!A471&lt;&gt;"","03_地点锚点","")</f>
        <v/>
      </c>
      <c r="D971" s="14">
        <f>IF('03_地点锚点'!A471&lt;&gt;"",'03_地点锚点'!A471,"")</f>
        <v/>
      </c>
      <c r="E971" s="14">
        <f>IF(F971&lt;&gt;"","综合校验","")</f>
        <v/>
      </c>
      <c r="F971" s="14">
        <f>IF('03_地点锚点'!A471&lt;&gt;"",IF('03_地点锚点'!A471="","缺少地点ID；","")&amp;IF('03_地点锚点'!B471="","缺少中文名称；","")&amp;IF('03_地点锚点'!D471="","缺少地点类型；","")&amp;IF('03_地点锚点'!G471="","缺少世界X；","")&amp;IF('03_地点锚点'!H471="","缺少世界Y；","")&amp;IF(AND('03_地点锚点'!G471&lt;&gt;"",OR('03_地点锚点'!G471&lt;0,'03_地点锚点'!G471&gt;WorldWidth)),"世界X越界；","")&amp;IF(AND('03_地点锚点'!H471&lt;&gt;"",OR('03_地点锚点'!H471&lt;0,'03_地点锚点'!H471&gt;WorldHeight)),"世界Y越界；","")&amp;IF(AND('03_地点锚点'!E471&lt;&gt;"",COUNTIF('02_固定地理'!$A$2:$A$501,'03_地点锚点'!E471)=0),"父级行政对象不存在；","")&amp;IF(AND('03_地点锚点'!F471&lt;&gt;"",COUNTIF('03_地点锚点'!$A$2:$A$501,'03_地点锚点'!F471)=0),"父级地点不存在；","")&amp;IF(AND('03_地点锚点'!A471&lt;&gt;"",COUNTIF('03_地点锚点'!$A$2:$A$501,'03_地点锚点'!A471)&gt;1),"ID重复；",""),"")</f>
        <v/>
      </c>
      <c r="G971" s="14">
        <f>IF(F971&lt;&gt;"","按字段批注、数据字典和来源记录修正后复核","")</f>
        <v/>
      </c>
      <c r="H971" s="14">
        <f>IF(F971&lt;&gt;"","待处理","")</f>
        <v/>
      </c>
    </row>
    <row r="972">
      <c r="A972" s="14">
        <f>IF(F972&lt;&gt;"","ISSUE-"&amp;TEXT(ROW()-1,"00000"),"")</f>
        <v/>
      </c>
      <c r="B972" s="14">
        <f>IF(F972&lt;&gt;"","错误","")</f>
        <v/>
      </c>
      <c r="C972" s="14">
        <f>IF('03_地点锚点'!A472&lt;&gt;"","03_地点锚点","")</f>
        <v/>
      </c>
      <c r="D972" s="14">
        <f>IF('03_地点锚点'!A472&lt;&gt;"",'03_地点锚点'!A472,"")</f>
        <v/>
      </c>
      <c r="E972" s="14">
        <f>IF(F972&lt;&gt;"","综合校验","")</f>
        <v/>
      </c>
      <c r="F972" s="14">
        <f>IF('03_地点锚点'!A472&lt;&gt;"",IF('03_地点锚点'!A472="","缺少地点ID；","")&amp;IF('03_地点锚点'!B472="","缺少中文名称；","")&amp;IF('03_地点锚点'!D472="","缺少地点类型；","")&amp;IF('03_地点锚点'!G472="","缺少世界X；","")&amp;IF('03_地点锚点'!H472="","缺少世界Y；","")&amp;IF(AND('03_地点锚点'!G472&lt;&gt;"",OR('03_地点锚点'!G472&lt;0,'03_地点锚点'!G472&gt;WorldWidth)),"世界X越界；","")&amp;IF(AND('03_地点锚点'!H472&lt;&gt;"",OR('03_地点锚点'!H472&lt;0,'03_地点锚点'!H472&gt;WorldHeight)),"世界Y越界；","")&amp;IF(AND('03_地点锚点'!E472&lt;&gt;"",COUNTIF('02_固定地理'!$A$2:$A$501,'03_地点锚点'!E472)=0),"父级行政对象不存在；","")&amp;IF(AND('03_地点锚点'!F472&lt;&gt;"",COUNTIF('03_地点锚点'!$A$2:$A$501,'03_地点锚点'!F472)=0),"父级地点不存在；","")&amp;IF(AND('03_地点锚点'!A472&lt;&gt;"",COUNTIF('03_地点锚点'!$A$2:$A$501,'03_地点锚点'!A472)&gt;1),"ID重复；",""),"")</f>
        <v/>
      </c>
      <c r="G972" s="14">
        <f>IF(F972&lt;&gt;"","按字段批注、数据字典和来源记录修正后复核","")</f>
        <v/>
      </c>
      <c r="H972" s="14">
        <f>IF(F972&lt;&gt;"","待处理","")</f>
        <v/>
      </c>
    </row>
    <row r="973">
      <c r="A973" s="14">
        <f>IF(F973&lt;&gt;"","ISSUE-"&amp;TEXT(ROW()-1,"00000"),"")</f>
        <v/>
      </c>
      <c r="B973" s="14">
        <f>IF(F973&lt;&gt;"","错误","")</f>
        <v/>
      </c>
      <c r="C973" s="14">
        <f>IF('03_地点锚点'!A473&lt;&gt;"","03_地点锚点","")</f>
        <v/>
      </c>
      <c r="D973" s="14">
        <f>IF('03_地点锚点'!A473&lt;&gt;"",'03_地点锚点'!A473,"")</f>
        <v/>
      </c>
      <c r="E973" s="14">
        <f>IF(F973&lt;&gt;"","综合校验","")</f>
        <v/>
      </c>
      <c r="F973" s="14">
        <f>IF('03_地点锚点'!A473&lt;&gt;"",IF('03_地点锚点'!A473="","缺少地点ID；","")&amp;IF('03_地点锚点'!B473="","缺少中文名称；","")&amp;IF('03_地点锚点'!D473="","缺少地点类型；","")&amp;IF('03_地点锚点'!G473="","缺少世界X；","")&amp;IF('03_地点锚点'!H473="","缺少世界Y；","")&amp;IF(AND('03_地点锚点'!G473&lt;&gt;"",OR('03_地点锚点'!G473&lt;0,'03_地点锚点'!G473&gt;WorldWidth)),"世界X越界；","")&amp;IF(AND('03_地点锚点'!H473&lt;&gt;"",OR('03_地点锚点'!H473&lt;0,'03_地点锚点'!H473&gt;WorldHeight)),"世界Y越界；","")&amp;IF(AND('03_地点锚点'!E473&lt;&gt;"",COUNTIF('02_固定地理'!$A$2:$A$501,'03_地点锚点'!E473)=0),"父级行政对象不存在；","")&amp;IF(AND('03_地点锚点'!F473&lt;&gt;"",COUNTIF('03_地点锚点'!$A$2:$A$501,'03_地点锚点'!F473)=0),"父级地点不存在；","")&amp;IF(AND('03_地点锚点'!A473&lt;&gt;"",COUNTIF('03_地点锚点'!$A$2:$A$501,'03_地点锚点'!A473)&gt;1),"ID重复；",""),"")</f>
        <v/>
      </c>
      <c r="G973" s="14">
        <f>IF(F973&lt;&gt;"","按字段批注、数据字典和来源记录修正后复核","")</f>
        <v/>
      </c>
      <c r="H973" s="14">
        <f>IF(F973&lt;&gt;"","待处理","")</f>
        <v/>
      </c>
    </row>
    <row r="974">
      <c r="A974" s="14">
        <f>IF(F974&lt;&gt;"","ISSUE-"&amp;TEXT(ROW()-1,"00000"),"")</f>
        <v/>
      </c>
      <c r="B974" s="14">
        <f>IF(F974&lt;&gt;"","错误","")</f>
        <v/>
      </c>
      <c r="C974" s="14">
        <f>IF('03_地点锚点'!A474&lt;&gt;"","03_地点锚点","")</f>
        <v/>
      </c>
      <c r="D974" s="14">
        <f>IF('03_地点锚点'!A474&lt;&gt;"",'03_地点锚点'!A474,"")</f>
        <v/>
      </c>
      <c r="E974" s="14">
        <f>IF(F974&lt;&gt;"","综合校验","")</f>
        <v/>
      </c>
      <c r="F974" s="14">
        <f>IF('03_地点锚点'!A474&lt;&gt;"",IF('03_地点锚点'!A474="","缺少地点ID；","")&amp;IF('03_地点锚点'!B474="","缺少中文名称；","")&amp;IF('03_地点锚点'!D474="","缺少地点类型；","")&amp;IF('03_地点锚点'!G474="","缺少世界X；","")&amp;IF('03_地点锚点'!H474="","缺少世界Y；","")&amp;IF(AND('03_地点锚点'!G474&lt;&gt;"",OR('03_地点锚点'!G474&lt;0,'03_地点锚点'!G474&gt;WorldWidth)),"世界X越界；","")&amp;IF(AND('03_地点锚点'!H474&lt;&gt;"",OR('03_地点锚点'!H474&lt;0,'03_地点锚点'!H474&gt;WorldHeight)),"世界Y越界；","")&amp;IF(AND('03_地点锚点'!E474&lt;&gt;"",COUNTIF('02_固定地理'!$A$2:$A$501,'03_地点锚点'!E474)=0),"父级行政对象不存在；","")&amp;IF(AND('03_地点锚点'!F474&lt;&gt;"",COUNTIF('03_地点锚点'!$A$2:$A$501,'03_地点锚点'!F474)=0),"父级地点不存在；","")&amp;IF(AND('03_地点锚点'!A474&lt;&gt;"",COUNTIF('03_地点锚点'!$A$2:$A$501,'03_地点锚点'!A474)&gt;1),"ID重复；",""),"")</f>
        <v/>
      </c>
      <c r="G974" s="14">
        <f>IF(F974&lt;&gt;"","按字段批注、数据字典和来源记录修正后复核","")</f>
        <v/>
      </c>
      <c r="H974" s="14">
        <f>IF(F974&lt;&gt;"","待处理","")</f>
        <v/>
      </c>
    </row>
    <row r="975">
      <c r="A975" s="14">
        <f>IF(F975&lt;&gt;"","ISSUE-"&amp;TEXT(ROW()-1,"00000"),"")</f>
        <v/>
      </c>
      <c r="B975" s="14">
        <f>IF(F975&lt;&gt;"","错误","")</f>
        <v/>
      </c>
      <c r="C975" s="14">
        <f>IF('03_地点锚点'!A475&lt;&gt;"","03_地点锚点","")</f>
        <v/>
      </c>
      <c r="D975" s="14">
        <f>IF('03_地点锚点'!A475&lt;&gt;"",'03_地点锚点'!A475,"")</f>
        <v/>
      </c>
      <c r="E975" s="14">
        <f>IF(F975&lt;&gt;"","综合校验","")</f>
        <v/>
      </c>
      <c r="F975" s="14">
        <f>IF('03_地点锚点'!A475&lt;&gt;"",IF('03_地点锚点'!A475="","缺少地点ID；","")&amp;IF('03_地点锚点'!B475="","缺少中文名称；","")&amp;IF('03_地点锚点'!D475="","缺少地点类型；","")&amp;IF('03_地点锚点'!G475="","缺少世界X；","")&amp;IF('03_地点锚点'!H475="","缺少世界Y；","")&amp;IF(AND('03_地点锚点'!G475&lt;&gt;"",OR('03_地点锚点'!G475&lt;0,'03_地点锚点'!G475&gt;WorldWidth)),"世界X越界；","")&amp;IF(AND('03_地点锚点'!H475&lt;&gt;"",OR('03_地点锚点'!H475&lt;0,'03_地点锚点'!H475&gt;WorldHeight)),"世界Y越界；","")&amp;IF(AND('03_地点锚点'!E475&lt;&gt;"",COUNTIF('02_固定地理'!$A$2:$A$501,'03_地点锚点'!E475)=0),"父级行政对象不存在；","")&amp;IF(AND('03_地点锚点'!F475&lt;&gt;"",COUNTIF('03_地点锚点'!$A$2:$A$501,'03_地点锚点'!F475)=0),"父级地点不存在；","")&amp;IF(AND('03_地点锚点'!A475&lt;&gt;"",COUNTIF('03_地点锚点'!$A$2:$A$501,'03_地点锚点'!A475)&gt;1),"ID重复；",""),"")</f>
        <v/>
      </c>
      <c r="G975" s="14">
        <f>IF(F975&lt;&gt;"","按字段批注、数据字典和来源记录修正后复核","")</f>
        <v/>
      </c>
      <c r="H975" s="14">
        <f>IF(F975&lt;&gt;"","待处理","")</f>
        <v/>
      </c>
    </row>
    <row r="976">
      <c r="A976" s="14">
        <f>IF(F976&lt;&gt;"","ISSUE-"&amp;TEXT(ROW()-1,"00000"),"")</f>
        <v/>
      </c>
      <c r="B976" s="14">
        <f>IF(F976&lt;&gt;"","错误","")</f>
        <v/>
      </c>
      <c r="C976" s="14">
        <f>IF('03_地点锚点'!A476&lt;&gt;"","03_地点锚点","")</f>
        <v/>
      </c>
      <c r="D976" s="14">
        <f>IF('03_地点锚点'!A476&lt;&gt;"",'03_地点锚点'!A476,"")</f>
        <v/>
      </c>
      <c r="E976" s="14">
        <f>IF(F976&lt;&gt;"","综合校验","")</f>
        <v/>
      </c>
      <c r="F976" s="14">
        <f>IF('03_地点锚点'!A476&lt;&gt;"",IF('03_地点锚点'!A476="","缺少地点ID；","")&amp;IF('03_地点锚点'!B476="","缺少中文名称；","")&amp;IF('03_地点锚点'!D476="","缺少地点类型；","")&amp;IF('03_地点锚点'!G476="","缺少世界X；","")&amp;IF('03_地点锚点'!H476="","缺少世界Y；","")&amp;IF(AND('03_地点锚点'!G476&lt;&gt;"",OR('03_地点锚点'!G476&lt;0,'03_地点锚点'!G476&gt;WorldWidth)),"世界X越界；","")&amp;IF(AND('03_地点锚点'!H476&lt;&gt;"",OR('03_地点锚点'!H476&lt;0,'03_地点锚点'!H476&gt;WorldHeight)),"世界Y越界；","")&amp;IF(AND('03_地点锚点'!E476&lt;&gt;"",COUNTIF('02_固定地理'!$A$2:$A$501,'03_地点锚点'!E476)=0),"父级行政对象不存在；","")&amp;IF(AND('03_地点锚点'!F476&lt;&gt;"",COUNTIF('03_地点锚点'!$A$2:$A$501,'03_地点锚点'!F476)=0),"父级地点不存在；","")&amp;IF(AND('03_地点锚点'!A476&lt;&gt;"",COUNTIF('03_地点锚点'!$A$2:$A$501,'03_地点锚点'!A476)&gt;1),"ID重复；",""),"")</f>
        <v/>
      </c>
      <c r="G976" s="14">
        <f>IF(F976&lt;&gt;"","按字段批注、数据字典和来源记录修正后复核","")</f>
        <v/>
      </c>
      <c r="H976" s="14">
        <f>IF(F976&lt;&gt;"","待处理","")</f>
        <v/>
      </c>
    </row>
    <row r="977">
      <c r="A977" s="14">
        <f>IF(F977&lt;&gt;"","ISSUE-"&amp;TEXT(ROW()-1,"00000"),"")</f>
        <v/>
      </c>
      <c r="B977" s="14">
        <f>IF(F977&lt;&gt;"","错误","")</f>
        <v/>
      </c>
      <c r="C977" s="14">
        <f>IF('03_地点锚点'!A477&lt;&gt;"","03_地点锚点","")</f>
        <v/>
      </c>
      <c r="D977" s="14">
        <f>IF('03_地点锚点'!A477&lt;&gt;"",'03_地点锚点'!A477,"")</f>
        <v/>
      </c>
      <c r="E977" s="14">
        <f>IF(F977&lt;&gt;"","综合校验","")</f>
        <v/>
      </c>
      <c r="F977" s="14">
        <f>IF('03_地点锚点'!A477&lt;&gt;"",IF('03_地点锚点'!A477="","缺少地点ID；","")&amp;IF('03_地点锚点'!B477="","缺少中文名称；","")&amp;IF('03_地点锚点'!D477="","缺少地点类型；","")&amp;IF('03_地点锚点'!G477="","缺少世界X；","")&amp;IF('03_地点锚点'!H477="","缺少世界Y；","")&amp;IF(AND('03_地点锚点'!G477&lt;&gt;"",OR('03_地点锚点'!G477&lt;0,'03_地点锚点'!G477&gt;WorldWidth)),"世界X越界；","")&amp;IF(AND('03_地点锚点'!H477&lt;&gt;"",OR('03_地点锚点'!H477&lt;0,'03_地点锚点'!H477&gt;WorldHeight)),"世界Y越界；","")&amp;IF(AND('03_地点锚点'!E477&lt;&gt;"",COUNTIF('02_固定地理'!$A$2:$A$501,'03_地点锚点'!E477)=0),"父级行政对象不存在；","")&amp;IF(AND('03_地点锚点'!F477&lt;&gt;"",COUNTIF('03_地点锚点'!$A$2:$A$501,'03_地点锚点'!F477)=0),"父级地点不存在；","")&amp;IF(AND('03_地点锚点'!A477&lt;&gt;"",COUNTIF('03_地点锚点'!$A$2:$A$501,'03_地点锚点'!A477)&gt;1),"ID重复；",""),"")</f>
        <v/>
      </c>
      <c r="G977" s="14">
        <f>IF(F977&lt;&gt;"","按字段批注、数据字典和来源记录修正后复核","")</f>
        <v/>
      </c>
      <c r="H977" s="14">
        <f>IF(F977&lt;&gt;"","待处理","")</f>
        <v/>
      </c>
    </row>
    <row r="978">
      <c r="A978" s="14">
        <f>IF(F978&lt;&gt;"","ISSUE-"&amp;TEXT(ROW()-1,"00000"),"")</f>
        <v/>
      </c>
      <c r="B978" s="14">
        <f>IF(F978&lt;&gt;"","错误","")</f>
        <v/>
      </c>
      <c r="C978" s="14">
        <f>IF('03_地点锚点'!A478&lt;&gt;"","03_地点锚点","")</f>
        <v/>
      </c>
      <c r="D978" s="14">
        <f>IF('03_地点锚点'!A478&lt;&gt;"",'03_地点锚点'!A478,"")</f>
        <v/>
      </c>
      <c r="E978" s="14">
        <f>IF(F978&lt;&gt;"","综合校验","")</f>
        <v/>
      </c>
      <c r="F978" s="14">
        <f>IF('03_地点锚点'!A478&lt;&gt;"",IF('03_地点锚点'!A478="","缺少地点ID；","")&amp;IF('03_地点锚点'!B478="","缺少中文名称；","")&amp;IF('03_地点锚点'!D478="","缺少地点类型；","")&amp;IF('03_地点锚点'!G478="","缺少世界X；","")&amp;IF('03_地点锚点'!H478="","缺少世界Y；","")&amp;IF(AND('03_地点锚点'!G478&lt;&gt;"",OR('03_地点锚点'!G478&lt;0,'03_地点锚点'!G478&gt;WorldWidth)),"世界X越界；","")&amp;IF(AND('03_地点锚点'!H478&lt;&gt;"",OR('03_地点锚点'!H478&lt;0,'03_地点锚点'!H478&gt;WorldHeight)),"世界Y越界；","")&amp;IF(AND('03_地点锚点'!E478&lt;&gt;"",COUNTIF('02_固定地理'!$A$2:$A$501,'03_地点锚点'!E478)=0),"父级行政对象不存在；","")&amp;IF(AND('03_地点锚点'!F478&lt;&gt;"",COUNTIF('03_地点锚点'!$A$2:$A$501,'03_地点锚点'!F478)=0),"父级地点不存在；","")&amp;IF(AND('03_地点锚点'!A478&lt;&gt;"",COUNTIF('03_地点锚点'!$A$2:$A$501,'03_地点锚点'!A478)&gt;1),"ID重复；",""),"")</f>
        <v/>
      </c>
      <c r="G978" s="14">
        <f>IF(F978&lt;&gt;"","按字段批注、数据字典和来源记录修正后复核","")</f>
        <v/>
      </c>
      <c r="H978" s="14">
        <f>IF(F978&lt;&gt;"","待处理","")</f>
        <v/>
      </c>
    </row>
    <row r="979">
      <c r="A979" s="14">
        <f>IF(F979&lt;&gt;"","ISSUE-"&amp;TEXT(ROW()-1,"00000"),"")</f>
        <v/>
      </c>
      <c r="B979" s="14">
        <f>IF(F979&lt;&gt;"","错误","")</f>
        <v/>
      </c>
      <c r="C979" s="14">
        <f>IF('03_地点锚点'!A479&lt;&gt;"","03_地点锚点","")</f>
        <v/>
      </c>
      <c r="D979" s="14">
        <f>IF('03_地点锚点'!A479&lt;&gt;"",'03_地点锚点'!A479,"")</f>
        <v/>
      </c>
      <c r="E979" s="14">
        <f>IF(F979&lt;&gt;"","综合校验","")</f>
        <v/>
      </c>
      <c r="F979" s="14">
        <f>IF('03_地点锚点'!A479&lt;&gt;"",IF('03_地点锚点'!A479="","缺少地点ID；","")&amp;IF('03_地点锚点'!B479="","缺少中文名称；","")&amp;IF('03_地点锚点'!D479="","缺少地点类型；","")&amp;IF('03_地点锚点'!G479="","缺少世界X；","")&amp;IF('03_地点锚点'!H479="","缺少世界Y；","")&amp;IF(AND('03_地点锚点'!G479&lt;&gt;"",OR('03_地点锚点'!G479&lt;0,'03_地点锚点'!G479&gt;WorldWidth)),"世界X越界；","")&amp;IF(AND('03_地点锚点'!H479&lt;&gt;"",OR('03_地点锚点'!H479&lt;0,'03_地点锚点'!H479&gt;WorldHeight)),"世界Y越界；","")&amp;IF(AND('03_地点锚点'!E479&lt;&gt;"",COUNTIF('02_固定地理'!$A$2:$A$501,'03_地点锚点'!E479)=0),"父级行政对象不存在；","")&amp;IF(AND('03_地点锚点'!F479&lt;&gt;"",COUNTIF('03_地点锚点'!$A$2:$A$501,'03_地点锚点'!F479)=0),"父级地点不存在；","")&amp;IF(AND('03_地点锚点'!A479&lt;&gt;"",COUNTIF('03_地点锚点'!$A$2:$A$501,'03_地点锚点'!A479)&gt;1),"ID重复；",""),"")</f>
        <v/>
      </c>
      <c r="G979" s="14">
        <f>IF(F979&lt;&gt;"","按字段批注、数据字典和来源记录修正后复核","")</f>
        <v/>
      </c>
      <c r="H979" s="14">
        <f>IF(F979&lt;&gt;"","待处理","")</f>
        <v/>
      </c>
    </row>
    <row r="980">
      <c r="A980" s="14">
        <f>IF(F980&lt;&gt;"","ISSUE-"&amp;TEXT(ROW()-1,"00000"),"")</f>
        <v/>
      </c>
      <c r="B980" s="14">
        <f>IF(F980&lt;&gt;"","错误","")</f>
        <v/>
      </c>
      <c r="C980" s="14">
        <f>IF('03_地点锚点'!A480&lt;&gt;"","03_地点锚点","")</f>
        <v/>
      </c>
      <c r="D980" s="14">
        <f>IF('03_地点锚点'!A480&lt;&gt;"",'03_地点锚点'!A480,"")</f>
        <v/>
      </c>
      <c r="E980" s="14">
        <f>IF(F980&lt;&gt;"","综合校验","")</f>
        <v/>
      </c>
      <c r="F980" s="14">
        <f>IF('03_地点锚点'!A480&lt;&gt;"",IF('03_地点锚点'!A480="","缺少地点ID；","")&amp;IF('03_地点锚点'!B480="","缺少中文名称；","")&amp;IF('03_地点锚点'!D480="","缺少地点类型；","")&amp;IF('03_地点锚点'!G480="","缺少世界X；","")&amp;IF('03_地点锚点'!H480="","缺少世界Y；","")&amp;IF(AND('03_地点锚点'!G480&lt;&gt;"",OR('03_地点锚点'!G480&lt;0,'03_地点锚点'!G480&gt;WorldWidth)),"世界X越界；","")&amp;IF(AND('03_地点锚点'!H480&lt;&gt;"",OR('03_地点锚点'!H480&lt;0,'03_地点锚点'!H480&gt;WorldHeight)),"世界Y越界；","")&amp;IF(AND('03_地点锚点'!E480&lt;&gt;"",COUNTIF('02_固定地理'!$A$2:$A$501,'03_地点锚点'!E480)=0),"父级行政对象不存在；","")&amp;IF(AND('03_地点锚点'!F480&lt;&gt;"",COUNTIF('03_地点锚点'!$A$2:$A$501,'03_地点锚点'!F480)=0),"父级地点不存在；","")&amp;IF(AND('03_地点锚点'!A480&lt;&gt;"",COUNTIF('03_地点锚点'!$A$2:$A$501,'03_地点锚点'!A480)&gt;1),"ID重复；",""),"")</f>
        <v/>
      </c>
      <c r="G980" s="14">
        <f>IF(F980&lt;&gt;"","按字段批注、数据字典和来源记录修正后复核","")</f>
        <v/>
      </c>
      <c r="H980" s="14">
        <f>IF(F980&lt;&gt;"","待处理","")</f>
        <v/>
      </c>
    </row>
    <row r="981">
      <c r="A981" s="14">
        <f>IF(F981&lt;&gt;"","ISSUE-"&amp;TEXT(ROW()-1,"00000"),"")</f>
        <v/>
      </c>
      <c r="B981" s="14">
        <f>IF(F981&lt;&gt;"","错误","")</f>
        <v/>
      </c>
      <c r="C981" s="14">
        <f>IF('03_地点锚点'!A481&lt;&gt;"","03_地点锚点","")</f>
        <v/>
      </c>
      <c r="D981" s="14">
        <f>IF('03_地点锚点'!A481&lt;&gt;"",'03_地点锚点'!A481,"")</f>
        <v/>
      </c>
      <c r="E981" s="14">
        <f>IF(F981&lt;&gt;"","综合校验","")</f>
        <v/>
      </c>
      <c r="F981" s="14">
        <f>IF('03_地点锚点'!A481&lt;&gt;"",IF('03_地点锚点'!A481="","缺少地点ID；","")&amp;IF('03_地点锚点'!B481="","缺少中文名称；","")&amp;IF('03_地点锚点'!D481="","缺少地点类型；","")&amp;IF('03_地点锚点'!G481="","缺少世界X；","")&amp;IF('03_地点锚点'!H481="","缺少世界Y；","")&amp;IF(AND('03_地点锚点'!G481&lt;&gt;"",OR('03_地点锚点'!G481&lt;0,'03_地点锚点'!G481&gt;WorldWidth)),"世界X越界；","")&amp;IF(AND('03_地点锚点'!H481&lt;&gt;"",OR('03_地点锚点'!H481&lt;0,'03_地点锚点'!H481&gt;WorldHeight)),"世界Y越界；","")&amp;IF(AND('03_地点锚点'!E481&lt;&gt;"",COUNTIF('02_固定地理'!$A$2:$A$501,'03_地点锚点'!E481)=0),"父级行政对象不存在；","")&amp;IF(AND('03_地点锚点'!F481&lt;&gt;"",COUNTIF('03_地点锚点'!$A$2:$A$501,'03_地点锚点'!F481)=0),"父级地点不存在；","")&amp;IF(AND('03_地点锚点'!A481&lt;&gt;"",COUNTIF('03_地点锚点'!$A$2:$A$501,'03_地点锚点'!A481)&gt;1),"ID重复；",""),"")</f>
        <v/>
      </c>
      <c r="G981" s="14">
        <f>IF(F981&lt;&gt;"","按字段批注、数据字典和来源记录修正后复核","")</f>
        <v/>
      </c>
      <c r="H981" s="14">
        <f>IF(F981&lt;&gt;"","待处理","")</f>
        <v/>
      </c>
    </row>
    <row r="982">
      <c r="A982" s="14">
        <f>IF(F982&lt;&gt;"","ISSUE-"&amp;TEXT(ROW()-1,"00000"),"")</f>
        <v/>
      </c>
      <c r="B982" s="14">
        <f>IF(F982&lt;&gt;"","错误","")</f>
        <v/>
      </c>
      <c r="C982" s="14">
        <f>IF('03_地点锚点'!A482&lt;&gt;"","03_地点锚点","")</f>
        <v/>
      </c>
      <c r="D982" s="14">
        <f>IF('03_地点锚点'!A482&lt;&gt;"",'03_地点锚点'!A482,"")</f>
        <v/>
      </c>
      <c r="E982" s="14">
        <f>IF(F982&lt;&gt;"","综合校验","")</f>
        <v/>
      </c>
      <c r="F982" s="14">
        <f>IF('03_地点锚点'!A482&lt;&gt;"",IF('03_地点锚点'!A482="","缺少地点ID；","")&amp;IF('03_地点锚点'!B482="","缺少中文名称；","")&amp;IF('03_地点锚点'!D482="","缺少地点类型；","")&amp;IF('03_地点锚点'!G482="","缺少世界X；","")&amp;IF('03_地点锚点'!H482="","缺少世界Y；","")&amp;IF(AND('03_地点锚点'!G482&lt;&gt;"",OR('03_地点锚点'!G482&lt;0,'03_地点锚点'!G482&gt;WorldWidth)),"世界X越界；","")&amp;IF(AND('03_地点锚点'!H482&lt;&gt;"",OR('03_地点锚点'!H482&lt;0,'03_地点锚点'!H482&gt;WorldHeight)),"世界Y越界；","")&amp;IF(AND('03_地点锚点'!E482&lt;&gt;"",COUNTIF('02_固定地理'!$A$2:$A$501,'03_地点锚点'!E482)=0),"父级行政对象不存在；","")&amp;IF(AND('03_地点锚点'!F482&lt;&gt;"",COUNTIF('03_地点锚点'!$A$2:$A$501,'03_地点锚点'!F482)=0),"父级地点不存在；","")&amp;IF(AND('03_地点锚点'!A482&lt;&gt;"",COUNTIF('03_地点锚点'!$A$2:$A$501,'03_地点锚点'!A482)&gt;1),"ID重复；",""),"")</f>
        <v/>
      </c>
      <c r="G982" s="14">
        <f>IF(F982&lt;&gt;"","按字段批注、数据字典和来源记录修正后复核","")</f>
        <v/>
      </c>
      <c r="H982" s="14">
        <f>IF(F982&lt;&gt;"","待处理","")</f>
        <v/>
      </c>
    </row>
    <row r="983">
      <c r="A983" s="14">
        <f>IF(F983&lt;&gt;"","ISSUE-"&amp;TEXT(ROW()-1,"00000"),"")</f>
        <v/>
      </c>
      <c r="B983" s="14">
        <f>IF(F983&lt;&gt;"","错误","")</f>
        <v/>
      </c>
      <c r="C983" s="14">
        <f>IF('03_地点锚点'!A483&lt;&gt;"","03_地点锚点","")</f>
        <v/>
      </c>
      <c r="D983" s="14">
        <f>IF('03_地点锚点'!A483&lt;&gt;"",'03_地点锚点'!A483,"")</f>
        <v/>
      </c>
      <c r="E983" s="14">
        <f>IF(F983&lt;&gt;"","综合校验","")</f>
        <v/>
      </c>
      <c r="F983" s="14">
        <f>IF('03_地点锚点'!A483&lt;&gt;"",IF('03_地点锚点'!A483="","缺少地点ID；","")&amp;IF('03_地点锚点'!B483="","缺少中文名称；","")&amp;IF('03_地点锚点'!D483="","缺少地点类型；","")&amp;IF('03_地点锚点'!G483="","缺少世界X；","")&amp;IF('03_地点锚点'!H483="","缺少世界Y；","")&amp;IF(AND('03_地点锚点'!G483&lt;&gt;"",OR('03_地点锚点'!G483&lt;0,'03_地点锚点'!G483&gt;WorldWidth)),"世界X越界；","")&amp;IF(AND('03_地点锚点'!H483&lt;&gt;"",OR('03_地点锚点'!H483&lt;0,'03_地点锚点'!H483&gt;WorldHeight)),"世界Y越界；","")&amp;IF(AND('03_地点锚点'!E483&lt;&gt;"",COUNTIF('02_固定地理'!$A$2:$A$501,'03_地点锚点'!E483)=0),"父级行政对象不存在；","")&amp;IF(AND('03_地点锚点'!F483&lt;&gt;"",COUNTIF('03_地点锚点'!$A$2:$A$501,'03_地点锚点'!F483)=0),"父级地点不存在；","")&amp;IF(AND('03_地点锚点'!A483&lt;&gt;"",COUNTIF('03_地点锚点'!$A$2:$A$501,'03_地点锚点'!A483)&gt;1),"ID重复；",""),"")</f>
        <v/>
      </c>
      <c r="G983" s="14">
        <f>IF(F983&lt;&gt;"","按字段批注、数据字典和来源记录修正后复核","")</f>
        <v/>
      </c>
      <c r="H983" s="14">
        <f>IF(F983&lt;&gt;"","待处理","")</f>
        <v/>
      </c>
    </row>
    <row r="984">
      <c r="A984" s="14">
        <f>IF(F984&lt;&gt;"","ISSUE-"&amp;TEXT(ROW()-1,"00000"),"")</f>
        <v/>
      </c>
      <c r="B984" s="14">
        <f>IF(F984&lt;&gt;"","错误","")</f>
        <v/>
      </c>
      <c r="C984" s="14">
        <f>IF('03_地点锚点'!A484&lt;&gt;"","03_地点锚点","")</f>
        <v/>
      </c>
      <c r="D984" s="14">
        <f>IF('03_地点锚点'!A484&lt;&gt;"",'03_地点锚点'!A484,"")</f>
        <v/>
      </c>
      <c r="E984" s="14">
        <f>IF(F984&lt;&gt;"","综合校验","")</f>
        <v/>
      </c>
      <c r="F984" s="14">
        <f>IF('03_地点锚点'!A484&lt;&gt;"",IF('03_地点锚点'!A484="","缺少地点ID；","")&amp;IF('03_地点锚点'!B484="","缺少中文名称；","")&amp;IF('03_地点锚点'!D484="","缺少地点类型；","")&amp;IF('03_地点锚点'!G484="","缺少世界X；","")&amp;IF('03_地点锚点'!H484="","缺少世界Y；","")&amp;IF(AND('03_地点锚点'!G484&lt;&gt;"",OR('03_地点锚点'!G484&lt;0,'03_地点锚点'!G484&gt;WorldWidth)),"世界X越界；","")&amp;IF(AND('03_地点锚点'!H484&lt;&gt;"",OR('03_地点锚点'!H484&lt;0,'03_地点锚点'!H484&gt;WorldHeight)),"世界Y越界；","")&amp;IF(AND('03_地点锚点'!E484&lt;&gt;"",COUNTIF('02_固定地理'!$A$2:$A$501,'03_地点锚点'!E484)=0),"父级行政对象不存在；","")&amp;IF(AND('03_地点锚点'!F484&lt;&gt;"",COUNTIF('03_地点锚点'!$A$2:$A$501,'03_地点锚点'!F484)=0),"父级地点不存在；","")&amp;IF(AND('03_地点锚点'!A484&lt;&gt;"",COUNTIF('03_地点锚点'!$A$2:$A$501,'03_地点锚点'!A484)&gt;1),"ID重复；",""),"")</f>
        <v/>
      </c>
      <c r="G984" s="14">
        <f>IF(F984&lt;&gt;"","按字段批注、数据字典和来源记录修正后复核","")</f>
        <v/>
      </c>
      <c r="H984" s="14">
        <f>IF(F984&lt;&gt;"","待处理","")</f>
        <v/>
      </c>
    </row>
    <row r="985">
      <c r="A985" s="14">
        <f>IF(F985&lt;&gt;"","ISSUE-"&amp;TEXT(ROW()-1,"00000"),"")</f>
        <v/>
      </c>
      <c r="B985" s="14">
        <f>IF(F985&lt;&gt;"","错误","")</f>
        <v/>
      </c>
      <c r="C985" s="14">
        <f>IF('03_地点锚点'!A485&lt;&gt;"","03_地点锚点","")</f>
        <v/>
      </c>
      <c r="D985" s="14">
        <f>IF('03_地点锚点'!A485&lt;&gt;"",'03_地点锚点'!A485,"")</f>
        <v/>
      </c>
      <c r="E985" s="14">
        <f>IF(F985&lt;&gt;"","综合校验","")</f>
        <v/>
      </c>
      <c r="F985" s="14">
        <f>IF('03_地点锚点'!A485&lt;&gt;"",IF('03_地点锚点'!A485="","缺少地点ID；","")&amp;IF('03_地点锚点'!B485="","缺少中文名称；","")&amp;IF('03_地点锚点'!D485="","缺少地点类型；","")&amp;IF('03_地点锚点'!G485="","缺少世界X；","")&amp;IF('03_地点锚点'!H485="","缺少世界Y；","")&amp;IF(AND('03_地点锚点'!G485&lt;&gt;"",OR('03_地点锚点'!G485&lt;0,'03_地点锚点'!G485&gt;WorldWidth)),"世界X越界；","")&amp;IF(AND('03_地点锚点'!H485&lt;&gt;"",OR('03_地点锚点'!H485&lt;0,'03_地点锚点'!H485&gt;WorldHeight)),"世界Y越界；","")&amp;IF(AND('03_地点锚点'!E485&lt;&gt;"",COUNTIF('02_固定地理'!$A$2:$A$501,'03_地点锚点'!E485)=0),"父级行政对象不存在；","")&amp;IF(AND('03_地点锚点'!F485&lt;&gt;"",COUNTIF('03_地点锚点'!$A$2:$A$501,'03_地点锚点'!F485)=0),"父级地点不存在；","")&amp;IF(AND('03_地点锚点'!A485&lt;&gt;"",COUNTIF('03_地点锚点'!$A$2:$A$501,'03_地点锚点'!A485)&gt;1),"ID重复；",""),"")</f>
        <v/>
      </c>
      <c r="G985" s="14">
        <f>IF(F985&lt;&gt;"","按字段批注、数据字典和来源记录修正后复核","")</f>
        <v/>
      </c>
      <c r="H985" s="14">
        <f>IF(F985&lt;&gt;"","待处理","")</f>
        <v/>
      </c>
    </row>
    <row r="986">
      <c r="A986" s="14">
        <f>IF(F986&lt;&gt;"","ISSUE-"&amp;TEXT(ROW()-1,"00000"),"")</f>
        <v/>
      </c>
      <c r="B986" s="14">
        <f>IF(F986&lt;&gt;"","错误","")</f>
        <v/>
      </c>
      <c r="C986" s="14">
        <f>IF('03_地点锚点'!A486&lt;&gt;"","03_地点锚点","")</f>
        <v/>
      </c>
      <c r="D986" s="14">
        <f>IF('03_地点锚点'!A486&lt;&gt;"",'03_地点锚点'!A486,"")</f>
        <v/>
      </c>
      <c r="E986" s="14">
        <f>IF(F986&lt;&gt;"","综合校验","")</f>
        <v/>
      </c>
      <c r="F986" s="14">
        <f>IF('03_地点锚点'!A486&lt;&gt;"",IF('03_地点锚点'!A486="","缺少地点ID；","")&amp;IF('03_地点锚点'!B486="","缺少中文名称；","")&amp;IF('03_地点锚点'!D486="","缺少地点类型；","")&amp;IF('03_地点锚点'!G486="","缺少世界X；","")&amp;IF('03_地点锚点'!H486="","缺少世界Y；","")&amp;IF(AND('03_地点锚点'!G486&lt;&gt;"",OR('03_地点锚点'!G486&lt;0,'03_地点锚点'!G486&gt;WorldWidth)),"世界X越界；","")&amp;IF(AND('03_地点锚点'!H486&lt;&gt;"",OR('03_地点锚点'!H486&lt;0,'03_地点锚点'!H486&gt;WorldHeight)),"世界Y越界；","")&amp;IF(AND('03_地点锚点'!E486&lt;&gt;"",COUNTIF('02_固定地理'!$A$2:$A$501,'03_地点锚点'!E486)=0),"父级行政对象不存在；","")&amp;IF(AND('03_地点锚点'!F486&lt;&gt;"",COUNTIF('03_地点锚点'!$A$2:$A$501,'03_地点锚点'!F486)=0),"父级地点不存在；","")&amp;IF(AND('03_地点锚点'!A486&lt;&gt;"",COUNTIF('03_地点锚点'!$A$2:$A$501,'03_地点锚点'!A486)&gt;1),"ID重复；",""),"")</f>
        <v/>
      </c>
      <c r="G986" s="14">
        <f>IF(F986&lt;&gt;"","按字段批注、数据字典和来源记录修正后复核","")</f>
        <v/>
      </c>
      <c r="H986" s="14">
        <f>IF(F986&lt;&gt;"","待处理","")</f>
        <v/>
      </c>
    </row>
    <row r="987">
      <c r="A987" s="14">
        <f>IF(F987&lt;&gt;"","ISSUE-"&amp;TEXT(ROW()-1,"00000"),"")</f>
        <v/>
      </c>
      <c r="B987" s="14">
        <f>IF(F987&lt;&gt;"","错误","")</f>
        <v/>
      </c>
      <c r="C987" s="14">
        <f>IF('03_地点锚点'!A487&lt;&gt;"","03_地点锚点","")</f>
        <v/>
      </c>
      <c r="D987" s="14">
        <f>IF('03_地点锚点'!A487&lt;&gt;"",'03_地点锚点'!A487,"")</f>
        <v/>
      </c>
      <c r="E987" s="14">
        <f>IF(F987&lt;&gt;"","综合校验","")</f>
        <v/>
      </c>
      <c r="F987" s="14">
        <f>IF('03_地点锚点'!A487&lt;&gt;"",IF('03_地点锚点'!A487="","缺少地点ID；","")&amp;IF('03_地点锚点'!B487="","缺少中文名称；","")&amp;IF('03_地点锚点'!D487="","缺少地点类型；","")&amp;IF('03_地点锚点'!G487="","缺少世界X；","")&amp;IF('03_地点锚点'!H487="","缺少世界Y；","")&amp;IF(AND('03_地点锚点'!G487&lt;&gt;"",OR('03_地点锚点'!G487&lt;0,'03_地点锚点'!G487&gt;WorldWidth)),"世界X越界；","")&amp;IF(AND('03_地点锚点'!H487&lt;&gt;"",OR('03_地点锚点'!H487&lt;0,'03_地点锚点'!H487&gt;WorldHeight)),"世界Y越界；","")&amp;IF(AND('03_地点锚点'!E487&lt;&gt;"",COUNTIF('02_固定地理'!$A$2:$A$501,'03_地点锚点'!E487)=0),"父级行政对象不存在；","")&amp;IF(AND('03_地点锚点'!F487&lt;&gt;"",COUNTIF('03_地点锚点'!$A$2:$A$501,'03_地点锚点'!F487)=0),"父级地点不存在；","")&amp;IF(AND('03_地点锚点'!A487&lt;&gt;"",COUNTIF('03_地点锚点'!$A$2:$A$501,'03_地点锚点'!A487)&gt;1),"ID重复；",""),"")</f>
        <v/>
      </c>
      <c r="G987" s="14">
        <f>IF(F987&lt;&gt;"","按字段批注、数据字典和来源记录修正后复核","")</f>
        <v/>
      </c>
      <c r="H987" s="14">
        <f>IF(F987&lt;&gt;"","待处理","")</f>
        <v/>
      </c>
    </row>
    <row r="988">
      <c r="A988" s="14">
        <f>IF(F988&lt;&gt;"","ISSUE-"&amp;TEXT(ROW()-1,"00000"),"")</f>
        <v/>
      </c>
      <c r="B988" s="14">
        <f>IF(F988&lt;&gt;"","错误","")</f>
        <v/>
      </c>
      <c r="C988" s="14">
        <f>IF('03_地点锚点'!A488&lt;&gt;"","03_地点锚点","")</f>
        <v/>
      </c>
      <c r="D988" s="14">
        <f>IF('03_地点锚点'!A488&lt;&gt;"",'03_地点锚点'!A488,"")</f>
        <v/>
      </c>
      <c r="E988" s="14">
        <f>IF(F988&lt;&gt;"","综合校验","")</f>
        <v/>
      </c>
      <c r="F988" s="14">
        <f>IF('03_地点锚点'!A488&lt;&gt;"",IF('03_地点锚点'!A488="","缺少地点ID；","")&amp;IF('03_地点锚点'!B488="","缺少中文名称；","")&amp;IF('03_地点锚点'!D488="","缺少地点类型；","")&amp;IF('03_地点锚点'!G488="","缺少世界X；","")&amp;IF('03_地点锚点'!H488="","缺少世界Y；","")&amp;IF(AND('03_地点锚点'!G488&lt;&gt;"",OR('03_地点锚点'!G488&lt;0,'03_地点锚点'!G488&gt;WorldWidth)),"世界X越界；","")&amp;IF(AND('03_地点锚点'!H488&lt;&gt;"",OR('03_地点锚点'!H488&lt;0,'03_地点锚点'!H488&gt;WorldHeight)),"世界Y越界；","")&amp;IF(AND('03_地点锚点'!E488&lt;&gt;"",COUNTIF('02_固定地理'!$A$2:$A$501,'03_地点锚点'!E488)=0),"父级行政对象不存在；","")&amp;IF(AND('03_地点锚点'!F488&lt;&gt;"",COUNTIF('03_地点锚点'!$A$2:$A$501,'03_地点锚点'!F488)=0),"父级地点不存在；","")&amp;IF(AND('03_地点锚点'!A488&lt;&gt;"",COUNTIF('03_地点锚点'!$A$2:$A$501,'03_地点锚点'!A488)&gt;1),"ID重复；",""),"")</f>
        <v/>
      </c>
      <c r="G988" s="14">
        <f>IF(F988&lt;&gt;"","按字段批注、数据字典和来源记录修正后复核","")</f>
        <v/>
      </c>
      <c r="H988" s="14">
        <f>IF(F988&lt;&gt;"","待处理","")</f>
        <v/>
      </c>
    </row>
    <row r="989">
      <c r="A989" s="14">
        <f>IF(F989&lt;&gt;"","ISSUE-"&amp;TEXT(ROW()-1,"00000"),"")</f>
        <v/>
      </c>
      <c r="B989" s="14">
        <f>IF(F989&lt;&gt;"","错误","")</f>
        <v/>
      </c>
      <c r="C989" s="14">
        <f>IF('03_地点锚点'!A489&lt;&gt;"","03_地点锚点","")</f>
        <v/>
      </c>
      <c r="D989" s="14">
        <f>IF('03_地点锚点'!A489&lt;&gt;"",'03_地点锚点'!A489,"")</f>
        <v/>
      </c>
      <c r="E989" s="14">
        <f>IF(F989&lt;&gt;"","综合校验","")</f>
        <v/>
      </c>
      <c r="F989" s="14">
        <f>IF('03_地点锚点'!A489&lt;&gt;"",IF('03_地点锚点'!A489="","缺少地点ID；","")&amp;IF('03_地点锚点'!B489="","缺少中文名称；","")&amp;IF('03_地点锚点'!D489="","缺少地点类型；","")&amp;IF('03_地点锚点'!G489="","缺少世界X；","")&amp;IF('03_地点锚点'!H489="","缺少世界Y；","")&amp;IF(AND('03_地点锚点'!G489&lt;&gt;"",OR('03_地点锚点'!G489&lt;0,'03_地点锚点'!G489&gt;WorldWidth)),"世界X越界；","")&amp;IF(AND('03_地点锚点'!H489&lt;&gt;"",OR('03_地点锚点'!H489&lt;0,'03_地点锚点'!H489&gt;WorldHeight)),"世界Y越界；","")&amp;IF(AND('03_地点锚点'!E489&lt;&gt;"",COUNTIF('02_固定地理'!$A$2:$A$501,'03_地点锚点'!E489)=0),"父级行政对象不存在；","")&amp;IF(AND('03_地点锚点'!F489&lt;&gt;"",COUNTIF('03_地点锚点'!$A$2:$A$501,'03_地点锚点'!F489)=0),"父级地点不存在；","")&amp;IF(AND('03_地点锚点'!A489&lt;&gt;"",COUNTIF('03_地点锚点'!$A$2:$A$501,'03_地点锚点'!A489)&gt;1),"ID重复；",""),"")</f>
        <v/>
      </c>
      <c r="G989" s="14">
        <f>IF(F989&lt;&gt;"","按字段批注、数据字典和来源记录修正后复核","")</f>
        <v/>
      </c>
      <c r="H989" s="14">
        <f>IF(F989&lt;&gt;"","待处理","")</f>
        <v/>
      </c>
    </row>
    <row r="990">
      <c r="A990" s="14">
        <f>IF(F990&lt;&gt;"","ISSUE-"&amp;TEXT(ROW()-1,"00000"),"")</f>
        <v/>
      </c>
      <c r="B990" s="14">
        <f>IF(F990&lt;&gt;"","错误","")</f>
        <v/>
      </c>
      <c r="C990" s="14">
        <f>IF('03_地点锚点'!A490&lt;&gt;"","03_地点锚点","")</f>
        <v/>
      </c>
      <c r="D990" s="14">
        <f>IF('03_地点锚点'!A490&lt;&gt;"",'03_地点锚点'!A490,"")</f>
        <v/>
      </c>
      <c r="E990" s="14">
        <f>IF(F990&lt;&gt;"","综合校验","")</f>
        <v/>
      </c>
      <c r="F990" s="14">
        <f>IF('03_地点锚点'!A490&lt;&gt;"",IF('03_地点锚点'!A490="","缺少地点ID；","")&amp;IF('03_地点锚点'!B490="","缺少中文名称；","")&amp;IF('03_地点锚点'!D490="","缺少地点类型；","")&amp;IF('03_地点锚点'!G490="","缺少世界X；","")&amp;IF('03_地点锚点'!H490="","缺少世界Y；","")&amp;IF(AND('03_地点锚点'!G490&lt;&gt;"",OR('03_地点锚点'!G490&lt;0,'03_地点锚点'!G490&gt;WorldWidth)),"世界X越界；","")&amp;IF(AND('03_地点锚点'!H490&lt;&gt;"",OR('03_地点锚点'!H490&lt;0,'03_地点锚点'!H490&gt;WorldHeight)),"世界Y越界；","")&amp;IF(AND('03_地点锚点'!E490&lt;&gt;"",COUNTIF('02_固定地理'!$A$2:$A$501,'03_地点锚点'!E490)=0),"父级行政对象不存在；","")&amp;IF(AND('03_地点锚点'!F490&lt;&gt;"",COUNTIF('03_地点锚点'!$A$2:$A$501,'03_地点锚点'!F490)=0),"父级地点不存在；","")&amp;IF(AND('03_地点锚点'!A490&lt;&gt;"",COUNTIF('03_地点锚点'!$A$2:$A$501,'03_地点锚点'!A490)&gt;1),"ID重复；",""),"")</f>
        <v/>
      </c>
      <c r="G990" s="14">
        <f>IF(F990&lt;&gt;"","按字段批注、数据字典和来源记录修正后复核","")</f>
        <v/>
      </c>
      <c r="H990" s="14">
        <f>IF(F990&lt;&gt;"","待处理","")</f>
        <v/>
      </c>
    </row>
    <row r="991">
      <c r="A991" s="14">
        <f>IF(F991&lt;&gt;"","ISSUE-"&amp;TEXT(ROW()-1,"00000"),"")</f>
        <v/>
      </c>
      <c r="B991" s="14">
        <f>IF(F991&lt;&gt;"","错误","")</f>
        <v/>
      </c>
      <c r="C991" s="14">
        <f>IF('03_地点锚点'!A491&lt;&gt;"","03_地点锚点","")</f>
        <v/>
      </c>
      <c r="D991" s="14">
        <f>IF('03_地点锚点'!A491&lt;&gt;"",'03_地点锚点'!A491,"")</f>
        <v/>
      </c>
      <c r="E991" s="14">
        <f>IF(F991&lt;&gt;"","综合校验","")</f>
        <v/>
      </c>
      <c r="F991" s="14">
        <f>IF('03_地点锚点'!A491&lt;&gt;"",IF('03_地点锚点'!A491="","缺少地点ID；","")&amp;IF('03_地点锚点'!B491="","缺少中文名称；","")&amp;IF('03_地点锚点'!D491="","缺少地点类型；","")&amp;IF('03_地点锚点'!G491="","缺少世界X；","")&amp;IF('03_地点锚点'!H491="","缺少世界Y；","")&amp;IF(AND('03_地点锚点'!G491&lt;&gt;"",OR('03_地点锚点'!G491&lt;0,'03_地点锚点'!G491&gt;WorldWidth)),"世界X越界；","")&amp;IF(AND('03_地点锚点'!H491&lt;&gt;"",OR('03_地点锚点'!H491&lt;0,'03_地点锚点'!H491&gt;WorldHeight)),"世界Y越界；","")&amp;IF(AND('03_地点锚点'!E491&lt;&gt;"",COUNTIF('02_固定地理'!$A$2:$A$501,'03_地点锚点'!E491)=0),"父级行政对象不存在；","")&amp;IF(AND('03_地点锚点'!F491&lt;&gt;"",COUNTIF('03_地点锚点'!$A$2:$A$501,'03_地点锚点'!F491)=0),"父级地点不存在；","")&amp;IF(AND('03_地点锚点'!A491&lt;&gt;"",COUNTIF('03_地点锚点'!$A$2:$A$501,'03_地点锚点'!A491)&gt;1),"ID重复；",""),"")</f>
        <v/>
      </c>
      <c r="G991" s="14">
        <f>IF(F991&lt;&gt;"","按字段批注、数据字典和来源记录修正后复核","")</f>
        <v/>
      </c>
      <c r="H991" s="14">
        <f>IF(F991&lt;&gt;"","待处理","")</f>
        <v/>
      </c>
    </row>
    <row r="992">
      <c r="A992" s="14">
        <f>IF(F992&lt;&gt;"","ISSUE-"&amp;TEXT(ROW()-1,"00000"),"")</f>
        <v/>
      </c>
      <c r="B992" s="14">
        <f>IF(F992&lt;&gt;"","错误","")</f>
        <v/>
      </c>
      <c r="C992" s="14">
        <f>IF('03_地点锚点'!A492&lt;&gt;"","03_地点锚点","")</f>
        <v/>
      </c>
      <c r="D992" s="14">
        <f>IF('03_地点锚点'!A492&lt;&gt;"",'03_地点锚点'!A492,"")</f>
        <v/>
      </c>
      <c r="E992" s="14">
        <f>IF(F992&lt;&gt;"","综合校验","")</f>
        <v/>
      </c>
      <c r="F992" s="14">
        <f>IF('03_地点锚点'!A492&lt;&gt;"",IF('03_地点锚点'!A492="","缺少地点ID；","")&amp;IF('03_地点锚点'!B492="","缺少中文名称；","")&amp;IF('03_地点锚点'!D492="","缺少地点类型；","")&amp;IF('03_地点锚点'!G492="","缺少世界X；","")&amp;IF('03_地点锚点'!H492="","缺少世界Y；","")&amp;IF(AND('03_地点锚点'!G492&lt;&gt;"",OR('03_地点锚点'!G492&lt;0,'03_地点锚点'!G492&gt;WorldWidth)),"世界X越界；","")&amp;IF(AND('03_地点锚点'!H492&lt;&gt;"",OR('03_地点锚点'!H492&lt;0,'03_地点锚点'!H492&gt;WorldHeight)),"世界Y越界；","")&amp;IF(AND('03_地点锚点'!E492&lt;&gt;"",COUNTIF('02_固定地理'!$A$2:$A$501,'03_地点锚点'!E492)=0),"父级行政对象不存在；","")&amp;IF(AND('03_地点锚点'!F492&lt;&gt;"",COUNTIF('03_地点锚点'!$A$2:$A$501,'03_地点锚点'!F492)=0),"父级地点不存在；","")&amp;IF(AND('03_地点锚点'!A492&lt;&gt;"",COUNTIF('03_地点锚点'!$A$2:$A$501,'03_地点锚点'!A492)&gt;1),"ID重复；",""),"")</f>
        <v/>
      </c>
      <c r="G992" s="14">
        <f>IF(F992&lt;&gt;"","按字段批注、数据字典和来源记录修正后复核","")</f>
        <v/>
      </c>
      <c r="H992" s="14">
        <f>IF(F992&lt;&gt;"","待处理","")</f>
        <v/>
      </c>
    </row>
    <row r="993">
      <c r="A993" s="14">
        <f>IF(F993&lt;&gt;"","ISSUE-"&amp;TEXT(ROW()-1,"00000"),"")</f>
        <v/>
      </c>
      <c r="B993" s="14">
        <f>IF(F993&lt;&gt;"","错误","")</f>
        <v/>
      </c>
      <c r="C993" s="14">
        <f>IF('03_地点锚点'!A493&lt;&gt;"","03_地点锚点","")</f>
        <v/>
      </c>
      <c r="D993" s="14">
        <f>IF('03_地点锚点'!A493&lt;&gt;"",'03_地点锚点'!A493,"")</f>
        <v/>
      </c>
      <c r="E993" s="14">
        <f>IF(F993&lt;&gt;"","综合校验","")</f>
        <v/>
      </c>
      <c r="F993" s="14">
        <f>IF('03_地点锚点'!A493&lt;&gt;"",IF('03_地点锚点'!A493="","缺少地点ID；","")&amp;IF('03_地点锚点'!B493="","缺少中文名称；","")&amp;IF('03_地点锚点'!D493="","缺少地点类型；","")&amp;IF('03_地点锚点'!G493="","缺少世界X；","")&amp;IF('03_地点锚点'!H493="","缺少世界Y；","")&amp;IF(AND('03_地点锚点'!G493&lt;&gt;"",OR('03_地点锚点'!G493&lt;0,'03_地点锚点'!G493&gt;WorldWidth)),"世界X越界；","")&amp;IF(AND('03_地点锚点'!H493&lt;&gt;"",OR('03_地点锚点'!H493&lt;0,'03_地点锚点'!H493&gt;WorldHeight)),"世界Y越界；","")&amp;IF(AND('03_地点锚点'!E493&lt;&gt;"",COUNTIF('02_固定地理'!$A$2:$A$501,'03_地点锚点'!E493)=0),"父级行政对象不存在；","")&amp;IF(AND('03_地点锚点'!F493&lt;&gt;"",COUNTIF('03_地点锚点'!$A$2:$A$501,'03_地点锚点'!F493)=0),"父级地点不存在；","")&amp;IF(AND('03_地点锚点'!A493&lt;&gt;"",COUNTIF('03_地点锚点'!$A$2:$A$501,'03_地点锚点'!A493)&gt;1),"ID重复；",""),"")</f>
        <v/>
      </c>
      <c r="G993" s="14">
        <f>IF(F993&lt;&gt;"","按字段批注、数据字典和来源记录修正后复核","")</f>
        <v/>
      </c>
      <c r="H993" s="14">
        <f>IF(F993&lt;&gt;"","待处理","")</f>
        <v/>
      </c>
    </row>
    <row r="994">
      <c r="A994" s="14">
        <f>IF(F994&lt;&gt;"","ISSUE-"&amp;TEXT(ROW()-1,"00000"),"")</f>
        <v/>
      </c>
      <c r="B994" s="14">
        <f>IF(F994&lt;&gt;"","错误","")</f>
        <v/>
      </c>
      <c r="C994" s="14">
        <f>IF('03_地点锚点'!A494&lt;&gt;"","03_地点锚点","")</f>
        <v/>
      </c>
      <c r="D994" s="14">
        <f>IF('03_地点锚点'!A494&lt;&gt;"",'03_地点锚点'!A494,"")</f>
        <v/>
      </c>
      <c r="E994" s="14">
        <f>IF(F994&lt;&gt;"","综合校验","")</f>
        <v/>
      </c>
      <c r="F994" s="14">
        <f>IF('03_地点锚点'!A494&lt;&gt;"",IF('03_地点锚点'!A494="","缺少地点ID；","")&amp;IF('03_地点锚点'!B494="","缺少中文名称；","")&amp;IF('03_地点锚点'!D494="","缺少地点类型；","")&amp;IF('03_地点锚点'!G494="","缺少世界X；","")&amp;IF('03_地点锚点'!H494="","缺少世界Y；","")&amp;IF(AND('03_地点锚点'!G494&lt;&gt;"",OR('03_地点锚点'!G494&lt;0,'03_地点锚点'!G494&gt;WorldWidth)),"世界X越界；","")&amp;IF(AND('03_地点锚点'!H494&lt;&gt;"",OR('03_地点锚点'!H494&lt;0,'03_地点锚点'!H494&gt;WorldHeight)),"世界Y越界；","")&amp;IF(AND('03_地点锚点'!E494&lt;&gt;"",COUNTIF('02_固定地理'!$A$2:$A$501,'03_地点锚点'!E494)=0),"父级行政对象不存在；","")&amp;IF(AND('03_地点锚点'!F494&lt;&gt;"",COUNTIF('03_地点锚点'!$A$2:$A$501,'03_地点锚点'!F494)=0),"父级地点不存在；","")&amp;IF(AND('03_地点锚点'!A494&lt;&gt;"",COUNTIF('03_地点锚点'!$A$2:$A$501,'03_地点锚点'!A494)&gt;1),"ID重复；",""),"")</f>
        <v/>
      </c>
      <c r="G994" s="14">
        <f>IF(F994&lt;&gt;"","按字段批注、数据字典和来源记录修正后复核","")</f>
        <v/>
      </c>
      <c r="H994" s="14">
        <f>IF(F994&lt;&gt;"","待处理","")</f>
        <v/>
      </c>
    </row>
    <row r="995">
      <c r="A995" s="14">
        <f>IF(F995&lt;&gt;"","ISSUE-"&amp;TEXT(ROW()-1,"00000"),"")</f>
        <v/>
      </c>
      <c r="B995" s="14">
        <f>IF(F995&lt;&gt;"","错误","")</f>
        <v/>
      </c>
      <c r="C995" s="14">
        <f>IF('03_地点锚点'!A495&lt;&gt;"","03_地点锚点","")</f>
        <v/>
      </c>
      <c r="D995" s="14">
        <f>IF('03_地点锚点'!A495&lt;&gt;"",'03_地点锚点'!A495,"")</f>
        <v/>
      </c>
      <c r="E995" s="14">
        <f>IF(F995&lt;&gt;"","综合校验","")</f>
        <v/>
      </c>
      <c r="F995" s="14">
        <f>IF('03_地点锚点'!A495&lt;&gt;"",IF('03_地点锚点'!A495="","缺少地点ID；","")&amp;IF('03_地点锚点'!B495="","缺少中文名称；","")&amp;IF('03_地点锚点'!D495="","缺少地点类型；","")&amp;IF('03_地点锚点'!G495="","缺少世界X；","")&amp;IF('03_地点锚点'!H495="","缺少世界Y；","")&amp;IF(AND('03_地点锚点'!G495&lt;&gt;"",OR('03_地点锚点'!G495&lt;0,'03_地点锚点'!G495&gt;WorldWidth)),"世界X越界；","")&amp;IF(AND('03_地点锚点'!H495&lt;&gt;"",OR('03_地点锚点'!H495&lt;0,'03_地点锚点'!H495&gt;WorldHeight)),"世界Y越界；","")&amp;IF(AND('03_地点锚点'!E495&lt;&gt;"",COUNTIF('02_固定地理'!$A$2:$A$501,'03_地点锚点'!E495)=0),"父级行政对象不存在；","")&amp;IF(AND('03_地点锚点'!F495&lt;&gt;"",COUNTIF('03_地点锚点'!$A$2:$A$501,'03_地点锚点'!F495)=0),"父级地点不存在；","")&amp;IF(AND('03_地点锚点'!A495&lt;&gt;"",COUNTIF('03_地点锚点'!$A$2:$A$501,'03_地点锚点'!A495)&gt;1),"ID重复；",""),"")</f>
        <v/>
      </c>
      <c r="G995" s="14">
        <f>IF(F995&lt;&gt;"","按字段批注、数据字典和来源记录修正后复核","")</f>
        <v/>
      </c>
      <c r="H995" s="14">
        <f>IF(F995&lt;&gt;"","待处理","")</f>
        <v/>
      </c>
    </row>
    <row r="996">
      <c r="A996" s="14">
        <f>IF(F996&lt;&gt;"","ISSUE-"&amp;TEXT(ROW()-1,"00000"),"")</f>
        <v/>
      </c>
      <c r="B996" s="14">
        <f>IF(F996&lt;&gt;"","错误","")</f>
        <v/>
      </c>
      <c r="C996" s="14">
        <f>IF('03_地点锚点'!A496&lt;&gt;"","03_地点锚点","")</f>
        <v/>
      </c>
      <c r="D996" s="14">
        <f>IF('03_地点锚点'!A496&lt;&gt;"",'03_地点锚点'!A496,"")</f>
        <v/>
      </c>
      <c r="E996" s="14">
        <f>IF(F996&lt;&gt;"","综合校验","")</f>
        <v/>
      </c>
      <c r="F996" s="14">
        <f>IF('03_地点锚点'!A496&lt;&gt;"",IF('03_地点锚点'!A496="","缺少地点ID；","")&amp;IF('03_地点锚点'!B496="","缺少中文名称；","")&amp;IF('03_地点锚点'!D496="","缺少地点类型；","")&amp;IF('03_地点锚点'!G496="","缺少世界X；","")&amp;IF('03_地点锚点'!H496="","缺少世界Y；","")&amp;IF(AND('03_地点锚点'!G496&lt;&gt;"",OR('03_地点锚点'!G496&lt;0,'03_地点锚点'!G496&gt;WorldWidth)),"世界X越界；","")&amp;IF(AND('03_地点锚点'!H496&lt;&gt;"",OR('03_地点锚点'!H496&lt;0,'03_地点锚点'!H496&gt;WorldHeight)),"世界Y越界；","")&amp;IF(AND('03_地点锚点'!E496&lt;&gt;"",COUNTIF('02_固定地理'!$A$2:$A$501,'03_地点锚点'!E496)=0),"父级行政对象不存在；","")&amp;IF(AND('03_地点锚点'!F496&lt;&gt;"",COUNTIF('03_地点锚点'!$A$2:$A$501,'03_地点锚点'!F496)=0),"父级地点不存在；","")&amp;IF(AND('03_地点锚点'!A496&lt;&gt;"",COUNTIF('03_地点锚点'!$A$2:$A$501,'03_地点锚点'!A496)&gt;1),"ID重复；",""),"")</f>
        <v/>
      </c>
      <c r="G996" s="14">
        <f>IF(F996&lt;&gt;"","按字段批注、数据字典和来源记录修正后复核","")</f>
        <v/>
      </c>
      <c r="H996" s="14">
        <f>IF(F996&lt;&gt;"","待处理","")</f>
        <v/>
      </c>
    </row>
    <row r="997">
      <c r="A997" s="14">
        <f>IF(F997&lt;&gt;"","ISSUE-"&amp;TEXT(ROW()-1,"00000"),"")</f>
        <v/>
      </c>
      <c r="B997" s="14">
        <f>IF(F997&lt;&gt;"","错误","")</f>
        <v/>
      </c>
      <c r="C997" s="14">
        <f>IF('03_地点锚点'!A497&lt;&gt;"","03_地点锚点","")</f>
        <v/>
      </c>
      <c r="D997" s="14">
        <f>IF('03_地点锚点'!A497&lt;&gt;"",'03_地点锚点'!A497,"")</f>
        <v/>
      </c>
      <c r="E997" s="14">
        <f>IF(F997&lt;&gt;"","综合校验","")</f>
        <v/>
      </c>
      <c r="F997" s="14">
        <f>IF('03_地点锚点'!A497&lt;&gt;"",IF('03_地点锚点'!A497="","缺少地点ID；","")&amp;IF('03_地点锚点'!B497="","缺少中文名称；","")&amp;IF('03_地点锚点'!D497="","缺少地点类型；","")&amp;IF('03_地点锚点'!G497="","缺少世界X；","")&amp;IF('03_地点锚点'!H497="","缺少世界Y；","")&amp;IF(AND('03_地点锚点'!G497&lt;&gt;"",OR('03_地点锚点'!G497&lt;0,'03_地点锚点'!G497&gt;WorldWidth)),"世界X越界；","")&amp;IF(AND('03_地点锚点'!H497&lt;&gt;"",OR('03_地点锚点'!H497&lt;0,'03_地点锚点'!H497&gt;WorldHeight)),"世界Y越界；","")&amp;IF(AND('03_地点锚点'!E497&lt;&gt;"",COUNTIF('02_固定地理'!$A$2:$A$501,'03_地点锚点'!E497)=0),"父级行政对象不存在；","")&amp;IF(AND('03_地点锚点'!F497&lt;&gt;"",COUNTIF('03_地点锚点'!$A$2:$A$501,'03_地点锚点'!F497)=0),"父级地点不存在；","")&amp;IF(AND('03_地点锚点'!A497&lt;&gt;"",COUNTIF('03_地点锚点'!$A$2:$A$501,'03_地点锚点'!A497)&gt;1),"ID重复；",""),"")</f>
        <v/>
      </c>
      <c r="G997" s="14">
        <f>IF(F997&lt;&gt;"","按字段批注、数据字典和来源记录修正后复核","")</f>
        <v/>
      </c>
      <c r="H997" s="14">
        <f>IF(F997&lt;&gt;"","待处理","")</f>
        <v/>
      </c>
    </row>
    <row r="998">
      <c r="A998" s="14">
        <f>IF(F998&lt;&gt;"","ISSUE-"&amp;TEXT(ROW()-1,"00000"),"")</f>
        <v/>
      </c>
      <c r="B998" s="14">
        <f>IF(F998&lt;&gt;"","错误","")</f>
        <v/>
      </c>
      <c r="C998" s="14">
        <f>IF('03_地点锚点'!A498&lt;&gt;"","03_地点锚点","")</f>
        <v/>
      </c>
      <c r="D998" s="14">
        <f>IF('03_地点锚点'!A498&lt;&gt;"",'03_地点锚点'!A498,"")</f>
        <v/>
      </c>
      <c r="E998" s="14">
        <f>IF(F998&lt;&gt;"","综合校验","")</f>
        <v/>
      </c>
      <c r="F998" s="14">
        <f>IF('03_地点锚点'!A498&lt;&gt;"",IF('03_地点锚点'!A498="","缺少地点ID；","")&amp;IF('03_地点锚点'!B498="","缺少中文名称；","")&amp;IF('03_地点锚点'!D498="","缺少地点类型；","")&amp;IF('03_地点锚点'!G498="","缺少世界X；","")&amp;IF('03_地点锚点'!H498="","缺少世界Y；","")&amp;IF(AND('03_地点锚点'!G498&lt;&gt;"",OR('03_地点锚点'!G498&lt;0,'03_地点锚点'!G498&gt;WorldWidth)),"世界X越界；","")&amp;IF(AND('03_地点锚点'!H498&lt;&gt;"",OR('03_地点锚点'!H498&lt;0,'03_地点锚点'!H498&gt;WorldHeight)),"世界Y越界；","")&amp;IF(AND('03_地点锚点'!E498&lt;&gt;"",COUNTIF('02_固定地理'!$A$2:$A$501,'03_地点锚点'!E498)=0),"父级行政对象不存在；","")&amp;IF(AND('03_地点锚点'!F498&lt;&gt;"",COUNTIF('03_地点锚点'!$A$2:$A$501,'03_地点锚点'!F498)=0),"父级地点不存在；","")&amp;IF(AND('03_地点锚点'!A498&lt;&gt;"",COUNTIF('03_地点锚点'!$A$2:$A$501,'03_地点锚点'!A498)&gt;1),"ID重复；",""),"")</f>
        <v/>
      </c>
      <c r="G998" s="14">
        <f>IF(F998&lt;&gt;"","按字段批注、数据字典和来源记录修正后复核","")</f>
        <v/>
      </c>
      <c r="H998" s="14">
        <f>IF(F998&lt;&gt;"","待处理","")</f>
        <v/>
      </c>
    </row>
    <row r="999">
      <c r="A999" s="14">
        <f>IF(F999&lt;&gt;"","ISSUE-"&amp;TEXT(ROW()-1,"00000"),"")</f>
        <v/>
      </c>
      <c r="B999" s="14">
        <f>IF(F999&lt;&gt;"","错误","")</f>
        <v/>
      </c>
      <c r="C999" s="14">
        <f>IF('03_地点锚点'!A499&lt;&gt;"","03_地点锚点","")</f>
        <v/>
      </c>
      <c r="D999" s="14">
        <f>IF('03_地点锚点'!A499&lt;&gt;"",'03_地点锚点'!A499,"")</f>
        <v/>
      </c>
      <c r="E999" s="14">
        <f>IF(F999&lt;&gt;"","综合校验","")</f>
        <v/>
      </c>
      <c r="F999" s="14">
        <f>IF('03_地点锚点'!A499&lt;&gt;"",IF('03_地点锚点'!A499="","缺少地点ID；","")&amp;IF('03_地点锚点'!B499="","缺少中文名称；","")&amp;IF('03_地点锚点'!D499="","缺少地点类型；","")&amp;IF('03_地点锚点'!G499="","缺少世界X；","")&amp;IF('03_地点锚点'!H499="","缺少世界Y；","")&amp;IF(AND('03_地点锚点'!G499&lt;&gt;"",OR('03_地点锚点'!G499&lt;0,'03_地点锚点'!G499&gt;WorldWidth)),"世界X越界；","")&amp;IF(AND('03_地点锚点'!H499&lt;&gt;"",OR('03_地点锚点'!H499&lt;0,'03_地点锚点'!H499&gt;WorldHeight)),"世界Y越界；","")&amp;IF(AND('03_地点锚点'!E499&lt;&gt;"",COUNTIF('02_固定地理'!$A$2:$A$501,'03_地点锚点'!E499)=0),"父级行政对象不存在；","")&amp;IF(AND('03_地点锚点'!F499&lt;&gt;"",COUNTIF('03_地点锚点'!$A$2:$A$501,'03_地点锚点'!F499)=0),"父级地点不存在；","")&amp;IF(AND('03_地点锚点'!A499&lt;&gt;"",COUNTIF('03_地点锚点'!$A$2:$A$501,'03_地点锚点'!A499)&gt;1),"ID重复；",""),"")</f>
        <v/>
      </c>
      <c r="G999" s="14">
        <f>IF(F999&lt;&gt;"","按字段批注、数据字典和来源记录修正后复核","")</f>
        <v/>
      </c>
      <c r="H999" s="14">
        <f>IF(F999&lt;&gt;"","待处理","")</f>
        <v/>
      </c>
    </row>
    <row r="1000">
      <c r="A1000" s="14">
        <f>IF(F1000&lt;&gt;"","ISSUE-"&amp;TEXT(ROW()-1,"00000"),"")</f>
        <v/>
      </c>
      <c r="B1000" s="14">
        <f>IF(F1000&lt;&gt;"","错误","")</f>
        <v/>
      </c>
      <c r="C1000" s="14">
        <f>IF('03_地点锚点'!A500&lt;&gt;"","03_地点锚点","")</f>
        <v/>
      </c>
      <c r="D1000" s="14">
        <f>IF('03_地点锚点'!A500&lt;&gt;"",'03_地点锚点'!A500,"")</f>
        <v/>
      </c>
      <c r="E1000" s="14">
        <f>IF(F1000&lt;&gt;"","综合校验","")</f>
        <v/>
      </c>
      <c r="F1000" s="14">
        <f>IF('03_地点锚点'!A500&lt;&gt;"",IF('03_地点锚点'!A500="","缺少地点ID；","")&amp;IF('03_地点锚点'!B500="","缺少中文名称；","")&amp;IF('03_地点锚点'!D500="","缺少地点类型；","")&amp;IF('03_地点锚点'!G500="","缺少世界X；","")&amp;IF('03_地点锚点'!H500="","缺少世界Y；","")&amp;IF(AND('03_地点锚点'!G500&lt;&gt;"",OR('03_地点锚点'!G500&lt;0,'03_地点锚点'!G500&gt;WorldWidth)),"世界X越界；","")&amp;IF(AND('03_地点锚点'!H500&lt;&gt;"",OR('03_地点锚点'!H500&lt;0,'03_地点锚点'!H500&gt;WorldHeight)),"世界Y越界；","")&amp;IF(AND('03_地点锚点'!E500&lt;&gt;"",COUNTIF('02_固定地理'!$A$2:$A$501,'03_地点锚点'!E500)=0),"父级行政对象不存在；","")&amp;IF(AND('03_地点锚点'!F500&lt;&gt;"",COUNTIF('03_地点锚点'!$A$2:$A$501,'03_地点锚点'!F500)=0),"父级地点不存在；","")&amp;IF(AND('03_地点锚点'!A500&lt;&gt;"",COUNTIF('03_地点锚点'!$A$2:$A$501,'03_地点锚点'!A500)&gt;1),"ID重复；",""),"")</f>
        <v/>
      </c>
      <c r="G1000" s="14">
        <f>IF(F1000&lt;&gt;"","按字段批注、数据字典和来源记录修正后复核","")</f>
        <v/>
      </c>
      <c r="H1000" s="14">
        <f>IF(F1000&lt;&gt;"","待处理","")</f>
        <v/>
      </c>
    </row>
    <row r="1001">
      <c r="A1001" s="14">
        <f>IF(F1001&lt;&gt;"","ISSUE-"&amp;TEXT(ROW()-1,"00000"),"")</f>
        <v/>
      </c>
      <c r="B1001" s="14">
        <f>IF(F1001&lt;&gt;"","错误","")</f>
        <v/>
      </c>
      <c r="C1001" s="14">
        <f>IF('03_地点锚点'!A501&lt;&gt;"","03_地点锚点","")</f>
        <v/>
      </c>
      <c r="D1001" s="14">
        <f>IF('03_地点锚点'!A501&lt;&gt;"",'03_地点锚点'!A501,"")</f>
        <v/>
      </c>
      <c r="E1001" s="14">
        <f>IF(F1001&lt;&gt;"","综合校验","")</f>
        <v/>
      </c>
      <c r="F1001" s="14">
        <f>IF('03_地点锚点'!A501&lt;&gt;"",IF('03_地点锚点'!A501="","缺少地点ID；","")&amp;IF('03_地点锚点'!B501="","缺少中文名称；","")&amp;IF('03_地点锚点'!D501="","缺少地点类型；","")&amp;IF('03_地点锚点'!G501="","缺少世界X；","")&amp;IF('03_地点锚点'!H501="","缺少世界Y；","")&amp;IF(AND('03_地点锚点'!G501&lt;&gt;"",OR('03_地点锚点'!G501&lt;0,'03_地点锚点'!G501&gt;WorldWidth)),"世界X越界；","")&amp;IF(AND('03_地点锚点'!H501&lt;&gt;"",OR('03_地点锚点'!H501&lt;0,'03_地点锚点'!H501&gt;WorldHeight)),"世界Y越界；","")&amp;IF(AND('03_地点锚点'!E501&lt;&gt;"",COUNTIF('02_固定地理'!$A$2:$A$501,'03_地点锚点'!E501)=0),"父级行政对象不存在；","")&amp;IF(AND('03_地点锚点'!F501&lt;&gt;"",COUNTIF('03_地点锚点'!$A$2:$A$501,'03_地点锚点'!F501)=0),"父级地点不存在；","")&amp;IF(AND('03_地点锚点'!A501&lt;&gt;"",COUNTIF('03_地点锚点'!$A$2:$A$501,'03_地点锚点'!A501)&gt;1),"ID重复；",""),"")</f>
        <v/>
      </c>
      <c r="G1001" s="14">
        <f>IF(F1001&lt;&gt;"","按字段批注、数据字典和来源记录修正后复核","")</f>
        <v/>
      </c>
      <c r="H1001" s="14">
        <f>IF(F1001&lt;&gt;"","待处理","")</f>
        <v/>
      </c>
    </row>
    <row r="1002">
      <c r="A1002" s="14">
        <f>IF(F1002&lt;&gt;"","ISSUE-"&amp;TEXT(ROW()-1,"00000"),"")</f>
        <v/>
      </c>
      <c r="B1002" s="14">
        <f>IF(F1002&lt;&gt;"","错误","")</f>
        <v/>
      </c>
      <c r="C1002" s="14">
        <f>IF('04_路径网络'!A2&lt;&gt;"","04_路径网络","")</f>
        <v/>
      </c>
      <c r="D1002" s="14">
        <f>IF('04_路径网络'!A2&lt;&gt;"",'04_路径网络'!A2,"")</f>
        <v/>
      </c>
      <c r="E1002" s="14">
        <f>IF(F1002&lt;&gt;"","综合校验","")</f>
        <v/>
      </c>
      <c r="F1002" s="14">
        <f>IF('04_路径网络'!A2&lt;&gt;"",IF('04_路径网络'!A2="","缺少路径ID；","")&amp;IF('04_路径网络'!C2="","缺少路径类型；","")&amp;IF('04_路径网络'!D2="","缺少起点对象ID；","")&amp;IF('04_路径网络'!E2="","缺少终点对象ID；","")&amp;IF(AND('04_路径网络'!D2&lt;&gt;"",'04_路径网络'!D2='04_路径网络'!E2),"起点与终点相同；","")&amp;IF(AND('04_路径网络'!D2&lt;&gt;"",COUNTIF('02_固定地理'!$A$2:$A$501,'04_路径网络'!D2)+COUNTIF('03_地点锚点'!$A$2:$A$501,'04_路径网络'!D2)+COUNTIF('06_建筑锚点'!$A$2:$A$501,'04_路径网络'!D2)=0),"起点引用对象不存在；","")&amp;IF(AND('04_路径网络'!E2&lt;&gt;"",COUNTIF('02_固定地理'!$A$2:$A$501,'04_路径网络'!E2)+COUNTIF('03_地点锚点'!$A$2:$A$501,'04_路径网络'!E2)+COUNTIF('06_建筑锚点'!$A$2:$A$501,'04_路径网络'!E2)=0),"终点引用对象不存在；","")&amp;IF(AND('04_路径网络'!F2&lt;&gt;"",COUNTIF('04_路径网络'!$A$2:$A$501,'04_路径网络'!F2)=0),"父级路径不存在；","")&amp;IF(AND('04_路径网络'!A2&lt;&gt;"",COUNTIF('04_路径网络'!$A$2:$A$501,'04_路径网络'!A2)&gt;1),"ID重复；",""),"")</f>
        <v/>
      </c>
      <c r="G1002" s="14">
        <f>IF(F1002&lt;&gt;"","按字段批注、数据字典和来源记录修正后复核","")</f>
        <v/>
      </c>
      <c r="H1002" s="14">
        <f>IF(F1002&lt;&gt;"","待处理","")</f>
        <v/>
      </c>
    </row>
    <row r="1003">
      <c r="A1003" s="14">
        <f>IF(F1003&lt;&gt;"","ISSUE-"&amp;TEXT(ROW()-1,"00000"),"")</f>
        <v/>
      </c>
      <c r="B1003" s="14">
        <f>IF(F1003&lt;&gt;"","错误","")</f>
        <v/>
      </c>
      <c r="C1003" s="14">
        <f>IF('04_路径网络'!A3&lt;&gt;"","04_路径网络","")</f>
        <v/>
      </c>
      <c r="D1003" s="14">
        <f>IF('04_路径网络'!A3&lt;&gt;"",'04_路径网络'!A3,"")</f>
        <v/>
      </c>
      <c r="E1003" s="14">
        <f>IF(F1003&lt;&gt;"","综合校验","")</f>
        <v/>
      </c>
      <c r="F1003" s="14">
        <f>IF('04_路径网络'!A3&lt;&gt;"",IF('04_路径网络'!A3="","缺少路径ID；","")&amp;IF('04_路径网络'!C3="","缺少路径类型；","")&amp;IF('04_路径网络'!D3="","缺少起点对象ID；","")&amp;IF('04_路径网络'!E3="","缺少终点对象ID；","")&amp;IF(AND('04_路径网络'!D3&lt;&gt;"",'04_路径网络'!D3='04_路径网络'!E3),"起点与终点相同；","")&amp;IF(AND('04_路径网络'!D3&lt;&gt;"",COUNTIF('02_固定地理'!$A$2:$A$501,'04_路径网络'!D3)+COUNTIF('03_地点锚点'!$A$2:$A$501,'04_路径网络'!D3)+COUNTIF('06_建筑锚点'!$A$2:$A$501,'04_路径网络'!D3)=0),"起点引用对象不存在；","")&amp;IF(AND('04_路径网络'!E3&lt;&gt;"",COUNTIF('02_固定地理'!$A$2:$A$501,'04_路径网络'!E3)+COUNTIF('03_地点锚点'!$A$2:$A$501,'04_路径网络'!E3)+COUNTIF('06_建筑锚点'!$A$2:$A$501,'04_路径网络'!E3)=0),"终点引用对象不存在；","")&amp;IF(AND('04_路径网络'!F3&lt;&gt;"",COUNTIF('04_路径网络'!$A$2:$A$501,'04_路径网络'!F3)=0),"父级路径不存在；","")&amp;IF(AND('04_路径网络'!A3&lt;&gt;"",COUNTIF('04_路径网络'!$A$2:$A$501,'04_路径网络'!A3)&gt;1),"ID重复；",""),"")</f>
        <v/>
      </c>
      <c r="G1003" s="14">
        <f>IF(F1003&lt;&gt;"","按字段批注、数据字典和来源记录修正后复核","")</f>
        <v/>
      </c>
      <c r="H1003" s="14">
        <f>IF(F1003&lt;&gt;"","待处理","")</f>
        <v/>
      </c>
    </row>
    <row r="1004">
      <c r="A1004" s="14">
        <f>IF(F1004&lt;&gt;"","ISSUE-"&amp;TEXT(ROW()-1,"00000"),"")</f>
        <v/>
      </c>
      <c r="B1004" s="14">
        <f>IF(F1004&lt;&gt;"","错误","")</f>
        <v/>
      </c>
      <c r="C1004" s="14">
        <f>IF('04_路径网络'!A4&lt;&gt;"","04_路径网络","")</f>
        <v/>
      </c>
      <c r="D1004" s="14">
        <f>IF('04_路径网络'!A4&lt;&gt;"",'04_路径网络'!A4,"")</f>
        <v/>
      </c>
      <c r="E1004" s="14">
        <f>IF(F1004&lt;&gt;"","综合校验","")</f>
        <v/>
      </c>
      <c r="F1004" s="14">
        <f>IF('04_路径网络'!A4&lt;&gt;"",IF('04_路径网络'!A4="","缺少路径ID；","")&amp;IF('04_路径网络'!C4="","缺少路径类型；","")&amp;IF('04_路径网络'!D4="","缺少起点对象ID；","")&amp;IF('04_路径网络'!E4="","缺少终点对象ID；","")&amp;IF(AND('04_路径网络'!D4&lt;&gt;"",'04_路径网络'!D4='04_路径网络'!E4),"起点与终点相同；","")&amp;IF(AND('04_路径网络'!D4&lt;&gt;"",COUNTIF('02_固定地理'!$A$2:$A$501,'04_路径网络'!D4)+COUNTIF('03_地点锚点'!$A$2:$A$501,'04_路径网络'!D4)+COUNTIF('06_建筑锚点'!$A$2:$A$501,'04_路径网络'!D4)=0),"起点引用对象不存在；","")&amp;IF(AND('04_路径网络'!E4&lt;&gt;"",COUNTIF('02_固定地理'!$A$2:$A$501,'04_路径网络'!E4)+COUNTIF('03_地点锚点'!$A$2:$A$501,'04_路径网络'!E4)+COUNTIF('06_建筑锚点'!$A$2:$A$501,'04_路径网络'!E4)=0),"终点引用对象不存在；","")&amp;IF(AND('04_路径网络'!F4&lt;&gt;"",COUNTIF('04_路径网络'!$A$2:$A$501,'04_路径网络'!F4)=0),"父级路径不存在；","")&amp;IF(AND('04_路径网络'!A4&lt;&gt;"",COUNTIF('04_路径网络'!$A$2:$A$501,'04_路径网络'!A4)&gt;1),"ID重复；",""),"")</f>
        <v/>
      </c>
      <c r="G1004" s="14">
        <f>IF(F1004&lt;&gt;"","按字段批注、数据字典和来源记录修正后复核","")</f>
        <v/>
      </c>
      <c r="H1004" s="14">
        <f>IF(F1004&lt;&gt;"","待处理","")</f>
        <v/>
      </c>
    </row>
    <row r="1005">
      <c r="A1005" s="14">
        <f>IF(F1005&lt;&gt;"","ISSUE-"&amp;TEXT(ROW()-1,"00000"),"")</f>
        <v/>
      </c>
      <c r="B1005" s="14">
        <f>IF(F1005&lt;&gt;"","错误","")</f>
        <v/>
      </c>
      <c r="C1005" s="14">
        <f>IF('04_路径网络'!A5&lt;&gt;"","04_路径网络","")</f>
        <v/>
      </c>
      <c r="D1005" s="14">
        <f>IF('04_路径网络'!A5&lt;&gt;"",'04_路径网络'!A5,"")</f>
        <v/>
      </c>
      <c r="E1005" s="14">
        <f>IF(F1005&lt;&gt;"","综合校验","")</f>
        <v/>
      </c>
      <c r="F1005" s="14">
        <f>IF('04_路径网络'!A5&lt;&gt;"",IF('04_路径网络'!A5="","缺少路径ID；","")&amp;IF('04_路径网络'!C5="","缺少路径类型；","")&amp;IF('04_路径网络'!D5="","缺少起点对象ID；","")&amp;IF('04_路径网络'!E5="","缺少终点对象ID；","")&amp;IF(AND('04_路径网络'!D5&lt;&gt;"",'04_路径网络'!D5='04_路径网络'!E5),"起点与终点相同；","")&amp;IF(AND('04_路径网络'!D5&lt;&gt;"",COUNTIF('02_固定地理'!$A$2:$A$501,'04_路径网络'!D5)+COUNTIF('03_地点锚点'!$A$2:$A$501,'04_路径网络'!D5)+COUNTIF('06_建筑锚点'!$A$2:$A$501,'04_路径网络'!D5)=0),"起点引用对象不存在；","")&amp;IF(AND('04_路径网络'!E5&lt;&gt;"",COUNTIF('02_固定地理'!$A$2:$A$501,'04_路径网络'!E5)+COUNTIF('03_地点锚点'!$A$2:$A$501,'04_路径网络'!E5)+COUNTIF('06_建筑锚点'!$A$2:$A$501,'04_路径网络'!E5)=0),"终点引用对象不存在；","")&amp;IF(AND('04_路径网络'!F5&lt;&gt;"",COUNTIF('04_路径网络'!$A$2:$A$501,'04_路径网络'!F5)=0),"父级路径不存在；","")&amp;IF(AND('04_路径网络'!A5&lt;&gt;"",COUNTIF('04_路径网络'!$A$2:$A$501,'04_路径网络'!A5)&gt;1),"ID重复；",""),"")</f>
        <v/>
      </c>
      <c r="G1005" s="14">
        <f>IF(F1005&lt;&gt;"","按字段批注、数据字典和来源记录修正后复核","")</f>
        <v/>
      </c>
      <c r="H1005" s="14">
        <f>IF(F1005&lt;&gt;"","待处理","")</f>
        <v/>
      </c>
    </row>
    <row r="1006">
      <c r="A1006" s="14">
        <f>IF(F1006&lt;&gt;"","ISSUE-"&amp;TEXT(ROW()-1,"00000"),"")</f>
        <v/>
      </c>
      <c r="B1006" s="14">
        <f>IF(F1006&lt;&gt;"","错误","")</f>
        <v/>
      </c>
      <c r="C1006" s="14">
        <f>IF('04_路径网络'!A6&lt;&gt;"","04_路径网络","")</f>
        <v/>
      </c>
      <c r="D1006" s="14">
        <f>IF('04_路径网络'!A6&lt;&gt;"",'04_路径网络'!A6,"")</f>
        <v/>
      </c>
      <c r="E1006" s="14">
        <f>IF(F1006&lt;&gt;"","综合校验","")</f>
        <v/>
      </c>
      <c r="F1006" s="14">
        <f>IF('04_路径网络'!A6&lt;&gt;"",IF('04_路径网络'!A6="","缺少路径ID；","")&amp;IF('04_路径网络'!C6="","缺少路径类型；","")&amp;IF('04_路径网络'!D6="","缺少起点对象ID；","")&amp;IF('04_路径网络'!E6="","缺少终点对象ID；","")&amp;IF(AND('04_路径网络'!D6&lt;&gt;"",'04_路径网络'!D6='04_路径网络'!E6),"起点与终点相同；","")&amp;IF(AND('04_路径网络'!D6&lt;&gt;"",COUNTIF('02_固定地理'!$A$2:$A$501,'04_路径网络'!D6)+COUNTIF('03_地点锚点'!$A$2:$A$501,'04_路径网络'!D6)+COUNTIF('06_建筑锚点'!$A$2:$A$501,'04_路径网络'!D6)=0),"起点引用对象不存在；","")&amp;IF(AND('04_路径网络'!E6&lt;&gt;"",COUNTIF('02_固定地理'!$A$2:$A$501,'04_路径网络'!E6)+COUNTIF('03_地点锚点'!$A$2:$A$501,'04_路径网络'!E6)+COUNTIF('06_建筑锚点'!$A$2:$A$501,'04_路径网络'!E6)=0),"终点引用对象不存在；","")&amp;IF(AND('04_路径网络'!F6&lt;&gt;"",COUNTIF('04_路径网络'!$A$2:$A$501,'04_路径网络'!F6)=0),"父级路径不存在；","")&amp;IF(AND('04_路径网络'!A6&lt;&gt;"",COUNTIF('04_路径网络'!$A$2:$A$501,'04_路径网络'!A6)&gt;1),"ID重复；",""),"")</f>
        <v/>
      </c>
      <c r="G1006" s="14">
        <f>IF(F1006&lt;&gt;"","按字段批注、数据字典和来源记录修正后复核","")</f>
        <v/>
      </c>
      <c r="H1006" s="14">
        <f>IF(F1006&lt;&gt;"","待处理","")</f>
        <v/>
      </c>
    </row>
    <row r="1007">
      <c r="A1007" s="14">
        <f>IF(F1007&lt;&gt;"","ISSUE-"&amp;TEXT(ROW()-1,"00000"),"")</f>
        <v/>
      </c>
      <c r="B1007" s="14">
        <f>IF(F1007&lt;&gt;"","错误","")</f>
        <v/>
      </c>
      <c r="C1007" s="14">
        <f>IF('04_路径网络'!A7&lt;&gt;"","04_路径网络","")</f>
        <v/>
      </c>
      <c r="D1007" s="14">
        <f>IF('04_路径网络'!A7&lt;&gt;"",'04_路径网络'!A7,"")</f>
        <v/>
      </c>
      <c r="E1007" s="14">
        <f>IF(F1007&lt;&gt;"","综合校验","")</f>
        <v/>
      </c>
      <c r="F1007" s="14">
        <f>IF('04_路径网络'!A7&lt;&gt;"",IF('04_路径网络'!A7="","缺少路径ID；","")&amp;IF('04_路径网络'!C7="","缺少路径类型；","")&amp;IF('04_路径网络'!D7="","缺少起点对象ID；","")&amp;IF('04_路径网络'!E7="","缺少终点对象ID；","")&amp;IF(AND('04_路径网络'!D7&lt;&gt;"",'04_路径网络'!D7='04_路径网络'!E7),"起点与终点相同；","")&amp;IF(AND('04_路径网络'!D7&lt;&gt;"",COUNTIF('02_固定地理'!$A$2:$A$501,'04_路径网络'!D7)+COUNTIF('03_地点锚点'!$A$2:$A$501,'04_路径网络'!D7)+COUNTIF('06_建筑锚点'!$A$2:$A$501,'04_路径网络'!D7)=0),"起点引用对象不存在；","")&amp;IF(AND('04_路径网络'!E7&lt;&gt;"",COUNTIF('02_固定地理'!$A$2:$A$501,'04_路径网络'!E7)+COUNTIF('03_地点锚点'!$A$2:$A$501,'04_路径网络'!E7)+COUNTIF('06_建筑锚点'!$A$2:$A$501,'04_路径网络'!E7)=0),"终点引用对象不存在；","")&amp;IF(AND('04_路径网络'!F7&lt;&gt;"",COUNTIF('04_路径网络'!$A$2:$A$501,'04_路径网络'!F7)=0),"父级路径不存在；","")&amp;IF(AND('04_路径网络'!A7&lt;&gt;"",COUNTIF('04_路径网络'!$A$2:$A$501,'04_路径网络'!A7)&gt;1),"ID重复；",""),"")</f>
        <v/>
      </c>
      <c r="G1007" s="14">
        <f>IF(F1007&lt;&gt;"","按字段批注、数据字典和来源记录修正后复核","")</f>
        <v/>
      </c>
      <c r="H1007" s="14">
        <f>IF(F1007&lt;&gt;"","待处理","")</f>
        <v/>
      </c>
    </row>
    <row r="1008">
      <c r="A1008" s="14">
        <f>IF(F1008&lt;&gt;"","ISSUE-"&amp;TEXT(ROW()-1,"00000"),"")</f>
        <v/>
      </c>
      <c r="B1008" s="14">
        <f>IF(F1008&lt;&gt;"","错误","")</f>
        <v/>
      </c>
      <c r="C1008" s="14">
        <f>IF('04_路径网络'!A8&lt;&gt;"","04_路径网络","")</f>
        <v/>
      </c>
      <c r="D1008" s="14">
        <f>IF('04_路径网络'!A8&lt;&gt;"",'04_路径网络'!A8,"")</f>
        <v/>
      </c>
      <c r="E1008" s="14">
        <f>IF(F1008&lt;&gt;"","综合校验","")</f>
        <v/>
      </c>
      <c r="F1008" s="14">
        <f>IF('04_路径网络'!A8&lt;&gt;"",IF('04_路径网络'!A8="","缺少路径ID；","")&amp;IF('04_路径网络'!C8="","缺少路径类型；","")&amp;IF('04_路径网络'!D8="","缺少起点对象ID；","")&amp;IF('04_路径网络'!E8="","缺少终点对象ID；","")&amp;IF(AND('04_路径网络'!D8&lt;&gt;"",'04_路径网络'!D8='04_路径网络'!E8),"起点与终点相同；","")&amp;IF(AND('04_路径网络'!D8&lt;&gt;"",COUNTIF('02_固定地理'!$A$2:$A$501,'04_路径网络'!D8)+COUNTIF('03_地点锚点'!$A$2:$A$501,'04_路径网络'!D8)+COUNTIF('06_建筑锚点'!$A$2:$A$501,'04_路径网络'!D8)=0),"起点引用对象不存在；","")&amp;IF(AND('04_路径网络'!E8&lt;&gt;"",COUNTIF('02_固定地理'!$A$2:$A$501,'04_路径网络'!E8)+COUNTIF('03_地点锚点'!$A$2:$A$501,'04_路径网络'!E8)+COUNTIF('06_建筑锚点'!$A$2:$A$501,'04_路径网络'!E8)=0),"终点引用对象不存在；","")&amp;IF(AND('04_路径网络'!F8&lt;&gt;"",COUNTIF('04_路径网络'!$A$2:$A$501,'04_路径网络'!F8)=0),"父级路径不存在；","")&amp;IF(AND('04_路径网络'!A8&lt;&gt;"",COUNTIF('04_路径网络'!$A$2:$A$501,'04_路径网络'!A8)&gt;1),"ID重复；",""),"")</f>
        <v/>
      </c>
      <c r="G1008" s="14">
        <f>IF(F1008&lt;&gt;"","按字段批注、数据字典和来源记录修正后复核","")</f>
        <v/>
      </c>
      <c r="H1008" s="14">
        <f>IF(F1008&lt;&gt;"","待处理","")</f>
        <v/>
      </c>
    </row>
    <row r="1009">
      <c r="A1009" s="14">
        <f>IF(F1009&lt;&gt;"","ISSUE-"&amp;TEXT(ROW()-1,"00000"),"")</f>
        <v/>
      </c>
      <c r="B1009" s="14">
        <f>IF(F1009&lt;&gt;"","错误","")</f>
        <v/>
      </c>
      <c r="C1009" s="14">
        <f>IF('04_路径网络'!A9&lt;&gt;"","04_路径网络","")</f>
        <v/>
      </c>
      <c r="D1009" s="14">
        <f>IF('04_路径网络'!A9&lt;&gt;"",'04_路径网络'!A9,"")</f>
        <v/>
      </c>
      <c r="E1009" s="14">
        <f>IF(F1009&lt;&gt;"","综合校验","")</f>
        <v/>
      </c>
      <c r="F1009" s="14">
        <f>IF('04_路径网络'!A9&lt;&gt;"",IF('04_路径网络'!A9="","缺少路径ID；","")&amp;IF('04_路径网络'!C9="","缺少路径类型；","")&amp;IF('04_路径网络'!D9="","缺少起点对象ID；","")&amp;IF('04_路径网络'!E9="","缺少终点对象ID；","")&amp;IF(AND('04_路径网络'!D9&lt;&gt;"",'04_路径网络'!D9='04_路径网络'!E9),"起点与终点相同；","")&amp;IF(AND('04_路径网络'!D9&lt;&gt;"",COUNTIF('02_固定地理'!$A$2:$A$501,'04_路径网络'!D9)+COUNTIF('03_地点锚点'!$A$2:$A$501,'04_路径网络'!D9)+COUNTIF('06_建筑锚点'!$A$2:$A$501,'04_路径网络'!D9)=0),"起点引用对象不存在；","")&amp;IF(AND('04_路径网络'!E9&lt;&gt;"",COUNTIF('02_固定地理'!$A$2:$A$501,'04_路径网络'!E9)+COUNTIF('03_地点锚点'!$A$2:$A$501,'04_路径网络'!E9)+COUNTIF('06_建筑锚点'!$A$2:$A$501,'04_路径网络'!E9)=0),"终点引用对象不存在；","")&amp;IF(AND('04_路径网络'!F9&lt;&gt;"",COUNTIF('04_路径网络'!$A$2:$A$501,'04_路径网络'!F9)=0),"父级路径不存在；","")&amp;IF(AND('04_路径网络'!A9&lt;&gt;"",COUNTIF('04_路径网络'!$A$2:$A$501,'04_路径网络'!A9)&gt;1),"ID重复；",""),"")</f>
        <v/>
      </c>
      <c r="G1009" s="14">
        <f>IF(F1009&lt;&gt;"","按字段批注、数据字典和来源记录修正后复核","")</f>
        <v/>
      </c>
      <c r="H1009" s="14">
        <f>IF(F1009&lt;&gt;"","待处理","")</f>
        <v/>
      </c>
    </row>
    <row r="1010">
      <c r="A1010" s="14">
        <f>IF(F1010&lt;&gt;"","ISSUE-"&amp;TEXT(ROW()-1,"00000"),"")</f>
        <v/>
      </c>
      <c r="B1010" s="14">
        <f>IF(F1010&lt;&gt;"","错误","")</f>
        <v/>
      </c>
      <c r="C1010" s="14">
        <f>IF('04_路径网络'!A10&lt;&gt;"","04_路径网络","")</f>
        <v/>
      </c>
      <c r="D1010" s="14">
        <f>IF('04_路径网络'!A10&lt;&gt;"",'04_路径网络'!A10,"")</f>
        <v/>
      </c>
      <c r="E1010" s="14">
        <f>IF(F1010&lt;&gt;"","综合校验","")</f>
        <v/>
      </c>
      <c r="F1010" s="14">
        <f>IF('04_路径网络'!A10&lt;&gt;"",IF('04_路径网络'!A10="","缺少路径ID；","")&amp;IF('04_路径网络'!C10="","缺少路径类型；","")&amp;IF('04_路径网络'!D10="","缺少起点对象ID；","")&amp;IF('04_路径网络'!E10="","缺少终点对象ID；","")&amp;IF(AND('04_路径网络'!D10&lt;&gt;"",'04_路径网络'!D10='04_路径网络'!E10),"起点与终点相同；","")&amp;IF(AND('04_路径网络'!D10&lt;&gt;"",COUNTIF('02_固定地理'!$A$2:$A$501,'04_路径网络'!D10)+COUNTIF('03_地点锚点'!$A$2:$A$501,'04_路径网络'!D10)+COUNTIF('06_建筑锚点'!$A$2:$A$501,'04_路径网络'!D10)=0),"起点引用对象不存在；","")&amp;IF(AND('04_路径网络'!E10&lt;&gt;"",COUNTIF('02_固定地理'!$A$2:$A$501,'04_路径网络'!E10)+COUNTIF('03_地点锚点'!$A$2:$A$501,'04_路径网络'!E10)+COUNTIF('06_建筑锚点'!$A$2:$A$501,'04_路径网络'!E10)=0),"终点引用对象不存在；","")&amp;IF(AND('04_路径网络'!F10&lt;&gt;"",COUNTIF('04_路径网络'!$A$2:$A$501,'04_路径网络'!F10)=0),"父级路径不存在；","")&amp;IF(AND('04_路径网络'!A10&lt;&gt;"",COUNTIF('04_路径网络'!$A$2:$A$501,'04_路径网络'!A10)&gt;1),"ID重复；",""),"")</f>
        <v/>
      </c>
      <c r="G1010" s="14">
        <f>IF(F1010&lt;&gt;"","按字段批注、数据字典和来源记录修正后复核","")</f>
        <v/>
      </c>
      <c r="H1010" s="14">
        <f>IF(F1010&lt;&gt;"","待处理","")</f>
        <v/>
      </c>
    </row>
    <row r="1011">
      <c r="A1011" s="14">
        <f>IF(F1011&lt;&gt;"","ISSUE-"&amp;TEXT(ROW()-1,"00000"),"")</f>
        <v/>
      </c>
      <c r="B1011" s="14">
        <f>IF(F1011&lt;&gt;"","错误","")</f>
        <v/>
      </c>
      <c r="C1011" s="14">
        <f>IF('04_路径网络'!A11&lt;&gt;"","04_路径网络","")</f>
        <v/>
      </c>
      <c r="D1011" s="14">
        <f>IF('04_路径网络'!A11&lt;&gt;"",'04_路径网络'!A11,"")</f>
        <v/>
      </c>
      <c r="E1011" s="14">
        <f>IF(F1011&lt;&gt;"","综合校验","")</f>
        <v/>
      </c>
      <c r="F1011" s="14">
        <f>IF('04_路径网络'!A11&lt;&gt;"",IF('04_路径网络'!A11="","缺少路径ID；","")&amp;IF('04_路径网络'!C11="","缺少路径类型；","")&amp;IF('04_路径网络'!D11="","缺少起点对象ID；","")&amp;IF('04_路径网络'!E11="","缺少终点对象ID；","")&amp;IF(AND('04_路径网络'!D11&lt;&gt;"",'04_路径网络'!D11='04_路径网络'!E11),"起点与终点相同；","")&amp;IF(AND('04_路径网络'!D11&lt;&gt;"",COUNTIF('02_固定地理'!$A$2:$A$501,'04_路径网络'!D11)+COUNTIF('03_地点锚点'!$A$2:$A$501,'04_路径网络'!D11)+COUNTIF('06_建筑锚点'!$A$2:$A$501,'04_路径网络'!D11)=0),"起点引用对象不存在；","")&amp;IF(AND('04_路径网络'!E11&lt;&gt;"",COUNTIF('02_固定地理'!$A$2:$A$501,'04_路径网络'!E11)+COUNTIF('03_地点锚点'!$A$2:$A$501,'04_路径网络'!E11)+COUNTIF('06_建筑锚点'!$A$2:$A$501,'04_路径网络'!E11)=0),"终点引用对象不存在；","")&amp;IF(AND('04_路径网络'!F11&lt;&gt;"",COUNTIF('04_路径网络'!$A$2:$A$501,'04_路径网络'!F11)=0),"父级路径不存在；","")&amp;IF(AND('04_路径网络'!A11&lt;&gt;"",COUNTIF('04_路径网络'!$A$2:$A$501,'04_路径网络'!A11)&gt;1),"ID重复；",""),"")</f>
        <v/>
      </c>
      <c r="G1011" s="14">
        <f>IF(F1011&lt;&gt;"","按字段批注、数据字典和来源记录修正后复核","")</f>
        <v/>
      </c>
      <c r="H1011" s="14">
        <f>IF(F1011&lt;&gt;"","待处理","")</f>
        <v/>
      </c>
    </row>
    <row r="1012">
      <c r="A1012" s="14">
        <f>IF(F1012&lt;&gt;"","ISSUE-"&amp;TEXT(ROW()-1,"00000"),"")</f>
        <v/>
      </c>
      <c r="B1012" s="14">
        <f>IF(F1012&lt;&gt;"","错误","")</f>
        <v/>
      </c>
      <c r="C1012" s="14">
        <f>IF('04_路径网络'!A12&lt;&gt;"","04_路径网络","")</f>
        <v/>
      </c>
      <c r="D1012" s="14">
        <f>IF('04_路径网络'!A12&lt;&gt;"",'04_路径网络'!A12,"")</f>
        <v/>
      </c>
      <c r="E1012" s="14">
        <f>IF(F1012&lt;&gt;"","综合校验","")</f>
        <v/>
      </c>
      <c r="F1012" s="14">
        <f>IF('04_路径网络'!A12&lt;&gt;"",IF('04_路径网络'!A12="","缺少路径ID；","")&amp;IF('04_路径网络'!C12="","缺少路径类型；","")&amp;IF('04_路径网络'!D12="","缺少起点对象ID；","")&amp;IF('04_路径网络'!E12="","缺少终点对象ID；","")&amp;IF(AND('04_路径网络'!D12&lt;&gt;"",'04_路径网络'!D12='04_路径网络'!E12),"起点与终点相同；","")&amp;IF(AND('04_路径网络'!D12&lt;&gt;"",COUNTIF('02_固定地理'!$A$2:$A$501,'04_路径网络'!D12)+COUNTIF('03_地点锚点'!$A$2:$A$501,'04_路径网络'!D12)+COUNTIF('06_建筑锚点'!$A$2:$A$501,'04_路径网络'!D12)=0),"起点引用对象不存在；","")&amp;IF(AND('04_路径网络'!E12&lt;&gt;"",COUNTIF('02_固定地理'!$A$2:$A$501,'04_路径网络'!E12)+COUNTIF('03_地点锚点'!$A$2:$A$501,'04_路径网络'!E12)+COUNTIF('06_建筑锚点'!$A$2:$A$501,'04_路径网络'!E12)=0),"终点引用对象不存在；","")&amp;IF(AND('04_路径网络'!F12&lt;&gt;"",COUNTIF('04_路径网络'!$A$2:$A$501,'04_路径网络'!F12)=0),"父级路径不存在；","")&amp;IF(AND('04_路径网络'!A12&lt;&gt;"",COUNTIF('04_路径网络'!$A$2:$A$501,'04_路径网络'!A12)&gt;1),"ID重复；",""),"")</f>
        <v/>
      </c>
      <c r="G1012" s="14">
        <f>IF(F1012&lt;&gt;"","按字段批注、数据字典和来源记录修正后复核","")</f>
        <v/>
      </c>
      <c r="H1012" s="14">
        <f>IF(F1012&lt;&gt;"","待处理","")</f>
        <v/>
      </c>
    </row>
    <row r="1013">
      <c r="A1013" s="14">
        <f>IF(F1013&lt;&gt;"","ISSUE-"&amp;TEXT(ROW()-1,"00000"),"")</f>
        <v/>
      </c>
      <c r="B1013" s="14">
        <f>IF(F1013&lt;&gt;"","错误","")</f>
        <v/>
      </c>
      <c r="C1013" s="14">
        <f>IF('04_路径网络'!A13&lt;&gt;"","04_路径网络","")</f>
        <v/>
      </c>
      <c r="D1013" s="14">
        <f>IF('04_路径网络'!A13&lt;&gt;"",'04_路径网络'!A13,"")</f>
        <v/>
      </c>
      <c r="E1013" s="14">
        <f>IF(F1013&lt;&gt;"","综合校验","")</f>
        <v/>
      </c>
      <c r="F1013" s="14">
        <f>IF('04_路径网络'!A13&lt;&gt;"",IF('04_路径网络'!A13="","缺少路径ID；","")&amp;IF('04_路径网络'!C13="","缺少路径类型；","")&amp;IF('04_路径网络'!D13="","缺少起点对象ID；","")&amp;IF('04_路径网络'!E13="","缺少终点对象ID；","")&amp;IF(AND('04_路径网络'!D13&lt;&gt;"",'04_路径网络'!D13='04_路径网络'!E13),"起点与终点相同；","")&amp;IF(AND('04_路径网络'!D13&lt;&gt;"",COUNTIF('02_固定地理'!$A$2:$A$501,'04_路径网络'!D13)+COUNTIF('03_地点锚点'!$A$2:$A$501,'04_路径网络'!D13)+COUNTIF('06_建筑锚点'!$A$2:$A$501,'04_路径网络'!D13)=0),"起点引用对象不存在；","")&amp;IF(AND('04_路径网络'!E13&lt;&gt;"",COUNTIF('02_固定地理'!$A$2:$A$501,'04_路径网络'!E13)+COUNTIF('03_地点锚点'!$A$2:$A$501,'04_路径网络'!E13)+COUNTIF('06_建筑锚点'!$A$2:$A$501,'04_路径网络'!E13)=0),"终点引用对象不存在；","")&amp;IF(AND('04_路径网络'!F13&lt;&gt;"",COUNTIF('04_路径网络'!$A$2:$A$501,'04_路径网络'!F13)=0),"父级路径不存在；","")&amp;IF(AND('04_路径网络'!A13&lt;&gt;"",COUNTIF('04_路径网络'!$A$2:$A$501,'04_路径网络'!A13)&gt;1),"ID重复；",""),"")</f>
        <v/>
      </c>
      <c r="G1013" s="14">
        <f>IF(F1013&lt;&gt;"","按字段批注、数据字典和来源记录修正后复核","")</f>
        <v/>
      </c>
      <c r="H1013" s="14">
        <f>IF(F1013&lt;&gt;"","待处理","")</f>
        <v/>
      </c>
    </row>
    <row r="1014">
      <c r="A1014" s="14">
        <f>IF(F1014&lt;&gt;"","ISSUE-"&amp;TEXT(ROW()-1,"00000"),"")</f>
        <v/>
      </c>
      <c r="B1014" s="14">
        <f>IF(F1014&lt;&gt;"","错误","")</f>
        <v/>
      </c>
      <c r="C1014" s="14">
        <f>IF('04_路径网络'!A14&lt;&gt;"","04_路径网络","")</f>
        <v/>
      </c>
      <c r="D1014" s="14">
        <f>IF('04_路径网络'!A14&lt;&gt;"",'04_路径网络'!A14,"")</f>
        <v/>
      </c>
      <c r="E1014" s="14">
        <f>IF(F1014&lt;&gt;"","综合校验","")</f>
        <v/>
      </c>
      <c r="F1014" s="14">
        <f>IF('04_路径网络'!A14&lt;&gt;"",IF('04_路径网络'!A14="","缺少路径ID；","")&amp;IF('04_路径网络'!C14="","缺少路径类型；","")&amp;IF('04_路径网络'!D14="","缺少起点对象ID；","")&amp;IF('04_路径网络'!E14="","缺少终点对象ID；","")&amp;IF(AND('04_路径网络'!D14&lt;&gt;"",'04_路径网络'!D14='04_路径网络'!E14),"起点与终点相同；","")&amp;IF(AND('04_路径网络'!D14&lt;&gt;"",COUNTIF('02_固定地理'!$A$2:$A$501,'04_路径网络'!D14)+COUNTIF('03_地点锚点'!$A$2:$A$501,'04_路径网络'!D14)+COUNTIF('06_建筑锚点'!$A$2:$A$501,'04_路径网络'!D14)=0),"起点引用对象不存在；","")&amp;IF(AND('04_路径网络'!E14&lt;&gt;"",COUNTIF('02_固定地理'!$A$2:$A$501,'04_路径网络'!E14)+COUNTIF('03_地点锚点'!$A$2:$A$501,'04_路径网络'!E14)+COUNTIF('06_建筑锚点'!$A$2:$A$501,'04_路径网络'!E14)=0),"终点引用对象不存在；","")&amp;IF(AND('04_路径网络'!F14&lt;&gt;"",COUNTIF('04_路径网络'!$A$2:$A$501,'04_路径网络'!F14)=0),"父级路径不存在；","")&amp;IF(AND('04_路径网络'!A14&lt;&gt;"",COUNTIF('04_路径网络'!$A$2:$A$501,'04_路径网络'!A14)&gt;1),"ID重复；",""),"")</f>
        <v/>
      </c>
      <c r="G1014" s="14">
        <f>IF(F1014&lt;&gt;"","按字段批注、数据字典和来源记录修正后复核","")</f>
        <v/>
      </c>
      <c r="H1014" s="14">
        <f>IF(F1014&lt;&gt;"","待处理","")</f>
        <v/>
      </c>
    </row>
    <row r="1015">
      <c r="A1015" s="14">
        <f>IF(F1015&lt;&gt;"","ISSUE-"&amp;TEXT(ROW()-1,"00000"),"")</f>
        <v/>
      </c>
      <c r="B1015" s="14">
        <f>IF(F1015&lt;&gt;"","错误","")</f>
        <v/>
      </c>
      <c r="C1015" s="14">
        <f>IF('04_路径网络'!A15&lt;&gt;"","04_路径网络","")</f>
        <v/>
      </c>
      <c r="D1015" s="14">
        <f>IF('04_路径网络'!A15&lt;&gt;"",'04_路径网络'!A15,"")</f>
        <v/>
      </c>
      <c r="E1015" s="14">
        <f>IF(F1015&lt;&gt;"","综合校验","")</f>
        <v/>
      </c>
      <c r="F1015" s="14">
        <f>IF('04_路径网络'!A15&lt;&gt;"",IF('04_路径网络'!A15="","缺少路径ID；","")&amp;IF('04_路径网络'!C15="","缺少路径类型；","")&amp;IF('04_路径网络'!D15="","缺少起点对象ID；","")&amp;IF('04_路径网络'!E15="","缺少终点对象ID；","")&amp;IF(AND('04_路径网络'!D15&lt;&gt;"",'04_路径网络'!D15='04_路径网络'!E15),"起点与终点相同；","")&amp;IF(AND('04_路径网络'!D15&lt;&gt;"",COUNTIF('02_固定地理'!$A$2:$A$501,'04_路径网络'!D15)+COUNTIF('03_地点锚点'!$A$2:$A$501,'04_路径网络'!D15)+COUNTIF('06_建筑锚点'!$A$2:$A$501,'04_路径网络'!D15)=0),"起点引用对象不存在；","")&amp;IF(AND('04_路径网络'!E15&lt;&gt;"",COUNTIF('02_固定地理'!$A$2:$A$501,'04_路径网络'!E15)+COUNTIF('03_地点锚点'!$A$2:$A$501,'04_路径网络'!E15)+COUNTIF('06_建筑锚点'!$A$2:$A$501,'04_路径网络'!E15)=0),"终点引用对象不存在；","")&amp;IF(AND('04_路径网络'!F15&lt;&gt;"",COUNTIF('04_路径网络'!$A$2:$A$501,'04_路径网络'!F15)=0),"父级路径不存在；","")&amp;IF(AND('04_路径网络'!A15&lt;&gt;"",COUNTIF('04_路径网络'!$A$2:$A$501,'04_路径网络'!A15)&gt;1),"ID重复；",""),"")</f>
        <v/>
      </c>
      <c r="G1015" s="14">
        <f>IF(F1015&lt;&gt;"","按字段批注、数据字典和来源记录修正后复核","")</f>
        <v/>
      </c>
      <c r="H1015" s="14">
        <f>IF(F1015&lt;&gt;"","待处理","")</f>
        <v/>
      </c>
    </row>
    <row r="1016">
      <c r="A1016" s="14">
        <f>IF(F1016&lt;&gt;"","ISSUE-"&amp;TEXT(ROW()-1,"00000"),"")</f>
        <v/>
      </c>
      <c r="B1016" s="14">
        <f>IF(F1016&lt;&gt;"","错误","")</f>
        <v/>
      </c>
      <c r="C1016" s="14">
        <f>IF('04_路径网络'!A16&lt;&gt;"","04_路径网络","")</f>
        <v/>
      </c>
      <c r="D1016" s="14">
        <f>IF('04_路径网络'!A16&lt;&gt;"",'04_路径网络'!A16,"")</f>
        <v/>
      </c>
      <c r="E1016" s="14">
        <f>IF(F1016&lt;&gt;"","综合校验","")</f>
        <v/>
      </c>
      <c r="F1016" s="14">
        <f>IF('04_路径网络'!A16&lt;&gt;"",IF('04_路径网络'!A16="","缺少路径ID；","")&amp;IF('04_路径网络'!C16="","缺少路径类型；","")&amp;IF('04_路径网络'!D16="","缺少起点对象ID；","")&amp;IF('04_路径网络'!E16="","缺少终点对象ID；","")&amp;IF(AND('04_路径网络'!D16&lt;&gt;"",'04_路径网络'!D16='04_路径网络'!E16),"起点与终点相同；","")&amp;IF(AND('04_路径网络'!D16&lt;&gt;"",COUNTIF('02_固定地理'!$A$2:$A$501,'04_路径网络'!D16)+COUNTIF('03_地点锚点'!$A$2:$A$501,'04_路径网络'!D16)+COUNTIF('06_建筑锚点'!$A$2:$A$501,'04_路径网络'!D16)=0),"起点引用对象不存在；","")&amp;IF(AND('04_路径网络'!E16&lt;&gt;"",COUNTIF('02_固定地理'!$A$2:$A$501,'04_路径网络'!E16)+COUNTIF('03_地点锚点'!$A$2:$A$501,'04_路径网络'!E16)+COUNTIF('06_建筑锚点'!$A$2:$A$501,'04_路径网络'!E16)=0),"终点引用对象不存在；","")&amp;IF(AND('04_路径网络'!F16&lt;&gt;"",COUNTIF('04_路径网络'!$A$2:$A$501,'04_路径网络'!F16)=0),"父级路径不存在；","")&amp;IF(AND('04_路径网络'!A16&lt;&gt;"",COUNTIF('04_路径网络'!$A$2:$A$501,'04_路径网络'!A16)&gt;1),"ID重复；",""),"")</f>
        <v/>
      </c>
      <c r="G1016" s="14">
        <f>IF(F1016&lt;&gt;"","按字段批注、数据字典和来源记录修正后复核","")</f>
        <v/>
      </c>
      <c r="H1016" s="14">
        <f>IF(F1016&lt;&gt;"","待处理","")</f>
        <v/>
      </c>
    </row>
    <row r="1017">
      <c r="A1017" s="14">
        <f>IF(F1017&lt;&gt;"","ISSUE-"&amp;TEXT(ROW()-1,"00000"),"")</f>
        <v/>
      </c>
      <c r="B1017" s="14">
        <f>IF(F1017&lt;&gt;"","错误","")</f>
        <v/>
      </c>
      <c r="C1017" s="14">
        <f>IF('04_路径网络'!A17&lt;&gt;"","04_路径网络","")</f>
        <v/>
      </c>
      <c r="D1017" s="14">
        <f>IF('04_路径网络'!A17&lt;&gt;"",'04_路径网络'!A17,"")</f>
        <v/>
      </c>
      <c r="E1017" s="14">
        <f>IF(F1017&lt;&gt;"","综合校验","")</f>
        <v/>
      </c>
      <c r="F1017" s="14">
        <f>IF('04_路径网络'!A17&lt;&gt;"",IF('04_路径网络'!A17="","缺少路径ID；","")&amp;IF('04_路径网络'!C17="","缺少路径类型；","")&amp;IF('04_路径网络'!D17="","缺少起点对象ID；","")&amp;IF('04_路径网络'!E17="","缺少终点对象ID；","")&amp;IF(AND('04_路径网络'!D17&lt;&gt;"",'04_路径网络'!D17='04_路径网络'!E17),"起点与终点相同；","")&amp;IF(AND('04_路径网络'!D17&lt;&gt;"",COUNTIF('02_固定地理'!$A$2:$A$501,'04_路径网络'!D17)+COUNTIF('03_地点锚点'!$A$2:$A$501,'04_路径网络'!D17)+COUNTIF('06_建筑锚点'!$A$2:$A$501,'04_路径网络'!D17)=0),"起点引用对象不存在；","")&amp;IF(AND('04_路径网络'!E17&lt;&gt;"",COUNTIF('02_固定地理'!$A$2:$A$501,'04_路径网络'!E17)+COUNTIF('03_地点锚点'!$A$2:$A$501,'04_路径网络'!E17)+COUNTIF('06_建筑锚点'!$A$2:$A$501,'04_路径网络'!E17)=0),"终点引用对象不存在；","")&amp;IF(AND('04_路径网络'!F17&lt;&gt;"",COUNTIF('04_路径网络'!$A$2:$A$501,'04_路径网络'!F17)=0),"父级路径不存在；","")&amp;IF(AND('04_路径网络'!A17&lt;&gt;"",COUNTIF('04_路径网络'!$A$2:$A$501,'04_路径网络'!A17)&gt;1),"ID重复；",""),"")</f>
        <v/>
      </c>
      <c r="G1017" s="14">
        <f>IF(F1017&lt;&gt;"","按字段批注、数据字典和来源记录修正后复核","")</f>
        <v/>
      </c>
      <c r="H1017" s="14">
        <f>IF(F1017&lt;&gt;"","待处理","")</f>
        <v/>
      </c>
    </row>
    <row r="1018">
      <c r="A1018" s="14">
        <f>IF(F1018&lt;&gt;"","ISSUE-"&amp;TEXT(ROW()-1,"00000"),"")</f>
        <v/>
      </c>
      <c r="B1018" s="14">
        <f>IF(F1018&lt;&gt;"","错误","")</f>
        <v/>
      </c>
      <c r="C1018" s="14">
        <f>IF('04_路径网络'!A18&lt;&gt;"","04_路径网络","")</f>
        <v/>
      </c>
      <c r="D1018" s="14">
        <f>IF('04_路径网络'!A18&lt;&gt;"",'04_路径网络'!A18,"")</f>
        <v/>
      </c>
      <c r="E1018" s="14">
        <f>IF(F1018&lt;&gt;"","综合校验","")</f>
        <v/>
      </c>
      <c r="F1018" s="14">
        <f>IF('04_路径网络'!A18&lt;&gt;"",IF('04_路径网络'!A18="","缺少路径ID；","")&amp;IF('04_路径网络'!C18="","缺少路径类型；","")&amp;IF('04_路径网络'!D18="","缺少起点对象ID；","")&amp;IF('04_路径网络'!E18="","缺少终点对象ID；","")&amp;IF(AND('04_路径网络'!D18&lt;&gt;"",'04_路径网络'!D18='04_路径网络'!E18),"起点与终点相同；","")&amp;IF(AND('04_路径网络'!D18&lt;&gt;"",COUNTIF('02_固定地理'!$A$2:$A$501,'04_路径网络'!D18)+COUNTIF('03_地点锚点'!$A$2:$A$501,'04_路径网络'!D18)+COUNTIF('06_建筑锚点'!$A$2:$A$501,'04_路径网络'!D18)=0),"起点引用对象不存在；","")&amp;IF(AND('04_路径网络'!E18&lt;&gt;"",COUNTIF('02_固定地理'!$A$2:$A$501,'04_路径网络'!E18)+COUNTIF('03_地点锚点'!$A$2:$A$501,'04_路径网络'!E18)+COUNTIF('06_建筑锚点'!$A$2:$A$501,'04_路径网络'!E18)=0),"终点引用对象不存在；","")&amp;IF(AND('04_路径网络'!F18&lt;&gt;"",COUNTIF('04_路径网络'!$A$2:$A$501,'04_路径网络'!F18)=0),"父级路径不存在；","")&amp;IF(AND('04_路径网络'!A18&lt;&gt;"",COUNTIF('04_路径网络'!$A$2:$A$501,'04_路径网络'!A18)&gt;1),"ID重复；",""),"")</f>
        <v/>
      </c>
      <c r="G1018" s="14">
        <f>IF(F1018&lt;&gt;"","按字段批注、数据字典和来源记录修正后复核","")</f>
        <v/>
      </c>
      <c r="H1018" s="14">
        <f>IF(F1018&lt;&gt;"","待处理","")</f>
        <v/>
      </c>
    </row>
    <row r="1019">
      <c r="A1019" s="14">
        <f>IF(F1019&lt;&gt;"","ISSUE-"&amp;TEXT(ROW()-1,"00000"),"")</f>
        <v/>
      </c>
      <c r="B1019" s="14">
        <f>IF(F1019&lt;&gt;"","错误","")</f>
        <v/>
      </c>
      <c r="C1019" s="14">
        <f>IF('04_路径网络'!A19&lt;&gt;"","04_路径网络","")</f>
        <v/>
      </c>
      <c r="D1019" s="14">
        <f>IF('04_路径网络'!A19&lt;&gt;"",'04_路径网络'!A19,"")</f>
        <v/>
      </c>
      <c r="E1019" s="14">
        <f>IF(F1019&lt;&gt;"","综合校验","")</f>
        <v/>
      </c>
      <c r="F1019" s="14">
        <f>IF('04_路径网络'!A19&lt;&gt;"",IF('04_路径网络'!A19="","缺少路径ID；","")&amp;IF('04_路径网络'!C19="","缺少路径类型；","")&amp;IF('04_路径网络'!D19="","缺少起点对象ID；","")&amp;IF('04_路径网络'!E19="","缺少终点对象ID；","")&amp;IF(AND('04_路径网络'!D19&lt;&gt;"",'04_路径网络'!D19='04_路径网络'!E19),"起点与终点相同；","")&amp;IF(AND('04_路径网络'!D19&lt;&gt;"",COUNTIF('02_固定地理'!$A$2:$A$501,'04_路径网络'!D19)+COUNTIF('03_地点锚点'!$A$2:$A$501,'04_路径网络'!D19)+COUNTIF('06_建筑锚点'!$A$2:$A$501,'04_路径网络'!D19)=0),"起点引用对象不存在；","")&amp;IF(AND('04_路径网络'!E19&lt;&gt;"",COUNTIF('02_固定地理'!$A$2:$A$501,'04_路径网络'!E19)+COUNTIF('03_地点锚点'!$A$2:$A$501,'04_路径网络'!E19)+COUNTIF('06_建筑锚点'!$A$2:$A$501,'04_路径网络'!E19)=0),"终点引用对象不存在；","")&amp;IF(AND('04_路径网络'!F19&lt;&gt;"",COUNTIF('04_路径网络'!$A$2:$A$501,'04_路径网络'!F19)=0),"父级路径不存在；","")&amp;IF(AND('04_路径网络'!A19&lt;&gt;"",COUNTIF('04_路径网络'!$A$2:$A$501,'04_路径网络'!A19)&gt;1),"ID重复；",""),"")</f>
        <v/>
      </c>
      <c r="G1019" s="14">
        <f>IF(F1019&lt;&gt;"","按字段批注、数据字典和来源记录修正后复核","")</f>
        <v/>
      </c>
      <c r="H1019" s="14">
        <f>IF(F1019&lt;&gt;"","待处理","")</f>
        <v/>
      </c>
    </row>
    <row r="1020">
      <c r="A1020" s="14">
        <f>IF(F1020&lt;&gt;"","ISSUE-"&amp;TEXT(ROW()-1,"00000"),"")</f>
        <v/>
      </c>
      <c r="B1020" s="14">
        <f>IF(F1020&lt;&gt;"","错误","")</f>
        <v/>
      </c>
      <c r="C1020" s="14">
        <f>IF('04_路径网络'!A20&lt;&gt;"","04_路径网络","")</f>
        <v/>
      </c>
      <c r="D1020" s="14">
        <f>IF('04_路径网络'!A20&lt;&gt;"",'04_路径网络'!A20,"")</f>
        <v/>
      </c>
      <c r="E1020" s="14">
        <f>IF(F1020&lt;&gt;"","综合校验","")</f>
        <v/>
      </c>
      <c r="F1020" s="14">
        <f>IF('04_路径网络'!A20&lt;&gt;"",IF('04_路径网络'!A20="","缺少路径ID；","")&amp;IF('04_路径网络'!C20="","缺少路径类型；","")&amp;IF('04_路径网络'!D20="","缺少起点对象ID；","")&amp;IF('04_路径网络'!E20="","缺少终点对象ID；","")&amp;IF(AND('04_路径网络'!D20&lt;&gt;"",'04_路径网络'!D20='04_路径网络'!E20),"起点与终点相同；","")&amp;IF(AND('04_路径网络'!D20&lt;&gt;"",COUNTIF('02_固定地理'!$A$2:$A$501,'04_路径网络'!D20)+COUNTIF('03_地点锚点'!$A$2:$A$501,'04_路径网络'!D20)+COUNTIF('06_建筑锚点'!$A$2:$A$501,'04_路径网络'!D20)=0),"起点引用对象不存在；","")&amp;IF(AND('04_路径网络'!E20&lt;&gt;"",COUNTIF('02_固定地理'!$A$2:$A$501,'04_路径网络'!E20)+COUNTIF('03_地点锚点'!$A$2:$A$501,'04_路径网络'!E20)+COUNTIF('06_建筑锚点'!$A$2:$A$501,'04_路径网络'!E20)=0),"终点引用对象不存在；","")&amp;IF(AND('04_路径网络'!F20&lt;&gt;"",COUNTIF('04_路径网络'!$A$2:$A$501,'04_路径网络'!F20)=0),"父级路径不存在；","")&amp;IF(AND('04_路径网络'!A20&lt;&gt;"",COUNTIF('04_路径网络'!$A$2:$A$501,'04_路径网络'!A20)&gt;1),"ID重复；",""),"")</f>
        <v/>
      </c>
      <c r="G1020" s="14">
        <f>IF(F1020&lt;&gt;"","按字段批注、数据字典和来源记录修正后复核","")</f>
        <v/>
      </c>
      <c r="H1020" s="14">
        <f>IF(F1020&lt;&gt;"","待处理","")</f>
        <v/>
      </c>
    </row>
    <row r="1021">
      <c r="A1021" s="14">
        <f>IF(F1021&lt;&gt;"","ISSUE-"&amp;TEXT(ROW()-1,"00000"),"")</f>
        <v/>
      </c>
      <c r="B1021" s="14">
        <f>IF(F1021&lt;&gt;"","错误","")</f>
        <v/>
      </c>
      <c r="C1021" s="14">
        <f>IF('04_路径网络'!A21&lt;&gt;"","04_路径网络","")</f>
        <v/>
      </c>
      <c r="D1021" s="14">
        <f>IF('04_路径网络'!A21&lt;&gt;"",'04_路径网络'!A21,"")</f>
        <v/>
      </c>
      <c r="E1021" s="14">
        <f>IF(F1021&lt;&gt;"","综合校验","")</f>
        <v/>
      </c>
      <c r="F1021" s="14">
        <f>IF('04_路径网络'!A21&lt;&gt;"",IF('04_路径网络'!A21="","缺少路径ID；","")&amp;IF('04_路径网络'!C21="","缺少路径类型；","")&amp;IF('04_路径网络'!D21="","缺少起点对象ID；","")&amp;IF('04_路径网络'!E21="","缺少终点对象ID；","")&amp;IF(AND('04_路径网络'!D21&lt;&gt;"",'04_路径网络'!D21='04_路径网络'!E21),"起点与终点相同；","")&amp;IF(AND('04_路径网络'!D21&lt;&gt;"",COUNTIF('02_固定地理'!$A$2:$A$501,'04_路径网络'!D21)+COUNTIF('03_地点锚点'!$A$2:$A$501,'04_路径网络'!D21)+COUNTIF('06_建筑锚点'!$A$2:$A$501,'04_路径网络'!D21)=0),"起点引用对象不存在；","")&amp;IF(AND('04_路径网络'!E21&lt;&gt;"",COUNTIF('02_固定地理'!$A$2:$A$501,'04_路径网络'!E21)+COUNTIF('03_地点锚点'!$A$2:$A$501,'04_路径网络'!E21)+COUNTIF('06_建筑锚点'!$A$2:$A$501,'04_路径网络'!E21)=0),"终点引用对象不存在；","")&amp;IF(AND('04_路径网络'!F21&lt;&gt;"",COUNTIF('04_路径网络'!$A$2:$A$501,'04_路径网络'!F21)=0),"父级路径不存在；","")&amp;IF(AND('04_路径网络'!A21&lt;&gt;"",COUNTIF('04_路径网络'!$A$2:$A$501,'04_路径网络'!A21)&gt;1),"ID重复；",""),"")</f>
        <v/>
      </c>
      <c r="G1021" s="14">
        <f>IF(F1021&lt;&gt;"","按字段批注、数据字典和来源记录修正后复核","")</f>
        <v/>
      </c>
      <c r="H1021" s="14">
        <f>IF(F1021&lt;&gt;"","待处理","")</f>
        <v/>
      </c>
    </row>
    <row r="1022">
      <c r="A1022" s="14">
        <f>IF(F1022&lt;&gt;"","ISSUE-"&amp;TEXT(ROW()-1,"00000"),"")</f>
        <v/>
      </c>
      <c r="B1022" s="14">
        <f>IF(F1022&lt;&gt;"","错误","")</f>
        <v/>
      </c>
      <c r="C1022" s="14">
        <f>IF('04_路径网络'!A22&lt;&gt;"","04_路径网络","")</f>
        <v/>
      </c>
      <c r="D1022" s="14">
        <f>IF('04_路径网络'!A22&lt;&gt;"",'04_路径网络'!A22,"")</f>
        <v/>
      </c>
      <c r="E1022" s="14">
        <f>IF(F1022&lt;&gt;"","综合校验","")</f>
        <v/>
      </c>
      <c r="F1022" s="14">
        <f>IF('04_路径网络'!A22&lt;&gt;"",IF('04_路径网络'!A22="","缺少路径ID；","")&amp;IF('04_路径网络'!C22="","缺少路径类型；","")&amp;IF('04_路径网络'!D22="","缺少起点对象ID；","")&amp;IF('04_路径网络'!E22="","缺少终点对象ID；","")&amp;IF(AND('04_路径网络'!D22&lt;&gt;"",'04_路径网络'!D22='04_路径网络'!E22),"起点与终点相同；","")&amp;IF(AND('04_路径网络'!D22&lt;&gt;"",COUNTIF('02_固定地理'!$A$2:$A$501,'04_路径网络'!D22)+COUNTIF('03_地点锚点'!$A$2:$A$501,'04_路径网络'!D22)+COUNTIF('06_建筑锚点'!$A$2:$A$501,'04_路径网络'!D22)=0),"起点引用对象不存在；","")&amp;IF(AND('04_路径网络'!E22&lt;&gt;"",COUNTIF('02_固定地理'!$A$2:$A$501,'04_路径网络'!E22)+COUNTIF('03_地点锚点'!$A$2:$A$501,'04_路径网络'!E22)+COUNTIF('06_建筑锚点'!$A$2:$A$501,'04_路径网络'!E22)=0),"终点引用对象不存在；","")&amp;IF(AND('04_路径网络'!F22&lt;&gt;"",COUNTIF('04_路径网络'!$A$2:$A$501,'04_路径网络'!F22)=0),"父级路径不存在；","")&amp;IF(AND('04_路径网络'!A22&lt;&gt;"",COUNTIF('04_路径网络'!$A$2:$A$501,'04_路径网络'!A22)&gt;1),"ID重复；",""),"")</f>
        <v/>
      </c>
      <c r="G1022" s="14">
        <f>IF(F1022&lt;&gt;"","按字段批注、数据字典和来源记录修正后复核","")</f>
        <v/>
      </c>
      <c r="H1022" s="14">
        <f>IF(F1022&lt;&gt;"","待处理","")</f>
        <v/>
      </c>
    </row>
    <row r="1023">
      <c r="A1023" s="14">
        <f>IF(F1023&lt;&gt;"","ISSUE-"&amp;TEXT(ROW()-1,"00000"),"")</f>
        <v/>
      </c>
      <c r="B1023" s="14">
        <f>IF(F1023&lt;&gt;"","错误","")</f>
        <v/>
      </c>
      <c r="C1023" s="14">
        <f>IF('04_路径网络'!A23&lt;&gt;"","04_路径网络","")</f>
        <v/>
      </c>
      <c r="D1023" s="14">
        <f>IF('04_路径网络'!A23&lt;&gt;"",'04_路径网络'!A23,"")</f>
        <v/>
      </c>
      <c r="E1023" s="14">
        <f>IF(F1023&lt;&gt;"","综合校验","")</f>
        <v/>
      </c>
      <c r="F1023" s="14">
        <f>IF('04_路径网络'!A23&lt;&gt;"",IF('04_路径网络'!A23="","缺少路径ID；","")&amp;IF('04_路径网络'!C23="","缺少路径类型；","")&amp;IF('04_路径网络'!D23="","缺少起点对象ID；","")&amp;IF('04_路径网络'!E23="","缺少终点对象ID；","")&amp;IF(AND('04_路径网络'!D23&lt;&gt;"",'04_路径网络'!D23='04_路径网络'!E23),"起点与终点相同；","")&amp;IF(AND('04_路径网络'!D23&lt;&gt;"",COUNTIF('02_固定地理'!$A$2:$A$501,'04_路径网络'!D23)+COUNTIF('03_地点锚点'!$A$2:$A$501,'04_路径网络'!D23)+COUNTIF('06_建筑锚点'!$A$2:$A$501,'04_路径网络'!D23)=0),"起点引用对象不存在；","")&amp;IF(AND('04_路径网络'!E23&lt;&gt;"",COUNTIF('02_固定地理'!$A$2:$A$501,'04_路径网络'!E23)+COUNTIF('03_地点锚点'!$A$2:$A$501,'04_路径网络'!E23)+COUNTIF('06_建筑锚点'!$A$2:$A$501,'04_路径网络'!E23)=0),"终点引用对象不存在；","")&amp;IF(AND('04_路径网络'!F23&lt;&gt;"",COUNTIF('04_路径网络'!$A$2:$A$501,'04_路径网络'!F23)=0),"父级路径不存在；","")&amp;IF(AND('04_路径网络'!A23&lt;&gt;"",COUNTIF('04_路径网络'!$A$2:$A$501,'04_路径网络'!A23)&gt;1),"ID重复；",""),"")</f>
        <v/>
      </c>
      <c r="G1023" s="14">
        <f>IF(F1023&lt;&gt;"","按字段批注、数据字典和来源记录修正后复核","")</f>
        <v/>
      </c>
      <c r="H1023" s="14">
        <f>IF(F1023&lt;&gt;"","待处理","")</f>
        <v/>
      </c>
    </row>
    <row r="1024">
      <c r="A1024" s="14">
        <f>IF(F1024&lt;&gt;"","ISSUE-"&amp;TEXT(ROW()-1,"00000"),"")</f>
        <v/>
      </c>
      <c r="B1024" s="14">
        <f>IF(F1024&lt;&gt;"","错误","")</f>
        <v/>
      </c>
      <c r="C1024" s="14">
        <f>IF('04_路径网络'!A24&lt;&gt;"","04_路径网络","")</f>
        <v/>
      </c>
      <c r="D1024" s="14">
        <f>IF('04_路径网络'!A24&lt;&gt;"",'04_路径网络'!A24,"")</f>
        <v/>
      </c>
      <c r="E1024" s="14">
        <f>IF(F1024&lt;&gt;"","综合校验","")</f>
        <v/>
      </c>
      <c r="F1024" s="14">
        <f>IF('04_路径网络'!A24&lt;&gt;"",IF('04_路径网络'!A24="","缺少路径ID；","")&amp;IF('04_路径网络'!C24="","缺少路径类型；","")&amp;IF('04_路径网络'!D24="","缺少起点对象ID；","")&amp;IF('04_路径网络'!E24="","缺少终点对象ID；","")&amp;IF(AND('04_路径网络'!D24&lt;&gt;"",'04_路径网络'!D24='04_路径网络'!E24),"起点与终点相同；","")&amp;IF(AND('04_路径网络'!D24&lt;&gt;"",COUNTIF('02_固定地理'!$A$2:$A$501,'04_路径网络'!D24)+COUNTIF('03_地点锚点'!$A$2:$A$501,'04_路径网络'!D24)+COUNTIF('06_建筑锚点'!$A$2:$A$501,'04_路径网络'!D24)=0),"起点引用对象不存在；","")&amp;IF(AND('04_路径网络'!E24&lt;&gt;"",COUNTIF('02_固定地理'!$A$2:$A$501,'04_路径网络'!E24)+COUNTIF('03_地点锚点'!$A$2:$A$501,'04_路径网络'!E24)+COUNTIF('06_建筑锚点'!$A$2:$A$501,'04_路径网络'!E24)=0),"终点引用对象不存在；","")&amp;IF(AND('04_路径网络'!F24&lt;&gt;"",COUNTIF('04_路径网络'!$A$2:$A$501,'04_路径网络'!F24)=0),"父级路径不存在；","")&amp;IF(AND('04_路径网络'!A24&lt;&gt;"",COUNTIF('04_路径网络'!$A$2:$A$501,'04_路径网络'!A24)&gt;1),"ID重复；",""),"")</f>
        <v/>
      </c>
      <c r="G1024" s="14">
        <f>IF(F1024&lt;&gt;"","按字段批注、数据字典和来源记录修正后复核","")</f>
        <v/>
      </c>
      <c r="H1024" s="14">
        <f>IF(F1024&lt;&gt;"","待处理","")</f>
        <v/>
      </c>
    </row>
    <row r="1025">
      <c r="A1025" s="14">
        <f>IF(F1025&lt;&gt;"","ISSUE-"&amp;TEXT(ROW()-1,"00000"),"")</f>
        <v/>
      </c>
      <c r="B1025" s="14">
        <f>IF(F1025&lt;&gt;"","错误","")</f>
        <v/>
      </c>
      <c r="C1025" s="14">
        <f>IF('04_路径网络'!A25&lt;&gt;"","04_路径网络","")</f>
        <v/>
      </c>
      <c r="D1025" s="14">
        <f>IF('04_路径网络'!A25&lt;&gt;"",'04_路径网络'!A25,"")</f>
        <v/>
      </c>
      <c r="E1025" s="14">
        <f>IF(F1025&lt;&gt;"","综合校验","")</f>
        <v/>
      </c>
      <c r="F1025" s="14">
        <f>IF('04_路径网络'!A25&lt;&gt;"",IF('04_路径网络'!A25="","缺少路径ID；","")&amp;IF('04_路径网络'!C25="","缺少路径类型；","")&amp;IF('04_路径网络'!D25="","缺少起点对象ID；","")&amp;IF('04_路径网络'!E25="","缺少终点对象ID；","")&amp;IF(AND('04_路径网络'!D25&lt;&gt;"",'04_路径网络'!D25='04_路径网络'!E25),"起点与终点相同；","")&amp;IF(AND('04_路径网络'!D25&lt;&gt;"",COUNTIF('02_固定地理'!$A$2:$A$501,'04_路径网络'!D25)+COUNTIF('03_地点锚点'!$A$2:$A$501,'04_路径网络'!D25)+COUNTIF('06_建筑锚点'!$A$2:$A$501,'04_路径网络'!D25)=0),"起点引用对象不存在；","")&amp;IF(AND('04_路径网络'!E25&lt;&gt;"",COUNTIF('02_固定地理'!$A$2:$A$501,'04_路径网络'!E25)+COUNTIF('03_地点锚点'!$A$2:$A$501,'04_路径网络'!E25)+COUNTIF('06_建筑锚点'!$A$2:$A$501,'04_路径网络'!E25)=0),"终点引用对象不存在；","")&amp;IF(AND('04_路径网络'!F25&lt;&gt;"",COUNTIF('04_路径网络'!$A$2:$A$501,'04_路径网络'!F25)=0),"父级路径不存在；","")&amp;IF(AND('04_路径网络'!A25&lt;&gt;"",COUNTIF('04_路径网络'!$A$2:$A$501,'04_路径网络'!A25)&gt;1),"ID重复；",""),"")</f>
        <v/>
      </c>
      <c r="G1025" s="14">
        <f>IF(F1025&lt;&gt;"","按字段批注、数据字典和来源记录修正后复核","")</f>
        <v/>
      </c>
      <c r="H1025" s="14">
        <f>IF(F1025&lt;&gt;"","待处理","")</f>
        <v/>
      </c>
    </row>
    <row r="1026">
      <c r="A1026" s="14">
        <f>IF(F1026&lt;&gt;"","ISSUE-"&amp;TEXT(ROW()-1,"00000"),"")</f>
        <v/>
      </c>
      <c r="B1026" s="14">
        <f>IF(F1026&lt;&gt;"","错误","")</f>
        <v/>
      </c>
      <c r="C1026" s="14">
        <f>IF('04_路径网络'!A26&lt;&gt;"","04_路径网络","")</f>
        <v/>
      </c>
      <c r="D1026" s="14">
        <f>IF('04_路径网络'!A26&lt;&gt;"",'04_路径网络'!A26,"")</f>
        <v/>
      </c>
      <c r="E1026" s="14">
        <f>IF(F1026&lt;&gt;"","综合校验","")</f>
        <v/>
      </c>
      <c r="F1026" s="14">
        <f>IF('04_路径网络'!A26&lt;&gt;"",IF('04_路径网络'!A26="","缺少路径ID；","")&amp;IF('04_路径网络'!C26="","缺少路径类型；","")&amp;IF('04_路径网络'!D26="","缺少起点对象ID；","")&amp;IF('04_路径网络'!E26="","缺少终点对象ID；","")&amp;IF(AND('04_路径网络'!D26&lt;&gt;"",'04_路径网络'!D26='04_路径网络'!E26),"起点与终点相同；","")&amp;IF(AND('04_路径网络'!D26&lt;&gt;"",COUNTIF('02_固定地理'!$A$2:$A$501,'04_路径网络'!D26)+COUNTIF('03_地点锚点'!$A$2:$A$501,'04_路径网络'!D26)+COUNTIF('06_建筑锚点'!$A$2:$A$501,'04_路径网络'!D26)=0),"起点引用对象不存在；","")&amp;IF(AND('04_路径网络'!E26&lt;&gt;"",COUNTIF('02_固定地理'!$A$2:$A$501,'04_路径网络'!E26)+COUNTIF('03_地点锚点'!$A$2:$A$501,'04_路径网络'!E26)+COUNTIF('06_建筑锚点'!$A$2:$A$501,'04_路径网络'!E26)=0),"终点引用对象不存在；","")&amp;IF(AND('04_路径网络'!F26&lt;&gt;"",COUNTIF('04_路径网络'!$A$2:$A$501,'04_路径网络'!F26)=0),"父级路径不存在；","")&amp;IF(AND('04_路径网络'!A26&lt;&gt;"",COUNTIF('04_路径网络'!$A$2:$A$501,'04_路径网络'!A26)&gt;1),"ID重复；",""),"")</f>
        <v/>
      </c>
      <c r="G1026" s="14">
        <f>IF(F1026&lt;&gt;"","按字段批注、数据字典和来源记录修正后复核","")</f>
        <v/>
      </c>
      <c r="H1026" s="14">
        <f>IF(F1026&lt;&gt;"","待处理","")</f>
        <v/>
      </c>
    </row>
    <row r="1027">
      <c r="A1027" s="14">
        <f>IF(F1027&lt;&gt;"","ISSUE-"&amp;TEXT(ROW()-1,"00000"),"")</f>
        <v/>
      </c>
      <c r="B1027" s="14">
        <f>IF(F1027&lt;&gt;"","错误","")</f>
        <v/>
      </c>
      <c r="C1027" s="14">
        <f>IF('04_路径网络'!A27&lt;&gt;"","04_路径网络","")</f>
        <v/>
      </c>
      <c r="D1027" s="14">
        <f>IF('04_路径网络'!A27&lt;&gt;"",'04_路径网络'!A27,"")</f>
        <v/>
      </c>
      <c r="E1027" s="14">
        <f>IF(F1027&lt;&gt;"","综合校验","")</f>
        <v/>
      </c>
      <c r="F1027" s="14">
        <f>IF('04_路径网络'!A27&lt;&gt;"",IF('04_路径网络'!A27="","缺少路径ID；","")&amp;IF('04_路径网络'!C27="","缺少路径类型；","")&amp;IF('04_路径网络'!D27="","缺少起点对象ID；","")&amp;IF('04_路径网络'!E27="","缺少终点对象ID；","")&amp;IF(AND('04_路径网络'!D27&lt;&gt;"",'04_路径网络'!D27='04_路径网络'!E27),"起点与终点相同；","")&amp;IF(AND('04_路径网络'!D27&lt;&gt;"",COUNTIF('02_固定地理'!$A$2:$A$501,'04_路径网络'!D27)+COUNTIF('03_地点锚点'!$A$2:$A$501,'04_路径网络'!D27)+COUNTIF('06_建筑锚点'!$A$2:$A$501,'04_路径网络'!D27)=0),"起点引用对象不存在；","")&amp;IF(AND('04_路径网络'!E27&lt;&gt;"",COUNTIF('02_固定地理'!$A$2:$A$501,'04_路径网络'!E27)+COUNTIF('03_地点锚点'!$A$2:$A$501,'04_路径网络'!E27)+COUNTIF('06_建筑锚点'!$A$2:$A$501,'04_路径网络'!E27)=0),"终点引用对象不存在；","")&amp;IF(AND('04_路径网络'!F27&lt;&gt;"",COUNTIF('04_路径网络'!$A$2:$A$501,'04_路径网络'!F27)=0),"父级路径不存在；","")&amp;IF(AND('04_路径网络'!A27&lt;&gt;"",COUNTIF('04_路径网络'!$A$2:$A$501,'04_路径网络'!A27)&gt;1),"ID重复；",""),"")</f>
        <v/>
      </c>
      <c r="G1027" s="14">
        <f>IF(F1027&lt;&gt;"","按字段批注、数据字典和来源记录修正后复核","")</f>
        <v/>
      </c>
      <c r="H1027" s="14">
        <f>IF(F1027&lt;&gt;"","待处理","")</f>
        <v/>
      </c>
    </row>
    <row r="1028">
      <c r="A1028" s="14">
        <f>IF(F1028&lt;&gt;"","ISSUE-"&amp;TEXT(ROW()-1,"00000"),"")</f>
        <v/>
      </c>
      <c r="B1028" s="14">
        <f>IF(F1028&lt;&gt;"","错误","")</f>
        <v/>
      </c>
      <c r="C1028" s="14">
        <f>IF('04_路径网络'!A28&lt;&gt;"","04_路径网络","")</f>
        <v/>
      </c>
      <c r="D1028" s="14">
        <f>IF('04_路径网络'!A28&lt;&gt;"",'04_路径网络'!A28,"")</f>
        <v/>
      </c>
      <c r="E1028" s="14">
        <f>IF(F1028&lt;&gt;"","综合校验","")</f>
        <v/>
      </c>
      <c r="F1028" s="14">
        <f>IF('04_路径网络'!A28&lt;&gt;"",IF('04_路径网络'!A28="","缺少路径ID；","")&amp;IF('04_路径网络'!C28="","缺少路径类型；","")&amp;IF('04_路径网络'!D28="","缺少起点对象ID；","")&amp;IF('04_路径网络'!E28="","缺少终点对象ID；","")&amp;IF(AND('04_路径网络'!D28&lt;&gt;"",'04_路径网络'!D28='04_路径网络'!E28),"起点与终点相同；","")&amp;IF(AND('04_路径网络'!D28&lt;&gt;"",COUNTIF('02_固定地理'!$A$2:$A$501,'04_路径网络'!D28)+COUNTIF('03_地点锚点'!$A$2:$A$501,'04_路径网络'!D28)+COUNTIF('06_建筑锚点'!$A$2:$A$501,'04_路径网络'!D28)=0),"起点引用对象不存在；","")&amp;IF(AND('04_路径网络'!E28&lt;&gt;"",COUNTIF('02_固定地理'!$A$2:$A$501,'04_路径网络'!E28)+COUNTIF('03_地点锚点'!$A$2:$A$501,'04_路径网络'!E28)+COUNTIF('06_建筑锚点'!$A$2:$A$501,'04_路径网络'!E28)=0),"终点引用对象不存在；","")&amp;IF(AND('04_路径网络'!F28&lt;&gt;"",COUNTIF('04_路径网络'!$A$2:$A$501,'04_路径网络'!F28)=0),"父级路径不存在；","")&amp;IF(AND('04_路径网络'!A28&lt;&gt;"",COUNTIF('04_路径网络'!$A$2:$A$501,'04_路径网络'!A28)&gt;1),"ID重复；",""),"")</f>
        <v/>
      </c>
      <c r="G1028" s="14">
        <f>IF(F1028&lt;&gt;"","按字段批注、数据字典和来源记录修正后复核","")</f>
        <v/>
      </c>
      <c r="H1028" s="14">
        <f>IF(F1028&lt;&gt;"","待处理","")</f>
        <v/>
      </c>
    </row>
    <row r="1029">
      <c r="A1029" s="14">
        <f>IF(F1029&lt;&gt;"","ISSUE-"&amp;TEXT(ROW()-1,"00000"),"")</f>
        <v/>
      </c>
      <c r="B1029" s="14">
        <f>IF(F1029&lt;&gt;"","错误","")</f>
        <v/>
      </c>
      <c r="C1029" s="14">
        <f>IF('04_路径网络'!A29&lt;&gt;"","04_路径网络","")</f>
        <v/>
      </c>
      <c r="D1029" s="14">
        <f>IF('04_路径网络'!A29&lt;&gt;"",'04_路径网络'!A29,"")</f>
        <v/>
      </c>
      <c r="E1029" s="14">
        <f>IF(F1029&lt;&gt;"","综合校验","")</f>
        <v/>
      </c>
      <c r="F1029" s="14">
        <f>IF('04_路径网络'!A29&lt;&gt;"",IF('04_路径网络'!A29="","缺少路径ID；","")&amp;IF('04_路径网络'!C29="","缺少路径类型；","")&amp;IF('04_路径网络'!D29="","缺少起点对象ID；","")&amp;IF('04_路径网络'!E29="","缺少终点对象ID；","")&amp;IF(AND('04_路径网络'!D29&lt;&gt;"",'04_路径网络'!D29='04_路径网络'!E29),"起点与终点相同；","")&amp;IF(AND('04_路径网络'!D29&lt;&gt;"",COUNTIF('02_固定地理'!$A$2:$A$501,'04_路径网络'!D29)+COUNTIF('03_地点锚点'!$A$2:$A$501,'04_路径网络'!D29)+COUNTIF('06_建筑锚点'!$A$2:$A$501,'04_路径网络'!D29)=0),"起点引用对象不存在；","")&amp;IF(AND('04_路径网络'!E29&lt;&gt;"",COUNTIF('02_固定地理'!$A$2:$A$501,'04_路径网络'!E29)+COUNTIF('03_地点锚点'!$A$2:$A$501,'04_路径网络'!E29)+COUNTIF('06_建筑锚点'!$A$2:$A$501,'04_路径网络'!E29)=0),"终点引用对象不存在；","")&amp;IF(AND('04_路径网络'!F29&lt;&gt;"",COUNTIF('04_路径网络'!$A$2:$A$501,'04_路径网络'!F29)=0),"父级路径不存在；","")&amp;IF(AND('04_路径网络'!A29&lt;&gt;"",COUNTIF('04_路径网络'!$A$2:$A$501,'04_路径网络'!A29)&gt;1),"ID重复；",""),"")</f>
        <v/>
      </c>
      <c r="G1029" s="14">
        <f>IF(F1029&lt;&gt;"","按字段批注、数据字典和来源记录修正后复核","")</f>
        <v/>
      </c>
      <c r="H1029" s="14">
        <f>IF(F1029&lt;&gt;"","待处理","")</f>
        <v/>
      </c>
    </row>
    <row r="1030">
      <c r="A1030" s="14">
        <f>IF(F1030&lt;&gt;"","ISSUE-"&amp;TEXT(ROW()-1,"00000"),"")</f>
        <v/>
      </c>
      <c r="B1030" s="14">
        <f>IF(F1030&lt;&gt;"","错误","")</f>
        <v/>
      </c>
      <c r="C1030" s="14">
        <f>IF('04_路径网络'!A30&lt;&gt;"","04_路径网络","")</f>
        <v/>
      </c>
      <c r="D1030" s="14">
        <f>IF('04_路径网络'!A30&lt;&gt;"",'04_路径网络'!A30,"")</f>
        <v/>
      </c>
      <c r="E1030" s="14">
        <f>IF(F1030&lt;&gt;"","综合校验","")</f>
        <v/>
      </c>
      <c r="F1030" s="14">
        <f>IF('04_路径网络'!A30&lt;&gt;"",IF('04_路径网络'!A30="","缺少路径ID；","")&amp;IF('04_路径网络'!C30="","缺少路径类型；","")&amp;IF('04_路径网络'!D30="","缺少起点对象ID；","")&amp;IF('04_路径网络'!E30="","缺少终点对象ID；","")&amp;IF(AND('04_路径网络'!D30&lt;&gt;"",'04_路径网络'!D30='04_路径网络'!E30),"起点与终点相同；","")&amp;IF(AND('04_路径网络'!D30&lt;&gt;"",COUNTIF('02_固定地理'!$A$2:$A$501,'04_路径网络'!D30)+COUNTIF('03_地点锚点'!$A$2:$A$501,'04_路径网络'!D30)+COUNTIF('06_建筑锚点'!$A$2:$A$501,'04_路径网络'!D30)=0),"起点引用对象不存在；","")&amp;IF(AND('04_路径网络'!E30&lt;&gt;"",COUNTIF('02_固定地理'!$A$2:$A$501,'04_路径网络'!E30)+COUNTIF('03_地点锚点'!$A$2:$A$501,'04_路径网络'!E30)+COUNTIF('06_建筑锚点'!$A$2:$A$501,'04_路径网络'!E30)=0),"终点引用对象不存在；","")&amp;IF(AND('04_路径网络'!F30&lt;&gt;"",COUNTIF('04_路径网络'!$A$2:$A$501,'04_路径网络'!F30)=0),"父级路径不存在；","")&amp;IF(AND('04_路径网络'!A30&lt;&gt;"",COUNTIF('04_路径网络'!$A$2:$A$501,'04_路径网络'!A30)&gt;1),"ID重复；",""),"")</f>
        <v/>
      </c>
      <c r="G1030" s="14">
        <f>IF(F1030&lt;&gt;"","按字段批注、数据字典和来源记录修正后复核","")</f>
        <v/>
      </c>
      <c r="H1030" s="14">
        <f>IF(F1030&lt;&gt;"","待处理","")</f>
        <v/>
      </c>
    </row>
    <row r="1031">
      <c r="A1031" s="14">
        <f>IF(F1031&lt;&gt;"","ISSUE-"&amp;TEXT(ROW()-1,"00000"),"")</f>
        <v/>
      </c>
      <c r="B1031" s="14">
        <f>IF(F1031&lt;&gt;"","错误","")</f>
        <v/>
      </c>
      <c r="C1031" s="14">
        <f>IF('04_路径网络'!A31&lt;&gt;"","04_路径网络","")</f>
        <v/>
      </c>
      <c r="D1031" s="14">
        <f>IF('04_路径网络'!A31&lt;&gt;"",'04_路径网络'!A31,"")</f>
        <v/>
      </c>
      <c r="E1031" s="14">
        <f>IF(F1031&lt;&gt;"","综合校验","")</f>
        <v/>
      </c>
      <c r="F1031" s="14">
        <f>IF('04_路径网络'!A31&lt;&gt;"",IF('04_路径网络'!A31="","缺少路径ID；","")&amp;IF('04_路径网络'!C31="","缺少路径类型；","")&amp;IF('04_路径网络'!D31="","缺少起点对象ID；","")&amp;IF('04_路径网络'!E31="","缺少终点对象ID；","")&amp;IF(AND('04_路径网络'!D31&lt;&gt;"",'04_路径网络'!D31='04_路径网络'!E31),"起点与终点相同；","")&amp;IF(AND('04_路径网络'!D31&lt;&gt;"",COUNTIF('02_固定地理'!$A$2:$A$501,'04_路径网络'!D31)+COUNTIF('03_地点锚点'!$A$2:$A$501,'04_路径网络'!D31)+COUNTIF('06_建筑锚点'!$A$2:$A$501,'04_路径网络'!D31)=0),"起点引用对象不存在；","")&amp;IF(AND('04_路径网络'!E31&lt;&gt;"",COUNTIF('02_固定地理'!$A$2:$A$501,'04_路径网络'!E31)+COUNTIF('03_地点锚点'!$A$2:$A$501,'04_路径网络'!E31)+COUNTIF('06_建筑锚点'!$A$2:$A$501,'04_路径网络'!E31)=0),"终点引用对象不存在；","")&amp;IF(AND('04_路径网络'!F31&lt;&gt;"",COUNTIF('04_路径网络'!$A$2:$A$501,'04_路径网络'!F31)=0),"父级路径不存在；","")&amp;IF(AND('04_路径网络'!A31&lt;&gt;"",COUNTIF('04_路径网络'!$A$2:$A$501,'04_路径网络'!A31)&gt;1),"ID重复；",""),"")</f>
        <v/>
      </c>
      <c r="G1031" s="14">
        <f>IF(F1031&lt;&gt;"","按字段批注、数据字典和来源记录修正后复核","")</f>
        <v/>
      </c>
      <c r="H1031" s="14">
        <f>IF(F1031&lt;&gt;"","待处理","")</f>
        <v/>
      </c>
    </row>
    <row r="1032">
      <c r="A1032" s="14">
        <f>IF(F1032&lt;&gt;"","ISSUE-"&amp;TEXT(ROW()-1,"00000"),"")</f>
        <v/>
      </c>
      <c r="B1032" s="14">
        <f>IF(F1032&lt;&gt;"","错误","")</f>
        <v/>
      </c>
      <c r="C1032" s="14">
        <f>IF('04_路径网络'!A32&lt;&gt;"","04_路径网络","")</f>
        <v/>
      </c>
      <c r="D1032" s="14">
        <f>IF('04_路径网络'!A32&lt;&gt;"",'04_路径网络'!A32,"")</f>
        <v/>
      </c>
      <c r="E1032" s="14">
        <f>IF(F1032&lt;&gt;"","综合校验","")</f>
        <v/>
      </c>
      <c r="F1032" s="14">
        <f>IF('04_路径网络'!A32&lt;&gt;"",IF('04_路径网络'!A32="","缺少路径ID；","")&amp;IF('04_路径网络'!C32="","缺少路径类型；","")&amp;IF('04_路径网络'!D32="","缺少起点对象ID；","")&amp;IF('04_路径网络'!E32="","缺少终点对象ID；","")&amp;IF(AND('04_路径网络'!D32&lt;&gt;"",'04_路径网络'!D32='04_路径网络'!E32),"起点与终点相同；","")&amp;IF(AND('04_路径网络'!D32&lt;&gt;"",COUNTIF('02_固定地理'!$A$2:$A$501,'04_路径网络'!D32)+COUNTIF('03_地点锚点'!$A$2:$A$501,'04_路径网络'!D32)+COUNTIF('06_建筑锚点'!$A$2:$A$501,'04_路径网络'!D32)=0),"起点引用对象不存在；","")&amp;IF(AND('04_路径网络'!E32&lt;&gt;"",COUNTIF('02_固定地理'!$A$2:$A$501,'04_路径网络'!E32)+COUNTIF('03_地点锚点'!$A$2:$A$501,'04_路径网络'!E32)+COUNTIF('06_建筑锚点'!$A$2:$A$501,'04_路径网络'!E32)=0),"终点引用对象不存在；","")&amp;IF(AND('04_路径网络'!F32&lt;&gt;"",COUNTIF('04_路径网络'!$A$2:$A$501,'04_路径网络'!F32)=0),"父级路径不存在；","")&amp;IF(AND('04_路径网络'!A32&lt;&gt;"",COUNTIF('04_路径网络'!$A$2:$A$501,'04_路径网络'!A32)&gt;1),"ID重复；",""),"")</f>
        <v/>
      </c>
      <c r="G1032" s="14">
        <f>IF(F1032&lt;&gt;"","按字段批注、数据字典和来源记录修正后复核","")</f>
        <v/>
      </c>
      <c r="H1032" s="14">
        <f>IF(F1032&lt;&gt;"","待处理","")</f>
        <v/>
      </c>
    </row>
    <row r="1033">
      <c r="A1033" s="14">
        <f>IF(F1033&lt;&gt;"","ISSUE-"&amp;TEXT(ROW()-1,"00000"),"")</f>
        <v/>
      </c>
      <c r="B1033" s="14">
        <f>IF(F1033&lt;&gt;"","错误","")</f>
        <v/>
      </c>
      <c r="C1033" s="14">
        <f>IF('04_路径网络'!A33&lt;&gt;"","04_路径网络","")</f>
        <v/>
      </c>
      <c r="D1033" s="14">
        <f>IF('04_路径网络'!A33&lt;&gt;"",'04_路径网络'!A33,"")</f>
        <v/>
      </c>
      <c r="E1033" s="14">
        <f>IF(F1033&lt;&gt;"","综合校验","")</f>
        <v/>
      </c>
      <c r="F1033" s="14">
        <f>IF('04_路径网络'!A33&lt;&gt;"",IF('04_路径网络'!A33="","缺少路径ID；","")&amp;IF('04_路径网络'!C33="","缺少路径类型；","")&amp;IF('04_路径网络'!D33="","缺少起点对象ID；","")&amp;IF('04_路径网络'!E33="","缺少终点对象ID；","")&amp;IF(AND('04_路径网络'!D33&lt;&gt;"",'04_路径网络'!D33='04_路径网络'!E33),"起点与终点相同；","")&amp;IF(AND('04_路径网络'!D33&lt;&gt;"",COUNTIF('02_固定地理'!$A$2:$A$501,'04_路径网络'!D33)+COUNTIF('03_地点锚点'!$A$2:$A$501,'04_路径网络'!D33)+COUNTIF('06_建筑锚点'!$A$2:$A$501,'04_路径网络'!D33)=0),"起点引用对象不存在；","")&amp;IF(AND('04_路径网络'!E33&lt;&gt;"",COUNTIF('02_固定地理'!$A$2:$A$501,'04_路径网络'!E33)+COUNTIF('03_地点锚点'!$A$2:$A$501,'04_路径网络'!E33)+COUNTIF('06_建筑锚点'!$A$2:$A$501,'04_路径网络'!E33)=0),"终点引用对象不存在；","")&amp;IF(AND('04_路径网络'!F33&lt;&gt;"",COUNTIF('04_路径网络'!$A$2:$A$501,'04_路径网络'!F33)=0),"父级路径不存在；","")&amp;IF(AND('04_路径网络'!A33&lt;&gt;"",COUNTIF('04_路径网络'!$A$2:$A$501,'04_路径网络'!A33)&gt;1),"ID重复；",""),"")</f>
        <v/>
      </c>
      <c r="G1033" s="14">
        <f>IF(F1033&lt;&gt;"","按字段批注、数据字典和来源记录修正后复核","")</f>
        <v/>
      </c>
      <c r="H1033" s="14">
        <f>IF(F1033&lt;&gt;"","待处理","")</f>
        <v/>
      </c>
    </row>
    <row r="1034">
      <c r="A1034" s="14">
        <f>IF(F1034&lt;&gt;"","ISSUE-"&amp;TEXT(ROW()-1,"00000"),"")</f>
        <v/>
      </c>
      <c r="B1034" s="14">
        <f>IF(F1034&lt;&gt;"","错误","")</f>
        <v/>
      </c>
      <c r="C1034" s="14">
        <f>IF('04_路径网络'!A34&lt;&gt;"","04_路径网络","")</f>
        <v/>
      </c>
      <c r="D1034" s="14">
        <f>IF('04_路径网络'!A34&lt;&gt;"",'04_路径网络'!A34,"")</f>
        <v/>
      </c>
      <c r="E1034" s="14">
        <f>IF(F1034&lt;&gt;"","综合校验","")</f>
        <v/>
      </c>
      <c r="F1034" s="14">
        <f>IF('04_路径网络'!A34&lt;&gt;"",IF('04_路径网络'!A34="","缺少路径ID；","")&amp;IF('04_路径网络'!C34="","缺少路径类型；","")&amp;IF('04_路径网络'!D34="","缺少起点对象ID；","")&amp;IF('04_路径网络'!E34="","缺少终点对象ID；","")&amp;IF(AND('04_路径网络'!D34&lt;&gt;"",'04_路径网络'!D34='04_路径网络'!E34),"起点与终点相同；","")&amp;IF(AND('04_路径网络'!D34&lt;&gt;"",COUNTIF('02_固定地理'!$A$2:$A$501,'04_路径网络'!D34)+COUNTIF('03_地点锚点'!$A$2:$A$501,'04_路径网络'!D34)+COUNTIF('06_建筑锚点'!$A$2:$A$501,'04_路径网络'!D34)=0),"起点引用对象不存在；","")&amp;IF(AND('04_路径网络'!E34&lt;&gt;"",COUNTIF('02_固定地理'!$A$2:$A$501,'04_路径网络'!E34)+COUNTIF('03_地点锚点'!$A$2:$A$501,'04_路径网络'!E34)+COUNTIF('06_建筑锚点'!$A$2:$A$501,'04_路径网络'!E34)=0),"终点引用对象不存在；","")&amp;IF(AND('04_路径网络'!F34&lt;&gt;"",COUNTIF('04_路径网络'!$A$2:$A$501,'04_路径网络'!F34)=0),"父级路径不存在；","")&amp;IF(AND('04_路径网络'!A34&lt;&gt;"",COUNTIF('04_路径网络'!$A$2:$A$501,'04_路径网络'!A34)&gt;1),"ID重复；",""),"")</f>
        <v/>
      </c>
      <c r="G1034" s="14">
        <f>IF(F1034&lt;&gt;"","按字段批注、数据字典和来源记录修正后复核","")</f>
        <v/>
      </c>
      <c r="H1034" s="14">
        <f>IF(F1034&lt;&gt;"","待处理","")</f>
        <v/>
      </c>
    </row>
    <row r="1035">
      <c r="A1035" s="14">
        <f>IF(F1035&lt;&gt;"","ISSUE-"&amp;TEXT(ROW()-1,"00000"),"")</f>
        <v/>
      </c>
      <c r="B1035" s="14">
        <f>IF(F1035&lt;&gt;"","错误","")</f>
        <v/>
      </c>
      <c r="C1035" s="14">
        <f>IF('04_路径网络'!A35&lt;&gt;"","04_路径网络","")</f>
        <v/>
      </c>
      <c r="D1035" s="14">
        <f>IF('04_路径网络'!A35&lt;&gt;"",'04_路径网络'!A35,"")</f>
        <v/>
      </c>
      <c r="E1035" s="14">
        <f>IF(F1035&lt;&gt;"","综合校验","")</f>
        <v/>
      </c>
      <c r="F1035" s="14">
        <f>IF('04_路径网络'!A35&lt;&gt;"",IF('04_路径网络'!A35="","缺少路径ID；","")&amp;IF('04_路径网络'!C35="","缺少路径类型；","")&amp;IF('04_路径网络'!D35="","缺少起点对象ID；","")&amp;IF('04_路径网络'!E35="","缺少终点对象ID；","")&amp;IF(AND('04_路径网络'!D35&lt;&gt;"",'04_路径网络'!D35='04_路径网络'!E35),"起点与终点相同；","")&amp;IF(AND('04_路径网络'!D35&lt;&gt;"",COUNTIF('02_固定地理'!$A$2:$A$501,'04_路径网络'!D35)+COUNTIF('03_地点锚点'!$A$2:$A$501,'04_路径网络'!D35)+COUNTIF('06_建筑锚点'!$A$2:$A$501,'04_路径网络'!D35)=0),"起点引用对象不存在；","")&amp;IF(AND('04_路径网络'!E35&lt;&gt;"",COUNTIF('02_固定地理'!$A$2:$A$501,'04_路径网络'!E35)+COUNTIF('03_地点锚点'!$A$2:$A$501,'04_路径网络'!E35)+COUNTIF('06_建筑锚点'!$A$2:$A$501,'04_路径网络'!E35)=0),"终点引用对象不存在；","")&amp;IF(AND('04_路径网络'!F35&lt;&gt;"",COUNTIF('04_路径网络'!$A$2:$A$501,'04_路径网络'!F35)=0),"父级路径不存在；","")&amp;IF(AND('04_路径网络'!A35&lt;&gt;"",COUNTIF('04_路径网络'!$A$2:$A$501,'04_路径网络'!A35)&gt;1),"ID重复；",""),"")</f>
        <v/>
      </c>
      <c r="G1035" s="14">
        <f>IF(F1035&lt;&gt;"","按字段批注、数据字典和来源记录修正后复核","")</f>
        <v/>
      </c>
      <c r="H1035" s="14">
        <f>IF(F1035&lt;&gt;"","待处理","")</f>
        <v/>
      </c>
    </row>
    <row r="1036">
      <c r="A1036" s="14">
        <f>IF(F1036&lt;&gt;"","ISSUE-"&amp;TEXT(ROW()-1,"00000"),"")</f>
        <v/>
      </c>
      <c r="B1036" s="14">
        <f>IF(F1036&lt;&gt;"","错误","")</f>
        <v/>
      </c>
      <c r="C1036" s="14">
        <f>IF('04_路径网络'!A36&lt;&gt;"","04_路径网络","")</f>
        <v/>
      </c>
      <c r="D1036" s="14">
        <f>IF('04_路径网络'!A36&lt;&gt;"",'04_路径网络'!A36,"")</f>
        <v/>
      </c>
      <c r="E1036" s="14">
        <f>IF(F1036&lt;&gt;"","综合校验","")</f>
        <v/>
      </c>
      <c r="F1036" s="14">
        <f>IF('04_路径网络'!A36&lt;&gt;"",IF('04_路径网络'!A36="","缺少路径ID；","")&amp;IF('04_路径网络'!C36="","缺少路径类型；","")&amp;IF('04_路径网络'!D36="","缺少起点对象ID；","")&amp;IF('04_路径网络'!E36="","缺少终点对象ID；","")&amp;IF(AND('04_路径网络'!D36&lt;&gt;"",'04_路径网络'!D36='04_路径网络'!E36),"起点与终点相同；","")&amp;IF(AND('04_路径网络'!D36&lt;&gt;"",COUNTIF('02_固定地理'!$A$2:$A$501,'04_路径网络'!D36)+COUNTIF('03_地点锚点'!$A$2:$A$501,'04_路径网络'!D36)+COUNTIF('06_建筑锚点'!$A$2:$A$501,'04_路径网络'!D36)=0),"起点引用对象不存在；","")&amp;IF(AND('04_路径网络'!E36&lt;&gt;"",COUNTIF('02_固定地理'!$A$2:$A$501,'04_路径网络'!E36)+COUNTIF('03_地点锚点'!$A$2:$A$501,'04_路径网络'!E36)+COUNTIF('06_建筑锚点'!$A$2:$A$501,'04_路径网络'!E36)=0),"终点引用对象不存在；","")&amp;IF(AND('04_路径网络'!F36&lt;&gt;"",COUNTIF('04_路径网络'!$A$2:$A$501,'04_路径网络'!F36)=0),"父级路径不存在；","")&amp;IF(AND('04_路径网络'!A36&lt;&gt;"",COUNTIF('04_路径网络'!$A$2:$A$501,'04_路径网络'!A36)&gt;1),"ID重复；",""),"")</f>
        <v/>
      </c>
      <c r="G1036" s="14">
        <f>IF(F1036&lt;&gt;"","按字段批注、数据字典和来源记录修正后复核","")</f>
        <v/>
      </c>
      <c r="H1036" s="14">
        <f>IF(F1036&lt;&gt;"","待处理","")</f>
        <v/>
      </c>
    </row>
    <row r="1037">
      <c r="A1037" s="14">
        <f>IF(F1037&lt;&gt;"","ISSUE-"&amp;TEXT(ROW()-1,"00000"),"")</f>
        <v/>
      </c>
      <c r="B1037" s="14">
        <f>IF(F1037&lt;&gt;"","错误","")</f>
        <v/>
      </c>
      <c r="C1037" s="14">
        <f>IF('04_路径网络'!A37&lt;&gt;"","04_路径网络","")</f>
        <v/>
      </c>
      <c r="D1037" s="14">
        <f>IF('04_路径网络'!A37&lt;&gt;"",'04_路径网络'!A37,"")</f>
        <v/>
      </c>
      <c r="E1037" s="14">
        <f>IF(F1037&lt;&gt;"","综合校验","")</f>
        <v/>
      </c>
      <c r="F1037" s="14">
        <f>IF('04_路径网络'!A37&lt;&gt;"",IF('04_路径网络'!A37="","缺少路径ID；","")&amp;IF('04_路径网络'!C37="","缺少路径类型；","")&amp;IF('04_路径网络'!D37="","缺少起点对象ID；","")&amp;IF('04_路径网络'!E37="","缺少终点对象ID；","")&amp;IF(AND('04_路径网络'!D37&lt;&gt;"",'04_路径网络'!D37='04_路径网络'!E37),"起点与终点相同；","")&amp;IF(AND('04_路径网络'!D37&lt;&gt;"",COUNTIF('02_固定地理'!$A$2:$A$501,'04_路径网络'!D37)+COUNTIF('03_地点锚点'!$A$2:$A$501,'04_路径网络'!D37)+COUNTIF('06_建筑锚点'!$A$2:$A$501,'04_路径网络'!D37)=0),"起点引用对象不存在；","")&amp;IF(AND('04_路径网络'!E37&lt;&gt;"",COUNTIF('02_固定地理'!$A$2:$A$501,'04_路径网络'!E37)+COUNTIF('03_地点锚点'!$A$2:$A$501,'04_路径网络'!E37)+COUNTIF('06_建筑锚点'!$A$2:$A$501,'04_路径网络'!E37)=0),"终点引用对象不存在；","")&amp;IF(AND('04_路径网络'!F37&lt;&gt;"",COUNTIF('04_路径网络'!$A$2:$A$501,'04_路径网络'!F37)=0),"父级路径不存在；","")&amp;IF(AND('04_路径网络'!A37&lt;&gt;"",COUNTIF('04_路径网络'!$A$2:$A$501,'04_路径网络'!A37)&gt;1),"ID重复；",""),"")</f>
        <v/>
      </c>
      <c r="G1037" s="14">
        <f>IF(F1037&lt;&gt;"","按字段批注、数据字典和来源记录修正后复核","")</f>
        <v/>
      </c>
      <c r="H1037" s="14">
        <f>IF(F1037&lt;&gt;"","待处理","")</f>
        <v/>
      </c>
    </row>
    <row r="1038">
      <c r="A1038" s="14">
        <f>IF(F1038&lt;&gt;"","ISSUE-"&amp;TEXT(ROW()-1,"00000"),"")</f>
        <v/>
      </c>
      <c r="B1038" s="14">
        <f>IF(F1038&lt;&gt;"","错误","")</f>
        <v/>
      </c>
      <c r="C1038" s="14">
        <f>IF('04_路径网络'!A38&lt;&gt;"","04_路径网络","")</f>
        <v/>
      </c>
      <c r="D1038" s="14">
        <f>IF('04_路径网络'!A38&lt;&gt;"",'04_路径网络'!A38,"")</f>
        <v/>
      </c>
      <c r="E1038" s="14">
        <f>IF(F1038&lt;&gt;"","综合校验","")</f>
        <v/>
      </c>
      <c r="F1038" s="14">
        <f>IF('04_路径网络'!A38&lt;&gt;"",IF('04_路径网络'!A38="","缺少路径ID；","")&amp;IF('04_路径网络'!C38="","缺少路径类型；","")&amp;IF('04_路径网络'!D38="","缺少起点对象ID；","")&amp;IF('04_路径网络'!E38="","缺少终点对象ID；","")&amp;IF(AND('04_路径网络'!D38&lt;&gt;"",'04_路径网络'!D38='04_路径网络'!E38),"起点与终点相同；","")&amp;IF(AND('04_路径网络'!D38&lt;&gt;"",COUNTIF('02_固定地理'!$A$2:$A$501,'04_路径网络'!D38)+COUNTIF('03_地点锚点'!$A$2:$A$501,'04_路径网络'!D38)+COUNTIF('06_建筑锚点'!$A$2:$A$501,'04_路径网络'!D38)=0),"起点引用对象不存在；","")&amp;IF(AND('04_路径网络'!E38&lt;&gt;"",COUNTIF('02_固定地理'!$A$2:$A$501,'04_路径网络'!E38)+COUNTIF('03_地点锚点'!$A$2:$A$501,'04_路径网络'!E38)+COUNTIF('06_建筑锚点'!$A$2:$A$501,'04_路径网络'!E38)=0),"终点引用对象不存在；","")&amp;IF(AND('04_路径网络'!F38&lt;&gt;"",COUNTIF('04_路径网络'!$A$2:$A$501,'04_路径网络'!F38)=0),"父级路径不存在；","")&amp;IF(AND('04_路径网络'!A38&lt;&gt;"",COUNTIF('04_路径网络'!$A$2:$A$501,'04_路径网络'!A38)&gt;1),"ID重复；",""),"")</f>
        <v/>
      </c>
      <c r="G1038" s="14">
        <f>IF(F1038&lt;&gt;"","按字段批注、数据字典和来源记录修正后复核","")</f>
        <v/>
      </c>
      <c r="H1038" s="14">
        <f>IF(F1038&lt;&gt;"","待处理","")</f>
        <v/>
      </c>
    </row>
    <row r="1039">
      <c r="A1039" s="14">
        <f>IF(F1039&lt;&gt;"","ISSUE-"&amp;TEXT(ROW()-1,"00000"),"")</f>
        <v/>
      </c>
      <c r="B1039" s="14">
        <f>IF(F1039&lt;&gt;"","错误","")</f>
        <v/>
      </c>
      <c r="C1039" s="14">
        <f>IF('04_路径网络'!A39&lt;&gt;"","04_路径网络","")</f>
        <v/>
      </c>
      <c r="D1039" s="14">
        <f>IF('04_路径网络'!A39&lt;&gt;"",'04_路径网络'!A39,"")</f>
        <v/>
      </c>
      <c r="E1039" s="14">
        <f>IF(F1039&lt;&gt;"","综合校验","")</f>
        <v/>
      </c>
      <c r="F1039" s="14">
        <f>IF('04_路径网络'!A39&lt;&gt;"",IF('04_路径网络'!A39="","缺少路径ID；","")&amp;IF('04_路径网络'!C39="","缺少路径类型；","")&amp;IF('04_路径网络'!D39="","缺少起点对象ID；","")&amp;IF('04_路径网络'!E39="","缺少终点对象ID；","")&amp;IF(AND('04_路径网络'!D39&lt;&gt;"",'04_路径网络'!D39='04_路径网络'!E39),"起点与终点相同；","")&amp;IF(AND('04_路径网络'!D39&lt;&gt;"",COUNTIF('02_固定地理'!$A$2:$A$501,'04_路径网络'!D39)+COUNTIF('03_地点锚点'!$A$2:$A$501,'04_路径网络'!D39)+COUNTIF('06_建筑锚点'!$A$2:$A$501,'04_路径网络'!D39)=0),"起点引用对象不存在；","")&amp;IF(AND('04_路径网络'!E39&lt;&gt;"",COUNTIF('02_固定地理'!$A$2:$A$501,'04_路径网络'!E39)+COUNTIF('03_地点锚点'!$A$2:$A$501,'04_路径网络'!E39)+COUNTIF('06_建筑锚点'!$A$2:$A$501,'04_路径网络'!E39)=0),"终点引用对象不存在；","")&amp;IF(AND('04_路径网络'!F39&lt;&gt;"",COUNTIF('04_路径网络'!$A$2:$A$501,'04_路径网络'!F39)=0),"父级路径不存在；","")&amp;IF(AND('04_路径网络'!A39&lt;&gt;"",COUNTIF('04_路径网络'!$A$2:$A$501,'04_路径网络'!A39)&gt;1),"ID重复；",""),"")</f>
        <v/>
      </c>
      <c r="G1039" s="14">
        <f>IF(F1039&lt;&gt;"","按字段批注、数据字典和来源记录修正后复核","")</f>
        <v/>
      </c>
      <c r="H1039" s="14">
        <f>IF(F1039&lt;&gt;"","待处理","")</f>
        <v/>
      </c>
    </row>
    <row r="1040">
      <c r="A1040" s="14">
        <f>IF(F1040&lt;&gt;"","ISSUE-"&amp;TEXT(ROW()-1,"00000"),"")</f>
        <v/>
      </c>
      <c r="B1040" s="14">
        <f>IF(F1040&lt;&gt;"","错误","")</f>
        <v/>
      </c>
      <c r="C1040" s="14">
        <f>IF('04_路径网络'!A40&lt;&gt;"","04_路径网络","")</f>
        <v/>
      </c>
      <c r="D1040" s="14">
        <f>IF('04_路径网络'!A40&lt;&gt;"",'04_路径网络'!A40,"")</f>
        <v/>
      </c>
      <c r="E1040" s="14">
        <f>IF(F1040&lt;&gt;"","综合校验","")</f>
        <v/>
      </c>
      <c r="F1040" s="14">
        <f>IF('04_路径网络'!A40&lt;&gt;"",IF('04_路径网络'!A40="","缺少路径ID；","")&amp;IF('04_路径网络'!C40="","缺少路径类型；","")&amp;IF('04_路径网络'!D40="","缺少起点对象ID；","")&amp;IF('04_路径网络'!E40="","缺少终点对象ID；","")&amp;IF(AND('04_路径网络'!D40&lt;&gt;"",'04_路径网络'!D40='04_路径网络'!E40),"起点与终点相同；","")&amp;IF(AND('04_路径网络'!D40&lt;&gt;"",COUNTIF('02_固定地理'!$A$2:$A$501,'04_路径网络'!D40)+COUNTIF('03_地点锚点'!$A$2:$A$501,'04_路径网络'!D40)+COUNTIF('06_建筑锚点'!$A$2:$A$501,'04_路径网络'!D40)=0),"起点引用对象不存在；","")&amp;IF(AND('04_路径网络'!E40&lt;&gt;"",COUNTIF('02_固定地理'!$A$2:$A$501,'04_路径网络'!E40)+COUNTIF('03_地点锚点'!$A$2:$A$501,'04_路径网络'!E40)+COUNTIF('06_建筑锚点'!$A$2:$A$501,'04_路径网络'!E40)=0),"终点引用对象不存在；","")&amp;IF(AND('04_路径网络'!F40&lt;&gt;"",COUNTIF('04_路径网络'!$A$2:$A$501,'04_路径网络'!F40)=0),"父级路径不存在；","")&amp;IF(AND('04_路径网络'!A40&lt;&gt;"",COUNTIF('04_路径网络'!$A$2:$A$501,'04_路径网络'!A40)&gt;1),"ID重复；",""),"")</f>
        <v/>
      </c>
      <c r="G1040" s="14">
        <f>IF(F1040&lt;&gt;"","按字段批注、数据字典和来源记录修正后复核","")</f>
        <v/>
      </c>
      <c r="H1040" s="14">
        <f>IF(F1040&lt;&gt;"","待处理","")</f>
        <v/>
      </c>
    </row>
    <row r="1041">
      <c r="A1041" s="14">
        <f>IF(F1041&lt;&gt;"","ISSUE-"&amp;TEXT(ROW()-1,"00000"),"")</f>
        <v/>
      </c>
      <c r="B1041" s="14">
        <f>IF(F1041&lt;&gt;"","错误","")</f>
        <v/>
      </c>
      <c r="C1041" s="14">
        <f>IF('04_路径网络'!A41&lt;&gt;"","04_路径网络","")</f>
        <v/>
      </c>
      <c r="D1041" s="14">
        <f>IF('04_路径网络'!A41&lt;&gt;"",'04_路径网络'!A41,"")</f>
        <v/>
      </c>
      <c r="E1041" s="14">
        <f>IF(F1041&lt;&gt;"","综合校验","")</f>
        <v/>
      </c>
      <c r="F1041" s="14">
        <f>IF('04_路径网络'!A41&lt;&gt;"",IF('04_路径网络'!A41="","缺少路径ID；","")&amp;IF('04_路径网络'!C41="","缺少路径类型；","")&amp;IF('04_路径网络'!D41="","缺少起点对象ID；","")&amp;IF('04_路径网络'!E41="","缺少终点对象ID；","")&amp;IF(AND('04_路径网络'!D41&lt;&gt;"",'04_路径网络'!D41='04_路径网络'!E41),"起点与终点相同；","")&amp;IF(AND('04_路径网络'!D41&lt;&gt;"",COUNTIF('02_固定地理'!$A$2:$A$501,'04_路径网络'!D41)+COUNTIF('03_地点锚点'!$A$2:$A$501,'04_路径网络'!D41)+COUNTIF('06_建筑锚点'!$A$2:$A$501,'04_路径网络'!D41)=0),"起点引用对象不存在；","")&amp;IF(AND('04_路径网络'!E41&lt;&gt;"",COUNTIF('02_固定地理'!$A$2:$A$501,'04_路径网络'!E41)+COUNTIF('03_地点锚点'!$A$2:$A$501,'04_路径网络'!E41)+COUNTIF('06_建筑锚点'!$A$2:$A$501,'04_路径网络'!E41)=0),"终点引用对象不存在；","")&amp;IF(AND('04_路径网络'!F41&lt;&gt;"",COUNTIF('04_路径网络'!$A$2:$A$501,'04_路径网络'!F41)=0),"父级路径不存在；","")&amp;IF(AND('04_路径网络'!A41&lt;&gt;"",COUNTIF('04_路径网络'!$A$2:$A$501,'04_路径网络'!A41)&gt;1),"ID重复；",""),"")</f>
        <v/>
      </c>
      <c r="G1041" s="14">
        <f>IF(F1041&lt;&gt;"","按字段批注、数据字典和来源记录修正后复核","")</f>
        <v/>
      </c>
      <c r="H1041" s="14">
        <f>IF(F1041&lt;&gt;"","待处理","")</f>
        <v/>
      </c>
    </row>
    <row r="1042">
      <c r="A1042" s="14">
        <f>IF(F1042&lt;&gt;"","ISSUE-"&amp;TEXT(ROW()-1,"00000"),"")</f>
        <v/>
      </c>
      <c r="B1042" s="14">
        <f>IF(F1042&lt;&gt;"","错误","")</f>
        <v/>
      </c>
      <c r="C1042" s="14">
        <f>IF('04_路径网络'!A42&lt;&gt;"","04_路径网络","")</f>
        <v/>
      </c>
      <c r="D1042" s="14">
        <f>IF('04_路径网络'!A42&lt;&gt;"",'04_路径网络'!A42,"")</f>
        <v/>
      </c>
      <c r="E1042" s="14">
        <f>IF(F1042&lt;&gt;"","综合校验","")</f>
        <v/>
      </c>
      <c r="F1042" s="14">
        <f>IF('04_路径网络'!A42&lt;&gt;"",IF('04_路径网络'!A42="","缺少路径ID；","")&amp;IF('04_路径网络'!C42="","缺少路径类型；","")&amp;IF('04_路径网络'!D42="","缺少起点对象ID；","")&amp;IF('04_路径网络'!E42="","缺少终点对象ID；","")&amp;IF(AND('04_路径网络'!D42&lt;&gt;"",'04_路径网络'!D42='04_路径网络'!E42),"起点与终点相同；","")&amp;IF(AND('04_路径网络'!D42&lt;&gt;"",COUNTIF('02_固定地理'!$A$2:$A$501,'04_路径网络'!D42)+COUNTIF('03_地点锚点'!$A$2:$A$501,'04_路径网络'!D42)+COUNTIF('06_建筑锚点'!$A$2:$A$501,'04_路径网络'!D42)=0),"起点引用对象不存在；","")&amp;IF(AND('04_路径网络'!E42&lt;&gt;"",COUNTIF('02_固定地理'!$A$2:$A$501,'04_路径网络'!E42)+COUNTIF('03_地点锚点'!$A$2:$A$501,'04_路径网络'!E42)+COUNTIF('06_建筑锚点'!$A$2:$A$501,'04_路径网络'!E42)=0),"终点引用对象不存在；","")&amp;IF(AND('04_路径网络'!F42&lt;&gt;"",COUNTIF('04_路径网络'!$A$2:$A$501,'04_路径网络'!F42)=0),"父级路径不存在；","")&amp;IF(AND('04_路径网络'!A42&lt;&gt;"",COUNTIF('04_路径网络'!$A$2:$A$501,'04_路径网络'!A42)&gt;1),"ID重复；",""),"")</f>
        <v/>
      </c>
      <c r="G1042" s="14">
        <f>IF(F1042&lt;&gt;"","按字段批注、数据字典和来源记录修正后复核","")</f>
        <v/>
      </c>
      <c r="H1042" s="14">
        <f>IF(F1042&lt;&gt;"","待处理","")</f>
        <v/>
      </c>
    </row>
    <row r="1043">
      <c r="A1043" s="14">
        <f>IF(F1043&lt;&gt;"","ISSUE-"&amp;TEXT(ROW()-1,"00000"),"")</f>
        <v/>
      </c>
      <c r="B1043" s="14">
        <f>IF(F1043&lt;&gt;"","错误","")</f>
        <v/>
      </c>
      <c r="C1043" s="14">
        <f>IF('04_路径网络'!A43&lt;&gt;"","04_路径网络","")</f>
        <v/>
      </c>
      <c r="D1043" s="14">
        <f>IF('04_路径网络'!A43&lt;&gt;"",'04_路径网络'!A43,"")</f>
        <v/>
      </c>
      <c r="E1043" s="14">
        <f>IF(F1043&lt;&gt;"","综合校验","")</f>
        <v/>
      </c>
      <c r="F1043" s="14">
        <f>IF('04_路径网络'!A43&lt;&gt;"",IF('04_路径网络'!A43="","缺少路径ID；","")&amp;IF('04_路径网络'!C43="","缺少路径类型；","")&amp;IF('04_路径网络'!D43="","缺少起点对象ID；","")&amp;IF('04_路径网络'!E43="","缺少终点对象ID；","")&amp;IF(AND('04_路径网络'!D43&lt;&gt;"",'04_路径网络'!D43='04_路径网络'!E43),"起点与终点相同；","")&amp;IF(AND('04_路径网络'!D43&lt;&gt;"",COUNTIF('02_固定地理'!$A$2:$A$501,'04_路径网络'!D43)+COUNTIF('03_地点锚点'!$A$2:$A$501,'04_路径网络'!D43)+COUNTIF('06_建筑锚点'!$A$2:$A$501,'04_路径网络'!D43)=0),"起点引用对象不存在；","")&amp;IF(AND('04_路径网络'!E43&lt;&gt;"",COUNTIF('02_固定地理'!$A$2:$A$501,'04_路径网络'!E43)+COUNTIF('03_地点锚点'!$A$2:$A$501,'04_路径网络'!E43)+COUNTIF('06_建筑锚点'!$A$2:$A$501,'04_路径网络'!E43)=0),"终点引用对象不存在；","")&amp;IF(AND('04_路径网络'!F43&lt;&gt;"",COUNTIF('04_路径网络'!$A$2:$A$501,'04_路径网络'!F43)=0),"父级路径不存在；","")&amp;IF(AND('04_路径网络'!A43&lt;&gt;"",COUNTIF('04_路径网络'!$A$2:$A$501,'04_路径网络'!A43)&gt;1),"ID重复；",""),"")</f>
        <v/>
      </c>
      <c r="G1043" s="14">
        <f>IF(F1043&lt;&gt;"","按字段批注、数据字典和来源记录修正后复核","")</f>
        <v/>
      </c>
      <c r="H1043" s="14">
        <f>IF(F1043&lt;&gt;"","待处理","")</f>
        <v/>
      </c>
    </row>
    <row r="1044">
      <c r="A1044" s="14">
        <f>IF(F1044&lt;&gt;"","ISSUE-"&amp;TEXT(ROW()-1,"00000"),"")</f>
        <v/>
      </c>
      <c r="B1044" s="14">
        <f>IF(F1044&lt;&gt;"","错误","")</f>
        <v/>
      </c>
      <c r="C1044" s="14">
        <f>IF('04_路径网络'!A44&lt;&gt;"","04_路径网络","")</f>
        <v/>
      </c>
      <c r="D1044" s="14">
        <f>IF('04_路径网络'!A44&lt;&gt;"",'04_路径网络'!A44,"")</f>
        <v/>
      </c>
      <c r="E1044" s="14">
        <f>IF(F1044&lt;&gt;"","综合校验","")</f>
        <v/>
      </c>
      <c r="F1044" s="14">
        <f>IF('04_路径网络'!A44&lt;&gt;"",IF('04_路径网络'!A44="","缺少路径ID；","")&amp;IF('04_路径网络'!C44="","缺少路径类型；","")&amp;IF('04_路径网络'!D44="","缺少起点对象ID；","")&amp;IF('04_路径网络'!E44="","缺少终点对象ID；","")&amp;IF(AND('04_路径网络'!D44&lt;&gt;"",'04_路径网络'!D44='04_路径网络'!E44),"起点与终点相同；","")&amp;IF(AND('04_路径网络'!D44&lt;&gt;"",COUNTIF('02_固定地理'!$A$2:$A$501,'04_路径网络'!D44)+COUNTIF('03_地点锚点'!$A$2:$A$501,'04_路径网络'!D44)+COUNTIF('06_建筑锚点'!$A$2:$A$501,'04_路径网络'!D44)=0),"起点引用对象不存在；","")&amp;IF(AND('04_路径网络'!E44&lt;&gt;"",COUNTIF('02_固定地理'!$A$2:$A$501,'04_路径网络'!E44)+COUNTIF('03_地点锚点'!$A$2:$A$501,'04_路径网络'!E44)+COUNTIF('06_建筑锚点'!$A$2:$A$501,'04_路径网络'!E44)=0),"终点引用对象不存在；","")&amp;IF(AND('04_路径网络'!F44&lt;&gt;"",COUNTIF('04_路径网络'!$A$2:$A$501,'04_路径网络'!F44)=0),"父级路径不存在；","")&amp;IF(AND('04_路径网络'!A44&lt;&gt;"",COUNTIF('04_路径网络'!$A$2:$A$501,'04_路径网络'!A44)&gt;1),"ID重复；",""),"")</f>
        <v/>
      </c>
      <c r="G1044" s="14">
        <f>IF(F1044&lt;&gt;"","按字段批注、数据字典和来源记录修正后复核","")</f>
        <v/>
      </c>
      <c r="H1044" s="14">
        <f>IF(F1044&lt;&gt;"","待处理","")</f>
        <v/>
      </c>
    </row>
    <row r="1045">
      <c r="A1045" s="14">
        <f>IF(F1045&lt;&gt;"","ISSUE-"&amp;TEXT(ROW()-1,"00000"),"")</f>
        <v/>
      </c>
      <c r="B1045" s="14">
        <f>IF(F1045&lt;&gt;"","错误","")</f>
        <v/>
      </c>
      <c r="C1045" s="14">
        <f>IF('04_路径网络'!A45&lt;&gt;"","04_路径网络","")</f>
        <v/>
      </c>
      <c r="D1045" s="14">
        <f>IF('04_路径网络'!A45&lt;&gt;"",'04_路径网络'!A45,"")</f>
        <v/>
      </c>
      <c r="E1045" s="14">
        <f>IF(F1045&lt;&gt;"","综合校验","")</f>
        <v/>
      </c>
      <c r="F1045" s="14">
        <f>IF('04_路径网络'!A45&lt;&gt;"",IF('04_路径网络'!A45="","缺少路径ID；","")&amp;IF('04_路径网络'!C45="","缺少路径类型；","")&amp;IF('04_路径网络'!D45="","缺少起点对象ID；","")&amp;IF('04_路径网络'!E45="","缺少终点对象ID；","")&amp;IF(AND('04_路径网络'!D45&lt;&gt;"",'04_路径网络'!D45='04_路径网络'!E45),"起点与终点相同；","")&amp;IF(AND('04_路径网络'!D45&lt;&gt;"",COUNTIF('02_固定地理'!$A$2:$A$501,'04_路径网络'!D45)+COUNTIF('03_地点锚点'!$A$2:$A$501,'04_路径网络'!D45)+COUNTIF('06_建筑锚点'!$A$2:$A$501,'04_路径网络'!D45)=0),"起点引用对象不存在；","")&amp;IF(AND('04_路径网络'!E45&lt;&gt;"",COUNTIF('02_固定地理'!$A$2:$A$501,'04_路径网络'!E45)+COUNTIF('03_地点锚点'!$A$2:$A$501,'04_路径网络'!E45)+COUNTIF('06_建筑锚点'!$A$2:$A$501,'04_路径网络'!E45)=0),"终点引用对象不存在；","")&amp;IF(AND('04_路径网络'!F45&lt;&gt;"",COUNTIF('04_路径网络'!$A$2:$A$501,'04_路径网络'!F45)=0),"父级路径不存在；","")&amp;IF(AND('04_路径网络'!A45&lt;&gt;"",COUNTIF('04_路径网络'!$A$2:$A$501,'04_路径网络'!A45)&gt;1),"ID重复；",""),"")</f>
        <v/>
      </c>
      <c r="G1045" s="14">
        <f>IF(F1045&lt;&gt;"","按字段批注、数据字典和来源记录修正后复核","")</f>
        <v/>
      </c>
      <c r="H1045" s="14">
        <f>IF(F1045&lt;&gt;"","待处理","")</f>
        <v/>
      </c>
    </row>
    <row r="1046">
      <c r="A1046" s="14">
        <f>IF(F1046&lt;&gt;"","ISSUE-"&amp;TEXT(ROW()-1,"00000"),"")</f>
        <v/>
      </c>
      <c r="B1046" s="14">
        <f>IF(F1046&lt;&gt;"","错误","")</f>
        <v/>
      </c>
      <c r="C1046" s="14">
        <f>IF('04_路径网络'!A46&lt;&gt;"","04_路径网络","")</f>
        <v/>
      </c>
      <c r="D1046" s="14">
        <f>IF('04_路径网络'!A46&lt;&gt;"",'04_路径网络'!A46,"")</f>
        <v/>
      </c>
      <c r="E1046" s="14">
        <f>IF(F1046&lt;&gt;"","综合校验","")</f>
        <v/>
      </c>
      <c r="F1046" s="14">
        <f>IF('04_路径网络'!A46&lt;&gt;"",IF('04_路径网络'!A46="","缺少路径ID；","")&amp;IF('04_路径网络'!C46="","缺少路径类型；","")&amp;IF('04_路径网络'!D46="","缺少起点对象ID；","")&amp;IF('04_路径网络'!E46="","缺少终点对象ID；","")&amp;IF(AND('04_路径网络'!D46&lt;&gt;"",'04_路径网络'!D46='04_路径网络'!E46),"起点与终点相同；","")&amp;IF(AND('04_路径网络'!D46&lt;&gt;"",COUNTIF('02_固定地理'!$A$2:$A$501,'04_路径网络'!D46)+COUNTIF('03_地点锚点'!$A$2:$A$501,'04_路径网络'!D46)+COUNTIF('06_建筑锚点'!$A$2:$A$501,'04_路径网络'!D46)=0),"起点引用对象不存在；","")&amp;IF(AND('04_路径网络'!E46&lt;&gt;"",COUNTIF('02_固定地理'!$A$2:$A$501,'04_路径网络'!E46)+COUNTIF('03_地点锚点'!$A$2:$A$501,'04_路径网络'!E46)+COUNTIF('06_建筑锚点'!$A$2:$A$501,'04_路径网络'!E46)=0),"终点引用对象不存在；","")&amp;IF(AND('04_路径网络'!F46&lt;&gt;"",COUNTIF('04_路径网络'!$A$2:$A$501,'04_路径网络'!F46)=0),"父级路径不存在；","")&amp;IF(AND('04_路径网络'!A46&lt;&gt;"",COUNTIF('04_路径网络'!$A$2:$A$501,'04_路径网络'!A46)&gt;1),"ID重复；",""),"")</f>
        <v/>
      </c>
      <c r="G1046" s="14">
        <f>IF(F1046&lt;&gt;"","按字段批注、数据字典和来源记录修正后复核","")</f>
        <v/>
      </c>
      <c r="H1046" s="14">
        <f>IF(F1046&lt;&gt;"","待处理","")</f>
        <v/>
      </c>
    </row>
    <row r="1047">
      <c r="A1047" s="14">
        <f>IF(F1047&lt;&gt;"","ISSUE-"&amp;TEXT(ROW()-1,"00000"),"")</f>
        <v/>
      </c>
      <c r="B1047" s="14">
        <f>IF(F1047&lt;&gt;"","错误","")</f>
        <v/>
      </c>
      <c r="C1047" s="14">
        <f>IF('04_路径网络'!A47&lt;&gt;"","04_路径网络","")</f>
        <v/>
      </c>
      <c r="D1047" s="14">
        <f>IF('04_路径网络'!A47&lt;&gt;"",'04_路径网络'!A47,"")</f>
        <v/>
      </c>
      <c r="E1047" s="14">
        <f>IF(F1047&lt;&gt;"","综合校验","")</f>
        <v/>
      </c>
      <c r="F1047" s="14">
        <f>IF('04_路径网络'!A47&lt;&gt;"",IF('04_路径网络'!A47="","缺少路径ID；","")&amp;IF('04_路径网络'!C47="","缺少路径类型；","")&amp;IF('04_路径网络'!D47="","缺少起点对象ID；","")&amp;IF('04_路径网络'!E47="","缺少终点对象ID；","")&amp;IF(AND('04_路径网络'!D47&lt;&gt;"",'04_路径网络'!D47='04_路径网络'!E47),"起点与终点相同；","")&amp;IF(AND('04_路径网络'!D47&lt;&gt;"",COUNTIF('02_固定地理'!$A$2:$A$501,'04_路径网络'!D47)+COUNTIF('03_地点锚点'!$A$2:$A$501,'04_路径网络'!D47)+COUNTIF('06_建筑锚点'!$A$2:$A$501,'04_路径网络'!D47)=0),"起点引用对象不存在；","")&amp;IF(AND('04_路径网络'!E47&lt;&gt;"",COUNTIF('02_固定地理'!$A$2:$A$501,'04_路径网络'!E47)+COUNTIF('03_地点锚点'!$A$2:$A$501,'04_路径网络'!E47)+COUNTIF('06_建筑锚点'!$A$2:$A$501,'04_路径网络'!E47)=0),"终点引用对象不存在；","")&amp;IF(AND('04_路径网络'!F47&lt;&gt;"",COUNTIF('04_路径网络'!$A$2:$A$501,'04_路径网络'!F47)=0),"父级路径不存在；","")&amp;IF(AND('04_路径网络'!A47&lt;&gt;"",COUNTIF('04_路径网络'!$A$2:$A$501,'04_路径网络'!A47)&gt;1),"ID重复；",""),"")</f>
        <v/>
      </c>
      <c r="G1047" s="14">
        <f>IF(F1047&lt;&gt;"","按字段批注、数据字典和来源记录修正后复核","")</f>
        <v/>
      </c>
      <c r="H1047" s="14">
        <f>IF(F1047&lt;&gt;"","待处理","")</f>
        <v/>
      </c>
    </row>
    <row r="1048">
      <c r="A1048" s="14">
        <f>IF(F1048&lt;&gt;"","ISSUE-"&amp;TEXT(ROW()-1,"00000"),"")</f>
        <v/>
      </c>
      <c r="B1048" s="14">
        <f>IF(F1048&lt;&gt;"","错误","")</f>
        <v/>
      </c>
      <c r="C1048" s="14">
        <f>IF('04_路径网络'!A48&lt;&gt;"","04_路径网络","")</f>
        <v/>
      </c>
      <c r="D1048" s="14">
        <f>IF('04_路径网络'!A48&lt;&gt;"",'04_路径网络'!A48,"")</f>
        <v/>
      </c>
      <c r="E1048" s="14">
        <f>IF(F1048&lt;&gt;"","综合校验","")</f>
        <v/>
      </c>
      <c r="F1048" s="14">
        <f>IF('04_路径网络'!A48&lt;&gt;"",IF('04_路径网络'!A48="","缺少路径ID；","")&amp;IF('04_路径网络'!C48="","缺少路径类型；","")&amp;IF('04_路径网络'!D48="","缺少起点对象ID；","")&amp;IF('04_路径网络'!E48="","缺少终点对象ID；","")&amp;IF(AND('04_路径网络'!D48&lt;&gt;"",'04_路径网络'!D48='04_路径网络'!E48),"起点与终点相同；","")&amp;IF(AND('04_路径网络'!D48&lt;&gt;"",COUNTIF('02_固定地理'!$A$2:$A$501,'04_路径网络'!D48)+COUNTIF('03_地点锚点'!$A$2:$A$501,'04_路径网络'!D48)+COUNTIF('06_建筑锚点'!$A$2:$A$501,'04_路径网络'!D48)=0),"起点引用对象不存在；","")&amp;IF(AND('04_路径网络'!E48&lt;&gt;"",COUNTIF('02_固定地理'!$A$2:$A$501,'04_路径网络'!E48)+COUNTIF('03_地点锚点'!$A$2:$A$501,'04_路径网络'!E48)+COUNTIF('06_建筑锚点'!$A$2:$A$501,'04_路径网络'!E48)=0),"终点引用对象不存在；","")&amp;IF(AND('04_路径网络'!F48&lt;&gt;"",COUNTIF('04_路径网络'!$A$2:$A$501,'04_路径网络'!F48)=0),"父级路径不存在；","")&amp;IF(AND('04_路径网络'!A48&lt;&gt;"",COUNTIF('04_路径网络'!$A$2:$A$501,'04_路径网络'!A48)&gt;1),"ID重复；",""),"")</f>
        <v/>
      </c>
      <c r="G1048" s="14">
        <f>IF(F1048&lt;&gt;"","按字段批注、数据字典和来源记录修正后复核","")</f>
        <v/>
      </c>
      <c r="H1048" s="14">
        <f>IF(F1048&lt;&gt;"","待处理","")</f>
        <v/>
      </c>
    </row>
    <row r="1049">
      <c r="A1049" s="14">
        <f>IF(F1049&lt;&gt;"","ISSUE-"&amp;TEXT(ROW()-1,"00000"),"")</f>
        <v/>
      </c>
      <c r="B1049" s="14">
        <f>IF(F1049&lt;&gt;"","错误","")</f>
        <v/>
      </c>
      <c r="C1049" s="14">
        <f>IF('04_路径网络'!A49&lt;&gt;"","04_路径网络","")</f>
        <v/>
      </c>
      <c r="D1049" s="14">
        <f>IF('04_路径网络'!A49&lt;&gt;"",'04_路径网络'!A49,"")</f>
        <v/>
      </c>
      <c r="E1049" s="14">
        <f>IF(F1049&lt;&gt;"","综合校验","")</f>
        <v/>
      </c>
      <c r="F1049" s="14">
        <f>IF('04_路径网络'!A49&lt;&gt;"",IF('04_路径网络'!A49="","缺少路径ID；","")&amp;IF('04_路径网络'!C49="","缺少路径类型；","")&amp;IF('04_路径网络'!D49="","缺少起点对象ID；","")&amp;IF('04_路径网络'!E49="","缺少终点对象ID；","")&amp;IF(AND('04_路径网络'!D49&lt;&gt;"",'04_路径网络'!D49='04_路径网络'!E49),"起点与终点相同；","")&amp;IF(AND('04_路径网络'!D49&lt;&gt;"",COUNTIF('02_固定地理'!$A$2:$A$501,'04_路径网络'!D49)+COUNTIF('03_地点锚点'!$A$2:$A$501,'04_路径网络'!D49)+COUNTIF('06_建筑锚点'!$A$2:$A$501,'04_路径网络'!D49)=0),"起点引用对象不存在；","")&amp;IF(AND('04_路径网络'!E49&lt;&gt;"",COUNTIF('02_固定地理'!$A$2:$A$501,'04_路径网络'!E49)+COUNTIF('03_地点锚点'!$A$2:$A$501,'04_路径网络'!E49)+COUNTIF('06_建筑锚点'!$A$2:$A$501,'04_路径网络'!E49)=0),"终点引用对象不存在；","")&amp;IF(AND('04_路径网络'!F49&lt;&gt;"",COUNTIF('04_路径网络'!$A$2:$A$501,'04_路径网络'!F49)=0),"父级路径不存在；","")&amp;IF(AND('04_路径网络'!A49&lt;&gt;"",COUNTIF('04_路径网络'!$A$2:$A$501,'04_路径网络'!A49)&gt;1),"ID重复；",""),"")</f>
        <v/>
      </c>
      <c r="G1049" s="14">
        <f>IF(F1049&lt;&gt;"","按字段批注、数据字典和来源记录修正后复核","")</f>
        <v/>
      </c>
      <c r="H1049" s="14">
        <f>IF(F1049&lt;&gt;"","待处理","")</f>
        <v/>
      </c>
    </row>
    <row r="1050">
      <c r="A1050" s="14">
        <f>IF(F1050&lt;&gt;"","ISSUE-"&amp;TEXT(ROW()-1,"00000"),"")</f>
        <v/>
      </c>
      <c r="B1050" s="14">
        <f>IF(F1050&lt;&gt;"","错误","")</f>
        <v/>
      </c>
      <c r="C1050" s="14">
        <f>IF('04_路径网络'!A50&lt;&gt;"","04_路径网络","")</f>
        <v/>
      </c>
      <c r="D1050" s="14">
        <f>IF('04_路径网络'!A50&lt;&gt;"",'04_路径网络'!A50,"")</f>
        <v/>
      </c>
      <c r="E1050" s="14">
        <f>IF(F1050&lt;&gt;"","综合校验","")</f>
        <v/>
      </c>
      <c r="F1050" s="14">
        <f>IF('04_路径网络'!A50&lt;&gt;"",IF('04_路径网络'!A50="","缺少路径ID；","")&amp;IF('04_路径网络'!C50="","缺少路径类型；","")&amp;IF('04_路径网络'!D50="","缺少起点对象ID；","")&amp;IF('04_路径网络'!E50="","缺少终点对象ID；","")&amp;IF(AND('04_路径网络'!D50&lt;&gt;"",'04_路径网络'!D50='04_路径网络'!E50),"起点与终点相同；","")&amp;IF(AND('04_路径网络'!D50&lt;&gt;"",COUNTIF('02_固定地理'!$A$2:$A$501,'04_路径网络'!D50)+COUNTIF('03_地点锚点'!$A$2:$A$501,'04_路径网络'!D50)+COUNTIF('06_建筑锚点'!$A$2:$A$501,'04_路径网络'!D50)=0),"起点引用对象不存在；","")&amp;IF(AND('04_路径网络'!E50&lt;&gt;"",COUNTIF('02_固定地理'!$A$2:$A$501,'04_路径网络'!E50)+COUNTIF('03_地点锚点'!$A$2:$A$501,'04_路径网络'!E50)+COUNTIF('06_建筑锚点'!$A$2:$A$501,'04_路径网络'!E50)=0),"终点引用对象不存在；","")&amp;IF(AND('04_路径网络'!F50&lt;&gt;"",COUNTIF('04_路径网络'!$A$2:$A$501,'04_路径网络'!F50)=0),"父级路径不存在；","")&amp;IF(AND('04_路径网络'!A50&lt;&gt;"",COUNTIF('04_路径网络'!$A$2:$A$501,'04_路径网络'!A50)&gt;1),"ID重复；",""),"")</f>
        <v/>
      </c>
      <c r="G1050" s="14">
        <f>IF(F1050&lt;&gt;"","按字段批注、数据字典和来源记录修正后复核","")</f>
        <v/>
      </c>
      <c r="H1050" s="14">
        <f>IF(F1050&lt;&gt;"","待处理","")</f>
        <v/>
      </c>
    </row>
    <row r="1051">
      <c r="A1051" s="14">
        <f>IF(F1051&lt;&gt;"","ISSUE-"&amp;TEXT(ROW()-1,"00000"),"")</f>
        <v/>
      </c>
      <c r="B1051" s="14">
        <f>IF(F1051&lt;&gt;"","错误","")</f>
        <v/>
      </c>
      <c r="C1051" s="14">
        <f>IF('04_路径网络'!A51&lt;&gt;"","04_路径网络","")</f>
        <v/>
      </c>
      <c r="D1051" s="14">
        <f>IF('04_路径网络'!A51&lt;&gt;"",'04_路径网络'!A51,"")</f>
        <v/>
      </c>
      <c r="E1051" s="14">
        <f>IF(F1051&lt;&gt;"","综合校验","")</f>
        <v/>
      </c>
      <c r="F1051" s="14">
        <f>IF('04_路径网络'!A51&lt;&gt;"",IF('04_路径网络'!A51="","缺少路径ID；","")&amp;IF('04_路径网络'!C51="","缺少路径类型；","")&amp;IF('04_路径网络'!D51="","缺少起点对象ID；","")&amp;IF('04_路径网络'!E51="","缺少终点对象ID；","")&amp;IF(AND('04_路径网络'!D51&lt;&gt;"",'04_路径网络'!D51='04_路径网络'!E51),"起点与终点相同；","")&amp;IF(AND('04_路径网络'!D51&lt;&gt;"",COUNTIF('02_固定地理'!$A$2:$A$501,'04_路径网络'!D51)+COUNTIF('03_地点锚点'!$A$2:$A$501,'04_路径网络'!D51)+COUNTIF('06_建筑锚点'!$A$2:$A$501,'04_路径网络'!D51)=0),"起点引用对象不存在；","")&amp;IF(AND('04_路径网络'!E51&lt;&gt;"",COUNTIF('02_固定地理'!$A$2:$A$501,'04_路径网络'!E51)+COUNTIF('03_地点锚点'!$A$2:$A$501,'04_路径网络'!E51)+COUNTIF('06_建筑锚点'!$A$2:$A$501,'04_路径网络'!E51)=0),"终点引用对象不存在；","")&amp;IF(AND('04_路径网络'!F51&lt;&gt;"",COUNTIF('04_路径网络'!$A$2:$A$501,'04_路径网络'!F51)=0),"父级路径不存在；","")&amp;IF(AND('04_路径网络'!A51&lt;&gt;"",COUNTIF('04_路径网络'!$A$2:$A$501,'04_路径网络'!A51)&gt;1),"ID重复；",""),"")</f>
        <v/>
      </c>
      <c r="G1051" s="14">
        <f>IF(F1051&lt;&gt;"","按字段批注、数据字典和来源记录修正后复核","")</f>
        <v/>
      </c>
      <c r="H1051" s="14">
        <f>IF(F1051&lt;&gt;"","待处理","")</f>
        <v/>
      </c>
    </row>
    <row r="1052">
      <c r="A1052" s="14">
        <f>IF(F1052&lt;&gt;"","ISSUE-"&amp;TEXT(ROW()-1,"00000"),"")</f>
        <v/>
      </c>
      <c r="B1052" s="14">
        <f>IF(F1052&lt;&gt;"","错误","")</f>
        <v/>
      </c>
      <c r="C1052" s="14">
        <f>IF('04_路径网络'!A52&lt;&gt;"","04_路径网络","")</f>
        <v/>
      </c>
      <c r="D1052" s="14">
        <f>IF('04_路径网络'!A52&lt;&gt;"",'04_路径网络'!A52,"")</f>
        <v/>
      </c>
      <c r="E1052" s="14">
        <f>IF(F1052&lt;&gt;"","综合校验","")</f>
        <v/>
      </c>
      <c r="F1052" s="14">
        <f>IF('04_路径网络'!A52&lt;&gt;"",IF('04_路径网络'!A52="","缺少路径ID；","")&amp;IF('04_路径网络'!C52="","缺少路径类型；","")&amp;IF('04_路径网络'!D52="","缺少起点对象ID；","")&amp;IF('04_路径网络'!E52="","缺少终点对象ID；","")&amp;IF(AND('04_路径网络'!D52&lt;&gt;"",'04_路径网络'!D52='04_路径网络'!E52),"起点与终点相同；","")&amp;IF(AND('04_路径网络'!D52&lt;&gt;"",COUNTIF('02_固定地理'!$A$2:$A$501,'04_路径网络'!D52)+COUNTIF('03_地点锚点'!$A$2:$A$501,'04_路径网络'!D52)+COUNTIF('06_建筑锚点'!$A$2:$A$501,'04_路径网络'!D52)=0),"起点引用对象不存在；","")&amp;IF(AND('04_路径网络'!E52&lt;&gt;"",COUNTIF('02_固定地理'!$A$2:$A$501,'04_路径网络'!E52)+COUNTIF('03_地点锚点'!$A$2:$A$501,'04_路径网络'!E52)+COUNTIF('06_建筑锚点'!$A$2:$A$501,'04_路径网络'!E52)=0),"终点引用对象不存在；","")&amp;IF(AND('04_路径网络'!F52&lt;&gt;"",COUNTIF('04_路径网络'!$A$2:$A$501,'04_路径网络'!F52)=0),"父级路径不存在；","")&amp;IF(AND('04_路径网络'!A52&lt;&gt;"",COUNTIF('04_路径网络'!$A$2:$A$501,'04_路径网络'!A52)&gt;1),"ID重复；",""),"")</f>
        <v/>
      </c>
      <c r="G1052" s="14">
        <f>IF(F1052&lt;&gt;"","按字段批注、数据字典和来源记录修正后复核","")</f>
        <v/>
      </c>
      <c r="H1052" s="14">
        <f>IF(F1052&lt;&gt;"","待处理","")</f>
        <v/>
      </c>
    </row>
    <row r="1053">
      <c r="A1053" s="14">
        <f>IF(F1053&lt;&gt;"","ISSUE-"&amp;TEXT(ROW()-1,"00000"),"")</f>
        <v/>
      </c>
      <c r="B1053" s="14">
        <f>IF(F1053&lt;&gt;"","错误","")</f>
        <v/>
      </c>
      <c r="C1053" s="14">
        <f>IF('04_路径网络'!A53&lt;&gt;"","04_路径网络","")</f>
        <v/>
      </c>
      <c r="D1053" s="14">
        <f>IF('04_路径网络'!A53&lt;&gt;"",'04_路径网络'!A53,"")</f>
        <v/>
      </c>
      <c r="E1053" s="14">
        <f>IF(F1053&lt;&gt;"","综合校验","")</f>
        <v/>
      </c>
      <c r="F1053" s="14">
        <f>IF('04_路径网络'!A53&lt;&gt;"",IF('04_路径网络'!A53="","缺少路径ID；","")&amp;IF('04_路径网络'!C53="","缺少路径类型；","")&amp;IF('04_路径网络'!D53="","缺少起点对象ID；","")&amp;IF('04_路径网络'!E53="","缺少终点对象ID；","")&amp;IF(AND('04_路径网络'!D53&lt;&gt;"",'04_路径网络'!D53='04_路径网络'!E53),"起点与终点相同；","")&amp;IF(AND('04_路径网络'!D53&lt;&gt;"",COUNTIF('02_固定地理'!$A$2:$A$501,'04_路径网络'!D53)+COUNTIF('03_地点锚点'!$A$2:$A$501,'04_路径网络'!D53)+COUNTIF('06_建筑锚点'!$A$2:$A$501,'04_路径网络'!D53)=0),"起点引用对象不存在；","")&amp;IF(AND('04_路径网络'!E53&lt;&gt;"",COUNTIF('02_固定地理'!$A$2:$A$501,'04_路径网络'!E53)+COUNTIF('03_地点锚点'!$A$2:$A$501,'04_路径网络'!E53)+COUNTIF('06_建筑锚点'!$A$2:$A$501,'04_路径网络'!E53)=0),"终点引用对象不存在；","")&amp;IF(AND('04_路径网络'!F53&lt;&gt;"",COUNTIF('04_路径网络'!$A$2:$A$501,'04_路径网络'!F53)=0),"父级路径不存在；","")&amp;IF(AND('04_路径网络'!A53&lt;&gt;"",COUNTIF('04_路径网络'!$A$2:$A$501,'04_路径网络'!A53)&gt;1),"ID重复；",""),"")</f>
        <v/>
      </c>
      <c r="G1053" s="14">
        <f>IF(F1053&lt;&gt;"","按字段批注、数据字典和来源记录修正后复核","")</f>
        <v/>
      </c>
      <c r="H1053" s="14">
        <f>IF(F1053&lt;&gt;"","待处理","")</f>
        <v/>
      </c>
    </row>
    <row r="1054">
      <c r="A1054" s="14">
        <f>IF(F1054&lt;&gt;"","ISSUE-"&amp;TEXT(ROW()-1,"00000"),"")</f>
        <v/>
      </c>
      <c r="B1054" s="14">
        <f>IF(F1054&lt;&gt;"","错误","")</f>
        <v/>
      </c>
      <c r="C1054" s="14">
        <f>IF('04_路径网络'!A54&lt;&gt;"","04_路径网络","")</f>
        <v/>
      </c>
      <c r="D1054" s="14">
        <f>IF('04_路径网络'!A54&lt;&gt;"",'04_路径网络'!A54,"")</f>
        <v/>
      </c>
      <c r="E1054" s="14">
        <f>IF(F1054&lt;&gt;"","综合校验","")</f>
        <v/>
      </c>
      <c r="F1054" s="14">
        <f>IF('04_路径网络'!A54&lt;&gt;"",IF('04_路径网络'!A54="","缺少路径ID；","")&amp;IF('04_路径网络'!C54="","缺少路径类型；","")&amp;IF('04_路径网络'!D54="","缺少起点对象ID；","")&amp;IF('04_路径网络'!E54="","缺少终点对象ID；","")&amp;IF(AND('04_路径网络'!D54&lt;&gt;"",'04_路径网络'!D54='04_路径网络'!E54),"起点与终点相同；","")&amp;IF(AND('04_路径网络'!D54&lt;&gt;"",COUNTIF('02_固定地理'!$A$2:$A$501,'04_路径网络'!D54)+COUNTIF('03_地点锚点'!$A$2:$A$501,'04_路径网络'!D54)+COUNTIF('06_建筑锚点'!$A$2:$A$501,'04_路径网络'!D54)=0),"起点引用对象不存在；","")&amp;IF(AND('04_路径网络'!E54&lt;&gt;"",COUNTIF('02_固定地理'!$A$2:$A$501,'04_路径网络'!E54)+COUNTIF('03_地点锚点'!$A$2:$A$501,'04_路径网络'!E54)+COUNTIF('06_建筑锚点'!$A$2:$A$501,'04_路径网络'!E54)=0),"终点引用对象不存在；","")&amp;IF(AND('04_路径网络'!F54&lt;&gt;"",COUNTIF('04_路径网络'!$A$2:$A$501,'04_路径网络'!F54)=0),"父级路径不存在；","")&amp;IF(AND('04_路径网络'!A54&lt;&gt;"",COUNTIF('04_路径网络'!$A$2:$A$501,'04_路径网络'!A54)&gt;1),"ID重复；",""),"")</f>
        <v/>
      </c>
      <c r="G1054" s="14">
        <f>IF(F1054&lt;&gt;"","按字段批注、数据字典和来源记录修正后复核","")</f>
        <v/>
      </c>
      <c r="H1054" s="14">
        <f>IF(F1054&lt;&gt;"","待处理","")</f>
        <v/>
      </c>
    </row>
    <row r="1055">
      <c r="A1055" s="14">
        <f>IF(F1055&lt;&gt;"","ISSUE-"&amp;TEXT(ROW()-1,"00000"),"")</f>
        <v/>
      </c>
      <c r="B1055" s="14">
        <f>IF(F1055&lt;&gt;"","错误","")</f>
        <v/>
      </c>
      <c r="C1055" s="14">
        <f>IF('04_路径网络'!A55&lt;&gt;"","04_路径网络","")</f>
        <v/>
      </c>
      <c r="D1055" s="14">
        <f>IF('04_路径网络'!A55&lt;&gt;"",'04_路径网络'!A55,"")</f>
        <v/>
      </c>
      <c r="E1055" s="14">
        <f>IF(F1055&lt;&gt;"","综合校验","")</f>
        <v/>
      </c>
      <c r="F1055" s="14">
        <f>IF('04_路径网络'!A55&lt;&gt;"",IF('04_路径网络'!A55="","缺少路径ID；","")&amp;IF('04_路径网络'!C55="","缺少路径类型；","")&amp;IF('04_路径网络'!D55="","缺少起点对象ID；","")&amp;IF('04_路径网络'!E55="","缺少终点对象ID；","")&amp;IF(AND('04_路径网络'!D55&lt;&gt;"",'04_路径网络'!D55='04_路径网络'!E55),"起点与终点相同；","")&amp;IF(AND('04_路径网络'!D55&lt;&gt;"",COUNTIF('02_固定地理'!$A$2:$A$501,'04_路径网络'!D55)+COUNTIF('03_地点锚点'!$A$2:$A$501,'04_路径网络'!D55)+COUNTIF('06_建筑锚点'!$A$2:$A$501,'04_路径网络'!D55)=0),"起点引用对象不存在；","")&amp;IF(AND('04_路径网络'!E55&lt;&gt;"",COUNTIF('02_固定地理'!$A$2:$A$501,'04_路径网络'!E55)+COUNTIF('03_地点锚点'!$A$2:$A$501,'04_路径网络'!E55)+COUNTIF('06_建筑锚点'!$A$2:$A$501,'04_路径网络'!E55)=0),"终点引用对象不存在；","")&amp;IF(AND('04_路径网络'!F55&lt;&gt;"",COUNTIF('04_路径网络'!$A$2:$A$501,'04_路径网络'!F55)=0),"父级路径不存在；","")&amp;IF(AND('04_路径网络'!A55&lt;&gt;"",COUNTIF('04_路径网络'!$A$2:$A$501,'04_路径网络'!A55)&gt;1),"ID重复；",""),"")</f>
        <v/>
      </c>
      <c r="G1055" s="14">
        <f>IF(F1055&lt;&gt;"","按字段批注、数据字典和来源记录修正后复核","")</f>
        <v/>
      </c>
      <c r="H1055" s="14">
        <f>IF(F1055&lt;&gt;"","待处理","")</f>
        <v/>
      </c>
    </row>
    <row r="1056">
      <c r="A1056" s="14">
        <f>IF(F1056&lt;&gt;"","ISSUE-"&amp;TEXT(ROW()-1,"00000"),"")</f>
        <v/>
      </c>
      <c r="B1056" s="14">
        <f>IF(F1056&lt;&gt;"","错误","")</f>
        <v/>
      </c>
      <c r="C1056" s="14">
        <f>IF('04_路径网络'!A56&lt;&gt;"","04_路径网络","")</f>
        <v/>
      </c>
      <c r="D1056" s="14">
        <f>IF('04_路径网络'!A56&lt;&gt;"",'04_路径网络'!A56,"")</f>
        <v/>
      </c>
      <c r="E1056" s="14">
        <f>IF(F1056&lt;&gt;"","综合校验","")</f>
        <v/>
      </c>
      <c r="F1056" s="14">
        <f>IF('04_路径网络'!A56&lt;&gt;"",IF('04_路径网络'!A56="","缺少路径ID；","")&amp;IF('04_路径网络'!C56="","缺少路径类型；","")&amp;IF('04_路径网络'!D56="","缺少起点对象ID；","")&amp;IF('04_路径网络'!E56="","缺少终点对象ID；","")&amp;IF(AND('04_路径网络'!D56&lt;&gt;"",'04_路径网络'!D56='04_路径网络'!E56),"起点与终点相同；","")&amp;IF(AND('04_路径网络'!D56&lt;&gt;"",COUNTIF('02_固定地理'!$A$2:$A$501,'04_路径网络'!D56)+COUNTIF('03_地点锚点'!$A$2:$A$501,'04_路径网络'!D56)+COUNTIF('06_建筑锚点'!$A$2:$A$501,'04_路径网络'!D56)=0),"起点引用对象不存在；","")&amp;IF(AND('04_路径网络'!E56&lt;&gt;"",COUNTIF('02_固定地理'!$A$2:$A$501,'04_路径网络'!E56)+COUNTIF('03_地点锚点'!$A$2:$A$501,'04_路径网络'!E56)+COUNTIF('06_建筑锚点'!$A$2:$A$501,'04_路径网络'!E56)=0),"终点引用对象不存在；","")&amp;IF(AND('04_路径网络'!F56&lt;&gt;"",COUNTIF('04_路径网络'!$A$2:$A$501,'04_路径网络'!F56)=0),"父级路径不存在；","")&amp;IF(AND('04_路径网络'!A56&lt;&gt;"",COUNTIF('04_路径网络'!$A$2:$A$501,'04_路径网络'!A56)&gt;1),"ID重复；",""),"")</f>
        <v/>
      </c>
      <c r="G1056" s="14">
        <f>IF(F1056&lt;&gt;"","按字段批注、数据字典和来源记录修正后复核","")</f>
        <v/>
      </c>
      <c r="H1056" s="14">
        <f>IF(F1056&lt;&gt;"","待处理","")</f>
        <v/>
      </c>
    </row>
    <row r="1057">
      <c r="A1057" s="14">
        <f>IF(F1057&lt;&gt;"","ISSUE-"&amp;TEXT(ROW()-1,"00000"),"")</f>
        <v/>
      </c>
      <c r="B1057" s="14">
        <f>IF(F1057&lt;&gt;"","错误","")</f>
        <v/>
      </c>
      <c r="C1057" s="14">
        <f>IF('04_路径网络'!A57&lt;&gt;"","04_路径网络","")</f>
        <v/>
      </c>
      <c r="D1057" s="14">
        <f>IF('04_路径网络'!A57&lt;&gt;"",'04_路径网络'!A57,"")</f>
        <v/>
      </c>
      <c r="E1057" s="14">
        <f>IF(F1057&lt;&gt;"","综合校验","")</f>
        <v/>
      </c>
      <c r="F1057" s="14">
        <f>IF('04_路径网络'!A57&lt;&gt;"",IF('04_路径网络'!A57="","缺少路径ID；","")&amp;IF('04_路径网络'!C57="","缺少路径类型；","")&amp;IF('04_路径网络'!D57="","缺少起点对象ID；","")&amp;IF('04_路径网络'!E57="","缺少终点对象ID；","")&amp;IF(AND('04_路径网络'!D57&lt;&gt;"",'04_路径网络'!D57='04_路径网络'!E57),"起点与终点相同；","")&amp;IF(AND('04_路径网络'!D57&lt;&gt;"",COUNTIF('02_固定地理'!$A$2:$A$501,'04_路径网络'!D57)+COUNTIF('03_地点锚点'!$A$2:$A$501,'04_路径网络'!D57)+COUNTIF('06_建筑锚点'!$A$2:$A$501,'04_路径网络'!D57)=0),"起点引用对象不存在；","")&amp;IF(AND('04_路径网络'!E57&lt;&gt;"",COUNTIF('02_固定地理'!$A$2:$A$501,'04_路径网络'!E57)+COUNTIF('03_地点锚点'!$A$2:$A$501,'04_路径网络'!E57)+COUNTIF('06_建筑锚点'!$A$2:$A$501,'04_路径网络'!E57)=0),"终点引用对象不存在；","")&amp;IF(AND('04_路径网络'!F57&lt;&gt;"",COUNTIF('04_路径网络'!$A$2:$A$501,'04_路径网络'!F57)=0),"父级路径不存在；","")&amp;IF(AND('04_路径网络'!A57&lt;&gt;"",COUNTIF('04_路径网络'!$A$2:$A$501,'04_路径网络'!A57)&gt;1),"ID重复；",""),"")</f>
        <v/>
      </c>
      <c r="G1057" s="14">
        <f>IF(F1057&lt;&gt;"","按字段批注、数据字典和来源记录修正后复核","")</f>
        <v/>
      </c>
      <c r="H1057" s="14">
        <f>IF(F1057&lt;&gt;"","待处理","")</f>
        <v/>
      </c>
    </row>
    <row r="1058">
      <c r="A1058" s="14">
        <f>IF(F1058&lt;&gt;"","ISSUE-"&amp;TEXT(ROW()-1,"00000"),"")</f>
        <v/>
      </c>
      <c r="B1058" s="14">
        <f>IF(F1058&lt;&gt;"","错误","")</f>
        <v/>
      </c>
      <c r="C1058" s="14">
        <f>IF('04_路径网络'!A58&lt;&gt;"","04_路径网络","")</f>
        <v/>
      </c>
      <c r="D1058" s="14">
        <f>IF('04_路径网络'!A58&lt;&gt;"",'04_路径网络'!A58,"")</f>
        <v/>
      </c>
      <c r="E1058" s="14">
        <f>IF(F1058&lt;&gt;"","综合校验","")</f>
        <v/>
      </c>
      <c r="F1058" s="14">
        <f>IF('04_路径网络'!A58&lt;&gt;"",IF('04_路径网络'!A58="","缺少路径ID；","")&amp;IF('04_路径网络'!C58="","缺少路径类型；","")&amp;IF('04_路径网络'!D58="","缺少起点对象ID；","")&amp;IF('04_路径网络'!E58="","缺少终点对象ID；","")&amp;IF(AND('04_路径网络'!D58&lt;&gt;"",'04_路径网络'!D58='04_路径网络'!E58),"起点与终点相同；","")&amp;IF(AND('04_路径网络'!D58&lt;&gt;"",COUNTIF('02_固定地理'!$A$2:$A$501,'04_路径网络'!D58)+COUNTIF('03_地点锚点'!$A$2:$A$501,'04_路径网络'!D58)+COUNTIF('06_建筑锚点'!$A$2:$A$501,'04_路径网络'!D58)=0),"起点引用对象不存在；","")&amp;IF(AND('04_路径网络'!E58&lt;&gt;"",COUNTIF('02_固定地理'!$A$2:$A$501,'04_路径网络'!E58)+COUNTIF('03_地点锚点'!$A$2:$A$501,'04_路径网络'!E58)+COUNTIF('06_建筑锚点'!$A$2:$A$501,'04_路径网络'!E58)=0),"终点引用对象不存在；","")&amp;IF(AND('04_路径网络'!F58&lt;&gt;"",COUNTIF('04_路径网络'!$A$2:$A$501,'04_路径网络'!F58)=0),"父级路径不存在；","")&amp;IF(AND('04_路径网络'!A58&lt;&gt;"",COUNTIF('04_路径网络'!$A$2:$A$501,'04_路径网络'!A58)&gt;1),"ID重复；",""),"")</f>
        <v/>
      </c>
      <c r="G1058" s="14">
        <f>IF(F1058&lt;&gt;"","按字段批注、数据字典和来源记录修正后复核","")</f>
        <v/>
      </c>
      <c r="H1058" s="14">
        <f>IF(F1058&lt;&gt;"","待处理","")</f>
        <v/>
      </c>
    </row>
    <row r="1059">
      <c r="A1059" s="14">
        <f>IF(F1059&lt;&gt;"","ISSUE-"&amp;TEXT(ROW()-1,"00000"),"")</f>
        <v/>
      </c>
      <c r="B1059" s="14">
        <f>IF(F1059&lt;&gt;"","错误","")</f>
        <v/>
      </c>
      <c r="C1059" s="14">
        <f>IF('04_路径网络'!A59&lt;&gt;"","04_路径网络","")</f>
        <v/>
      </c>
      <c r="D1059" s="14">
        <f>IF('04_路径网络'!A59&lt;&gt;"",'04_路径网络'!A59,"")</f>
        <v/>
      </c>
      <c r="E1059" s="14">
        <f>IF(F1059&lt;&gt;"","综合校验","")</f>
        <v/>
      </c>
      <c r="F1059" s="14">
        <f>IF('04_路径网络'!A59&lt;&gt;"",IF('04_路径网络'!A59="","缺少路径ID；","")&amp;IF('04_路径网络'!C59="","缺少路径类型；","")&amp;IF('04_路径网络'!D59="","缺少起点对象ID；","")&amp;IF('04_路径网络'!E59="","缺少终点对象ID；","")&amp;IF(AND('04_路径网络'!D59&lt;&gt;"",'04_路径网络'!D59='04_路径网络'!E59),"起点与终点相同；","")&amp;IF(AND('04_路径网络'!D59&lt;&gt;"",COUNTIF('02_固定地理'!$A$2:$A$501,'04_路径网络'!D59)+COUNTIF('03_地点锚点'!$A$2:$A$501,'04_路径网络'!D59)+COUNTIF('06_建筑锚点'!$A$2:$A$501,'04_路径网络'!D59)=0),"起点引用对象不存在；","")&amp;IF(AND('04_路径网络'!E59&lt;&gt;"",COUNTIF('02_固定地理'!$A$2:$A$501,'04_路径网络'!E59)+COUNTIF('03_地点锚点'!$A$2:$A$501,'04_路径网络'!E59)+COUNTIF('06_建筑锚点'!$A$2:$A$501,'04_路径网络'!E59)=0),"终点引用对象不存在；","")&amp;IF(AND('04_路径网络'!F59&lt;&gt;"",COUNTIF('04_路径网络'!$A$2:$A$501,'04_路径网络'!F59)=0),"父级路径不存在；","")&amp;IF(AND('04_路径网络'!A59&lt;&gt;"",COUNTIF('04_路径网络'!$A$2:$A$501,'04_路径网络'!A59)&gt;1),"ID重复；",""),"")</f>
        <v/>
      </c>
      <c r="G1059" s="14">
        <f>IF(F1059&lt;&gt;"","按字段批注、数据字典和来源记录修正后复核","")</f>
        <v/>
      </c>
      <c r="H1059" s="14">
        <f>IF(F1059&lt;&gt;"","待处理","")</f>
        <v/>
      </c>
    </row>
    <row r="1060">
      <c r="A1060" s="14">
        <f>IF(F1060&lt;&gt;"","ISSUE-"&amp;TEXT(ROW()-1,"00000"),"")</f>
        <v/>
      </c>
      <c r="B1060" s="14">
        <f>IF(F1060&lt;&gt;"","错误","")</f>
        <v/>
      </c>
      <c r="C1060" s="14">
        <f>IF('04_路径网络'!A60&lt;&gt;"","04_路径网络","")</f>
        <v/>
      </c>
      <c r="D1060" s="14">
        <f>IF('04_路径网络'!A60&lt;&gt;"",'04_路径网络'!A60,"")</f>
        <v/>
      </c>
      <c r="E1060" s="14">
        <f>IF(F1060&lt;&gt;"","综合校验","")</f>
        <v/>
      </c>
      <c r="F1060" s="14">
        <f>IF('04_路径网络'!A60&lt;&gt;"",IF('04_路径网络'!A60="","缺少路径ID；","")&amp;IF('04_路径网络'!C60="","缺少路径类型；","")&amp;IF('04_路径网络'!D60="","缺少起点对象ID；","")&amp;IF('04_路径网络'!E60="","缺少终点对象ID；","")&amp;IF(AND('04_路径网络'!D60&lt;&gt;"",'04_路径网络'!D60='04_路径网络'!E60),"起点与终点相同；","")&amp;IF(AND('04_路径网络'!D60&lt;&gt;"",COUNTIF('02_固定地理'!$A$2:$A$501,'04_路径网络'!D60)+COUNTIF('03_地点锚点'!$A$2:$A$501,'04_路径网络'!D60)+COUNTIF('06_建筑锚点'!$A$2:$A$501,'04_路径网络'!D60)=0),"起点引用对象不存在；","")&amp;IF(AND('04_路径网络'!E60&lt;&gt;"",COUNTIF('02_固定地理'!$A$2:$A$501,'04_路径网络'!E60)+COUNTIF('03_地点锚点'!$A$2:$A$501,'04_路径网络'!E60)+COUNTIF('06_建筑锚点'!$A$2:$A$501,'04_路径网络'!E60)=0),"终点引用对象不存在；","")&amp;IF(AND('04_路径网络'!F60&lt;&gt;"",COUNTIF('04_路径网络'!$A$2:$A$501,'04_路径网络'!F60)=0),"父级路径不存在；","")&amp;IF(AND('04_路径网络'!A60&lt;&gt;"",COUNTIF('04_路径网络'!$A$2:$A$501,'04_路径网络'!A60)&gt;1),"ID重复；",""),"")</f>
        <v/>
      </c>
      <c r="G1060" s="14">
        <f>IF(F1060&lt;&gt;"","按字段批注、数据字典和来源记录修正后复核","")</f>
        <v/>
      </c>
      <c r="H1060" s="14">
        <f>IF(F1060&lt;&gt;"","待处理","")</f>
        <v/>
      </c>
    </row>
    <row r="1061">
      <c r="A1061" s="14">
        <f>IF(F1061&lt;&gt;"","ISSUE-"&amp;TEXT(ROW()-1,"00000"),"")</f>
        <v/>
      </c>
      <c r="B1061" s="14">
        <f>IF(F1061&lt;&gt;"","错误","")</f>
        <v/>
      </c>
      <c r="C1061" s="14">
        <f>IF('04_路径网络'!A61&lt;&gt;"","04_路径网络","")</f>
        <v/>
      </c>
      <c r="D1061" s="14">
        <f>IF('04_路径网络'!A61&lt;&gt;"",'04_路径网络'!A61,"")</f>
        <v/>
      </c>
      <c r="E1061" s="14">
        <f>IF(F1061&lt;&gt;"","综合校验","")</f>
        <v/>
      </c>
      <c r="F1061" s="14">
        <f>IF('04_路径网络'!A61&lt;&gt;"",IF('04_路径网络'!A61="","缺少路径ID；","")&amp;IF('04_路径网络'!C61="","缺少路径类型；","")&amp;IF('04_路径网络'!D61="","缺少起点对象ID；","")&amp;IF('04_路径网络'!E61="","缺少终点对象ID；","")&amp;IF(AND('04_路径网络'!D61&lt;&gt;"",'04_路径网络'!D61='04_路径网络'!E61),"起点与终点相同；","")&amp;IF(AND('04_路径网络'!D61&lt;&gt;"",COUNTIF('02_固定地理'!$A$2:$A$501,'04_路径网络'!D61)+COUNTIF('03_地点锚点'!$A$2:$A$501,'04_路径网络'!D61)+COUNTIF('06_建筑锚点'!$A$2:$A$501,'04_路径网络'!D61)=0),"起点引用对象不存在；","")&amp;IF(AND('04_路径网络'!E61&lt;&gt;"",COUNTIF('02_固定地理'!$A$2:$A$501,'04_路径网络'!E61)+COUNTIF('03_地点锚点'!$A$2:$A$501,'04_路径网络'!E61)+COUNTIF('06_建筑锚点'!$A$2:$A$501,'04_路径网络'!E61)=0),"终点引用对象不存在；","")&amp;IF(AND('04_路径网络'!F61&lt;&gt;"",COUNTIF('04_路径网络'!$A$2:$A$501,'04_路径网络'!F61)=0),"父级路径不存在；","")&amp;IF(AND('04_路径网络'!A61&lt;&gt;"",COUNTIF('04_路径网络'!$A$2:$A$501,'04_路径网络'!A61)&gt;1),"ID重复；",""),"")</f>
        <v/>
      </c>
      <c r="G1061" s="14">
        <f>IF(F1061&lt;&gt;"","按字段批注、数据字典和来源记录修正后复核","")</f>
        <v/>
      </c>
      <c r="H1061" s="14">
        <f>IF(F1061&lt;&gt;"","待处理","")</f>
        <v/>
      </c>
    </row>
    <row r="1062">
      <c r="A1062" s="14">
        <f>IF(F1062&lt;&gt;"","ISSUE-"&amp;TEXT(ROW()-1,"00000"),"")</f>
        <v/>
      </c>
      <c r="B1062" s="14">
        <f>IF(F1062&lt;&gt;"","错误","")</f>
        <v/>
      </c>
      <c r="C1062" s="14">
        <f>IF('04_路径网络'!A62&lt;&gt;"","04_路径网络","")</f>
        <v/>
      </c>
      <c r="D1062" s="14">
        <f>IF('04_路径网络'!A62&lt;&gt;"",'04_路径网络'!A62,"")</f>
        <v/>
      </c>
      <c r="E1062" s="14">
        <f>IF(F1062&lt;&gt;"","综合校验","")</f>
        <v/>
      </c>
      <c r="F1062" s="14">
        <f>IF('04_路径网络'!A62&lt;&gt;"",IF('04_路径网络'!A62="","缺少路径ID；","")&amp;IF('04_路径网络'!C62="","缺少路径类型；","")&amp;IF('04_路径网络'!D62="","缺少起点对象ID；","")&amp;IF('04_路径网络'!E62="","缺少终点对象ID；","")&amp;IF(AND('04_路径网络'!D62&lt;&gt;"",'04_路径网络'!D62='04_路径网络'!E62),"起点与终点相同；","")&amp;IF(AND('04_路径网络'!D62&lt;&gt;"",COUNTIF('02_固定地理'!$A$2:$A$501,'04_路径网络'!D62)+COUNTIF('03_地点锚点'!$A$2:$A$501,'04_路径网络'!D62)+COUNTIF('06_建筑锚点'!$A$2:$A$501,'04_路径网络'!D62)=0),"起点引用对象不存在；","")&amp;IF(AND('04_路径网络'!E62&lt;&gt;"",COUNTIF('02_固定地理'!$A$2:$A$501,'04_路径网络'!E62)+COUNTIF('03_地点锚点'!$A$2:$A$501,'04_路径网络'!E62)+COUNTIF('06_建筑锚点'!$A$2:$A$501,'04_路径网络'!E62)=0),"终点引用对象不存在；","")&amp;IF(AND('04_路径网络'!F62&lt;&gt;"",COUNTIF('04_路径网络'!$A$2:$A$501,'04_路径网络'!F62)=0),"父级路径不存在；","")&amp;IF(AND('04_路径网络'!A62&lt;&gt;"",COUNTIF('04_路径网络'!$A$2:$A$501,'04_路径网络'!A62)&gt;1),"ID重复；",""),"")</f>
        <v/>
      </c>
      <c r="G1062" s="14">
        <f>IF(F1062&lt;&gt;"","按字段批注、数据字典和来源记录修正后复核","")</f>
        <v/>
      </c>
      <c r="H1062" s="14">
        <f>IF(F1062&lt;&gt;"","待处理","")</f>
        <v/>
      </c>
    </row>
    <row r="1063">
      <c r="A1063" s="14">
        <f>IF(F1063&lt;&gt;"","ISSUE-"&amp;TEXT(ROW()-1,"00000"),"")</f>
        <v/>
      </c>
      <c r="B1063" s="14">
        <f>IF(F1063&lt;&gt;"","错误","")</f>
        <v/>
      </c>
      <c r="C1063" s="14">
        <f>IF('04_路径网络'!A63&lt;&gt;"","04_路径网络","")</f>
        <v/>
      </c>
      <c r="D1063" s="14">
        <f>IF('04_路径网络'!A63&lt;&gt;"",'04_路径网络'!A63,"")</f>
        <v/>
      </c>
      <c r="E1063" s="14">
        <f>IF(F1063&lt;&gt;"","综合校验","")</f>
        <v/>
      </c>
      <c r="F1063" s="14">
        <f>IF('04_路径网络'!A63&lt;&gt;"",IF('04_路径网络'!A63="","缺少路径ID；","")&amp;IF('04_路径网络'!C63="","缺少路径类型；","")&amp;IF('04_路径网络'!D63="","缺少起点对象ID；","")&amp;IF('04_路径网络'!E63="","缺少终点对象ID；","")&amp;IF(AND('04_路径网络'!D63&lt;&gt;"",'04_路径网络'!D63='04_路径网络'!E63),"起点与终点相同；","")&amp;IF(AND('04_路径网络'!D63&lt;&gt;"",COUNTIF('02_固定地理'!$A$2:$A$501,'04_路径网络'!D63)+COUNTIF('03_地点锚点'!$A$2:$A$501,'04_路径网络'!D63)+COUNTIF('06_建筑锚点'!$A$2:$A$501,'04_路径网络'!D63)=0),"起点引用对象不存在；","")&amp;IF(AND('04_路径网络'!E63&lt;&gt;"",COUNTIF('02_固定地理'!$A$2:$A$501,'04_路径网络'!E63)+COUNTIF('03_地点锚点'!$A$2:$A$501,'04_路径网络'!E63)+COUNTIF('06_建筑锚点'!$A$2:$A$501,'04_路径网络'!E63)=0),"终点引用对象不存在；","")&amp;IF(AND('04_路径网络'!F63&lt;&gt;"",COUNTIF('04_路径网络'!$A$2:$A$501,'04_路径网络'!F63)=0),"父级路径不存在；","")&amp;IF(AND('04_路径网络'!A63&lt;&gt;"",COUNTIF('04_路径网络'!$A$2:$A$501,'04_路径网络'!A63)&gt;1),"ID重复；",""),"")</f>
        <v/>
      </c>
      <c r="G1063" s="14">
        <f>IF(F1063&lt;&gt;"","按字段批注、数据字典和来源记录修正后复核","")</f>
        <v/>
      </c>
      <c r="H1063" s="14">
        <f>IF(F1063&lt;&gt;"","待处理","")</f>
        <v/>
      </c>
    </row>
    <row r="1064">
      <c r="A1064" s="14">
        <f>IF(F1064&lt;&gt;"","ISSUE-"&amp;TEXT(ROW()-1,"00000"),"")</f>
        <v/>
      </c>
      <c r="B1064" s="14">
        <f>IF(F1064&lt;&gt;"","错误","")</f>
        <v/>
      </c>
      <c r="C1064" s="14">
        <f>IF('04_路径网络'!A64&lt;&gt;"","04_路径网络","")</f>
        <v/>
      </c>
      <c r="D1064" s="14">
        <f>IF('04_路径网络'!A64&lt;&gt;"",'04_路径网络'!A64,"")</f>
        <v/>
      </c>
      <c r="E1064" s="14">
        <f>IF(F1064&lt;&gt;"","综合校验","")</f>
        <v/>
      </c>
      <c r="F1064" s="14">
        <f>IF('04_路径网络'!A64&lt;&gt;"",IF('04_路径网络'!A64="","缺少路径ID；","")&amp;IF('04_路径网络'!C64="","缺少路径类型；","")&amp;IF('04_路径网络'!D64="","缺少起点对象ID；","")&amp;IF('04_路径网络'!E64="","缺少终点对象ID；","")&amp;IF(AND('04_路径网络'!D64&lt;&gt;"",'04_路径网络'!D64='04_路径网络'!E64),"起点与终点相同；","")&amp;IF(AND('04_路径网络'!D64&lt;&gt;"",COUNTIF('02_固定地理'!$A$2:$A$501,'04_路径网络'!D64)+COUNTIF('03_地点锚点'!$A$2:$A$501,'04_路径网络'!D64)+COUNTIF('06_建筑锚点'!$A$2:$A$501,'04_路径网络'!D64)=0),"起点引用对象不存在；","")&amp;IF(AND('04_路径网络'!E64&lt;&gt;"",COUNTIF('02_固定地理'!$A$2:$A$501,'04_路径网络'!E64)+COUNTIF('03_地点锚点'!$A$2:$A$501,'04_路径网络'!E64)+COUNTIF('06_建筑锚点'!$A$2:$A$501,'04_路径网络'!E64)=0),"终点引用对象不存在；","")&amp;IF(AND('04_路径网络'!F64&lt;&gt;"",COUNTIF('04_路径网络'!$A$2:$A$501,'04_路径网络'!F64)=0),"父级路径不存在；","")&amp;IF(AND('04_路径网络'!A64&lt;&gt;"",COUNTIF('04_路径网络'!$A$2:$A$501,'04_路径网络'!A64)&gt;1),"ID重复；",""),"")</f>
        <v/>
      </c>
      <c r="G1064" s="14">
        <f>IF(F1064&lt;&gt;"","按字段批注、数据字典和来源记录修正后复核","")</f>
        <v/>
      </c>
      <c r="H1064" s="14">
        <f>IF(F1064&lt;&gt;"","待处理","")</f>
        <v/>
      </c>
    </row>
    <row r="1065">
      <c r="A1065" s="14">
        <f>IF(F1065&lt;&gt;"","ISSUE-"&amp;TEXT(ROW()-1,"00000"),"")</f>
        <v/>
      </c>
      <c r="B1065" s="14">
        <f>IF(F1065&lt;&gt;"","错误","")</f>
        <v/>
      </c>
      <c r="C1065" s="14">
        <f>IF('04_路径网络'!A65&lt;&gt;"","04_路径网络","")</f>
        <v/>
      </c>
      <c r="D1065" s="14">
        <f>IF('04_路径网络'!A65&lt;&gt;"",'04_路径网络'!A65,"")</f>
        <v/>
      </c>
      <c r="E1065" s="14">
        <f>IF(F1065&lt;&gt;"","综合校验","")</f>
        <v/>
      </c>
      <c r="F1065" s="14">
        <f>IF('04_路径网络'!A65&lt;&gt;"",IF('04_路径网络'!A65="","缺少路径ID；","")&amp;IF('04_路径网络'!C65="","缺少路径类型；","")&amp;IF('04_路径网络'!D65="","缺少起点对象ID；","")&amp;IF('04_路径网络'!E65="","缺少终点对象ID；","")&amp;IF(AND('04_路径网络'!D65&lt;&gt;"",'04_路径网络'!D65='04_路径网络'!E65),"起点与终点相同；","")&amp;IF(AND('04_路径网络'!D65&lt;&gt;"",COUNTIF('02_固定地理'!$A$2:$A$501,'04_路径网络'!D65)+COUNTIF('03_地点锚点'!$A$2:$A$501,'04_路径网络'!D65)+COUNTIF('06_建筑锚点'!$A$2:$A$501,'04_路径网络'!D65)=0),"起点引用对象不存在；","")&amp;IF(AND('04_路径网络'!E65&lt;&gt;"",COUNTIF('02_固定地理'!$A$2:$A$501,'04_路径网络'!E65)+COUNTIF('03_地点锚点'!$A$2:$A$501,'04_路径网络'!E65)+COUNTIF('06_建筑锚点'!$A$2:$A$501,'04_路径网络'!E65)=0),"终点引用对象不存在；","")&amp;IF(AND('04_路径网络'!F65&lt;&gt;"",COUNTIF('04_路径网络'!$A$2:$A$501,'04_路径网络'!F65)=0),"父级路径不存在；","")&amp;IF(AND('04_路径网络'!A65&lt;&gt;"",COUNTIF('04_路径网络'!$A$2:$A$501,'04_路径网络'!A65)&gt;1),"ID重复；",""),"")</f>
        <v/>
      </c>
      <c r="G1065" s="14">
        <f>IF(F1065&lt;&gt;"","按字段批注、数据字典和来源记录修正后复核","")</f>
        <v/>
      </c>
      <c r="H1065" s="14">
        <f>IF(F1065&lt;&gt;"","待处理","")</f>
        <v/>
      </c>
    </row>
    <row r="1066">
      <c r="A1066" s="14">
        <f>IF(F1066&lt;&gt;"","ISSUE-"&amp;TEXT(ROW()-1,"00000"),"")</f>
        <v/>
      </c>
      <c r="B1066" s="14">
        <f>IF(F1066&lt;&gt;"","错误","")</f>
        <v/>
      </c>
      <c r="C1066" s="14">
        <f>IF('04_路径网络'!A66&lt;&gt;"","04_路径网络","")</f>
        <v/>
      </c>
      <c r="D1066" s="14">
        <f>IF('04_路径网络'!A66&lt;&gt;"",'04_路径网络'!A66,"")</f>
        <v/>
      </c>
      <c r="E1066" s="14">
        <f>IF(F1066&lt;&gt;"","综合校验","")</f>
        <v/>
      </c>
      <c r="F1066" s="14">
        <f>IF('04_路径网络'!A66&lt;&gt;"",IF('04_路径网络'!A66="","缺少路径ID；","")&amp;IF('04_路径网络'!C66="","缺少路径类型；","")&amp;IF('04_路径网络'!D66="","缺少起点对象ID；","")&amp;IF('04_路径网络'!E66="","缺少终点对象ID；","")&amp;IF(AND('04_路径网络'!D66&lt;&gt;"",'04_路径网络'!D66='04_路径网络'!E66),"起点与终点相同；","")&amp;IF(AND('04_路径网络'!D66&lt;&gt;"",COUNTIF('02_固定地理'!$A$2:$A$501,'04_路径网络'!D66)+COUNTIF('03_地点锚点'!$A$2:$A$501,'04_路径网络'!D66)+COUNTIF('06_建筑锚点'!$A$2:$A$501,'04_路径网络'!D66)=0),"起点引用对象不存在；","")&amp;IF(AND('04_路径网络'!E66&lt;&gt;"",COUNTIF('02_固定地理'!$A$2:$A$501,'04_路径网络'!E66)+COUNTIF('03_地点锚点'!$A$2:$A$501,'04_路径网络'!E66)+COUNTIF('06_建筑锚点'!$A$2:$A$501,'04_路径网络'!E66)=0),"终点引用对象不存在；","")&amp;IF(AND('04_路径网络'!F66&lt;&gt;"",COUNTIF('04_路径网络'!$A$2:$A$501,'04_路径网络'!F66)=0),"父级路径不存在；","")&amp;IF(AND('04_路径网络'!A66&lt;&gt;"",COUNTIF('04_路径网络'!$A$2:$A$501,'04_路径网络'!A66)&gt;1),"ID重复；",""),"")</f>
        <v/>
      </c>
      <c r="G1066" s="14">
        <f>IF(F1066&lt;&gt;"","按字段批注、数据字典和来源记录修正后复核","")</f>
        <v/>
      </c>
      <c r="H1066" s="14">
        <f>IF(F1066&lt;&gt;"","待处理","")</f>
        <v/>
      </c>
    </row>
    <row r="1067">
      <c r="A1067" s="14">
        <f>IF(F1067&lt;&gt;"","ISSUE-"&amp;TEXT(ROW()-1,"00000"),"")</f>
        <v/>
      </c>
      <c r="B1067" s="14">
        <f>IF(F1067&lt;&gt;"","错误","")</f>
        <v/>
      </c>
      <c r="C1067" s="14">
        <f>IF('04_路径网络'!A67&lt;&gt;"","04_路径网络","")</f>
        <v/>
      </c>
      <c r="D1067" s="14">
        <f>IF('04_路径网络'!A67&lt;&gt;"",'04_路径网络'!A67,"")</f>
        <v/>
      </c>
      <c r="E1067" s="14">
        <f>IF(F1067&lt;&gt;"","综合校验","")</f>
        <v/>
      </c>
      <c r="F1067" s="14">
        <f>IF('04_路径网络'!A67&lt;&gt;"",IF('04_路径网络'!A67="","缺少路径ID；","")&amp;IF('04_路径网络'!C67="","缺少路径类型；","")&amp;IF('04_路径网络'!D67="","缺少起点对象ID；","")&amp;IF('04_路径网络'!E67="","缺少终点对象ID；","")&amp;IF(AND('04_路径网络'!D67&lt;&gt;"",'04_路径网络'!D67='04_路径网络'!E67),"起点与终点相同；","")&amp;IF(AND('04_路径网络'!D67&lt;&gt;"",COUNTIF('02_固定地理'!$A$2:$A$501,'04_路径网络'!D67)+COUNTIF('03_地点锚点'!$A$2:$A$501,'04_路径网络'!D67)+COUNTIF('06_建筑锚点'!$A$2:$A$501,'04_路径网络'!D67)=0),"起点引用对象不存在；","")&amp;IF(AND('04_路径网络'!E67&lt;&gt;"",COUNTIF('02_固定地理'!$A$2:$A$501,'04_路径网络'!E67)+COUNTIF('03_地点锚点'!$A$2:$A$501,'04_路径网络'!E67)+COUNTIF('06_建筑锚点'!$A$2:$A$501,'04_路径网络'!E67)=0),"终点引用对象不存在；","")&amp;IF(AND('04_路径网络'!F67&lt;&gt;"",COUNTIF('04_路径网络'!$A$2:$A$501,'04_路径网络'!F67)=0),"父级路径不存在；","")&amp;IF(AND('04_路径网络'!A67&lt;&gt;"",COUNTIF('04_路径网络'!$A$2:$A$501,'04_路径网络'!A67)&gt;1),"ID重复；",""),"")</f>
        <v/>
      </c>
      <c r="G1067" s="14">
        <f>IF(F1067&lt;&gt;"","按字段批注、数据字典和来源记录修正后复核","")</f>
        <v/>
      </c>
      <c r="H1067" s="14">
        <f>IF(F1067&lt;&gt;"","待处理","")</f>
        <v/>
      </c>
    </row>
    <row r="1068">
      <c r="A1068" s="14">
        <f>IF(F1068&lt;&gt;"","ISSUE-"&amp;TEXT(ROW()-1,"00000"),"")</f>
        <v/>
      </c>
      <c r="B1068" s="14">
        <f>IF(F1068&lt;&gt;"","错误","")</f>
        <v/>
      </c>
      <c r="C1068" s="14">
        <f>IF('04_路径网络'!A68&lt;&gt;"","04_路径网络","")</f>
        <v/>
      </c>
      <c r="D1068" s="14">
        <f>IF('04_路径网络'!A68&lt;&gt;"",'04_路径网络'!A68,"")</f>
        <v/>
      </c>
      <c r="E1068" s="14">
        <f>IF(F1068&lt;&gt;"","综合校验","")</f>
        <v/>
      </c>
      <c r="F1068" s="14">
        <f>IF('04_路径网络'!A68&lt;&gt;"",IF('04_路径网络'!A68="","缺少路径ID；","")&amp;IF('04_路径网络'!C68="","缺少路径类型；","")&amp;IF('04_路径网络'!D68="","缺少起点对象ID；","")&amp;IF('04_路径网络'!E68="","缺少终点对象ID；","")&amp;IF(AND('04_路径网络'!D68&lt;&gt;"",'04_路径网络'!D68='04_路径网络'!E68),"起点与终点相同；","")&amp;IF(AND('04_路径网络'!D68&lt;&gt;"",COUNTIF('02_固定地理'!$A$2:$A$501,'04_路径网络'!D68)+COUNTIF('03_地点锚点'!$A$2:$A$501,'04_路径网络'!D68)+COUNTIF('06_建筑锚点'!$A$2:$A$501,'04_路径网络'!D68)=0),"起点引用对象不存在；","")&amp;IF(AND('04_路径网络'!E68&lt;&gt;"",COUNTIF('02_固定地理'!$A$2:$A$501,'04_路径网络'!E68)+COUNTIF('03_地点锚点'!$A$2:$A$501,'04_路径网络'!E68)+COUNTIF('06_建筑锚点'!$A$2:$A$501,'04_路径网络'!E68)=0),"终点引用对象不存在；","")&amp;IF(AND('04_路径网络'!F68&lt;&gt;"",COUNTIF('04_路径网络'!$A$2:$A$501,'04_路径网络'!F68)=0),"父级路径不存在；","")&amp;IF(AND('04_路径网络'!A68&lt;&gt;"",COUNTIF('04_路径网络'!$A$2:$A$501,'04_路径网络'!A68)&gt;1),"ID重复；",""),"")</f>
        <v/>
      </c>
      <c r="G1068" s="14">
        <f>IF(F1068&lt;&gt;"","按字段批注、数据字典和来源记录修正后复核","")</f>
        <v/>
      </c>
      <c r="H1068" s="14">
        <f>IF(F1068&lt;&gt;"","待处理","")</f>
        <v/>
      </c>
    </row>
    <row r="1069">
      <c r="A1069" s="14">
        <f>IF(F1069&lt;&gt;"","ISSUE-"&amp;TEXT(ROW()-1,"00000"),"")</f>
        <v/>
      </c>
      <c r="B1069" s="14">
        <f>IF(F1069&lt;&gt;"","错误","")</f>
        <v/>
      </c>
      <c r="C1069" s="14">
        <f>IF('04_路径网络'!A69&lt;&gt;"","04_路径网络","")</f>
        <v/>
      </c>
      <c r="D1069" s="14">
        <f>IF('04_路径网络'!A69&lt;&gt;"",'04_路径网络'!A69,"")</f>
        <v/>
      </c>
      <c r="E1069" s="14">
        <f>IF(F1069&lt;&gt;"","综合校验","")</f>
        <v/>
      </c>
      <c r="F1069" s="14">
        <f>IF('04_路径网络'!A69&lt;&gt;"",IF('04_路径网络'!A69="","缺少路径ID；","")&amp;IF('04_路径网络'!C69="","缺少路径类型；","")&amp;IF('04_路径网络'!D69="","缺少起点对象ID；","")&amp;IF('04_路径网络'!E69="","缺少终点对象ID；","")&amp;IF(AND('04_路径网络'!D69&lt;&gt;"",'04_路径网络'!D69='04_路径网络'!E69),"起点与终点相同；","")&amp;IF(AND('04_路径网络'!D69&lt;&gt;"",COUNTIF('02_固定地理'!$A$2:$A$501,'04_路径网络'!D69)+COUNTIF('03_地点锚点'!$A$2:$A$501,'04_路径网络'!D69)+COUNTIF('06_建筑锚点'!$A$2:$A$501,'04_路径网络'!D69)=0),"起点引用对象不存在；","")&amp;IF(AND('04_路径网络'!E69&lt;&gt;"",COUNTIF('02_固定地理'!$A$2:$A$501,'04_路径网络'!E69)+COUNTIF('03_地点锚点'!$A$2:$A$501,'04_路径网络'!E69)+COUNTIF('06_建筑锚点'!$A$2:$A$501,'04_路径网络'!E69)=0),"终点引用对象不存在；","")&amp;IF(AND('04_路径网络'!F69&lt;&gt;"",COUNTIF('04_路径网络'!$A$2:$A$501,'04_路径网络'!F69)=0),"父级路径不存在；","")&amp;IF(AND('04_路径网络'!A69&lt;&gt;"",COUNTIF('04_路径网络'!$A$2:$A$501,'04_路径网络'!A69)&gt;1),"ID重复；",""),"")</f>
        <v/>
      </c>
      <c r="G1069" s="14">
        <f>IF(F1069&lt;&gt;"","按字段批注、数据字典和来源记录修正后复核","")</f>
        <v/>
      </c>
      <c r="H1069" s="14">
        <f>IF(F1069&lt;&gt;"","待处理","")</f>
        <v/>
      </c>
    </row>
    <row r="1070">
      <c r="A1070" s="14">
        <f>IF(F1070&lt;&gt;"","ISSUE-"&amp;TEXT(ROW()-1,"00000"),"")</f>
        <v/>
      </c>
      <c r="B1070" s="14">
        <f>IF(F1070&lt;&gt;"","错误","")</f>
        <v/>
      </c>
      <c r="C1070" s="14">
        <f>IF('04_路径网络'!A70&lt;&gt;"","04_路径网络","")</f>
        <v/>
      </c>
      <c r="D1070" s="14">
        <f>IF('04_路径网络'!A70&lt;&gt;"",'04_路径网络'!A70,"")</f>
        <v/>
      </c>
      <c r="E1070" s="14">
        <f>IF(F1070&lt;&gt;"","综合校验","")</f>
        <v/>
      </c>
      <c r="F1070" s="14">
        <f>IF('04_路径网络'!A70&lt;&gt;"",IF('04_路径网络'!A70="","缺少路径ID；","")&amp;IF('04_路径网络'!C70="","缺少路径类型；","")&amp;IF('04_路径网络'!D70="","缺少起点对象ID；","")&amp;IF('04_路径网络'!E70="","缺少终点对象ID；","")&amp;IF(AND('04_路径网络'!D70&lt;&gt;"",'04_路径网络'!D70='04_路径网络'!E70),"起点与终点相同；","")&amp;IF(AND('04_路径网络'!D70&lt;&gt;"",COUNTIF('02_固定地理'!$A$2:$A$501,'04_路径网络'!D70)+COUNTIF('03_地点锚点'!$A$2:$A$501,'04_路径网络'!D70)+COUNTIF('06_建筑锚点'!$A$2:$A$501,'04_路径网络'!D70)=0),"起点引用对象不存在；","")&amp;IF(AND('04_路径网络'!E70&lt;&gt;"",COUNTIF('02_固定地理'!$A$2:$A$501,'04_路径网络'!E70)+COUNTIF('03_地点锚点'!$A$2:$A$501,'04_路径网络'!E70)+COUNTIF('06_建筑锚点'!$A$2:$A$501,'04_路径网络'!E70)=0),"终点引用对象不存在；","")&amp;IF(AND('04_路径网络'!F70&lt;&gt;"",COUNTIF('04_路径网络'!$A$2:$A$501,'04_路径网络'!F70)=0),"父级路径不存在；","")&amp;IF(AND('04_路径网络'!A70&lt;&gt;"",COUNTIF('04_路径网络'!$A$2:$A$501,'04_路径网络'!A70)&gt;1),"ID重复；",""),"")</f>
        <v/>
      </c>
      <c r="G1070" s="14">
        <f>IF(F1070&lt;&gt;"","按字段批注、数据字典和来源记录修正后复核","")</f>
        <v/>
      </c>
      <c r="H1070" s="14">
        <f>IF(F1070&lt;&gt;"","待处理","")</f>
        <v/>
      </c>
    </row>
    <row r="1071">
      <c r="A1071" s="14">
        <f>IF(F1071&lt;&gt;"","ISSUE-"&amp;TEXT(ROW()-1,"00000"),"")</f>
        <v/>
      </c>
      <c r="B1071" s="14">
        <f>IF(F1071&lt;&gt;"","错误","")</f>
        <v/>
      </c>
      <c r="C1071" s="14">
        <f>IF('04_路径网络'!A71&lt;&gt;"","04_路径网络","")</f>
        <v/>
      </c>
      <c r="D1071" s="14">
        <f>IF('04_路径网络'!A71&lt;&gt;"",'04_路径网络'!A71,"")</f>
        <v/>
      </c>
      <c r="E1071" s="14">
        <f>IF(F1071&lt;&gt;"","综合校验","")</f>
        <v/>
      </c>
      <c r="F1071" s="14">
        <f>IF('04_路径网络'!A71&lt;&gt;"",IF('04_路径网络'!A71="","缺少路径ID；","")&amp;IF('04_路径网络'!C71="","缺少路径类型；","")&amp;IF('04_路径网络'!D71="","缺少起点对象ID；","")&amp;IF('04_路径网络'!E71="","缺少终点对象ID；","")&amp;IF(AND('04_路径网络'!D71&lt;&gt;"",'04_路径网络'!D71='04_路径网络'!E71),"起点与终点相同；","")&amp;IF(AND('04_路径网络'!D71&lt;&gt;"",COUNTIF('02_固定地理'!$A$2:$A$501,'04_路径网络'!D71)+COUNTIF('03_地点锚点'!$A$2:$A$501,'04_路径网络'!D71)+COUNTIF('06_建筑锚点'!$A$2:$A$501,'04_路径网络'!D71)=0),"起点引用对象不存在；","")&amp;IF(AND('04_路径网络'!E71&lt;&gt;"",COUNTIF('02_固定地理'!$A$2:$A$501,'04_路径网络'!E71)+COUNTIF('03_地点锚点'!$A$2:$A$501,'04_路径网络'!E71)+COUNTIF('06_建筑锚点'!$A$2:$A$501,'04_路径网络'!E71)=0),"终点引用对象不存在；","")&amp;IF(AND('04_路径网络'!F71&lt;&gt;"",COUNTIF('04_路径网络'!$A$2:$A$501,'04_路径网络'!F71)=0),"父级路径不存在；","")&amp;IF(AND('04_路径网络'!A71&lt;&gt;"",COUNTIF('04_路径网络'!$A$2:$A$501,'04_路径网络'!A71)&gt;1),"ID重复；",""),"")</f>
        <v/>
      </c>
      <c r="G1071" s="14">
        <f>IF(F1071&lt;&gt;"","按字段批注、数据字典和来源记录修正后复核","")</f>
        <v/>
      </c>
      <c r="H1071" s="14">
        <f>IF(F1071&lt;&gt;"","待处理","")</f>
        <v/>
      </c>
    </row>
    <row r="1072">
      <c r="A1072" s="14">
        <f>IF(F1072&lt;&gt;"","ISSUE-"&amp;TEXT(ROW()-1,"00000"),"")</f>
        <v/>
      </c>
      <c r="B1072" s="14">
        <f>IF(F1072&lt;&gt;"","错误","")</f>
        <v/>
      </c>
      <c r="C1072" s="14">
        <f>IF('04_路径网络'!A72&lt;&gt;"","04_路径网络","")</f>
        <v/>
      </c>
      <c r="D1072" s="14">
        <f>IF('04_路径网络'!A72&lt;&gt;"",'04_路径网络'!A72,"")</f>
        <v/>
      </c>
      <c r="E1072" s="14">
        <f>IF(F1072&lt;&gt;"","综合校验","")</f>
        <v/>
      </c>
      <c r="F1072" s="14">
        <f>IF('04_路径网络'!A72&lt;&gt;"",IF('04_路径网络'!A72="","缺少路径ID；","")&amp;IF('04_路径网络'!C72="","缺少路径类型；","")&amp;IF('04_路径网络'!D72="","缺少起点对象ID；","")&amp;IF('04_路径网络'!E72="","缺少终点对象ID；","")&amp;IF(AND('04_路径网络'!D72&lt;&gt;"",'04_路径网络'!D72='04_路径网络'!E72),"起点与终点相同；","")&amp;IF(AND('04_路径网络'!D72&lt;&gt;"",COUNTIF('02_固定地理'!$A$2:$A$501,'04_路径网络'!D72)+COUNTIF('03_地点锚点'!$A$2:$A$501,'04_路径网络'!D72)+COUNTIF('06_建筑锚点'!$A$2:$A$501,'04_路径网络'!D72)=0),"起点引用对象不存在；","")&amp;IF(AND('04_路径网络'!E72&lt;&gt;"",COUNTIF('02_固定地理'!$A$2:$A$501,'04_路径网络'!E72)+COUNTIF('03_地点锚点'!$A$2:$A$501,'04_路径网络'!E72)+COUNTIF('06_建筑锚点'!$A$2:$A$501,'04_路径网络'!E72)=0),"终点引用对象不存在；","")&amp;IF(AND('04_路径网络'!F72&lt;&gt;"",COUNTIF('04_路径网络'!$A$2:$A$501,'04_路径网络'!F72)=0),"父级路径不存在；","")&amp;IF(AND('04_路径网络'!A72&lt;&gt;"",COUNTIF('04_路径网络'!$A$2:$A$501,'04_路径网络'!A72)&gt;1),"ID重复；",""),"")</f>
        <v/>
      </c>
      <c r="G1072" s="14">
        <f>IF(F1072&lt;&gt;"","按字段批注、数据字典和来源记录修正后复核","")</f>
        <v/>
      </c>
      <c r="H1072" s="14">
        <f>IF(F1072&lt;&gt;"","待处理","")</f>
        <v/>
      </c>
    </row>
    <row r="1073">
      <c r="A1073" s="14">
        <f>IF(F1073&lt;&gt;"","ISSUE-"&amp;TEXT(ROW()-1,"00000"),"")</f>
        <v/>
      </c>
      <c r="B1073" s="14">
        <f>IF(F1073&lt;&gt;"","错误","")</f>
        <v/>
      </c>
      <c r="C1073" s="14">
        <f>IF('04_路径网络'!A73&lt;&gt;"","04_路径网络","")</f>
        <v/>
      </c>
      <c r="D1073" s="14">
        <f>IF('04_路径网络'!A73&lt;&gt;"",'04_路径网络'!A73,"")</f>
        <v/>
      </c>
      <c r="E1073" s="14">
        <f>IF(F1073&lt;&gt;"","综合校验","")</f>
        <v/>
      </c>
      <c r="F1073" s="14">
        <f>IF('04_路径网络'!A73&lt;&gt;"",IF('04_路径网络'!A73="","缺少路径ID；","")&amp;IF('04_路径网络'!C73="","缺少路径类型；","")&amp;IF('04_路径网络'!D73="","缺少起点对象ID；","")&amp;IF('04_路径网络'!E73="","缺少终点对象ID；","")&amp;IF(AND('04_路径网络'!D73&lt;&gt;"",'04_路径网络'!D73='04_路径网络'!E73),"起点与终点相同；","")&amp;IF(AND('04_路径网络'!D73&lt;&gt;"",COUNTIF('02_固定地理'!$A$2:$A$501,'04_路径网络'!D73)+COUNTIF('03_地点锚点'!$A$2:$A$501,'04_路径网络'!D73)+COUNTIF('06_建筑锚点'!$A$2:$A$501,'04_路径网络'!D73)=0),"起点引用对象不存在；","")&amp;IF(AND('04_路径网络'!E73&lt;&gt;"",COUNTIF('02_固定地理'!$A$2:$A$501,'04_路径网络'!E73)+COUNTIF('03_地点锚点'!$A$2:$A$501,'04_路径网络'!E73)+COUNTIF('06_建筑锚点'!$A$2:$A$501,'04_路径网络'!E73)=0),"终点引用对象不存在；","")&amp;IF(AND('04_路径网络'!F73&lt;&gt;"",COUNTIF('04_路径网络'!$A$2:$A$501,'04_路径网络'!F73)=0),"父级路径不存在；","")&amp;IF(AND('04_路径网络'!A73&lt;&gt;"",COUNTIF('04_路径网络'!$A$2:$A$501,'04_路径网络'!A73)&gt;1),"ID重复；",""),"")</f>
        <v/>
      </c>
      <c r="G1073" s="14">
        <f>IF(F1073&lt;&gt;"","按字段批注、数据字典和来源记录修正后复核","")</f>
        <v/>
      </c>
      <c r="H1073" s="14">
        <f>IF(F1073&lt;&gt;"","待处理","")</f>
        <v/>
      </c>
    </row>
    <row r="1074">
      <c r="A1074" s="14">
        <f>IF(F1074&lt;&gt;"","ISSUE-"&amp;TEXT(ROW()-1,"00000"),"")</f>
        <v/>
      </c>
      <c r="B1074" s="14">
        <f>IF(F1074&lt;&gt;"","错误","")</f>
        <v/>
      </c>
      <c r="C1074" s="14">
        <f>IF('04_路径网络'!A74&lt;&gt;"","04_路径网络","")</f>
        <v/>
      </c>
      <c r="D1074" s="14">
        <f>IF('04_路径网络'!A74&lt;&gt;"",'04_路径网络'!A74,"")</f>
        <v/>
      </c>
      <c r="E1074" s="14">
        <f>IF(F1074&lt;&gt;"","综合校验","")</f>
        <v/>
      </c>
      <c r="F1074" s="14">
        <f>IF('04_路径网络'!A74&lt;&gt;"",IF('04_路径网络'!A74="","缺少路径ID；","")&amp;IF('04_路径网络'!C74="","缺少路径类型；","")&amp;IF('04_路径网络'!D74="","缺少起点对象ID；","")&amp;IF('04_路径网络'!E74="","缺少终点对象ID；","")&amp;IF(AND('04_路径网络'!D74&lt;&gt;"",'04_路径网络'!D74='04_路径网络'!E74),"起点与终点相同；","")&amp;IF(AND('04_路径网络'!D74&lt;&gt;"",COUNTIF('02_固定地理'!$A$2:$A$501,'04_路径网络'!D74)+COUNTIF('03_地点锚点'!$A$2:$A$501,'04_路径网络'!D74)+COUNTIF('06_建筑锚点'!$A$2:$A$501,'04_路径网络'!D74)=0),"起点引用对象不存在；","")&amp;IF(AND('04_路径网络'!E74&lt;&gt;"",COUNTIF('02_固定地理'!$A$2:$A$501,'04_路径网络'!E74)+COUNTIF('03_地点锚点'!$A$2:$A$501,'04_路径网络'!E74)+COUNTIF('06_建筑锚点'!$A$2:$A$501,'04_路径网络'!E74)=0),"终点引用对象不存在；","")&amp;IF(AND('04_路径网络'!F74&lt;&gt;"",COUNTIF('04_路径网络'!$A$2:$A$501,'04_路径网络'!F74)=0),"父级路径不存在；","")&amp;IF(AND('04_路径网络'!A74&lt;&gt;"",COUNTIF('04_路径网络'!$A$2:$A$501,'04_路径网络'!A74)&gt;1),"ID重复；",""),"")</f>
        <v/>
      </c>
      <c r="G1074" s="14">
        <f>IF(F1074&lt;&gt;"","按字段批注、数据字典和来源记录修正后复核","")</f>
        <v/>
      </c>
      <c r="H1074" s="14">
        <f>IF(F1074&lt;&gt;"","待处理","")</f>
        <v/>
      </c>
    </row>
    <row r="1075">
      <c r="A1075" s="14">
        <f>IF(F1075&lt;&gt;"","ISSUE-"&amp;TEXT(ROW()-1,"00000"),"")</f>
        <v/>
      </c>
      <c r="B1075" s="14">
        <f>IF(F1075&lt;&gt;"","错误","")</f>
        <v/>
      </c>
      <c r="C1075" s="14">
        <f>IF('04_路径网络'!A75&lt;&gt;"","04_路径网络","")</f>
        <v/>
      </c>
      <c r="D1075" s="14">
        <f>IF('04_路径网络'!A75&lt;&gt;"",'04_路径网络'!A75,"")</f>
        <v/>
      </c>
      <c r="E1075" s="14">
        <f>IF(F1075&lt;&gt;"","综合校验","")</f>
        <v/>
      </c>
      <c r="F1075" s="14">
        <f>IF('04_路径网络'!A75&lt;&gt;"",IF('04_路径网络'!A75="","缺少路径ID；","")&amp;IF('04_路径网络'!C75="","缺少路径类型；","")&amp;IF('04_路径网络'!D75="","缺少起点对象ID；","")&amp;IF('04_路径网络'!E75="","缺少终点对象ID；","")&amp;IF(AND('04_路径网络'!D75&lt;&gt;"",'04_路径网络'!D75='04_路径网络'!E75),"起点与终点相同；","")&amp;IF(AND('04_路径网络'!D75&lt;&gt;"",COUNTIF('02_固定地理'!$A$2:$A$501,'04_路径网络'!D75)+COUNTIF('03_地点锚点'!$A$2:$A$501,'04_路径网络'!D75)+COUNTIF('06_建筑锚点'!$A$2:$A$501,'04_路径网络'!D75)=0),"起点引用对象不存在；","")&amp;IF(AND('04_路径网络'!E75&lt;&gt;"",COUNTIF('02_固定地理'!$A$2:$A$501,'04_路径网络'!E75)+COUNTIF('03_地点锚点'!$A$2:$A$501,'04_路径网络'!E75)+COUNTIF('06_建筑锚点'!$A$2:$A$501,'04_路径网络'!E75)=0),"终点引用对象不存在；","")&amp;IF(AND('04_路径网络'!F75&lt;&gt;"",COUNTIF('04_路径网络'!$A$2:$A$501,'04_路径网络'!F75)=0),"父级路径不存在；","")&amp;IF(AND('04_路径网络'!A75&lt;&gt;"",COUNTIF('04_路径网络'!$A$2:$A$501,'04_路径网络'!A75)&gt;1),"ID重复；",""),"")</f>
        <v/>
      </c>
      <c r="G1075" s="14">
        <f>IF(F1075&lt;&gt;"","按字段批注、数据字典和来源记录修正后复核","")</f>
        <v/>
      </c>
      <c r="H1075" s="14">
        <f>IF(F1075&lt;&gt;"","待处理","")</f>
        <v/>
      </c>
    </row>
    <row r="1076">
      <c r="A1076" s="14">
        <f>IF(F1076&lt;&gt;"","ISSUE-"&amp;TEXT(ROW()-1,"00000"),"")</f>
        <v/>
      </c>
      <c r="B1076" s="14">
        <f>IF(F1076&lt;&gt;"","错误","")</f>
        <v/>
      </c>
      <c r="C1076" s="14">
        <f>IF('04_路径网络'!A76&lt;&gt;"","04_路径网络","")</f>
        <v/>
      </c>
      <c r="D1076" s="14">
        <f>IF('04_路径网络'!A76&lt;&gt;"",'04_路径网络'!A76,"")</f>
        <v/>
      </c>
      <c r="E1076" s="14">
        <f>IF(F1076&lt;&gt;"","综合校验","")</f>
        <v/>
      </c>
      <c r="F1076" s="14">
        <f>IF('04_路径网络'!A76&lt;&gt;"",IF('04_路径网络'!A76="","缺少路径ID；","")&amp;IF('04_路径网络'!C76="","缺少路径类型；","")&amp;IF('04_路径网络'!D76="","缺少起点对象ID；","")&amp;IF('04_路径网络'!E76="","缺少终点对象ID；","")&amp;IF(AND('04_路径网络'!D76&lt;&gt;"",'04_路径网络'!D76='04_路径网络'!E76),"起点与终点相同；","")&amp;IF(AND('04_路径网络'!D76&lt;&gt;"",COUNTIF('02_固定地理'!$A$2:$A$501,'04_路径网络'!D76)+COUNTIF('03_地点锚点'!$A$2:$A$501,'04_路径网络'!D76)+COUNTIF('06_建筑锚点'!$A$2:$A$501,'04_路径网络'!D76)=0),"起点引用对象不存在；","")&amp;IF(AND('04_路径网络'!E76&lt;&gt;"",COUNTIF('02_固定地理'!$A$2:$A$501,'04_路径网络'!E76)+COUNTIF('03_地点锚点'!$A$2:$A$501,'04_路径网络'!E76)+COUNTIF('06_建筑锚点'!$A$2:$A$501,'04_路径网络'!E76)=0),"终点引用对象不存在；","")&amp;IF(AND('04_路径网络'!F76&lt;&gt;"",COUNTIF('04_路径网络'!$A$2:$A$501,'04_路径网络'!F76)=0),"父级路径不存在；","")&amp;IF(AND('04_路径网络'!A76&lt;&gt;"",COUNTIF('04_路径网络'!$A$2:$A$501,'04_路径网络'!A76)&gt;1),"ID重复；",""),"")</f>
        <v/>
      </c>
      <c r="G1076" s="14">
        <f>IF(F1076&lt;&gt;"","按字段批注、数据字典和来源记录修正后复核","")</f>
        <v/>
      </c>
      <c r="H1076" s="14">
        <f>IF(F1076&lt;&gt;"","待处理","")</f>
        <v/>
      </c>
    </row>
    <row r="1077">
      <c r="A1077" s="14">
        <f>IF(F1077&lt;&gt;"","ISSUE-"&amp;TEXT(ROW()-1,"00000"),"")</f>
        <v/>
      </c>
      <c r="B1077" s="14">
        <f>IF(F1077&lt;&gt;"","错误","")</f>
        <v/>
      </c>
      <c r="C1077" s="14">
        <f>IF('04_路径网络'!A77&lt;&gt;"","04_路径网络","")</f>
        <v/>
      </c>
      <c r="D1077" s="14">
        <f>IF('04_路径网络'!A77&lt;&gt;"",'04_路径网络'!A77,"")</f>
        <v/>
      </c>
      <c r="E1077" s="14">
        <f>IF(F1077&lt;&gt;"","综合校验","")</f>
        <v/>
      </c>
      <c r="F1077" s="14">
        <f>IF('04_路径网络'!A77&lt;&gt;"",IF('04_路径网络'!A77="","缺少路径ID；","")&amp;IF('04_路径网络'!C77="","缺少路径类型；","")&amp;IF('04_路径网络'!D77="","缺少起点对象ID；","")&amp;IF('04_路径网络'!E77="","缺少终点对象ID；","")&amp;IF(AND('04_路径网络'!D77&lt;&gt;"",'04_路径网络'!D77='04_路径网络'!E77),"起点与终点相同；","")&amp;IF(AND('04_路径网络'!D77&lt;&gt;"",COUNTIF('02_固定地理'!$A$2:$A$501,'04_路径网络'!D77)+COUNTIF('03_地点锚点'!$A$2:$A$501,'04_路径网络'!D77)+COUNTIF('06_建筑锚点'!$A$2:$A$501,'04_路径网络'!D77)=0),"起点引用对象不存在；","")&amp;IF(AND('04_路径网络'!E77&lt;&gt;"",COUNTIF('02_固定地理'!$A$2:$A$501,'04_路径网络'!E77)+COUNTIF('03_地点锚点'!$A$2:$A$501,'04_路径网络'!E77)+COUNTIF('06_建筑锚点'!$A$2:$A$501,'04_路径网络'!E77)=0),"终点引用对象不存在；","")&amp;IF(AND('04_路径网络'!F77&lt;&gt;"",COUNTIF('04_路径网络'!$A$2:$A$501,'04_路径网络'!F77)=0),"父级路径不存在；","")&amp;IF(AND('04_路径网络'!A77&lt;&gt;"",COUNTIF('04_路径网络'!$A$2:$A$501,'04_路径网络'!A77)&gt;1),"ID重复；",""),"")</f>
        <v/>
      </c>
      <c r="G1077" s="14">
        <f>IF(F1077&lt;&gt;"","按字段批注、数据字典和来源记录修正后复核","")</f>
        <v/>
      </c>
      <c r="H1077" s="14">
        <f>IF(F1077&lt;&gt;"","待处理","")</f>
        <v/>
      </c>
    </row>
    <row r="1078">
      <c r="A1078" s="14">
        <f>IF(F1078&lt;&gt;"","ISSUE-"&amp;TEXT(ROW()-1,"00000"),"")</f>
        <v/>
      </c>
      <c r="B1078" s="14">
        <f>IF(F1078&lt;&gt;"","错误","")</f>
        <v/>
      </c>
      <c r="C1078" s="14">
        <f>IF('04_路径网络'!A78&lt;&gt;"","04_路径网络","")</f>
        <v/>
      </c>
      <c r="D1078" s="14">
        <f>IF('04_路径网络'!A78&lt;&gt;"",'04_路径网络'!A78,"")</f>
        <v/>
      </c>
      <c r="E1078" s="14">
        <f>IF(F1078&lt;&gt;"","综合校验","")</f>
        <v/>
      </c>
      <c r="F1078" s="14">
        <f>IF('04_路径网络'!A78&lt;&gt;"",IF('04_路径网络'!A78="","缺少路径ID；","")&amp;IF('04_路径网络'!C78="","缺少路径类型；","")&amp;IF('04_路径网络'!D78="","缺少起点对象ID；","")&amp;IF('04_路径网络'!E78="","缺少终点对象ID；","")&amp;IF(AND('04_路径网络'!D78&lt;&gt;"",'04_路径网络'!D78='04_路径网络'!E78),"起点与终点相同；","")&amp;IF(AND('04_路径网络'!D78&lt;&gt;"",COUNTIF('02_固定地理'!$A$2:$A$501,'04_路径网络'!D78)+COUNTIF('03_地点锚点'!$A$2:$A$501,'04_路径网络'!D78)+COUNTIF('06_建筑锚点'!$A$2:$A$501,'04_路径网络'!D78)=0),"起点引用对象不存在；","")&amp;IF(AND('04_路径网络'!E78&lt;&gt;"",COUNTIF('02_固定地理'!$A$2:$A$501,'04_路径网络'!E78)+COUNTIF('03_地点锚点'!$A$2:$A$501,'04_路径网络'!E78)+COUNTIF('06_建筑锚点'!$A$2:$A$501,'04_路径网络'!E78)=0),"终点引用对象不存在；","")&amp;IF(AND('04_路径网络'!F78&lt;&gt;"",COUNTIF('04_路径网络'!$A$2:$A$501,'04_路径网络'!F78)=0),"父级路径不存在；","")&amp;IF(AND('04_路径网络'!A78&lt;&gt;"",COUNTIF('04_路径网络'!$A$2:$A$501,'04_路径网络'!A78)&gt;1),"ID重复；",""),"")</f>
        <v/>
      </c>
      <c r="G1078" s="14">
        <f>IF(F1078&lt;&gt;"","按字段批注、数据字典和来源记录修正后复核","")</f>
        <v/>
      </c>
      <c r="H1078" s="14">
        <f>IF(F1078&lt;&gt;"","待处理","")</f>
        <v/>
      </c>
    </row>
    <row r="1079">
      <c r="A1079" s="14">
        <f>IF(F1079&lt;&gt;"","ISSUE-"&amp;TEXT(ROW()-1,"00000"),"")</f>
        <v/>
      </c>
      <c r="B1079" s="14">
        <f>IF(F1079&lt;&gt;"","错误","")</f>
        <v/>
      </c>
      <c r="C1079" s="14">
        <f>IF('04_路径网络'!A79&lt;&gt;"","04_路径网络","")</f>
        <v/>
      </c>
      <c r="D1079" s="14">
        <f>IF('04_路径网络'!A79&lt;&gt;"",'04_路径网络'!A79,"")</f>
        <v/>
      </c>
      <c r="E1079" s="14">
        <f>IF(F1079&lt;&gt;"","综合校验","")</f>
        <v/>
      </c>
      <c r="F1079" s="14">
        <f>IF('04_路径网络'!A79&lt;&gt;"",IF('04_路径网络'!A79="","缺少路径ID；","")&amp;IF('04_路径网络'!C79="","缺少路径类型；","")&amp;IF('04_路径网络'!D79="","缺少起点对象ID；","")&amp;IF('04_路径网络'!E79="","缺少终点对象ID；","")&amp;IF(AND('04_路径网络'!D79&lt;&gt;"",'04_路径网络'!D79='04_路径网络'!E79),"起点与终点相同；","")&amp;IF(AND('04_路径网络'!D79&lt;&gt;"",COUNTIF('02_固定地理'!$A$2:$A$501,'04_路径网络'!D79)+COUNTIF('03_地点锚点'!$A$2:$A$501,'04_路径网络'!D79)+COUNTIF('06_建筑锚点'!$A$2:$A$501,'04_路径网络'!D79)=0),"起点引用对象不存在；","")&amp;IF(AND('04_路径网络'!E79&lt;&gt;"",COUNTIF('02_固定地理'!$A$2:$A$501,'04_路径网络'!E79)+COUNTIF('03_地点锚点'!$A$2:$A$501,'04_路径网络'!E79)+COUNTIF('06_建筑锚点'!$A$2:$A$501,'04_路径网络'!E79)=0),"终点引用对象不存在；","")&amp;IF(AND('04_路径网络'!F79&lt;&gt;"",COUNTIF('04_路径网络'!$A$2:$A$501,'04_路径网络'!F79)=0),"父级路径不存在；","")&amp;IF(AND('04_路径网络'!A79&lt;&gt;"",COUNTIF('04_路径网络'!$A$2:$A$501,'04_路径网络'!A79)&gt;1),"ID重复；",""),"")</f>
        <v/>
      </c>
      <c r="G1079" s="14">
        <f>IF(F1079&lt;&gt;"","按字段批注、数据字典和来源记录修正后复核","")</f>
        <v/>
      </c>
      <c r="H1079" s="14">
        <f>IF(F1079&lt;&gt;"","待处理","")</f>
        <v/>
      </c>
    </row>
    <row r="1080">
      <c r="A1080" s="14">
        <f>IF(F1080&lt;&gt;"","ISSUE-"&amp;TEXT(ROW()-1,"00000"),"")</f>
        <v/>
      </c>
      <c r="B1080" s="14">
        <f>IF(F1080&lt;&gt;"","错误","")</f>
        <v/>
      </c>
      <c r="C1080" s="14">
        <f>IF('04_路径网络'!A80&lt;&gt;"","04_路径网络","")</f>
        <v/>
      </c>
      <c r="D1080" s="14">
        <f>IF('04_路径网络'!A80&lt;&gt;"",'04_路径网络'!A80,"")</f>
        <v/>
      </c>
      <c r="E1080" s="14">
        <f>IF(F1080&lt;&gt;"","综合校验","")</f>
        <v/>
      </c>
      <c r="F1080" s="14">
        <f>IF('04_路径网络'!A80&lt;&gt;"",IF('04_路径网络'!A80="","缺少路径ID；","")&amp;IF('04_路径网络'!C80="","缺少路径类型；","")&amp;IF('04_路径网络'!D80="","缺少起点对象ID；","")&amp;IF('04_路径网络'!E80="","缺少终点对象ID；","")&amp;IF(AND('04_路径网络'!D80&lt;&gt;"",'04_路径网络'!D80='04_路径网络'!E80),"起点与终点相同；","")&amp;IF(AND('04_路径网络'!D80&lt;&gt;"",COUNTIF('02_固定地理'!$A$2:$A$501,'04_路径网络'!D80)+COUNTIF('03_地点锚点'!$A$2:$A$501,'04_路径网络'!D80)+COUNTIF('06_建筑锚点'!$A$2:$A$501,'04_路径网络'!D80)=0),"起点引用对象不存在；","")&amp;IF(AND('04_路径网络'!E80&lt;&gt;"",COUNTIF('02_固定地理'!$A$2:$A$501,'04_路径网络'!E80)+COUNTIF('03_地点锚点'!$A$2:$A$501,'04_路径网络'!E80)+COUNTIF('06_建筑锚点'!$A$2:$A$501,'04_路径网络'!E80)=0),"终点引用对象不存在；","")&amp;IF(AND('04_路径网络'!F80&lt;&gt;"",COUNTIF('04_路径网络'!$A$2:$A$501,'04_路径网络'!F80)=0),"父级路径不存在；","")&amp;IF(AND('04_路径网络'!A80&lt;&gt;"",COUNTIF('04_路径网络'!$A$2:$A$501,'04_路径网络'!A80)&gt;1),"ID重复；",""),"")</f>
        <v/>
      </c>
      <c r="G1080" s="14">
        <f>IF(F1080&lt;&gt;"","按字段批注、数据字典和来源记录修正后复核","")</f>
        <v/>
      </c>
      <c r="H1080" s="14">
        <f>IF(F1080&lt;&gt;"","待处理","")</f>
        <v/>
      </c>
    </row>
    <row r="1081">
      <c r="A1081" s="14">
        <f>IF(F1081&lt;&gt;"","ISSUE-"&amp;TEXT(ROW()-1,"00000"),"")</f>
        <v/>
      </c>
      <c r="B1081" s="14">
        <f>IF(F1081&lt;&gt;"","错误","")</f>
        <v/>
      </c>
      <c r="C1081" s="14">
        <f>IF('04_路径网络'!A81&lt;&gt;"","04_路径网络","")</f>
        <v/>
      </c>
      <c r="D1081" s="14">
        <f>IF('04_路径网络'!A81&lt;&gt;"",'04_路径网络'!A81,"")</f>
        <v/>
      </c>
      <c r="E1081" s="14">
        <f>IF(F1081&lt;&gt;"","综合校验","")</f>
        <v/>
      </c>
      <c r="F1081" s="14">
        <f>IF('04_路径网络'!A81&lt;&gt;"",IF('04_路径网络'!A81="","缺少路径ID；","")&amp;IF('04_路径网络'!C81="","缺少路径类型；","")&amp;IF('04_路径网络'!D81="","缺少起点对象ID；","")&amp;IF('04_路径网络'!E81="","缺少终点对象ID；","")&amp;IF(AND('04_路径网络'!D81&lt;&gt;"",'04_路径网络'!D81='04_路径网络'!E81),"起点与终点相同；","")&amp;IF(AND('04_路径网络'!D81&lt;&gt;"",COUNTIF('02_固定地理'!$A$2:$A$501,'04_路径网络'!D81)+COUNTIF('03_地点锚点'!$A$2:$A$501,'04_路径网络'!D81)+COUNTIF('06_建筑锚点'!$A$2:$A$501,'04_路径网络'!D81)=0),"起点引用对象不存在；","")&amp;IF(AND('04_路径网络'!E81&lt;&gt;"",COUNTIF('02_固定地理'!$A$2:$A$501,'04_路径网络'!E81)+COUNTIF('03_地点锚点'!$A$2:$A$501,'04_路径网络'!E81)+COUNTIF('06_建筑锚点'!$A$2:$A$501,'04_路径网络'!E81)=0),"终点引用对象不存在；","")&amp;IF(AND('04_路径网络'!F81&lt;&gt;"",COUNTIF('04_路径网络'!$A$2:$A$501,'04_路径网络'!F81)=0),"父级路径不存在；","")&amp;IF(AND('04_路径网络'!A81&lt;&gt;"",COUNTIF('04_路径网络'!$A$2:$A$501,'04_路径网络'!A81)&gt;1),"ID重复；",""),"")</f>
        <v/>
      </c>
      <c r="G1081" s="14">
        <f>IF(F1081&lt;&gt;"","按字段批注、数据字典和来源记录修正后复核","")</f>
        <v/>
      </c>
      <c r="H1081" s="14">
        <f>IF(F1081&lt;&gt;"","待处理","")</f>
        <v/>
      </c>
    </row>
    <row r="1082">
      <c r="A1082" s="14">
        <f>IF(F1082&lt;&gt;"","ISSUE-"&amp;TEXT(ROW()-1,"00000"),"")</f>
        <v/>
      </c>
      <c r="B1082" s="14">
        <f>IF(F1082&lt;&gt;"","错误","")</f>
        <v/>
      </c>
      <c r="C1082" s="14">
        <f>IF('04_路径网络'!A82&lt;&gt;"","04_路径网络","")</f>
        <v/>
      </c>
      <c r="D1082" s="14">
        <f>IF('04_路径网络'!A82&lt;&gt;"",'04_路径网络'!A82,"")</f>
        <v/>
      </c>
      <c r="E1082" s="14">
        <f>IF(F1082&lt;&gt;"","综合校验","")</f>
        <v/>
      </c>
      <c r="F1082" s="14">
        <f>IF('04_路径网络'!A82&lt;&gt;"",IF('04_路径网络'!A82="","缺少路径ID；","")&amp;IF('04_路径网络'!C82="","缺少路径类型；","")&amp;IF('04_路径网络'!D82="","缺少起点对象ID；","")&amp;IF('04_路径网络'!E82="","缺少终点对象ID；","")&amp;IF(AND('04_路径网络'!D82&lt;&gt;"",'04_路径网络'!D82='04_路径网络'!E82),"起点与终点相同；","")&amp;IF(AND('04_路径网络'!D82&lt;&gt;"",COUNTIF('02_固定地理'!$A$2:$A$501,'04_路径网络'!D82)+COUNTIF('03_地点锚点'!$A$2:$A$501,'04_路径网络'!D82)+COUNTIF('06_建筑锚点'!$A$2:$A$501,'04_路径网络'!D82)=0),"起点引用对象不存在；","")&amp;IF(AND('04_路径网络'!E82&lt;&gt;"",COUNTIF('02_固定地理'!$A$2:$A$501,'04_路径网络'!E82)+COUNTIF('03_地点锚点'!$A$2:$A$501,'04_路径网络'!E82)+COUNTIF('06_建筑锚点'!$A$2:$A$501,'04_路径网络'!E82)=0),"终点引用对象不存在；","")&amp;IF(AND('04_路径网络'!F82&lt;&gt;"",COUNTIF('04_路径网络'!$A$2:$A$501,'04_路径网络'!F82)=0),"父级路径不存在；","")&amp;IF(AND('04_路径网络'!A82&lt;&gt;"",COUNTIF('04_路径网络'!$A$2:$A$501,'04_路径网络'!A82)&gt;1),"ID重复；",""),"")</f>
        <v/>
      </c>
      <c r="G1082" s="14">
        <f>IF(F1082&lt;&gt;"","按字段批注、数据字典和来源记录修正后复核","")</f>
        <v/>
      </c>
      <c r="H1082" s="14">
        <f>IF(F1082&lt;&gt;"","待处理","")</f>
        <v/>
      </c>
    </row>
    <row r="1083">
      <c r="A1083" s="14">
        <f>IF(F1083&lt;&gt;"","ISSUE-"&amp;TEXT(ROW()-1,"00000"),"")</f>
        <v/>
      </c>
      <c r="B1083" s="14">
        <f>IF(F1083&lt;&gt;"","错误","")</f>
        <v/>
      </c>
      <c r="C1083" s="14">
        <f>IF('04_路径网络'!A83&lt;&gt;"","04_路径网络","")</f>
        <v/>
      </c>
      <c r="D1083" s="14">
        <f>IF('04_路径网络'!A83&lt;&gt;"",'04_路径网络'!A83,"")</f>
        <v/>
      </c>
      <c r="E1083" s="14">
        <f>IF(F1083&lt;&gt;"","综合校验","")</f>
        <v/>
      </c>
      <c r="F1083" s="14">
        <f>IF('04_路径网络'!A83&lt;&gt;"",IF('04_路径网络'!A83="","缺少路径ID；","")&amp;IF('04_路径网络'!C83="","缺少路径类型；","")&amp;IF('04_路径网络'!D83="","缺少起点对象ID；","")&amp;IF('04_路径网络'!E83="","缺少终点对象ID；","")&amp;IF(AND('04_路径网络'!D83&lt;&gt;"",'04_路径网络'!D83='04_路径网络'!E83),"起点与终点相同；","")&amp;IF(AND('04_路径网络'!D83&lt;&gt;"",COUNTIF('02_固定地理'!$A$2:$A$501,'04_路径网络'!D83)+COUNTIF('03_地点锚点'!$A$2:$A$501,'04_路径网络'!D83)+COUNTIF('06_建筑锚点'!$A$2:$A$501,'04_路径网络'!D83)=0),"起点引用对象不存在；","")&amp;IF(AND('04_路径网络'!E83&lt;&gt;"",COUNTIF('02_固定地理'!$A$2:$A$501,'04_路径网络'!E83)+COUNTIF('03_地点锚点'!$A$2:$A$501,'04_路径网络'!E83)+COUNTIF('06_建筑锚点'!$A$2:$A$501,'04_路径网络'!E83)=0),"终点引用对象不存在；","")&amp;IF(AND('04_路径网络'!F83&lt;&gt;"",COUNTIF('04_路径网络'!$A$2:$A$501,'04_路径网络'!F83)=0),"父级路径不存在；","")&amp;IF(AND('04_路径网络'!A83&lt;&gt;"",COUNTIF('04_路径网络'!$A$2:$A$501,'04_路径网络'!A83)&gt;1),"ID重复；",""),"")</f>
        <v/>
      </c>
      <c r="G1083" s="14">
        <f>IF(F1083&lt;&gt;"","按字段批注、数据字典和来源记录修正后复核","")</f>
        <v/>
      </c>
      <c r="H1083" s="14">
        <f>IF(F1083&lt;&gt;"","待处理","")</f>
        <v/>
      </c>
    </row>
    <row r="1084">
      <c r="A1084" s="14">
        <f>IF(F1084&lt;&gt;"","ISSUE-"&amp;TEXT(ROW()-1,"00000"),"")</f>
        <v/>
      </c>
      <c r="B1084" s="14">
        <f>IF(F1084&lt;&gt;"","错误","")</f>
        <v/>
      </c>
      <c r="C1084" s="14">
        <f>IF('04_路径网络'!A84&lt;&gt;"","04_路径网络","")</f>
        <v/>
      </c>
      <c r="D1084" s="14">
        <f>IF('04_路径网络'!A84&lt;&gt;"",'04_路径网络'!A84,"")</f>
        <v/>
      </c>
      <c r="E1084" s="14">
        <f>IF(F1084&lt;&gt;"","综合校验","")</f>
        <v/>
      </c>
      <c r="F1084" s="14">
        <f>IF('04_路径网络'!A84&lt;&gt;"",IF('04_路径网络'!A84="","缺少路径ID；","")&amp;IF('04_路径网络'!C84="","缺少路径类型；","")&amp;IF('04_路径网络'!D84="","缺少起点对象ID；","")&amp;IF('04_路径网络'!E84="","缺少终点对象ID；","")&amp;IF(AND('04_路径网络'!D84&lt;&gt;"",'04_路径网络'!D84='04_路径网络'!E84),"起点与终点相同；","")&amp;IF(AND('04_路径网络'!D84&lt;&gt;"",COUNTIF('02_固定地理'!$A$2:$A$501,'04_路径网络'!D84)+COUNTIF('03_地点锚点'!$A$2:$A$501,'04_路径网络'!D84)+COUNTIF('06_建筑锚点'!$A$2:$A$501,'04_路径网络'!D84)=0),"起点引用对象不存在；","")&amp;IF(AND('04_路径网络'!E84&lt;&gt;"",COUNTIF('02_固定地理'!$A$2:$A$501,'04_路径网络'!E84)+COUNTIF('03_地点锚点'!$A$2:$A$501,'04_路径网络'!E84)+COUNTIF('06_建筑锚点'!$A$2:$A$501,'04_路径网络'!E84)=0),"终点引用对象不存在；","")&amp;IF(AND('04_路径网络'!F84&lt;&gt;"",COUNTIF('04_路径网络'!$A$2:$A$501,'04_路径网络'!F84)=0),"父级路径不存在；","")&amp;IF(AND('04_路径网络'!A84&lt;&gt;"",COUNTIF('04_路径网络'!$A$2:$A$501,'04_路径网络'!A84)&gt;1),"ID重复；",""),"")</f>
        <v/>
      </c>
      <c r="G1084" s="14">
        <f>IF(F1084&lt;&gt;"","按字段批注、数据字典和来源记录修正后复核","")</f>
        <v/>
      </c>
      <c r="H1084" s="14">
        <f>IF(F1084&lt;&gt;"","待处理","")</f>
        <v/>
      </c>
    </row>
    <row r="1085">
      <c r="A1085" s="14">
        <f>IF(F1085&lt;&gt;"","ISSUE-"&amp;TEXT(ROW()-1,"00000"),"")</f>
        <v/>
      </c>
      <c r="B1085" s="14">
        <f>IF(F1085&lt;&gt;"","错误","")</f>
        <v/>
      </c>
      <c r="C1085" s="14">
        <f>IF('04_路径网络'!A85&lt;&gt;"","04_路径网络","")</f>
        <v/>
      </c>
      <c r="D1085" s="14">
        <f>IF('04_路径网络'!A85&lt;&gt;"",'04_路径网络'!A85,"")</f>
        <v/>
      </c>
      <c r="E1085" s="14">
        <f>IF(F1085&lt;&gt;"","综合校验","")</f>
        <v/>
      </c>
      <c r="F1085" s="14">
        <f>IF('04_路径网络'!A85&lt;&gt;"",IF('04_路径网络'!A85="","缺少路径ID；","")&amp;IF('04_路径网络'!C85="","缺少路径类型；","")&amp;IF('04_路径网络'!D85="","缺少起点对象ID；","")&amp;IF('04_路径网络'!E85="","缺少终点对象ID；","")&amp;IF(AND('04_路径网络'!D85&lt;&gt;"",'04_路径网络'!D85='04_路径网络'!E85),"起点与终点相同；","")&amp;IF(AND('04_路径网络'!D85&lt;&gt;"",COUNTIF('02_固定地理'!$A$2:$A$501,'04_路径网络'!D85)+COUNTIF('03_地点锚点'!$A$2:$A$501,'04_路径网络'!D85)+COUNTIF('06_建筑锚点'!$A$2:$A$501,'04_路径网络'!D85)=0),"起点引用对象不存在；","")&amp;IF(AND('04_路径网络'!E85&lt;&gt;"",COUNTIF('02_固定地理'!$A$2:$A$501,'04_路径网络'!E85)+COUNTIF('03_地点锚点'!$A$2:$A$501,'04_路径网络'!E85)+COUNTIF('06_建筑锚点'!$A$2:$A$501,'04_路径网络'!E85)=0),"终点引用对象不存在；","")&amp;IF(AND('04_路径网络'!F85&lt;&gt;"",COUNTIF('04_路径网络'!$A$2:$A$501,'04_路径网络'!F85)=0),"父级路径不存在；","")&amp;IF(AND('04_路径网络'!A85&lt;&gt;"",COUNTIF('04_路径网络'!$A$2:$A$501,'04_路径网络'!A85)&gt;1),"ID重复；",""),"")</f>
        <v/>
      </c>
      <c r="G1085" s="14">
        <f>IF(F1085&lt;&gt;"","按字段批注、数据字典和来源记录修正后复核","")</f>
        <v/>
      </c>
      <c r="H1085" s="14">
        <f>IF(F1085&lt;&gt;"","待处理","")</f>
        <v/>
      </c>
    </row>
    <row r="1086">
      <c r="A1086" s="14">
        <f>IF(F1086&lt;&gt;"","ISSUE-"&amp;TEXT(ROW()-1,"00000"),"")</f>
        <v/>
      </c>
      <c r="B1086" s="14">
        <f>IF(F1086&lt;&gt;"","错误","")</f>
        <v/>
      </c>
      <c r="C1086" s="14">
        <f>IF('04_路径网络'!A86&lt;&gt;"","04_路径网络","")</f>
        <v/>
      </c>
      <c r="D1086" s="14">
        <f>IF('04_路径网络'!A86&lt;&gt;"",'04_路径网络'!A86,"")</f>
        <v/>
      </c>
      <c r="E1086" s="14">
        <f>IF(F1086&lt;&gt;"","综合校验","")</f>
        <v/>
      </c>
      <c r="F1086" s="14">
        <f>IF('04_路径网络'!A86&lt;&gt;"",IF('04_路径网络'!A86="","缺少路径ID；","")&amp;IF('04_路径网络'!C86="","缺少路径类型；","")&amp;IF('04_路径网络'!D86="","缺少起点对象ID；","")&amp;IF('04_路径网络'!E86="","缺少终点对象ID；","")&amp;IF(AND('04_路径网络'!D86&lt;&gt;"",'04_路径网络'!D86='04_路径网络'!E86),"起点与终点相同；","")&amp;IF(AND('04_路径网络'!D86&lt;&gt;"",COUNTIF('02_固定地理'!$A$2:$A$501,'04_路径网络'!D86)+COUNTIF('03_地点锚点'!$A$2:$A$501,'04_路径网络'!D86)+COUNTIF('06_建筑锚点'!$A$2:$A$501,'04_路径网络'!D86)=0),"起点引用对象不存在；","")&amp;IF(AND('04_路径网络'!E86&lt;&gt;"",COUNTIF('02_固定地理'!$A$2:$A$501,'04_路径网络'!E86)+COUNTIF('03_地点锚点'!$A$2:$A$501,'04_路径网络'!E86)+COUNTIF('06_建筑锚点'!$A$2:$A$501,'04_路径网络'!E86)=0),"终点引用对象不存在；","")&amp;IF(AND('04_路径网络'!F86&lt;&gt;"",COUNTIF('04_路径网络'!$A$2:$A$501,'04_路径网络'!F86)=0),"父级路径不存在；","")&amp;IF(AND('04_路径网络'!A86&lt;&gt;"",COUNTIF('04_路径网络'!$A$2:$A$501,'04_路径网络'!A86)&gt;1),"ID重复；",""),"")</f>
        <v/>
      </c>
      <c r="G1086" s="14">
        <f>IF(F1086&lt;&gt;"","按字段批注、数据字典和来源记录修正后复核","")</f>
        <v/>
      </c>
      <c r="H1086" s="14">
        <f>IF(F1086&lt;&gt;"","待处理","")</f>
        <v/>
      </c>
    </row>
    <row r="1087">
      <c r="A1087" s="14">
        <f>IF(F1087&lt;&gt;"","ISSUE-"&amp;TEXT(ROW()-1,"00000"),"")</f>
        <v/>
      </c>
      <c r="B1087" s="14">
        <f>IF(F1087&lt;&gt;"","错误","")</f>
        <v/>
      </c>
      <c r="C1087" s="14">
        <f>IF('04_路径网络'!A87&lt;&gt;"","04_路径网络","")</f>
        <v/>
      </c>
      <c r="D1087" s="14">
        <f>IF('04_路径网络'!A87&lt;&gt;"",'04_路径网络'!A87,"")</f>
        <v/>
      </c>
      <c r="E1087" s="14">
        <f>IF(F1087&lt;&gt;"","综合校验","")</f>
        <v/>
      </c>
      <c r="F1087" s="14">
        <f>IF('04_路径网络'!A87&lt;&gt;"",IF('04_路径网络'!A87="","缺少路径ID；","")&amp;IF('04_路径网络'!C87="","缺少路径类型；","")&amp;IF('04_路径网络'!D87="","缺少起点对象ID；","")&amp;IF('04_路径网络'!E87="","缺少终点对象ID；","")&amp;IF(AND('04_路径网络'!D87&lt;&gt;"",'04_路径网络'!D87='04_路径网络'!E87),"起点与终点相同；","")&amp;IF(AND('04_路径网络'!D87&lt;&gt;"",COUNTIF('02_固定地理'!$A$2:$A$501,'04_路径网络'!D87)+COUNTIF('03_地点锚点'!$A$2:$A$501,'04_路径网络'!D87)+COUNTIF('06_建筑锚点'!$A$2:$A$501,'04_路径网络'!D87)=0),"起点引用对象不存在；","")&amp;IF(AND('04_路径网络'!E87&lt;&gt;"",COUNTIF('02_固定地理'!$A$2:$A$501,'04_路径网络'!E87)+COUNTIF('03_地点锚点'!$A$2:$A$501,'04_路径网络'!E87)+COUNTIF('06_建筑锚点'!$A$2:$A$501,'04_路径网络'!E87)=0),"终点引用对象不存在；","")&amp;IF(AND('04_路径网络'!F87&lt;&gt;"",COUNTIF('04_路径网络'!$A$2:$A$501,'04_路径网络'!F87)=0),"父级路径不存在；","")&amp;IF(AND('04_路径网络'!A87&lt;&gt;"",COUNTIF('04_路径网络'!$A$2:$A$501,'04_路径网络'!A87)&gt;1),"ID重复；",""),"")</f>
        <v/>
      </c>
      <c r="G1087" s="14">
        <f>IF(F1087&lt;&gt;"","按字段批注、数据字典和来源记录修正后复核","")</f>
        <v/>
      </c>
      <c r="H1087" s="14">
        <f>IF(F1087&lt;&gt;"","待处理","")</f>
        <v/>
      </c>
    </row>
    <row r="1088">
      <c r="A1088" s="14">
        <f>IF(F1088&lt;&gt;"","ISSUE-"&amp;TEXT(ROW()-1,"00000"),"")</f>
        <v/>
      </c>
      <c r="B1088" s="14">
        <f>IF(F1088&lt;&gt;"","错误","")</f>
        <v/>
      </c>
      <c r="C1088" s="14">
        <f>IF('04_路径网络'!A88&lt;&gt;"","04_路径网络","")</f>
        <v/>
      </c>
      <c r="D1088" s="14">
        <f>IF('04_路径网络'!A88&lt;&gt;"",'04_路径网络'!A88,"")</f>
        <v/>
      </c>
      <c r="E1088" s="14">
        <f>IF(F1088&lt;&gt;"","综合校验","")</f>
        <v/>
      </c>
      <c r="F1088" s="14">
        <f>IF('04_路径网络'!A88&lt;&gt;"",IF('04_路径网络'!A88="","缺少路径ID；","")&amp;IF('04_路径网络'!C88="","缺少路径类型；","")&amp;IF('04_路径网络'!D88="","缺少起点对象ID；","")&amp;IF('04_路径网络'!E88="","缺少终点对象ID；","")&amp;IF(AND('04_路径网络'!D88&lt;&gt;"",'04_路径网络'!D88='04_路径网络'!E88),"起点与终点相同；","")&amp;IF(AND('04_路径网络'!D88&lt;&gt;"",COUNTIF('02_固定地理'!$A$2:$A$501,'04_路径网络'!D88)+COUNTIF('03_地点锚点'!$A$2:$A$501,'04_路径网络'!D88)+COUNTIF('06_建筑锚点'!$A$2:$A$501,'04_路径网络'!D88)=0),"起点引用对象不存在；","")&amp;IF(AND('04_路径网络'!E88&lt;&gt;"",COUNTIF('02_固定地理'!$A$2:$A$501,'04_路径网络'!E88)+COUNTIF('03_地点锚点'!$A$2:$A$501,'04_路径网络'!E88)+COUNTIF('06_建筑锚点'!$A$2:$A$501,'04_路径网络'!E88)=0),"终点引用对象不存在；","")&amp;IF(AND('04_路径网络'!F88&lt;&gt;"",COUNTIF('04_路径网络'!$A$2:$A$501,'04_路径网络'!F88)=0),"父级路径不存在；","")&amp;IF(AND('04_路径网络'!A88&lt;&gt;"",COUNTIF('04_路径网络'!$A$2:$A$501,'04_路径网络'!A88)&gt;1),"ID重复；",""),"")</f>
        <v/>
      </c>
      <c r="G1088" s="14">
        <f>IF(F1088&lt;&gt;"","按字段批注、数据字典和来源记录修正后复核","")</f>
        <v/>
      </c>
      <c r="H1088" s="14">
        <f>IF(F1088&lt;&gt;"","待处理","")</f>
        <v/>
      </c>
    </row>
    <row r="1089">
      <c r="A1089" s="14">
        <f>IF(F1089&lt;&gt;"","ISSUE-"&amp;TEXT(ROW()-1,"00000"),"")</f>
        <v/>
      </c>
      <c r="B1089" s="14">
        <f>IF(F1089&lt;&gt;"","错误","")</f>
        <v/>
      </c>
      <c r="C1089" s="14">
        <f>IF('04_路径网络'!A89&lt;&gt;"","04_路径网络","")</f>
        <v/>
      </c>
      <c r="D1089" s="14">
        <f>IF('04_路径网络'!A89&lt;&gt;"",'04_路径网络'!A89,"")</f>
        <v/>
      </c>
      <c r="E1089" s="14">
        <f>IF(F1089&lt;&gt;"","综合校验","")</f>
        <v/>
      </c>
      <c r="F1089" s="14">
        <f>IF('04_路径网络'!A89&lt;&gt;"",IF('04_路径网络'!A89="","缺少路径ID；","")&amp;IF('04_路径网络'!C89="","缺少路径类型；","")&amp;IF('04_路径网络'!D89="","缺少起点对象ID；","")&amp;IF('04_路径网络'!E89="","缺少终点对象ID；","")&amp;IF(AND('04_路径网络'!D89&lt;&gt;"",'04_路径网络'!D89='04_路径网络'!E89),"起点与终点相同；","")&amp;IF(AND('04_路径网络'!D89&lt;&gt;"",COUNTIF('02_固定地理'!$A$2:$A$501,'04_路径网络'!D89)+COUNTIF('03_地点锚点'!$A$2:$A$501,'04_路径网络'!D89)+COUNTIF('06_建筑锚点'!$A$2:$A$501,'04_路径网络'!D89)=0),"起点引用对象不存在；","")&amp;IF(AND('04_路径网络'!E89&lt;&gt;"",COUNTIF('02_固定地理'!$A$2:$A$501,'04_路径网络'!E89)+COUNTIF('03_地点锚点'!$A$2:$A$501,'04_路径网络'!E89)+COUNTIF('06_建筑锚点'!$A$2:$A$501,'04_路径网络'!E89)=0),"终点引用对象不存在；","")&amp;IF(AND('04_路径网络'!F89&lt;&gt;"",COUNTIF('04_路径网络'!$A$2:$A$501,'04_路径网络'!F89)=0),"父级路径不存在；","")&amp;IF(AND('04_路径网络'!A89&lt;&gt;"",COUNTIF('04_路径网络'!$A$2:$A$501,'04_路径网络'!A89)&gt;1),"ID重复；",""),"")</f>
        <v/>
      </c>
      <c r="G1089" s="14">
        <f>IF(F1089&lt;&gt;"","按字段批注、数据字典和来源记录修正后复核","")</f>
        <v/>
      </c>
      <c r="H1089" s="14">
        <f>IF(F1089&lt;&gt;"","待处理","")</f>
        <v/>
      </c>
    </row>
    <row r="1090">
      <c r="A1090" s="14">
        <f>IF(F1090&lt;&gt;"","ISSUE-"&amp;TEXT(ROW()-1,"00000"),"")</f>
        <v/>
      </c>
      <c r="B1090" s="14">
        <f>IF(F1090&lt;&gt;"","错误","")</f>
        <v/>
      </c>
      <c r="C1090" s="14">
        <f>IF('04_路径网络'!A90&lt;&gt;"","04_路径网络","")</f>
        <v/>
      </c>
      <c r="D1090" s="14">
        <f>IF('04_路径网络'!A90&lt;&gt;"",'04_路径网络'!A90,"")</f>
        <v/>
      </c>
      <c r="E1090" s="14">
        <f>IF(F1090&lt;&gt;"","综合校验","")</f>
        <v/>
      </c>
      <c r="F1090" s="14">
        <f>IF('04_路径网络'!A90&lt;&gt;"",IF('04_路径网络'!A90="","缺少路径ID；","")&amp;IF('04_路径网络'!C90="","缺少路径类型；","")&amp;IF('04_路径网络'!D90="","缺少起点对象ID；","")&amp;IF('04_路径网络'!E90="","缺少终点对象ID；","")&amp;IF(AND('04_路径网络'!D90&lt;&gt;"",'04_路径网络'!D90='04_路径网络'!E90),"起点与终点相同；","")&amp;IF(AND('04_路径网络'!D90&lt;&gt;"",COUNTIF('02_固定地理'!$A$2:$A$501,'04_路径网络'!D90)+COUNTIF('03_地点锚点'!$A$2:$A$501,'04_路径网络'!D90)+COUNTIF('06_建筑锚点'!$A$2:$A$501,'04_路径网络'!D90)=0),"起点引用对象不存在；","")&amp;IF(AND('04_路径网络'!E90&lt;&gt;"",COUNTIF('02_固定地理'!$A$2:$A$501,'04_路径网络'!E90)+COUNTIF('03_地点锚点'!$A$2:$A$501,'04_路径网络'!E90)+COUNTIF('06_建筑锚点'!$A$2:$A$501,'04_路径网络'!E90)=0),"终点引用对象不存在；","")&amp;IF(AND('04_路径网络'!F90&lt;&gt;"",COUNTIF('04_路径网络'!$A$2:$A$501,'04_路径网络'!F90)=0),"父级路径不存在；","")&amp;IF(AND('04_路径网络'!A90&lt;&gt;"",COUNTIF('04_路径网络'!$A$2:$A$501,'04_路径网络'!A90)&gt;1),"ID重复；",""),"")</f>
        <v/>
      </c>
      <c r="G1090" s="14">
        <f>IF(F1090&lt;&gt;"","按字段批注、数据字典和来源记录修正后复核","")</f>
        <v/>
      </c>
      <c r="H1090" s="14">
        <f>IF(F1090&lt;&gt;"","待处理","")</f>
        <v/>
      </c>
    </row>
    <row r="1091">
      <c r="A1091" s="14">
        <f>IF(F1091&lt;&gt;"","ISSUE-"&amp;TEXT(ROW()-1,"00000"),"")</f>
        <v/>
      </c>
      <c r="B1091" s="14">
        <f>IF(F1091&lt;&gt;"","错误","")</f>
        <v/>
      </c>
      <c r="C1091" s="14">
        <f>IF('04_路径网络'!A91&lt;&gt;"","04_路径网络","")</f>
        <v/>
      </c>
      <c r="D1091" s="14">
        <f>IF('04_路径网络'!A91&lt;&gt;"",'04_路径网络'!A91,"")</f>
        <v/>
      </c>
      <c r="E1091" s="14">
        <f>IF(F1091&lt;&gt;"","综合校验","")</f>
        <v/>
      </c>
      <c r="F1091" s="14">
        <f>IF('04_路径网络'!A91&lt;&gt;"",IF('04_路径网络'!A91="","缺少路径ID；","")&amp;IF('04_路径网络'!C91="","缺少路径类型；","")&amp;IF('04_路径网络'!D91="","缺少起点对象ID；","")&amp;IF('04_路径网络'!E91="","缺少终点对象ID；","")&amp;IF(AND('04_路径网络'!D91&lt;&gt;"",'04_路径网络'!D91='04_路径网络'!E91),"起点与终点相同；","")&amp;IF(AND('04_路径网络'!D91&lt;&gt;"",COUNTIF('02_固定地理'!$A$2:$A$501,'04_路径网络'!D91)+COUNTIF('03_地点锚点'!$A$2:$A$501,'04_路径网络'!D91)+COUNTIF('06_建筑锚点'!$A$2:$A$501,'04_路径网络'!D91)=0),"起点引用对象不存在；","")&amp;IF(AND('04_路径网络'!E91&lt;&gt;"",COUNTIF('02_固定地理'!$A$2:$A$501,'04_路径网络'!E91)+COUNTIF('03_地点锚点'!$A$2:$A$501,'04_路径网络'!E91)+COUNTIF('06_建筑锚点'!$A$2:$A$501,'04_路径网络'!E91)=0),"终点引用对象不存在；","")&amp;IF(AND('04_路径网络'!F91&lt;&gt;"",COUNTIF('04_路径网络'!$A$2:$A$501,'04_路径网络'!F91)=0),"父级路径不存在；","")&amp;IF(AND('04_路径网络'!A91&lt;&gt;"",COUNTIF('04_路径网络'!$A$2:$A$501,'04_路径网络'!A91)&gt;1),"ID重复；",""),"")</f>
        <v/>
      </c>
      <c r="G1091" s="14">
        <f>IF(F1091&lt;&gt;"","按字段批注、数据字典和来源记录修正后复核","")</f>
        <v/>
      </c>
      <c r="H1091" s="14">
        <f>IF(F1091&lt;&gt;"","待处理","")</f>
        <v/>
      </c>
    </row>
    <row r="1092">
      <c r="A1092" s="14">
        <f>IF(F1092&lt;&gt;"","ISSUE-"&amp;TEXT(ROW()-1,"00000"),"")</f>
        <v/>
      </c>
      <c r="B1092" s="14">
        <f>IF(F1092&lt;&gt;"","错误","")</f>
        <v/>
      </c>
      <c r="C1092" s="14">
        <f>IF('04_路径网络'!A92&lt;&gt;"","04_路径网络","")</f>
        <v/>
      </c>
      <c r="D1092" s="14">
        <f>IF('04_路径网络'!A92&lt;&gt;"",'04_路径网络'!A92,"")</f>
        <v/>
      </c>
      <c r="E1092" s="14">
        <f>IF(F1092&lt;&gt;"","综合校验","")</f>
        <v/>
      </c>
      <c r="F1092" s="14">
        <f>IF('04_路径网络'!A92&lt;&gt;"",IF('04_路径网络'!A92="","缺少路径ID；","")&amp;IF('04_路径网络'!C92="","缺少路径类型；","")&amp;IF('04_路径网络'!D92="","缺少起点对象ID；","")&amp;IF('04_路径网络'!E92="","缺少终点对象ID；","")&amp;IF(AND('04_路径网络'!D92&lt;&gt;"",'04_路径网络'!D92='04_路径网络'!E92),"起点与终点相同；","")&amp;IF(AND('04_路径网络'!D92&lt;&gt;"",COUNTIF('02_固定地理'!$A$2:$A$501,'04_路径网络'!D92)+COUNTIF('03_地点锚点'!$A$2:$A$501,'04_路径网络'!D92)+COUNTIF('06_建筑锚点'!$A$2:$A$501,'04_路径网络'!D92)=0),"起点引用对象不存在；","")&amp;IF(AND('04_路径网络'!E92&lt;&gt;"",COUNTIF('02_固定地理'!$A$2:$A$501,'04_路径网络'!E92)+COUNTIF('03_地点锚点'!$A$2:$A$501,'04_路径网络'!E92)+COUNTIF('06_建筑锚点'!$A$2:$A$501,'04_路径网络'!E92)=0),"终点引用对象不存在；","")&amp;IF(AND('04_路径网络'!F92&lt;&gt;"",COUNTIF('04_路径网络'!$A$2:$A$501,'04_路径网络'!F92)=0),"父级路径不存在；","")&amp;IF(AND('04_路径网络'!A92&lt;&gt;"",COUNTIF('04_路径网络'!$A$2:$A$501,'04_路径网络'!A92)&gt;1),"ID重复；",""),"")</f>
        <v/>
      </c>
      <c r="G1092" s="14">
        <f>IF(F1092&lt;&gt;"","按字段批注、数据字典和来源记录修正后复核","")</f>
        <v/>
      </c>
      <c r="H1092" s="14">
        <f>IF(F1092&lt;&gt;"","待处理","")</f>
        <v/>
      </c>
    </row>
    <row r="1093">
      <c r="A1093" s="14">
        <f>IF(F1093&lt;&gt;"","ISSUE-"&amp;TEXT(ROW()-1,"00000"),"")</f>
        <v/>
      </c>
      <c r="B1093" s="14">
        <f>IF(F1093&lt;&gt;"","错误","")</f>
        <v/>
      </c>
      <c r="C1093" s="14">
        <f>IF('04_路径网络'!A93&lt;&gt;"","04_路径网络","")</f>
        <v/>
      </c>
      <c r="D1093" s="14">
        <f>IF('04_路径网络'!A93&lt;&gt;"",'04_路径网络'!A93,"")</f>
        <v/>
      </c>
      <c r="E1093" s="14">
        <f>IF(F1093&lt;&gt;"","综合校验","")</f>
        <v/>
      </c>
      <c r="F1093" s="14">
        <f>IF('04_路径网络'!A93&lt;&gt;"",IF('04_路径网络'!A93="","缺少路径ID；","")&amp;IF('04_路径网络'!C93="","缺少路径类型；","")&amp;IF('04_路径网络'!D93="","缺少起点对象ID；","")&amp;IF('04_路径网络'!E93="","缺少终点对象ID；","")&amp;IF(AND('04_路径网络'!D93&lt;&gt;"",'04_路径网络'!D93='04_路径网络'!E93),"起点与终点相同；","")&amp;IF(AND('04_路径网络'!D93&lt;&gt;"",COUNTIF('02_固定地理'!$A$2:$A$501,'04_路径网络'!D93)+COUNTIF('03_地点锚点'!$A$2:$A$501,'04_路径网络'!D93)+COUNTIF('06_建筑锚点'!$A$2:$A$501,'04_路径网络'!D93)=0),"起点引用对象不存在；","")&amp;IF(AND('04_路径网络'!E93&lt;&gt;"",COUNTIF('02_固定地理'!$A$2:$A$501,'04_路径网络'!E93)+COUNTIF('03_地点锚点'!$A$2:$A$501,'04_路径网络'!E93)+COUNTIF('06_建筑锚点'!$A$2:$A$501,'04_路径网络'!E93)=0),"终点引用对象不存在；","")&amp;IF(AND('04_路径网络'!F93&lt;&gt;"",COUNTIF('04_路径网络'!$A$2:$A$501,'04_路径网络'!F93)=0),"父级路径不存在；","")&amp;IF(AND('04_路径网络'!A93&lt;&gt;"",COUNTIF('04_路径网络'!$A$2:$A$501,'04_路径网络'!A93)&gt;1),"ID重复；",""),"")</f>
        <v/>
      </c>
      <c r="G1093" s="14">
        <f>IF(F1093&lt;&gt;"","按字段批注、数据字典和来源记录修正后复核","")</f>
        <v/>
      </c>
      <c r="H1093" s="14">
        <f>IF(F1093&lt;&gt;"","待处理","")</f>
        <v/>
      </c>
    </row>
    <row r="1094">
      <c r="A1094" s="14">
        <f>IF(F1094&lt;&gt;"","ISSUE-"&amp;TEXT(ROW()-1,"00000"),"")</f>
        <v/>
      </c>
      <c r="B1094" s="14">
        <f>IF(F1094&lt;&gt;"","错误","")</f>
        <v/>
      </c>
      <c r="C1094" s="14">
        <f>IF('04_路径网络'!A94&lt;&gt;"","04_路径网络","")</f>
        <v/>
      </c>
      <c r="D1094" s="14">
        <f>IF('04_路径网络'!A94&lt;&gt;"",'04_路径网络'!A94,"")</f>
        <v/>
      </c>
      <c r="E1094" s="14">
        <f>IF(F1094&lt;&gt;"","综合校验","")</f>
        <v/>
      </c>
      <c r="F1094" s="14">
        <f>IF('04_路径网络'!A94&lt;&gt;"",IF('04_路径网络'!A94="","缺少路径ID；","")&amp;IF('04_路径网络'!C94="","缺少路径类型；","")&amp;IF('04_路径网络'!D94="","缺少起点对象ID；","")&amp;IF('04_路径网络'!E94="","缺少终点对象ID；","")&amp;IF(AND('04_路径网络'!D94&lt;&gt;"",'04_路径网络'!D94='04_路径网络'!E94),"起点与终点相同；","")&amp;IF(AND('04_路径网络'!D94&lt;&gt;"",COUNTIF('02_固定地理'!$A$2:$A$501,'04_路径网络'!D94)+COUNTIF('03_地点锚点'!$A$2:$A$501,'04_路径网络'!D94)+COUNTIF('06_建筑锚点'!$A$2:$A$501,'04_路径网络'!D94)=0),"起点引用对象不存在；","")&amp;IF(AND('04_路径网络'!E94&lt;&gt;"",COUNTIF('02_固定地理'!$A$2:$A$501,'04_路径网络'!E94)+COUNTIF('03_地点锚点'!$A$2:$A$501,'04_路径网络'!E94)+COUNTIF('06_建筑锚点'!$A$2:$A$501,'04_路径网络'!E94)=0),"终点引用对象不存在；","")&amp;IF(AND('04_路径网络'!F94&lt;&gt;"",COUNTIF('04_路径网络'!$A$2:$A$501,'04_路径网络'!F94)=0),"父级路径不存在；","")&amp;IF(AND('04_路径网络'!A94&lt;&gt;"",COUNTIF('04_路径网络'!$A$2:$A$501,'04_路径网络'!A94)&gt;1),"ID重复；",""),"")</f>
        <v/>
      </c>
      <c r="G1094" s="14">
        <f>IF(F1094&lt;&gt;"","按字段批注、数据字典和来源记录修正后复核","")</f>
        <v/>
      </c>
      <c r="H1094" s="14">
        <f>IF(F1094&lt;&gt;"","待处理","")</f>
        <v/>
      </c>
    </row>
    <row r="1095">
      <c r="A1095" s="14">
        <f>IF(F1095&lt;&gt;"","ISSUE-"&amp;TEXT(ROW()-1,"00000"),"")</f>
        <v/>
      </c>
      <c r="B1095" s="14">
        <f>IF(F1095&lt;&gt;"","错误","")</f>
        <v/>
      </c>
      <c r="C1095" s="14">
        <f>IF('04_路径网络'!A95&lt;&gt;"","04_路径网络","")</f>
        <v/>
      </c>
      <c r="D1095" s="14">
        <f>IF('04_路径网络'!A95&lt;&gt;"",'04_路径网络'!A95,"")</f>
        <v/>
      </c>
      <c r="E1095" s="14">
        <f>IF(F1095&lt;&gt;"","综合校验","")</f>
        <v/>
      </c>
      <c r="F1095" s="14">
        <f>IF('04_路径网络'!A95&lt;&gt;"",IF('04_路径网络'!A95="","缺少路径ID；","")&amp;IF('04_路径网络'!C95="","缺少路径类型；","")&amp;IF('04_路径网络'!D95="","缺少起点对象ID；","")&amp;IF('04_路径网络'!E95="","缺少终点对象ID；","")&amp;IF(AND('04_路径网络'!D95&lt;&gt;"",'04_路径网络'!D95='04_路径网络'!E95),"起点与终点相同；","")&amp;IF(AND('04_路径网络'!D95&lt;&gt;"",COUNTIF('02_固定地理'!$A$2:$A$501,'04_路径网络'!D95)+COUNTIF('03_地点锚点'!$A$2:$A$501,'04_路径网络'!D95)+COUNTIF('06_建筑锚点'!$A$2:$A$501,'04_路径网络'!D95)=0),"起点引用对象不存在；","")&amp;IF(AND('04_路径网络'!E95&lt;&gt;"",COUNTIF('02_固定地理'!$A$2:$A$501,'04_路径网络'!E95)+COUNTIF('03_地点锚点'!$A$2:$A$501,'04_路径网络'!E95)+COUNTIF('06_建筑锚点'!$A$2:$A$501,'04_路径网络'!E95)=0),"终点引用对象不存在；","")&amp;IF(AND('04_路径网络'!F95&lt;&gt;"",COUNTIF('04_路径网络'!$A$2:$A$501,'04_路径网络'!F95)=0),"父级路径不存在；","")&amp;IF(AND('04_路径网络'!A95&lt;&gt;"",COUNTIF('04_路径网络'!$A$2:$A$501,'04_路径网络'!A95)&gt;1),"ID重复；",""),"")</f>
        <v/>
      </c>
      <c r="G1095" s="14">
        <f>IF(F1095&lt;&gt;"","按字段批注、数据字典和来源记录修正后复核","")</f>
        <v/>
      </c>
      <c r="H1095" s="14">
        <f>IF(F1095&lt;&gt;"","待处理","")</f>
        <v/>
      </c>
    </row>
    <row r="1096">
      <c r="A1096" s="14">
        <f>IF(F1096&lt;&gt;"","ISSUE-"&amp;TEXT(ROW()-1,"00000"),"")</f>
        <v/>
      </c>
      <c r="B1096" s="14">
        <f>IF(F1096&lt;&gt;"","错误","")</f>
        <v/>
      </c>
      <c r="C1096" s="14">
        <f>IF('04_路径网络'!A96&lt;&gt;"","04_路径网络","")</f>
        <v/>
      </c>
      <c r="D1096" s="14">
        <f>IF('04_路径网络'!A96&lt;&gt;"",'04_路径网络'!A96,"")</f>
        <v/>
      </c>
      <c r="E1096" s="14">
        <f>IF(F1096&lt;&gt;"","综合校验","")</f>
        <v/>
      </c>
      <c r="F1096" s="14">
        <f>IF('04_路径网络'!A96&lt;&gt;"",IF('04_路径网络'!A96="","缺少路径ID；","")&amp;IF('04_路径网络'!C96="","缺少路径类型；","")&amp;IF('04_路径网络'!D96="","缺少起点对象ID；","")&amp;IF('04_路径网络'!E96="","缺少终点对象ID；","")&amp;IF(AND('04_路径网络'!D96&lt;&gt;"",'04_路径网络'!D96='04_路径网络'!E96),"起点与终点相同；","")&amp;IF(AND('04_路径网络'!D96&lt;&gt;"",COUNTIF('02_固定地理'!$A$2:$A$501,'04_路径网络'!D96)+COUNTIF('03_地点锚点'!$A$2:$A$501,'04_路径网络'!D96)+COUNTIF('06_建筑锚点'!$A$2:$A$501,'04_路径网络'!D96)=0),"起点引用对象不存在；","")&amp;IF(AND('04_路径网络'!E96&lt;&gt;"",COUNTIF('02_固定地理'!$A$2:$A$501,'04_路径网络'!E96)+COUNTIF('03_地点锚点'!$A$2:$A$501,'04_路径网络'!E96)+COUNTIF('06_建筑锚点'!$A$2:$A$501,'04_路径网络'!E96)=0),"终点引用对象不存在；","")&amp;IF(AND('04_路径网络'!F96&lt;&gt;"",COUNTIF('04_路径网络'!$A$2:$A$501,'04_路径网络'!F96)=0),"父级路径不存在；","")&amp;IF(AND('04_路径网络'!A96&lt;&gt;"",COUNTIF('04_路径网络'!$A$2:$A$501,'04_路径网络'!A96)&gt;1),"ID重复；",""),"")</f>
        <v/>
      </c>
      <c r="G1096" s="14">
        <f>IF(F1096&lt;&gt;"","按字段批注、数据字典和来源记录修正后复核","")</f>
        <v/>
      </c>
      <c r="H1096" s="14">
        <f>IF(F1096&lt;&gt;"","待处理","")</f>
        <v/>
      </c>
    </row>
    <row r="1097">
      <c r="A1097" s="14">
        <f>IF(F1097&lt;&gt;"","ISSUE-"&amp;TEXT(ROW()-1,"00000"),"")</f>
        <v/>
      </c>
      <c r="B1097" s="14">
        <f>IF(F1097&lt;&gt;"","错误","")</f>
        <v/>
      </c>
      <c r="C1097" s="14">
        <f>IF('04_路径网络'!A97&lt;&gt;"","04_路径网络","")</f>
        <v/>
      </c>
      <c r="D1097" s="14">
        <f>IF('04_路径网络'!A97&lt;&gt;"",'04_路径网络'!A97,"")</f>
        <v/>
      </c>
      <c r="E1097" s="14">
        <f>IF(F1097&lt;&gt;"","综合校验","")</f>
        <v/>
      </c>
      <c r="F1097" s="14">
        <f>IF('04_路径网络'!A97&lt;&gt;"",IF('04_路径网络'!A97="","缺少路径ID；","")&amp;IF('04_路径网络'!C97="","缺少路径类型；","")&amp;IF('04_路径网络'!D97="","缺少起点对象ID；","")&amp;IF('04_路径网络'!E97="","缺少终点对象ID；","")&amp;IF(AND('04_路径网络'!D97&lt;&gt;"",'04_路径网络'!D97='04_路径网络'!E97),"起点与终点相同；","")&amp;IF(AND('04_路径网络'!D97&lt;&gt;"",COUNTIF('02_固定地理'!$A$2:$A$501,'04_路径网络'!D97)+COUNTIF('03_地点锚点'!$A$2:$A$501,'04_路径网络'!D97)+COUNTIF('06_建筑锚点'!$A$2:$A$501,'04_路径网络'!D97)=0),"起点引用对象不存在；","")&amp;IF(AND('04_路径网络'!E97&lt;&gt;"",COUNTIF('02_固定地理'!$A$2:$A$501,'04_路径网络'!E97)+COUNTIF('03_地点锚点'!$A$2:$A$501,'04_路径网络'!E97)+COUNTIF('06_建筑锚点'!$A$2:$A$501,'04_路径网络'!E97)=0),"终点引用对象不存在；","")&amp;IF(AND('04_路径网络'!F97&lt;&gt;"",COUNTIF('04_路径网络'!$A$2:$A$501,'04_路径网络'!F97)=0),"父级路径不存在；","")&amp;IF(AND('04_路径网络'!A97&lt;&gt;"",COUNTIF('04_路径网络'!$A$2:$A$501,'04_路径网络'!A97)&gt;1),"ID重复；",""),"")</f>
        <v/>
      </c>
      <c r="G1097" s="14">
        <f>IF(F1097&lt;&gt;"","按字段批注、数据字典和来源记录修正后复核","")</f>
        <v/>
      </c>
      <c r="H1097" s="14">
        <f>IF(F1097&lt;&gt;"","待处理","")</f>
        <v/>
      </c>
    </row>
    <row r="1098">
      <c r="A1098" s="14">
        <f>IF(F1098&lt;&gt;"","ISSUE-"&amp;TEXT(ROW()-1,"00000"),"")</f>
        <v/>
      </c>
      <c r="B1098" s="14">
        <f>IF(F1098&lt;&gt;"","错误","")</f>
        <v/>
      </c>
      <c r="C1098" s="14">
        <f>IF('04_路径网络'!A98&lt;&gt;"","04_路径网络","")</f>
        <v/>
      </c>
      <c r="D1098" s="14">
        <f>IF('04_路径网络'!A98&lt;&gt;"",'04_路径网络'!A98,"")</f>
        <v/>
      </c>
      <c r="E1098" s="14">
        <f>IF(F1098&lt;&gt;"","综合校验","")</f>
        <v/>
      </c>
      <c r="F1098" s="14">
        <f>IF('04_路径网络'!A98&lt;&gt;"",IF('04_路径网络'!A98="","缺少路径ID；","")&amp;IF('04_路径网络'!C98="","缺少路径类型；","")&amp;IF('04_路径网络'!D98="","缺少起点对象ID；","")&amp;IF('04_路径网络'!E98="","缺少终点对象ID；","")&amp;IF(AND('04_路径网络'!D98&lt;&gt;"",'04_路径网络'!D98='04_路径网络'!E98),"起点与终点相同；","")&amp;IF(AND('04_路径网络'!D98&lt;&gt;"",COUNTIF('02_固定地理'!$A$2:$A$501,'04_路径网络'!D98)+COUNTIF('03_地点锚点'!$A$2:$A$501,'04_路径网络'!D98)+COUNTIF('06_建筑锚点'!$A$2:$A$501,'04_路径网络'!D98)=0),"起点引用对象不存在；","")&amp;IF(AND('04_路径网络'!E98&lt;&gt;"",COUNTIF('02_固定地理'!$A$2:$A$501,'04_路径网络'!E98)+COUNTIF('03_地点锚点'!$A$2:$A$501,'04_路径网络'!E98)+COUNTIF('06_建筑锚点'!$A$2:$A$501,'04_路径网络'!E98)=0),"终点引用对象不存在；","")&amp;IF(AND('04_路径网络'!F98&lt;&gt;"",COUNTIF('04_路径网络'!$A$2:$A$501,'04_路径网络'!F98)=0),"父级路径不存在；","")&amp;IF(AND('04_路径网络'!A98&lt;&gt;"",COUNTIF('04_路径网络'!$A$2:$A$501,'04_路径网络'!A98)&gt;1),"ID重复；",""),"")</f>
        <v/>
      </c>
      <c r="G1098" s="14">
        <f>IF(F1098&lt;&gt;"","按字段批注、数据字典和来源记录修正后复核","")</f>
        <v/>
      </c>
      <c r="H1098" s="14">
        <f>IF(F1098&lt;&gt;"","待处理","")</f>
        <v/>
      </c>
    </row>
    <row r="1099">
      <c r="A1099" s="14">
        <f>IF(F1099&lt;&gt;"","ISSUE-"&amp;TEXT(ROW()-1,"00000"),"")</f>
        <v/>
      </c>
      <c r="B1099" s="14">
        <f>IF(F1099&lt;&gt;"","错误","")</f>
        <v/>
      </c>
      <c r="C1099" s="14">
        <f>IF('04_路径网络'!A99&lt;&gt;"","04_路径网络","")</f>
        <v/>
      </c>
      <c r="D1099" s="14">
        <f>IF('04_路径网络'!A99&lt;&gt;"",'04_路径网络'!A99,"")</f>
        <v/>
      </c>
      <c r="E1099" s="14">
        <f>IF(F1099&lt;&gt;"","综合校验","")</f>
        <v/>
      </c>
      <c r="F1099" s="14">
        <f>IF('04_路径网络'!A99&lt;&gt;"",IF('04_路径网络'!A99="","缺少路径ID；","")&amp;IF('04_路径网络'!C99="","缺少路径类型；","")&amp;IF('04_路径网络'!D99="","缺少起点对象ID；","")&amp;IF('04_路径网络'!E99="","缺少终点对象ID；","")&amp;IF(AND('04_路径网络'!D99&lt;&gt;"",'04_路径网络'!D99='04_路径网络'!E99),"起点与终点相同；","")&amp;IF(AND('04_路径网络'!D99&lt;&gt;"",COUNTIF('02_固定地理'!$A$2:$A$501,'04_路径网络'!D99)+COUNTIF('03_地点锚点'!$A$2:$A$501,'04_路径网络'!D99)+COUNTIF('06_建筑锚点'!$A$2:$A$501,'04_路径网络'!D99)=0),"起点引用对象不存在；","")&amp;IF(AND('04_路径网络'!E99&lt;&gt;"",COUNTIF('02_固定地理'!$A$2:$A$501,'04_路径网络'!E99)+COUNTIF('03_地点锚点'!$A$2:$A$501,'04_路径网络'!E99)+COUNTIF('06_建筑锚点'!$A$2:$A$501,'04_路径网络'!E99)=0),"终点引用对象不存在；","")&amp;IF(AND('04_路径网络'!F99&lt;&gt;"",COUNTIF('04_路径网络'!$A$2:$A$501,'04_路径网络'!F99)=0),"父级路径不存在；","")&amp;IF(AND('04_路径网络'!A99&lt;&gt;"",COUNTIF('04_路径网络'!$A$2:$A$501,'04_路径网络'!A99)&gt;1),"ID重复；",""),"")</f>
        <v/>
      </c>
      <c r="G1099" s="14">
        <f>IF(F1099&lt;&gt;"","按字段批注、数据字典和来源记录修正后复核","")</f>
        <v/>
      </c>
      <c r="H1099" s="14">
        <f>IF(F1099&lt;&gt;"","待处理","")</f>
        <v/>
      </c>
    </row>
    <row r="1100">
      <c r="A1100" s="14">
        <f>IF(F1100&lt;&gt;"","ISSUE-"&amp;TEXT(ROW()-1,"00000"),"")</f>
        <v/>
      </c>
      <c r="B1100" s="14">
        <f>IF(F1100&lt;&gt;"","错误","")</f>
        <v/>
      </c>
      <c r="C1100" s="14">
        <f>IF('04_路径网络'!A100&lt;&gt;"","04_路径网络","")</f>
        <v/>
      </c>
      <c r="D1100" s="14">
        <f>IF('04_路径网络'!A100&lt;&gt;"",'04_路径网络'!A100,"")</f>
        <v/>
      </c>
      <c r="E1100" s="14">
        <f>IF(F1100&lt;&gt;"","综合校验","")</f>
        <v/>
      </c>
      <c r="F1100" s="14">
        <f>IF('04_路径网络'!A100&lt;&gt;"",IF('04_路径网络'!A100="","缺少路径ID；","")&amp;IF('04_路径网络'!C100="","缺少路径类型；","")&amp;IF('04_路径网络'!D100="","缺少起点对象ID；","")&amp;IF('04_路径网络'!E100="","缺少终点对象ID；","")&amp;IF(AND('04_路径网络'!D100&lt;&gt;"",'04_路径网络'!D100='04_路径网络'!E100),"起点与终点相同；","")&amp;IF(AND('04_路径网络'!D100&lt;&gt;"",COUNTIF('02_固定地理'!$A$2:$A$501,'04_路径网络'!D100)+COUNTIF('03_地点锚点'!$A$2:$A$501,'04_路径网络'!D100)+COUNTIF('06_建筑锚点'!$A$2:$A$501,'04_路径网络'!D100)=0),"起点引用对象不存在；","")&amp;IF(AND('04_路径网络'!E100&lt;&gt;"",COUNTIF('02_固定地理'!$A$2:$A$501,'04_路径网络'!E100)+COUNTIF('03_地点锚点'!$A$2:$A$501,'04_路径网络'!E100)+COUNTIF('06_建筑锚点'!$A$2:$A$501,'04_路径网络'!E100)=0),"终点引用对象不存在；","")&amp;IF(AND('04_路径网络'!F100&lt;&gt;"",COUNTIF('04_路径网络'!$A$2:$A$501,'04_路径网络'!F100)=0),"父级路径不存在；","")&amp;IF(AND('04_路径网络'!A100&lt;&gt;"",COUNTIF('04_路径网络'!$A$2:$A$501,'04_路径网络'!A100)&gt;1),"ID重复；",""),"")</f>
        <v/>
      </c>
      <c r="G1100" s="14">
        <f>IF(F1100&lt;&gt;"","按字段批注、数据字典和来源记录修正后复核","")</f>
        <v/>
      </c>
      <c r="H1100" s="14">
        <f>IF(F1100&lt;&gt;"","待处理","")</f>
        <v/>
      </c>
    </row>
    <row r="1101">
      <c r="A1101" s="14">
        <f>IF(F1101&lt;&gt;"","ISSUE-"&amp;TEXT(ROW()-1,"00000"),"")</f>
        <v/>
      </c>
      <c r="B1101" s="14">
        <f>IF(F1101&lt;&gt;"","错误","")</f>
        <v/>
      </c>
      <c r="C1101" s="14">
        <f>IF('04_路径网络'!A101&lt;&gt;"","04_路径网络","")</f>
        <v/>
      </c>
      <c r="D1101" s="14">
        <f>IF('04_路径网络'!A101&lt;&gt;"",'04_路径网络'!A101,"")</f>
        <v/>
      </c>
      <c r="E1101" s="14">
        <f>IF(F1101&lt;&gt;"","综合校验","")</f>
        <v/>
      </c>
      <c r="F1101" s="14">
        <f>IF('04_路径网络'!A101&lt;&gt;"",IF('04_路径网络'!A101="","缺少路径ID；","")&amp;IF('04_路径网络'!C101="","缺少路径类型；","")&amp;IF('04_路径网络'!D101="","缺少起点对象ID；","")&amp;IF('04_路径网络'!E101="","缺少终点对象ID；","")&amp;IF(AND('04_路径网络'!D101&lt;&gt;"",'04_路径网络'!D101='04_路径网络'!E101),"起点与终点相同；","")&amp;IF(AND('04_路径网络'!D101&lt;&gt;"",COUNTIF('02_固定地理'!$A$2:$A$501,'04_路径网络'!D101)+COUNTIF('03_地点锚点'!$A$2:$A$501,'04_路径网络'!D101)+COUNTIF('06_建筑锚点'!$A$2:$A$501,'04_路径网络'!D101)=0),"起点引用对象不存在；","")&amp;IF(AND('04_路径网络'!E101&lt;&gt;"",COUNTIF('02_固定地理'!$A$2:$A$501,'04_路径网络'!E101)+COUNTIF('03_地点锚点'!$A$2:$A$501,'04_路径网络'!E101)+COUNTIF('06_建筑锚点'!$A$2:$A$501,'04_路径网络'!E101)=0),"终点引用对象不存在；","")&amp;IF(AND('04_路径网络'!F101&lt;&gt;"",COUNTIF('04_路径网络'!$A$2:$A$501,'04_路径网络'!F101)=0),"父级路径不存在；","")&amp;IF(AND('04_路径网络'!A101&lt;&gt;"",COUNTIF('04_路径网络'!$A$2:$A$501,'04_路径网络'!A101)&gt;1),"ID重复；",""),"")</f>
        <v/>
      </c>
      <c r="G1101" s="14">
        <f>IF(F1101&lt;&gt;"","按字段批注、数据字典和来源记录修正后复核","")</f>
        <v/>
      </c>
      <c r="H1101" s="14">
        <f>IF(F1101&lt;&gt;"","待处理","")</f>
        <v/>
      </c>
    </row>
    <row r="1102">
      <c r="A1102" s="14">
        <f>IF(F1102&lt;&gt;"","ISSUE-"&amp;TEXT(ROW()-1,"00000"),"")</f>
        <v/>
      </c>
      <c r="B1102" s="14">
        <f>IF(F1102&lt;&gt;"","错误","")</f>
        <v/>
      </c>
      <c r="C1102" s="14">
        <f>IF('04_路径网络'!A102&lt;&gt;"","04_路径网络","")</f>
        <v/>
      </c>
      <c r="D1102" s="14">
        <f>IF('04_路径网络'!A102&lt;&gt;"",'04_路径网络'!A102,"")</f>
        <v/>
      </c>
      <c r="E1102" s="14">
        <f>IF(F1102&lt;&gt;"","综合校验","")</f>
        <v/>
      </c>
      <c r="F1102" s="14">
        <f>IF('04_路径网络'!A102&lt;&gt;"",IF('04_路径网络'!A102="","缺少路径ID；","")&amp;IF('04_路径网络'!C102="","缺少路径类型；","")&amp;IF('04_路径网络'!D102="","缺少起点对象ID；","")&amp;IF('04_路径网络'!E102="","缺少终点对象ID；","")&amp;IF(AND('04_路径网络'!D102&lt;&gt;"",'04_路径网络'!D102='04_路径网络'!E102),"起点与终点相同；","")&amp;IF(AND('04_路径网络'!D102&lt;&gt;"",COUNTIF('02_固定地理'!$A$2:$A$501,'04_路径网络'!D102)+COUNTIF('03_地点锚点'!$A$2:$A$501,'04_路径网络'!D102)+COUNTIF('06_建筑锚点'!$A$2:$A$501,'04_路径网络'!D102)=0),"起点引用对象不存在；","")&amp;IF(AND('04_路径网络'!E102&lt;&gt;"",COUNTIF('02_固定地理'!$A$2:$A$501,'04_路径网络'!E102)+COUNTIF('03_地点锚点'!$A$2:$A$501,'04_路径网络'!E102)+COUNTIF('06_建筑锚点'!$A$2:$A$501,'04_路径网络'!E102)=0),"终点引用对象不存在；","")&amp;IF(AND('04_路径网络'!F102&lt;&gt;"",COUNTIF('04_路径网络'!$A$2:$A$501,'04_路径网络'!F102)=0),"父级路径不存在；","")&amp;IF(AND('04_路径网络'!A102&lt;&gt;"",COUNTIF('04_路径网络'!$A$2:$A$501,'04_路径网络'!A102)&gt;1),"ID重复；",""),"")</f>
        <v/>
      </c>
      <c r="G1102" s="14">
        <f>IF(F1102&lt;&gt;"","按字段批注、数据字典和来源记录修正后复核","")</f>
        <v/>
      </c>
      <c r="H1102" s="14">
        <f>IF(F1102&lt;&gt;"","待处理","")</f>
        <v/>
      </c>
    </row>
    <row r="1103">
      <c r="A1103" s="14">
        <f>IF(F1103&lt;&gt;"","ISSUE-"&amp;TEXT(ROW()-1,"00000"),"")</f>
        <v/>
      </c>
      <c r="B1103" s="14">
        <f>IF(F1103&lt;&gt;"","错误","")</f>
        <v/>
      </c>
      <c r="C1103" s="14">
        <f>IF('04_路径网络'!A103&lt;&gt;"","04_路径网络","")</f>
        <v/>
      </c>
      <c r="D1103" s="14">
        <f>IF('04_路径网络'!A103&lt;&gt;"",'04_路径网络'!A103,"")</f>
        <v/>
      </c>
      <c r="E1103" s="14">
        <f>IF(F1103&lt;&gt;"","综合校验","")</f>
        <v/>
      </c>
      <c r="F1103" s="14">
        <f>IF('04_路径网络'!A103&lt;&gt;"",IF('04_路径网络'!A103="","缺少路径ID；","")&amp;IF('04_路径网络'!C103="","缺少路径类型；","")&amp;IF('04_路径网络'!D103="","缺少起点对象ID；","")&amp;IF('04_路径网络'!E103="","缺少终点对象ID；","")&amp;IF(AND('04_路径网络'!D103&lt;&gt;"",'04_路径网络'!D103='04_路径网络'!E103),"起点与终点相同；","")&amp;IF(AND('04_路径网络'!D103&lt;&gt;"",COUNTIF('02_固定地理'!$A$2:$A$501,'04_路径网络'!D103)+COUNTIF('03_地点锚点'!$A$2:$A$501,'04_路径网络'!D103)+COUNTIF('06_建筑锚点'!$A$2:$A$501,'04_路径网络'!D103)=0),"起点引用对象不存在；","")&amp;IF(AND('04_路径网络'!E103&lt;&gt;"",COUNTIF('02_固定地理'!$A$2:$A$501,'04_路径网络'!E103)+COUNTIF('03_地点锚点'!$A$2:$A$501,'04_路径网络'!E103)+COUNTIF('06_建筑锚点'!$A$2:$A$501,'04_路径网络'!E103)=0),"终点引用对象不存在；","")&amp;IF(AND('04_路径网络'!F103&lt;&gt;"",COUNTIF('04_路径网络'!$A$2:$A$501,'04_路径网络'!F103)=0),"父级路径不存在；","")&amp;IF(AND('04_路径网络'!A103&lt;&gt;"",COUNTIF('04_路径网络'!$A$2:$A$501,'04_路径网络'!A103)&gt;1),"ID重复；",""),"")</f>
        <v/>
      </c>
      <c r="G1103" s="14">
        <f>IF(F1103&lt;&gt;"","按字段批注、数据字典和来源记录修正后复核","")</f>
        <v/>
      </c>
      <c r="H1103" s="14">
        <f>IF(F1103&lt;&gt;"","待处理","")</f>
        <v/>
      </c>
    </row>
    <row r="1104">
      <c r="A1104" s="14">
        <f>IF(F1104&lt;&gt;"","ISSUE-"&amp;TEXT(ROW()-1,"00000"),"")</f>
        <v/>
      </c>
      <c r="B1104" s="14">
        <f>IF(F1104&lt;&gt;"","错误","")</f>
        <v/>
      </c>
      <c r="C1104" s="14">
        <f>IF('04_路径网络'!A104&lt;&gt;"","04_路径网络","")</f>
        <v/>
      </c>
      <c r="D1104" s="14">
        <f>IF('04_路径网络'!A104&lt;&gt;"",'04_路径网络'!A104,"")</f>
        <v/>
      </c>
      <c r="E1104" s="14">
        <f>IF(F1104&lt;&gt;"","综合校验","")</f>
        <v/>
      </c>
      <c r="F1104" s="14">
        <f>IF('04_路径网络'!A104&lt;&gt;"",IF('04_路径网络'!A104="","缺少路径ID；","")&amp;IF('04_路径网络'!C104="","缺少路径类型；","")&amp;IF('04_路径网络'!D104="","缺少起点对象ID；","")&amp;IF('04_路径网络'!E104="","缺少终点对象ID；","")&amp;IF(AND('04_路径网络'!D104&lt;&gt;"",'04_路径网络'!D104='04_路径网络'!E104),"起点与终点相同；","")&amp;IF(AND('04_路径网络'!D104&lt;&gt;"",COUNTIF('02_固定地理'!$A$2:$A$501,'04_路径网络'!D104)+COUNTIF('03_地点锚点'!$A$2:$A$501,'04_路径网络'!D104)+COUNTIF('06_建筑锚点'!$A$2:$A$501,'04_路径网络'!D104)=0),"起点引用对象不存在；","")&amp;IF(AND('04_路径网络'!E104&lt;&gt;"",COUNTIF('02_固定地理'!$A$2:$A$501,'04_路径网络'!E104)+COUNTIF('03_地点锚点'!$A$2:$A$501,'04_路径网络'!E104)+COUNTIF('06_建筑锚点'!$A$2:$A$501,'04_路径网络'!E104)=0),"终点引用对象不存在；","")&amp;IF(AND('04_路径网络'!F104&lt;&gt;"",COUNTIF('04_路径网络'!$A$2:$A$501,'04_路径网络'!F104)=0),"父级路径不存在；","")&amp;IF(AND('04_路径网络'!A104&lt;&gt;"",COUNTIF('04_路径网络'!$A$2:$A$501,'04_路径网络'!A104)&gt;1),"ID重复；",""),"")</f>
        <v/>
      </c>
      <c r="G1104" s="14">
        <f>IF(F1104&lt;&gt;"","按字段批注、数据字典和来源记录修正后复核","")</f>
        <v/>
      </c>
      <c r="H1104" s="14">
        <f>IF(F1104&lt;&gt;"","待处理","")</f>
        <v/>
      </c>
    </row>
    <row r="1105">
      <c r="A1105" s="14">
        <f>IF(F1105&lt;&gt;"","ISSUE-"&amp;TEXT(ROW()-1,"00000"),"")</f>
        <v/>
      </c>
      <c r="B1105" s="14">
        <f>IF(F1105&lt;&gt;"","错误","")</f>
        <v/>
      </c>
      <c r="C1105" s="14">
        <f>IF('04_路径网络'!A105&lt;&gt;"","04_路径网络","")</f>
        <v/>
      </c>
      <c r="D1105" s="14">
        <f>IF('04_路径网络'!A105&lt;&gt;"",'04_路径网络'!A105,"")</f>
        <v/>
      </c>
      <c r="E1105" s="14">
        <f>IF(F1105&lt;&gt;"","综合校验","")</f>
        <v/>
      </c>
      <c r="F1105" s="14">
        <f>IF('04_路径网络'!A105&lt;&gt;"",IF('04_路径网络'!A105="","缺少路径ID；","")&amp;IF('04_路径网络'!C105="","缺少路径类型；","")&amp;IF('04_路径网络'!D105="","缺少起点对象ID；","")&amp;IF('04_路径网络'!E105="","缺少终点对象ID；","")&amp;IF(AND('04_路径网络'!D105&lt;&gt;"",'04_路径网络'!D105='04_路径网络'!E105),"起点与终点相同；","")&amp;IF(AND('04_路径网络'!D105&lt;&gt;"",COUNTIF('02_固定地理'!$A$2:$A$501,'04_路径网络'!D105)+COUNTIF('03_地点锚点'!$A$2:$A$501,'04_路径网络'!D105)+COUNTIF('06_建筑锚点'!$A$2:$A$501,'04_路径网络'!D105)=0),"起点引用对象不存在；","")&amp;IF(AND('04_路径网络'!E105&lt;&gt;"",COUNTIF('02_固定地理'!$A$2:$A$501,'04_路径网络'!E105)+COUNTIF('03_地点锚点'!$A$2:$A$501,'04_路径网络'!E105)+COUNTIF('06_建筑锚点'!$A$2:$A$501,'04_路径网络'!E105)=0),"终点引用对象不存在；","")&amp;IF(AND('04_路径网络'!F105&lt;&gt;"",COUNTIF('04_路径网络'!$A$2:$A$501,'04_路径网络'!F105)=0),"父级路径不存在；","")&amp;IF(AND('04_路径网络'!A105&lt;&gt;"",COUNTIF('04_路径网络'!$A$2:$A$501,'04_路径网络'!A105)&gt;1),"ID重复；",""),"")</f>
        <v/>
      </c>
      <c r="G1105" s="14">
        <f>IF(F1105&lt;&gt;"","按字段批注、数据字典和来源记录修正后复核","")</f>
        <v/>
      </c>
      <c r="H1105" s="14">
        <f>IF(F1105&lt;&gt;"","待处理","")</f>
        <v/>
      </c>
    </row>
    <row r="1106">
      <c r="A1106" s="14">
        <f>IF(F1106&lt;&gt;"","ISSUE-"&amp;TEXT(ROW()-1,"00000"),"")</f>
        <v/>
      </c>
      <c r="B1106" s="14">
        <f>IF(F1106&lt;&gt;"","错误","")</f>
        <v/>
      </c>
      <c r="C1106" s="14">
        <f>IF('04_路径网络'!A106&lt;&gt;"","04_路径网络","")</f>
        <v/>
      </c>
      <c r="D1106" s="14">
        <f>IF('04_路径网络'!A106&lt;&gt;"",'04_路径网络'!A106,"")</f>
        <v/>
      </c>
      <c r="E1106" s="14">
        <f>IF(F1106&lt;&gt;"","综合校验","")</f>
        <v/>
      </c>
      <c r="F1106" s="14">
        <f>IF('04_路径网络'!A106&lt;&gt;"",IF('04_路径网络'!A106="","缺少路径ID；","")&amp;IF('04_路径网络'!C106="","缺少路径类型；","")&amp;IF('04_路径网络'!D106="","缺少起点对象ID；","")&amp;IF('04_路径网络'!E106="","缺少终点对象ID；","")&amp;IF(AND('04_路径网络'!D106&lt;&gt;"",'04_路径网络'!D106='04_路径网络'!E106),"起点与终点相同；","")&amp;IF(AND('04_路径网络'!D106&lt;&gt;"",COUNTIF('02_固定地理'!$A$2:$A$501,'04_路径网络'!D106)+COUNTIF('03_地点锚点'!$A$2:$A$501,'04_路径网络'!D106)+COUNTIF('06_建筑锚点'!$A$2:$A$501,'04_路径网络'!D106)=0),"起点引用对象不存在；","")&amp;IF(AND('04_路径网络'!E106&lt;&gt;"",COUNTIF('02_固定地理'!$A$2:$A$501,'04_路径网络'!E106)+COUNTIF('03_地点锚点'!$A$2:$A$501,'04_路径网络'!E106)+COUNTIF('06_建筑锚点'!$A$2:$A$501,'04_路径网络'!E106)=0),"终点引用对象不存在；","")&amp;IF(AND('04_路径网络'!F106&lt;&gt;"",COUNTIF('04_路径网络'!$A$2:$A$501,'04_路径网络'!F106)=0),"父级路径不存在；","")&amp;IF(AND('04_路径网络'!A106&lt;&gt;"",COUNTIF('04_路径网络'!$A$2:$A$501,'04_路径网络'!A106)&gt;1),"ID重复；",""),"")</f>
        <v/>
      </c>
      <c r="G1106" s="14">
        <f>IF(F1106&lt;&gt;"","按字段批注、数据字典和来源记录修正后复核","")</f>
        <v/>
      </c>
      <c r="H1106" s="14">
        <f>IF(F1106&lt;&gt;"","待处理","")</f>
        <v/>
      </c>
    </row>
    <row r="1107">
      <c r="A1107" s="14">
        <f>IF(F1107&lt;&gt;"","ISSUE-"&amp;TEXT(ROW()-1,"00000"),"")</f>
        <v/>
      </c>
      <c r="B1107" s="14">
        <f>IF(F1107&lt;&gt;"","错误","")</f>
        <v/>
      </c>
      <c r="C1107" s="14">
        <f>IF('04_路径网络'!A107&lt;&gt;"","04_路径网络","")</f>
        <v/>
      </c>
      <c r="D1107" s="14">
        <f>IF('04_路径网络'!A107&lt;&gt;"",'04_路径网络'!A107,"")</f>
        <v/>
      </c>
      <c r="E1107" s="14">
        <f>IF(F1107&lt;&gt;"","综合校验","")</f>
        <v/>
      </c>
      <c r="F1107" s="14">
        <f>IF('04_路径网络'!A107&lt;&gt;"",IF('04_路径网络'!A107="","缺少路径ID；","")&amp;IF('04_路径网络'!C107="","缺少路径类型；","")&amp;IF('04_路径网络'!D107="","缺少起点对象ID；","")&amp;IF('04_路径网络'!E107="","缺少终点对象ID；","")&amp;IF(AND('04_路径网络'!D107&lt;&gt;"",'04_路径网络'!D107='04_路径网络'!E107),"起点与终点相同；","")&amp;IF(AND('04_路径网络'!D107&lt;&gt;"",COUNTIF('02_固定地理'!$A$2:$A$501,'04_路径网络'!D107)+COUNTIF('03_地点锚点'!$A$2:$A$501,'04_路径网络'!D107)+COUNTIF('06_建筑锚点'!$A$2:$A$501,'04_路径网络'!D107)=0),"起点引用对象不存在；","")&amp;IF(AND('04_路径网络'!E107&lt;&gt;"",COUNTIF('02_固定地理'!$A$2:$A$501,'04_路径网络'!E107)+COUNTIF('03_地点锚点'!$A$2:$A$501,'04_路径网络'!E107)+COUNTIF('06_建筑锚点'!$A$2:$A$501,'04_路径网络'!E107)=0),"终点引用对象不存在；","")&amp;IF(AND('04_路径网络'!F107&lt;&gt;"",COUNTIF('04_路径网络'!$A$2:$A$501,'04_路径网络'!F107)=0),"父级路径不存在；","")&amp;IF(AND('04_路径网络'!A107&lt;&gt;"",COUNTIF('04_路径网络'!$A$2:$A$501,'04_路径网络'!A107)&gt;1),"ID重复；",""),"")</f>
        <v/>
      </c>
      <c r="G1107" s="14">
        <f>IF(F1107&lt;&gt;"","按字段批注、数据字典和来源记录修正后复核","")</f>
        <v/>
      </c>
      <c r="H1107" s="14">
        <f>IF(F1107&lt;&gt;"","待处理","")</f>
        <v/>
      </c>
    </row>
    <row r="1108">
      <c r="A1108" s="14">
        <f>IF(F1108&lt;&gt;"","ISSUE-"&amp;TEXT(ROW()-1,"00000"),"")</f>
        <v/>
      </c>
      <c r="B1108" s="14">
        <f>IF(F1108&lt;&gt;"","错误","")</f>
        <v/>
      </c>
      <c r="C1108" s="14">
        <f>IF('04_路径网络'!A108&lt;&gt;"","04_路径网络","")</f>
        <v/>
      </c>
      <c r="D1108" s="14">
        <f>IF('04_路径网络'!A108&lt;&gt;"",'04_路径网络'!A108,"")</f>
        <v/>
      </c>
      <c r="E1108" s="14">
        <f>IF(F1108&lt;&gt;"","综合校验","")</f>
        <v/>
      </c>
      <c r="F1108" s="14">
        <f>IF('04_路径网络'!A108&lt;&gt;"",IF('04_路径网络'!A108="","缺少路径ID；","")&amp;IF('04_路径网络'!C108="","缺少路径类型；","")&amp;IF('04_路径网络'!D108="","缺少起点对象ID；","")&amp;IF('04_路径网络'!E108="","缺少终点对象ID；","")&amp;IF(AND('04_路径网络'!D108&lt;&gt;"",'04_路径网络'!D108='04_路径网络'!E108),"起点与终点相同；","")&amp;IF(AND('04_路径网络'!D108&lt;&gt;"",COUNTIF('02_固定地理'!$A$2:$A$501,'04_路径网络'!D108)+COUNTIF('03_地点锚点'!$A$2:$A$501,'04_路径网络'!D108)+COUNTIF('06_建筑锚点'!$A$2:$A$501,'04_路径网络'!D108)=0),"起点引用对象不存在；","")&amp;IF(AND('04_路径网络'!E108&lt;&gt;"",COUNTIF('02_固定地理'!$A$2:$A$501,'04_路径网络'!E108)+COUNTIF('03_地点锚点'!$A$2:$A$501,'04_路径网络'!E108)+COUNTIF('06_建筑锚点'!$A$2:$A$501,'04_路径网络'!E108)=0),"终点引用对象不存在；","")&amp;IF(AND('04_路径网络'!F108&lt;&gt;"",COUNTIF('04_路径网络'!$A$2:$A$501,'04_路径网络'!F108)=0),"父级路径不存在；","")&amp;IF(AND('04_路径网络'!A108&lt;&gt;"",COUNTIF('04_路径网络'!$A$2:$A$501,'04_路径网络'!A108)&gt;1),"ID重复；",""),"")</f>
        <v/>
      </c>
      <c r="G1108" s="14">
        <f>IF(F1108&lt;&gt;"","按字段批注、数据字典和来源记录修正后复核","")</f>
        <v/>
      </c>
      <c r="H1108" s="14">
        <f>IF(F1108&lt;&gt;"","待处理","")</f>
        <v/>
      </c>
    </row>
    <row r="1109">
      <c r="A1109" s="14">
        <f>IF(F1109&lt;&gt;"","ISSUE-"&amp;TEXT(ROW()-1,"00000"),"")</f>
        <v/>
      </c>
      <c r="B1109" s="14">
        <f>IF(F1109&lt;&gt;"","错误","")</f>
        <v/>
      </c>
      <c r="C1109" s="14">
        <f>IF('04_路径网络'!A109&lt;&gt;"","04_路径网络","")</f>
        <v/>
      </c>
      <c r="D1109" s="14">
        <f>IF('04_路径网络'!A109&lt;&gt;"",'04_路径网络'!A109,"")</f>
        <v/>
      </c>
      <c r="E1109" s="14">
        <f>IF(F1109&lt;&gt;"","综合校验","")</f>
        <v/>
      </c>
      <c r="F1109" s="14">
        <f>IF('04_路径网络'!A109&lt;&gt;"",IF('04_路径网络'!A109="","缺少路径ID；","")&amp;IF('04_路径网络'!C109="","缺少路径类型；","")&amp;IF('04_路径网络'!D109="","缺少起点对象ID；","")&amp;IF('04_路径网络'!E109="","缺少终点对象ID；","")&amp;IF(AND('04_路径网络'!D109&lt;&gt;"",'04_路径网络'!D109='04_路径网络'!E109),"起点与终点相同；","")&amp;IF(AND('04_路径网络'!D109&lt;&gt;"",COUNTIF('02_固定地理'!$A$2:$A$501,'04_路径网络'!D109)+COUNTIF('03_地点锚点'!$A$2:$A$501,'04_路径网络'!D109)+COUNTIF('06_建筑锚点'!$A$2:$A$501,'04_路径网络'!D109)=0),"起点引用对象不存在；","")&amp;IF(AND('04_路径网络'!E109&lt;&gt;"",COUNTIF('02_固定地理'!$A$2:$A$501,'04_路径网络'!E109)+COUNTIF('03_地点锚点'!$A$2:$A$501,'04_路径网络'!E109)+COUNTIF('06_建筑锚点'!$A$2:$A$501,'04_路径网络'!E109)=0),"终点引用对象不存在；","")&amp;IF(AND('04_路径网络'!F109&lt;&gt;"",COUNTIF('04_路径网络'!$A$2:$A$501,'04_路径网络'!F109)=0),"父级路径不存在；","")&amp;IF(AND('04_路径网络'!A109&lt;&gt;"",COUNTIF('04_路径网络'!$A$2:$A$501,'04_路径网络'!A109)&gt;1),"ID重复；",""),"")</f>
        <v/>
      </c>
      <c r="G1109" s="14">
        <f>IF(F1109&lt;&gt;"","按字段批注、数据字典和来源记录修正后复核","")</f>
        <v/>
      </c>
      <c r="H1109" s="14">
        <f>IF(F1109&lt;&gt;"","待处理","")</f>
        <v/>
      </c>
    </row>
    <row r="1110">
      <c r="A1110" s="14">
        <f>IF(F1110&lt;&gt;"","ISSUE-"&amp;TEXT(ROW()-1,"00000"),"")</f>
        <v/>
      </c>
      <c r="B1110" s="14">
        <f>IF(F1110&lt;&gt;"","错误","")</f>
        <v/>
      </c>
      <c r="C1110" s="14">
        <f>IF('04_路径网络'!A110&lt;&gt;"","04_路径网络","")</f>
        <v/>
      </c>
      <c r="D1110" s="14">
        <f>IF('04_路径网络'!A110&lt;&gt;"",'04_路径网络'!A110,"")</f>
        <v/>
      </c>
      <c r="E1110" s="14">
        <f>IF(F1110&lt;&gt;"","综合校验","")</f>
        <v/>
      </c>
      <c r="F1110" s="14">
        <f>IF('04_路径网络'!A110&lt;&gt;"",IF('04_路径网络'!A110="","缺少路径ID；","")&amp;IF('04_路径网络'!C110="","缺少路径类型；","")&amp;IF('04_路径网络'!D110="","缺少起点对象ID；","")&amp;IF('04_路径网络'!E110="","缺少终点对象ID；","")&amp;IF(AND('04_路径网络'!D110&lt;&gt;"",'04_路径网络'!D110='04_路径网络'!E110),"起点与终点相同；","")&amp;IF(AND('04_路径网络'!D110&lt;&gt;"",COUNTIF('02_固定地理'!$A$2:$A$501,'04_路径网络'!D110)+COUNTIF('03_地点锚点'!$A$2:$A$501,'04_路径网络'!D110)+COUNTIF('06_建筑锚点'!$A$2:$A$501,'04_路径网络'!D110)=0),"起点引用对象不存在；","")&amp;IF(AND('04_路径网络'!E110&lt;&gt;"",COUNTIF('02_固定地理'!$A$2:$A$501,'04_路径网络'!E110)+COUNTIF('03_地点锚点'!$A$2:$A$501,'04_路径网络'!E110)+COUNTIF('06_建筑锚点'!$A$2:$A$501,'04_路径网络'!E110)=0),"终点引用对象不存在；","")&amp;IF(AND('04_路径网络'!F110&lt;&gt;"",COUNTIF('04_路径网络'!$A$2:$A$501,'04_路径网络'!F110)=0),"父级路径不存在；","")&amp;IF(AND('04_路径网络'!A110&lt;&gt;"",COUNTIF('04_路径网络'!$A$2:$A$501,'04_路径网络'!A110)&gt;1),"ID重复；",""),"")</f>
        <v/>
      </c>
      <c r="G1110" s="14">
        <f>IF(F1110&lt;&gt;"","按字段批注、数据字典和来源记录修正后复核","")</f>
        <v/>
      </c>
      <c r="H1110" s="14">
        <f>IF(F1110&lt;&gt;"","待处理","")</f>
        <v/>
      </c>
    </row>
    <row r="1111">
      <c r="A1111" s="14">
        <f>IF(F1111&lt;&gt;"","ISSUE-"&amp;TEXT(ROW()-1,"00000"),"")</f>
        <v/>
      </c>
      <c r="B1111" s="14">
        <f>IF(F1111&lt;&gt;"","错误","")</f>
        <v/>
      </c>
      <c r="C1111" s="14">
        <f>IF('04_路径网络'!A111&lt;&gt;"","04_路径网络","")</f>
        <v/>
      </c>
      <c r="D1111" s="14">
        <f>IF('04_路径网络'!A111&lt;&gt;"",'04_路径网络'!A111,"")</f>
        <v/>
      </c>
      <c r="E1111" s="14">
        <f>IF(F1111&lt;&gt;"","综合校验","")</f>
        <v/>
      </c>
      <c r="F1111" s="14">
        <f>IF('04_路径网络'!A111&lt;&gt;"",IF('04_路径网络'!A111="","缺少路径ID；","")&amp;IF('04_路径网络'!C111="","缺少路径类型；","")&amp;IF('04_路径网络'!D111="","缺少起点对象ID；","")&amp;IF('04_路径网络'!E111="","缺少终点对象ID；","")&amp;IF(AND('04_路径网络'!D111&lt;&gt;"",'04_路径网络'!D111='04_路径网络'!E111),"起点与终点相同；","")&amp;IF(AND('04_路径网络'!D111&lt;&gt;"",COUNTIF('02_固定地理'!$A$2:$A$501,'04_路径网络'!D111)+COUNTIF('03_地点锚点'!$A$2:$A$501,'04_路径网络'!D111)+COUNTIF('06_建筑锚点'!$A$2:$A$501,'04_路径网络'!D111)=0),"起点引用对象不存在；","")&amp;IF(AND('04_路径网络'!E111&lt;&gt;"",COUNTIF('02_固定地理'!$A$2:$A$501,'04_路径网络'!E111)+COUNTIF('03_地点锚点'!$A$2:$A$501,'04_路径网络'!E111)+COUNTIF('06_建筑锚点'!$A$2:$A$501,'04_路径网络'!E111)=0),"终点引用对象不存在；","")&amp;IF(AND('04_路径网络'!F111&lt;&gt;"",COUNTIF('04_路径网络'!$A$2:$A$501,'04_路径网络'!F111)=0),"父级路径不存在；","")&amp;IF(AND('04_路径网络'!A111&lt;&gt;"",COUNTIF('04_路径网络'!$A$2:$A$501,'04_路径网络'!A111)&gt;1),"ID重复；",""),"")</f>
        <v/>
      </c>
      <c r="G1111" s="14">
        <f>IF(F1111&lt;&gt;"","按字段批注、数据字典和来源记录修正后复核","")</f>
        <v/>
      </c>
      <c r="H1111" s="14">
        <f>IF(F1111&lt;&gt;"","待处理","")</f>
        <v/>
      </c>
    </row>
    <row r="1112">
      <c r="A1112" s="14">
        <f>IF(F1112&lt;&gt;"","ISSUE-"&amp;TEXT(ROW()-1,"00000"),"")</f>
        <v/>
      </c>
      <c r="B1112" s="14">
        <f>IF(F1112&lt;&gt;"","错误","")</f>
        <v/>
      </c>
      <c r="C1112" s="14">
        <f>IF('04_路径网络'!A112&lt;&gt;"","04_路径网络","")</f>
        <v/>
      </c>
      <c r="D1112" s="14">
        <f>IF('04_路径网络'!A112&lt;&gt;"",'04_路径网络'!A112,"")</f>
        <v/>
      </c>
      <c r="E1112" s="14">
        <f>IF(F1112&lt;&gt;"","综合校验","")</f>
        <v/>
      </c>
      <c r="F1112" s="14">
        <f>IF('04_路径网络'!A112&lt;&gt;"",IF('04_路径网络'!A112="","缺少路径ID；","")&amp;IF('04_路径网络'!C112="","缺少路径类型；","")&amp;IF('04_路径网络'!D112="","缺少起点对象ID；","")&amp;IF('04_路径网络'!E112="","缺少终点对象ID；","")&amp;IF(AND('04_路径网络'!D112&lt;&gt;"",'04_路径网络'!D112='04_路径网络'!E112),"起点与终点相同；","")&amp;IF(AND('04_路径网络'!D112&lt;&gt;"",COUNTIF('02_固定地理'!$A$2:$A$501,'04_路径网络'!D112)+COUNTIF('03_地点锚点'!$A$2:$A$501,'04_路径网络'!D112)+COUNTIF('06_建筑锚点'!$A$2:$A$501,'04_路径网络'!D112)=0),"起点引用对象不存在；","")&amp;IF(AND('04_路径网络'!E112&lt;&gt;"",COUNTIF('02_固定地理'!$A$2:$A$501,'04_路径网络'!E112)+COUNTIF('03_地点锚点'!$A$2:$A$501,'04_路径网络'!E112)+COUNTIF('06_建筑锚点'!$A$2:$A$501,'04_路径网络'!E112)=0),"终点引用对象不存在；","")&amp;IF(AND('04_路径网络'!F112&lt;&gt;"",COUNTIF('04_路径网络'!$A$2:$A$501,'04_路径网络'!F112)=0),"父级路径不存在；","")&amp;IF(AND('04_路径网络'!A112&lt;&gt;"",COUNTIF('04_路径网络'!$A$2:$A$501,'04_路径网络'!A112)&gt;1),"ID重复；",""),"")</f>
        <v/>
      </c>
      <c r="G1112" s="14">
        <f>IF(F1112&lt;&gt;"","按字段批注、数据字典和来源记录修正后复核","")</f>
        <v/>
      </c>
      <c r="H1112" s="14">
        <f>IF(F1112&lt;&gt;"","待处理","")</f>
        <v/>
      </c>
    </row>
    <row r="1113">
      <c r="A1113" s="14">
        <f>IF(F1113&lt;&gt;"","ISSUE-"&amp;TEXT(ROW()-1,"00000"),"")</f>
        <v/>
      </c>
      <c r="B1113" s="14">
        <f>IF(F1113&lt;&gt;"","错误","")</f>
        <v/>
      </c>
      <c r="C1113" s="14">
        <f>IF('04_路径网络'!A113&lt;&gt;"","04_路径网络","")</f>
        <v/>
      </c>
      <c r="D1113" s="14">
        <f>IF('04_路径网络'!A113&lt;&gt;"",'04_路径网络'!A113,"")</f>
        <v/>
      </c>
      <c r="E1113" s="14">
        <f>IF(F1113&lt;&gt;"","综合校验","")</f>
        <v/>
      </c>
      <c r="F1113" s="14">
        <f>IF('04_路径网络'!A113&lt;&gt;"",IF('04_路径网络'!A113="","缺少路径ID；","")&amp;IF('04_路径网络'!C113="","缺少路径类型；","")&amp;IF('04_路径网络'!D113="","缺少起点对象ID；","")&amp;IF('04_路径网络'!E113="","缺少终点对象ID；","")&amp;IF(AND('04_路径网络'!D113&lt;&gt;"",'04_路径网络'!D113='04_路径网络'!E113),"起点与终点相同；","")&amp;IF(AND('04_路径网络'!D113&lt;&gt;"",COUNTIF('02_固定地理'!$A$2:$A$501,'04_路径网络'!D113)+COUNTIF('03_地点锚点'!$A$2:$A$501,'04_路径网络'!D113)+COUNTIF('06_建筑锚点'!$A$2:$A$501,'04_路径网络'!D113)=0),"起点引用对象不存在；","")&amp;IF(AND('04_路径网络'!E113&lt;&gt;"",COUNTIF('02_固定地理'!$A$2:$A$501,'04_路径网络'!E113)+COUNTIF('03_地点锚点'!$A$2:$A$501,'04_路径网络'!E113)+COUNTIF('06_建筑锚点'!$A$2:$A$501,'04_路径网络'!E113)=0),"终点引用对象不存在；","")&amp;IF(AND('04_路径网络'!F113&lt;&gt;"",COUNTIF('04_路径网络'!$A$2:$A$501,'04_路径网络'!F113)=0),"父级路径不存在；","")&amp;IF(AND('04_路径网络'!A113&lt;&gt;"",COUNTIF('04_路径网络'!$A$2:$A$501,'04_路径网络'!A113)&gt;1),"ID重复；",""),"")</f>
        <v/>
      </c>
      <c r="G1113" s="14">
        <f>IF(F1113&lt;&gt;"","按字段批注、数据字典和来源记录修正后复核","")</f>
        <v/>
      </c>
      <c r="H1113" s="14">
        <f>IF(F1113&lt;&gt;"","待处理","")</f>
        <v/>
      </c>
    </row>
    <row r="1114">
      <c r="A1114" s="14">
        <f>IF(F1114&lt;&gt;"","ISSUE-"&amp;TEXT(ROW()-1,"00000"),"")</f>
        <v/>
      </c>
      <c r="B1114" s="14">
        <f>IF(F1114&lt;&gt;"","错误","")</f>
        <v/>
      </c>
      <c r="C1114" s="14">
        <f>IF('04_路径网络'!A114&lt;&gt;"","04_路径网络","")</f>
        <v/>
      </c>
      <c r="D1114" s="14">
        <f>IF('04_路径网络'!A114&lt;&gt;"",'04_路径网络'!A114,"")</f>
        <v/>
      </c>
      <c r="E1114" s="14">
        <f>IF(F1114&lt;&gt;"","综合校验","")</f>
        <v/>
      </c>
      <c r="F1114" s="14">
        <f>IF('04_路径网络'!A114&lt;&gt;"",IF('04_路径网络'!A114="","缺少路径ID；","")&amp;IF('04_路径网络'!C114="","缺少路径类型；","")&amp;IF('04_路径网络'!D114="","缺少起点对象ID；","")&amp;IF('04_路径网络'!E114="","缺少终点对象ID；","")&amp;IF(AND('04_路径网络'!D114&lt;&gt;"",'04_路径网络'!D114='04_路径网络'!E114),"起点与终点相同；","")&amp;IF(AND('04_路径网络'!D114&lt;&gt;"",COUNTIF('02_固定地理'!$A$2:$A$501,'04_路径网络'!D114)+COUNTIF('03_地点锚点'!$A$2:$A$501,'04_路径网络'!D114)+COUNTIF('06_建筑锚点'!$A$2:$A$501,'04_路径网络'!D114)=0),"起点引用对象不存在；","")&amp;IF(AND('04_路径网络'!E114&lt;&gt;"",COUNTIF('02_固定地理'!$A$2:$A$501,'04_路径网络'!E114)+COUNTIF('03_地点锚点'!$A$2:$A$501,'04_路径网络'!E114)+COUNTIF('06_建筑锚点'!$A$2:$A$501,'04_路径网络'!E114)=0),"终点引用对象不存在；","")&amp;IF(AND('04_路径网络'!F114&lt;&gt;"",COUNTIF('04_路径网络'!$A$2:$A$501,'04_路径网络'!F114)=0),"父级路径不存在；","")&amp;IF(AND('04_路径网络'!A114&lt;&gt;"",COUNTIF('04_路径网络'!$A$2:$A$501,'04_路径网络'!A114)&gt;1),"ID重复；",""),"")</f>
        <v/>
      </c>
      <c r="G1114" s="14">
        <f>IF(F1114&lt;&gt;"","按字段批注、数据字典和来源记录修正后复核","")</f>
        <v/>
      </c>
      <c r="H1114" s="14">
        <f>IF(F1114&lt;&gt;"","待处理","")</f>
        <v/>
      </c>
    </row>
    <row r="1115">
      <c r="A1115" s="14">
        <f>IF(F1115&lt;&gt;"","ISSUE-"&amp;TEXT(ROW()-1,"00000"),"")</f>
        <v/>
      </c>
      <c r="B1115" s="14">
        <f>IF(F1115&lt;&gt;"","错误","")</f>
        <v/>
      </c>
      <c r="C1115" s="14">
        <f>IF('04_路径网络'!A115&lt;&gt;"","04_路径网络","")</f>
        <v/>
      </c>
      <c r="D1115" s="14">
        <f>IF('04_路径网络'!A115&lt;&gt;"",'04_路径网络'!A115,"")</f>
        <v/>
      </c>
      <c r="E1115" s="14">
        <f>IF(F1115&lt;&gt;"","综合校验","")</f>
        <v/>
      </c>
      <c r="F1115" s="14">
        <f>IF('04_路径网络'!A115&lt;&gt;"",IF('04_路径网络'!A115="","缺少路径ID；","")&amp;IF('04_路径网络'!C115="","缺少路径类型；","")&amp;IF('04_路径网络'!D115="","缺少起点对象ID；","")&amp;IF('04_路径网络'!E115="","缺少终点对象ID；","")&amp;IF(AND('04_路径网络'!D115&lt;&gt;"",'04_路径网络'!D115='04_路径网络'!E115),"起点与终点相同；","")&amp;IF(AND('04_路径网络'!D115&lt;&gt;"",COUNTIF('02_固定地理'!$A$2:$A$501,'04_路径网络'!D115)+COUNTIF('03_地点锚点'!$A$2:$A$501,'04_路径网络'!D115)+COUNTIF('06_建筑锚点'!$A$2:$A$501,'04_路径网络'!D115)=0),"起点引用对象不存在；","")&amp;IF(AND('04_路径网络'!E115&lt;&gt;"",COUNTIF('02_固定地理'!$A$2:$A$501,'04_路径网络'!E115)+COUNTIF('03_地点锚点'!$A$2:$A$501,'04_路径网络'!E115)+COUNTIF('06_建筑锚点'!$A$2:$A$501,'04_路径网络'!E115)=0),"终点引用对象不存在；","")&amp;IF(AND('04_路径网络'!F115&lt;&gt;"",COUNTIF('04_路径网络'!$A$2:$A$501,'04_路径网络'!F115)=0),"父级路径不存在；","")&amp;IF(AND('04_路径网络'!A115&lt;&gt;"",COUNTIF('04_路径网络'!$A$2:$A$501,'04_路径网络'!A115)&gt;1),"ID重复；",""),"")</f>
        <v/>
      </c>
      <c r="G1115" s="14">
        <f>IF(F1115&lt;&gt;"","按字段批注、数据字典和来源记录修正后复核","")</f>
        <v/>
      </c>
      <c r="H1115" s="14">
        <f>IF(F1115&lt;&gt;"","待处理","")</f>
        <v/>
      </c>
    </row>
    <row r="1116">
      <c r="A1116" s="14">
        <f>IF(F1116&lt;&gt;"","ISSUE-"&amp;TEXT(ROW()-1,"00000"),"")</f>
        <v/>
      </c>
      <c r="B1116" s="14">
        <f>IF(F1116&lt;&gt;"","错误","")</f>
        <v/>
      </c>
      <c r="C1116" s="14">
        <f>IF('04_路径网络'!A116&lt;&gt;"","04_路径网络","")</f>
        <v/>
      </c>
      <c r="D1116" s="14">
        <f>IF('04_路径网络'!A116&lt;&gt;"",'04_路径网络'!A116,"")</f>
        <v/>
      </c>
      <c r="E1116" s="14">
        <f>IF(F1116&lt;&gt;"","综合校验","")</f>
        <v/>
      </c>
      <c r="F1116" s="14">
        <f>IF('04_路径网络'!A116&lt;&gt;"",IF('04_路径网络'!A116="","缺少路径ID；","")&amp;IF('04_路径网络'!C116="","缺少路径类型；","")&amp;IF('04_路径网络'!D116="","缺少起点对象ID；","")&amp;IF('04_路径网络'!E116="","缺少终点对象ID；","")&amp;IF(AND('04_路径网络'!D116&lt;&gt;"",'04_路径网络'!D116='04_路径网络'!E116),"起点与终点相同；","")&amp;IF(AND('04_路径网络'!D116&lt;&gt;"",COUNTIF('02_固定地理'!$A$2:$A$501,'04_路径网络'!D116)+COUNTIF('03_地点锚点'!$A$2:$A$501,'04_路径网络'!D116)+COUNTIF('06_建筑锚点'!$A$2:$A$501,'04_路径网络'!D116)=0),"起点引用对象不存在；","")&amp;IF(AND('04_路径网络'!E116&lt;&gt;"",COUNTIF('02_固定地理'!$A$2:$A$501,'04_路径网络'!E116)+COUNTIF('03_地点锚点'!$A$2:$A$501,'04_路径网络'!E116)+COUNTIF('06_建筑锚点'!$A$2:$A$501,'04_路径网络'!E116)=0),"终点引用对象不存在；","")&amp;IF(AND('04_路径网络'!F116&lt;&gt;"",COUNTIF('04_路径网络'!$A$2:$A$501,'04_路径网络'!F116)=0),"父级路径不存在；","")&amp;IF(AND('04_路径网络'!A116&lt;&gt;"",COUNTIF('04_路径网络'!$A$2:$A$501,'04_路径网络'!A116)&gt;1),"ID重复；",""),"")</f>
        <v/>
      </c>
      <c r="G1116" s="14">
        <f>IF(F1116&lt;&gt;"","按字段批注、数据字典和来源记录修正后复核","")</f>
        <v/>
      </c>
      <c r="H1116" s="14">
        <f>IF(F1116&lt;&gt;"","待处理","")</f>
        <v/>
      </c>
    </row>
    <row r="1117">
      <c r="A1117" s="14">
        <f>IF(F1117&lt;&gt;"","ISSUE-"&amp;TEXT(ROW()-1,"00000"),"")</f>
        <v/>
      </c>
      <c r="B1117" s="14">
        <f>IF(F1117&lt;&gt;"","错误","")</f>
        <v/>
      </c>
      <c r="C1117" s="14">
        <f>IF('04_路径网络'!A117&lt;&gt;"","04_路径网络","")</f>
        <v/>
      </c>
      <c r="D1117" s="14">
        <f>IF('04_路径网络'!A117&lt;&gt;"",'04_路径网络'!A117,"")</f>
        <v/>
      </c>
      <c r="E1117" s="14">
        <f>IF(F1117&lt;&gt;"","综合校验","")</f>
        <v/>
      </c>
      <c r="F1117" s="14">
        <f>IF('04_路径网络'!A117&lt;&gt;"",IF('04_路径网络'!A117="","缺少路径ID；","")&amp;IF('04_路径网络'!C117="","缺少路径类型；","")&amp;IF('04_路径网络'!D117="","缺少起点对象ID；","")&amp;IF('04_路径网络'!E117="","缺少终点对象ID；","")&amp;IF(AND('04_路径网络'!D117&lt;&gt;"",'04_路径网络'!D117='04_路径网络'!E117),"起点与终点相同；","")&amp;IF(AND('04_路径网络'!D117&lt;&gt;"",COUNTIF('02_固定地理'!$A$2:$A$501,'04_路径网络'!D117)+COUNTIF('03_地点锚点'!$A$2:$A$501,'04_路径网络'!D117)+COUNTIF('06_建筑锚点'!$A$2:$A$501,'04_路径网络'!D117)=0),"起点引用对象不存在；","")&amp;IF(AND('04_路径网络'!E117&lt;&gt;"",COUNTIF('02_固定地理'!$A$2:$A$501,'04_路径网络'!E117)+COUNTIF('03_地点锚点'!$A$2:$A$501,'04_路径网络'!E117)+COUNTIF('06_建筑锚点'!$A$2:$A$501,'04_路径网络'!E117)=0),"终点引用对象不存在；","")&amp;IF(AND('04_路径网络'!F117&lt;&gt;"",COUNTIF('04_路径网络'!$A$2:$A$501,'04_路径网络'!F117)=0),"父级路径不存在；","")&amp;IF(AND('04_路径网络'!A117&lt;&gt;"",COUNTIF('04_路径网络'!$A$2:$A$501,'04_路径网络'!A117)&gt;1),"ID重复；",""),"")</f>
        <v/>
      </c>
      <c r="G1117" s="14">
        <f>IF(F1117&lt;&gt;"","按字段批注、数据字典和来源记录修正后复核","")</f>
        <v/>
      </c>
      <c r="H1117" s="14">
        <f>IF(F1117&lt;&gt;"","待处理","")</f>
        <v/>
      </c>
    </row>
    <row r="1118">
      <c r="A1118" s="14">
        <f>IF(F1118&lt;&gt;"","ISSUE-"&amp;TEXT(ROW()-1,"00000"),"")</f>
        <v/>
      </c>
      <c r="B1118" s="14">
        <f>IF(F1118&lt;&gt;"","错误","")</f>
        <v/>
      </c>
      <c r="C1118" s="14">
        <f>IF('04_路径网络'!A118&lt;&gt;"","04_路径网络","")</f>
        <v/>
      </c>
      <c r="D1118" s="14">
        <f>IF('04_路径网络'!A118&lt;&gt;"",'04_路径网络'!A118,"")</f>
        <v/>
      </c>
      <c r="E1118" s="14">
        <f>IF(F1118&lt;&gt;"","综合校验","")</f>
        <v/>
      </c>
      <c r="F1118" s="14">
        <f>IF('04_路径网络'!A118&lt;&gt;"",IF('04_路径网络'!A118="","缺少路径ID；","")&amp;IF('04_路径网络'!C118="","缺少路径类型；","")&amp;IF('04_路径网络'!D118="","缺少起点对象ID；","")&amp;IF('04_路径网络'!E118="","缺少终点对象ID；","")&amp;IF(AND('04_路径网络'!D118&lt;&gt;"",'04_路径网络'!D118='04_路径网络'!E118),"起点与终点相同；","")&amp;IF(AND('04_路径网络'!D118&lt;&gt;"",COUNTIF('02_固定地理'!$A$2:$A$501,'04_路径网络'!D118)+COUNTIF('03_地点锚点'!$A$2:$A$501,'04_路径网络'!D118)+COUNTIF('06_建筑锚点'!$A$2:$A$501,'04_路径网络'!D118)=0),"起点引用对象不存在；","")&amp;IF(AND('04_路径网络'!E118&lt;&gt;"",COUNTIF('02_固定地理'!$A$2:$A$501,'04_路径网络'!E118)+COUNTIF('03_地点锚点'!$A$2:$A$501,'04_路径网络'!E118)+COUNTIF('06_建筑锚点'!$A$2:$A$501,'04_路径网络'!E118)=0),"终点引用对象不存在；","")&amp;IF(AND('04_路径网络'!F118&lt;&gt;"",COUNTIF('04_路径网络'!$A$2:$A$501,'04_路径网络'!F118)=0),"父级路径不存在；","")&amp;IF(AND('04_路径网络'!A118&lt;&gt;"",COUNTIF('04_路径网络'!$A$2:$A$501,'04_路径网络'!A118)&gt;1),"ID重复；",""),"")</f>
        <v/>
      </c>
      <c r="G1118" s="14">
        <f>IF(F1118&lt;&gt;"","按字段批注、数据字典和来源记录修正后复核","")</f>
        <v/>
      </c>
      <c r="H1118" s="14">
        <f>IF(F1118&lt;&gt;"","待处理","")</f>
        <v/>
      </c>
    </row>
    <row r="1119">
      <c r="A1119" s="14">
        <f>IF(F1119&lt;&gt;"","ISSUE-"&amp;TEXT(ROW()-1,"00000"),"")</f>
        <v/>
      </c>
      <c r="B1119" s="14">
        <f>IF(F1119&lt;&gt;"","错误","")</f>
        <v/>
      </c>
      <c r="C1119" s="14">
        <f>IF('04_路径网络'!A119&lt;&gt;"","04_路径网络","")</f>
        <v/>
      </c>
      <c r="D1119" s="14">
        <f>IF('04_路径网络'!A119&lt;&gt;"",'04_路径网络'!A119,"")</f>
        <v/>
      </c>
      <c r="E1119" s="14">
        <f>IF(F1119&lt;&gt;"","综合校验","")</f>
        <v/>
      </c>
      <c r="F1119" s="14">
        <f>IF('04_路径网络'!A119&lt;&gt;"",IF('04_路径网络'!A119="","缺少路径ID；","")&amp;IF('04_路径网络'!C119="","缺少路径类型；","")&amp;IF('04_路径网络'!D119="","缺少起点对象ID；","")&amp;IF('04_路径网络'!E119="","缺少终点对象ID；","")&amp;IF(AND('04_路径网络'!D119&lt;&gt;"",'04_路径网络'!D119='04_路径网络'!E119),"起点与终点相同；","")&amp;IF(AND('04_路径网络'!D119&lt;&gt;"",COUNTIF('02_固定地理'!$A$2:$A$501,'04_路径网络'!D119)+COUNTIF('03_地点锚点'!$A$2:$A$501,'04_路径网络'!D119)+COUNTIF('06_建筑锚点'!$A$2:$A$501,'04_路径网络'!D119)=0),"起点引用对象不存在；","")&amp;IF(AND('04_路径网络'!E119&lt;&gt;"",COUNTIF('02_固定地理'!$A$2:$A$501,'04_路径网络'!E119)+COUNTIF('03_地点锚点'!$A$2:$A$501,'04_路径网络'!E119)+COUNTIF('06_建筑锚点'!$A$2:$A$501,'04_路径网络'!E119)=0),"终点引用对象不存在；","")&amp;IF(AND('04_路径网络'!F119&lt;&gt;"",COUNTIF('04_路径网络'!$A$2:$A$501,'04_路径网络'!F119)=0),"父级路径不存在；","")&amp;IF(AND('04_路径网络'!A119&lt;&gt;"",COUNTIF('04_路径网络'!$A$2:$A$501,'04_路径网络'!A119)&gt;1),"ID重复；",""),"")</f>
        <v/>
      </c>
      <c r="G1119" s="14">
        <f>IF(F1119&lt;&gt;"","按字段批注、数据字典和来源记录修正后复核","")</f>
        <v/>
      </c>
      <c r="H1119" s="14">
        <f>IF(F1119&lt;&gt;"","待处理","")</f>
        <v/>
      </c>
    </row>
    <row r="1120">
      <c r="A1120" s="14">
        <f>IF(F1120&lt;&gt;"","ISSUE-"&amp;TEXT(ROW()-1,"00000"),"")</f>
        <v/>
      </c>
      <c r="B1120" s="14">
        <f>IF(F1120&lt;&gt;"","错误","")</f>
        <v/>
      </c>
      <c r="C1120" s="14">
        <f>IF('04_路径网络'!A120&lt;&gt;"","04_路径网络","")</f>
        <v/>
      </c>
      <c r="D1120" s="14">
        <f>IF('04_路径网络'!A120&lt;&gt;"",'04_路径网络'!A120,"")</f>
        <v/>
      </c>
      <c r="E1120" s="14">
        <f>IF(F1120&lt;&gt;"","综合校验","")</f>
        <v/>
      </c>
      <c r="F1120" s="14">
        <f>IF('04_路径网络'!A120&lt;&gt;"",IF('04_路径网络'!A120="","缺少路径ID；","")&amp;IF('04_路径网络'!C120="","缺少路径类型；","")&amp;IF('04_路径网络'!D120="","缺少起点对象ID；","")&amp;IF('04_路径网络'!E120="","缺少终点对象ID；","")&amp;IF(AND('04_路径网络'!D120&lt;&gt;"",'04_路径网络'!D120='04_路径网络'!E120),"起点与终点相同；","")&amp;IF(AND('04_路径网络'!D120&lt;&gt;"",COUNTIF('02_固定地理'!$A$2:$A$501,'04_路径网络'!D120)+COUNTIF('03_地点锚点'!$A$2:$A$501,'04_路径网络'!D120)+COUNTIF('06_建筑锚点'!$A$2:$A$501,'04_路径网络'!D120)=0),"起点引用对象不存在；","")&amp;IF(AND('04_路径网络'!E120&lt;&gt;"",COUNTIF('02_固定地理'!$A$2:$A$501,'04_路径网络'!E120)+COUNTIF('03_地点锚点'!$A$2:$A$501,'04_路径网络'!E120)+COUNTIF('06_建筑锚点'!$A$2:$A$501,'04_路径网络'!E120)=0),"终点引用对象不存在；","")&amp;IF(AND('04_路径网络'!F120&lt;&gt;"",COUNTIF('04_路径网络'!$A$2:$A$501,'04_路径网络'!F120)=0),"父级路径不存在；","")&amp;IF(AND('04_路径网络'!A120&lt;&gt;"",COUNTIF('04_路径网络'!$A$2:$A$501,'04_路径网络'!A120)&gt;1),"ID重复；",""),"")</f>
        <v/>
      </c>
      <c r="G1120" s="14">
        <f>IF(F1120&lt;&gt;"","按字段批注、数据字典和来源记录修正后复核","")</f>
        <v/>
      </c>
      <c r="H1120" s="14">
        <f>IF(F1120&lt;&gt;"","待处理","")</f>
        <v/>
      </c>
    </row>
    <row r="1121">
      <c r="A1121" s="14">
        <f>IF(F1121&lt;&gt;"","ISSUE-"&amp;TEXT(ROW()-1,"00000"),"")</f>
        <v/>
      </c>
      <c r="B1121" s="14">
        <f>IF(F1121&lt;&gt;"","错误","")</f>
        <v/>
      </c>
      <c r="C1121" s="14">
        <f>IF('04_路径网络'!A121&lt;&gt;"","04_路径网络","")</f>
        <v/>
      </c>
      <c r="D1121" s="14">
        <f>IF('04_路径网络'!A121&lt;&gt;"",'04_路径网络'!A121,"")</f>
        <v/>
      </c>
      <c r="E1121" s="14">
        <f>IF(F1121&lt;&gt;"","综合校验","")</f>
        <v/>
      </c>
      <c r="F1121" s="14">
        <f>IF('04_路径网络'!A121&lt;&gt;"",IF('04_路径网络'!A121="","缺少路径ID；","")&amp;IF('04_路径网络'!C121="","缺少路径类型；","")&amp;IF('04_路径网络'!D121="","缺少起点对象ID；","")&amp;IF('04_路径网络'!E121="","缺少终点对象ID；","")&amp;IF(AND('04_路径网络'!D121&lt;&gt;"",'04_路径网络'!D121='04_路径网络'!E121),"起点与终点相同；","")&amp;IF(AND('04_路径网络'!D121&lt;&gt;"",COUNTIF('02_固定地理'!$A$2:$A$501,'04_路径网络'!D121)+COUNTIF('03_地点锚点'!$A$2:$A$501,'04_路径网络'!D121)+COUNTIF('06_建筑锚点'!$A$2:$A$501,'04_路径网络'!D121)=0),"起点引用对象不存在；","")&amp;IF(AND('04_路径网络'!E121&lt;&gt;"",COUNTIF('02_固定地理'!$A$2:$A$501,'04_路径网络'!E121)+COUNTIF('03_地点锚点'!$A$2:$A$501,'04_路径网络'!E121)+COUNTIF('06_建筑锚点'!$A$2:$A$501,'04_路径网络'!E121)=0),"终点引用对象不存在；","")&amp;IF(AND('04_路径网络'!F121&lt;&gt;"",COUNTIF('04_路径网络'!$A$2:$A$501,'04_路径网络'!F121)=0),"父级路径不存在；","")&amp;IF(AND('04_路径网络'!A121&lt;&gt;"",COUNTIF('04_路径网络'!$A$2:$A$501,'04_路径网络'!A121)&gt;1),"ID重复；",""),"")</f>
        <v/>
      </c>
      <c r="G1121" s="14">
        <f>IF(F1121&lt;&gt;"","按字段批注、数据字典和来源记录修正后复核","")</f>
        <v/>
      </c>
      <c r="H1121" s="14">
        <f>IF(F1121&lt;&gt;"","待处理","")</f>
        <v/>
      </c>
    </row>
    <row r="1122">
      <c r="A1122" s="14">
        <f>IF(F1122&lt;&gt;"","ISSUE-"&amp;TEXT(ROW()-1,"00000"),"")</f>
        <v/>
      </c>
      <c r="B1122" s="14">
        <f>IF(F1122&lt;&gt;"","错误","")</f>
        <v/>
      </c>
      <c r="C1122" s="14">
        <f>IF('04_路径网络'!A122&lt;&gt;"","04_路径网络","")</f>
        <v/>
      </c>
      <c r="D1122" s="14">
        <f>IF('04_路径网络'!A122&lt;&gt;"",'04_路径网络'!A122,"")</f>
        <v/>
      </c>
      <c r="E1122" s="14">
        <f>IF(F1122&lt;&gt;"","综合校验","")</f>
        <v/>
      </c>
      <c r="F1122" s="14">
        <f>IF('04_路径网络'!A122&lt;&gt;"",IF('04_路径网络'!A122="","缺少路径ID；","")&amp;IF('04_路径网络'!C122="","缺少路径类型；","")&amp;IF('04_路径网络'!D122="","缺少起点对象ID；","")&amp;IF('04_路径网络'!E122="","缺少终点对象ID；","")&amp;IF(AND('04_路径网络'!D122&lt;&gt;"",'04_路径网络'!D122='04_路径网络'!E122),"起点与终点相同；","")&amp;IF(AND('04_路径网络'!D122&lt;&gt;"",COUNTIF('02_固定地理'!$A$2:$A$501,'04_路径网络'!D122)+COUNTIF('03_地点锚点'!$A$2:$A$501,'04_路径网络'!D122)+COUNTIF('06_建筑锚点'!$A$2:$A$501,'04_路径网络'!D122)=0),"起点引用对象不存在；","")&amp;IF(AND('04_路径网络'!E122&lt;&gt;"",COUNTIF('02_固定地理'!$A$2:$A$501,'04_路径网络'!E122)+COUNTIF('03_地点锚点'!$A$2:$A$501,'04_路径网络'!E122)+COUNTIF('06_建筑锚点'!$A$2:$A$501,'04_路径网络'!E122)=0),"终点引用对象不存在；","")&amp;IF(AND('04_路径网络'!F122&lt;&gt;"",COUNTIF('04_路径网络'!$A$2:$A$501,'04_路径网络'!F122)=0),"父级路径不存在；","")&amp;IF(AND('04_路径网络'!A122&lt;&gt;"",COUNTIF('04_路径网络'!$A$2:$A$501,'04_路径网络'!A122)&gt;1),"ID重复；",""),"")</f>
        <v/>
      </c>
      <c r="G1122" s="14">
        <f>IF(F1122&lt;&gt;"","按字段批注、数据字典和来源记录修正后复核","")</f>
        <v/>
      </c>
      <c r="H1122" s="14">
        <f>IF(F1122&lt;&gt;"","待处理","")</f>
        <v/>
      </c>
    </row>
    <row r="1123">
      <c r="A1123" s="14">
        <f>IF(F1123&lt;&gt;"","ISSUE-"&amp;TEXT(ROW()-1,"00000"),"")</f>
        <v/>
      </c>
      <c r="B1123" s="14">
        <f>IF(F1123&lt;&gt;"","错误","")</f>
        <v/>
      </c>
      <c r="C1123" s="14">
        <f>IF('04_路径网络'!A123&lt;&gt;"","04_路径网络","")</f>
        <v/>
      </c>
      <c r="D1123" s="14">
        <f>IF('04_路径网络'!A123&lt;&gt;"",'04_路径网络'!A123,"")</f>
        <v/>
      </c>
      <c r="E1123" s="14">
        <f>IF(F1123&lt;&gt;"","综合校验","")</f>
        <v/>
      </c>
      <c r="F1123" s="14">
        <f>IF('04_路径网络'!A123&lt;&gt;"",IF('04_路径网络'!A123="","缺少路径ID；","")&amp;IF('04_路径网络'!C123="","缺少路径类型；","")&amp;IF('04_路径网络'!D123="","缺少起点对象ID；","")&amp;IF('04_路径网络'!E123="","缺少终点对象ID；","")&amp;IF(AND('04_路径网络'!D123&lt;&gt;"",'04_路径网络'!D123='04_路径网络'!E123),"起点与终点相同；","")&amp;IF(AND('04_路径网络'!D123&lt;&gt;"",COUNTIF('02_固定地理'!$A$2:$A$501,'04_路径网络'!D123)+COUNTIF('03_地点锚点'!$A$2:$A$501,'04_路径网络'!D123)+COUNTIF('06_建筑锚点'!$A$2:$A$501,'04_路径网络'!D123)=0),"起点引用对象不存在；","")&amp;IF(AND('04_路径网络'!E123&lt;&gt;"",COUNTIF('02_固定地理'!$A$2:$A$501,'04_路径网络'!E123)+COUNTIF('03_地点锚点'!$A$2:$A$501,'04_路径网络'!E123)+COUNTIF('06_建筑锚点'!$A$2:$A$501,'04_路径网络'!E123)=0),"终点引用对象不存在；","")&amp;IF(AND('04_路径网络'!F123&lt;&gt;"",COUNTIF('04_路径网络'!$A$2:$A$501,'04_路径网络'!F123)=0),"父级路径不存在；","")&amp;IF(AND('04_路径网络'!A123&lt;&gt;"",COUNTIF('04_路径网络'!$A$2:$A$501,'04_路径网络'!A123)&gt;1),"ID重复；",""),"")</f>
        <v/>
      </c>
      <c r="G1123" s="14">
        <f>IF(F1123&lt;&gt;"","按字段批注、数据字典和来源记录修正后复核","")</f>
        <v/>
      </c>
      <c r="H1123" s="14">
        <f>IF(F1123&lt;&gt;"","待处理","")</f>
        <v/>
      </c>
    </row>
    <row r="1124">
      <c r="A1124" s="14">
        <f>IF(F1124&lt;&gt;"","ISSUE-"&amp;TEXT(ROW()-1,"00000"),"")</f>
        <v/>
      </c>
      <c r="B1124" s="14">
        <f>IF(F1124&lt;&gt;"","错误","")</f>
        <v/>
      </c>
      <c r="C1124" s="14">
        <f>IF('04_路径网络'!A124&lt;&gt;"","04_路径网络","")</f>
        <v/>
      </c>
      <c r="D1124" s="14">
        <f>IF('04_路径网络'!A124&lt;&gt;"",'04_路径网络'!A124,"")</f>
        <v/>
      </c>
      <c r="E1124" s="14">
        <f>IF(F1124&lt;&gt;"","综合校验","")</f>
        <v/>
      </c>
      <c r="F1124" s="14">
        <f>IF('04_路径网络'!A124&lt;&gt;"",IF('04_路径网络'!A124="","缺少路径ID；","")&amp;IF('04_路径网络'!C124="","缺少路径类型；","")&amp;IF('04_路径网络'!D124="","缺少起点对象ID；","")&amp;IF('04_路径网络'!E124="","缺少终点对象ID；","")&amp;IF(AND('04_路径网络'!D124&lt;&gt;"",'04_路径网络'!D124='04_路径网络'!E124),"起点与终点相同；","")&amp;IF(AND('04_路径网络'!D124&lt;&gt;"",COUNTIF('02_固定地理'!$A$2:$A$501,'04_路径网络'!D124)+COUNTIF('03_地点锚点'!$A$2:$A$501,'04_路径网络'!D124)+COUNTIF('06_建筑锚点'!$A$2:$A$501,'04_路径网络'!D124)=0),"起点引用对象不存在；","")&amp;IF(AND('04_路径网络'!E124&lt;&gt;"",COUNTIF('02_固定地理'!$A$2:$A$501,'04_路径网络'!E124)+COUNTIF('03_地点锚点'!$A$2:$A$501,'04_路径网络'!E124)+COUNTIF('06_建筑锚点'!$A$2:$A$501,'04_路径网络'!E124)=0),"终点引用对象不存在；","")&amp;IF(AND('04_路径网络'!F124&lt;&gt;"",COUNTIF('04_路径网络'!$A$2:$A$501,'04_路径网络'!F124)=0),"父级路径不存在；","")&amp;IF(AND('04_路径网络'!A124&lt;&gt;"",COUNTIF('04_路径网络'!$A$2:$A$501,'04_路径网络'!A124)&gt;1),"ID重复；",""),"")</f>
        <v/>
      </c>
      <c r="G1124" s="14">
        <f>IF(F1124&lt;&gt;"","按字段批注、数据字典和来源记录修正后复核","")</f>
        <v/>
      </c>
      <c r="H1124" s="14">
        <f>IF(F1124&lt;&gt;"","待处理","")</f>
        <v/>
      </c>
    </row>
    <row r="1125">
      <c r="A1125" s="14">
        <f>IF(F1125&lt;&gt;"","ISSUE-"&amp;TEXT(ROW()-1,"00000"),"")</f>
        <v/>
      </c>
      <c r="B1125" s="14">
        <f>IF(F1125&lt;&gt;"","错误","")</f>
        <v/>
      </c>
      <c r="C1125" s="14">
        <f>IF('04_路径网络'!A125&lt;&gt;"","04_路径网络","")</f>
        <v/>
      </c>
      <c r="D1125" s="14">
        <f>IF('04_路径网络'!A125&lt;&gt;"",'04_路径网络'!A125,"")</f>
        <v/>
      </c>
      <c r="E1125" s="14">
        <f>IF(F1125&lt;&gt;"","综合校验","")</f>
        <v/>
      </c>
      <c r="F1125" s="14">
        <f>IF('04_路径网络'!A125&lt;&gt;"",IF('04_路径网络'!A125="","缺少路径ID；","")&amp;IF('04_路径网络'!C125="","缺少路径类型；","")&amp;IF('04_路径网络'!D125="","缺少起点对象ID；","")&amp;IF('04_路径网络'!E125="","缺少终点对象ID；","")&amp;IF(AND('04_路径网络'!D125&lt;&gt;"",'04_路径网络'!D125='04_路径网络'!E125),"起点与终点相同；","")&amp;IF(AND('04_路径网络'!D125&lt;&gt;"",COUNTIF('02_固定地理'!$A$2:$A$501,'04_路径网络'!D125)+COUNTIF('03_地点锚点'!$A$2:$A$501,'04_路径网络'!D125)+COUNTIF('06_建筑锚点'!$A$2:$A$501,'04_路径网络'!D125)=0),"起点引用对象不存在；","")&amp;IF(AND('04_路径网络'!E125&lt;&gt;"",COUNTIF('02_固定地理'!$A$2:$A$501,'04_路径网络'!E125)+COUNTIF('03_地点锚点'!$A$2:$A$501,'04_路径网络'!E125)+COUNTIF('06_建筑锚点'!$A$2:$A$501,'04_路径网络'!E125)=0),"终点引用对象不存在；","")&amp;IF(AND('04_路径网络'!F125&lt;&gt;"",COUNTIF('04_路径网络'!$A$2:$A$501,'04_路径网络'!F125)=0),"父级路径不存在；","")&amp;IF(AND('04_路径网络'!A125&lt;&gt;"",COUNTIF('04_路径网络'!$A$2:$A$501,'04_路径网络'!A125)&gt;1),"ID重复；",""),"")</f>
        <v/>
      </c>
      <c r="G1125" s="14">
        <f>IF(F1125&lt;&gt;"","按字段批注、数据字典和来源记录修正后复核","")</f>
        <v/>
      </c>
      <c r="H1125" s="14">
        <f>IF(F1125&lt;&gt;"","待处理","")</f>
        <v/>
      </c>
    </row>
    <row r="1126">
      <c r="A1126" s="14">
        <f>IF(F1126&lt;&gt;"","ISSUE-"&amp;TEXT(ROW()-1,"00000"),"")</f>
        <v/>
      </c>
      <c r="B1126" s="14">
        <f>IF(F1126&lt;&gt;"","错误","")</f>
        <v/>
      </c>
      <c r="C1126" s="14">
        <f>IF('04_路径网络'!A126&lt;&gt;"","04_路径网络","")</f>
        <v/>
      </c>
      <c r="D1126" s="14">
        <f>IF('04_路径网络'!A126&lt;&gt;"",'04_路径网络'!A126,"")</f>
        <v/>
      </c>
      <c r="E1126" s="14">
        <f>IF(F1126&lt;&gt;"","综合校验","")</f>
        <v/>
      </c>
      <c r="F1126" s="14">
        <f>IF('04_路径网络'!A126&lt;&gt;"",IF('04_路径网络'!A126="","缺少路径ID；","")&amp;IF('04_路径网络'!C126="","缺少路径类型；","")&amp;IF('04_路径网络'!D126="","缺少起点对象ID；","")&amp;IF('04_路径网络'!E126="","缺少终点对象ID；","")&amp;IF(AND('04_路径网络'!D126&lt;&gt;"",'04_路径网络'!D126='04_路径网络'!E126),"起点与终点相同；","")&amp;IF(AND('04_路径网络'!D126&lt;&gt;"",COUNTIF('02_固定地理'!$A$2:$A$501,'04_路径网络'!D126)+COUNTIF('03_地点锚点'!$A$2:$A$501,'04_路径网络'!D126)+COUNTIF('06_建筑锚点'!$A$2:$A$501,'04_路径网络'!D126)=0),"起点引用对象不存在；","")&amp;IF(AND('04_路径网络'!E126&lt;&gt;"",COUNTIF('02_固定地理'!$A$2:$A$501,'04_路径网络'!E126)+COUNTIF('03_地点锚点'!$A$2:$A$501,'04_路径网络'!E126)+COUNTIF('06_建筑锚点'!$A$2:$A$501,'04_路径网络'!E126)=0),"终点引用对象不存在；","")&amp;IF(AND('04_路径网络'!F126&lt;&gt;"",COUNTIF('04_路径网络'!$A$2:$A$501,'04_路径网络'!F126)=0),"父级路径不存在；","")&amp;IF(AND('04_路径网络'!A126&lt;&gt;"",COUNTIF('04_路径网络'!$A$2:$A$501,'04_路径网络'!A126)&gt;1),"ID重复；",""),"")</f>
        <v/>
      </c>
      <c r="G1126" s="14">
        <f>IF(F1126&lt;&gt;"","按字段批注、数据字典和来源记录修正后复核","")</f>
        <v/>
      </c>
      <c r="H1126" s="14">
        <f>IF(F1126&lt;&gt;"","待处理","")</f>
        <v/>
      </c>
    </row>
    <row r="1127">
      <c r="A1127" s="14">
        <f>IF(F1127&lt;&gt;"","ISSUE-"&amp;TEXT(ROW()-1,"00000"),"")</f>
        <v/>
      </c>
      <c r="B1127" s="14">
        <f>IF(F1127&lt;&gt;"","错误","")</f>
        <v/>
      </c>
      <c r="C1127" s="14">
        <f>IF('04_路径网络'!A127&lt;&gt;"","04_路径网络","")</f>
        <v/>
      </c>
      <c r="D1127" s="14">
        <f>IF('04_路径网络'!A127&lt;&gt;"",'04_路径网络'!A127,"")</f>
        <v/>
      </c>
      <c r="E1127" s="14">
        <f>IF(F1127&lt;&gt;"","综合校验","")</f>
        <v/>
      </c>
      <c r="F1127" s="14">
        <f>IF('04_路径网络'!A127&lt;&gt;"",IF('04_路径网络'!A127="","缺少路径ID；","")&amp;IF('04_路径网络'!C127="","缺少路径类型；","")&amp;IF('04_路径网络'!D127="","缺少起点对象ID；","")&amp;IF('04_路径网络'!E127="","缺少终点对象ID；","")&amp;IF(AND('04_路径网络'!D127&lt;&gt;"",'04_路径网络'!D127='04_路径网络'!E127),"起点与终点相同；","")&amp;IF(AND('04_路径网络'!D127&lt;&gt;"",COUNTIF('02_固定地理'!$A$2:$A$501,'04_路径网络'!D127)+COUNTIF('03_地点锚点'!$A$2:$A$501,'04_路径网络'!D127)+COUNTIF('06_建筑锚点'!$A$2:$A$501,'04_路径网络'!D127)=0),"起点引用对象不存在；","")&amp;IF(AND('04_路径网络'!E127&lt;&gt;"",COUNTIF('02_固定地理'!$A$2:$A$501,'04_路径网络'!E127)+COUNTIF('03_地点锚点'!$A$2:$A$501,'04_路径网络'!E127)+COUNTIF('06_建筑锚点'!$A$2:$A$501,'04_路径网络'!E127)=0),"终点引用对象不存在；","")&amp;IF(AND('04_路径网络'!F127&lt;&gt;"",COUNTIF('04_路径网络'!$A$2:$A$501,'04_路径网络'!F127)=0),"父级路径不存在；","")&amp;IF(AND('04_路径网络'!A127&lt;&gt;"",COUNTIF('04_路径网络'!$A$2:$A$501,'04_路径网络'!A127)&gt;1),"ID重复；",""),"")</f>
        <v/>
      </c>
      <c r="G1127" s="14">
        <f>IF(F1127&lt;&gt;"","按字段批注、数据字典和来源记录修正后复核","")</f>
        <v/>
      </c>
      <c r="H1127" s="14">
        <f>IF(F1127&lt;&gt;"","待处理","")</f>
        <v/>
      </c>
    </row>
    <row r="1128">
      <c r="A1128" s="14">
        <f>IF(F1128&lt;&gt;"","ISSUE-"&amp;TEXT(ROW()-1,"00000"),"")</f>
        <v/>
      </c>
      <c r="B1128" s="14">
        <f>IF(F1128&lt;&gt;"","错误","")</f>
        <v/>
      </c>
      <c r="C1128" s="14">
        <f>IF('04_路径网络'!A128&lt;&gt;"","04_路径网络","")</f>
        <v/>
      </c>
      <c r="D1128" s="14">
        <f>IF('04_路径网络'!A128&lt;&gt;"",'04_路径网络'!A128,"")</f>
        <v/>
      </c>
      <c r="E1128" s="14">
        <f>IF(F1128&lt;&gt;"","综合校验","")</f>
        <v/>
      </c>
      <c r="F1128" s="14">
        <f>IF('04_路径网络'!A128&lt;&gt;"",IF('04_路径网络'!A128="","缺少路径ID；","")&amp;IF('04_路径网络'!C128="","缺少路径类型；","")&amp;IF('04_路径网络'!D128="","缺少起点对象ID；","")&amp;IF('04_路径网络'!E128="","缺少终点对象ID；","")&amp;IF(AND('04_路径网络'!D128&lt;&gt;"",'04_路径网络'!D128='04_路径网络'!E128),"起点与终点相同；","")&amp;IF(AND('04_路径网络'!D128&lt;&gt;"",COUNTIF('02_固定地理'!$A$2:$A$501,'04_路径网络'!D128)+COUNTIF('03_地点锚点'!$A$2:$A$501,'04_路径网络'!D128)+COUNTIF('06_建筑锚点'!$A$2:$A$501,'04_路径网络'!D128)=0),"起点引用对象不存在；","")&amp;IF(AND('04_路径网络'!E128&lt;&gt;"",COUNTIF('02_固定地理'!$A$2:$A$501,'04_路径网络'!E128)+COUNTIF('03_地点锚点'!$A$2:$A$501,'04_路径网络'!E128)+COUNTIF('06_建筑锚点'!$A$2:$A$501,'04_路径网络'!E128)=0),"终点引用对象不存在；","")&amp;IF(AND('04_路径网络'!F128&lt;&gt;"",COUNTIF('04_路径网络'!$A$2:$A$501,'04_路径网络'!F128)=0),"父级路径不存在；","")&amp;IF(AND('04_路径网络'!A128&lt;&gt;"",COUNTIF('04_路径网络'!$A$2:$A$501,'04_路径网络'!A128)&gt;1),"ID重复；",""),"")</f>
        <v/>
      </c>
      <c r="G1128" s="14">
        <f>IF(F1128&lt;&gt;"","按字段批注、数据字典和来源记录修正后复核","")</f>
        <v/>
      </c>
      <c r="H1128" s="14">
        <f>IF(F1128&lt;&gt;"","待处理","")</f>
        <v/>
      </c>
    </row>
    <row r="1129">
      <c r="A1129" s="14">
        <f>IF(F1129&lt;&gt;"","ISSUE-"&amp;TEXT(ROW()-1,"00000"),"")</f>
        <v/>
      </c>
      <c r="B1129" s="14">
        <f>IF(F1129&lt;&gt;"","错误","")</f>
        <v/>
      </c>
      <c r="C1129" s="14">
        <f>IF('04_路径网络'!A129&lt;&gt;"","04_路径网络","")</f>
        <v/>
      </c>
      <c r="D1129" s="14">
        <f>IF('04_路径网络'!A129&lt;&gt;"",'04_路径网络'!A129,"")</f>
        <v/>
      </c>
      <c r="E1129" s="14">
        <f>IF(F1129&lt;&gt;"","综合校验","")</f>
        <v/>
      </c>
      <c r="F1129" s="14">
        <f>IF('04_路径网络'!A129&lt;&gt;"",IF('04_路径网络'!A129="","缺少路径ID；","")&amp;IF('04_路径网络'!C129="","缺少路径类型；","")&amp;IF('04_路径网络'!D129="","缺少起点对象ID；","")&amp;IF('04_路径网络'!E129="","缺少终点对象ID；","")&amp;IF(AND('04_路径网络'!D129&lt;&gt;"",'04_路径网络'!D129='04_路径网络'!E129),"起点与终点相同；","")&amp;IF(AND('04_路径网络'!D129&lt;&gt;"",COUNTIF('02_固定地理'!$A$2:$A$501,'04_路径网络'!D129)+COUNTIF('03_地点锚点'!$A$2:$A$501,'04_路径网络'!D129)+COUNTIF('06_建筑锚点'!$A$2:$A$501,'04_路径网络'!D129)=0),"起点引用对象不存在；","")&amp;IF(AND('04_路径网络'!E129&lt;&gt;"",COUNTIF('02_固定地理'!$A$2:$A$501,'04_路径网络'!E129)+COUNTIF('03_地点锚点'!$A$2:$A$501,'04_路径网络'!E129)+COUNTIF('06_建筑锚点'!$A$2:$A$501,'04_路径网络'!E129)=0),"终点引用对象不存在；","")&amp;IF(AND('04_路径网络'!F129&lt;&gt;"",COUNTIF('04_路径网络'!$A$2:$A$501,'04_路径网络'!F129)=0),"父级路径不存在；","")&amp;IF(AND('04_路径网络'!A129&lt;&gt;"",COUNTIF('04_路径网络'!$A$2:$A$501,'04_路径网络'!A129)&gt;1),"ID重复；",""),"")</f>
        <v/>
      </c>
      <c r="G1129" s="14">
        <f>IF(F1129&lt;&gt;"","按字段批注、数据字典和来源记录修正后复核","")</f>
        <v/>
      </c>
      <c r="H1129" s="14">
        <f>IF(F1129&lt;&gt;"","待处理","")</f>
        <v/>
      </c>
    </row>
    <row r="1130">
      <c r="A1130" s="14">
        <f>IF(F1130&lt;&gt;"","ISSUE-"&amp;TEXT(ROW()-1,"00000"),"")</f>
        <v/>
      </c>
      <c r="B1130" s="14">
        <f>IF(F1130&lt;&gt;"","错误","")</f>
        <v/>
      </c>
      <c r="C1130" s="14">
        <f>IF('04_路径网络'!A130&lt;&gt;"","04_路径网络","")</f>
        <v/>
      </c>
      <c r="D1130" s="14">
        <f>IF('04_路径网络'!A130&lt;&gt;"",'04_路径网络'!A130,"")</f>
        <v/>
      </c>
      <c r="E1130" s="14">
        <f>IF(F1130&lt;&gt;"","综合校验","")</f>
        <v/>
      </c>
      <c r="F1130" s="14">
        <f>IF('04_路径网络'!A130&lt;&gt;"",IF('04_路径网络'!A130="","缺少路径ID；","")&amp;IF('04_路径网络'!C130="","缺少路径类型；","")&amp;IF('04_路径网络'!D130="","缺少起点对象ID；","")&amp;IF('04_路径网络'!E130="","缺少终点对象ID；","")&amp;IF(AND('04_路径网络'!D130&lt;&gt;"",'04_路径网络'!D130='04_路径网络'!E130),"起点与终点相同；","")&amp;IF(AND('04_路径网络'!D130&lt;&gt;"",COUNTIF('02_固定地理'!$A$2:$A$501,'04_路径网络'!D130)+COUNTIF('03_地点锚点'!$A$2:$A$501,'04_路径网络'!D130)+COUNTIF('06_建筑锚点'!$A$2:$A$501,'04_路径网络'!D130)=0),"起点引用对象不存在；","")&amp;IF(AND('04_路径网络'!E130&lt;&gt;"",COUNTIF('02_固定地理'!$A$2:$A$501,'04_路径网络'!E130)+COUNTIF('03_地点锚点'!$A$2:$A$501,'04_路径网络'!E130)+COUNTIF('06_建筑锚点'!$A$2:$A$501,'04_路径网络'!E130)=0),"终点引用对象不存在；","")&amp;IF(AND('04_路径网络'!F130&lt;&gt;"",COUNTIF('04_路径网络'!$A$2:$A$501,'04_路径网络'!F130)=0),"父级路径不存在；","")&amp;IF(AND('04_路径网络'!A130&lt;&gt;"",COUNTIF('04_路径网络'!$A$2:$A$501,'04_路径网络'!A130)&gt;1),"ID重复；",""),"")</f>
        <v/>
      </c>
      <c r="G1130" s="14">
        <f>IF(F1130&lt;&gt;"","按字段批注、数据字典和来源记录修正后复核","")</f>
        <v/>
      </c>
      <c r="H1130" s="14">
        <f>IF(F1130&lt;&gt;"","待处理","")</f>
        <v/>
      </c>
    </row>
    <row r="1131">
      <c r="A1131" s="14">
        <f>IF(F1131&lt;&gt;"","ISSUE-"&amp;TEXT(ROW()-1,"00000"),"")</f>
        <v/>
      </c>
      <c r="B1131" s="14">
        <f>IF(F1131&lt;&gt;"","错误","")</f>
        <v/>
      </c>
      <c r="C1131" s="14">
        <f>IF('04_路径网络'!A131&lt;&gt;"","04_路径网络","")</f>
        <v/>
      </c>
      <c r="D1131" s="14">
        <f>IF('04_路径网络'!A131&lt;&gt;"",'04_路径网络'!A131,"")</f>
        <v/>
      </c>
      <c r="E1131" s="14">
        <f>IF(F1131&lt;&gt;"","综合校验","")</f>
        <v/>
      </c>
      <c r="F1131" s="14">
        <f>IF('04_路径网络'!A131&lt;&gt;"",IF('04_路径网络'!A131="","缺少路径ID；","")&amp;IF('04_路径网络'!C131="","缺少路径类型；","")&amp;IF('04_路径网络'!D131="","缺少起点对象ID；","")&amp;IF('04_路径网络'!E131="","缺少终点对象ID；","")&amp;IF(AND('04_路径网络'!D131&lt;&gt;"",'04_路径网络'!D131='04_路径网络'!E131),"起点与终点相同；","")&amp;IF(AND('04_路径网络'!D131&lt;&gt;"",COUNTIF('02_固定地理'!$A$2:$A$501,'04_路径网络'!D131)+COUNTIF('03_地点锚点'!$A$2:$A$501,'04_路径网络'!D131)+COUNTIF('06_建筑锚点'!$A$2:$A$501,'04_路径网络'!D131)=0),"起点引用对象不存在；","")&amp;IF(AND('04_路径网络'!E131&lt;&gt;"",COUNTIF('02_固定地理'!$A$2:$A$501,'04_路径网络'!E131)+COUNTIF('03_地点锚点'!$A$2:$A$501,'04_路径网络'!E131)+COUNTIF('06_建筑锚点'!$A$2:$A$501,'04_路径网络'!E131)=0),"终点引用对象不存在；","")&amp;IF(AND('04_路径网络'!F131&lt;&gt;"",COUNTIF('04_路径网络'!$A$2:$A$501,'04_路径网络'!F131)=0),"父级路径不存在；","")&amp;IF(AND('04_路径网络'!A131&lt;&gt;"",COUNTIF('04_路径网络'!$A$2:$A$501,'04_路径网络'!A131)&gt;1),"ID重复；",""),"")</f>
        <v/>
      </c>
      <c r="G1131" s="14">
        <f>IF(F1131&lt;&gt;"","按字段批注、数据字典和来源记录修正后复核","")</f>
        <v/>
      </c>
      <c r="H1131" s="14">
        <f>IF(F1131&lt;&gt;"","待处理","")</f>
        <v/>
      </c>
    </row>
    <row r="1132">
      <c r="A1132" s="14">
        <f>IF(F1132&lt;&gt;"","ISSUE-"&amp;TEXT(ROW()-1,"00000"),"")</f>
        <v/>
      </c>
      <c r="B1132" s="14">
        <f>IF(F1132&lt;&gt;"","错误","")</f>
        <v/>
      </c>
      <c r="C1132" s="14">
        <f>IF('04_路径网络'!A132&lt;&gt;"","04_路径网络","")</f>
        <v/>
      </c>
      <c r="D1132" s="14">
        <f>IF('04_路径网络'!A132&lt;&gt;"",'04_路径网络'!A132,"")</f>
        <v/>
      </c>
      <c r="E1132" s="14">
        <f>IF(F1132&lt;&gt;"","综合校验","")</f>
        <v/>
      </c>
      <c r="F1132" s="14">
        <f>IF('04_路径网络'!A132&lt;&gt;"",IF('04_路径网络'!A132="","缺少路径ID；","")&amp;IF('04_路径网络'!C132="","缺少路径类型；","")&amp;IF('04_路径网络'!D132="","缺少起点对象ID；","")&amp;IF('04_路径网络'!E132="","缺少终点对象ID；","")&amp;IF(AND('04_路径网络'!D132&lt;&gt;"",'04_路径网络'!D132='04_路径网络'!E132),"起点与终点相同；","")&amp;IF(AND('04_路径网络'!D132&lt;&gt;"",COUNTIF('02_固定地理'!$A$2:$A$501,'04_路径网络'!D132)+COUNTIF('03_地点锚点'!$A$2:$A$501,'04_路径网络'!D132)+COUNTIF('06_建筑锚点'!$A$2:$A$501,'04_路径网络'!D132)=0),"起点引用对象不存在；","")&amp;IF(AND('04_路径网络'!E132&lt;&gt;"",COUNTIF('02_固定地理'!$A$2:$A$501,'04_路径网络'!E132)+COUNTIF('03_地点锚点'!$A$2:$A$501,'04_路径网络'!E132)+COUNTIF('06_建筑锚点'!$A$2:$A$501,'04_路径网络'!E132)=0),"终点引用对象不存在；","")&amp;IF(AND('04_路径网络'!F132&lt;&gt;"",COUNTIF('04_路径网络'!$A$2:$A$501,'04_路径网络'!F132)=0),"父级路径不存在；","")&amp;IF(AND('04_路径网络'!A132&lt;&gt;"",COUNTIF('04_路径网络'!$A$2:$A$501,'04_路径网络'!A132)&gt;1),"ID重复；",""),"")</f>
        <v/>
      </c>
      <c r="G1132" s="14">
        <f>IF(F1132&lt;&gt;"","按字段批注、数据字典和来源记录修正后复核","")</f>
        <v/>
      </c>
      <c r="H1132" s="14">
        <f>IF(F1132&lt;&gt;"","待处理","")</f>
        <v/>
      </c>
    </row>
    <row r="1133">
      <c r="A1133" s="14">
        <f>IF(F1133&lt;&gt;"","ISSUE-"&amp;TEXT(ROW()-1,"00000"),"")</f>
        <v/>
      </c>
      <c r="B1133" s="14">
        <f>IF(F1133&lt;&gt;"","错误","")</f>
        <v/>
      </c>
      <c r="C1133" s="14">
        <f>IF('04_路径网络'!A133&lt;&gt;"","04_路径网络","")</f>
        <v/>
      </c>
      <c r="D1133" s="14">
        <f>IF('04_路径网络'!A133&lt;&gt;"",'04_路径网络'!A133,"")</f>
        <v/>
      </c>
      <c r="E1133" s="14">
        <f>IF(F1133&lt;&gt;"","综合校验","")</f>
        <v/>
      </c>
      <c r="F1133" s="14">
        <f>IF('04_路径网络'!A133&lt;&gt;"",IF('04_路径网络'!A133="","缺少路径ID；","")&amp;IF('04_路径网络'!C133="","缺少路径类型；","")&amp;IF('04_路径网络'!D133="","缺少起点对象ID；","")&amp;IF('04_路径网络'!E133="","缺少终点对象ID；","")&amp;IF(AND('04_路径网络'!D133&lt;&gt;"",'04_路径网络'!D133='04_路径网络'!E133),"起点与终点相同；","")&amp;IF(AND('04_路径网络'!D133&lt;&gt;"",COUNTIF('02_固定地理'!$A$2:$A$501,'04_路径网络'!D133)+COUNTIF('03_地点锚点'!$A$2:$A$501,'04_路径网络'!D133)+COUNTIF('06_建筑锚点'!$A$2:$A$501,'04_路径网络'!D133)=0),"起点引用对象不存在；","")&amp;IF(AND('04_路径网络'!E133&lt;&gt;"",COUNTIF('02_固定地理'!$A$2:$A$501,'04_路径网络'!E133)+COUNTIF('03_地点锚点'!$A$2:$A$501,'04_路径网络'!E133)+COUNTIF('06_建筑锚点'!$A$2:$A$501,'04_路径网络'!E133)=0),"终点引用对象不存在；","")&amp;IF(AND('04_路径网络'!F133&lt;&gt;"",COUNTIF('04_路径网络'!$A$2:$A$501,'04_路径网络'!F133)=0),"父级路径不存在；","")&amp;IF(AND('04_路径网络'!A133&lt;&gt;"",COUNTIF('04_路径网络'!$A$2:$A$501,'04_路径网络'!A133)&gt;1),"ID重复；",""),"")</f>
        <v/>
      </c>
      <c r="G1133" s="14">
        <f>IF(F1133&lt;&gt;"","按字段批注、数据字典和来源记录修正后复核","")</f>
        <v/>
      </c>
      <c r="H1133" s="14">
        <f>IF(F1133&lt;&gt;"","待处理","")</f>
        <v/>
      </c>
    </row>
    <row r="1134">
      <c r="A1134" s="14">
        <f>IF(F1134&lt;&gt;"","ISSUE-"&amp;TEXT(ROW()-1,"00000"),"")</f>
        <v/>
      </c>
      <c r="B1134" s="14">
        <f>IF(F1134&lt;&gt;"","错误","")</f>
        <v/>
      </c>
      <c r="C1134" s="14">
        <f>IF('04_路径网络'!A134&lt;&gt;"","04_路径网络","")</f>
        <v/>
      </c>
      <c r="D1134" s="14">
        <f>IF('04_路径网络'!A134&lt;&gt;"",'04_路径网络'!A134,"")</f>
        <v/>
      </c>
      <c r="E1134" s="14">
        <f>IF(F1134&lt;&gt;"","综合校验","")</f>
        <v/>
      </c>
      <c r="F1134" s="14">
        <f>IF('04_路径网络'!A134&lt;&gt;"",IF('04_路径网络'!A134="","缺少路径ID；","")&amp;IF('04_路径网络'!C134="","缺少路径类型；","")&amp;IF('04_路径网络'!D134="","缺少起点对象ID；","")&amp;IF('04_路径网络'!E134="","缺少终点对象ID；","")&amp;IF(AND('04_路径网络'!D134&lt;&gt;"",'04_路径网络'!D134='04_路径网络'!E134),"起点与终点相同；","")&amp;IF(AND('04_路径网络'!D134&lt;&gt;"",COUNTIF('02_固定地理'!$A$2:$A$501,'04_路径网络'!D134)+COUNTIF('03_地点锚点'!$A$2:$A$501,'04_路径网络'!D134)+COUNTIF('06_建筑锚点'!$A$2:$A$501,'04_路径网络'!D134)=0),"起点引用对象不存在；","")&amp;IF(AND('04_路径网络'!E134&lt;&gt;"",COUNTIF('02_固定地理'!$A$2:$A$501,'04_路径网络'!E134)+COUNTIF('03_地点锚点'!$A$2:$A$501,'04_路径网络'!E134)+COUNTIF('06_建筑锚点'!$A$2:$A$501,'04_路径网络'!E134)=0),"终点引用对象不存在；","")&amp;IF(AND('04_路径网络'!F134&lt;&gt;"",COUNTIF('04_路径网络'!$A$2:$A$501,'04_路径网络'!F134)=0),"父级路径不存在；","")&amp;IF(AND('04_路径网络'!A134&lt;&gt;"",COUNTIF('04_路径网络'!$A$2:$A$501,'04_路径网络'!A134)&gt;1),"ID重复；",""),"")</f>
        <v/>
      </c>
      <c r="G1134" s="14">
        <f>IF(F1134&lt;&gt;"","按字段批注、数据字典和来源记录修正后复核","")</f>
        <v/>
      </c>
      <c r="H1134" s="14">
        <f>IF(F1134&lt;&gt;"","待处理","")</f>
        <v/>
      </c>
    </row>
    <row r="1135">
      <c r="A1135" s="14">
        <f>IF(F1135&lt;&gt;"","ISSUE-"&amp;TEXT(ROW()-1,"00000"),"")</f>
        <v/>
      </c>
      <c r="B1135" s="14">
        <f>IF(F1135&lt;&gt;"","错误","")</f>
        <v/>
      </c>
      <c r="C1135" s="14">
        <f>IF('04_路径网络'!A135&lt;&gt;"","04_路径网络","")</f>
        <v/>
      </c>
      <c r="D1135" s="14">
        <f>IF('04_路径网络'!A135&lt;&gt;"",'04_路径网络'!A135,"")</f>
        <v/>
      </c>
      <c r="E1135" s="14">
        <f>IF(F1135&lt;&gt;"","综合校验","")</f>
        <v/>
      </c>
      <c r="F1135" s="14">
        <f>IF('04_路径网络'!A135&lt;&gt;"",IF('04_路径网络'!A135="","缺少路径ID；","")&amp;IF('04_路径网络'!C135="","缺少路径类型；","")&amp;IF('04_路径网络'!D135="","缺少起点对象ID；","")&amp;IF('04_路径网络'!E135="","缺少终点对象ID；","")&amp;IF(AND('04_路径网络'!D135&lt;&gt;"",'04_路径网络'!D135='04_路径网络'!E135),"起点与终点相同；","")&amp;IF(AND('04_路径网络'!D135&lt;&gt;"",COUNTIF('02_固定地理'!$A$2:$A$501,'04_路径网络'!D135)+COUNTIF('03_地点锚点'!$A$2:$A$501,'04_路径网络'!D135)+COUNTIF('06_建筑锚点'!$A$2:$A$501,'04_路径网络'!D135)=0),"起点引用对象不存在；","")&amp;IF(AND('04_路径网络'!E135&lt;&gt;"",COUNTIF('02_固定地理'!$A$2:$A$501,'04_路径网络'!E135)+COUNTIF('03_地点锚点'!$A$2:$A$501,'04_路径网络'!E135)+COUNTIF('06_建筑锚点'!$A$2:$A$501,'04_路径网络'!E135)=0),"终点引用对象不存在；","")&amp;IF(AND('04_路径网络'!F135&lt;&gt;"",COUNTIF('04_路径网络'!$A$2:$A$501,'04_路径网络'!F135)=0),"父级路径不存在；","")&amp;IF(AND('04_路径网络'!A135&lt;&gt;"",COUNTIF('04_路径网络'!$A$2:$A$501,'04_路径网络'!A135)&gt;1),"ID重复；",""),"")</f>
        <v/>
      </c>
      <c r="G1135" s="14">
        <f>IF(F1135&lt;&gt;"","按字段批注、数据字典和来源记录修正后复核","")</f>
        <v/>
      </c>
      <c r="H1135" s="14">
        <f>IF(F1135&lt;&gt;"","待处理","")</f>
        <v/>
      </c>
    </row>
    <row r="1136">
      <c r="A1136" s="14">
        <f>IF(F1136&lt;&gt;"","ISSUE-"&amp;TEXT(ROW()-1,"00000"),"")</f>
        <v/>
      </c>
      <c r="B1136" s="14">
        <f>IF(F1136&lt;&gt;"","错误","")</f>
        <v/>
      </c>
      <c r="C1136" s="14">
        <f>IF('04_路径网络'!A136&lt;&gt;"","04_路径网络","")</f>
        <v/>
      </c>
      <c r="D1136" s="14">
        <f>IF('04_路径网络'!A136&lt;&gt;"",'04_路径网络'!A136,"")</f>
        <v/>
      </c>
      <c r="E1136" s="14">
        <f>IF(F1136&lt;&gt;"","综合校验","")</f>
        <v/>
      </c>
      <c r="F1136" s="14">
        <f>IF('04_路径网络'!A136&lt;&gt;"",IF('04_路径网络'!A136="","缺少路径ID；","")&amp;IF('04_路径网络'!C136="","缺少路径类型；","")&amp;IF('04_路径网络'!D136="","缺少起点对象ID；","")&amp;IF('04_路径网络'!E136="","缺少终点对象ID；","")&amp;IF(AND('04_路径网络'!D136&lt;&gt;"",'04_路径网络'!D136='04_路径网络'!E136),"起点与终点相同；","")&amp;IF(AND('04_路径网络'!D136&lt;&gt;"",COUNTIF('02_固定地理'!$A$2:$A$501,'04_路径网络'!D136)+COUNTIF('03_地点锚点'!$A$2:$A$501,'04_路径网络'!D136)+COUNTIF('06_建筑锚点'!$A$2:$A$501,'04_路径网络'!D136)=0),"起点引用对象不存在；","")&amp;IF(AND('04_路径网络'!E136&lt;&gt;"",COUNTIF('02_固定地理'!$A$2:$A$501,'04_路径网络'!E136)+COUNTIF('03_地点锚点'!$A$2:$A$501,'04_路径网络'!E136)+COUNTIF('06_建筑锚点'!$A$2:$A$501,'04_路径网络'!E136)=0),"终点引用对象不存在；","")&amp;IF(AND('04_路径网络'!F136&lt;&gt;"",COUNTIF('04_路径网络'!$A$2:$A$501,'04_路径网络'!F136)=0),"父级路径不存在；","")&amp;IF(AND('04_路径网络'!A136&lt;&gt;"",COUNTIF('04_路径网络'!$A$2:$A$501,'04_路径网络'!A136)&gt;1),"ID重复；",""),"")</f>
        <v/>
      </c>
      <c r="G1136" s="14">
        <f>IF(F1136&lt;&gt;"","按字段批注、数据字典和来源记录修正后复核","")</f>
        <v/>
      </c>
      <c r="H1136" s="14">
        <f>IF(F1136&lt;&gt;"","待处理","")</f>
        <v/>
      </c>
    </row>
    <row r="1137">
      <c r="A1137" s="14">
        <f>IF(F1137&lt;&gt;"","ISSUE-"&amp;TEXT(ROW()-1,"00000"),"")</f>
        <v/>
      </c>
      <c r="B1137" s="14">
        <f>IF(F1137&lt;&gt;"","错误","")</f>
        <v/>
      </c>
      <c r="C1137" s="14">
        <f>IF('04_路径网络'!A137&lt;&gt;"","04_路径网络","")</f>
        <v/>
      </c>
      <c r="D1137" s="14">
        <f>IF('04_路径网络'!A137&lt;&gt;"",'04_路径网络'!A137,"")</f>
        <v/>
      </c>
      <c r="E1137" s="14">
        <f>IF(F1137&lt;&gt;"","综合校验","")</f>
        <v/>
      </c>
      <c r="F1137" s="14">
        <f>IF('04_路径网络'!A137&lt;&gt;"",IF('04_路径网络'!A137="","缺少路径ID；","")&amp;IF('04_路径网络'!C137="","缺少路径类型；","")&amp;IF('04_路径网络'!D137="","缺少起点对象ID；","")&amp;IF('04_路径网络'!E137="","缺少终点对象ID；","")&amp;IF(AND('04_路径网络'!D137&lt;&gt;"",'04_路径网络'!D137='04_路径网络'!E137),"起点与终点相同；","")&amp;IF(AND('04_路径网络'!D137&lt;&gt;"",COUNTIF('02_固定地理'!$A$2:$A$501,'04_路径网络'!D137)+COUNTIF('03_地点锚点'!$A$2:$A$501,'04_路径网络'!D137)+COUNTIF('06_建筑锚点'!$A$2:$A$501,'04_路径网络'!D137)=0),"起点引用对象不存在；","")&amp;IF(AND('04_路径网络'!E137&lt;&gt;"",COUNTIF('02_固定地理'!$A$2:$A$501,'04_路径网络'!E137)+COUNTIF('03_地点锚点'!$A$2:$A$501,'04_路径网络'!E137)+COUNTIF('06_建筑锚点'!$A$2:$A$501,'04_路径网络'!E137)=0),"终点引用对象不存在；","")&amp;IF(AND('04_路径网络'!F137&lt;&gt;"",COUNTIF('04_路径网络'!$A$2:$A$501,'04_路径网络'!F137)=0),"父级路径不存在；","")&amp;IF(AND('04_路径网络'!A137&lt;&gt;"",COUNTIF('04_路径网络'!$A$2:$A$501,'04_路径网络'!A137)&gt;1),"ID重复；",""),"")</f>
        <v/>
      </c>
      <c r="G1137" s="14">
        <f>IF(F1137&lt;&gt;"","按字段批注、数据字典和来源记录修正后复核","")</f>
        <v/>
      </c>
      <c r="H1137" s="14">
        <f>IF(F1137&lt;&gt;"","待处理","")</f>
        <v/>
      </c>
    </row>
    <row r="1138">
      <c r="A1138" s="14">
        <f>IF(F1138&lt;&gt;"","ISSUE-"&amp;TEXT(ROW()-1,"00000"),"")</f>
        <v/>
      </c>
      <c r="B1138" s="14">
        <f>IF(F1138&lt;&gt;"","错误","")</f>
        <v/>
      </c>
      <c r="C1138" s="14">
        <f>IF('04_路径网络'!A138&lt;&gt;"","04_路径网络","")</f>
        <v/>
      </c>
      <c r="D1138" s="14">
        <f>IF('04_路径网络'!A138&lt;&gt;"",'04_路径网络'!A138,"")</f>
        <v/>
      </c>
      <c r="E1138" s="14">
        <f>IF(F1138&lt;&gt;"","综合校验","")</f>
        <v/>
      </c>
      <c r="F1138" s="14">
        <f>IF('04_路径网络'!A138&lt;&gt;"",IF('04_路径网络'!A138="","缺少路径ID；","")&amp;IF('04_路径网络'!C138="","缺少路径类型；","")&amp;IF('04_路径网络'!D138="","缺少起点对象ID；","")&amp;IF('04_路径网络'!E138="","缺少终点对象ID；","")&amp;IF(AND('04_路径网络'!D138&lt;&gt;"",'04_路径网络'!D138='04_路径网络'!E138),"起点与终点相同；","")&amp;IF(AND('04_路径网络'!D138&lt;&gt;"",COUNTIF('02_固定地理'!$A$2:$A$501,'04_路径网络'!D138)+COUNTIF('03_地点锚点'!$A$2:$A$501,'04_路径网络'!D138)+COUNTIF('06_建筑锚点'!$A$2:$A$501,'04_路径网络'!D138)=0),"起点引用对象不存在；","")&amp;IF(AND('04_路径网络'!E138&lt;&gt;"",COUNTIF('02_固定地理'!$A$2:$A$501,'04_路径网络'!E138)+COUNTIF('03_地点锚点'!$A$2:$A$501,'04_路径网络'!E138)+COUNTIF('06_建筑锚点'!$A$2:$A$501,'04_路径网络'!E138)=0),"终点引用对象不存在；","")&amp;IF(AND('04_路径网络'!F138&lt;&gt;"",COUNTIF('04_路径网络'!$A$2:$A$501,'04_路径网络'!F138)=0),"父级路径不存在；","")&amp;IF(AND('04_路径网络'!A138&lt;&gt;"",COUNTIF('04_路径网络'!$A$2:$A$501,'04_路径网络'!A138)&gt;1),"ID重复；",""),"")</f>
        <v/>
      </c>
      <c r="G1138" s="14">
        <f>IF(F1138&lt;&gt;"","按字段批注、数据字典和来源记录修正后复核","")</f>
        <v/>
      </c>
      <c r="H1138" s="14">
        <f>IF(F1138&lt;&gt;"","待处理","")</f>
        <v/>
      </c>
    </row>
    <row r="1139">
      <c r="A1139" s="14">
        <f>IF(F1139&lt;&gt;"","ISSUE-"&amp;TEXT(ROW()-1,"00000"),"")</f>
        <v/>
      </c>
      <c r="B1139" s="14">
        <f>IF(F1139&lt;&gt;"","错误","")</f>
        <v/>
      </c>
      <c r="C1139" s="14">
        <f>IF('04_路径网络'!A139&lt;&gt;"","04_路径网络","")</f>
        <v/>
      </c>
      <c r="D1139" s="14">
        <f>IF('04_路径网络'!A139&lt;&gt;"",'04_路径网络'!A139,"")</f>
        <v/>
      </c>
      <c r="E1139" s="14">
        <f>IF(F1139&lt;&gt;"","综合校验","")</f>
        <v/>
      </c>
      <c r="F1139" s="14">
        <f>IF('04_路径网络'!A139&lt;&gt;"",IF('04_路径网络'!A139="","缺少路径ID；","")&amp;IF('04_路径网络'!C139="","缺少路径类型；","")&amp;IF('04_路径网络'!D139="","缺少起点对象ID；","")&amp;IF('04_路径网络'!E139="","缺少终点对象ID；","")&amp;IF(AND('04_路径网络'!D139&lt;&gt;"",'04_路径网络'!D139='04_路径网络'!E139),"起点与终点相同；","")&amp;IF(AND('04_路径网络'!D139&lt;&gt;"",COUNTIF('02_固定地理'!$A$2:$A$501,'04_路径网络'!D139)+COUNTIF('03_地点锚点'!$A$2:$A$501,'04_路径网络'!D139)+COUNTIF('06_建筑锚点'!$A$2:$A$501,'04_路径网络'!D139)=0),"起点引用对象不存在；","")&amp;IF(AND('04_路径网络'!E139&lt;&gt;"",COUNTIF('02_固定地理'!$A$2:$A$501,'04_路径网络'!E139)+COUNTIF('03_地点锚点'!$A$2:$A$501,'04_路径网络'!E139)+COUNTIF('06_建筑锚点'!$A$2:$A$501,'04_路径网络'!E139)=0),"终点引用对象不存在；","")&amp;IF(AND('04_路径网络'!F139&lt;&gt;"",COUNTIF('04_路径网络'!$A$2:$A$501,'04_路径网络'!F139)=0),"父级路径不存在；","")&amp;IF(AND('04_路径网络'!A139&lt;&gt;"",COUNTIF('04_路径网络'!$A$2:$A$501,'04_路径网络'!A139)&gt;1),"ID重复；",""),"")</f>
        <v/>
      </c>
      <c r="G1139" s="14">
        <f>IF(F1139&lt;&gt;"","按字段批注、数据字典和来源记录修正后复核","")</f>
        <v/>
      </c>
      <c r="H1139" s="14">
        <f>IF(F1139&lt;&gt;"","待处理","")</f>
        <v/>
      </c>
    </row>
    <row r="1140">
      <c r="A1140" s="14">
        <f>IF(F1140&lt;&gt;"","ISSUE-"&amp;TEXT(ROW()-1,"00000"),"")</f>
        <v/>
      </c>
      <c r="B1140" s="14">
        <f>IF(F1140&lt;&gt;"","错误","")</f>
        <v/>
      </c>
      <c r="C1140" s="14">
        <f>IF('04_路径网络'!A140&lt;&gt;"","04_路径网络","")</f>
        <v/>
      </c>
      <c r="D1140" s="14">
        <f>IF('04_路径网络'!A140&lt;&gt;"",'04_路径网络'!A140,"")</f>
        <v/>
      </c>
      <c r="E1140" s="14">
        <f>IF(F1140&lt;&gt;"","综合校验","")</f>
        <v/>
      </c>
      <c r="F1140" s="14">
        <f>IF('04_路径网络'!A140&lt;&gt;"",IF('04_路径网络'!A140="","缺少路径ID；","")&amp;IF('04_路径网络'!C140="","缺少路径类型；","")&amp;IF('04_路径网络'!D140="","缺少起点对象ID；","")&amp;IF('04_路径网络'!E140="","缺少终点对象ID；","")&amp;IF(AND('04_路径网络'!D140&lt;&gt;"",'04_路径网络'!D140='04_路径网络'!E140),"起点与终点相同；","")&amp;IF(AND('04_路径网络'!D140&lt;&gt;"",COUNTIF('02_固定地理'!$A$2:$A$501,'04_路径网络'!D140)+COUNTIF('03_地点锚点'!$A$2:$A$501,'04_路径网络'!D140)+COUNTIF('06_建筑锚点'!$A$2:$A$501,'04_路径网络'!D140)=0),"起点引用对象不存在；","")&amp;IF(AND('04_路径网络'!E140&lt;&gt;"",COUNTIF('02_固定地理'!$A$2:$A$501,'04_路径网络'!E140)+COUNTIF('03_地点锚点'!$A$2:$A$501,'04_路径网络'!E140)+COUNTIF('06_建筑锚点'!$A$2:$A$501,'04_路径网络'!E140)=0),"终点引用对象不存在；","")&amp;IF(AND('04_路径网络'!F140&lt;&gt;"",COUNTIF('04_路径网络'!$A$2:$A$501,'04_路径网络'!F140)=0),"父级路径不存在；","")&amp;IF(AND('04_路径网络'!A140&lt;&gt;"",COUNTIF('04_路径网络'!$A$2:$A$501,'04_路径网络'!A140)&gt;1),"ID重复；",""),"")</f>
        <v/>
      </c>
      <c r="G1140" s="14">
        <f>IF(F1140&lt;&gt;"","按字段批注、数据字典和来源记录修正后复核","")</f>
        <v/>
      </c>
      <c r="H1140" s="14">
        <f>IF(F1140&lt;&gt;"","待处理","")</f>
        <v/>
      </c>
    </row>
    <row r="1141">
      <c r="A1141" s="14">
        <f>IF(F1141&lt;&gt;"","ISSUE-"&amp;TEXT(ROW()-1,"00000"),"")</f>
        <v/>
      </c>
      <c r="B1141" s="14">
        <f>IF(F1141&lt;&gt;"","错误","")</f>
        <v/>
      </c>
      <c r="C1141" s="14">
        <f>IF('04_路径网络'!A141&lt;&gt;"","04_路径网络","")</f>
        <v/>
      </c>
      <c r="D1141" s="14">
        <f>IF('04_路径网络'!A141&lt;&gt;"",'04_路径网络'!A141,"")</f>
        <v/>
      </c>
      <c r="E1141" s="14">
        <f>IF(F1141&lt;&gt;"","综合校验","")</f>
        <v/>
      </c>
      <c r="F1141" s="14">
        <f>IF('04_路径网络'!A141&lt;&gt;"",IF('04_路径网络'!A141="","缺少路径ID；","")&amp;IF('04_路径网络'!C141="","缺少路径类型；","")&amp;IF('04_路径网络'!D141="","缺少起点对象ID；","")&amp;IF('04_路径网络'!E141="","缺少终点对象ID；","")&amp;IF(AND('04_路径网络'!D141&lt;&gt;"",'04_路径网络'!D141='04_路径网络'!E141),"起点与终点相同；","")&amp;IF(AND('04_路径网络'!D141&lt;&gt;"",COUNTIF('02_固定地理'!$A$2:$A$501,'04_路径网络'!D141)+COUNTIF('03_地点锚点'!$A$2:$A$501,'04_路径网络'!D141)+COUNTIF('06_建筑锚点'!$A$2:$A$501,'04_路径网络'!D141)=0),"起点引用对象不存在；","")&amp;IF(AND('04_路径网络'!E141&lt;&gt;"",COUNTIF('02_固定地理'!$A$2:$A$501,'04_路径网络'!E141)+COUNTIF('03_地点锚点'!$A$2:$A$501,'04_路径网络'!E141)+COUNTIF('06_建筑锚点'!$A$2:$A$501,'04_路径网络'!E141)=0),"终点引用对象不存在；","")&amp;IF(AND('04_路径网络'!F141&lt;&gt;"",COUNTIF('04_路径网络'!$A$2:$A$501,'04_路径网络'!F141)=0),"父级路径不存在；","")&amp;IF(AND('04_路径网络'!A141&lt;&gt;"",COUNTIF('04_路径网络'!$A$2:$A$501,'04_路径网络'!A141)&gt;1),"ID重复；",""),"")</f>
        <v/>
      </c>
      <c r="G1141" s="14">
        <f>IF(F1141&lt;&gt;"","按字段批注、数据字典和来源记录修正后复核","")</f>
        <v/>
      </c>
      <c r="H1141" s="14">
        <f>IF(F1141&lt;&gt;"","待处理","")</f>
        <v/>
      </c>
    </row>
    <row r="1142">
      <c r="A1142" s="14">
        <f>IF(F1142&lt;&gt;"","ISSUE-"&amp;TEXT(ROW()-1,"00000"),"")</f>
        <v/>
      </c>
      <c r="B1142" s="14">
        <f>IF(F1142&lt;&gt;"","错误","")</f>
        <v/>
      </c>
      <c r="C1142" s="14">
        <f>IF('04_路径网络'!A142&lt;&gt;"","04_路径网络","")</f>
        <v/>
      </c>
      <c r="D1142" s="14">
        <f>IF('04_路径网络'!A142&lt;&gt;"",'04_路径网络'!A142,"")</f>
        <v/>
      </c>
      <c r="E1142" s="14">
        <f>IF(F1142&lt;&gt;"","综合校验","")</f>
        <v/>
      </c>
      <c r="F1142" s="14">
        <f>IF('04_路径网络'!A142&lt;&gt;"",IF('04_路径网络'!A142="","缺少路径ID；","")&amp;IF('04_路径网络'!C142="","缺少路径类型；","")&amp;IF('04_路径网络'!D142="","缺少起点对象ID；","")&amp;IF('04_路径网络'!E142="","缺少终点对象ID；","")&amp;IF(AND('04_路径网络'!D142&lt;&gt;"",'04_路径网络'!D142='04_路径网络'!E142),"起点与终点相同；","")&amp;IF(AND('04_路径网络'!D142&lt;&gt;"",COUNTIF('02_固定地理'!$A$2:$A$501,'04_路径网络'!D142)+COUNTIF('03_地点锚点'!$A$2:$A$501,'04_路径网络'!D142)+COUNTIF('06_建筑锚点'!$A$2:$A$501,'04_路径网络'!D142)=0),"起点引用对象不存在；","")&amp;IF(AND('04_路径网络'!E142&lt;&gt;"",COUNTIF('02_固定地理'!$A$2:$A$501,'04_路径网络'!E142)+COUNTIF('03_地点锚点'!$A$2:$A$501,'04_路径网络'!E142)+COUNTIF('06_建筑锚点'!$A$2:$A$501,'04_路径网络'!E142)=0),"终点引用对象不存在；","")&amp;IF(AND('04_路径网络'!F142&lt;&gt;"",COUNTIF('04_路径网络'!$A$2:$A$501,'04_路径网络'!F142)=0),"父级路径不存在；","")&amp;IF(AND('04_路径网络'!A142&lt;&gt;"",COUNTIF('04_路径网络'!$A$2:$A$501,'04_路径网络'!A142)&gt;1),"ID重复；",""),"")</f>
        <v/>
      </c>
      <c r="G1142" s="14">
        <f>IF(F1142&lt;&gt;"","按字段批注、数据字典和来源记录修正后复核","")</f>
        <v/>
      </c>
      <c r="H1142" s="14">
        <f>IF(F1142&lt;&gt;"","待处理","")</f>
        <v/>
      </c>
    </row>
    <row r="1143">
      <c r="A1143" s="14">
        <f>IF(F1143&lt;&gt;"","ISSUE-"&amp;TEXT(ROW()-1,"00000"),"")</f>
        <v/>
      </c>
      <c r="B1143" s="14">
        <f>IF(F1143&lt;&gt;"","错误","")</f>
        <v/>
      </c>
      <c r="C1143" s="14">
        <f>IF('04_路径网络'!A143&lt;&gt;"","04_路径网络","")</f>
        <v/>
      </c>
      <c r="D1143" s="14">
        <f>IF('04_路径网络'!A143&lt;&gt;"",'04_路径网络'!A143,"")</f>
        <v/>
      </c>
      <c r="E1143" s="14">
        <f>IF(F1143&lt;&gt;"","综合校验","")</f>
        <v/>
      </c>
      <c r="F1143" s="14">
        <f>IF('04_路径网络'!A143&lt;&gt;"",IF('04_路径网络'!A143="","缺少路径ID；","")&amp;IF('04_路径网络'!C143="","缺少路径类型；","")&amp;IF('04_路径网络'!D143="","缺少起点对象ID；","")&amp;IF('04_路径网络'!E143="","缺少终点对象ID；","")&amp;IF(AND('04_路径网络'!D143&lt;&gt;"",'04_路径网络'!D143='04_路径网络'!E143),"起点与终点相同；","")&amp;IF(AND('04_路径网络'!D143&lt;&gt;"",COUNTIF('02_固定地理'!$A$2:$A$501,'04_路径网络'!D143)+COUNTIF('03_地点锚点'!$A$2:$A$501,'04_路径网络'!D143)+COUNTIF('06_建筑锚点'!$A$2:$A$501,'04_路径网络'!D143)=0),"起点引用对象不存在；","")&amp;IF(AND('04_路径网络'!E143&lt;&gt;"",COUNTIF('02_固定地理'!$A$2:$A$501,'04_路径网络'!E143)+COUNTIF('03_地点锚点'!$A$2:$A$501,'04_路径网络'!E143)+COUNTIF('06_建筑锚点'!$A$2:$A$501,'04_路径网络'!E143)=0),"终点引用对象不存在；","")&amp;IF(AND('04_路径网络'!F143&lt;&gt;"",COUNTIF('04_路径网络'!$A$2:$A$501,'04_路径网络'!F143)=0),"父级路径不存在；","")&amp;IF(AND('04_路径网络'!A143&lt;&gt;"",COUNTIF('04_路径网络'!$A$2:$A$501,'04_路径网络'!A143)&gt;1),"ID重复；",""),"")</f>
        <v/>
      </c>
      <c r="G1143" s="14">
        <f>IF(F1143&lt;&gt;"","按字段批注、数据字典和来源记录修正后复核","")</f>
        <v/>
      </c>
      <c r="H1143" s="14">
        <f>IF(F1143&lt;&gt;"","待处理","")</f>
        <v/>
      </c>
    </row>
    <row r="1144">
      <c r="A1144" s="14">
        <f>IF(F1144&lt;&gt;"","ISSUE-"&amp;TEXT(ROW()-1,"00000"),"")</f>
        <v/>
      </c>
      <c r="B1144" s="14">
        <f>IF(F1144&lt;&gt;"","错误","")</f>
        <v/>
      </c>
      <c r="C1144" s="14">
        <f>IF('04_路径网络'!A144&lt;&gt;"","04_路径网络","")</f>
        <v/>
      </c>
      <c r="D1144" s="14">
        <f>IF('04_路径网络'!A144&lt;&gt;"",'04_路径网络'!A144,"")</f>
        <v/>
      </c>
      <c r="E1144" s="14">
        <f>IF(F1144&lt;&gt;"","综合校验","")</f>
        <v/>
      </c>
      <c r="F1144" s="14">
        <f>IF('04_路径网络'!A144&lt;&gt;"",IF('04_路径网络'!A144="","缺少路径ID；","")&amp;IF('04_路径网络'!C144="","缺少路径类型；","")&amp;IF('04_路径网络'!D144="","缺少起点对象ID；","")&amp;IF('04_路径网络'!E144="","缺少终点对象ID；","")&amp;IF(AND('04_路径网络'!D144&lt;&gt;"",'04_路径网络'!D144='04_路径网络'!E144),"起点与终点相同；","")&amp;IF(AND('04_路径网络'!D144&lt;&gt;"",COUNTIF('02_固定地理'!$A$2:$A$501,'04_路径网络'!D144)+COUNTIF('03_地点锚点'!$A$2:$A$501,'04_路径网络'!D144)+COUNTIF('06_建筑锚点'!$A$2:$A$501,'04_路径网络'!D144)=0),"起点引用对象不存在；","")&amp;IF(AND('04_路径网络'!E144&lt;&gt;"",COUNTIF('02_固定地理'!$A$2:$A$501,'04_路径网络'!E144)+COUNTIF('03_地点锚点'!$A$2:$A$501,'04_路径网络'!E144)+COUNTIF('06_建筑锚点'!$A$2:$A$501,'04_路径网络'!E144)=0),"终点引用对象不存在；","")&amp;IF(AND('04_路径网络'!F144&lt;&gt;"",COUNTIF('04_路径网络'!$A$2:$A$501,'04_路径网络'!F144)=0),"父级路径不存在；","")&amp;IF(AND('04_路径网络'!A144&lt;&gt;"",COUNTIF('04_路径网络'!$A$2:$A$501,'04_路径网络'!A144)&gt;1),"ID重复；",""),"")</f>
        <v/>
      </c>
      <c r="G1144" s="14">
        <f>IF(F1144&lt;&gt;"","按字段批注、数据字典和来源记录修正后复核","")</f>
        <v/>
      </c>
      <c r="H1144" s="14">
        <f>IF(F1144&lt;&gt;"","待处理","")</f>
        <v/>
      </c>
    </row>
    <row r="1145">
      <c r="A1145" s="14">
        <f>IF(F1145&lt;&gt;"","ISSUE-"&amp;TEXT(ROW()-1,"00000"),"")</f>
        <v/>
      </c>
      <c r="B1145" s="14">
        <f>IF(F1145&lt;&gt;"","错误","")</f>
        <v/>
      </c>
      <c r="C1145" s="14">
        <f>IF('04_路径网络'!A145&lt;&gt;"","04_路径网络","")</f>
        <v/>
      </c>
      <c r="D1145" s="14">
        <f>IF('04_路径网络'!A145&lt;&gt;"",'04_路径网络'!A145,"")</f>
        <v/>
      </c>
      <c r="E1145" s="14">
        <f>IF(F1145&lt;&gt;"","综合校验","")</f>
        <v/>
      </c>
      <c r="F1145" s="14">
        <f>IF('04_路径网络'!A145&lt;&gt;"",IF('04_路径网络'!A145="","缺少路径ID；","")&amp;IF('04_路径网络'!C145="","缺少路径类型；","")&amp;IF('04_路径网络'!D145="","缺少起点对象ID；","")&amp;IF('04_路径网络'!E145="","缺少终点对象ID；","")&amp;IF(AND('04_路径网络'!D145&lt;&gt;"",'04_路径网络'!D145='04_路径网络'!E145),"起点与终点相同；","")&amp;IF(AND('04_路径网络'!D145&lt;&gt;"",COUNTIF('02_固定地理'!$A$2:$A$501,'04_路径网络'!D145)+COUNTIF('03_地点锚点'!$A$2:$A$501,'04_路径网络'!D145)+COUNTIF('06_建筑锚点'!$A$2:$A$501,'04_路径网络'!D145)=0),"起点引用对象不存在；","")&amp;IF(AND('04_路径网络'!E145&lt;&gt;"",COUNTIF('02_固定地理'!$A$2:$A$501,'04_路径网络'!E145)+COUNTIF('03_地点锚点'!$A$2:$A$501,'04_路径网络'!E145)+COUNTIF('06_建筑锚点'!$A$2:$A$501,'04_路径网络'!E145)=0),"终点引用对象不存在；","")&amp;IF(AND('04_路径网络'!F145&lt;&gt;"",COUNTIF('04_路径网络'!$A$2:$A$501,'04_路径网络'!F145)=0),"父级路径不存在；","")&amp;IF(AND('04_路径网络'!A145&lt;&gt;"",COUNTIF('04_路径网络'!$A$2:$A$501,'04_路径网络'!A145)&gt;1),"ID重复；",""),"")</f>
        <v/>
      </c>
      <c r="G1145" s="14">
        <f>IF(F1145&lt;&gt;"","按字段批注、数据字典和来源记录修正后复核","")</f>
        <v/>
      </c>
      <c r="H1145" s="14">
        <f>IF(F1145&lt;&gt;"","待处理","")</f>
        <v/>
      </c>
    </row>
    <row r="1146">
      <c r="A1146" s="14">
        <f>IF(F1146&lt;&gt;"","ISSUE-"&amp;TEXT(ROW()-1,"00000"),"")</f>
        <v/>
      </c>
      <c r="B1146" s="14">
        <f>IF(F1146&lt;&gt;"","错误","")</f>
        <v/>
      </c>
      <c r="C1146" s="14">
        <f>IF('04_路径网络'!A146&lt;&gt;"","04_路径网络","")</f>
        <v/>
      </c>
      <c r="D1146" s="14">
        <f>IF('04_路径网络'!A146&lt;&gt;"",'04_路径网络'!A146,"")</f>
        <v/>
      </c>
      <c r="E1146" s="14">
        <f>IF(F1146&lt;&gt;"","综合校验","")</f>
        <v/>
      </c>
      <c r="F1146" s="14">
        <f>IF('04_路径网络'!A146&lt;&gt;"",IF('04_路径网络'!A146="","缺少路径ID；","")&amp;IF('04_路径网络'!C146="","缺少路径类型；","")&amp;IF('04_路径网络'!D146="","缺少起点对象ID；","")&amp;IF('04_路径网络'!E146="","缺少终点对象ID；","")&amp;IF(AND('04_路径网络'!D146&lt;&gt;"",'04_路径网络'!D146='04_路径网络'!E146),"起点与终点相同；","")&amp;IF(AND('04_路径网络'!D146&lt;&gt;"",COUNTIF('02_固定地理'!$A$2:$A$501,'04_路径网络'!D146)+COUNTIF('03_地点锚点'!$A$2:$A$501,'04_路径网络'!D146)+COUNTIF('06_建筑锚点'!$A$2:$A$501,'04_路径网络'!D146)=0),"起点引用对象不存在；","")&amp;IF(AND('04_路径网络'!E146&lt;&gt;"",COUNTIF('02_固定地理'!$A$2:$A$501,'04_路径网络'!E146)+COUNTIF('03_地点锚点'!$A$2:$A$501,'04_路径网络'!E146)+COUNTIF('06_建筑锚点'!$A$2:$A$501,'04_路径网络'!E146)=0),"终点引用对象不存在；","")&amp;IF(AND('04_路径网络'!F146&lt;&gt;"",COUNTIF('04_路径网络'!$A$2:$A$501,'04_路径网络'!F146)=0),"父级路径不存在；","")&amp;IF(AND('04_路径网络'!A146&lt;&gt;"",COUNTIF('04_路径网络'!$A$2:$A$501,'04_路径网络'!A146)&gt;1),"ID重复；",""),"")</f>
        <v/>
      </c>
      <c r="G1146" s="14">
        <f>IF(F1146&lt;&gt;"","按字段批注、数据字典和来源记录修正后复核","")</f>
        <v/>
      </c>
      <c r="H1146" s="14">
        <f>IF(F1146&lt;&gt;"","待处理","")</f>
        <v/>
      </c>
    </row>
    <row r="1147">
      <c r="A1147" s="14">
        <f>IF(F1147&lt;&gt;"","ISSUE-"&amp;TEXT(ROW()-1,"00000"),"")</f>
        <v/>
      </c>
      <c r="B1147" s="14">
        <f>IF(F1147&lt;&gt;"","错误","")</f>
        <v/>
      </c>
      <c r="C1147" s="14">
        <f>IF('04_路径网络'!A147&lt;&gt;"","04_路径网络","")</f>
        <v/>
      </c>
      <c r="D1147" s="14">
        <f>IF('04_路径网络'!A147&lt;&gt;"",'04_路径网络'!A147,"")</f>
        <v/>
      </c>
      <c r="E1147" s="14">
        <f>IF(F1147&lt;&gt;"","综合校验","")</f>
        <v/>
      </c>
      <c r="F1147" s="14">
        <f>IF('04_路径网络'!A147&lt;&gt;"",IF('04_路径网络'!A147="","缺少路径ID；","")&amp;IF('04_路径网络'!C147="","缺少路径类型；","")&amp;IF('04_路径网络'!D147="","缺少起点对象ID；","")&amp;IF('04_路径网络'!E147="","缺少终点对象ID；","")&amp;IF(AND('04_路径网络'!D147&lt;&gt;"",'04_路径网络'!D147='04_路径网络'!E147),"起点与终点相同；","")&amp;IF(AND('04_路径网络'!D147&lt;&gt;"",COUNTIF('02_固定地理'!$A$2:$A$501,'04_路径网络'!D147)+COUNTIF('03_地点锚点'!$A$2:$A$501,'04_路径网络'!D147)+COUNTIF('06_建筑锚点'!$A$2:$A$501,'04_路径网络'!D147)=0),"起点引用对象不存在；","")&amp;IF(AND('04_路径网络'!E147&lt;&gt;"",COUNTIF('02_固定地理'!$A$2:$A$501,'04_路径网络'!E147)+COUNTIF('03_地点锚点'!$A$2:$A$501,'04_路径网络'!E147)+COUNTIF('06_建筑锚点'!$A$2:$A$501,'04_路径网络'!E147)=0),"终点引用对象不存在；","")&amp;IF(AND('04_路径网络'!F147&lt;&gt;"",COUNTIF('04_路径网络'!$A$2:$A$501,'04_路径网络'!F147)=0),"父级路径不存在；","")&amp;IF(AND('04_路径网络'!A147&lt;&gt;"",COUNTIF('04_路径网络'!$A$2:$A$501,'04_路径网络'!A147)&gt;1),"ID重复；",""),"")</f>
        <v/>
      </c>
      <c r="G1147" s="14">
        <f>IF(F1147&lt;&gt;"","按字段批注、数据字典和来源记录修正后复核","")</f>
        <v/>
      </c>
      <c r="H1147" s="14">
        <f>IF(F1147&lt;&gt;"","待处理","")</f>
        <v/>
      </c>
    </row>
    <row r="1148">
      <c r="A1148" s="14">
        <f>IF(F1148&lt;&gt;"","ISSUE-"&amp;TEXT(ROW()-1,"00000"),"")</f>
        <v/>
      </c>
      <c r="B1148" s="14">
        <f>IF(F1148&lt;&gt;"","错误","")</f>
        <v/>
      </c>
      <c r="C1148" s="14">
        <f>IF('04_路径网络'!A148&lt;&gt;"","04_路径网络","")</f>
        <v/>
      </c>
      <c r="D1148" s="14">
        <f>IF('04_路径网络'!A148&lt;&gt;"",'04_路径网络'!A148,"")</f>
        <v/>
      </c>
      <c r="E1148" s="14">
        <f>IF(F1148&lt;&gt;"","综合校验","")</f>
        <v/>
      </c>
      <c r="F1148" s="14">
        <f>IF('04_路径网络'!A148&lt;&gt;"",IF('04_路径网络'!A148="","缺少路径ID；","")&amp;IF('04_路径网络'!C148="","缺少路径类型；","")&amp;IF('04_路径网络'!D148="","缺少起点对象ID；","")&amp;IF('04_路径网络'!E148="","缺少终点对象ID；","")&amp;IF(AND('04_路径网络'!D148&lt;&gt;"",'04_路径网络'!D148='04_路径网络'!E148),"起点与终点相同；","")&amp;IF(AND('04_路径网络'!D148&lt;&gt;"",COUNTIF('02_固定地理'!$A$2:$A$501,'04_路径网络'!D148)+COUNTIF('03_地点锚点'!$A$2:$A$501,'04_路径网络'!D148)+COUNTIF('06_建筑锚点'!$A$2:$A$501,'04_路径网络'!D148)=0),"起点引用对象不存在；","")&amp;IF(AND('04_路径网络'!E148&lt;&gt;"",COUNTIF('02_固定地理'!$A$2:$A$501,'04_路径网络'!E148)+COUNTIF('03_地点锚点'!$A$2:$A$501,'04_路径网络'!E148)+COUNTIF('06_建筑锚点'!$A$2:$A$501,'04_路径网络'!E148)=0),"终点引用对象不存在；","")&amp;IF(AND('04_路径网络'!F148&lt;&gt;"",COUNTIF('04_路径网络'!$A$2:$A$501,'04_路径网络'!F148)=0),"父级路径不存在；","")&amp;IF(AND('04_路径网络'!A148&lt;&gt;"",COUNTIF('04_路径网络'!$A$2:$A$501,'04_路径网络'!A148)&gt;1),"ID重复；",""),"")</f>
        <v/>
      </c>
      <c r="G1148" s="14">
        <f>IF(F1148&lt;&gt;"","按字段批注、数据字典和来源记录修正后复核","")</f>
        <v/>
      </c>
      <c r="H1148" s="14">
        <f>IF(F1148&lt;&gt;"","待处理","")</f>
        <v/>
      </c>
    </row>
    <row r="1149">
      <c r="A1149" s="14">
        <f>IF(F1149&lt;&gt;"","ISSUE-"&amp;TEXT(ROW()-1,"00000"),"")</f>
        <v/>
      </c>
      <c r="B1149" s="14">
        <f>IF(F1149&lt;&gt;"","错误","")</f>
        <v/>
      </c>
      <c r="C1149" s="14">
        <f>IF('04_路径网络'!A149&lt;&gt;"","04_路径网络","")</f>
        <v/>
      </c>
      <c r="D1149" s="14">
        <f>IF('04_路径网络'!A149&lt;&gt;"",'04_路径网络'!A149,"")</f>
        <v/>
      </c>
      <c r="E1149" s="14">
        <f>IF(F1149&lt;&gt;"","综合校验","")</f>
        <v/>
      </c>
      <c r="F1149" s="14">
        <f>IF('04_路径网络'!A149&lt;&gt;"",IF('04_路径网络'!A149="","缺少路径ID；","")&amp;IF('04_路径网络'!C149="","缺少路径类型；","")&amp;IF('04_路径网络'!D149="","缺少起点对象ID；","")&amp;IF('04_路径网络'!E149="","缺少终点对象ID；","")&amp;IF(AND('04_路径网络'!D149&lt;&gt;"",'04_路径网络'!D149='04_路径网络'!E149),"起点与终点相同；","")&amp;IF(AND('04_路径网络'!D149&lt;&gt;"",COUNTIF('02_固定地理'!$A$2:$A$501,'04_路径网络'!D149)+COUNTIF('03_地点锚点'!$A$2:$A$501,'04_路径网络'!D149)+COUNTIF('06_建筑锚点'!$A$2:$A$501,'04_路径网络'!D149)=0),"起点引用对象不存在；","")&amp;IF(AND('04_路径网络'!E149&lt;&gt;"",COUNTIF('02_固定地理'!$A$2:$A$501,'04_路径网络'!E149)+COUNTIF('03_地点锚点'!$A$2:$A$501,'04_路径网络'!E149)+COUNTIF('06_建筑锚点'!$A$2:$A$501,'04_路径网络'!E149)=0),"终点引用对象不存在；","")&amp;IF(AND('04_路径网络'!F149&lt;&gt;"",COUNTIF('04_路径网络'!$A$2:$A$501,'04_路径网络'!F149)=0),"父级路径不存在；","")&amp;IF(AND('04_路径网络'!A149&lt;&gt;"",COUNTIF('04_路径网络'!$A$2:$A$501,'04_路径网络'!A149)&gt;1),"ID重复；",""),"")</f>
        <v/>
      </c>
      <c r="G1149" s="14">
        <f>IF(F1149&lt;&gt;"","按字段批注、数据字典和来源记录修正后复核","")</f>
        <v/>
      </c>
      <c r="H1149" s="14">
        <f>IF(F1149&lt;&gt;"","待处理","")</f>
        <v/>
      </c>
    </row>
    <row r="1150">
      <c r="A1150" s="14">
        <f>IF(F1150&lt;&gt;"","ISSUE-"&amp;TEXT(ROW()-1,"00000"),"")</f>
        <v/>
      </c>
      <c r="B1150" s="14">
        <f>IF(F1150&lt;&gt;"","错误","")</f>
        <v/>
      </c>
      <c r="C1150" s="14">
        <f>IF('04_路径网络'!A150&lt;&gt;"","04_路径网络","")</f>
        <v/>
      </c>
      <c r="D1150" s="14">
        <f>IF('04_路径网络'!A150&lt;&gt;"",'04_路径网络'!A150,"")</f>
        <v/>
      </c>
      <c r="E1150" s="14">
        <f>IF(F1150&lt;&gt;"","综合校验","")</f>
        <v/>
      </c>
      <c r="F1150" s="14">
        <f>IF('04_路径网络'!A150&lt;&gt;"",IF('04_路径网络'!A150="","缺少路径ID；","")&amp;IF('04_路径网络'!C150="","缺少路径类型；","")&amp;IF('04_路径网络'!D150="","缺少起点对象ID；","")&amp;IF('04_路径网络'!E150="","缺少终点对象ID；","")&amp;IF(AND('04_路径网络'!D150&lt;&gt;"",'04_路径网络'!D150='04_路径网络'!E150),"起点与终点相同；","")&amp;IF(AND('04_路径网络'!D150&lt;&gt;"",COUNTIF('02_固定地理'!$A$2:$A$501,'04_路径网络'!D150)+COUNTIF('03_地点锚点'!$A$2:$A$501,'04_路径网络'!D150)+COUNTIF('06_建筑锚点'!$A$2:$A$501,'04_路径网络'!D150)=0),"起点引用对象不存在；","")&amp;IF(AND('04_路径网络'!E150&lt;&gt;"",COUNTIF('02_固定地理'!$A$2:$A$501,'04_路径网络'!E150)+COUNTIF('03_地点锚点'!$A$2:$A$501,'04_路径网络'!E150)+COUNTIF('06_建筑锚点'!$A$2:$A$501,'04_路径网络'!E150)=0),"终点引用对象不存在；","")&amp;IF(AND('04_路径网络'!F150&lt;&gt;"",COUNTIF('04_路径网络'!$A$2:$A$501,'04_路径网络'!F150)=0),"父级路径不存在；","")&amp;IF(AND('04_路径网络'!A150&lt;&gt;"",COUNTIF('04_路径网络'!$A$2:$A$501,'04_路径网络'!A150)&gt;1),"ID重复；",""),"")</f>
        <v/>
      </c>
      <c r="G1150" s="14">
        <f>IF(F1150&lt;&gt;"","按字段批注、数据字典和来源记录修正后复核","")</f>
        <v/>
      </c>
      <c r="H1150" s="14">
        <f>IF(F1150&lt;&gt;"","待处理","")</f>
        <v/>
      </c>
    </row>
    <row r="1151">
      <c r="A1151" s="14">
        <f>IF(F1151&lt;&gt;"","ISSUE-"&amp;TEXT(ROW()-1,"00000"),"")</f>
        <v/>
      </c>
      <c r="B1151" s="14">
        <f>IF(F1151&lt;&gt;"","错误","")</f>
        <v/>
      </c>
      <c r="C1151" s="14">
        <f>IF('04_路径网络'!A151&lt;&gt;"","04_路径网络","")</f>
        <v/>
      </c>
      <c r="D1151" s="14">
        <f>IF('04_路径网络'!A151&lt;&gt;"",'04_路径网络'!A151,"")</f>
        <v/>
      </c>
      <c r="E1151" s="14">
        <f>IF(F1151&lt;&gt;"","综合校验","")</f>
        <v/>
      </c>
      <c r="F1151" s="14">
        <f>IF('04_路径网络'!A151&lt;&gt;"",IF('04_路径网络'!A151="","缺少路径ID；","")&amp;IF('04_路径网络'!C151="","缺少路径类型；","")&amp;IF('04_路径网络'!D151="","缺少起点对象ID；","")&amp;IF('04_路径网络'!E151="","缺少终点对象ID；","")&amp;IF(AND('04_路径网络'!D151&lt;&gt;"",'04_路径网络'!D151='04_路径网络'!E151),"起点与终点相同；","")&amp;IF(AND('04_路径网络'!D151&lt;&gt;"",COUNTIF('02_固定地理'!$A$2:$A$501,'04_路径网络'!D151)+COUNTIF('03_地点锚点'!$A$2:$A$501,'04_路径网络'!D151)+COUNTIF('06_建筑锚点'!$A$2:$A$501,'04_路径网络'!D151)=0),"起点引用对象不存在；","")&amp;IF(AND('04_路径网络'!E151&lt;&gt;"",COUNTIF('02_固定地理'!$A$2:$A$501,'04_路径网络'!E151)+COUNTIF('03_地点锚点'!$A$2:$A$501,'04_路径网络'!E151)+COUNTIF('06_建筑锚点'!$A$2:$A$501,'04_路径网络'!E151)=0),"终点引用对象不存在；","")&amp;IF(AND('04_路径网络'!F151&lt;&gt;"",COUNTIF('04_路径网络'!$A$2:$A$501,'04_路径网络'!F151)=0),"父级路径不存在；","")&amp;IF(AND('04_路径网络'!A151&lt;&gt;"",COUNTIF('04_路径网络'!$A$2:$A$501,'04_路径网络'!A151)&gt;1),"ID重复；",""),"")</f>
        <v/>
      </c>
      <c r="G1151" s="14">
        <f>IF(F1151&lt;&gt;"","按字段批注、数据字典和来源记录修正后复核","")</f>
        <v/>
      </c>
      <c r="H1151" s="14">
        <f>IF(F1151&lt;&gt;"","待处理","")</f>
        <v/>
      </c>
    </row>
    <row r="1152">
      <c r="A1152" s="14">
        <f>IF(F1152&lt;&gt;"","ISSUE-"&amp;TEXT(ROW()-1,"00000"),"")</f>
        <v/>
      </c>
      <c r="B1152" s="14">
        <f>IF(F1152&lt;&gt;"","错误","")</f>
        <v/>
      </c>
      <c r="C1152" s="14">
        <f>IF('04_路径网络'!A152&lt;&gt;"","04_路径网络","")</f>
        <v/>
      </c>
      <c r="D1152" s="14">
        <f>IF('04_路径网络'!A152&lt;&gt;"",'04_路径网络'!A152,"")</f>
        <v/>
      </c>
      <c r="E1152" s="14">
        <f>IF(F1152&lt;&gt;"","综合校验","")</f>
        <v/>
      </c>
      <c r="F1152" s="14">
        <f>IF('04_路径网络'!A152&lt;&gt;"",IF('04_路径网络'!A152="","缺少路径ID；","")&amp;IF('04_路径网络'!C152="","缺少路径类型；","")&amp;IF('04_路径网络'!D152="","缺少起点对象ID；","")&amp;IF('04_路径网络'!E152="","缺少终点对象ID；","")&amp;IF(AND('04_路径网络'!D152&lt;&gt;"",'04_路径网络'!D152='04_路径网络'!E152),"起点与终点相同；","")&amp;IF(AND('04_路径网络'!D152&lt;&gt;"",COUNTIF('02_固定地理'!$A$2:$A$501,'04_路径网络'!D152)+COUNTIF('03_地点锚点'!$A$2:$A$501,'04_路径网络'!D152)+COUNTIF('06_建筑锚点'!$A$2:$A$501,'04_路径网络'!D152)=0),"起点引用对象不存在；","")&amp;IF(AND('04_路径网络'!E152&lt;&gt;"",COUNTIF('02_固定地理'!$A$2:$A$501,'04_路径网络'!E152)+COUNTIF('03_地点锚点'!$A$2:$A$501,'04_路径网络'!E152)+COUNTIF('06_建筑锚点'!$A$2:$A$501,'04_路径网络'!E152)=0),"终点引用对象不存在；","")&amp;IF(AND('04_路径网络'!F152&lt;&gt;"",COUNTIF('04_路径网络'!$A$2:$A$501,'04_路径网络'!F152)=0),"父级路径不存在；","")&amp;IF(AND('04_路径网络'!A152&lt;&gt;"",COUNTIF('04_路径网络'!$A$2:$A$501,'04_路径网络'!A152)&gt;1),"ID重复；",""),"")</f>
        <v/>
      </c>
      <c r="G1152" s="14">
        <f>IF(F1152&lt;&gt;"","按字段批注、数据字典和来源记录修正后复核","")</f>
        <v/>
      </c>
      <c r="H1152" s="14">
        <f>IF(F1152&lt;&gt;"","待处理","")</f>
        <v/>
      </c>
    </row>
    <row r="1153">
      <c r="A1153" s="14">
        <f>IF(F1153&lt;&gt;"","ISSUE-"&amp;TEXT(ROW()-1,"00000"),"")</f>
        <v/>
      </c>
      <c r="B1153" s="14">
        <f>IF(F1153&lt;&gt;"","错误","")</f>
        <v/>
      </c>
      <c r="C1153" s="14">
        <f>IF('04_路径网络'!A153&lt;&gt;"","04_路径网络","")</f>
        <v/>
      </c>
      <c r="D1153" s="14">
        <f>IF('04_路径网络'!A153&lt;&gt;"",'04_路径网络'!A153,"")</f>
        <v/>
      </c>
      <c r="E1153" s="14">
        <f>IF(F1153&lt;&gt;"","综合校验","")</f>
        <v/>
      </c>
      <c r="F1153" s="14">
        <f>IF('04_路径网络'!A153&lt;&gt;"",IF('04_路径网络'!A153="","缺少路径ID；","")&amp;IF('04_路径网络'!C153="","缺少路径类型；","")&amp;IF('04_路径网络'!D153="","缺少起点对象ID；","")&amp;IF('04_路径网络'!E153="","缺少终点对象ID；","")&amp;IF(AND('04_路径网络'!D153&lt;&gt;"",'04_路径网络'!D153='04_路径网络'!E153),"起点与终点相同；","")&amp;IF(AND('04_路径网络'!D153&lt;&gt;"",COUNTIF('02_固定地理'!$A$2:$A$501,'04_路径网络'!D153)+COUNTIF('03_地点锚点'!$A$2:$A$501,'04_路径网络'!D153)+COUNTIF('06_建筑锚点'!$A$2:$A$501,'04_路径网络'!D153)=0),"起点引用对象不存在；","")&amp;IF(AND('04_路径网络'!E153&lt;&gt;"",COUNTIF('02_固定地理'!$A$2:$A$501,'04_路径网络'!E153)+COUNTIF('03_地点锚点'!$A$2:$A$501,'04_路径网络'!E153)+COUNTIF('06_建筑锚点'!$A$2:$A$501,'04_路径网络'!E153)=0),"终点引用对象不存在；","")&amp;IF(AND('04_路径网络'!F153&lt;&gt;"",COUNTIF('04_路径网络'!$A$2:$A$501,'04_路径网络'!F153)=0),"父级路径不存在；","")&amp;IF(AND('04_路径网络'!A153&lt;&gt;"",COUNTIF('04_路径网络'!$A$2:$A$501,'04_路径网络'!A153)&gt;1),"ID重复；",""),"")</f>
        <v/>
      </c>
      <c r="G1153" s="14">
        <f>IF(F1153&lt;&gt;"","按字段批注、数据字典和来源记录修正后复核","")</f>
        <v/>
      </c>
      <c r="H1153" s="14">
        <f>IF(F1153&lt;&gt;"","待处理","")</f>
        <v/>
      </c>
    </row>
    <row r="1154">
      <c r="A1154" s="14">
        <f>IF(F1154&lt;&gt;"","ISSUE-"&amp;TEXT(ROW()-1,"00000"),"")</f>
        <v/>
      </c>
      <c r="B1154" s="14">
        <f>IF(F1154&lt;&gt;"","错误","")</f>
        <v/>
      </c>
      <c r="C1154" s="14">
        <f>IF('04_路径网络'!A154&lt;&gt;"","04_路径网络","")</f>
        <v/>
      </c>
      <c r="D1154" s="14">
        <f>IF('04_路径网络'!A154&lt;&gt;"",'04_路径网络'!A154,"")</f>
        <v/>
      </c>
      <c r="E1154" s="14">
        <f>IF(F1154&lt;&gt;"","综合校验","")</f>
        <v/>
      </c>
      <c r="F1154" s="14">
        <f>IF('04_路径网络'!A154&lt;&gt;"",IF('04_路径网络'!A154="","缺少路径ID；","")&amp;IF('04_路径网络'!C154="","缺少路径类型；","")&amp;IF('04_路径网络'!D154="","缺少起点对象ID；","")&amp;IF('04_路径网络'!E154="","缺少终点对象ID；","")&amp;IF(AND('04_路径网络'!D154&lt;&gt;"",'04_路径网络'!D154='04_路径网络'!E154),"起点与终点相同；","")&amp;IF(AND('04_路径网络'!D154&lt;&gt;"",COUNTIF('02_固定地理'!$A$2:$A$501,'04_路径网络'!D154)+COUNTIF('03_地点锚点'!$A$2:$A$501,'04_路径网络'!D154)+COUNTIF('06_建筑锚点'!$A$2:$A$501,'04_路径网络'!D154)=0),"起点引用对象不存在；","")&amp;IF(AND('04_路径网络'!E154&lt;&gt;"",COUNTIF('02_固定地理'!$A$2:$A$501,'04_路径网络'!E154)+COUNTIF('03_地点锚点'!$A$2:$A$501,'04_路径网络'!E154)+COUNTIF('06_建筑锚点'!$A$2:$A$501,'04_路径网络'!E154)=0),"终点引用对象不存在；","")&amp;IF(AND('04_路径网络'!F154&lt;&gt;"",COUNTIF('04_路径网络'!$A$2:$A$501,'04_路径网络'!F154)=0),"父级路径不存在；","")&amp;IF(AND('04_路径网络'!A154&lt;&gt;"",COUNTIF('04_路径网络'!$A$2:$A$501,'04_路径网络'!A154)&gt;1),"ID重复；",""),"")</f>
        <v/>
      </c>
      <c r="G1154" s="14">
        <f>IF(F1154&lt;&gt;"","按字段批注、数据字典和来源记录修正后复核","")</f>
        <v/>
      </c>
      <c r="H1154" s="14">
        <f>IF(F1154&lt;&gt;"","待处理","")</f>
        <v/>
      </c>
    </row>
    <row r="1155">
      <c r="A1155" s="14">
        <f>IF(F1155&lt;&gt;"","ISSUE-"&amp;TEXT(ROW()-1,"00000"),"")</f>
        <v/>
      </c>
      <c r="B1155" s="14">
        <f>IF(F1155&lt;&gt;"","错误","")</f>
        <v/>
      </c>
      <c r="C1155" s="14">
        <f>IF('04_路径网络'!A155&lt;&gt;"","04_路径网络","")</f>
        <v/>
      </c>
      <c r="D1155" s="14">
        <f>IF('04_路径网络'!A155&lt;&gt;"",'04_路径网络'!A155,"")</f>
        <v/>
      </c>
      <c r="E1155" s="14">
        <f>IF(F1155&lt;&gt;"","综合校验","")</f>
        <v/>
      </c>
      <c r="F1155" s="14">
        <f>IF('04_路径网络'!A155&lt;&gt;"",IF('04_路径网络'!A155="","缺少路径ID；","")&amp;IF('04_路径网络'!C155="","缺少路径类型；","")&amp;IF('04_路径网络'!D155="","缺少起点对象ID；","")&amp;IF('04_路径网络'!E155="","缺少终点对象ID；","")&amp;IF(AND('04_路径网络'!D155&lt;&gt;"",'04_路径网络'!D155='04_路径网络'!E155),"起点与终点相同；","")&amp;IF(AND('04_路径网络'!D155&lt;&gt;"",COUNTIF('02_固定地理'!$A$2:$A$501,'04_路径网络'!D155)+COUNTIF('03_地点锚点'!$A$2:$A$501,'04_路径网络'!D155)+COUNTIF('06_建筑锚点'!$A$2:$A$501,'04_路径网络'!D155)=0),"起点引用对象不存在；","")&amp;IF(AND('04_路径网络'!E155&lt;&gt;"",COUNTIF('02_固定地理'!$A$2:$A$501,'04_路径网络'!E155)+COUNTIF('03_地点锚点'!$A$2:$A$501,'04_路径网络'!E155)+COUNTIF('06_建筑锚点'!$A$2:$A$501,'04_路径网络'!E155)=0),"终点引用对象不存在；","")&amp;IF(AND('04_路径网络'!F155&lt;&gt;"",COUNTIF('04_路径网络'!$A$2:$A$501,'04_路径网络'!F155)=0),"父级路径不存在；","")&amp;IF(AND('04_路径网络'!A155&lt;&gt;"",COUNTIF('04_路径网络'!$A$2:$A$501,'04_路径网络'!A155)&gt;1),"ID重复；",""),"")</f>
        <v/>
      </c>
      <c r="G1155" s="14">
        <f>IF(F1155&lt;&gt;"","按字段批注、数据字典和来源记录修正后复核","")</f>
        <v/>
      </c>
      <c r="H1155" s="14">
        <f>IF(F1155&lt;&gt;"","待处理","")</f>
        <v/>
      </c>
    </row>
    <row r="1156">
      <c r="A1156" s="14">
        <f>IF(F1156&lt;&gt;"","ISSUE-"&amp;TEXT(ROW()-1,"00000"),"")</f>
        <v/>
      </c>
      <c r="B1156" s="14">
        <f>IF(F1156&lt;&gt;"","错误","")</f>
        <v/>
      </c>
      <c r="C1156" s="14">
        <f>IF('04_路径网络'!A156&lt;&gt;"","04_路径网络","")</f>
        <v/>
      </c>
      <c r="D1156" s="14">
        <f>IF('04_路径网络'!A156&lt;&gt;"",'04_路径网络'!A156,"")</f>
        <v/>
      </c>
      <c r="E1156" s="14">
        <f>IF(F1156&lt;&gt;"","综合校验","")</f>
        <v/>
      </c>
      <c r="F1156" s="14">
        <f>IF('04_路径网络'!A156&lt;&gt;"",IF('04_路径网络'!A156="","缺少路径ID；","")&amp;IF('04_路径网络'!C156="","缺少路径类型；","")&amp;IF('04_路径网络'!D156="","缺少起点对象ID；","")&amp;IF('04_路径网络'!E156="","缺少终点对象ID；","")&amp;IF(AND('04_路径网络'!D156&lt;&gt;"",'04_路径网络'!D156='04_路径网络'!E156),"起点与终点相同；","")&amp;IF(AND('04_路径网络'!D156&lt;&gt;"",COUNTIF('02_固定地理'!$A$2:$A$501,'04_路径网络'!D156)+COUNTIF('03_地点锚点'!$A$2:$A$501,'04_路径网络'!D156)+COUNTIF('06_建筑锚点'!$A$2:$A$501,'04_路径网络'!D156)=0),"起点引用对象不存在；","")&amp;IF(AND('04_路径网络'!E156&lt;&gt;"",COUNTIF('02_固定地理'!$A$2:$A$501,'04_路径网络'!E156)+COUNTIF('03_地点锚点'!$A$2:$A$501,'04_路径网络'!E156)+COUNTIF('06_建筑锚点'!$A$2:$A$501,'04_路径网络'!E156)=0),"终点引用对象不存在；","")&amp;IF(AND('04_路径网络'!F156&lt;&gt;"",COUNTIF('04_路径网络'!$A$2:$A$501,'04_路径网络'!F156)=0),"父级路径不存在；","")&amp;IF(AND('04_路径网络'!A156&lt;&gt;"",COUNTIF('04_路径网络'!$A$2:$A$501,'04_路径网络'!A156)&gt;1),"ID重复；",""),"")</f>
        <v/>
      </c>
      <c r="G1156" s="14">
        <f>IF(F1156&lt;&gt;"","按字段批注、数据字典和来源记录修正后复核","")</f>
        <v/>
      </c>
      <c r="H1156" s="14">
        <f>IF(F1156&lt;&gt;"","待处理","")</f>
        <v/>
      </c>
    </row>
    <row r="1157">
      <c r="A1157" s="14">
        <f>IF(F1157&lt;&gt;"","ISSUE-"&amp;TEXT(ROW()-1,"00000"),"")</f>
        <v/>
      </c>
      <c r="B1157" s="14">
        <f>IF(F1157&lt;&gt;"","错误","")</f>
        <v/>
      </c>
      <c r="C1157" s="14">
        <f>IF('04_路径网络'!A157&lt;&gt;"","04_路径网络","")</f>
        <v/>
      </c>
      <c r="D1157" s="14">
        <f>IF('04_路径网络'!A157&lt;&gt;"",'04_路径网络'!A157,"")</f>
        <v/>
      </c>
      <c r="E1157" s="14">
        <f>IF(F1157&lt;&gt;"","综合校验","")</f>
        <v/>
      </c>
      <c r="F1157" s="14">
        <f>IF('04_路径网络'!A157&lt;&gt;"",IF('04_路径网络'!A157="","缺少路径ID；","")&amp;IF('04_路径网络'!C157="","缺少路径类型；","")&amp;IF('04_路径网络'!D157="","缺少起点对象ID；","")&amp;IF('04_路径网络'!E157="","缺少终点对象ID；","")&amp;IF(AND('04_路径网络'!D157&lt;&gt;"",'04_路径网络'!D157='04_路径网络'!E157),"起点与终点相同；","")&amp;IF(AND('04_路径网络'!D157&lt;&gt;"",COUNTIF('02_固定地理'!$A$2:$A$501,'04_路径网络'!D157)+COUNTIF('03_地点锚点'!$A$2:$A$501,'04_路径网络'!D157)+COUNTIF('06_建筑锚点'!$A$2:$A$501,'04_路径网络'!D157)=0),"起点引用对象不存在；","")&amp;IF(AND('04_路径网络'!E157&lt;&gt;"",COUNTIF('02_固定地理'!$A$2:$A$501,'04_路径网络'!E157)+COUNTIF('03_地点锚点'!$A$2:$A$501,'04_路径网络'!E157)+COUNTIF('06_建筑锚点'!$A$2:$A$501,'04_路径网络'!E157)=0),"终点引用对象不存在；","")&amp;IF(AND('04_路径网络'!F157&lt;&gt;"",COUNTIF('04_路径网络'!$A$2:$A$501,'04_路径网络'!F157)=0),"父级路径不存在；","")&amp;IF(AND('04_路径网络'!A157&lt;&gt;"",COUNTIF('04_路径网络'!$A$2:$A$501,'04_路径网络'!A157)&gt;1),"ID重复；",""),"")</f>
        <v/>
      </c>
      <c r="G1157" s="14">
        <f>IF(F1157&lt;&gt;"","按字段批注、数据字典和来源记录修正后复核","")</f>
        <v/>
      </c>
      <c r="H1157" s="14">
        <f>IF(F1157&lt;&gt;"","待处理","")</f>
        <v/>
      </c>
    </row>
    <row r="1158">
      <c r="A1158" s="14">
        <f>IF(F1158&lt;&gt;"","ISSUE-"&amp;TEXT(ROW()-1,"00000"),"")</f>
        <v/>
      </c>
      <c r="B1158" s="14">
        <f>IF(F1158&lt;&gt;"","错误","")</f>
        <v/>
      </c>
      <c r="C1158" s="14">
        <f>IF('04_路径网络'!A158&lt;&gt;"","04_路径网络","")</f>
        <v/>
      </c>
      <c r="D1158" s="14">
        <f>IF('04_路径网络'!A158&lt;&gt;"",'04_路径网络'!A158,"")</f>
        <v/>
      </c>
      <c r="E1158" s="14">
        <f>IF(F1158&lt;&gt;"","综合校验","")</f>
        <v/>
      </c>
      <c r="F1158" s="14">
        <f>IF('04_路径网络'!A158&lt;&gt;"",IF('04_路径网络'!A158="","缺少路径ID；","")&amp;IF('04_路径网络'!C158="","缺少路径类型；","")&amp;IF('04_路径网络'!D158="","缺少起点对象ID；","")&amp;IF('04_路径网络'!E158="","缺少终点对象ID；","")&amp;IF(AND('04_路径网络'!D158&lt;&gt;"",'04_路径网络'!D158='04_路径网络'!E158),"起点与终点相同；","")&amp;IF(AND('04_路径网络'!D158&lt;&gt;"",COUNTIF('02_固定地理'!$A$2:$A$501,'04_路径网络'!D158)+COUNTIF('03_地点锚点'!$A$2:$A$501,'04_路径网络'!D158)+COUNTIF('06_建筑锚点'!$A$2:$A$501,'04_路径网络'!D158)=0),"起点引用对象不存在；","")&amp;IF(AND('04_路径网络'!E158&lt;&gt;"",COUNTIF('02_固定地理'!$A$2:$A$501,'04_路径网络'!E158)+COUNTIF('03_地点锚点'!$A$2:$A$501,'04_路径网络'!E158)+COUNTIF('06_建筑锚点'!$A$2:$A$501,'04_路径网络'!E158)=0),"终点引用对象不存在；","")&amp;IF(AND('04_路径网络'!F158&lt;&gt;"",COUNTIF('04_路径网络'!$A$2:$A$501,'04_路径网络'!F158)=0),"父级路径不存在；","")&amp;IF(AND('04_路径网络'!A158&lt;&gt;"",COUNTIF('04_路径网络'!$A$2:$A$501,'04_路径网络'!A158)&gt;1),"ID重复；",""),"")</f>
        <v/>
      </c>
      <c r="G1158" s="14">
        <f>IF(F1158&lt;&gt;"","按字段批注、数据字典和来源记录修正后复核","")</f>
        <v/>
      </c>
      <c r="H1158" s="14">
        <f>IF(F1158&lt;&gt;"","待处理","")</f>
        <v/>
      </c>
    </row>
    <row r="1159">
      <c r="A1159" s="14">
        <f>IF(F1159&lt;&gt;"","ISSUE-"&amp;TEXT(ROW()-1,"00000"),"")</f>
        <v/>
      </c>
      <c r="B1159" s="14">
        <f>IF(F1159&lt;&gt;"","错误","")</f>
        <v/>
      </c>
      <c r="C1159" s="14">
        <f>IF('04_路径网络'!A159&lt;&gt;"","04_路径网络","")</f>
        <v/>
      </c>
      <c r="D1159" s="14">
        <f>IF('04_路径网络'!A159&lt;&gt;"",'04_路径网络'!A159,"")</f>
        <v/>
      </c>
      <c r="E1159" s="14">
        <f>IF(F1159&lt;&gt;"","综合校验","")</f>
        <v/>
      </c>
      <c r="F1159" s="14">
        <f>IF('04_路径网络'!A159&lt;&gt;"",IF('04_路径网络'!A159="","缺少路径ID；","")&amp;IF('04_路径网络'!C159="","缺少路径类型；","")&amp;IF('04_路径网络'!D159="","缺少起点对象ID；","")&amp;IF('04_路径网络'!E159="","缺少终点对象ID；","")&amp;IF(AND('04_路径网络'!D159&lt;&gt;"",'04_路径网络'!D159='04_路径网络'!E159),"起点与终点相同；","")&amp;IF(AND('04_路径网络'!D159&lt;&gt;"",COUNTIF('02_固定地理'!$A$2:$A$501,'04_路径网络'!D159)+COUNTIF('03_地点锚点'!$A$2:$A$501,'04_路径网络'!D159)+COUNTIF('06_建筑锚点'!$A$2:$A$501,'04_路径网络'!D159)=0),"起点引用对象不存在；","")&amp;IF(AND('04_路径网络'!E159&lt;&gt;"",COUNTIF('02_固定地理'!$A$2:$A$501,'04_路径网络'!E159)+COUNTIF('03_地点锚点'!$A$2:$A$501,'04_路径网络'!E159)+COUNTIF('06_建筑锚点'!$A$2:$A$501,'04_路径网络'!E159)=0),"终点引用对象不存在；","")&amp;IF(AND('04_路径网络'!F159&lt;&gt;"",COUNTIF('04_路径网络'!$A$2:$A$501,'04_路径网络'!F159)=0),"父级路径不存在；","")&amp;IF(AND('04_路径网络'!A159&lt;&gt;"",COUNTIF('04_路径网络'!$A$2:$A$501,'04_路径网络'!A159)&gt;1),"ID重复；",""),"")</f>
        <v/>
      </c>
      <c r="G1159" s="14">
        <f>IF(F1159&lt;&gt;"","按字段批注、数据字典和来源记录修正后复核","")</f>
        <v/>
      </c>
      <c r="H1159" s="14">
        <f>IF(F1159&lt;&gt;"","待处理","")</f>
        <v/>
      </c>
    </row>
    <row r="1160">
      <c r="A1160" s="14">
        <f>IF(F1160&lt;&gt;"","ISSUE-"&amp;TEXT(ROW()-1,"00000"),"")</f>
        <v/>
      </c>
      <c r="B1160" s="14">
        <f>IF(F1160&lt;&gt;"","错误","")</f>
        <v/>
      </c>
      <c r="C1160" s="14">
        <f>IF('04_路径网络'!A160&lt;&gt;"","04_路径网络","")</f>
        <v/>
      </c>
      <c r="D1160" s="14">
        <f>IF('04_路径网络'!A160&lt;&gt;"",'04_路径网络'!A160,"")</f>
        <v/>
      </c>
      <c r="E1160" s="14">
        <f>IF(F1160&lt;&gt;"","综合校验","")</f>
        <v/>
      </c>
      <c r="F1160" s="14">
        <f>IF('04_路径网络'!A160&lt;&gt;"",IF('04_路径网络'!A160="","缺少路径ID；","")&amp;IF('04_路径网络'!C160="","缺少路径类型；","")&amp;IF('04_路径网络'!D160="","缺少起点对象ID；","")&amp;IF('04_路径网络'!E160="","缺少终点对象ID；","")&amp;IF(AND('04_路径网络'!D160&lt;&gt;"",'04_路径网络'!D160='04_路径网络'!E160),"起点与终点相同；","")&amp;IF(AND('04_路径网络'!D160&lt;&gt;"",COUNTIF('02_固定地理'!$A$2:$A$501,'04_路径网络'!D160)+COUNTIF('03_地点锚点'!$A$2:$A$501,'04_路径网络'!D160)+COUNTIF('06_建筑锚点'!$A$2:$A$501,'04_路径网络'!D160)=0),"起点引用对象不存在；","")&amp;IF(AND('04_路径网络'!E160&lt;&gt;"",COUNTIF('02_固定地理'!$A$2:$A$501,'04_路径网络'!E160)+COUNTIF('03_地点锚点'!$A$2:$A$501,'04_路径网络'!E160)+COUNTIF('06_建筑锚点'!$A$2:$A$501,'04_路径网络'!E160)=0),"终点引用对象不存在；","")&amp;IF(AND('04_路径网络'!F160&lt;&gt;"",COUNTIF('04_路径网络'!$A$2:$A$501,'04_路径网络'!F160)=0),"父级路径不存在；","")&amp;IF(AND('04_路径网络'!A160&lt;&gt;"",COUNTIF('04_路径网络'!$A$2:$A$501,'04_路径网络'!A160)&gt;1),"ID重复；",""),"")</f>
        <v/>
      </c>
      <c r="G1160" s="14">
        <f>IF(F1160&lt;&gt;"","按字段批注、数据字典和来源记录修正后复核","")</f>
        <v/>
      </c>
      <c r="H1160" s="14">
        <f>IF(F1160&lt;&gt;"","待处理","")</f>
        <v/>
      </c>
    </row>
    <row r="1161">
      <c r="A1161" s="14">
        <f>IF(F1161&lt;&gt;"","ISSUE-"&amp;TEXT(ROW()-1,"00000"),"")</f>
        <v/>
      </c>
      <c r="B1161" s="14">
        <f>IF(F1161&lt;&gt;"","错误","")</f>
        <v/>
      </c>
      <c r="C1161" s="14">
        <f>IF('04_路径网络'!A161&lt;&gt;"","04_路径网络","")</f>
        <v/>
      </c>
      <c r="D1161" s="14">
        <f>IF('04_路径网络'!A161&lt;&gt;"",'04_路径网络'!A161,"")</f>
        <v/>
      </c>
      <c r="E1161" s="14">
        <f>IF(F1161&lt;&gt;"","综合校验","")</f>
        <v/>
      </c>
      <c r="F1161" s="14">
        <f>IF('04_路径网络'!A161&lt;&gt;"",IF('04_路径网络'!A161="","缺少路径ID；","")&amp;IF('04_路径网络'!C161="","缺少路径类型；","")&amp;IF('04_路径网络'!D161="","缺少起点对象ID；","")&amp;IF('04_路径网络'!E161="","缺少终点对象ID；","")&amp;IF(AND('04_路径网络'!D161&lt;&gt;"",'04_路径网络'!D161='04_路径网络'!E161),"起点与终点相同；","")&amp;IF(AND('04_路径网络'!D161&lt;&gt;"",COUNTIF('02_固定地理'!$A$2:$A$501,'04_路径网络'!D161)+COUNTIF('03_地点锚点'!$A$2:$A$501,'04_路径网络'!D161)+COUNTIF('06_建筑锚点'!$A$2:$A$501,'04_路径网络'!D161)=0),"起点引用对象不存在；","")&amp;IF(AND('04_路径网络'!E161&lt;&gt;"",COUNTIF('02_固定地理'!$A$2:$A$501,'04_路径网络'!E161)+COUNTIF('03_地点锚点'!$A$2:$A$501,'04_路径网络'!E161)+COUNTIF('06_建筑锚点'!$A$2:$A$501,'04_路径网络'!E161)=0),"终点引用对象不存在；","")&amp;IF(AND('04_路径网络'!F161&lt;&gt;"",COUNTIF('04_路径网络'!$A$2:$A$501,'04_路径网络'!F161)=0),"父级路径不存在；","")&amp;IF(AND('04_路径网络'!A161&lt;&gt;"",COUNTIF('04_路径网络'!$A$2:$A$501,'04_路径网络'!A161)&gt;1),"ID重复；",""),"")</f>
        <v/>
      </c>
      <c r="G1161" s="14">
        <f>IF(F1161&lt;&gt;"","按字段批注、数据字典和来源记录修正后复核","")</f>
        <v/>
      </c>
      <c r="H1161" s="14">
        <f>IF(F1161&lt;&gt;"","待处理","")</f>
        <v/>
      </c>
    </row>
    <row r="1162">
      <c r="A1162" s="14">
        <f>IF(F1162&lt;&gt;"","ISSUE-"&amp;TEXT(ROW()-1,"00000"),"")</f>
        <v/>
      </c>
      <c r="B1162" s="14">
        <f>IF(F1162&lt;&gt;"","错误","")</f>
        <v/>
      </c>
      <c r="C1162" s="14">
        <f>IF('04_路径网络'!A162&lt;&gt;"","04_路径网络","")</f>
        <v/>
      </c>
      <c r="D1162" s="14">
        <f>IF('04_路径网络'!A162&lt;&gt;"",'04_路径网络'!A162,"")</f>
        <v/>
      </c>
      <c r="E1162" s="14">
        <f>IF(F1162&lt;&gt;"","综合校验","")</f>
        <v/>
      </c>
      <c r="F1162" s="14">
        <f>IF('04_路径网络'!A162&lt;&gt;"",IF('04_路径网络'!A162="","缺少路径ID；","")&amp;IF('04_路径网络'!C162="","缺少路径类型；","")&amp;IF('04_路径网络'!D162="","缺少起点对象ID；","")&amp;IF('04_路径网络'!E162="","缺少终点对象ID；","")&amp;IF(AND('04_路径网络'!D162&lt;&gt;"",'04_路径网络'!D162='04_路径网络'!E162),"起点与终点相同；","")&amp;IF(AND('04_路径网络'!D162&lt;&gt;"",COUNTIF('02_固定地理'!$A$2:$A$501,'04_路径网络'!D162)+COUNTIF('03_地点锚点'!$A$2:$A$501,'04_路径网络'!D162)+COUNTIF('06_建筑锚点'!$A$2:$A$501,'04_路径网络'!D162)=0),"起点引用对象不存在；","")&amp;IF(AND('04_路径网络'!E162&lt;&gt;"",COUNTIF('02_固定地理'!$A$2:$A$501,'04_路径网络'!E162)+COUNTIF('03_地点锚点'!$A$2:$A$501,'04_路径网络'!E162)+COUNTIF('06_建筑锚点'!$A$2:$A$501,'04_路径网络'!E162)=0),"终点引用对象不存在；","")&amp;IF(AND('04_路径网络'!F162&lt;&gt;"",COUNTIF('04_路径网络'!$A$2:$A$501,'04_路径网络'!F162)=0),"父级路径不存在；","")&amp;IF(AND('04_路径网络'!A162&lt;&gt;"",COUNTIF('04_路径网络'!$A$2:$A$501,'04_路径网络'!A162)&gt;1),"ID重复；",""),"")</f>
        <v/>
      </c>
      <c r="G1162" s="14">
        <f>IF(F1162&lt;&gt;"","按字段批注、数据字典和来源记录修正后复核","")</f>
        <v/>
      </c>
      <c r="H1162" s="14">
        <f>IF(F1162&lt;&gt;"","待处理","")</f>
        <v/>
      </c>
    </row>
    <row r="1163">
      <c r="A1163" s="14">
        <f>IF(F1163&lt;&gt;"","ISSUE-"&amp;TEXT(ROW()-1,"00000"),"")</f>
        <v/>
      </c>
      <c r="B1163" s="14">
        <f>IF(F1163&lt;&gt;"","错误","")</f>
        <v/>
      </c>
      <c r="C1163" s="14">
        <f>IF('04_路径网络'!A163&lt;&gt;"","04_路径网络","")</f>
        <v/>
      </c>
      <c r="D1163" s="14">
        <f>IF('04_路径网络'!A163&lt;&gt;"",'04_路径网络'!A163,"")</f>
        <v/>
      </c>
      <c r="E1163" s="14">
        <f>IF(F1163&lt;&gt;"","综合校验","")</f>
        <v/>
      </c>
      <c r="F1163" s="14">
        <f>IF('04_路径网络'!A163&lt;&gt;"",IF('04_路径网络'!A163="","缺少路径ID；","")&amp;IF('04_路径网络'!C163="","缺少路径类型；","")&amp;IF('04_路径网络'!D163="","缺少起点对象ID；","")&amp;IF('04_路径网络'!E163="","缺少终点对象ID；","")&amp;IF(AND('04_路径网络'!D163&lt;&gt;"",'04_路径网络'!D163='04_路径网络'!E163),"起点与终点相同；","")&amp;IF(AND('04_路径网络'!D163&lt;&gt;"",COUNTIF('02_固定地理'!$A$2:$A$501,'04_路径网络'!D163)+COUNTIF('03_地点锚点'!$A$2:$A$501,'04_路径网络'!D163)+COUNTIF('06_建筑锚点'!$A$2:$A$501,'04_路径网络'!D163)=0),"起点引用对象不存在；","")&amp;IF(AND('04_路径网络'!E163&lt;&gt;"",COUNTIF('02_固定地理'!$A$2:$A$501,'04_路径网络'!E163)+COUNTIF('03_地点锚点'!$A$2:$A$501,'04_路径网络'!E163)+COUNTIF('06_建筑锚点'!$A$2:$A$501,'04_路径网络'!E163)=0),"终点引用对象不存在；","")&amp;IF(AND('04_路径网络'!F163&lt;&gt;"",COUNTIF('04_路径网络'!$A$2:$A$501,'04_路径网络'!F163)=0),"父级路径不存在；","")&amp;IF(AND('04_路径网络'!A163&lt;&gt;"",COUNTIF('04_路径网络'!$A$2:$A$501,'04_路径网络'!A163)&gt;1),"ID重复；",""),"")</f>
        <v/>
      </c>
      <c r="G1163" s="14">
        <f>IF(F1163&lt;&gt;"","按字段批注、数据字典和来源记录修正后复核","")</f>
        <v/>
      </c>
      <c r="H1163" s="14">
        <f>IF(F1163&lt;&gt;"","待处理","")</f>
        <v/>
      </c>
    </row>
    <row r="1164">
      <c r="A1164" s="14">
        <f>IF(F1164&lt;&gt;"","ISSUE-"&amp;TEXT(ROW()-1,"00000"),"")</f>
        <v/>
      </c>
      <c r="B1164" s="14">
        <f>IF(F1164&lt;&gt;"","错误","")</f>
        <v/>
      </c>
      <c r="C1164" s="14">
        <f>IF('04_路径网络'!A164&lt;&gt;"","04_路径网络","")</f>
        <v/>
      </c>
      <c r="D1164" s="14">
        <f>IF('04_路径网络'!A164&lt;&gt;"",'04_路径网络'!A164,"")</f>
        <v/>
      </c>
      <c r="E1164" s="14">
        <f>IF(F1164&lt;&gt;"","综合校验","")</f>
        <v/>
      </c>
      <c r="F1164" s="14">
        <f>IF('04_路径网络'!A164&lt;&gt;"",IF('04_路径网络'!A164="","缺少路径ID；","")&amp;IF('04_路径网络'!C164="","缺少路径类型；","")&amp;IF('04_路径网络'!D164="","缺少起点对象ID；","")&amp;IF('04_路径网络'!E164="","缺少终点对象ID；","")&amp;IF(AND('04_路径网络'!D164&lt;&gt;"",'04_路径网络'!D164='04_路径网络'!E164),"起点与终点相同；","")&amp;IF(AND('04_路径网络'!D164&lt;&gt;"",COUNTIF('02_固定地理'!$A$2:$A$501,'04_路径网络'!D164)+COUNTIF('03_地点锚点'!$A$2:$A$501,'04_路径网络'!D164)+COUNTIF('06_建筑锚点'!$A$2:$A$501,'04_路径网络'!D164)=0),"起点引用对象不存在；","")&amp;IF(AND('04_路径网络'!E164&lt;&gt;"",COUNTIF('02_固定地理'!$A$2:$A$501,'04_路径网络'!E164)+COUNTIF('03_地点锚点'!$A$2:$A$501,'04_路径网络'!E164)+COUNTIF('06_建筑锚点'!$A$2:$A$501,'04_路径网络'!E164)=0),"终点引用对象不存在；","")&amp;IF(AND('04_路径网络'!F164&lt;&gt;"",COUNTIF('04_路径网络'!$A$2:$A$501,'04_路径网络'!F164)=0),"父级路径不存在；","")&amp;IF(AND('04_路径网络'!A164&lt;&gt;"",COUNTIF('04_路径网络'!$A$2:$A$501,'04_路径网络'!A164)&gt;1),"ID重复；",""),"")</f>
        <v/>
      </c>
      <c r="G1164" s="14">
        <f>IF(F1164&lt;&gt;"","按字段批注、数据字典和来源记录修正后复核","")</f>
        <v/>
      </c>
      <c r="H1164" s="14">
        <f>IF(F1164&lt;&gt;"","待处理","")</f>
        <v/>
      </c>
    </row>
    <row r="1165">
      <c r="A1165" s="14">
        <f>IF(F1165&lt;&gt;"","ISSUE-"&amp;TEXT(ROW()-1,"00000"),"")</f>
        <v/>
      </c>
      <c r="B1165" s="14">
        <f>IF(F1165&lt;&gt;"","错误","")</f>
        <v/>
      </c>
      <c r="C1165" s="14">
        <f>IF('04_路径网络'!A165&lt;&gt;"","04_路径网络","")</f>
        <v/>
      </c>
      <c r="D1165" s="14">
        <f>IF('04_路径网络'!A165&lt;&gt;"",'04_路径网络'!A165,"")</f>
        <v/>
      </c>
      <c r="E1165" s="14">
        <f>IF(F1165&lt;&gt;"","综合校验","")</f>
        <v/>
      </c>
      <c r="F1165" s="14">
        <f>IF('04_路径网络'!A165&lt;&gt;"",IF('04_路径网络'!A165="","缺少路径ID；","")&amp;IF('04_路径网络'!C165="","缺少路径类型；","")&amp;IF('04_路径网络'!D165="","缺少起点对象ID；","")&amp;IF('04_路径网络'!E165="","缺少终点对象ID；","")&amp;IF(AND('04_路径网络'!D165&lt;&gt;"",'04_路径网络'!D165='04_路径网络'!E165),"起点与终点相同；","")&amp;IF(AND('04_路径网络'!D165&lt;&gt;"",COUNTIF('02_固定地理'!$A$2:$A$501,'04_路径网络'!D165)+COUNTIF('03_地点锚点'!$A$2:$A$501,'04_路径网络'!D165)+COUNTIF('06_建筑锚点'!$A$2:$A$501,'04_路径网络'!D165)=0),"起点引用对象不存在；","")&amp;IF(AND('04_路径网络'!E165&lt;&gt;"",COUNTIF('02_固定地理'!$A$2:$A$501,'04_路径网络'!E165)+COUNTIF('03_地点锚点'!$A$2:$A$501,'04_路径网络'!E165)+COUNTIF('06_建筑锚点'!$A$2:$A$501,'04_路径网络'!E165)=0),"终点引用对象不存在；","")&amp;IF(AND('04_路径网络'!F165&lt;&gt;"",COUNTIF('04_路径网络'!$A$2:$A$501,'04_路径网络'!F165)=0),"父级路径不存在；","")&amp;IF(AND('04_路径网络'!A165&lt;&gt;"",COUNTIF('04_路径网络'!$A$2:$A$501,'04_路径网络'!A165)&gt;1),"ID重复；",""),"")</f>
        <v/>
      </c>
      <c r="G1165" s="14">
        <f>IF(F1165&lt;&gt;"","按字段批注、数据字典和来源记录修正后复核","")</f>
        <v/>
      </c>
      <c r="H1165" s="14">
        <f>IF(F1165&lt;&gt;"","待处理","")</f>
        <v/>
      </c>
    </row>
    <row r="1166">
      <c r="A1166" s="14">
        <f>IF(F1166&lt;&gt;"","ISSUE-"&amp;TEXT(ROW()-1,"00000"),"")</f>
        <v/>
      </c>
      <c r="B1166" s="14">
        <f>IF(F1166&lt;&gt;"","错误","")</f>
        <v/>
      </c>
      <c r="C1166" s="14">
        <f>IF('04_路径网络'!A166&lt;&gt;"","04_路径网络","")</f>
        <v/>
      </c>
      <c r="D1166" s="14">
        <f>IF('04_路径网络'!A166&lt;&gt;"",'04_路径网络'!A166,"")</f>
        <v/>
      </c>
      <c r="E1166" s="14">
        <f>IF(F1166&lt;&gt;"","综合校验","")</f>
        <v/>
      </c>
      <c r="F1166" s="14">
        <f>IF('04_路径网络'!A166&lt;&gt;"",IF('04_路径网络'!A166="","缺少路径ID；","")&amp;IF('04_路径网络'!C166="","缺少路径类型；","")&amp;IF('04_路径网络'!D166="","缺少起点对象ID；","")&amp;IF('04_路径网络'!E166="","缺少终点对象ID；","")&amp;IF(AND('04_路径网络'!D166&lt;&gt;"",'04_路径网络'!D166='04_路径网络'!E166),"起点与终点相同；","")&amp;IF(AND('04_路径网络'!D166&lt;&gt;"",COUNTIF('02_固定地理'!$A$2:$A$501,'04_路径网络'!D166)+COUNTIF('03_地点锚点'!$A$2:$A$501,'04_路径网络'!D166)+COUNTIF('06_建筑锚点'!$A$2:$A$501,'04_路径网络'!D166)=0),"起点引用对象不存在；","")&amp;IF(AND('04_路径网络'!E166&lt;&gt;"",COUNTIF('02_固定地理'!$A$2:$A$501,'04_路径网络'!E166)+COUNTIF('03_地点锚点'!$A$2:$A$501,'04_路径网络'!E166)+COUNTIF('06_建筑锚点'!$A$2:$A$501,'04_路径网络'!E166)=0),"终点引用对象不存在；","")&amp;IF(AND('04_路径网络'!F166&lt;&gt;"",COUNTIF('04_路径网络'!$A$2:$A$501,'04_路径网络'!F166)=0),"父级路径不存在；","")&amp;IF(AND('04_路径网络'!A166&lt;&gt;"",COUNTIF('04_路径网络'!$A$2:$A$501,'04_路径网络'!A166)&gt;1),"ID重复；",""),"")</f>
        <v/>
      </c>
      <c r="G1166" s="14">
        <f>IF(F1166&lt;&gt;"","按字段批注、数据字典和来源记录修正后复核","")</f>
        <v/>
      </c>
      <c r="H1166" s="14">
        <f>IF(F1166&lt;&gt;"","待处理","")</f>
        <v/>
      </c>
    </row>
    <row r="1167">
      <c r="A1167" s="14">
        <f>IF(F1167&lt;&gt;"","ISSUE-"&amp;TEXT(ROW()-1,"00000"),"")</f>
        <v/>
      </c>
      <c r="B1167" s="14">
        <f>IF(F1167&lt;&gt;"","错误","")</f>
        <v/>
      </c>
      <c r="C1167" s="14">
        <f>IF('04_路径网络'!A167&lt;&gt;"","04_路径网络","")</f>
        <v/>
      </c>
      <c r="D1167" s="14">
        <f>IF('04_路径网络'!A167&lt;&gt;"",'04_路径网络'!A167,"")</f>
        <v/>
      </c>
      <c r="E1167" s="14">
        <f>IF(F1167&lt;&gt;"","综合校验","")</f>
        <v/>
      </c>
      <c r="F1167" s="14">
        <f>IF('04_路径网络'!A167&lt;&gt;"",IF('04_路径网络'!A167="","缺少路径ID；","")&amp;IF('04_路径网络'!C167="","缺少路径类型；","")&amp;IF('04_路径网络'!D167="","缺少起点对象ID；","")&amp;IF('04_路径网络'!E167="","缺少终点对象ID；","")&amp;IF(AND('04_路径网络'!D167&lt;&gt;"",'04_路径网络'!D167='04_路径网络'!E167),"起点与终点相同；","")&amp;IF(AND('04_路径网络'!D167&lt;&gt;"",COUNTIF('02_固定地理'!$A$2:$A$501,'04_路径网络'!D167)+COUNTIF('03_地点锚点'!$A$2:$A$501,'04_路径网络'!D167)+COUNTIF('06_建筑锚点'!$A$2:$A$501,'04_路径网络'!D167)=0),"起点引用对象不存在；","")&amp;IF(AND('04_路径网络'!E167&lt;&gt;"",COUNTIF('02_固定地理'!$A$2:$A$501,'04_路径网络'!E167)+COUNTIF('03_地点锚点'!$A$2:$A$501,'04_路径网络'!E167)+COUNTIF('06_建筑锚点'!$A$2:$A$501,'04_路径网络'!E167)=0),"终点引用对象不存在；","")&amp;IF(AND('04_路径网络'!F167&lt;&gt;"",COUNTIF('04_路径网络'!$A$2:$A$501,'04_路径网络'!F167)=0),"父级路径不存在；","")&amp;IF(AND('04_路径网络'!A167&lt;&gt;"",COUNTIF('04_路径网络'!$A$2:$A$501,'04_路径网络'!A167)&gt;1),"ID重复；",""),"")</f>
        <v/>
      </c>
      <c r="G1167" s="14">
        <f>IF(F1167&lt;&gt;"","按字段批注、数据字典和来源记录修正后复核","")</f>
        <v/>
      </c>
      <c r="H1167" s="14">
        <f>IF(F1167&lt;&gt;"","待处理","")</f>
        <v/>
      </c>
    </row>
    <row r="1168">
      <c r="A1168" s="14">
        <f>IF(F1168&lt;&gt;"","ISSUE-"&amp;TEXT(ROW()-1,"00000"),"")</f>
        <v/>
      </c>
      <c r="B1168" s="14">
        <f>IF(F1168&lt;&gt;"","错误","")</f>
        <v/>
      </c>
      <c r="C1168" s="14">
        <f>IF('04_路径网络'!A168&lt;&gt;"","04_路径网络","")</f>
        <v/>
      </c>
      <c r="D1168" s="14">
        <f>IF('04_路径网络'!A168&lt;&gt;"",'04_路径网络'!A168,"")</f>
        <v/>
      </c>
      <c r="E1168" s="14">
        <f>IF(F1168&lt;&gt;"","综合校验","")</f>
        <v/>
      </c>
      <c r="F1168" s="14">
        <f>IF('04_路径网络'!A168&lt;&gt;"",IF('04_路径网络'!A168="","缺少路径ID；","")&amp;IF('04_路径网络'!C168="","缺少路径类型；","")&amp;IF('04_路径网络'!D168="","缺少起点对象ID；","")&amp;IF('04_路径网络'!E168="","缺少终点对象ID；","")&amp;IF(AND('04_路径网络'!D168&lt;&gt;"",'04_路径网络'!D168='04_路径网络'!E168),"起点与终点相同；","")&amp;IF(AND('04_路径网络'!D168&lt;&gt;"",COUNTIF('02_固定地理'!$A$2:$A$501,'04_路径网络'!D168)+COUNTIF('03_地点锚点'!$A$2:$A$501,'04_路径网络'!D168)+COUNTIF('06_建筑锚点'!$A$2:$A$501,'04_路径网络'!D168)=0),"起点引用对象不存在；","")&amp;IF(AND('04_路径网络'!E168&lt;&gt;"",COUNTIF('02_固定地理'!$A$2:$A$501,'04_路径网络'!E168)+COUNTIF('03_地点锚点'!$A$2:$A$501,'04_路径网络'!E168)+COUNTIF('06_建筑锚点'!$A$2:$A$501,'04_路径网络'!E168)=0),"终点引用对象不存在；","")&amp;IF(AND('04_路径网络'!F168&lt;&gt;"",COUNTIF('04_路径网络'!$A$2:$A$501,'04_路径网络'!F168)=0),"父级路径不存在；","")&amp;IF(AND('04_路径网络'!A168&lt;&gt;"",COUNTIF('04_路径网络'!$A$2:$A$501,'04_路径网络'!A168)&gt;1),"ID重复；",""),"")</f>
        <v/>
      </c>
      <c r="G1168" s="14">
        <f>IF(F1168&lt;&gt;"","按字段批注、数据字典和来源记录修正后复核","")</f>
        <v/>
      </c>
      <c r="H1168" s="14">
        <f>IF(F1168&lt;&gt;"","待处理","")</f>
        <v/>
      </c>
    </row>
    <row r="1169">
      <c r="A1169" s="14">
        <f>IF(F1169&lt;&gt;"","ISSUE-"&amp;TEXT(ROW()-1,"00000"),"")</f>
        <v/>
      </c>
      <c r="B1169" s="14">
        <f>IF(F1169&lt;&gt;"","错误","")</f>
        <v/>
      </c>
      <c r="C1169" s="14">
        <f>IF('04_路径网络'!A169&lt;&gt;"","04_路径网络","")</f>
        <v/>
      </c>
      <c r="D1169" s="14">
        <f>IF('04_路径网络'!A169&lt;&gt;"",'04_路径网络'!A169,"")</f>
        <v/>
      </c>
      <c r="E1169" s="14">
        <f>IF(F1169&lt;&gt;"","综合校验","")</f>
        <v/>
      </c>
      <c r="F1169" s="14">
        <f>IF('04_路径网络'!A169&lt;&gt;"",IF('04_路径网络'!A169="","缺少路径ID；","")&amp;IF('04_路径网络'!C169="","缺少路径类型；","")&amp;IF('04_路径网络'!D169="","缺少起点对象ID；","")&amp;IF('04_路径网络'!E169="","缺少终点对象ID；","")&amp;IF(AND('04_路径网络'!D169&lt;&gt;"",'04_路径网络'!D169='04_路径网络'!E169),"起点与终点相同；","")&amp;IF(AND('04_路径网络'!D169&lt;&gt;"",COUNTIF('02_固定地理'!$A$2:$A$501,'04_路径网络'!D169)+COUNTIF('03_地点锚点'!$A$2:$A$501,'04_路径网络'!D169)+COUNTIF('06_建筑锚点'!$A$2:$A$501,'04_路径网络'!D169)=0),"起点引用对象不存在；","")&amp;IF(AND('04_路径网络'!E169&lt;&gt;"",COUNTIF('02_固定地理'!$A$2:$A$501,'04_路径网络'!E169)+COUNTIF('03_地点锚点'!$A$2:$A$501,'04_路径网络'!E169)+COUNTIF('06_建筑锚点'!$A$2:$A$501,'04_路径网络'!E169)=0),"终点引用对象不存在；","")&amp;IF(AND('04_路径网络'!F169&lt;&gt;"",COUNTIF('04_路径网络'!$A$2:$A$501,'04_路径网络'!F169)=0),"父级路径不存在；","")&amp;IF(AND('04_路径网络'!A169&lt;&gt;"",COUNTIF('04_路径网络'!$A$2:$A$501,'04_路径网络'!A169)&gt;1),"ID重复；",""),"")</f>
        <v/>
      </c>
      <c r="G1169" s="14">
        <f>IF(F1169&lt;&gt;"","按字段批注、数据字典和来源记录修正后复核","")</f>
        <v/>
      </c>
      <c r="H1169" s="14">
        <f>IF(F1169&lt;&gt;"","待处理","")</f>
        <v/>
      </c>
    </row>
    <row r="1170">
      <c r="A1170" s="14">
        <f>IF(F1170&lt;&gt;"","ISSUE-"&amp;TEXT(ROW()-1,"00000"),"")</f>
        <v/>
      </c>
      <c r="B1170" s="14">
        <f>IF(F1170&lt;&gt;"","错误","")</f>
        <v/>
      </c>
      <c r="C1170" s="14">
        <f>IF('04_路径网络'!A170&lt;&gt;"","04_路径网络","")</f>
        <v/>
      </c>
      <c r="D1170" s="14">
        <f>IF('04_路径网络'!A170&lt;&gt;"",'04_路径网络'!A170,"")</f>
        <v/>
      </c>
      <c r="E1170" s="14">
        <f>IF(F1170&lt;&gt;"","综合校验","")</f>
        <v/>
      </c>
      <c r="F1170" s="14">
        <f>IF('04_路径网络'!A170&lt;&gt;"",IF('04_路径网络'!A170="","缺少路径ID；","")&amp;IF('04_路径网络'!C170="","缺少路径类型；","")&amp;IF('04_路径网络'!D170="","缺少起点对象ID；","")&amp;IF('04_路径网络'!E170="","缺少终点对象ID；","")&amp;IF(AND('04_路径网络'!D170&lt;&gt;"",'04_路径网络'!D170='04_路径网络'!E170),"起点与终点相同；","")&amp;IF(AND('04_路径网络'!D170&lt;&gt;"",COUNTIF('02_固定地理'!$A$2:$A$501,'04_路径网络'!D170)+COUNTIF('03_地点锚点'!$A$2:$A$501,'04_路径网络'!D170)+COUNTIF('06_建筑锚点'!$A$2:$A$501,'04_路径网络'!D170)=0),"起点引用对象不存在；","")&amp;IF(AND('04_路径网络'!E170&lt;&gt;"",COUNTIF('02_固定地理'!$A$2:$A$501,'04_路径网络'!E170)+COUNTIF('03_地点锚点'!$A$2:$A$501,'04_路径网络'!E170)+COUNTIF('06_建筑锚点'!$A$2:$A$501,'04_路径网络'!E170)=0),"终点引用对象不存在；","")&amp;IF(AND('04_路径网络'!F170&lt;&gt;"",COUNTIF('04_路径网络'!$A$2:$A$501,'04_路径网络'!F170)=0),"父级路径不存在；","")&amp;IF(AND('04_路径网络'!A170&lt;&gt;"",COUNTIF('04_路径网络'!$A$2:$A$501,'04_路径网络'!A170)&gt;1),"ID重复；",""),"")</f>
        <v/>
      </c>
      <c r="G1170" s="14">
        <f>IF(F1170&lt;&gt;"","按字段批注、数据字典和来源记录修正后复核","")</f>
        <v/>
      </c>
      <c r="H1170" s="14">
        <f>IF(F1170&lt;&gt;"","待处理","")</f>
        <v/>
      </c>
    </row>
    <row r="1171">
      <c r="A1171" s="14">
        <f>IF(F1171&lt;&gt;"","ISSUE-"&amp;TEXT(ROW()-1,"00000"),"")</f>
        <v/>
      </c>
      <c r="B1171" s="14">
        <f>IF(F1171&lt;&gt;"","错误","")</f>
        <v/>
      </c>
      <c r="C1171" s="14">
        <f>IF('04_路径网络'!A171&lt;&gt;"","04_路径网络","")</f>
        <v/>
      </c>
      <c r="D1171" s="14">
        <f>IF('04_路径网络'!A171&lt;&gt;"",'04_路径网络'!A171,"")</f>
        <v/>
      </c>
      <c r="E1171" s="14">
        <f>IF(F1171&lt;&gt;"","综合校验","")</f>
        <v/>
      </c>
      <c r="F1171" s="14">
        <f>IF('04_路径网络'!A171&lt;&gt;"",IF('04_路径网络'!A171="","缺少路径ID；","")&amp;IF('04_路径网络'!C171="","缺少路径类型；","")&amp;IF('04_路径网络'!D171="","缺少起点对象ID；","")&amp;IF('04_路径网络'!E171="","缺少终点对象ID；","")&amp;IF(AND('04_路径网络'!D171&lt;&gt;"",'04_路径网络'!D171='04_路径网络'!E171),"起点与终点相同；","")&amp;IF(AND('04_路径网络'!D171&lt;&gt;"",COUNTIF('02_固定地理'!$A$2:$A$501,'04_路径网络'!D171)+COUNTIF('03_地点锚点'!$A$2:$A$501,'04_路径网络'!D171)+COUNTIF('06_建筑锚点'!$A$2:$A$501,'04_路径网络'!D171)=0),"起点引用对象不存在；","")&amp;IF(AND('04_路径网络'!E171&lt;&gt;"",COUNTIF('02_固定地理'!$A$2:$A$501,'04_路径网络'!E171)+COUNTIF('03_地点锚点'!$A$2:$A$501,'04_路径网络'!E171)+COUNTIF('06_建筑锚点'!$A$2:$A$501,'04_路径网络'!E171)=0),"终点引用对象不存在；","")&amp;IF(AND('04_路径网络'!F171&lt;&gt;"",COUNTIF('04_路径网络'!$A$2:$A$501,'04_路径网络'!F171)=0),"父级路径不存在；","")&amp;IF(AND('04_路径网络'!A171&lt;&gt;"",COUNTIF('04_路径网络'!$A$2:$A$501,'04_路径网络'!A171)&gt;1),"ID重复；",""),"")</f>
        <v/>
      </c>
      <c r="G1171" s="14">
        <f>IF(F1171&lt;&gt;"","按字段批注、数据字典和来源记录修正后复核","")</f>
        <v/>
      </c>
      <c r="H1171" s="14">
        <f>IF(F1171&lt;&gt;"","待处理","")</f>
        <v/>
      </c>
    </row>
    <row r="1172">
      <c r="A1172" s="14">
        <f>IF(F1172&lt;&gt;"","ISSUE-"&amp;TEXT(ROW()-1,"00000"),"")</f>
        <v/>
      </c>
      <c r="B1172" s="14">
        <f>IF(F1172&lt;&gt;"","错误","")</f>
        <v/>
      </c>
      <c r="C1172" s="14">
        <f>IF('04_路径网络'!A172&lt;&gt;"","04_路径网络","")</f>
        <v/>
      </c>
      <c r="D1172" s="14">
        <f>IF('04_路径网络'!A172&lt;&gt;"",'04_路径网络'!A172,"")</f>
        <v/>
      </c>
      <c r="E1172" s="14">
        <f>IF(F1172&lt;&gt;"","综合校验","")</f>
        <v/>
      </c>
      <c r="F1172" s="14">
        <f>IF('04_路径网络'!A172&lt;&gt;"",IF('04_路径网络'!A172="","缺少路径ID；","")&amp;IF('04_路径网络'!C172="","缺少路径类型；","")&amp;IF('04_路径网络'!D172="","缺少起点对象ID；","")&amp;IF('04_路径网络'!E172="","缺少终点对象ID；","")&amp;IF(AND('04_路径网络'!D172&lt;&gt;"",'04_路径网络'!D172='04_路径网络'!E172),"起点与终点相同；","")&amp;IF(AND('04_路径网络'!D172&lt;&gt;"",COUNTIF('02_固定地理'!$A$2:$A$501,'04_路径网络'!D172)+COUNTIF('03_地点锚点'!$A$2:$A$501,'04_路径网络'!D172)+COUNTIF('06_建筑锚点'!$A$2:$A$501,'04_路径网络'!D172)=0),"起点引用对象不存在；","")&amp;IF(AND('04_路径网络'!E172&lt;&gt;"",COUNTIF('02_固定地理'!$A$2:$A$501,'04_路径网络'!E172)+COUNTIF('03_地点锚点'!$A$2:$A$501,'04_路径网络'!E172)+COUNTIF('06_建筑锚点'!$A$2:$A$501,'04_路径网络'!E172)=0),"终点引用对象不存在；","")&amp;IF(AND('04_路径网络'!F172&lt;&gt;"",COUNTIF('04_路径网络'!$A$2:$A$501,'04_路径网络'!F172)=0),"父级路径不存在；","")&amp;IF(AND('04_路径网络'!A172&lt;&gt;"",COUNTIF('04_路径网络'!$A$2:$A$501,'04_路径网络'!A172)&gt;1),"ID重复；",""),"")</f>
        <v/>
      </c>
      <c r="G1172" s="14">
        <f>IF(F1172&lt;&gt;"","按字段批注、数据字典和来源记录修正后复核","")</f>
        <v/>
      </c>
      <c r="H1172" s="14">
        <f>IF(F1172&lt;&gt;"","待处理","")</f>
        <v/>
      </c>
    </row>
    <row r="1173">
      <c r="A1173" s="14">
        <f>IF(F1173&lt;&gt;"","ISSUE-"&amp;TEXT(ROW()-1,"00000"),"")</f>
        <v/>
      </c>
      <c r="B1173" s="14">
        <f>IF(F1173&lt;&gt;"","错误","")</f>
        <v/>
      </c>
      <c r="C1173" s="14">
        <f>IF('04_路径网络'!A173&lt;&gt;"","04_路径网络","")</f>
        <v/>
      </c>
      <c r="D1173" s="14">
        <f>IF('04_路径网络'!A173&lt;&gt;"",'04_路径网络'!A173,"")</f>
        <v/>
      </c>
      <c r="E1173" s="14">
        <f>IF(F1173&lt;&gt;"","综合校验","")</f>
        <v/>
      </c>
      <c r="F1173" s="14">
        <f>IF('04_路径网络'!A173&lt;&gt;"",IF('04_路径网络'!A173="","缺少路径ID；","")&amp;IF('04_路径网络'!C173="","缺少路径类型；","")&amp;IF('04_路径网络'!D173="","缺少起点对象ID；","")&amp;IF('04_路径网络'!E173="","缺少终点对象ID；","")&amp;IF(AND('04_路径网络'!D173&lt;&gt;"",'04_路径网络'!D173='04_路径网络'!E173),"起点与终点相同；","")&amp;IF(AND('04_路径网络'!D173&lt;&gt;"",COUNTIF('02_固定地理'!$A$2:$A$501,'04_路径网络'!D173)+COUNTIF('03_地点锚点'!$A$2:$A$501,'04_路径网络'!D173)+COUNTIF('06_建筑锚点'!$A$2:$A$501,'04_路径网络'!D173)=0),"起点引用对象不存在；","")&amp;IF(AND('04_路径网络'!E173&lt;&gt;"",COUNTIF('02_固定地理'!$A$2:$A$501,'04_路径网络'!E173)+COUNTIF('03_地点锚点'!$A$2:$A$501,'04_路径网络'!E173)+COUNTIF('06_建筑锚点'!$A$2:$A$501,'04_路径网络'!E173)=0),"终点引用对象不存在；","")&amp;IF(AND('04_路径网络'!F173&lt;&gt;"",COUNTIF('04_路径网络'!$A$2:$A$501,'04_路径网络'!F173)=0),"父级路径不存在；","")&amp;IF(AND('04_路径网络'!A173&lt;&gt;"",COUNTIF('04_路径网络'!$A$2:$A$501,'04_路径网络'!A173)&gt;1),"ID重复；",""),"")</f>
        <v/>
      </c>
      <c r="G1173" s="14">
        <f>IF(F1173&lt;&gt;"","按字段批注、数据字典和来源记录修正后复核","")</f>
        <v/>
      </c>
      <c r="H1173" s="14">
        <f>IF(F1173&lt;&gt;"","待处理","")</f>
        <v/>
      </c>
    </row>
    <row r="1174">
      <c r="A1174" s="14">
        <f>IF(F1174&lt;&gt;"","ISSUE-"&amp;TEXT(ROW()-1,"00000"),"")</f>
        <v/>
      </c>
      <c r="B1174" s="14">
        <f>IF(F1174&lt;&gt;"","错误","")</f>
        <v/>
      </c>
      <c r="C1174" s="14">
        <f>IF('04_路径网络'!A174&lt;&gt;"","04_路径网络","")</f>
        <v/>
      </c>
      <c r="D1174" s="14">
        <f>IF('04_路径网络'!A174&lt;&gt;"",'04_路径网络'!A174,"")</f>
        <v/>
      </c>
      <c r="E1174" s="14">
        <f>IF(F1174&lt;&gt;"","综合校验","")</f>
        <v/>
      </c>
      <c r="F1174" s="14">
        <f>IF('04_路径网络'!A174&lt;&gt;"",IF('04_路径网络'!A174="","缺少路径ID；","")&amp;IF('04_路径网络'!C174="","缺少路径类型；","")&amp;IF('04_路径网络'!D174="","缺少起点对象ID；","")&amp;IF('04_路径网络'!E174="","缺少终点对象ID；","")&amp;IF(AND('04_路径网络'!D174&lt;&gt;"",'04_路径网络'!D174='04_路径网络'!E174),"起点与终点相同；","")&amp;IF(AND('04_路径网络'!D174&lt;&gt;"",COUNTIF('02_固定地理'!$A$2:$A$501,'04_路径网络'!D174)+COUNTIF('03_地点锚点'!$A$2:$A$501,'04_路径网络'!D174)+COUNTIF('06_建筑锚点'!$A$2:$A$501,'04_路径网络'!D174)=0),"起点引用对象不存在；","")&amp;IF(AND('04_路径网络'!E174&lt;&gt;"",COUNTIF('02_固定地理'!$A$2:$A$501,'04_路径网络'!E174)+COUNTIF('03_地点锚点'!$A$2:$A$501,'04_路径网络'!E174)+COUNTIF('06_建筑锚点'!$A$2:$A$501,'04_路径网络'!E174)=0),"终点引用对象不存在；","")&amp;IF(AND('04_路径网络'!F174&lt;&gt;"",COUNTIF('04_路径网络'!$A$2:$A$501,'04_路径网络'!F174)=0),"父级路径不存在；","")&amp;IF(AND('04_路径网络'!A174&lt;&gt;"",COUNTIF('04_路径网络'!$A$2:$A$501,'04_路径网络'!A174)&gt;1),"ID重复；",""),"")</f>
        <v/>
      </c>
      <c r="G1174" s="14">
        <f>IF(F1174&lt;&gt;"","按字段批注、数据字典和来源记录修正后复核","")</f>
        <v/>
      </c>
      <c r="H1174" s="14">
        <f>IF(F1174&lt;&gt;"","待处理","")</f>
        <v/>
      </c>
    </row>
    <row r="1175">
      <c r="A1175" s="14">
        <f>IF(F1175&lt;&gt;"","ISSUE-"&amp;TEXT(ROW()-1,"00000"),"")</f>
        <v/>
      </c>
      <c r="B1175" s="14">
        <f>IF(F1175&lt;&gt;"","错误","")</f>
        <v/>
      </c>
      <c r="C1175" s="14">
        <f>IF('04_路径网络'!A175&lt;&gt;"","04_路径网络","")</f>
        <v/>
      </c>
      <c r="D1175" s="14">
        <f>IF('04_路径网络'!A175&lt;&gt;"",'04_路径网络'!A175,"")</f>
        <v/>
      </c>
      <c r="E1175" s="14">
        <f>IF(F1175&lt;&gt;"","综合校验","")</f>
        <v/>
      </c>
      <c r="F1175" s="14">
        <f>IF('04_路径网络'!A175&lt;&gt;"",IF('04_路径网络'!A175="","缺少路径ID；","")&amp;IF('04_路径网络'!C175="","缺少路径类型；","")&amp;IF('04_路径网络'!D175="","缺少起点对象ID；","")&amp;IF('04_路径网络'!E175="","缺少终点对象ID；","")&amp;IF(AND('04_路径网络'!D175&lt;&gt;"",'04_路径网络'!D175='04_路径网络'!E175),"起点与终点相同；","")&amp;IF(AND('04_路径网络'!D175&lt;&gt;"",COUNTIF('02_固定地理'!$A$2:$A$501,'04_路径网络'!D175)+COUNTIF('03_地点锚点'!$A$2:$A$501,'04_路径网络'!D175)+COUNTIF('06_建筑锚点'!$A$2:$A$501,'04_路径网络'!D175)=0),"起点引用对象不存在；","")&amp;IF(AND('04_路径网络'!E175&lt;&gt;"",COUNTIF('02_固定地理'!$A$2:$A$501,'04_路径网络'!E175)+COUNTIF('03_地点锚点'!$A$2:$A$501,'04_路径网络'!E175)+COUNTIF('06_建筑锚点'!$A$2:$A$501,'04_路径网络'!E175)=0),"终点引用对象不存在；","")&amp;IF(AND('04_路径网络'!F175&lt;&gt;"",COUNTIF('04_路径网络'!$A$2:$A$501,'04_路径网络'!F175)=0),"父级路径不存在；","")&amp;IF(AND('04_路径网络'!A175&lt;&gt;"",COUNTIF('04_路径网络'!$A$2:$A$501,'04_路径网络'!A175)&gt;1),"ID重复；",""),"")</f>
        <v/>
      </c>
      <c r="G1175" s="14">
        <f>IF(F1175&lt;&gt;"","按字段批注、数据字典和来源记录修正后复核","")</f>
        <v/>
      </c>
      <c r="H1175" s="14">
        <f>IF(F1175&lt;&gt;"","待处理","")</f>
        <v/>
      </c>
    </row>
    <row r="1176">
      <c r="A1176" s="14">
        <f>IF(F1176&lt;&gt;"","ISSUE-"&amp;TEXT(ROW()-1,"00000"),"")</f>
        <v/>
      </c>
      <c r="B1176" s="14">
        <f>IF(F1176&lt;&gt;"","错误","")</f>
        <v/>
      </c>
      <c r="C1176" s="14">
        <f>IF('04_路径网络'!A176&lt;&gt;"","04_路径网络","")</f>
        <v/>
      </c>
      <c r="D1176" s="14">
        <f>IF('04_路径网络'!A176&lt;&gt;"",'04_路径网络'!A176,"")</f>
        <v/>
      </c>
      <c r="E1176" s="14">
        <f>IF(F1176&lt;&gt;"","综合校验","")</f>
        <v/>
      </c>
      <c r="F1176" s="14">
        <f>IF('04_路径网络'!A176&lt;&gt;"",IF('04_路径网络'!A176="","缺少路径ID；","")&amp;IF('04_路径网络'!C176="","缺少路径类型；","")&amp;IF('04_路径网络'!D176="","缺少起点对象ID；","")&amp;IF('04_路径网络'!E176="","缺少终点对象ID；","")&amp;IF(AND('04_路径网络'!D176&lt;&gt;"",'04_路径网络'!D176='04_路径网络'!E176),"起点与终点相同；","")&amp;IF(AND('04_路径网络'!D176&lt;&gt;"",COUNTIF('02_固定地理'!$A$2:$A$501,'04_路径网络'!D176)+COUNTIF('03_地点锚点'!$A$2:$A$501,'04_路径网络'!D176)+COUNTIF('06_建筑锚点'!$A$2:$A$501,'04_路径网络'!D176)=0),"起点引用对象不存在；","")&amp;IF(AND('04_路径网络'!E176&lt;&gt;"",COUNTIF('02_固定地理'!$A$2:$A$501,'04_路径网络'!E176)+COUNTIF('03_地点锚点'!$A$2:$A$501,'04_路径网络'!E176)+COUNTIF('06_建筑锚点'!$A$2:$A$501,'04_路径网络'!E176)=0),"终点引用对象不存在；","")&amp;IF(AND('04_路径网络'!F176&lt;&gt;"",COUNTIF('04_路径网络'!$A$2:$A$501,'04_路径网络'!F176)=0),"父级路径不存在；","")&amp;IF(AND('04_路径网络'!A176&lt;&gt;"",COUNTIF('04_路径网络'!$A$2:$A$501,'04_路径网络'!A176)&gt;1),"ID重复；",""),"")</f>
        <v/>
      </c>
      <c r="G1176" s="14">
        <f>IF(F1176&lt;&gt;"","按字段批注、数据字典和来源记录修正后复核","")</f>
        <v/>
      </c>
      <c r="H1176" s="14">
        <f>IF(F1176&lt;&gt;"","待处理","")</f>
        <v/>
      </c>
    </row>
    <row r="1177">
      <c r="A1177" s="14">
        <f>IF(F1177&lt;&gt;"","ISSUE-"&amp;TEXT(ROW()-1,"00000"),"")</f>
        <v/>
      </c>
      <c r="B1177" s="14">
        <f>IF(F1177&lt;&gt;"","错误","")</f>
        <v/>
      </c>
      <c r="C1177" s="14">
        <f>IF('04_路径网络'!A177&lt;&gt;"","04_路径网络","")</f>
        <v/>
      </c>
      <c r="D1177" s="14">
        <f>IF('04_路径网络'!A177&lt;&gt;"",'04_路径网络'!A177,"")</f>
        <v/>
      </c>
      <c r="E1177" s="14">
        <f>IF(F1177&lt;&gt;"","综合校验","")</f>
        <v/>
      </c>
      <c r="F1177" s="14">
        <f>IF('04_路径网络'!A177&lt;&gt;"",IF('04_路径网络'!A177="","缺少路径ID；","")&amp;IF('04_路径网络'!C177="","缺少路径类型；","")&amp;IF('04_路径网络'!D177="","缺少起点对象ID；","")&amp;IF('04_路径网络'!E177="","缺少终点对象ID；","")&amp;IF(AND('04_路径网络'!D177&lt;&gt;"",'04_路径网络'!D177='04_路径网络'!E177),"起点与终点相同；","")&amp;IF(AND('04_路径网络'!D177&lt;&gt;"",COUNTIF('02_固定地理'!$A$2:$A$501,'04_路径网络'!D177)+COUNTIF('03_地点锚点'!$A$2:$A$501,'04_路径网络'!D177)+COUNTIF('06_建筑锚点'!$A$2:$A$501,'04_路径网络'!D177)=0),"起点引用对象不存在；","")&amp;IF(AND('04_路径网络'!E177&lt;&gt;"",COUNTIF('02_固定地理'!$A$2:$A$501,'04_路径网络'!E177)+COUNTIF('03_地点锚点'!$A$2:$A$501,'04_路径网络'!E177)+COUNTIF('06_建筑锚点'!$A$2:$A$501,'04_路径网络'!E177)=0),"终点引用对象不存在；","")&amp;IF(AND('04_路径网络'!F177&lt;&gt;"",COUNTIF('04_路径网络'!$A$2:$A$501,'04_路径网络'!F177)=0),"父级路径不存在；","")&amp;IF(AND('04_路径网络'!A177&lt;&gt;"",COUNTIF('04_路径网络'!$A$2:$A$501,'04_路径网络'!A177)&gt;1),"ID重复；",""),"")</f>
        <v/>
      </c>
      <c r="G1177" s="14">
        <f>IF(F1177&lt;&gt;"","按字段批注、数据字典和来源记录修正后复核","")</f>
        <v/>
      </c>
      <c r="H1177" s="14">
        <f>IF(F1177&lt;&gt;"","待处理","")</f>
        <v/>
      </c>
    </row>
    <row r="1178">
      <c r="A1178" s="14">
        <f>IF(F1178&lt;&gt;"","ISSUE-"&amp;TEXT(ROW()-1,"00000"),"")</f>
        <v/>
      </c>
      <c r="B1178" s="14">
        <f>IF(F1178&lt;&gt;"","错误","")</f>
        <v/>
      </c>
      <c r="C1178" s="14">
        <f>IF('04_路径网络'!A178&lt;&gt;"","04_路径网络","")</f>
        <v/>
      </c>
      <c r="D1178" s="14">
        <f>IF('04_路径网络'!A178&lt;&gt;"",'04_路径网络'!A178,"")</f>
        <v/>
      </c>
      <c r="E1178" s="14">
        <f>IF(F1178&lt;&gt;"","综合校验","")</f>
        <v/>
      </c>
      <c r="F1178" s="14">
        <f>IF('04_路径网络'!A178&lt;&gt;"",IF('04_路径网络'!A178="","缺少路径ID；","")&amp;IF('04_路径网络'!C178="","缺少路径类型；","")&amp;IF('04_路径网络'!D178="","缺少起点对象ID；","")&amp;IF('04_路径网络'!E178="","缺少终点对象ID；","")&amp;IF(AND('04_路径网络'!D178&lt;&gt;"",'04_路径网络'!D178='04_路径网络'!E178),"起点与终点相同；","")&amp;IF(AND('04_路径网络'!D178&lt;&gt;"",COUNTIF('02_固定地理'!$A$2:$A$501,'04_路径网络'!D178)+COUNTIF('03_地点锚点'!$A$2:$A$501,'04_路径网络'!D178)+COUNTIF('06_建筑锚点'!$A$2:$A$501,'04_路径网络'!D178)=0),"起点引用对象不存在；","")&amp;IF(AND('04_路径网络'!E178&lt;&gt;"",COUNTIF('02_固定地理'!$A$2:$A$501,'04_路径网络'!E178)+COUNTIF('03_地点锚点'!$A$2:$A$501,'04_路径网络'!E178)+COUNTIF('06_建筑锚点'!$A$2:$A$501,'04_路径网络'!E178)=0),"终点引用对象不存在；","")&amp;IF(AND('04_路径网络'!F178&lt;&gt;"",COUNTIF('04_路径网络'!$A$2:$A$501,'04_路径网络'!F178)=0),"父级路径不存在；","")&amp;IF(AND('04_路径网络'!A178&lt;&gt;"",COUNTIF('04_路径网络'!$A$2:$A$501,'04_路径网络'!A178)&gt;1),"ID重复；",""),"")</f>
        <v/>
      </c>
      <c r="G1178" s="14">
        <f>IF(F1178&lt;&gt;"","按字段批注、数据字典和来源记录修正后复核","")</f>
        <v/>
      </c>
      <c r="H1178" s="14">
        <f>IF(F1178&lt;&gt;"","待处理","")</f>
        <v/>
      </c>
    </row>
    <row r="1179">
      <c r="A1179" s="14">
        <f>IF(F1179&lt;&gt;"","ISSUE-"&amp;TEXT(ROW()-1,"00000"),"")</f>
        <v/>
      </c>
      <c r="B1179" s="14">
        <f>IF(F1179&lt;&gt;"","错误","")</f>
        <v/>
      </c>
      <c r="C1179" s="14">
        <f>IF('04_路径网络'!A179&lt;&gt;"","04_路径网络","")</f>
        <v/>
      </c>
      <c r="D1179" s="14">
        <f>IF('04_路径网络'!A179&lt;&gt;"",'04_路径网络'!A179,"")</f>
        <v/>
      </c>
      <c r="E1179" s="14">
        <f>IF(F1179&lt;&gt;"","综合校验","")</f>
        <v/>
      </c>
      <c r="F1179" s="14">
        <f>IF('04_路径网络'!A179&lt;&gt;"",IF('04_路径网络'!A179="","缺少路径ID；","")&amp;IF('04_路径网络'!C179="","缺少路径类型；","")&amp;IF('04_路径网络'!D179="","缺少起点对象ID；","")&amp;IF('04_路径网络'!E179="","缺少终点对象ID；","")&amp;IF(AND('04_路径网络'!D179&lt;&gt;"",'04_路径网络'!D179='04_路径网络'!E179),"起点与终点相同；","")&amp;IF(AND('04_路径网络'!D179&lt;&gt;"",COUNTIF('02_固定地理'!$A$2:$A$501,'04_路径网络'!D179)+COUNTIF('03_地点锚点'!$A$2:$A$501,'04_路径网络'!D179)+COUNTIF('06_建筑锚点'!$A$2:$A$501,'04_路径网络'!D179)=0),"起点引用对象不存在；","")&amp;IF(AND('04_路径网络'!E179&lt;&gt;"",COUNTIF('02_固定地理'!$A$2:$A$501,'04_路径网络'!E179)+COUNTIF('03_地点锚点'!$A$2:$A$501,'04_路径网络'!E179)+COUNTIF('06_建筑锚点'!$A$2:$A$501,'04_路径网络'!E179)=0),"终点引用对象不存在；","")&amp;IF(AND('04_路径网络'!F179&lt;&gt;"",COUNTIF('04_路径网络'!$A$2:$A$501,'04_路径网络'!F179)=0),"父级路径不存在；","")&amp;IF(AND('04_路径网络'!A179&lt;&gt;"",COUNTIF('04_路径网络'!$A$2:$A$501,'04_路径网络'!A179)&gt;1),"ID重复；",""),"")</f>
        <v/>
      </c>
      <c r="G1179" s="14">
        <f>IF(F1179&lt;&gt;"","按字段批注、数据字典和来源记录修正后复核","")</f>
        <v/>
      </c>
      <c r="H1179" s="14">
        <f>IF(F1179&lt;&gt;"","待处理","")</f>
        <v/>
      </c>
    </row>
    <row r="1180">
      <c r="A1180" s="14">
        <f>IF(F1180&lt;&gt;"","ISSUE-"&amp;TEXT(ROW()-1,"00000"),"")</f>
        <v/>
      </c>
      <c r="B1180" s="14">
        <f>IF(F1180&lt;&gt;"","错误","")</f>
        <v/>
      </c>
      <c r="C1180" s="14">
        <f>IF('04_路径网络'!A180&lt;&gt;"","04_路径网络","")</f>
        <v/>
      </c>
      <c r="D1180" s="14">
        <f>IF('04_路径网络'!A180&lt;&gt;"",'04_路径网络'!A180,"")</f>
        <v/>
      </c>
      <c r="E1180" s="14">
        <f>IF(F1180&lt;&gt;"","综合校验","")</f>
        <v/>
      </c>
      <c r="F1180" s="14">
        <f>IF('04_路径网络'!A180&lt;&gt;"",IF('04_路径网络'!A180="","缺少路径ID；","")&amp;IF('04_路径网络'!C180="","缺少路径类型；","")&amp;IF('04_路径网络'!D180="","缺少起点对象ID；","")&amp;IF('04_路径网络'!E180="","缺少终点对象ID；","")&amp;IF(AND('04_路径网络'!D180&lt;&gt;"",'04_路径网络'!D180='04_路径网络'!E180),"起点与终点相同；","")&amp;IF(AND('04_路径网络'!D180&lt;&gt;"",COUNTIF('02_固定地理'!$A$2:$A$501,'04_路径网络'!D180)+COUNTIF('03_地点锚点'!$A$2:$A$501,'04_路径网络'!D180)+COUNTIF('06_建筑锚点'!$A$2:$A$501,'04_路径网络'!D180)=0),"起点引用对象不存在；","")&amp;IF(AND('04_路径网络'!E180&lt;&gt;"",COUNTIF('02_固定地理'!$A$2:$A$501,'04_路径网络'!E180)+COUNTIF('03_地点锚点'!$A$2:$A$501,'04_路径网络'!E180)+COUNTIF('06_建筑锚点'!$A$2:$A$501,'04_路径网络'!E180)=0),"终点引用对象不存在；","")&amp;IF(AND('04_路径网络'!F180&lt;&gt;"",COUNTIF('04_路径网络'!$A$2:$A$501,'04_路径网络'!F180)=0),"父级路径不存在；","")&amp;IF(AND('04_路径网络'!A180&lt;&gt;"",COUNTIF('04_路径网络'!$A$2:$A$501,'04_路径网络'!A180)&gt;1),"ID重复；",""),"")</f>
        <v/>
      </c>
      <c r="G1180" s="14">
        <f>IF(F1180&lt;&gt;"","按字段批注、数据字典和来源记录修正后复核","")</f>
        <v/>
      </c>
      <c r="H1180" s="14">
        <f>IF(F1180&lt;&gt;"","待处理","")</f>
        <v/>
      </c>
    </row>
    <row r="1181">
      <c r="A1181" s="14">
        <f>IF(F1181&lt;&gt;"","ISSUE-"&amp;TEXT(ROW()-1,"00000"),"")</f>
        <v/>
      </c>
      <c r="B1181" s="14">
        <f>IF(F1181&lt;&gt;"","错误","")</f>
        <v/>
      </c>
      <c r="C1181" s="14">
        <f>IF('04_路径网络'!A181&lt;&gt;"","04_路径网络","")</f>
        <v/>
      </c>
      <c r="D1181" s="14">
        <f>IF('04_路径网络'!A181&lt;&gt;"",'04_路径网络'!A181,"")</f>
        <v/>
      </c>
      <c r="E1181" s="14">
        <f>IF(F1181&lt;&gt;"","综合校验","")</f>
        <v/>
      </c>
      <c r="F1181" s="14">
        <f>IF('04_路径网络'!A181&lt;&gt;"",IF('04_路径网络'!A181="","缺少路径ID；","")&amp;IF('04_路径网络'!C181="","缺少路径类型；","")&amp;IF('04_路径网络'!D181="","缺少起点对象ID；","")&amp;IF('04_路径网络'!E181="","缺少终点对象ID；","")&amp;IF(AND('04_路径网络'!D181&lt;&gt;"",'04_路径网络'!D181='04_路径网络'!E181),"起点与终点相同；","")&amp;IF(AND('04_路径网络'!D181&lt;&gt;"",COUNTIF('02_固定地理'!$A$2:$A$501,'04_路径网络'!D181)+COUNTIF('03_地点锚点'!$A$2:$A$501,'04_路径网络'!D181)+COUNTIF('06_建筑锚点'!$A$2:$A$501,'04_路径网络'!D181)=0),"起点引用对象不存在；","")&amp;IF(AND('04_路径网络'!E181&lt;&gt;"",COUNTIF('02_固定地理'!$A$2:$A$501,'04_路径网络'!E181)+COUNTIF('03_地点锚点'!$A$2:$A$501,'04_路径网络'!E181)+COUNTIF('06_建筑锚点'!$A$2:$A$501,'04_路径网络'!E181)=0),"终点引用对象不存在；","")&amp;IF(AND('04_路径网络'!F181&lt;&gt;"",COUNTIF('04_路径网络'!$A$2:$A$501,'04_路径网络'!F181)=0),"父级路径不存在；","")&amp;IF(AND('04_路径网络'!A181&lt;&gt;"",COUNTIF('04_路径网络'!$A$2:$A$501,'04_路径网络'!A181)&gt;1),"ID重复；",""),"")</f>
        <v/>
      </c>
      <c r="G1181" s="14">
        <f>IF(F1181&lt;&gt;"","按字段批注、数据字典和来源记录修正后复核","")</f>
        <v/>
      </c>
      <c r="H1181" s="14">
        <f>IF(F1181&lt;&gt;"","待处理","")</f>
        <v/>
      </c>
    </row>
    <row r="1182">
      <c r="A1182" s="14">
        <f>IF(F1182&lt;&gt;"","ISSUE-"&amp;TEXT(ROW()-1,"00000"),"")</f>
        <v/>
      </c>
      <c r="B1182" s="14">
        <f>IF(F1182&lt;&gt;"","错误","")</f>
        <v/>
      </c>
      <c r="C1182" s="14">
        <f>IF('04_路径网络'!A182&lt;&gt;"","04_路径网络","")</f>
        <v/>
      </c>
      <c r="D1182" s="14">
        <f>IF('04_路径网络'!A182&lt;&gt;"",'04_路径网络'!A182,"")</f>
        <v/>
      </c>
      <c r="E1182" s="14">
        <f>IF(F1182&lt;&gt;"","综合校验","")</f>
        <v/>
      </c>
      <c r="F1182" s="14">
        <f>IF('04_路径网络'!A182&lt;&gt;"",IF('04_路径网络'!A182="","缺少路径ID；","")&amp;IF('04_路径网络'!C182="","缺少路径类型；","")&amp;IF('04_路径网络'!D182="","缺少起点对象ID；","")&amp;IF('04_路径网络'!E182="","缺少终点对象ID；","")&amp;IF(AND('04_路径网络'!D182&lt;&gt;"",'04_路径网络'!D182='04_路径网络'!E182),"起点与终点相同；","")&amp;IF(AND('04_路径网络'!D182&lt;&gt;"",COUNTIF('02_固定地理'!$A$2:$A$501,'04_路径网络'!D182)+COUNTIF('03_地点锚点'!$A$2:$A$501,'04_路径网络'!D182)+COUNTIF('06_建筑锚点'!$A$2:$A$501,'04_路径网络'!D182)=0),"起点引用对象不存在；","")&amp;IF(AND('04_路径网络'!E182&lt;&gt;"",COUNTIF('02_固定地理'!$A$2:$A$501,'04_路径网络'!E182)+COUNTIF('03_地点锚点'!$A$2:$A$501,'04_路径网络'!E182)+COUNTIF('06_建筑锚点'!$A$2:$A$501,'04_路径网络'!E182)=0),"终点引用对象不存在；","")&amp;IF(AND('04_路径网络'!F182&lt;&gt;"",COUNTIF('04_路径网络'!$A$2:$A$501,'04_路径网络'!F182)=0),"父级路径不存在；","")&amp;IF(AND('04_路径网络'!A182&lt;&gt;"",COUNTIF('04_路径网络'!$A$2:$A$501,'04_路径网络'!A182)&gt;1),"ID重复；",""),"")</f>
        <v/>
      </c>
      <c r="G1182" s="14">
        <f>IF(F1182&lt;&gt;"","按字段批注、数据字典和来源记录修正后复核","")</f>
        <v/>
      </c>
      <c r="H1182" s="14">
        <f>IF(F1182&lt;&gt;"","待处理","")</f>
        <v/>
      </c>
    </row>
    <row r="1183">
      <c r="A1183" s="14">
        <f>IF(F1183&lt;&gt;"","ISSUE-"&amp;TEXT(ROW()-1,"00000"),"")</f>
        <v/>
      </c>
      <c r="B1183" s="14">
        <f>IF(F1183&lt;&gt;"","错误","")</f>
        <v/>
      </c>
      <c r="C1183" s="14">
        <f>IF('04_路径网络'!A183&lt;&gt;"","04_路径网络","")</f>
        <v/>
      </c>
      <c r="D1183" s="14">
        <f>IF('04_路径网络'!A183&lt;&gt;"",'04_路径网络'!A183,"")</f>
        <v/>
      </c>
      <c r="E1183" s="14">
        <f>IF(F1183&lt;&gt;"","综合校验","")</f>
        <v/>
      </c>
      <c r="F1183" s="14">
        <f>IF('04_路径网络'!A183&lt;&gt;"",IF('04_路径网络'!A183="","缺少路径ID；","")&amp;IF('04_路径网络'!C183="","缺少路径类型；","")&amp;IF('04_路径网络'!D183="","缺少起点对象ID；","")&amp;IF('04_路径网络'!E183="","缺少终点对象ID；","")&amp;IF(AND('04_路径网络'!D183&lt;&gt;"",'04_路径网络'!D183='04_路径网络'!E183),"起点与终点相同；","")&amp;IF(AND('04_路径网络'!D183&lt;&gt;"",COUNTIF('02_固定地理'!$A$2:$A$501,'04_路径网络'!D183)+COUNTIF('03_地点锚点'!$A$2:$A$501,'04_路径网络'!D183)+COUNTIF('06_建筑锚点'!$A$2:$A$501,'04_路径网络'!D183)=0),"起点引用对象不存在；","")&amp;IF(AND('04_路径网络'!E183&lt;&gt;"",COUNTIF('02_固定地理'!$A$2:$A$501,'04_路径网络'!E183)+COUNTIF('03_地点锚点'!$A$2:$A$501,'04_路径网络'!E183)+COUNTIF('06_建筑锚点'!$A$2:$A$501,'04_路径网络'!E183)=0),"终点引用对象不存在；","")&amp;IF(AND('04_路径网络'!F183&lt;&gt;"",COUNTIF('04_路径网络'!$A$2:$A$501,'04_路径网络'!F183)=0),"父级路径不存在；","")&amp;IF(AND('04_路径网络'!A183&lt;&gt;"",COUNTIF('04_路径网络'!$A$2:$A$501,'04_路径网络'!A183)&gt;1),"ID重复；",""),"")</f>
        <v/>
      </c>
      <c r="G1183" s="14">
        <f>IF(F1183&lt;&gt;"","按字段批注、数据字典和来源记录修正后复核","")</f>
        <v/>
      </c>
      <c r="H1183" s="14">
        <f>IF(F1183&lt;&gt;"","待处理","")</f>
        <v/>
      </c>
    </row>
    <row r="1184">
      <c r="A1184" s="14">
        <f>IF(F1184&lt;&gt;"","ISSUE-"&amp;TEXT(ROW()-1,"00000"),"")</f>
        <v/>
      </c>
      <c r="B1184" s="14">
        <f>IF(F1184&lt;&gt;"","错误","")</f>
        <v/>
      </c>
      <c r="C1184" s="14">
        <f>IF('04_路径网络'!A184&lt;&gt;"","04_路径网络","")</f>
        <v/>
      </c>
      <c r="D1184" s="14">
        <f>IF('04_路径网络'!A184&lt;&gt;"",'04_路径网络'!A184,"")</f>
        <v/>
      </c>
      <c r="E1184" s="14">
        <f>IF(F1184&lt;&gt;"","综合校验","")</f>
        <v/>
      </c>
      <c r="F1184" s="14">
        <f>IF('04_路径网络'!A184&lt;&gt;"",IF('04_路径网络'!A184="","缺少路径ID；","")&amp;IF('04_路径网络'!C184="","缺少路径类型；","")&amp;IF('04_路径网络'!D184="","缺少起点对象ID；","")&amp;IF('04_路径网络'!E184="","缺少终点对象ID；","")&amp;IF(AND('04_路径网络'!D184&lt;&gt;"",'04_路径网络'!D184='04_路径网络'!E184),"起点与终点相同；","")&amp;IF(AND('04_路径网络'!D184&lt;&gt;"",COUNTIF('02_固定地理'!$A$2:$A$501,'04_路径网络'!D184)+COUNTIF('03_地点锚点'!$A$2:$A$501,'04_路径网络'!D184)+COUNTIF('06_建筑锚点'!$A$2:$A$501,'04_路径网络'!D184)=0),"起点引用对象不存在；","")&amp;IF(AND('04_路径网络'!E184&lt;&gt;"",COUNTIF('02_固定地理'!$A$2:$A$501,'04_路径网络'!E184)+COUNTIF('03_地点锚点'!$A$2:$A$501,'04_路径网络'!E184)+COUNTIF('06_建筑锚点'!$A$2:$A$501,'04_路径网络'!E184)=0),"终点引用对象不存在；","")&amp;IF(AND('04_路径网络'!F184&lt;&gt;"",COUNTIF('04_路径网络'!$A$2:$A$501,'04_路径网络'!F184)=0),"父级路径不存在；","")&amp;IF(AND('04_路径网络'!A184&lt;&gt;"",COUNTIF('04_路径网络'!$A$2:$A$501,'04_路径网络'!A184)&gt;1),"ID重复；",""),"")</f>
        <v/>
      </c>
      <c r="G1184" s="14">
        <f>IF(F1184&lt;&gt;"","按字段批注、数据字典和来源记录修正后复核","")</f>
        <v/>
      </c>
      <c r="H1184" s="14">
        <f>IF(F1184&lt;&gt;"","待处理","")</f>
        <v/>
      </c>
    </row>
    <row r="1185">
      <c r="A1185" s="14">
        <f>IF(F1185&lt;&gt;"","ISSUE-"&amp;TEXT(ROW()-1,"00000"),"")</f>
        <v/>
      </c>
      <c r="B1185" s="14">
        <f>IF(F1185&lt;&gt;"","错误","")</f>
        <v/>
      </c>
      <c r="C1185" s="14">
        <f>IF('04_路径网络'!A185&lt;&gt;"","04_路径网络","")</f>
        <v/>
      </c>
      <c r="D1185" s="14">
        <f>IF('04_路径网络'!A185&lt;&gt;"",'04_路径网络'!A185,"")</f>
        <v/>
      </c>
      <c r="E1185" s="14">
        <f>IF(F1185&lt;&gt;"","综合校验","")</f>
        <v/>
      </c>
      <c r="F1185" s="14">
        <f>IF('04_路径网络'!A185&lt;&gt;"",IF('04_路径网络'!A185="","缺少路径ID；","")&amp;IF('04_路径网络'!C185="","缺少路径类型；","")&amp;IF('04_路径网络'!D185="","缺少起点对象ID；","")&amp;IF('04_路径网络'!E185="","缺少终点对象ID；","")&amp;IF(AND('04_路径网络'!D185&lt;&gt;"",'04_路径网络'!D185='04_路径网络'!E185),"起点与终点相同；","")&amp;IF(AND('04_路径网络'!D185&lt;&gt;"",COUNTIF('02_固定地理'!$A$2:$A$501,'04_路径网络'!D185)+COUNTIF('03_地点锚点'!$A$2:$A$501,'04_路径网络'!D185)+COUNTIF('06_建筑锚点'!$A$2:$A$501,'04_路径网络'!D185)=0),"起点引用对象不存在；","")&amp;IF(AND('04_路径网络'!E185&lt;&gt;"",COUNTIF('02_固定地理'!$A$2:$A$501,'04_路径网络'!E185)+COUNTIF('03_地点锚点'!$A$2:$A$501,'04_路径网络'!E185)+COUNTIF('06_建筑锚点'!$A$2:$A$501,'04_路径网络'!E185)=0),"终点引用对象不存在；","")&amp;IF(AND('04_路径网络'!F185&lt;&gt;"",COUNTIF('04_路径网络'!$A$2:$A$501,'04_路径网络'!F185)=0),"父级路径不存在；","")&amp;IF(AND('04_路径网络'!A185&lt;&gt;"",COUNTIF('04_路径网络'!$A$2:$A$501,'04_路径网络'!A185)&gt;1),"ID重复；",""),"")</f>
        <v/>
      </c>
      <c r="G1185" s="14">
        <f>IF(F1185&lt;&gt;"","按字段批注、数据字典和来源记录修正后复核","")</f>
        <v/>
      </c>
      <c r="H1185" s="14">
        <f>IF(F1185&lt;&gt;"","待处理","")</f>
        <v/>
      </c>
    </row>
    <row r="1186">
      <c r="A1186" s="14">
        <f>IF(F1186&lt;&gt;"","ISSUE-"&amp;TEXT(ROW()-1,"00000"),"")</f>
        <v/>
      </c>
      <c r="B1186" s="14">
        <f>IF(F1186&lt;&gt;"","错误","")</f>
        <v/>
      </c>
      <c r="C1186" s="14">
        <f>IF('04_路径网络'!A186&lt;&gt;"","04_路径网络","")</f>
        <v/>
      </c>
      <c r="D1186" s="14">
        <f>IF('04_路径网络'!A186&lt;&gt;"",'04_路径网络'!A186,"")</f>
        <v/>
      </c>
      <c r="E1186" s="14">
        <f>IF(F1186&lt;&gt;"","综合校验","")</f>
        <v/>
      </c>
      <c r="F1186" s="14">
        <f>IF('04_路径网络'!A186&lt;&gt;"",IF('04_路径网络'!A186="","缺少路径ID；","")&amp;IF('04_路径网络'!C186="","缺少路径类型；","")&amp;IF('04_路径网络'!D186="","缺少起点对象ID；","")&amp;IF('04_路径网络'!E186="","缺少终点对象ID；","")&amp;IF(AND('04_路径网络'!D186&lt;&gt;"",'04_路径网络'!D186='04_路径网络'!E186),"起点与终点相同；","")&amp;IF(AND('04_路径网络'!D186&lt;&gt;"",COUNTIF('02_固定地理'!$A$2:$A$501,'04_路径网络'!D186)+COUNTIF('03_地点锚点'!$A$2:$A$501,'04_路径网络'!D186)+COUNTIF('06_建筑锚点'!$A$2:$A$501,'04_路径网络'!D186)=0),"起点引用对象不存在；","")&amp;IF(AND('04_路径网络'!E186&lt;&gt;"",COUNTIF('02_固定地理'!$A$2:$A$501,'04_路径网络'!E186)+COUNTIF('03_地点锚点'!$A$2:$A$501,'04_路径网络'!E186)+COUNTIF('06_建筑锚点'!$A$2:$A$501,'04_路径网络'!E186)=0),"终点引用对象不存在；","")&amp;IF(AND('04_路径网络'!F186&lt;&gt;"",COUNTIF('04_路径网络'!$A$2:$A$501,'04_路径网络'!F186)=0),"父级路径不存在；","")&amp;IF(AND('04_路径网络'!A186&lt;&gt;"",COUNTIF('04_路径网络'!$A$2:$A$501,'04_路径网络'!A186)&gt;1),"ID重复；",""),"")</f>
        <v/>
      </c>
      <c r="G1186" s="14">
        <f>IF(F1186&lt;&gt;"","按字段批注、数据字典和来源记录修正后复核","")</f>
        <v/>
      </c>
      <c r="H1186" s="14">
        <f>IF(F1186&lt;&gt;"","待处理","")</f>
        <v/>
      </c>
    </row>
    <row r="1187">
      <c r="A1187" s="14">
        <f>IF(F1187&lt;&gt;"","ISSUE-"&amp;TEXT(ROW()-1,"00000"),"")</f>
        <v/>
      </c>
      <c r="B1187" s="14">
        <f>IF(F1187&lt;&gt;"","错误","")</f>
        <v/>
      </c>
      <c r="C1187" s="14">
        <f>IF('04_路径网络'!A187&lt;&gt;"","04_路径网络","")</f>
        <v/>
      </c>
      <c r="D1187" s="14">
        <f>IF('04_路径网络'!A187&lt;&gt;"",'04_路径网络'!A187,"")</f>
        <v/>
      </c>
      <c r="E1187" s="14">
        <f>IF(F1187&lt;&gt;"","综合校验","")</f>
        <v/>
      </c>
      <c r="F1187" s="14">
        <f>IF('04_路径网络'!A187&lt;&gt;"",IF('04_路径网络'!A187="","缺少路径ID；","")&amp;IF('04_路径网络'!C187="","缺少路径类型；","")&amp;IF('04_路径网络'!D187="","缺少起点对象ID；","")&amp;IF('04_路径网络'!E187="","缺少终点对象ID；","")&amp;IF(AND('04_路径网络'!D187&lt;&gt;"",'04_路径网络'!D187='04_路径网络'!E187),"起点与终点相同；","")&amp;IF(AND('04_路径网络'!D187&lt;&gt;"",COUNTIF('02_固定地理'!$A$2:$A$501,'04_路径网络'!D187)+COUNTIF('03_地点锚点'!$A$2:$A$501,'04_路径网络'!D187)+COUNTIF('06_建筑锚点'!$A$2:$A$501,'04_路径网络'!D187)=0),"起点引用对象不存在；","")&amp;IF(AND('04_路径网络'!E187&lt;&gt;"",COUNTIF('02_固定地理'!$A$2:$A$501,'04_路径网络'!E187)+COUNTIF('03_地点锚点'!$A$2:$A$501,'04_路径网络'!E187)+COUNTIF('06_建筑锚点'!$A$2:$A$501,'04_路径网络'!E187)=0),"终点引用对象不存在；","")&amp;IF(AND('04_路径网络'!F187&lt;&gt;"",COUNTIF('04_路径网络'!$A$2:$A$501,'04_路径网络'!F187)=0),"父级路径不存在；","")&amp;IF(AND('04_路径网络'!A187&lt;&gt;"",COUNTIF('04_路径网络'!$A$2:$A$501,'04_路径网络'!A187)&gt;1),"ID重复；",""),"")</f>
        <v/>
      </c>
      <c r="G1187" s="14">
        <f>IF(F1187&lt;&gt;"","按字段批注、数据字典和来源记录修正后复核","")</f>
        <v/>
      </c>
      <c r="H1187" s="14">
        <f>IF(F1187&lt;&gt;"","待处理","")</f>
        <v/>
      </c>
    </row>
    <row r="1188">
      <c r="A1188" s="14">
        <f>IF(F1188&lt;&gt;"","ISSUE-"&amp;TEXT(ROW()-1,"00000"),"")</f>
        <v/>
      </c>
      <c r="B1188" s="14">
        <f>IF(F1188&lt;&gt;"","错误","")</f>
        <v/>
      </c>
      <c r="C1188" s="14">
        <f>IF('04_路径网络'!A188&lt;&gt;"","04_路径网络","")</f>
        <v/>
      </c>
      <c r="D1188" s="14">
        <f>IF('04_路径网络'!A188&lt;&gt;"",'04_路径网络'!A188,"")</f>
        <v/>
      </c>
      <c r="E1188" s="14">
        <f>IF(F1188&lt;&gt;"","综合校验","")</f>
        <v/>
      </c>
      <c r="F1188" s="14">
        <f>IF('04_路径网络'!A188&lt;&gt;"",IF('04_路径网络'!A188="","缺少路径ID；","")&amp;IF('04_路径网络'!C188="","缺少路径类型；","")&amp;IF('04_路径网络'!D188="","缺少起点对象ID；","")&amp;IF('04_路径网络'!E188="","缺少终点对象ID；","")&amp;IF(AND('04_路径网络'!D188&lt;&gt;"",'04_路径网络'!D188='04_路径网络'!E188),"起点与终点相同；","")&amp;IF(AND('04_路径网络'!D188&lt;&gt;"",COUNTIF('02_固定地理'!$A$2:$A$501,'04_路径网络'!D188)+COUNTIF('03_地点锚点'!$A$2:$A$501,'04_路径网络'!D188)+COUNTIF('06_建筑锚点'!$A$2:$A$501,'04_路径网络'!D188)=0),"起点引用对象不存在；","")&amp;IF(AND('04_路径网络'!E188&lt;&gt;"",COUNTIF('02_固定地理'!$A$2:$A$501,'04_路径网络'!E188)+COUNTIF('03_地点锚点'!$A$2:$A$501,'04_路径网络'!E188)+COUNTIF('06_建筑锚点'!$A$2:$A$501,'04_路径网络'!E188)=0),"终点引用对象不存在；","")&amp;IF(AND('04_路径网络'!F188&lt;&gt;"",COUNTIF('04_路径网络'!$A$2:$A$501,'04_路径网络'!F188)=0),"父级路径不存在；","")&amp;IF(AND('04_路径网络'!A188&lt;&gt;"",COUNTIF('04_路径网络'!$A$2:$A$501,'04_路径网络'!A188)&gt;1),"ID重复；",""),"")</f>
        <v/>
      </c>
      <c r="G1188" s="14">
        <f>IF(F1188&lt;&gt;"","按字段批注、数据字典和来源记录修正后复核","")</f>
        <v/>
      </c>
      <c r="H1188" s="14">
        <f>IF(F1188&lt;&gt;"","待处理","")</f>
        <v/>
      </c>
    </row>
    <row r="1189">
      <c r="A1189" s="14">
        <f>IF(F1189&lt;&gt;"","ISSUE-"&amp;TEXT(ROW()-1,"00000"),"")</f>
        <v/>
      </c>
      <c r="B1189" s="14">
        <f>IF(F1189&lt;&gt;"","错误","")</f>
        <v/>
      </c>
      <c r="C1189" s="14">
        <f>IF('04_路径网络'!A189&lt;&gt;"","04_路径网络","")</f>
        <v/>
      </c>
      <c r="D1189" s="14">
        <f>IF('04_路径网络'!A189&lt;&gt;"",'04_路径网络'!A189,"")</f>
        <v/>
      </c>
      <c r="E1189" s="14">
        <f>IF(F1189&lt;&gt;"","综合校验","")</f>
        <v/>
      </c>
      <c r="F1189" s="14">
        <f>IF('04_路径网络'!A189&lt;&gt;"",IF('04_路径网络'!A189="","缺少路径ID；","")&amp;IF('04_路径网络'!C189="","缺少路径类型；","")&amp;IF('04_路径网络'!D189="","缺少起点对象ID；","")&amp;IF('04_路径网络'!E189="","缺少终点对象ID；","")&amp;IF(AND('04_路径网络'!D189&lt;&gt;"",'04_路径网络'!D189='04_路径网络'!E189),"起点与终点相同；","")&amp;IF(AND('04_路径网络'!D189&lt;&gt;"",COUNTIF('02_固定地理'!$A$2:$A$501,'04_路径网络'!D189)+COUNTIF('03_地点锚点'!$A$2:$A$501,'04_路径网络'!D189)+COUNTIF('06_建筑锚点'!$A$2:$A$501,'04_路径网络'!D189)=0),"起点引用对象不存在；","")&amp;IF(AND('04_路径网络'!E189&lt;&gt;"",COUNTIF('02_固定地理'!$A$2:$A$501,'04_路径网络'!E189)+COUNTIF('03_地点锚点'!$A$2:$A$501,'04_路径网络'!E189)+COUNTIF('06_建筑锚点'!$A$2:$A$501,'04_路径网络'!E189)=0),"终点引用对象不存在；","")&amp;IF(AND('04_路径网络'!F189&lt;&gt;"",COUNTIF('04_路径网络'!$A$2:$A$501,'04_路径网络'!F189)=0),"父级路径不存在；","")&amp;IF(AND('04_路径网络'!A189&lt;&gt;"",COUNTIF('04_路径网络'!$A$2:$A$501,'04_路径网络'!A189)&gt;1),"ID重复；",""),"")</f>
        <v/>
      </c>
      <c r="G1189" s="14">
        <f>IF(F1189&lt;&gt;"","按字段批注、数据字典和来源记录修正后复核","")</f>
        <v/>
      </c>
      <c r="H1189" s="14">
        <f>IF(F1189&lt;&gt;"","待处理","")</f>
        <v/>
      </c>
    </row>
    <row r="1190">
      <c r="A1190" s="14">
        <f>IF(F1190&lt;&gt;"","ISSUE-"&amp;TEXT(ROW()-1,"00000"),"")</f>
        <v/>
      </c>
      <c r="B1190" s="14">
        <f>IF(F1190&lt;&gt;"","错误","")</f>
        <v/>
      </c>
      <c r="C1190" s="14">
        <f>IF('04_路径网络'!A190&lt;&gt;"","04_路径网络","")</f>
        <v/>
      </c>
      <c r="D1190" s="14">
        <f>IF('04_路径网络'!A190&lt;&gt;"",'04_路径网络'!A190,"")</f>
        <v/>
      </c>
      <c r="E1190" s="14">
        <f>IF(F1190&lt;&gt;"","综合校验","")</f>
        <v/>
      </c>
      <c r="F1190" s="14">
        <f>IF('04_路径网络'!A190&lt;&gt;"",IF('04_路径网络'!A190="","缺少路径ID；","")&amp;IF('04_路径网络'!C190="","缺少路径类型；","")&amp;IF('04_路径网络'!D190="","缺少起点对象ID；","")&amp;IF('04_路径网络'!E190="","缺少终点对象ID；","")&amp;IF(AND('04_路径网络'!D190&lt;&gt;"",'04_路径网络'!D190='04_路径网络'!E190),"起点与终点相同；","")&amp;IF(AND('04_路径网络'!D190&lt;&gt;"",COUNTIF('02_固定地理'!$A$2:$A$501,'04_路径网络'!D190)+COUNTIF('03_地点锚点'!$A$2:$A$501,'04_路径网络'!D190)+COUNTIF('06_建筑锚点'!$A$2:$A$501,'04_路径网络'!D190)=0),"起点引用对象不存在；","")&amp;IF(AND('04_路径网络'!E190&lt;&gt;"",COUNTIF('02_固定地理'!$A$2:$A$501,'04_路径网络'!E190)+COUNTIF('03_地点锚点'!$A$2:$A$501,'04_路径网络'!E190)+COUNTIF('06_建筑锚点'!$A$2:$A$501,'04_路径网络'!E190)=0),"终点引用对象不存在；","")&amp;IF(AND('04_路径网络'!F190&lt;&gt;"",COUNTIF('04_路径网络'!$A$2:$A$501,'04_路径网络'!F190)=0),"父级路径不存在；","")&amp;IF(AND('04_路径网络'!A190&lt;&gt;"",COUNTIF('04_路径网络'!$A$2:$A$501,'04_路径网络'!A190)&gt;1),"ID重复；",""),"")</f>
        <v/>
      </c>
      <c r="G1190" s="14">
        <f>IF(F1190&lt;&gt;"","按字段批注、数据字典和来源记录修正后复核","")</f>
        <v/>
      </c>
      <c r="H1190" s="14">
        <f>IF(F1190&lt;&gt;"","待处理","")</f>
        <v/>
      </c>
    </row>
    <row r="1191">
      <c r="A1191" s="14">
        <f>IF(F1191&lt;&gt;"","ISSUE-"&amp;TEXT(ROW()-1,"00000"),"")</f>
        <v/>
      </c>
      <c r="B1191" s="14">
        <f>IF(F1191&lt;&gt;"","错误","")</f>
        <v/>
      </c>
      <c r="C1191" s="14">
        <f>IF('04_路径网络'!A191&lt;&gt;"","04_路径网络","")</f>
        <v/>
      </c>
      <c r="D1191" s="14">
        <f>IF('04_路径网络'!A191&lt;&gt;"",'04_路径网络'!A191,"")</f>
        <v/>
      </c>
      <c r="E1191" s="14">
        <f>IF(F1191&lt;&gt;"","综合校验","")</f>
        <v/>
      </c>
      <c r="F1191" s="14">
        <f>IF('04_路径网络'!A191&lt;&gt;"",IF('04_路径网络'!A191="","缺少路径ID；","")&amp;IF('04_路径网络'!C191="","缺少路径类型；","")&amp;IF('04_路径网络'!D191="","缺少起点对象ID；","")&amp;IF('04_路径网络'!E191="","缺少终点对象ID；","")&amp;IF(AND('04_路径网络'!D191&lt;&gt;"",'04_路径网络'!D191='04_路径网络'!E191),"起点与终点相同；","")&amp;IF(AND('04_路径网络'!D191&lt;&gt;"",COUNTIF('02_固定地理'!$A$2:$A$501,'04_路径网络'!D191)+COUNTIF('03_地点锚点'!$A$2:$A$501,'04_路径网络'!D191)+COUNTIF('06_建筑锚点'!$A$2:$A$501,'04_路径网络'!D191)=0),"起点引用对象不存在；","")&amp;IF(AND('04_路径网络'!E191&lt;&gt;"",COUNTIF('02_固定地理'!$A$2:$A$501,'04_路径网络'!E191)+COUNTIF('03_地点锚点'!$A$2:$A$501,'04_路径网络'!E191)+COUNTIF('06_建筑锚点'!$A$2:$A$501,'04_路径网络'!E191)=0),"终点引用对象不存在；","")&amp;IF(AND('04_路径网络'!F191&lt;&gt;"",COUNTIF('04_路径网络'!$A$2:$A$501,'04_路径网络'!F191)=0),"父级路径不存在；","")&amp;IF(AND('04_路径网络'!A191&lt;&gt;"",COUNTIF('04_路径网络'!$A$2:$A$501,'04_路径网络'!A191)&gt;1),"ID重复；",""),"")</f>
        <v/>
      </c>
      <c r="G1191" s="14">
        <f>IF(F1191&lt;&gt;"","按字段批注、数据字典和来源记录修正后复核","")</f>
        <v/>
      </c>
      <c r="H1191" s="14">
        <f>IF(F1191&lt;&gt;"","待处理","")</f>
        <v/>
      </c>
    </row>
    <row r="1192">
      <c r="A1192" s="14">
        <f>IF(F1192&lt;&gt;"","ISSUE-"&amp;TEXT(ROW()-1,"00000"),"")</f>
        <v/>
      </c>
      <c r="B1192" s="14">
        <f>IF(F1192&lt;&gt;"","错误","")</f>
        <v/>
      </c>
      <c r="C1192" s="14">
        <f>IF('04_路径网络'!A192&lt;&gt;"","04_路径网络","")</f>
        <v/>
      </c>
      <c r="D1192" s="14">
        <f>IF('04_路径网络'!A192&lt;&gt;"",'04_路径网络'!A192,"")</f>
        <v/>
      </c>
      <c r="E1192" s="14">
        <f>IF(F1192&lt;&gt;"","综合校验","")</f>
        <v/>
      </c>
      <c r="F1192" s="14">
        <f>IF('04_路径网络'!A192&lt;&gt;"",IF('04_路径网络'!A192="","缺少路径ID；","")&amp;IF('04_路径网络'!C192="","缺少路径类型；","")&amp;IF('04_路径网络'!D192="","缺少起点对象ID；","")&amp;IF('04_路径网络'!E192="","缺少终点对象ID；","")&amp;IF(AND('04_路径网络'!D192&lt;&gt;"",'04_路径网络'!D192='04_路径网络'!E192),"起点与终点相同；","")&amp;IF(AND('04_路径网络'!D192&lt;&gt;"",COUNTIF('02_固定地理'!$A$2:$A$501,'04_路径网络'!D192)+COUNTIF('03_地点锚点'!$A$2:$A$501,'04_路径网络'!D192)+COUNTIF('06_建筑锚点'!$A$2:$A$501,'04_路径网络'!D192)=0),"起点引用对象不存在；","")&amp;IF(AND('04_路径网络'!E192&lt;&gt;"",COUNTIF('02_固定地理'!$A$2:$A$501,'04_路径网络'!E192)+COUNTIF('03_地点锚点'!$A$2:$A$501,'04_路径网络'!E192)+COUNTIF('06_建筑锚点'!$A$2:$A$501,'04_路径网络'!E192)=0),"终点引用对象不存在；","")&amp;IF(AND('04_路径网络'!F192&lt;&gt;"",COUNTIF('04_路径网络'!$A$2:$A$501,'04_路径网络'!F192)=0),"父级路径不存在；","")&amp;IF(AND('04_路径网络'!A192&lt;&gt;"",COUNTIF('04_路径网络'!$A$2:$A$501,'04_路径网络'!A192)&gt;1),"ID重复；",""),"")</f>
        <v/>
      </c>
      <c r="G1192" s="14">
        <f>IF(F1192&lt;&gt;"","按字段批注、数据字典和来源记录修正后复核","")</f>
        <v/>
      </c>
      <c r="H1192" s="14">
        <f>IF(F1192&lt;&gt;"","待处理","")</f>
        <v/>
      </c>
    </row>
    <row r="1193">
      <c r="A1193" s="14">
        <f>IF(F1193&lt;&gt;"","ISSUE-"&amp;TEXT(ROW()-1,"00000"),"")</f>
        <v/>
      </c>
      <c r="B1193" s="14">
        <f>IF(F1193&lt;&gt;"","错误","")</f>
        <v/>
      </c>
      <c r="C1193" s="14">
        <f>IF('04_路径网络'!A193&lt;&gt;"","04_路径网络","")</f>
        <v/>
      </c>
      <c r="D1193" s="14">
        <f>IF('04_路径网络'!A193&lt;&gt;"",'04_路径网络'!A193,"")</f>
        <v/>
      </c>
      <c r="E1193" s="14">
        <f>IF(F1193&lt;&gt;"","综合校验","")</f>
        <v/>
      </c>
      <c r="F1193" s="14">
        <f>IF('04_路径网络'!A193&lt;&gt;"",IF('04_路径网络'!A193="","缺少路径ID；","")&amp;IF('04_路径网络'!C193="","缺少路径类型；","")&amp;IF('04_路径网络'!D193="","缺少起点对象ID；","")&amp;IF('04_路径网络'!E193="","缺少终点对象ID；","")&amp;IF(AND('04_路径网络'!D193&lt;&gt;"",'04_路径网络'!D193='04_路径网络'!E193),"起点与终点相同；","")&amp;IF(AND('04_路径网络'!D193&lt;&gt;"",COUNTIF('02_固定地理'!$A$2:$A$501,'04_路径网络'!D193)+COUNTIF('03_地点锚点'!$A$2:$A$501,'04_路径网络'!D193)+COUNTIF('06_建筑锚点'!$A$2:$A$501,'04_路径网络'!D193)=0),"起点引用对象不存在；","")&amp;IF(AND('04_路径网络'!E193&lt;&gt;"",COUNTIF('02_固定地理'!$A$2:$A$501,'04_路径网络'!E193)+COUNTIF('03_地点锚点'!$A$2:$A$501,'04_路径网络'!E193)+COUNTIF('06_建筑锚点'!$A$2:$A$501,'04_路径网络'!E193)=0),"终点引用对象不存在；","")&amp;IF(AND('04_路径网络'!F193&lt;&gt;"",COUNTIF('04_路径网络'!$A$2:$A$501,'04_路径网络'!F193)=0),"父级路径不存在；","")&amp;IF(AND('04_路径网络'!A193&lt;&gt;"",COUNTIF('04_路径网络'!$A$2:$A$501,'04_路径网络'!A193)&gt;1),"ID重复；",""),"")</f>
        <v/>
      </c>
      <c r="G1193" s="14">
        <f>IF(F1193&lt;&gt;"","按字段批注、数据字典和来源记录修正后复核","")</f>
        <v/>
      </c>
      <c r="H1193" s="14">
        <f>IF(F1193&lt;&gt;"","待处理","")</f>
        <v/>
      </c>
    </row>
    <row r="1194">
      <c r="A1194" s="14">
        <f>IF(F1194&lt;&gt;"","ISSUE-"&amp;TEXT(ROW()-1,"00000"),"")</f>
        <v/>
      </c>
      <c r="B1194" s="14">
        <f>IF(F1194&lt;&gt;"","错误","")</f>
        <v/>
      </c>
      <c r="C1194" s="14">
        <f>IF('04_路径网络'!A194&lt;&gt;"","04_路径网络","")</f>
        <v/>
      </c>
      <c r="D1194" s="14">
        <f>IF('04_路径网络'!A194&lt;&gt;"",'04_路径网络'!A194,"")</f>
        <v/>
      </c>
      <c r="E1194" s="14">
        <f>IF(F1194&lt;&gt;"","综合校验","")</f>
        <v/>
      </c>
      <c r="F1194" s="14">
        <f>IF('04_路径网络'!A194&lt;&gt;"",IF('04_路径网络'!A194="","缺少路径ID；","")&amp;IF('04_路径网络'!C194="","缺少路径类型；","")&amp;IF('04_路径网络'!D194="","缺少起点对象ID；","")&amp;IF('04_路径网络'!E194="","缺少终点对象ID；","")&amp;IF(AND('04_路径网络'!D194&lt;&gt;"",'04_路径网络'!D194='04_路径网络'!E194),"起点与终点相同；","")&amp;IF(AND('04_路径网络'!D194&lt;&gt;"",COUNTIF('02_固定地理'!$A$2:$A$501,'04_路径网络'!D194)+COUNTIF('03_地点锚点'!$A$2:$A$501,'04_路径网络'!D194)+COUNTIF('06_建筑锚点'!$A$2:$A$501,'04_路径网络'!D194)=0),"起点引用对象不存在；","")&amp;IF(AND('04_路径网络'!E194&lt;&gt;"",COUNTIF('02_固定地理'!$A$2:$A$501,'04_路径网络'!E194)+COUNTIF('03_地点锚点'!$A$2:$A$501,'04_路径网络'!E194)+COUNTIF('06_建筑锚点'!$A$2:$A$501,'04_路径网络'!E194)=0),"终点引用对象不存在；","")&amp;IF(AND('04_路径网络'!F194&lt;&gt;"",COUNTIF('04_路径网络'!$A$2:$A$501,'04_路径网络'!F194)=0),"父级路径不存在；","")&amp;IF(AND('04_路径网络'!A194&lt;&gt;"",COUNTIF('04_路径网络'!$A$2:$A$501,'04_路径网络'!A194)&gt;1),"ID重复；",""),"")</f>
        <v/>
      </c>
      <c r="G1194" s="14">
        <f>IF(F1194&lt;&gt;"","按字段批注、数据字典和来源记录修正后复核","")</f>
        <v/>
      </c>
      <c r="H1194" s="14">
        <f>IF(F1194&lt;&gt;"","待处理","")</f>
        <v/>
      </c>
    </row>
    <row r="1195">
      <c r="A1195" s="14">
        <f>IF(F1195&lt;&gt;"","ISSUE-"&amp;TEXT(ROW()-1,"00000"),"")</f>
        <v/>
      </c>
      <c r="B1195" s="14">
        <f>IF(F1195&lt;&gt;"","错误","")</f>
        <v/>
      </c>
      <c r="C1195" s="14">
        <f>IF('04_路径网络'!A195&lt;&gt;"","04_路径网络","")</f>
        <v/>
      </c>
      <c r="D1195" s="14">
        <f>IF('04_路径网络'!A195&lt;&gt;"",'04_路径网络'!A195,"")</f>
        <v/>
      </c>
      <c r="E1195" s="14">
        <f>IF(F1195&lt;&gt;"","综合校验","")</f>
        <v/>
      </c>
      <c r="F1195" s="14">
        <f>IF('04_路径网络'!A195&lt;&gt;"",IF('04_路径网络'!A195="","缺少路径ID；","")&amp;IF('04_路径网络'!C195="","缺少路径类型；","")&amp;IF('04_路径网络'!D195="","缺少起点对象ID；","")&amp;IF('04_路径网络'!E195="","缺少终点对象ID；","")&amp;IF(AND('04_路径网络'!D195&lt;&gt;"",'04_路径网络'!D195='04_路径网络'!E195),"起点与终点相同；","")&amp;IF(AND('04_路径网络'!D195&lt;&gt;"",COUNTIF('02_固定地理'!$A$2:$A$501,'04_路径网络'!D195)+COUNTIF('03_地点锚点'!$A$2:$A$501,'04_路径网络'!D195)+COUNTIF('06_建筑锚点'!$A$2:$A$501,'04_路径网络'!D195)=0),"起点引用对象不存在；","")&amp;IF(AND('04_路径网络'!E195&lt;&gt;"",COUNTIF('02_固定地理'!$A$2:$A$501,'04_路径网络'!E195)+COUNTIF('03_地点锚点'!$A$2:$A$501,'04_路径网络'!E195)+COUNTIF('06_建筑锚点'!$A$2:$A$501,'04_路径网络'!E195)=0),"终点引用对象不存在；","")&amp;IF(AND('04_路径网络'!F195&lt;&gt;"",COUNTIF('04_路径网络'!$A$2:$A$501,'04_路径网络'!F195)=0),"父级路径不存在；","")&amp;IF(AND('04_路径网络'!A195&lt;&gt;"",COUNTIF('04_路径网络'!$A$2:$A$501,'04_路径网络'!A195)&gt;1),"ID重复；",""),"")</f>
        <v/>
      </c>
      <c r="G1195" s="14">
        <f>IF(F1195&lt;&gt;"","按字段批注、数据字典和来源记录修正后复核","")</f>
        <v/>
      </c>
      <c r="H1195" s="14">
        <f>IF(F1195&lt;&gt;"","待处理","")</f>
        <v/>
      </c>
    </row>
    <row r="1196">
      <c r="A1196" s="14">
        <f>IF(F1196&lt;&gt;"","ISSUE-"&amp;TEXT(ROW()-1,"00000"),"")</f>
        <v/>
      </c>
      <c r="B1196" s="14">
        <f>IF(F1196&lt;&gt;"","错误","")</f>
        <v/>
      </c>
      <c r="C1196" s="14">
        <f>IF('04_路径网络'!A196&lt;&gt;"","04_路径网络","")</f>
        <v/>
      </c>
      <c r="D1196" s="14">
        <f>IF('04_路径网络'!A196&lt;&gt;"",'04_路径网络'!A196,"")</f>
        <v/>
      </c>
      <c r="E1196" s="14">
        <f>IF(F1196&lt;&gt;"","综合校验","")</f>
        <v/>
      </c>
      <c r="F1196" s="14">
        <f>IF('04_路径网络'!A196&lt;&gt;"",IF('04_路径网络'!A196="","缺少路径ID；","")&amp;IF('04_路径网络'!C196="","缺少路径类型；","")&amp;IF('04_路径网络'!D196="","缺少起点对象ID；","")&amp;IF('04_路径网络'!E196="","缺少终点对象ID；","")&amp;IF(AND('04_路径网络'!D196&lt;&gt;"",'04_路径网络'!D196='04_路径网络'!E196),"起点与终点相同；","")&amp;IF(AND('04_路径网络'!D196&lt;&gt;"",COUNTIF('02_固定地理'!$A$2:$A$501,'04_路径网络'!D196)+COUNTIF('03_地点锚点'!$A$2:$A$501,'04_路径网络'!D196)+COUNTIF('06_建筑锚点'!$A$2:$A$501,'04_路径网络'!D196)=0),"起点引用对象不存在；","")&amp;IF(AND('04_路径网络'!E196&lt;&gt;"",COUNTIF('02_固定地理'!$A$2:$A$501,'04_路径网络'!E196)+COUNTIF('03_地点锚点'!$A$2:$A$501,'04_路径网络'!E196)+COUNTIF('06_建筑锚点'!$A$2:$A$501,'04_路径网络'!E196)=0),"终点引用对象不存在；","")&amp;IF(AND('04_路径网络'!F196&lt;&gt;"",COUNTIF('04_路径网络'!$A$2:$A$501,'04_路径网络'!F196)=0),"父级路径不存在；","")&amp;IF(AND('04_路径网络'!A196&lt;&gt;"",COUNTIF('04_路径网络'!$A$2:$A$501,'04_路径网络'!A196)&gt;1),"ID重复；",""),"")</f>
        <v/>
      </c>
      <c r="G1196" s="14">
        <f>IF(F1196&lt;&gt;"","按字段批注、数据字典和来源记录修正后复核","")</f>
        <v/>
      </c>
      <c r="H1196" s="14">
        <f>IF(F1196&lt;&gt;"","待处理","")</f>
        <v/>
      </c>
    </row>
    <row r="1197">
      <c r="A1197" s="14">
        <f>IF(F1197&lt;&gt;"","ISSUE-"&amp;TEXT(ROW()-1,"00000"),"")</f>
        <v/>
      </c>
      <c r="B1197" s="14">
        <f>IF(F1197&lt;&gt;"","错误","")</f>
        <v/>
      </c>
      <c r="C1197" s="14">
        <f>IF('04_路径网络'!A197&lt;&gt;"","04_路径网络","")</f>
        <v/>
      </c>
      <c r="D1197" s="14">
        <f>IF('04_路径网络'!A197&lt;&gt;"",'04_路径网络'!A197,"")</f>
        <v/>
      </c>
      <c r="E1197" s="14">
        <f>IF(F1197&lt;&gt;"","综合校验","")</f>
        <v/>
      </c>
      <c r="F1197" s="14">
        <f>IF('04_路径网络'!A197&lt;&gt;"",IF('04_路径网络'!A197="","缺少路径ID；","")&amp;IF('04_路径网络'!C197="","缺少路径类型；","")&amp;IF('04_路径网络'!D197="","缺少起点对象ID；","")&amp;IF('04_路径网络'!E197="","缺少终点对象ID；","")&amp;IF(AND('04_路径网络'!D197&lt;&gt;"",'04_路径网络'!D197='04_路径网络'!E197),"起点与终点相同；","")&amp;IF(AND('04_路径网络'!D197&lt;&gt;"",COUNTIF('02_固定地理'!$A$2:$A$501,'04_路径网络'!D197)+COUNTIF('03_地点锚点'!$A$2:$A$501,'04_路径网络'!D197)+COUNTIF('06_建筑锚点'!$A$2:$A$501,'04_路径网络'!D197)=0),"起点引用对象不存在；","")&amp;IF(AND('04_路径网络'!E197&lt;&gt;"",COUNTIF('02_固定地理'!$A$2:$A$501,'04_路径网络'!E197)+COUNTIF('03_地点锚点'!$A$2:$A$501,'04_路径网络'!E197)+COUNTIF('06_建筑锚点'!$A$2:$A$501,'04_路径网络'!E197)=0),"终点引用对象不存在；","")&amp;IF(AND('04_路径网络'!F197&lt;&gt;"",COUNTIF('04_路径网络'!$A$2:$A$501,'04_路径网络'!F197)=0),"父级路径不存在；","")&amp;IF(AND('04_路径网络'!A197&lt;&gt;"",COUNTIF('04_路径网络'!$A$2:$A$501,'04_路径网络'!A197)&gt;1),"ID重复；",""),"")</f>
        <v/>
      </c>
      <c r="G1197" s="14">
        <f>IF(F1197&lt;&gt;"","按字段批注、数据字典和来源记录修正后复核","")</f>
        <v/>
      </c>
      <c r="H1197" s="14">
        <f>IF(F1197&lt;&gt;"","待处理","")</f>
        <v/>
      </c>
    </row>
    <row r="1198">
      <c r="A1198" s="14">
        <f>IF(F1198&lt;&gt;"","ISSUE-"&amp;TEXT(ROW()-1,"00000"),"")</f>
        <v/>
      </c>
      <c r="B1198" s="14">
        <f>IF(F1198&lt;&gt;"","错误","")</f>
        <v/>
      </c>
      <c r="C1198" s="14">
        <f>IF('04_路径网络'!A198&lt;&gt;"","04_路径网络","")</f>
        <v/>
      </c>
      <c r="D1198" s="14">
        <f>IF('04_路径网络'!A198&lt;&gt;"",'04_路径网络'!A198,"")</f>
        <v/>
      </c>
      <c r="E1198" s="14">
        <f>IF(F1198&lt;&gt;"","综合校验","")</f>
        <v/>
      </c>
      <c r="F1198" s="14">
        <f>IF('04_路径网络'!A198&lt;&gt;"",IF('04_路径网络'!A198="","缺少路径ID；","")&amp;IF('04_路径网络'!C198="","缺少路径类型；","")&amp;IF('04_路径网络'!D198="","缺少起点对象ID；","")&amp;IF('04_路径网络'!E198="","缺少终点对象ID；","")&amp;IF(AND('04_路径网络'!D198&lt;&gt;"",'04_路径网络'!D198='04_路径网络'!E198),"起点与终点相同；","")&amp;IF(AND('04_路径网络'!D198&lt;&gt;"",COUNTIF('02_固定地理'!$A$2:$A$501,'04_路径网络'!D198)+COUNTIF('03_地点锚点'!$A$2:$A$501,'04_路径网络'!D198)+COUNTIF('06_建筑锚点'!$A$2:$A$501,'04_路径网络'!D198)=0),"起点引用对象不存在；","")&amp;IF(AND('04_路径网络'!E198&lt;&gt;"",COUNTIF('02_固定地理'!$A$2:$A$501,'04_路径网络'!E198)+COUNTIF('03_地点锚点'!$A$2:$A$501,'04_路径网络'!E198)+COUNTIF('06_建筑锚点'!$A$2:$A$501,'04_路径网络'!E198)=0),"终点引用对象不存在；","")&amp;IF(AND('04_路径网络'!F198&lt;&gt;"",COUNTIF('04_路径网络'!$A$2:$A$501,'04_路径网络'!F198)=0),"父级路径不存在；","")&amp;IF(AND('04_路径网络'!A198&lt;&gt;"",COUNTIF('04_路径网络'!$A$2:$A$501,'04_路径网络'!A198)&gt;1),"ID重复；",""),"")</f>
        <v/>
      </c>
      <c r="G1198" s="14">
        <f>IF(F1198&lt;&gt;"","按字段批注、数据字典和来源记录修正后复核","")</f>
        <v/>
      </c>
      <c r="H1198" s="14">
        <f>IF(F1198&lt;&gt;"","待处理","")</f>
        <v/>
      </c>
    </row>
    <row r="1199">
      <c r="A1199" s="14">
        <f>IF(F1199&lt;&gt;"","ISSUE-"&amp;TEXT(ROW()-1,"00000"),"")</f>
        <v/>
      </c>
      <c r="B1199" s="14">
        <f>IF(F1199&lt;&gt;"","错误","")</f>
        <v/>
      </c>
      <c r="C1199" s="14">
        <f>IF('04_路径网络'!A199&lt;&gt;"","04_路径网络","")</f>
        <v/>
      </c>
      <c r="D1199" s="14">
        <f>IF('04_路径网络'!A199&lt;&gt;"",'04_路径网络'!A199,"")</f>
        <v/>
      </c>
      <c r="E1199" s="14">
        <f>IF(F1199&lt;&gt;"","综合校验","")</f>
        <v/>
      </c>
      <c r="F1199" s="14">
        <f>IF('04_路径网络'!A199&lt;&gt;"",IF('04_路径网络'!A199="","缺少路径ID；","")&amp;IF('04_路径网络'!C199="","缺少路径类型；","")&amp;IF('04_路径网络'!D199="","缺少起点对象ID；","")&amp;IF('04_路径网络'!E199="","缺少终点对象ID；","")&amp;IF(AND('04_路径网络'!D199&lt;&gt;"",'04_路径网络'!D199='04_路径网络'!E199),"起点与终点相同；","")&amp;IF(AND('04_路径网络'!D199&lt;&gt;"",COUNTIF('02_固定地理'!$A$2:$A$501,'04_路径网络'!D199)+COUNTIF('03_地点锚点'!$A$2:$A$501,'04_路径网络'!D199)+COUNTIF('06_建筑锚点'!$A$2:$A$501,'04_路径网络'!D199)=0),"起点引用对象不存在；","")&amp;IF(AND('04_路径网络'!E199&lt;&gt;"",COUNTIF('02_固定地理'!$A$2:$A$501,'04_路径网络'!E199)+COUNTIF('03_地点锚点'!$A$2:$A$501,'04_路径网络'!E199)+COUNTIF('06_建筑锚点'!$A$2:$A$501,'04_路径网络'!E199)=0),"终点引用对象不存在；","")&amp;IF(AND('04_路径网络'!F199&lt;&gt;"",COUNTIF('04_路径网络'!$A$2:$A$501,'04_路径网络'!F199)=0),"父级路径不存在；","")&amp;IF(AND('04_路径网络'!A199&lt;&gt;"",COUNTIF('04_路径网络'!$A$2:$A$501,'04_路径网络'!A199)&gt;1),"ID重复；",""),"")</f>
        <v/>
      </c>
      <c r="G1199" s="14">
        <f>IF(F1199&lt;&gt;"","按字段批注、数据字典和来源记录修正后复核","")</f>
        <v/>
      </c>
      <c r="H1199" s="14">
        <f>IF(F1199&lt;&gt;"","待处理","")</f>
        <v/>
      </c>
    </row>
    <row r="1200">
      <c r="A1200" s="14">
        <f>IF(F1200&lt;&gt;"","ISSUE-"&amp;TEXT(ROW()-1,"00000"),"")</f>
        <v/>
      </c>
      <c r="B1200" s="14">
        <f>IF(F1200&lt;&gt;"","错误","")</f>
        <v/>
      </c>
      <c r="C1200" s="14">
        <f>IF('04_路径网络'!A200&lt;&gt;"","04_路径网络","")</f>
        <v/>
      </c>
      <c r="D1200" s="14">
        <f>IF('04_路径网络'!A200&lt;&gt;"",'04_路径网络'!A200,"")</f>
        <v/>
      </c>
      <c r="E1200" s="14">
        <f>IF(F1200&lt;&gt;"","综合校验","")</f>
        <v/>
      </c>
      <c r="F1200" s="14">
        <f>IF('04_路径网络'!A200&lt;&gt;"",IF('04_路径网络'!A200="","缺少路径ID；","")&amp;IF('04_路径网络'!C200="","缺少路径类型；","")&amp;IF('04_路径网络'!D200="","缺少起点对象ID；","")&amp;IF('04_路径网络'!E200="","缺少终点对象ID；","")&amp;IF(AND('04_路径网络'!D200&lt;&gt;"",'04_路径网络'!D200='04_路径网络'!E200),"起点与终点相同；","")&amp;IF(AND('04_路径网络'!D200&lt;&gt;"",COUNTIF('02_固定地理'!$A$2:$A$501,'04_路径网络'!D200)+COUNTIF('03_地点锚点'!$A$2:$A$501,'04_路径网络'!D200)+COUNTIF('06_建筑锚点'!$A$2:$A$501,'04_路径网络'!D200)=0),"起点引用对象不存在；","")&amp;IF(AND('04_路径网络'!E200&lt;&gt;"",COUNTIF('02_固定地理'!$A$2:$A$501,'04_路径网络'!E200)+COUNTIF('03_地点锚点'!$A$2:$A$501,'04_路径网络'!E200)+COUNTIF('06_建筑锚点'!$A$2:$A$501,'04_路径网络'!E200)=0),"终点引用对象不存在；","")&amp;IF(AND('04_路径网络'!F200&lt;&gt;"",COUNTIF('04_路径网络'!$A$2:$A$501,'04_路径网络'!F200)=0),"父级路径不存在；","")&amp;IF(AND('04_路径网络'!A200&lt;&gt;"",COUNTIF('04_路径网络'!$A$2:$A$501,'04_路径网络'!A200)&gt;1),"ID重复；",""),"")</f>
        <v/>
      </c>
      <c r="G1200" s="14">
        <f>IF(F1200&lt;&gt;"","按字段批注、数据字典和来源记录修正后复核","")</f>
        <v/>
      </c>
      <c r="H1200" s="14">
        <f>IF(F1200&lt;&gt;"","待处理","")</f>
        <v/>
      </c>
    </row>
    <row r="1201">
      <c r="A1201" s="14">
        <f>IF(F1201&lt;&gt;"","ISSUE-"&amp;TEXT(ROW()-1,"00000"),"")</f>
        <v/>
      </c>
      <c r="B1201" s="14">
        <f>IF(F1201&lt;&gt;"","错误","")</f>
        <v/>
      </c>
      <c r="C1201" s="14">
        <f>IF('04_路径网络'!A201&lt;&gt;"","04_路径网络","")</f>
        <v/>
      </c>
      <c r="D1201" s="14">
        <f>IF('04_路径网络'!A201&lt;&gt;"",'04_路径网络'!A201,"")</f>
        <v/>
      </c>
      <c r="E1201" s="14">
        <f>IF(F1201&lt;&gt;"","综合校验","")</f>
        <v/>
      </c>
      <c r="F1201" s="14">
        <f>IF('04_路径网络'!A201&lt;&gt;"",IF('04_路径网络'!A201="","缺少路径ID；","")&amp;IF('04_路径网络'!C201="","缺少路径类型；","")&amp;IF('04_路径网络'!D201="","缺少起点对象ID；","")&amp;IF('04_路径网络'!E201="","缺少终点对象ID；","")&amp;IF(AND('04_路径网络'!D201&lt;&gt;"",'04_路径网络'!D201='04_路径网络'!E201),"起点与终点相同；","")&amp;IF(AND('04_路径网络'!D201&lt;&gt;"",COUNTIF('02_固定地理'!$A$2:$A$501,'04_路径网络'!D201)+COUNTIF('03_地点锚点'!$A$2:$A$501,'04_路径网络'!D201)+COUNTIF('06_建筑锚点'!$A$2:$A$501,'04_路径网络'!D201)=0),"起点引用对象不存在；","")&amp;IF(AND('04_路径网络'!E201&lt;&gt;"",COUNTIF('02_固定地理'!$A$2:$A$501,'04_路径网络'!E201)+COUNTIF('03_地点锚点'!$A$2:$A$501,'04_路径网络'!E201)+COUNTIF('06_建筑锚点'!$A$2:$A$501,'04_路径网络'!E201)=0),"终点引用对象不存在；","")&amp;IF(AND('04_路径网络'!F201&lt;&gt;"",COUNTIF('04_路径网络'!$A$2:$A$501,'04_路径网络'!F201)=0),"父级路径不存在；","")&amp;IF(AND('04_路径网络'!A201&lt;&gt;"",COUNTIF('04_路径网络'!$A$2:$A$501,'04_路径网络'!A201)&gt;1),"ID重复；",""),"")</f>
        <v/>
      </c>
      <c r="G1201" s="14">
        <f>IF(F1201&lt;&gt;"","按字段批注、数据字典和来源记录修正后复核","")</f>
        <v/>
      </c>
      <c r="H1201" s="14">
        <f>IF(F1201&lt;&gt;"","待处理","")</f>
        <v/>
      </c>
    </row>
    <row r="1202">
      <c r="A1202" s="14">
        <f>IF(F1202&lt;&gt;"","ISSUE-"&amp;TEXT(ROW()-1,"00000"),"")</f>
        <v/>
      </c>
      <c r="B1202" s="14">
        <f>IF(F1202&lt;&gt;"","错误","")</f>
        <v/>
      </c>
      <c r="C1202" s="14">
        <f>IF('04_路径网络'!A202&lt;&gt;"","04_路径网络","")</f>
        <v/>
      </c>
      <c r="D1202" s="14">
        <f>IF('04_路径网络'!A202&lt;&gt;"",'04_路径网络'!A202,"")</f>
        <v/>
      </c>
      <c r="E1202" s="14">
        <f>IF(F1202&lt;&gt;"","综合校验","")</f>
        <v/>
      </c>
      <c r="F1202" s="14">
        <f>IF('04_路径网络'!A202&lt;&gt;"",IF('04_路径网络'!A202="","缺少路径ID；","")&amp;IF('04_路径网络'!C202="","缺少路径类型；","")&amp;IF('04_路径网络'!D202="","缺少起点对象ID；","")&amp;IF('04_路径网络'!E202="","缺少终点对象ID；","")&amp;IF(AND('04_路径网络'!D202&lt;&gt;"",'04_路径网络'!D202='04_路径网络'!E202),"起点与终点相同；","")&amp;IF(AND('04_路径网络'!D202&lt;&gt;"",COUNTIF('02_固定地理'!$A$2:$A$501,'04_路径网络'!D202)+COUNTIF('03_地点锚点'!$A$2:$A$501,'04_路径网络'!D202)+COUNTIF('06_建筑锚点'!$A$2:$A$501,'04_路径网络'!D202)=0),"起点引用对象不存在；","")&amp;IF(AND('04_路径网络'!E202&lt;&gt;"",COUNTIF('02_固定地理'!$A$2:$A$501,'04_路径网络'!E202)+COUNTIF('03_地点锚点'!$A$2:$A$501,'04_路径网络'!E202)+COUNTIF('06_建筑锚点'!$A$2:$A$501,'04_路径网络'!E202)=0),"终点引用对象不存在；","")&amp;IF(AND('04_路径网络'!F202&lt;&gt;"",COUNTIF('04_路径网络'!$A$2:$A$501,'04_路径网络'!F202)=0),"父级路径不存在；","")&amp;IF(AND('04_路径网络'!A202&lt;&gt;"",COUNTIF('04_路径网络'!$A$2:$A$501,'04_路径网络'!A202)&gt;1),"ID重复；",""),"")</f>
        <v/>
      </c>
      <c r="G1202" s="14">
        <f>IF(F1202&lt;&gt;"","按字段批注、数据字典和来源记录修正后复核","")</f>
        <v/>
      </c>
      <c r="H1202" s="14">
        <f>IF(F1202&lt;&gt;"","待处理","")</f>
        <v/>
      </c>
    </row>
    <row r="1203">
      <c r="A1203" s="14">
        <f>IF(F1203&lt;&gt;"","ISSUE-"&amp;TEXT(ROW()-1,"00000"),"")</f>
        <v/>
      </c>
      <c r="B1203" s="14">
        <f>IF(F1203&lt;&gt;"","错误","")</f>
        <v/>
      </c>
      <c r="C1203" s="14">
        <f>IF('04_路径网络'!A203&lt;&gt;"","04_路径网络","")</f>
        <v/>
      </c>
      <c r="D1203" s="14">
        <f>IF('04_路径网络'!A203&lt;&gt;"",'04_路径网络'!A203,"")</f>
        <v/>
      </c>
      <c r="E1203" s="14">
        <f>IF(F1203&lt;&gt;"","综合校验","")</f>
        <v/>
      </c>
      <c r="F1203" s="14">
        <f>IF('04_路径网络'!A203&lt;&gt;"",IF('04_路径网络'!A203="","缺少路径ID；","")&amp;IF('04_路径网络'!C203="","缺少路径类型；","")&amp;IF('04_路径网络'!D203="","缺少起点对象ID；","")&amp;IF('04_路径网络'!E203="","缺少终点对象ID；","")&amp;IF(AND('04_路径网络'!D203&lt;&gt;"",'04_路径网络'!D203='04_路径网络'!E203),"起点与终点相同；","")&amp;IF(AND('04_路径网络'!D203&lt;&gt;"",COUNTIF('02_固定地理'!$A$2:$A$501,'04_路径网络'!D203)+COUNTIF('03_地点锚点'!$A$2:$A$501,'04_路径网络'!D203)+COUNTIF('06_建筑锚点'!$A$2:$A$501,'04_路径网络'!D203)=0),"起点引用对象不存在；","")&amp;IF(AND('04_路径网络'!E203&lt;&gt;"",COUNTIF('02_固定地理'!$A$2:$A$501,'04_路径网络'!E203)+COUNTIF('03_地点锚点'!$A$2:$A$501,'04_路径网络'!E203)+COUNTIF('06_建筑锚点'!$A$2:$A$501,'04_路径网络'!E203)=0),"终点引用对象不存在；","")&amp;IF(AND('04_路径网络'!F203&lt;&gt;"",COUNTIF('04_路径网络'!$A$2:$A$501,'04_路径网络'!F203)=0),"父级路径不存在；","")&amp;IF(AND('04_路径网络'!A203&lt;&gt;"",COUNTIF('04_路径网络'!$A$2:$A$501,'04_路径网络'!A203)&gt;1),"ID重复；",""),"")</f>
        <v/>
      </c>
      <c r="G1203" s="14">
        <f>IF(F1203&lt;&gt;"","按字段批注、数据字典和来源记录修正后复核","")</f>
        <v/>
      </c>
      <c r="H1203" s="14">
        <f>IF(F1203&lt;&gt;"","待处理","")</f>
        <v/>
      </c>
    </row>
    <row r="1204">
      <c r="A1204" s="14">
        <f>IF(F1204&lt;&gt;"","ISSUE-"&amp;TEXT(ROW()-1,"00000"),"")</f>
        <v/>
      </c>
      <c r="B1204" s="14">
        <f>IF(F1204&lt;&gt;"","错误","")</f>
        <v/>
      </c>
      <c r="C1204" s="14">
        <f>IF('04_路径网络'!A204&lt;&gt;"","04_路径网络","")</f>
        <v/>
      </c>
      <c r="D1204" s="14">
        <f>IF('04_路径网络'!A204&lt;&gt;"",'04_路径网络'!A204,"")</f>
        <v/>
      </c>
      <c r="E1204" s="14">
        <f>IF(F1204&lt;&gt;"","综合校验","")</f>
        <v/>
      </c>
      <c r="F1204" s="14">
        <f>IF('04_路径网络'!A204&lt;&gt;"",IF('04_路径网络'!A204="","缺少路径ID；","")&amp;IF('04_路径网络'!C204="","缺少路径类型；","")&amp;IF('04_路径网络'!D204="","缺少起点对象ID；","")&amp;IF('04_路径网络'!E204="","缺少终点对象ID；","")&amp;IF(AND('04_路径网络'!D204&lt;&gt;"",'04_路径网络'!D204='04_路径网络'!E204),"起点与终点相同；","")&amp;IF(AND('04_路径网络'!D204&lt;&gt;"",COUNTIF('02_固定地理'!$A$2:$A$501,'04_路径网络'!D204)+COUNTIF('03_地点锚点'!$A$2:$A$501,'04_路径网络'!D204)+COUNTIF('06_建筑锚点'!$A$2:$A$501,'04_路径网络'!D204)=0),"起点引用对象不存在；","")&amp;IF(AND('04_路径网络'!E204&lt;&gt;"",COUNTIF('02_固定地理'!$A$2:$A$501,'04_路径网络'!E204)+COUNTIF('03_地点锚点'!$A$2:$A$501,'04_路径网络'!E204)+COUNTIF('06_建筑锚点'!$A$2:$A$501,'04_路径网络'!E204)=0),"终点引用对象不存在；","")&amp;IF(AND('04_路径网络'!F204&lt;&gt;"",COUNTIF('04_路径网络'!$A$2:$A$501,'04_路径网络'!F204)=0),"父级路径不存在；","")&amp;IF(AND('04_路径网络'!A204&lt;&gt;"",COUNTIF('04_路径网络'!$A$2:$A$501,'04_路径网络'!A204)&gt;1),"ID重复；",""),"")</f>
        <v/>
      </c>
      <c r="G1204" s="14">
        <f>IF(F1204&lt;&gt;"","按字段批注、数据字典和来源记录修正后复核","")</f>
        <v/>
      </c>
      <c r="H1204" s="14">
        <f>IF(F1204&lt;&gt;"","待处理","")</f>
        <v/>
      </c>
    </row>
    <row r="1205">
      <c r="A1205" s="14">
        <f>IF(F1205&lt;&gt;"","ISSUE-"&amp;TEXT(ROW()-1,"00000"),"")</f>
        <v/>
      </c>
      <c r="B1205" s="14">
        <f>IF(F1205&lt;&gt;"","错误","")</f>
        <v/>
      </c>
      <c r="C1205" s="14">
        <f>IF('04_路径网络'!A205&lt;&gt;"","04_路径网络","")</f>
        <v/>
      </c>
      <c r="D1205" s="14">
        <f>IF('04_路径网络'!A205&lt;&gt;"",'04_路径网络'!A205,"")</f>
        <v/>
      </c>
      <c r="E1205" s="14">
        <f>IF(F1205&lt;&gt;"","综合校验","")</f>
        <v/>
      </c>
      <c r="F1205" s="14">
        <f>IF('04_路径网络'!A205&lt;&gt;"",IF('04_路径网络'!A205="","缺少路径ID；","")&amp;IF('04_路径网络'!C205="","缺少路径类型；","")&amp;IF('04_路径网络'!D205="","缺少起点对象ID；","")&amp;IF('04_路径网络'!E205="","缺少终点对象ID；","")&amp;IF(AND('04_路径网络'!D205&lt;&gt;"",'04_路径网络'!D205='04_路径网络'!E205),"起点与终点相同；","")&amp;IF(AND('04_路径网络'!D205&lt;&gt;"",COUNTIF('02_固定地理'!$A$2:$A$501,'04_路径网络'!D205)+COUNTIF('03_地点锚点'!$A$2:$A$501,'04_路径网络'!D205)+COUNTIF('06_建筑锚点'!$A$2:$A$501,'04_路径网络'!D205)=0),"起点引用对象不存在；","")&amp;IF(AND('04_路径网络'!E205&lt;&gt;"",COUNTIF('02_固定地理'!$A$2:$A$501,'04_路径网络'!E205)+COUNTIF('03_地点锚点'!$A$2:$A$501,'04_路径网络'!E205)+COUNTIF('06_建筑锚点'!$A$2:$A$501,'04_路径网络'!E205)=0),"终点引用对象不存在；","")&amp;IF(AND('04_路径网络'!F205&lt;&gt;"",COUNTIF('04_路径网络'!$A$2:$A$501,'04_路径网络'!F205)=0),"父级路径不存在；","")&amp;IF(AND('04_路径网络'!A205&lt;&gt;"",COUNTIF('04_路径网络'!$A$2:$A$501,'04_路径网络'!A205)&gt;1),"ID重复；",""),"")</f>
        <v/>
      </c>
      <c r="G1205" s="14">
        <f>IF(F1205&lt;&gt;"","按字段批注、数据字典和来源记录修正后复核","")</f>
        <v/>
      </c>
      <c r="H1205" s="14">
        <f>IF(F1205&lt;&gt;"","待处理","")</f>
        <v/>
      </c>
    </row>
    <row r="1206">
      <c r="A1206" s="14">
        <f>IF(F1206&lt;&gt;"","ISSUE-"&amp;TEXT(ROW()-1,"00000"),"")</f>
        <v/>
      </c>
      <c r="B1206" s="14">
        <f>IF(F1206&lt;&gt;"","错误","")</f>
        <v/>
      </c>
      <c r="C1206" s="14">
        <f>IF('04_路径网络'!A206&lt;&gt;"","04_路径网络","")</f>
        <v/>
      </c>
      <c r="D1206" s="14">
        <f>IF('04_路径网络'!A206&lt;&gt;"",'04_路径网络'!A206,"")</f>
        <v/>
      </c>
      <c r="E1206" s="14">
        <f>IF(F1206&lt;&gt;"","综合校验","")</f>
        <v/>
      </c>
      <c r="F1206" s="14">
        <f>IF('04_路径网络'!A206&lt;&gt;"",IF('04_路径网络'!A206="","缺少路径ID；","")&amp;IF('04_路径网络'!C206="","缺少路径类型；","")&amp;IF('04_路径网络'!D206="","缺少起点对象ID；","")&amp;IF('04_路径网络'!E206="","缺少终点对象ID；","")&amp;IF(AND('04_路径网络'!D206&lt;&gt;"",'04_路径网络'!D206='04_路径网络'!E206),"起点与终点相同；","")&amp;IF(AND('04_路径网络'!D206&lt;&gt;"",COUNTIF('02_固定地理'!$A$2:$A$501,'04_路径网络'!D206)+COUNTIF('03_地点锚点'!$A$2:$A$501,'04_路径网络'!D206)+COUNTIF('06_建筑锚点'!$A$2:$A$501,'04_路径网络'!D206)=0),"起点引用对象不存在；","")&amp;IF(AND('04_路径网络'!E206&lt;&gt;"",COUNTIF('02_固定地理'!$A$2:$A$501,'04_路径网络'!E206)+COUNTIF('03_地点锚点'!$A$2:$A$501,'04_路径网络'!E206)+COUNTIF('06_建筑锚点'!$A$2:$A$501,'04_路径网络'!E206)=0),"终点引用对象不存在；","")&amp;IF(AND('04_路径网络'!F206&lt;&gt;"",COUNTIF('04_路径网络'!$A$2:$A$501,'04_路径网络'!F206)=0),"父级路径不存在；","")&amp;IF(AND('04_路径网络'!A206&lt;&gt;"",COUNTIF('04_路径网络'!$A$2:$A$501,'04_路径网络'!A206)&gt;1),"ID重复；",""),"")</f>
        <v/>
      </c>
      <c r="G1206" s="14">
        <f>IF(F1206&lt;&gt;"","按字段批注、数据字典和来源记录修正后复核","")</f>
        <v/>
      </c>
      <c r="H1206" s="14">
        <f>IF(F1206&lt;&gt;"","待处理","")</f>
        <v/>
      </c>
    </row>
    <row r="1207">
      <c r="A1207" s="14">
        <f>IF(F1207&lt;&gt;"","ISSUE-"&amp;TEXT(ROW()-1,"00000"),"")</f>
        <v/>
      </c>
      <c r="B1207" s="14">
        <f>IF(F1207&lt;&gt;"","错误","")</f>
        <v/>
      </c>
      <c r="C1207" s="14">
        <f>IF('04_路径网络'!A207&lt;&gt;"","04_路径网络","")</f>
        <v/>
      </c>
      <c r="D1207" s="14">
        <f>IF('04_路径网络'!A207&lt;&gt;"",'04_路径网络'!A207,"")</f>
        <v/>
      </c>
      <c r="E1207" s="14">
        <f>IF(F1207&lt;&gt;"","综合校验","")</f>
        <v/>
      </c>
      <c r="F1207" s="14">
        <f>IF('04_路径网络'!A207&lt;&gt;"",IF('04_路径网络'!A207="","缺少路径ID；","")&amp;IF('04_路径网络'!C207="","缺少路径类型；","")&amp;IF('04_路径网络'!D207="","缺少起点对象ID；","")&amp;IF('04_路径网络'!E207="","缺少终点对象ID；","")&amp;IF(AND('04_路径网络'!D207&lt;&gt;"",'04_路径网络'!D207='04_路径网络'!E207),"起点与终点相同；","")&amp;IF(AND('04_路径网络'!D207&lt;&gt;"",COUNTIF('02_固定地理'!$A$2:$A$501,'04_路径网络'!D207)+COUNTIF('03_地点锚点'!$A$2:$A$501,'04_路径网络'!D207)+COUNTIF('06_建筑锚点'!$A$2:$A$501,'04_路径网络'!D207)=0),"起点引用对象不存在；","")&amp;IF(AND('04_路径网络'!E207&lt;&gt;"",COUNTIF('02_固定地理'!$A$2:$A$501,'04_路径网络'!E207)+COUNTIF('03_地点锚点'!$A$2:$A$501,'04_路径网络'!E207)+COUNTIF('06_建筑锚点'!$A$2:$A$501,'04_路径网络'!E207)=0),"终点引用对象不存在；","")&amp;IF(AND('04_路径网络'!F207&lt;&gt;"",COUNTIF('04_路径网络'!$A$2:$A$501,'04_路径网络'!F207)=0),"父级路径不存在；","")&amp;IF(AND('04_路径网络'!A207&lt;&gt;"",COUNTIF('04_路径网络'!$A$2:$A$501,'04_路径网络'!A207)&gt;1),"ID重复；",""),"")</f>
        <v/>
      </c>
      <c r="G1207" s="14">
        <f>IF(F1207&lt;&gt;"","按字段批注、数据字典和来源记录修正后复核","")</f>
        <v/>
      </c>
      <c r="H1207" s="14">
        <f>IF(F1207&lt;&gt;"","待处理","")</f>
        <v/>
      </c>
    </row>
    <row r="1208">
      <c r="A1208" s="14">
        <f>IF(F1208&lt;&gt;"","ISSUE-"&amp;TEXT(ROW()-1,"00000"),"")</f>
        <v/>
      </c>
      <c r="B1208" s="14">
        <f>IF(F1208&lt;&gt;"","错误","")</f>
        <v/>
      </c>
      <c r="C1208" s="14">
        <f>IF('04_路径网络'!A208&lt;&gt;"","04_路径网络","")</f>
        <v/>
      </c>
      <c r="D1208" s="14">
        <f>IF('04_路径网络'!A208&lt;&gt;"",'04_路径网络'!A208,"")</f>
        <v/>
      </c>
      <c r="E1208" s="14">
        <f>IF(F1208&lt;&gt;"","综合校验","")</f>
        <v/>
      </c>
      <c r="F1208" s="14">
        <f>IF('04_路径网络'!A208&lt;&gt;"",IF('04_路径网络'!A208="","缺少路径ID；","")&amp;IF('04_路径网络'!C208="","缺少路径类型；","")&amp;IF('04_路径网络'!D208="","缺少起点对象ID；","")&amp;IF('04_路径网络'!E208="","缺少终点对象ID；","")&amp;IF(AND('04_路径网络'!D208&lt;&gt;"",'04_路径网络'!D208='04_路径网络'!E208),"起点与终点相同；","")&amp;IF(AND('04_路径网络'!D208&lt;&gt;"",COUNTIF('02_固定地理'!$A$2:$A$501,'04_路径网络'!D208)+COUNTIF('03_地点锚点'!$A$2:$A$501,'04_路径网络'!D208)+COUNTIF('06_建筑锚点'!$A$2:$A$501,'04_路径网络'!D208)=0),"起点引用对象不存在；","")&amp;IF(AND('04_路径网络'!E208&lt;&gt;"",COUNTIF('02_固定地理'!$A$2:$A$501,'04_路径网络'!E208)+COUNTIF('03_地点锚点'!$A$2:$A$501,'04_路径网络'!E208)+COUNTIF('06_建筑锚点'!$A$2:$A$501,'04_路径网络'!E208)=0),"终点引用对象不存在；","")&amp;IF(AND('04_路径网络'!F208&lt;&gt;"",COUNTIF('04_路径网络'!$A$2:$A$501,'04_路径网络'!F208)=0),"父级路径不存在；","")&amp;IF(AND('04_路径网络'!A208&lt;&gt;"",COUNTIF('04_路径网络'!$A$2:$A$501,'04_路径网络'!A208)&gt;1),"ID重复；",""),"")</f>
        <v/>
      </c>
      <c r="G1208" s="14">
        <f>IF(F1208&lt;&gt;"","按字段批注、数据字典和来源记录修正后复核","")</f>
        <v/>
      </c>
      <c r="H1208" s="14">
        <f>IF(F1208&lt;&gt;"","待处理","")</f>
        <v/>
      </c>
    </row>
    <row r="1209">
      <c r="A1209" s="14">
        <f>IF(F1209&lt;&gt;"","ISSUE-"&amp;TEXT(ROW()-1,"00000"),"")</f>
        <v/>
      </c>
      <c r="B1209" s="14">
        <f>IF(F1209&lt;&gt;"","错误","")</f>
        <v/>
      </c>
      <c r="C1209" s="14">
        <f>IF('04_路径网络'!A209&lt;&gt;"","04_路径网络","")</f>
        <v/>
      </c>
      <c r="D1209" s="14">
        <f>IF('04_路径网络'!A209&lt;&gt;"",'04_路径网络'!A209,"")</f>
        <v/>
      </c>
      <c r="E1209" s="14">
        <f>IF(F1209&lt;&gt;"","综合校验","")</f>
        <v/>
      </c>
      <c r="F1209" s="14">
        <f>IF('04_路径网络'!A209&lt;&gt;"",IF('04_路径网络'!A209="","缺少路径ID；","")&amp;IF('04_路径网络'!C209="","缺少路径类型；","")&amp;IF('04_路径网络'!D209="","缺少起点对象ID；","")&amp;IF('04_路径网络'!E209="","缺少终点对象ID；","")&amp;IF(AND('04_路径网络'!D209&lt;&gt;"",'04_路径网络'!D209='04_路径网络'!E209),"起点与终点相同；","")&amp;IF(AND('04_路径网络'!D209&lt;&gt;"",COUNTIF('02_固定地理'!$A$2:$A$501,'04_路径网络'!D209)+COUNTIF('03_地点锚点'!$A$2:$A$501,'04_路径网络'!D209)+COUNTIF('06_建筑锚点'!$A$2:$A$501,'04_路径网络'!D209)=0),"起点引用对象不存在；","")&amp;IF(AND('04_路径网络'!E209&lt;&gt;"",COUNTIF('02_固定地理'!$A$2:$A$501,'04_路径网络'!E209)+COUNTIF('03_地点锚点'!$A$2:$A$501,'04_路径网络'!E209)+COUNTIF('06_建筑锚点'!$A$2:$A$501,'04_路径网络'!E209)=0),"终点引用对象不存在；","")&amp;IF(AND('04_路径网络'!F209&lt;&gt;"",COUNTIF('04_路径网络'!$A$2:$A$501,'04_路径网络'!F209)=0),"父级路径不存在；","")&amp;IF(AND('04_路径网络'!A209&lt;&gt;"",COUNTIF('04_路径网络'!$A$2:$A$501,'04_路径网络'!A209)&gt;1),"ID重复；",""),"")</f>
        <v/>
      </c>
      <c r="G1209" s="14">
        <f>IF(F1209&lt;&gt;"","按字段批注、数据字典和来源记录修正后复核","")</f>
        <v/>
      </c>
      <c r="H1209" s="14">
        <f>IF(F1209&lt;&gt;"","待处理","")</f>
        <v/>
      </c>
    </row>
    <row r="1210">
      <c r="A1210" s="14">
        <f>IF(F1210&lt;&gt;"","ISSUE-"&amp;TEXT(ROW()-1,"00000"),"")</f>
        <v/>
      </c>
      <c r="B1210" s="14">
        <f>IF(F1210&lt;&gt;"","错误","")</f>
        <v/>
      </c>
      <c r="C1210" s="14">
        <f>IF('04_路径网络'!A210&lt;&gt;"","04_路径网络","")</f>
        <v/>
      </c>
      <c r="D1210" s="14">
        <f>IF('04_路径网络'!A210&lt;&gt;"",'04_路径网络'!A210,"")</f>
        <v/>
      </c>
      <c r="E1210" s="14">
        <f>IF(F1210&lt;&gt;"","综合校验","")</f>
        <v/>
      </c>
      <c r="F1210" s="14">
        <f>IF('04_路径网络'!A210&lt;&gt;"",IF('04_路径网络'!A210="","缺少路径ID；","")&amp;IF('04_路径网络'!C210="","缺少路径类型；","")&amp;IF('04_路径网络'!D210="","缺少起点对象ID；","")&amp;IF('04_路径网络'!E210="","缺少终点对象ID；","")&amp;IF(AND('04_路径网络'!D210&lt;&gt;"",'04_路径网络'!D210='04_路径网络'!E210),"起点与终点相同；","")&amp;IF(AND('04_路径网络'!D210&lt;&gt;"",COUNTIF('02_固定地理'!$A$2:$A$501,'04_路径网络'!D210)+COUNTIF('03_地点锚点'!$A$2:$A$501,'04_路径网络'!D210)+COUNTIF('06_建筑锚点'!$A$2:$A$501,'04_路径网络'!D210)=0),"起点引用对象不存在；","")&amp;IF(AND('04_路径网络'!E210&lt;&gt;"",COUNTIF('02_固定地理'!$A$2:$A$501,'04_路径网络'!E210)+COUNTIF('03_地点锚点'!$A$2:$A$501,'04_路径网络'!E210)+COUNTIF('06_建筑锚点'!$A$2:$A$501,'04_路径网络'!E210)=0),"终点引用对象不存在；","")&amp;IF(AND('04_路径网络'!F210&lt;&gt;"",COUNTIF('04_路径网络'!$A$2:$A$501,'04_路径网络'!F210)=0),"父级路径不存在；","")&amp;IF(AND('04_路径网络'!A210&lt;&gt;"",COUNTIF('04_路径网络'!$A$2:$A$501,'04_路径网络'!A210)&gt;1),"ID重复；",""),"")</f>
        <v/>
      </c>
      <c r="G1210" s="14">
        <f>IF(F1210&lt;&gt;"","按字段批注、数据字典和来源记录修正后复核","")</f>
        <v/>
      </c>
      <c r="H1210" s="14">
        <f>IF(F1210&lt;&gt;"","待处理","")</f>
        <v/>
      </c>
    </row>
    <row r="1211">
      <c r="A1211" s="14">
        <f>IF(F1211&lt;&gt;"","ISSUE-"&amp;TEXT(ROW()-1,"00000"),"")</f>
        <v/>
      </c>
      <c r="B1211" s="14">
        <f>IF(F1211&lt;&gt;"","错误","")</f>
        <v/>
      </c>
      <c r="C1211" s="14">
        <f>IF('04_路径网络'!A211&lt;&gt;"","04_路径网络","")</f>
        <v/>
      </c>
      <c r="D1211" s="14">
        <f>IF('04_路径网络'!A211&lt;&gt;"",'04_路径网络'!A211,"")</f>
        <v/>
      </c>
      <c r="E1211" s="14">
        <f>IF(F1211&lt;&gt;"","综合校验","")</f>
        <v/>
      </c>
      <c r="F1211" s="14">
        <f>IF('04_路径网络'!A211&lt;&gt;"",IF('04_路径网络'!A211="","缺少路径ID；","")&amp;IF('04_路径网络'!C211="","缺少路径类型；","")&amp;IF('04_路径网络'!D211="","缺少起点对象ID；","")&amp;IF('04_路径网络'!E211="","缺少终点对象ID；","")&amp;IF(AND('04_路径网络'!D211&lt;&gt;"",'04_路径网络'!D211='04_路径网络'!E211),"起点与终点相同；","")&amp;IF(AND('04_路径网络'!D211&lt;&gt;"",COUNTIF('02_固定地理'!$A$2:$A$501,'04_路径网络'!D211)+COUNTIF('03_地点锚点'!$A$2:$A$501,'04_路径网络'!D211)+COUNTIF('06_建筑锚点'!$A$2:$A$501,'04_路径网络'!D211)=0),"起点引用对象不存在；","")&amp;IF(AND('04_路径网络'!E211&lt;&gt;"",COUNTIF('02_固定地理'!$A$2:$A$501,'04_路径网络'!E211)+COUNTIF('03_地点锚点'!$A$2:$A$501,'04_路径网络'!E211)+COUNTIF('06_建筑锚点'!$A$2:$A$501,'04_路径网络'!E211)=0),"终点引用对象不存在；","")&amp;IF(AND('04_路径网络'!F211&lt;&gt;"",COUNTIF('04_路径网络'!$A$2:$A$501,'04_路径网络'!F211)=0),"父级路径不存在；","")&amp;IF(AND('04_路径网络'!A211&lt;&gt;"",COUNTIF('04_路径网络'!$A$2:$A$501,'04_路径网络'!A211)&gt;1),"ID重复；",""),"")</f>
        <v/>
      </c>
      <c r="G1211" s="14">
        <f>IF(F1211&lt;&gt;"","按字段批注、数据字典和来源记录修正后复核","")</f>
        <v/>
      </c>
      <c r="H1211" s="14">
        <f>IF(F1211&lt;&gt;"","待处理","")</f>
        <v/>
      </c>
    </row>
    <row r="1212">
      <c r="A1212" s="14">
        <f>IF(F1212&lt;&gt;"","ISSUE-"&amp;TEXT(ROW()-1,"00000"),"")</f>
        <v/>
      </c>
      <c r="B1212" s="14">
        <f>IF(F1212&lt;&gt;"","错误","")</f>
        <v/>
      </c>
      <c r="C1212" s="14">
        <f>IF('04_路径网络'!A212&lt;&gt;"","04_路径网络","")</f>
        <v/>
      </c>
      <c r="D1212" s="14">
        <f>IF('04_路径网络'!A212&lt;&gt;"",'04_路径网络'!A212,"")</f>
        <v/>
      </c>
      <c r="E1212" s="14">
        <f>IF(F1212&lt;&gt;"","综合校验","")</f>
        <v/>
      </c>
      <c r="F1212" s="14">
        <f>IF('04_路径网络'!A212&lt;&gt;"",IF('04_路径网络'!A212="","缺少路径ID；","")&amp;IF('04_路径网络'!C212="","缺少路径类型；","")&amp;IF('04_路径网络'!D212="","缺少起点对象ID；","")&amp;IF('04_路径网络'!E212="","缺少终点对象ID；","")&amp;IF(AND('04_路径网络'!D212&lt;&gt;"",'04_路径网络'!D212='04_路径网络'!E212),"起点与终点相同；","")&amp;IF(AND('04_路径网络'!D212&lt;&gt;"",COUNTIF('02_固定地理'!$A$2:$A$501,'04_路径网络'!D212)+COUNTIF('03_地点锚点'!$A$2:$A$501,'04_路径网络'!D212)+COUNTIF('06_建筑锚点'!$A$2:$A$501,'04_路径网络'!D212)=0),"起点引用对象不存在；","")&amp;IF(AND('04_路径网络'!E212&lt;&gt;"",COUNTIF('02_固定地理'!$A$2:$A$501,'04_路径网络'!E212)+COUNTIF('03_地点锚点'!$A$2:$A$501,'04_路径网络'!E212)+COUNTIF('06_建筑锚点'!$A$2:$A$501,'04_路径网络'!E212)=0),"终点引用对象不存在；","")&amp;IF(AND('04_路径网络'!F212&lt;&gt;"",COUNTIF('04_路径网络'!$A$2:$A$501,'04_路径网络'!F212)=0),"父级路径不存在；","")&amp;IF(AND('04_路径网络'!A212&lt;&gt;"",COUNTIF('04_路径网络'!$A$2:$A$501,'04_路径网络'!A212)&gt;1),"ID重复；",""),"")</f>
        <v/>
      </c>
      <c r="G1212" s="14">
        <f>IF(F1212&lt;&gt;"","按字段批注、数据字典和来源记录修正后复核","")</f>
        <v/>
      </c>
      <c r="H1212" s="14">
        <f>IF(F1212&lt;&gt;"","待处理","")</f>
        <v/>
      </c>
    </row>
    <row r="1213">
      <c r="A1213" s="14">
        <f>IF(F1213&lt;&gt;"","ISSUE-"&amp;TEXT(ROW()-1,"00000"),"")</f>
        <v/>
      </c>
      <c r="B1213" s="14">
        <f>IF(F1213&lt;&gt;"","错误","")</f>
        <v/>
      </c>
      <c r="C1213" s="14">
        <f>IF('04_路径网络'!A213&lt;&gt;"","04_路径网络","")</f>
        <v/>
      </c>
      <c r="D1213" s="14">
        <f>IF('04_路径网络'!A213&lt;&gt;"",'04_路径网络'!A213,"")</f>
        <v/>
      </c>
      <c r="E1213" s="14">
        <f>IF(F1213&lt;&gt;"","综合校验","")</f>
        <v/>
      </c>
      <c r="F1213" s="14">
        <f>IF('04_路径网络'!A213&lt;&gt;"",IF('04_路径网络'!A213="","缺少路径ID；","")&amp;IF('04_路径网络'!C213="","缺少路径类型；","")&amp;IF('04_路径网络'!D213="","缺少起点对象ID；","")&amp;IF('04_路径网络'!E213="","缺少终点对象ID；","")&amp;IF(AND('04_路径网络'!D213&lt;&gt;"",'04_路径网络'!D213='04_路径网络'!E213),"起点与终点相同；","")&amp;IF(AND('04_路径网络'!D213&lt;&gt;"",COUNTIF('02_固定地理'!$A$2:$A$501,'04_路径网络'!D213)+COUNTIF('03_地点锚点'!$A$2:$A$501,'04_路径网络'!D213)+COUNTIF('06_建筑锚点'!$A$2:$A$501,'04_路径网络'!D213)=0),"起点引用对象不存在；","")&amp;IF(AND('04_路径网络'!E213&lt;&gt;"",COUNTIF('02_固定地理'!$A$2:$A$501,'04_路径网络'!E213)+COUNTIF('03_地点锚点'!$A$2:$A$501,'04_路径网络'!E213)+COUNTIF('06_建筑锚点'!$A$2:$A$501,'04_路径网络'!E213)=0),"终点引用对象不存在；","")&amp;IF(AND('04_路径网络'!F213&lt;&gt;"",COUNTIF('04_路径网络'!$A$2:$A$501,'04_路径网络'!F213)=0),"父级路径不存在；","")&amp;IF(AND('04_路径网络'!A213&lt;&gt;"",COUNTIF('04_路径网络'!$A$2:$A$501,'04_路径网络'!A213)&gt;1),"ID重复；",""),"")</f>
        <v/>
      </c>
      <c r="G1213" s="14">
        <f>IF(F1213&lt;&gt;"","按字段批注、数据字典和来源记录修正后复核","")</f>
        <v/>
      </c>
      <c r="H1213" s="14">
        <f>IF(F1213&lt;&gt;"","待处理","")</f>
        <v/>
      </c>
    </row>
    <row r="1214">
      <c r="A1214" s="14">
        <f>IF(F1214&lt;&gt;"","ISSUE-"&amp;TEXT(ROW()-1,"00000"),"")</f>
        <v/>
      </c>
      <c r="B1214" s="14">
        <f>IF(F1214&lt;&gt;"","错误","")</f>
        <v/>
      </c>
      <c r="C1214" s="14">
        <f>IF('04_路径网络'!A214&lt;&gt;"","04_路径网络","")</f>
        <v/>
      </c>
      <c r="D1214" s="14">
        <f>IF('04_路径网络'!A214&lt;&gt;"",'04_路径网络'!A214,"")</f>
        <v/>
      </c>
      <c r="E1214" s="14">
        <f>IF(F1214&lt;&gt;"","综合校验","")</f>
        <v/>
      </c>
      <c r="F1214" s="14">
        <f>IF('04_路径网络'!A214&lt;&gt;"",IF('04_路径网络'!A214="","缺少路径ID；","")&amp;IF('04_路径网络'!C214="","缺少路径类型；","")&amp;IF('04_路径网络'!D214="","缺少起点对象ID；","")&amp;IF('04_路径网络'!E214="","缺少终点对象ID；","")&amp;IF(AND('04_路径网络'!D214&lt;&gt;"",'04_路径网络'!D214='04_路径网络'!E214),"起点与终点相同；","")&amp;IF(AND('04_路径网络'!D214&lt;&gt;"",COUNTIF('02_固定地理'!$A$2:$A$501,'04_路径网络'!D214)+COUNTIF('03_地点锚点'!$A$2:$A$501,'04_路径网络'!D214)+COUNTIF('06_建筑锚点'!$A$2:$A$501,'04_路径网络'!D214)=0),"起点引用对象不存在；","")&amp;IF(AND('04_路径网络'!E214&lt;&gt;"",COUNTIF('02_固定地理'!$A$2:$A$501,'04_路径网络'!E214)+COUNTIF('03_地点锚点'!$A$2:$A$501,'04_路径网络'!E214)+COUNTIF('06_建筑锚点'!$A$2:$A$501,'04_路径网络'!E214)=0),"终点引用对象不存在；","")&amp;IF(AND('04_路径网络'!F214&lt;&gt;"",COUNTIF('04_路径网络'!$A$2:$A$501,'04_路径网络'!F214)=0),"父级路径不存在；","")&amp;IF(AND('04_路径网络'!A214&lt;&gt;"",COUNTIF('04_路径网络'!$A$2:$A$501,'04_路径网络'!A214)&gt;1),"ID重复；",""),"")</f>
        <v/>
      </c>
      <c r="G1214" s="14">
        <f>IF(F1214&lt;&gt;"","按字段批注、数据字典和来源记录修正后复核","")</f>
        <v/>
      </c>
      <c r="H1214" s="14">
        <f>IF(F1214&lt;&gt;"","待处理","")</f>
        <v/>
      </c>
    </row>
    <row r="1215">
      <c r="A1215" s="14">
        <f>IF(F1215&lt;&gt;"","ISSUE-"&amp;TEXT(ROW()-1,"00000"),"")</f>
        <v/>
      </c>
      <c r="B1215" s="14">
        <f>IF(F1215&lt;&gt;"","错误","")</f>
        <v/>
      </c>
      <c r="C1215" s="14">
        <f>IF('04_路径网络'!A215&lt;&gt;"","04_路径网络","")</f>
        <v/>
      </c>
      <c r="D1215" s="14">
        <f>IF('04_路径网络'!A215&lt;&gt;"",'04_路径网络'!A215,"")</f>
        <v/>
      </c>
      <c r="E1215" s="14">
        <f>IF(F1215&lt;&gt;"","综合校验","")</f>
        <v/>
      </c>
      <c r="F1215" s="14">
        <f>IF('04_路径网络'!A215&lt;&gt;"",IF('04_路径网络'!A215="","缺少路径ID；","")&amp;IF('04_路径网络'!C215="","缺少路径类型；","")&amp;IF('04_路径网络'!D215="","缺少起点对象ID；","")&amp;IF('04_路径网络'!E215="","缺少终点对象ID；","")&amp;IF(AND('04_路径网络'!D215&lt;&gt;"",'04_路径网络'!D215='04_路径网络'!E215),"起点与终点相同；","")&amp;IF(AND('04_路径网络'!D215&lt;&gt;"",COUNTIF('02_固定地理'!$A$2:$A$501,'04_路径网络'!D215)+COUNTIF('03_地点锚点'!$A$2:$A$501,'04_路径网络'!D215)+COUNTIF('06_建筑锚点'!$A$2:$A$501,'04_路径网络'!D215)=0),"起点引用对象不存在；","")&amp;IF(AND('04_路径网络'!E215&lt;&gt;"",COUNTIF('02_固定地理'!$A$2:$A$501,'04_路径网络'!E215)+COUNTIF('03_地点锚点'!$A$2:$A$501,'04_路径网络'!E215)+COUNTIF('06_建筑锚点'!$A$2:$A$501,'04_路径网络'!E215)=0),"终点引用对象不存在；","")&amp;IF(AND('04_路径网络'!F215&lt;&gt;"",COUNTIF('04_路径网络'!$A$2:$A$501,'04_路径网络'!F215)=0),"父级路径不存在；","")&amp;IF(AND('04_路径网络'!A215&lt;&gt;"",COUNTIF('04_路径网络'!$A$2:$A$501,'04_路径网络'!A215)&gt;1),"ID重复；",""),"")</f>
        <v/>
      </c>
      <c r="G1215" s="14">
        <f>IF(F1215&lt;&gt;"","按字段批注、数据字典和来源记录修正后复核","")</f>
        <v/>
      </c>
      <c r="H1215" s="14">
        <f>IF(F1215&lt;&gt;"","待处理","")</f>
        <v/>
      </c>
    </row>
    <row r="1216">
      <c r="A1216" s="14">
        <f>IF(F1216&lt;&gt;"","ISSUE-"&amp;TEXT(ROW()-1,"00000"),"")</f>
        <v/>
      </c>
      <c r="B1216" s="14">
        <f>IF(F1216&lt;&gt;"","错误","")</f>
        <v/>
      </c>
      <c r="C1216" s="14">
        <f>IF('04_路径网络'!A216&lt;&gt;"","04_路径网络","")</f>
        <v/>
      </c>
      <c r="D1216" s="14">
        <f>IF('04_路径网络'!A216&lt;&gt;"",'04_路径网络'!A216,"")</f>
        <v/>
      </c>
      <c r="E1216" s="14">
        <f>IF(F1216&lt;&gt;"","综合校验","")</f>
        <v/>
      </c>
      <c r="F1216" s="14">
        <f>IF('04_路径网络'!A216&lt;&gt;"",IF('04_路径网络'!A216="","缺少路径ID；","")&amp;IF('04_路径网络'!C216="","缺少路径类型；","")&amp;IF('04_路径网络'!D216="","缺少起点对象ID；","")&amp;IF('04_路径网络'!E216="","缺少终点对象ID；","")&amp;IF(AND('04_路径网络'!D216&lt;&gt;"",'04_路径网络'!D216='04_路径网络'!E216),"起点与终点相同；","")&amp;IF(AND('04_路径网络'!D216&lt;&gt;"",COUNTIF('02_固定地理'!$A$2:$A$501,'04_路径网络'!D216)+COUNTIF('03_地点锚点'!$A$2:$A$501,'04_路径网络'!D216)+COUNTIF('06_建筑锚点'!$A$2:$A$501,'04_路径网络'!D216)=0),"起点引用对象不存在；","")&amp;IF(AND('04_路径网络'!E216&lt;&gt;"",COUNTIF('02_固定地理'!$A$2:$A$501,'04_路径网络'!E216)+COUNTIF('03_地点锚点'!$A$2:$A$501,'04_路径网络'!E216)+COUNTIF('06_建筑锚点'!$A$2:$A$501,'04_路径网络'!E216)=0),"终点引用对象不存在；","")&amp;IF(AND('04_路径网络'!F216&lt;&gt;"",COUNTIF('04_路径网络'!$A$2:$A$501,'04_路径网络'!F216)=0),"父级路径不存在；","")&amp;IF(AND('04_路径网络'!A216&lt;&gt;"",COUNTIF('04_路径网络'!$A$2:$A$501,'04_路径网络'!A216)&gt;1),"ID重复；",""),"")</f>
        <v/>
      </c>
      <c r="G1216" s="14">
        <f>IF(F1216&lt;&gt;"","按字段批注、数据字典和来源记录修正后复核","")</f>
        <v/>
      </c>
      <c r="H1216" s="14">
        <f>IF(F1216&lt;&gt;"","待处理","")</f>
        <v/>
      </c>
    </row>
    <row r="1217">
      <c r="A1217" s="14">
        <f>IF(F1217&lt;&gt;"","ISSUE-"&amp;TEXT(ROW()-1,"00000"),"")</f>
        <v/>
      </c>
      <c r="B1217" s="14">
        <f>IF(F1217&lt;&gt;"","错误","")</f>
        <v/>
      </c>
      <c r="C1217" s="14">
        <f>IF('04_路径网络'!A217&lt;&gt;"","04_路径网络","")</f>
        <v/>
      </c>
      <c r="D1217" s="14">
        <f>IF('04_路径网络'!A217&lt;&gt;"",'04_路径网络'!A217,"")</f>
        <v/>
      </c>
      <c r="E1217" s="14">
        <f>IF(F1217&lt;&gt;"","综合校验","")</f>
        <v/>
      </c>
      <c r="F1217" s="14">
        <f>IF('04_路径网络'!A217&lt;&gt;"",IF('04_路径网络'!A217="","缺少路径ID；","")&amp;IF('04_路径网络'!C217="","缺少路径类型；","")&amp;IF('04_路径网络'!D217="","缺少起点对象ID；","")&amp;IF('04_路径网络'!E217="","缺少终点对象ID；","")&amp;IF(AND('04_路径网络'!D217&lt;&gt;"",'04_路径网络'!D217='04_路径网络'!E217),"起点与终点相同；","")&amp;IF(AND('04_路径网络'!D217&lt;&gt;"",COUNTIF('02_固定地理'!$A$2:$A$501,'04_路径网络'!D217)+COUNTIF('03_地点锚点'!$A$2:$A$501,'04_路径网络'!D217)+COUNTIF('06_建筑锚点'!$A$2:$A$501,'04_路径网络'!D217)=0),"起点引用对象不存在；","")&amp;IF(AND('04_路径网络'!E217&lt;&gt;"",COUNTIF('02_固定地理'!$A$2:$A$501,'04_路径网络'!E217)+COUNTIF('03_地点锚点'!$A$2:$A$501,'04_路径网络'!E217)+COUNTIF('06_建筑锚点'!$A$2:$A$501,'04_路径网络'!E217)=0),"终点引用对象不存在；","")&amp;IF(AND('04_路径网络'!F217&lt;&gt;"",COUNTIF('04_路径网络'!$A$2:$A$501,'04_路径网络'!F217)=0),"父级路径不存在；","")&amp;IF(AND('04_路径网络'!A217&lt;&gt;"",COUNTIF('04_路径网络'!$A$2:$A$501,'04_路径网络'!A217)&gt;1),"ID重复；",""),"")</f>
        <v/>
      </c>
      <c r="G1217" s="14">
        <f>IF(F1217&lt;&gt;"","按字段批注、数据字典和来源记录修正后复核","")</f>
        <v/>
      </c>
      <c r="H1217" s="14">
        <f>IF(F1217&lt;&gt;"","待处理","")</f>
        <v/>
      </c>
    </row>
    <row r="1218">
      <c r="A1218" s="14">
        <f>IF(F1218&lt;&gt;"","ISSUE-"&amp;TEXT(ROW()-1,"00000"),"")</f>
        <v/>
      </c>
      <c r="B1218" s="14">
        <f>IF(F1218&lt;&gt;"","错误","")</f>
        <v/>
      </c>
      <c r="C1218" s="14">
        <f>IF('04_路径网络'!A218&lt;&gt;"","04_路径网络","")</f>
        <v/>
      </c>
      <c r="D1218" s="14">
        <f>IF('04_路径网络'!A218&lt;&gt;"",'04_路径网络'!A218,"")</f>
        <v/>
      </c>
      <c r="E1218" s="14">
        <f>IF(F1218&lt;&gt;"","综合校验","")</f>
        <v/>
      </c>
      <c r="F1218" s="14">
        <f>IF('04_路径网络'!A218&lt;&gt;"",IF('04_路径网络'!A218="","缺少路径ID；","")&amp;IF('04_路径网络'!C218="","缺少路径类型；","")&amp;IF('04_路径网络'!D218="","缺少起点对象ID；","")&amp;IF('04_路径网络'!E218="","缺少终点对象ID；","")&amp;IF(AND('04_路径网络'!D218&lt;&gt;"",'04_路径网络'!D218='04_路径网络'!E218),"起点与终点相同；","")&amp;IF(AND('04_路径网络'!D218&lt;&gt;"",COUNTIF('02_固定地理'!$A$2:$A$501,'04_路径网络'!D218)+COUNTIF('03_地点锚点'!$A$2:$A$501,'04_路径网络'!D218)+COUNTIF('06_建筑锚点'!$A$2:$A$501,'04_路径网络'!D218)=0),"起点引用对象不存在；","")&amp;IF(AND('04_路径网络'!E218&lt;&gt;"",COUNTIF('02_固定地理'!$A$2:$A$501,'04_路径网络'!E218)+COUNTIF('03_地点锚点'!$A$2:$A$501,'04_路径网络'!E218)+COUNTIF('06_建筑锚点'!$A$2:$A$501,'04_路径网络'!E218)=0),"终点引用对象不存在；","")&amp;IF(AND('04_路径网络'!F218&lt;&gt;"",COUNTIF('04_路径网络'!$A$2:$A$501,'04_路径网络'!F218)=0),"父级路径不存在；","")&amp;IF(AND('04_路径网络'!A218&lt;&gt;"",COUNTIF('04_路径网络'!$A$2:$A$501,'04_路径网络'!A218)&gt;1),"ID重复；",""),"")</f>
        <v/>
      </c>
      <c r="G1218" s="14">
        <f>IF(F1218&lt;&gt;"","按字段批注、数据字典和来源记录修正后复核","")</f>
        <v/>
      </c>
      <c r="H1218" s="14">
        <f>IF(F1218&lt;&gt;"","待处理","")</f>
        <v/>
      </c>
    </row>
    <row r="1219">
      <c r="A1219" s="14">
        <f>IF(F1219&lt;&gt;"","ISSUE-"&amp;TEXT(ROW()-1,"00000"),"")</f>
        <v/>
      </c>
      <c r="B1219" s="14">
        <f>IF(F1219&lt;&gt;"","错误","")</f>
        <v/>
      </c>
      <c r="C1219" s="14">
        <f>IF('04_路径网络'!A219&lt;&gt;"","04_路径网络","")</f>
        <v/>
      </c>
      <c r="D1219" s="14">
        <f>IF('04_路径网络'!A219&lt;&gt;"",'04_路径网络'!A219,"")</f>
        <v/>
      </c>
      <c r="E1219" s="14">
        <f>IF(F1219&lt;&gt;"","综合校验","")</f>
        <v/>
      </c>
      <c r="F1219" s="14">
        <f>IF('04_路径网络'!A219&lt;&gt;"",IF('04_路径网络'!A219="","缺少路径ID；","")&amp;IF('04_路径网络'!C219="","缺少路径类型；","")&amp;IF('04_路径网络'!D219="","缺少起点对象ID；","")&amp;IF('04_路径网络'!E219="","缺少终点对象ID；","")&amp;IF(AND('04_路径网络'!D219&lt;&gt;"",'04_路径网络'!D219='04_路径网络'!E219),"起点与终点相同；","")&amp;IF(AND('04_路径网络'!D219&lt;&gt;"",COUNTIF('02_固定地理'!$A$2:$A$501,'04_路径网络'!D219)+COUNTIF('03_地点锚点'!$A$2:$A$501,'04_路径网络'!D219)+COUNTIF('06_建筑锚点'!$A$2:$A$501,'04_路径网络'!D219)=0),"起点引用对象不存在；","")&amp;IF(AND('04_路径网络'!E219&lt;&gt;"",COUNTIF('02_固定地理'!$A$2:$A$501,'04_路径网络'!E219)+COUNTIF('03_地点锚点'!$A$2:$A$501,'04_路径网络'!E219)+COUNTIF('06_建筑锚点'!$A$2:$A$501,'04_路径网络'!E219)=0),"终点引用对象不存在；","")&amp;IF(AND('04_路径网络'!F219&lt;&gt;"",COUNTIF('04_路径网络'!$A$2:$A$501,'04_路径网络'!F219)=0),"父级路径不存在；","")&amp;IF(AND('04_路径网络'!A219&lt;&gt;"",COUNTIF('04_路径网络'!$A$2:$A$501,'04_路径网络'!A219)&gt;1),"ID重复；",""),"")</f>
        <v/>
      </c>
      <c r="G1219" s="14">
        <f>IF(F1219&lt;&gt;"","按字段批注、数据字典和来源记录修正后复核","")</f>
        <v/>
      </c>
      <c r="H1219" s="14">
        <f>IF(F1219&lt;&gt;"","待处理","")</f>
        <v/>
      </c>
    </row>
    <row r="1220">
      <c r="A1220" s="14">
        <f>IF(F1220&lt;&gt;"","ISSUE-"&amp;TEXT(ROW()-1,"00000"),"")</f>
        <v/>
      </c>
      <c r="B1220" s="14">
        <f>IF(F1220&lt;&gt;"","错误","")</f>
        <v/>
      </c>
      <c r="C1220" s="14">
        <f>IF('04_路径网络'!A220&lt;&gt;"","04_路径网络","")</f>
        <v/>
      </c>
      <c r="D1220" s="14">
        <f>IF('04_路径网络'!A220&lt;&gt;"",'04_路径网络'!A220,"")</f>
        <v/>
      </c>
      <c r="E1220" s="14">
        <f>IF(F1220&lt;&gt;"","综合校验","")</f>
        <v/>
      </c>
      <c r="F1220" s="14">
        <f>IF('04_路径网络'!A220&lt;&gt;"",IF('04_路径网络'!A220="","缺少路径ID；","")&amp;IF('04_路径网络'!C220="","缺少路径类型；","")&amp;IF('04_路径网络'!D220="","缺少起点对象ID；","")&amp;IF('04_路径网络'!E220="","缺少终点对象ID；","")&amp;IF(AND('04_路径网络'!D220&lt;&gt;"",'04_路径网络'!D220='04_路径网络'!E220),"起点与终点相同；","")&amp;IF(AND('04_路径网络'!D220&lt;&gt;"",COUNTIF('02_固定地理'!$A$2:$A$501,'04_路径网络'!D220)+COUNTIF('03_地点锚点'!$A$2:$A$501,'04_路径网络'!D220)+COUNTIF('06_建筑锚点'!$A$2:$A$501,'04_路径网络'!D220)=0),"起点引用对象不存在；","")&amp;IF(AND('04_路径网络'!E220&lt;&gt;"",COUNTIF('02_固定地理'!$A$2:$A$501,'04_路径网络'!E220)+COUNTIF('03_地点锚点'!$A$2:$A$501,'04_路径网络'!E220)+COUNTIF('06_建筑锚点'!$A$2:$A$501,'04_路径网络'!E220)=0),"终点引用对象不存在；","")&amp;IF(AND('04_路径网络'!F220&lt;&gt;"",COUNTIF('04_路径网络'!$A$2:$A$501,'04_路径网络'!F220)=0),"父级路径不存在；","")&amp;IF(AND('04_路径网络'!A220&lt;&gt;"",COUNTIF('04_路径网络'!$A$2:$A$501,'04_路径网络'!A220)&gt;1),"ID重复；",""),"")</f>
        <v/>
      </c>
      <c r="G1220" s="14">
        <f>IF(F1220&lt;&gt;"","按字段批注、数据字典和来源记录修正后复核","")</f>
        <v/>
      </c>
      <c r="H1220" s="14">
        <f>IF(F1220&lt;&gt;"","待处理","")</f>
        <v/>
      </c>
    </row>
    <row r="1221">
      <c r="A1221" s="14">
        <f>IF(F1221&lt;&gt;"","ISSUE-"&amp;TEXT(ROW()-1,"00000"),"")</f>
        <v/>
      </c>
      <c r="B1221" s="14">
        <f>IF(F1221&lt;&gt;"","错误","")</f>
        <v/>
      </c>
      <c r="C1221" s="14">
        <f>IF('04_路径网络'!A221&lt;&gt;"","04_路径网络","")</f>
        <v/>
      </c>
      <c r="D1221" s="14">
        <f>IF('04_路径网络'!A221&lt;&gt;"",'04_路径网络'!A221,"")</f>
        <v/>
      </c>
      <c r="E1221" s="14">
        <f>IF(F1221&lt;&gt;"","综合校验","")</f>
        <v/>
      </c>
      <c r="F1221" s="14">
        <f>IF('04_路径网络'!A221&lt;&gt;"",IF('04_路径网络'!A221="","缺少路径ID；","")&amp;IF('04_路径网络'!C221="","缺少路径类型；","")&amp;IF('04_路径网络'!D221="","缺少起点对象ID；","")&amp;IF('04_路径网络'!E221="","缺少终点对象ID；","")&amp;IF(AND('04_路径网络'!D221&lt;&gt;"",'04_路径网络'!D221='04_路径网络'!E221),"起点与终点相同；","")&amp;IF(AND('04_路径网络'!D221&lt;&gt;"",COUNTIF('02_固定地理'!$A$2:$A$501,'04_路径网络'!D221)+COUNTIF('03_地点锚点'!$A$2:$A$501,'04_路径网络'!D221)+COUNTIF('06_建筑锚点'!$A$2:$A$501,'04_路径网络'!D221)=0),"起点引用对象不存在；","")&amp;IF(AND('04_路径网络'!E221&lt;&gt;"",COUNTIF('02_固定地理'!$A$2:$A$501,'04_路径网络'!E221)+COUNTIF('03_地点锚点'!$A$2:$A$501,'04_路径网络'!E221)+COUNTIF('06_建筑锚点'!$A$2:$A$501,'04_路径网络'!E221)=0),"终点引用对象不存在；","")&amp;IF(AND('04_路径网络'!F221&lt;&gt;"",COUNTIF('04_路径网络'!$A$2:$A$501,'04_路径网络'!F221)=0),"父级路径不存在；","")&amp;IF(AND('04_路径网络'!A221&lt;&gt;"",COUNTIF('04_路径网络'!$A$2:$A$501,'04_路径网络'!A221)&gt;1),"ID重复；",""),"")</f>
        <v/>
      </c>
      <c r="G1221" s="14">
        <f>IF(F1221&lt;&gt;"","按字段批注、数据字典和来源记录修正后复核","")</f>
        <v/>
      </c>
      <c r="H1221" s="14">
        <f>IF(F1221&lt;&gt;"","待处理","")</f>
        <v/>
      </c>
    </row>
    <row r="1222">
      <c r="A1222" s="14">
        <f>IF(F1222&lt;&gt;"","ISSUE-"&amp;TEXT(ROW()-1,"00000"),"")</f>
        <v/>
      </c>
      <c r="B1222" s="14">
        <f>IF(F1222&lt;&gt;"","错误","")</f>
        <v/>
      </c>
      <c r="C1222" s="14">
        <f>IF('04_路径网络'!A222&lt;&gt;"","04_路径网络","")</f>
        <v/>
      </c>
      <c r="D1222" s="14">
        <f>IF('04_路径网络'!A222&lt;&gt;"",'04_路径网络'!A222,"")</f>
        <v/>
      </c>
      <c r="E1222" s="14">
        <f>IF(F1222&lt;&gt;"","综合校验","")</f>
        <v/>
      </c>
      <c r="F1222" s="14">
        <f>IF('04_路径网络'!A222&lt;&gt;"",IF('04_路径网络'!A222="","缺少路径ID；","")&amp;IF('04_路径网络'!C222="","缺少路径类型；","")&amp;IF('04_路径网络'!D222="","缺少起点对象ID；","")&amp;IF('04_路径网络'!E222="","缺少终点对象ID；","")&amp;IF(AND('04_路径网络'!D222&lt;&gt;"",'04_路径网络'!D222='04_路径网络'!E222),"起点与终点相同；","")&amp;IF(AND('04_路径网络'!D222&lt;&gt;"",COUNTIF('02_固定地理'!$A$2:$A$501,'04_路径网络'!D222)+COUNTIF('03_地点锚点'!$A$2:$A$501,'04_路径网络'!D222)+COUNTIF('06_建筑锚点'!$A$2:$A$501,'04_路径网络'!D222)=0),"起点引用对象不存在；","")&amp;IF(AND('04_路径网络'!E222&lt;&gt;"",COUNTIF('02_固定地理'!$A$2:$A$501,'04_路径网络'!E222)+COUNTIF('03_地点锚点'!$A$2:$A$501,'04_路径网络'!E222)+COUNTIF('06_建筑锚点'!$A$2:$A$501,'04_路径网络'!E222)=0),"终点引用对象不存在；","")&amp;IF(AND('04_路径网络'!F222&lt;&gt;"",COUNTIF('04_路径网络'!$A$2:$A$501,'04_路径网络'!F222)=0),"父级路径不存在；","")&amp;IF(AND('04_路径网络'!A222&lt;&gt;"",COUNTIF('04_路径网络'!$A$2:$A$501,'04_路径网络'!A222)&gt;1),"ID重复；",""),"")</f>
        <v/>
      </c>
      <c r="G1222" s="14">
        <f>IF(F1222&lt;&gt;"","按字段批注、数据字典和来源记录修正后复核","")</f>
        <v/>
      </c>
      <c r="H1222" s="14">
        <f>IF(F1222&lt;&gt;"","待处理","")</f>
        <v/>
      </c>
    </row>
    <row r="1223">
      <c r="A1223" s="14">
        <f>IF(F1223&lt;&gt;"","ISSUE-"&amp;TEXT(ROW()-1,"00000"),"")</f>
        <v/>
      </c>
      <c r="B1223" s="14">
        <f>IF(F1223&lt;&gt;"","错误","")</f>
        <v/>
      </c>
      <c r="C1223" s="14">
        <f>IF('04_路径网络'!A223&lt;&gt;"","04_路径网络","")</f>
        <v/>
      </c>
      <c r="D1223" s="14">
        <f>IF('04_路径网络'!A223&lt;&gt;"",'04_路径网络'!A223,"")</f>
        <v/>
      </c>
      <c r="E1223" s="14">
        <f>IF(F1223&lt;&gt;"","综合校验","")</f>
        <v/>
      </c>
      <c r="F1223" s="14">
        <f>IF('04_路径网络'!A223&lt;&gt;"",IF('04_路径网络'!A223="","缺少路径ID；","")&amp;IF('04_路径网络'!C223="","缺少路径类型；","")&amp;IF('04_路径网络'!D223="","缺少起点对象ID；","")&amp;IF('04_路径网络'!E223="","缺少终点对象ID；","")&amp;IF(AND('04_路径网络'!D223&lt;&gt;"",'04_路径网络'!D223='04_路径网络'!E223),"起点与终点相同；","")&amp;IF(AND('04_路径网络'!D223&lt;&gt;"",COUNTIF('02_固定地理'!$A$2:$A$501,'04_路径网络'!D223)+COUNTIF('03_地点锚点'!$A$2:$A$501,'04_路径网络'!D223)+COUNTIF('06_建筑锚点'!$A$2:$A$501,'04_路径网络'!D223)=0),"起点引用对象不存在；","")&amp;IF(AND('04_路径网络'!E223&lt;&gt;"",COUNTIF('02_固定地理'!$A$2:$A$501,'04_路径网络'!E223)+COUNTIF('03_地点锚点'!$A$2:$A$501,'04_路径网络'!E223)+COUNTIF('06_建筑锚点'!$A$2:$A$501,'04_路径网络'!E223)=0),"终点引用对象不存在；","")&amp;IF(AND('04_路径网络'!F223&lt;&gt;"",COUNTIF('04_路径网络'!$A$2:$A$501,'04_路径网络'!F223)=0),"父级路径不存在；","")&amp;IF(AND('04_路径网络'!A223&lt;&gt;"",COUNTIF('04_路径网络'!$A$2:$A$501,'04_路径网络'!A223)&gt;1),"ID重复；",""),"")</f>
        <v/>
      </c>
      <c r="G1223" s="14">
        <f>IF(F1223&lt;&gt;"","按字段批注、数据字典和来源记录修正后复核","")</f>
        <v/>
      </c>
      <c r="H1223" s="14">
        <f>IF(F1223&lt;&gt;"","待处理","")</f>
        <v/>
      </c>
    </row>
    <row r="1224">
      <c r="A1224" s="14">
        <f>IF(F1224&lt;&gt;"","ISSUE-"&amp;TEXT(ROW()-1,"00000"),"")</f>
        <v/>
      </c>
      <c r="B1224" s="14">
        <f>IF(F1224&lt;&gt;"","错误","")</f>
        <v/>
      </c>
      <c r="C1224" s="14">
        <f>IF('04_路径网络'!A224&lt;&gt;"","04_路径网络","")</f>
        <v/>
      </c>
      <c r="D1224" s="14">
        <f>IF('04_路径网络'!A224&lt;&gt;"",'04_路径网络'!A224,"")</f>
        <v/>
      </c>
      <c r="E1224" s="14">
        <f>IF(F1224&lt;&gt;"","综合校验","")</f>
        <v/>
      </c>
      <c r="F1224" s="14">
        <f>IF('04_路径网络'!A224&lt;&gt;"",IF('04_路径网络'!A224="","缺少路径ID；","")&amp;IF('04_路径网络'!C224="","缺少路径类型；","")&amp;IF('04_路径网络'!D224="","缺少起点对象ID；","")&amp;IF('04_路径网络'!E224="","缺少终点对象ID；","")&amp;IF(AND('04_路径网络'!D224&lt;&gt;"",'04_路径网络'!D224='04_路径网络'!E224),"起点与终点相同；","")&amp;IF(AND('04_路径网络'!D224&lt;&gt;"",COUNTIF('02_固定地理'!$A$2:$A$501,'04_路径网络'!D224)+COUNTIF('03_地点锚点'!$A$2:$A$501,'04_路径网络'!D224)+COUNTIF('06_建筑锚点'!$A$2:$A$501,'04_路径网络'!D224)=0),"起点引用对象不存在；","")&amp;IF(AND('04_路径网络'!E224&lt;&gt;"",COUNTIF('02_固定地理'!$A$2:$A$501,'04_路径网络'!E224)+COUNTIF('03_地点锚点'!$A$2:$A$501,'04_路径网络'!E224)+COUNTIF('06_建筑锚点'!$A$2:$A$501,'04_路径网络'!E224)=0),"终点引用对象不存在；","")&amp;IF(AND('04_路径网络'!F224&lt;&gt;"",COUNTIF('04_路径网络'!$A$2:$A$501,'04_路径网络'!F224)=0),"父级路径不存在；","")&amp;IF(AND('04_路径网络'!A224&lt;&gt;"",COUNTIF('04_路径网络'!$A$2:$A$501,'04_路径网络'!A224)&gt;1),"ID重复；",""),"")</f>
        <v/>
      </c>
      <c r="G1224" s="14">
        <f>IF(F1224&lt;&gt;"","按字段批注、数据字典和来源记录修正后复核","")</f>
        <v/>
      </c>
      <c r="H1224" s="14">
        <f>IF(F1224&lt;&gt;"","待处理","")</f>
        <v/>
      </c>
    </row>
    <row r="1225">
      <c r="A1225" s="14">
        <f>IF(F1225&lt;&gt;"","ISSUE-"&amp;TEXT(ROW()-1,"00000"),"")</f>
        <v/>
      </c>
      <c r="B1225" s="14">
        <f>IF(F1225&lt;&gt;"","错误","")</f>
        <v/>
      </c>
      <c r="C1225" s="14">
        <f>IF('04_路径网络'!A225&lt;&gt;"","04_路径网络","")</f>
        <v/>
      </c>
      <c r="D1225" s="14">
        <f>IF('04_路径网络'!A225&lt;&gt;"",'04_路径网络'!A225,"")</f>
        <v/>
      </c>
      <c r="E1225" s="14">
        <f>IF(F1225&lt;&gt;"","综合校验","")</f>
        <v/>
      </c>
      <c r="F1225" s="14">
        <f>IF('04_路径网络'!A225&lt;&gt;"",IF('04_路径网络'!A225="","缺少路径ID；","")&amp;IF('04_路径网络'!C225="","缺少路径类型；","")&amp;IF('04_路径网络'!D225="","缺少起点对象ID；","")&amp;IF('04_路径网络'!E225="","缺少终点对象ID；","")&amp;IF(AND('04_路径网络'!D225&lt;&gt;"",'04_路径网络'!D225='04_路径网络'!E225),"起点与终点相同；","")&amp;IF(AND('04_路径网络'!D225&lt;&gt;"",COUNTIF('02_固定地理'!$A$2:$A$501,'04_路径网络'!D225)+COUNTIF('03_地点锚点'!$A$2:$A$501,'04_路径网络'!D225)+COUNTIF('06_建筑锚点'!$A$2:$A$501,'04_路径网络'!D225)=0),"起点引用对象不存在；","")&amp;IF(AND('04_路径网络'!E225&lt;&gt;"",COUNTIF('02_固定地理'!$A$2:$A$501,'04_路径网络'!E225)+COUNTIF('03_地点锚点'!$A$2:$A$501,'04_路径网络'!E225)+COUNTIF('06_建筑锚点'!$A$2:$A$501,'04_路径网络'!E225)=0),"终点引用对象不存在；","")&amp;IF(AND('04_路径网络'!F225&lt;&gt;"",COUNTIF('04_路径网络'!$A$2:$A$501,'04_路径网络'!F225)=0),"父级路径不存在；","")&amp;IF(AND('04_路径网络'!A225&lt;&gt;"",COUNTIF('04_路径网络'!$A$2:$A$501,'04_路径网络'!A225)&gt;1),"ID重复；",""),"")</f>
        <v/>
      </c>
      <c r="G1225" s="14">
        <f>IF(F1225&lt;&gt;"","按字段批注、数据字典和来源记录修正后复核","")</f>
        <v/>
      </c>
      <c r="H1225" s="14">
        <f>IF(F1225&lt;&gt;"","待处理","")</f>
        <v/>
      </c>
    </row>
    <row r="1226">
      <c r="A1226" s="14">
        <f>IF(F1226&lt;&gt;"","ISSUE-"&amp;TEXT(ROW()-1,"00000"),"")</f>
        <v/>
      </c>
      <c r="B1226" s="14">
        <f>IF(F1226&lt;&gt;"","错误","")</f>
        <v/>
      </c>
      <c r="C1226" s="14">
        <f>IF('04_路径网络'!A226&lt;&gt;"","04_路径网络","")</f>
        <v/>
      </c>
      <c r="D1226" s="14">
        <f>IF('04_路径网络'!A226&lt;&gt;"",'04_路径网络'!A226,"")</f>
        <v/>
      </c>
      <c r="E1226" s="14">
        <f>IF(F1226&lt;&gt;"","综合校验","")</f>
        <v/>
      </c>
      <c r="F1226" s="14">
        <f>IF('04_路径网络'!A226&lt;&gt;"",IF('04_路径网络'!A226="","缺少路径ID；","")&amp;IF('04_路径网络'!C226="","缺少路径类型；","")&amp;IF('04_路径网络'!D226="","缺少起点对象ID；","")&amp;IF('04_路径网络'!E226="","缺少终点对象ID；","")&amp;IF(AND('04_路径网络'!D226&lt;&gt;"",'04_路径网络'!D226='04_路径网络'!E226),"起点与终点相同；","")&amp;IF(AND('04_路径网络'!D226&lt;&gt;"",COUNTIF('02_固定地理'!$A$2:$A$501,'04_路径网络'!D226)+COUNTIF('03_地点锚点'!$A$2:$A$501,'04_路径网络'!D226)+COUNTIF('06_建筑锚点'!$A$2:$A$501,'04_路径网络'!D226)=0),"起点引用对象不存在；","")&amp;IF(AND('04_路径网络'!E226&lt;&gt;"",COUNTIF('02_固定地理'!$A$2:$A$501,'04_路径网络'!E226)+COUNTIF('03_地点锚点'!$A$2:$A$501,'04_路径网络'!E226)+COUNTIF('06_建筑锚点'!$A$2:$A$501,'04_路径网络'!E226)=0),"终点引用对象不存在；","")&amp;IF(AND('04_路径网络'!F226&lt;&gt;"",COUNTIF('04_路径网络'!$A$2:$A$501,'04_路径网络'!F226)=0),"父级路径不存在；","")&amp;IF(AND('04_路径网络'!A226&lt;&gt;"",COUNTIF('04_路径网络'!$A$2:$A$501,'04_路径网络'!A226)&gt;1),"ID重复；",""),"")</f>
        <v/>
      </c>
      <c r="G1226" s="14">
        <f>IF(F1226&lt;&gt;"","按字段批注、数据字典和来源记录修正后复核","")</f>
        <v/>
      </c>
      <c r="H1226" s="14">
        <f>IF(F1226&lt;&gt;"","待处理","")</f>
        <v/>
      </c>
    </row>
    <row r="1227">
      <c r="A1227" s="14">
        <f>IF(F1227&lt;&gt;"","ISSUE-"&amp;TEXT(ROW()-1,"00000"),"")</f>
        <v/>
      </c>
      <c r="B1227" s="14">
        <f>IF(F1227&lt;&gt;"","错误","")</f>
        <v/>
      </c>
      <c r="C1227" s="14">
        <f>IF('04_路径网络'!A227&lt;&gt;"","04_路径网络","")</f>
        <v/>
      </c>
      <c r="D1227" s="14">
        <f>IF('04_路径网络'!A227&lt;&gt;"",'04_路径网络'!A227,"")</f>
        <v/>
      </c>
      <c r="E1227" s="14">
        <f>IF(F1227&lt;&gt;"","综合校验","")</f>
        <v/>
      </c>
      <c r="F1227" s="14">
        <f>IF('04_路径网络'!A227&lt;&gt;"",IF('04_路径网络'!A227="","缺少路径ID；","")&amp;IF('04_路径网络'!C227="","缺少路径类型；","")&amp;IF('04_路径网络'!D227="","缺少起点对象ID；","")&amp;IF('04_路径网络'!E227="","缺少终点对象ID；","")&amp;IF(AND('04_路径网络'!D227&lt;&gt;"",'04_路径网络'!D227='04_路径网络'!E227),"起点与终点相同；","")&amp;IF(AND('04_路径网络'!D227&lt;&gt;"",COUNTIF('02_固定地理'!$A$2:$A$501,'04_路径网络'!D227)+COUNTIF('03_地点锚点'!$A$2:$A$501,'04_路径网络'!D227)+COUNTIF('06_建筑锚点'!$A$2:$A$501,'04_路径网络'!D227)=0),"起点引用对象不存在；","")&amp;IF(AND('04_路径网络'!E227&lt;&gt;"",COUNTIF('02_固定地理'!$A$2:$A$501,'04_路径网络'!E227)+COUNTIF('03_地点锚点'!$A$2:$A$501,'04_路径网络'!E227)+COUNTIF('06_建筑锚点'!$A$2:$A$501,'04_路径网络'!E227)=0),"终点引用对象不存在；","")&amp;IF(AND('04_路径网络'!F227&lt;&gt;"",COUNTIF('04_路径网络'!$A$2:$A$501,'04_路径网络'!F227)=0),"父级路径不存在；","")&amp;IF(AND('04_路径网络'!A227&lt;&gt;"",COUNTIF('04_路径网络'!$A$2:$A$501,'04_路径网络'!A227)&gt;1),"ID重复；",""),"")</f>
        <v/>
      </c>
      <c r="G1227" s="14">
        <f>IF(F1227&lt;&gt;"","按字段批注、数据字典和来源记录修正后复核","")</f>
        <v/>
      </c>
      <c r="H1227" s="14">
        <f>IF(F1227&lt;&gt;"","待处理","")</f>
        <v/>
      </c>
    </row>
    <row r="1228">
      <c r="A1228" s="14">
        <f>IF(F1228&lt;&gt;"","ISSUE-"&amp;TEXT(ROW()-1,"00000"),"")</f>
        <v/>
      </c>
      <c r="B1228" s="14">
        <f>IF(F1228&lt;&gt;"","错误","")</f>
        <v/>
      </c>
      <c r="C1228" s="14">
        <f>IF('04_路径网络'!A228&lt;&gt;"","04_路径网络","")</f>
        <v/>
      </c>
      <c r="D1228" s="14">
        <f>IF('04_路径网络'!A228&lt;&gt;"",'04_路径网络'!A228,"")</f>
        <v/>
      </c>
      <c r="E1228" s="14">
        <f>IF(F1228&lt;&gt;"","综合校验","")</f>
        <v/>
      </c>
      <c r="F1228" s="14">
        <f>IF('04_路径网络'!A228&lt;&gt;"",IF('04_路径网络'!A228="","缺少路径ID；","")&amp;IF('04_路径网络'!C228="","缺少路径类型；","")&amp;IF('04_路径网络'!D228="","缺少起点对象ID；","")&amp;IF('04_路径网络'!E228="","缺少终点对象ID；","")&amp;IF(AND('04_路径网络'!D228&lt;&gt;"",'04_路径网络'!D228='04_路径网络'!E228),"起点与终点相同；","")&amp;IF(AND('04_路径网络'!D228&lt;&gt;"",COUNTIF('02_固定地理'!$A$2:$A$501,'04_路径网络'!D228)+COUNTIF('03_地点锚点'!$A$2:$A$501,'04_路径网络'!D228)+COUNTIF('06_建筑锚点'!$A$2:$A$501,'04_路径网络'!D228)=0),"起点引用对象不存在；","")&amp;IF(AND('04_路径网络'!E228&lt;&gt;"",COUNTIF('02_固定地理'!$A$2:$A$501,'04_路径网络'!E228)+COUNTIF('03_地点锚点'!$A$2:$A$501,'04_路径网络'!E228)+COUNTIF('06_建筑锚点'!$A$2:$A$501,'04_路径网络'!E228)=0),"终点引用对象不存在；","")&amp;IF(AND('04_路径网络'!F228&lt;&gt;"",COUNTIF('04_路径网络'!$A$2:$A$501,'04_路径网络'!F228)=0),"父级路径不存在；","")&amp;IF(AND('04_路径网络'!A228&lt;&gt;"",COUNTIF('04_路径网络'!$A$2:$A$501,'04_路径网络'!A228)&gt;1),"ID重复；",""),"")</f>
        <v/>
      </c>
      <c r="G1228" s="14">
        <f>IF(F1228&lt;&gt;"","按字段批注、数据字典和来源记录修正后复核","")</f>
        <v/>
      </c>
      <c r="H1228" s="14">
        <f>IF(F1228&lt;&gt;"","待处理","")</f>
        <v/>
      </c>
    </row>
    <row r="1229">
      <c r="A1229" s="14">
        <f>IF(F1229&lt;&gt;"","ISSUE-"&amp;TEXT(ROW()-1,"00000"),"")</f>
        <v/>
      </c>
      <c r="B1229" s="14">
        <f>IF(F1229&lt;&gt;"","错误","")</f>
        <v/>
      </c>
      <c r="C1229" s="14">
        <f>IF('04_路径网络'!A229&lt;&gt;"","04_路径网络","")</f>
        <v/>
      </c>
      <c r="D1229" s="14">
        <f>IF('04_路径网络'!A229&lt;&gt;"",'04_路径网络'!A229,"")</f>
        <v/>
      </c>
      <c r="E1229" s="14">
        <f>IF(F1229&lt;&gt;"","综合校验","")</f>
        <v/>
      </c>
      <c r="F1229" s="14">
        <f>IF('04_路径网络'!A229&lt;&gt;"",IF('04_路径网络'!A229="","缺少路径ID；","")&amp;IF('04_路径网络'!C229="","缺少路径类型；","")&amp;IF('04_路径网络'!D229="","缺少起点对象ID；","")&amp;IF('04_路径网络'!E229="","缺少终点对象ID；","")&amp;IF(AND('04_路径网络'!D229&lt;&gt;"",'04_路径网络'!D229='04_路径网络'!E229),"起点与终点相同；","")&amp;IF(AND('04_路径网络'!D229&lt;&gt;"",COUNTIF('02_固定地理'!$A$2:$A$501,'04_路径网络'!D229)+COUNTIF('03_地点锚点'!$A$2:$A$501,'04_路径网络'!D229)+COUNTIF('06_建筑锚点'!$A$2:$A$501,'04_路径网络'!D229)=0),"起点引用对象不存在；","")&amp;IF(AND('04_路径网络'!E229&lt;&gt;"",COUNTIF('02_固定地理'!$A$2:$A$501,'04_路径网络'!E229)+COUNTIF('03_地点锚点'!$A$2:$A$501,'04_路径网络'!E229)+COUNTIF('06_建筑锚点'!$A$2:$A$501,'04_路径网络'!E229)=0),"终点引用对象不存在；","")&amp;IF(AND('04_路径网络'!F229&lt;&gt;"",COUNTIF('04_路径网络'!$A$2:$A$501,'04_路径网络'!F229)=0),"父级路径不存在；","")&amp;IF(AND('04_路径网络'!A229&lt;&gt;"",COUNTIF('04_路径网络'!$A$2:$A$501,'04_路径网络'!A229)&gt;1),"ID重复；",""),"")</f>
        <v/>
      </c>
      <c r="G1229" s="14">
        <f>IF(F1229&lt;&gt;"","按字段批注、数据字典和来源记录修正后复核","")</f>
        <v/>
      </c>
      <c r="H1229" s="14">
        <f>IF(F1229&lt;&gt;"","待处理","")</f>
        <v/>
      </c>
    </row>
    <row r="1230">
      <c r="A1230" s="14">
        <f>IF(F1230&lt;&gt;"","ISSUE-"&amp;TEXT(ROW()-1,"00000"),"")</f>
        <v/>
      </c>
      <c r="B1230" s="14">
        <f>IF(F1230&lt;&gt;"","错误","")</f>
        <v/>
      </c>
      <c r="C1230" s="14">
        <f>IF('04_路径网络'!A230&lt;&gt;"","04_路径网络","")</f>
        <v/>
      </c>
      <c r="D1230" s="14">
        <f>IF('04_路径网络'!A230&lt;&gt;"",'04_路径网络'!A230,"")</f>
        <v/>
      </c>
      <c r="E1230" s="14">
        <f>IF(F1230&lt;&gt;"","综合校验","")</f>
        <v/>
      </c>
      <c r="F1230" s="14">
        <f>IF('04_路径网络'!A230&lt;&gt;"",IF('04_路径网络'!A230="","缺少路径ID；","")&amp;IF('04_路径网络'!C230="","缺少路径类型；","")&amp;IF('04_路径网络'!D230="","缺少起点对象ID；","")&amp;IF('04_路径网络'!E230="","缺少终点对象ID；","")&amp;IF(AND('04_路径网络'!D230&lt;&gt;"",'04_路径网络'!D230='04_路径网络'!E230),"起点与终点相同；","")&amp;IF(AND('04_路径网络'!D230&lt;&gt;"",COUNTIF('02_固定地理'!$A$2:$A$501,'04_路径网络'!D230)+COUNTIF('03_地点锚点'!$A$2:$A$501,'04_路径网络'!D230)+COUNTIF('06_建筑锚点'!$A$2:$A$501,'04_路径网络'!D230)=0),"起点引用对象不存在；","")&amp;IF(AND('04_路径网络'!E230&lt;&gt;"",COUNTIF('02_固定地理'!$A$2:$A$501,'04_路径网络'!E230)+COUNTIF('03_地点锚点'!$A$2:$A$501,'04_路径网络'!E230)+COUNTIF('06_建筑锚点'!$A$2:$A$501,'04_路径网络'!E230)=0),"终点引用对象不存在；","")&amp;IF(AND('04_路径网络'!F230&lt;&gt;"",COUNTIF('04_路径网络'!$A$2:$A$501,'04_路径网络'!F230)=0),"父级路径不存在；","")&amp;IF(AND('04_路径网络'!A230&lt;&gt;"",COUNTIF('04_路径网络'!$A$2:$A$501,'04_路径网络'!A230)&gt;1),"ID重复；",""),"")</f>
        <v/>
      </c>
      <c r="G1230" s="14">
        <f>IF(F1230&lt;&gt;"","按字段批注、数据字典和来源记录修正后复核","")</f>
        <v/>
      </c>
      <c r="H1230" s="14">
        <f>IF(F1230&lt;&gt;"","待处理","")</f>
        <v/>
      </c>
    </row>
    <row r="1231">
      <c r="A1231" s="14">
        <f>IF(F1231&lt;&gt;"","ISSUE-"&amp;TEXT(ROW()-1,"00000"),"")</f>
        <v/>
      </c>
      <c r="B1231" s="14">
        <f>IF(F1231&lt;&gt;"","错误","")</f>
        <v/>
      </c>
      <c r="C1231" s="14">
        <f>IF('04_路径网络'!A231&lt;&gt;"","04_路径网络","")</f>
        <v/>
      </c>
      <c r="D1231" s="14">
        <f>IF('04_路径网络'!A231&lt;&gt;"",'04_路径网络'!A231,"")</f>
        <v/>
      </c>
      <c r="E1231" s="14">
        <f>IF(F1231&lt;&gt;"","综合校验","")</f>
        <v/>
      </c>
      <c r="F1231" s="14">
        <f>IF('04_路径网络'!A231&lt;&gt;"",IF('04_路径网络'!A231="","缺少路径ID；","")&amp;IF('04_路径网络'!C231="","缺少路径类型；","")&amp;IF('04_路径网络'!D231="","缺少起点对象ID；","")&amp;IF('04_路径网络'!E231="","缺少终点对象ID；","")&amp;IF(AND('04_路径网络'!D231&lt;&gt;"",'04_路径网络'!D231='04_路径网络'!E231),"起点与终点相同；","")&amp;IF(AND('04_路径网络'!D231&lt;&gt;"",COUNTIF('02_固定地理'!$A$2:$A$501,'04_路径网络'!D231)+COUNTIF('03_地点锚点'!$A$2:$A$501,'04_路径网络'!D231)+COUNTIF('06_建筑锚点'!$A$2:$A$501,'04_路径网络'!D231)=0),"起点引用对象不存在；","")&amp;IF(AND('04_路径网络'!E231&lt;&gt;"",COUNTIF('02_固定地理'!$A$2:$A$501,'04_路径网络'!E231)+COUNTIF('03_地点锚点'!$A$2:$A$501,'04_路径网络'!E231)+COUNTIF('06_建筑锚点'!$A$2:$A$501,'04_路径网络'!E231)=0),"终点引用对象不存在；","")&amp;IF(AND('04_路径网络'!F231&lt;&gt;"",COUNTIF('04_路径网络'!$A$2:$A$501,'04_路径网络'!F231)=0),"父级路径不存在；","")&amp;IF(AND('04_路径网络'!A231&lt;&gt;"",COUNTIF('04_路径网络'!$A$2:$A$501,'04_路径网络'!A231)&gt;1),"ID重复；",""),"")</f>
        <v/>
      </c>
      <c r="G1231" s="14">
        <f>IF(F1231&lt;&gt;"","按字段批注、数据字典和来源记录修正后复核","")</f>
        <v/>
      </c>
      <c r="H1231" s="14">
        <f>IF(F1231&lt;&gt;"","待处理","")</f>
        <v/>
      </c>
    </row>
    <row r="1232">
      <c r="A1232" s="14">
        <f>IF(F1232&lt;&gt;"","ISSUE-"&amp;TEXT(ROW()-1,"00000"),"")</f>
        <v/>
      </c>
      <c r="B1232" s="14">
        <f>IF(F1232&lt;&gt;"","错误","")</f>
        <v/>
      </c>
      <c r="C1232" s="14">
        <f>IF('04_路径网络'!A232&lt;&gt;"","04_路径网络","")</f>
        <v/>
      </c>
      <c r="D1232" s="14">
        <f>IF('04_路径网络'!A232&lt;&gt;"",'04_路径网络'!A232,"")</f>
        <v/>
      </c>
      <c r="E1232" s="14">
        <f>IF(F1232&lt;&gt;"","综合校验","")</f>
        <v/>
      </c>
      <c r="F1232" s="14">
        <f>IF('04_路径网络'!A232&lt;&gt;"",IF('04_路径网络'!A232="","缺少路径ID；","")&amp;IF('04_路径网络'!C232="","缺少路径类型；","")&amp;IF('04_路径网络'!D232="","缺少起点对象ID；","")&amp;IF('04_路径网络'!E232="","缺少终点对象ID；","")&amp;IF(AND('04_路径网络'!D232&lt;&gt;"",'04_路径网络'!D232='04_路径网络'!E232),"起点与终点相同；","")&amp;IF(AND('04_路径网络'!D232&lt;&gt;"",COUNTIF('02_固定地理'!$A$2:$A$501,'04_路径网络'!D232)+COUNTIF('03_地点锚点'!$A$2:$A$501,'04_路径网络'!D232)+COUNTIF('06_建筑锚点'!$A$2:$A$501,'04_路径网络'!D232)=0),"起点引用对象不存在；","")&amp;IF(AND('04_路径网络'!E232&lt;&gt;"",COUNTIF('02_固定地理'!$A$2:$A$501,'04_路径网络'!E232)+COUNTIF('03_地点锚点'!$A$2:$A$501,'04_路径网络'!E232)+COUNTIF('06_建筑锚点'!$A$2:$A$501,'04_路径网络'!E232)=0),"终点引用对象不存在；","")&amp;IF(AND('04_路径网络'!F232&lt;&gt;"",COUNTIF('04_路径网络'!$A$2:$A$501,'04_路径网络'!F232)=0),"父级路径不存在；","")&amp;IF(AND('04_路径网络'!A232&lt;&gt;"",COUNTIF('04_路径网络'!$A$2:$A$501,'04_路径网络'!A232)&gt;1),"ID重复；",""),"")</f>
        <v/>
      </c>
      <c r="G1232" s="14">
        <f>IF(F1232&lt;&gt;"","按字段批注、数据字典和来源记录修正后复核","")</f>
        <v/>
      </c>
      <c r="H1232" s="14">
        <f>IF(F1232&lt;&gt;"","待处理","")</f>
        <v/>
      </c>
    </row>
    <row r="1233">
      <c r="A1233" s="14">
        <f>IF(F1233&lt;&gt;"","ISSUE-"&amp;TEXT(ROW()-1,"00000"),"")</f>
        <v/>
      </c>
      <c r="B1233" s="14">
        <f>IF(F1233&lt;&gt;"","错误","")</f>
        <v/>
      </c>
      <c r="C1233" s="14">
        <f>IF('04_路径网络'!A233&lt;&gt;"","04_路径网络","")</f>
        <v/>
      </c>
      <c r="D1233" s="14">
        <f>IF('04_路径网络'!A233&lt;&gt;"",'04_路径网络'!A233,"")</f>
        <v/>
      </c>
      <c r="E1233" s="14">
        <f>IF(F1233&lt;&gt;"","综合校验","")</f>
        <v/>
      </c>
      <c r="F1233" s="14">
        <f>IF('04_路径网络'!A233&lt;&gt;"",IF('04_路径网络'!A233="","缺少路径ID；","")&amp;IF('04_路径网络'!C233="","缺少路径类型；","")&amp;IF('04_路径网络'!D233="","缺少起点对象ID；","")&amp;IF('04_路径网络'!E233="","缺少终点对象ID；","")&amp;IF(AND('04_路径网络'!D233&lt;&gt;"",'04_路径网络'!D233='04_路径网络'!E233),"起点与终点相同；","")&amp;IF(AND('04_路径网络'!D233&lt;&gt;"",COUNTIF('02_固定地理'!$A$2:$A$501,'04_路径网络'!D233)+COUNTIF('03_地点锚点'!$A$2:$A$501,'04_路径网络'!D233)+COUNTIF('06_建筑锚点'!$A$2:$A$501,'04_路径网络'!D233)=0),"起点引用对象不存在；","")&amp;IF(AND('04_路径网络'!E233&lt;&gt;"",COUNTIF('02_固定地理'!$A$2:$A$501,'04_路径网络'!E233)+COUNTIF('03_地点锚点'!$A$2:$A$501,'04_路径网络'!E233)+COUNTIF('06_建筑锚点'!$A$2:$A$501,'04_路径网络'!E233)=0),"终点引用对象不存在；","")&amp;IF(AND('04_路径网络'!F233&lt;&gt;"",COUNTIF('04_路径网络'!$A$2:$A$501,'04_路径网络'!F233)=0),"父级路径不存在；","")&amp;IF(AND('04_路径网络'!A233&lt;&gt;"",COUNTIF('04_路径网络'!$A$2:$A$501,'04_路径网络'!A233)&gt;1),"ID重复；",""),"")</f>
        <v/>
      </c>
      <c r="G1233" s="14">
        <f>IF(F1233&lt;&gt;"","按字段批注、数据字典和来源记录修正后复核","")</f>
        <v/>
      </c>
      <c r="H1233" s="14">
        <f>IF(F1233&lt;&gt;"","待处理","")</f>
        <v/>
      </c>
    </row>
    <row r="1234">
      <c r="A1234" s="14">
        <f>IF(F1234&lt;&gt;"","ISSUE-"&amp;TEXT(ROW()-1,"00000"),"")</f>
        <v/>
      </c>
      <c r="B1234" s="14">
        <f>IF(F1234&lt;&gt;"","错误","")</f>
        <v/>
      </c>
      <c r="C1234" s="14">
        <f>IF('04_路径网络'!A234&lt;&gt;"","04_路径网络","")</f>
        <v/>
      </c>
      <c r="D1234" s="14">
        <f>IF('04_路径网络'!A234&lt;&gt;"",'04_路径网络'!A234,"")</f>
        <v/>
      </c>
      <c r="E1234" s="14">
        <f>IF(F1234&lt;&gt;"","综合校验","")</f>
        <v/>
      </c>
      <c r="F1234" s="14">
        <f>IF('04_路径网络'!A234&lt;&gt;"",IF('04_路径网络'!A234="","缺少路径ID；","")&amp;IF('04_路径网络'!C234="","缺少路径类型；","")&amp;IF('04_路径网络'!D234="","缺少起点对象ID；","")&amp;IF('04_路径网络'!E234="","缺少终点对象ID；","")&amp;IF(AND('04_路径网络'!D234&lt;&gt;"",'04_路径网络'!D234='04_路径网络'!E234),"起点与终点相同；","")&amp;IF(AND('04_路径网络'!D234&lt;&gt;"",COUNTIF('02_固定地理'!$A$2:$A$501,'04_路径网络'!D234)+COUNTIF('03_地点锚点'!$A$2:$A$501,'04_路径网络'!D234)+COUNTIF('06_建筑锚点'!$A$2:$A$501,'04_路径网络'!D234)=0),"起点引用对象不存在；","")&amp;IF(AND('04_路径网络'!E234&lt;&gt;"",COUNTIF('02_固定地理'!$A$2:$A$501,'04_路径网络'!E234)+COUNTIF('03_地点锚点'!$A$2:$A$501,'04_路径网络'!E234)+COUNTIF('06_建筑锚点'!$A$2:$A$501,'04_路径网络'!E234)=0),"终点引用对象不存在；","")&amp;IF(AND('04_路径网络'!F234&lt;&gt;"",COUNTIF('04_路径网络'!$A$2:$A$501,'04_路径网络'!F234)=0),"父级路径不存在；","")&amp;IF(AND('04_路径网络'!A234&lt;&gt;"",COUNTIF('04_路径网络'!$A$2:$A$501,'04_路径网络'!A234)&gt;1),"ID重复；",""),"")</f>
        <v/>
      </c>
      <c r="G1234" s="14">
        <f>IF(F1234&lt;&gt;"","按字段批注、数据字典和来源记录修正后复核","")</f>
        <v/>
      </c>
      <c r="H1234" s="14">
        <f>IF(F1234&lt;&gt;"","待处理","")</f>
        <v/>
      </c>
    </row>
    <row r="1235">
      <c r="A1235" s="14">
        <f>IF(F1235&lt;&gt;"","ISSUE-"&amp;TEXT(ROW()-1,"00000"),"")</f>
        <v/>
      </c>
      <c r="B1235" s="14">
        <f>IF(F1235&lt;&gt;"","错误","")</f>
        <v/>
      </c>
      <c r="C1235" s="14">
        <f>IF('04_路径网络'!A235&lt;&gt;"","04_路径网络","")</f>
        <v/>
      </c>
      <c r="D1235" s="14">
        <f>IF('04_路径网络'!A235&lt;&gt;"",'04_路径网络'!A235,"")</f>
        <v/>
      </c>
      <c r="E1235" s="14">
        <f>IF(F1235&lt;&gt;"","综合校验","")</f>
        <v/>
      </c>
      <c r="F1235" s="14">
        <f>IF('04_路径网络'!A235&lt;&gt;"",IF('04_路径网络'!A235="","缺少路径ID；","")&amp;IF('04_路径网络'!C235="","缺少路径类型；","")&amp;IF('04_路径网络'!D235="","缺少起点对象ID；","")&amp;IF('04_路径网络'!E235="","缺少终点对象ID；","")&amp;IF(AND('04_路径网络'!D235&lt;&gt;"",'04_路径网络'!D235='04_路径网络'!E235),"起点与终点相同；","")&amp;IF(AND('04_路径网络'!D235&lt;&gt;"",COUNTIF('02_固定地理'!$A$2:$A$501,'04_路径网络'!D235)+COUNTIF('03_地点锚点'!$A$2:$A$501,'04_路径网络'!D235)+COUNTIF('06_建筑锚点'!$A$2:$A$501,'04_路径网络'!D235)=0),"起点引用对象不存在；","")&amp;IF(AND('04_路径网络'!E235&lt;&gt;"",COUNTIF('02_固定地理'!$A$2:$A$501,'04_路径网络'!E235)+COUNTIF('03_地点锚点'!$A$2:$A$501,'04_路径网络'!E235)+COUNTIF('06_建筑锚点'!$A$2:$A$501,'04_路径网络'!E235)=0),"终点引用对象不存在；","")&amp;IF(AND('04_路径网络'!F235&lt;&gt;"",COUNTIF('04_路径网络'!$A$2:$A$501,'04_路径网络'!F235)=0),"父级路径不存在；","")&amp;IF(AND('04_路径网络'!A235&lt;&gt;"",COUNTIF('04_路径网络'!$A$2:$A$501,'04_路径网络'!A235)&gt;1),"ID重复；",""),"")</f>
        <v/>
      </c>
      <c r="G1235" s="14">
        <f>IF(F1235&lt;&gt;"","按字段批注、数据字典和来源记录修正后复核","")</f>
        <v/>
      </c>
      <c r="H1235" s="14">
        <f>IF(F1235&lt;&gt;"","待处理","")</f>
        <v/>
      </c>
    </row>
    <row r="1236">
      <c r="A1236" s="14">
        <f>IF(F1236&lt;&gt;"","ISSUE-"&amp;TEXT(ROW()-1,"00000"),"")</f>
        <v/>
      </c>
      <c r="B1236" s="14">
        <f>IF(F1236&lt;&gt;"","错误","")</f>
        <v/>
      </c>
      <c r="C1236" s="14">
        <f>IF('04_路径网络'!A236&lt;&gt;"","04_路径网络","")</f>
        <v/>
      </c>
      <c r="D1236" s="14">
        <f>IF('04_路径网络'!A236&lt;&gt;"",'04_路径网络'!A236,"")</f>
        <v/>
      </c>
      <c r="E1236" s="14">
        <f>IF(F1236&lt;&gt;"","综合校验","")</f>
        <v/>
      </c>
      <c r="F1236" s="14">
        <f>IF('04_路径网络'!A236&lt;&gt;"",IF('04_路径网络'!A236="","缺少路径ID；","")&amp;IF('04_路径网络'!C236="","缺少路径类型；","")&amp;IF('04_路径网络'!D236="","缺少起点对象ID；","")&amp;IF('04_路径网络'!E236="","缺少终点对象ID；","")&amp;IF(AND('04_路径网络'!D236&lt;&gt;"",'04_路径网络'!D236='04_路径网络'!E236),"起点与终点相同；","")&amp;IF(AND('04_路径网络'!D236&lt;&gt;"",COUNTIF('02_固定地理'!$A$2:$A$501,'04_路径网络'!D236)+COUNTIF('03_地点锚点'!$A$2:$A$501,'04_路径网络'!D236)+COUNTIF('06_建筑锚点'!$A$2:$A$501,'04_路径网络'!D236)=0),"起点引用对象不存在；","")&amp;IF(AND('04_路径网络'!E236&lt;&gt;"",COUNTIF('02_固定地理'!$A$2:$A$501,'04_路径网络'!E236)+COUNTIF('03_地点锚点'!$A$2:$A$501,'04_路径网络'!E236)+COUNTIF('06_建筑锚点'!$A$2:$A$501,'04_路径网络'!E236)=0),"终点引用对象不存在；","")&amp;IF(AND('04_路径网络'!F236&lt;&gt;"",COUNTIF('04_路径网络'!$A$2:$A$501,'04_路径网络'!F236)=0),"父级路径不存在；","")&amp;IF(AND('04_路径网络'!A236&lt;&gt;"",COUNTIF('04_路径网络'!$A$2:$A$501,'04_路径网络'!A236)&gt;1),"ID重复；",""),"")</f>
        <v/>
      </c>
      <c r="G1236" s="14">
        <f>IF(F1236&lt;&gt;"","按字段批注、数据字典和来源记录修正后复核","")</f>
        <v/>
      </c>
      <c r="H1236" s="14">
        <f>IF(F1236&lt;&gt;"","待处理","")</f>
        <v/>
      </c>
    </row>
    <row r="1237">
      <c r="A1237" s="14">
        <f>IF(F1237&lt;&gt;"","ISSUE-"&amp;TEXT(ROW()-1,"00000"),"")</f>
        <v/>
      </c>
      <c r="B1237" s="14">
        <f>IF(F1237&lt;&gt;"","错误","")</f>
        <v/>
      </c>
      <c r="C1237" s="14">
        <f>IF('04_路径网络'!A237&lt;&gt;"","04_路径网络","")</f>
        <v/>
      </c>
      <c r="D1237" s="14">
        <f>IF('04_路径网络'!A237&lt;&gt;"",'04_路径网络'!A237,"")</f>
        <v/>
      </c>
      <c r="E1237" s="14">
        <f>IF(F1237&lt;&gt;"","综合校验","")</f>
        <v/>
      </c>
      <c r="F1237" s="14">
        <f>IF('04_路径网络'!A237&lt;&gt;"",IF('04_路径网络'!A237="","缺少路径ID；","")&amp;IF('04_路径网络'!C237="","缺少路径类型；","")&amp;IF('04_路径网络'!D237="","缺少起点对象ID；","")&amp;IF('04_路径网络'!E237="","缺少终点对象ID；","")&amp;IF(AND('04_路径网络'!D237&lt;&gt;"",'04_路径网络'!D237='04_路径网络'!E237),"起点与终点相同；","")&amp;IF(AND('04_路径网络'!D237&lt;&gt;"",COUNTIF('02_固定地理'!$A$2:$A$501,'04_路径网络'!D237)+COUNTIF('03_地点锚点'!$A$2:$A$501,'04_路径网络'!D237)+COUNTIF('06_建筑锚点'!$A$2:$A$501,'04_路径网络'!D237)=0),"起点引用对象不存在；","")&amp;IF(AND('04_路径网络'!E237&lt;&gt;"",COUNTIF('02_固定地理'!$A$2:$A$501,'04_路径网络'!E237)+COUNTIF('03_地点锚点'!$A$2:$A$501,'04_路径网络'!E237)+COUNTIF('06_建筑锚点'!$A$2:$A$501,'04_路径网络'!E237)=0),"终点引用对象不存在；","")&amp;IF(AND('04_路径网络'!F237&lt;&gt;"",COUNTIF('04_路径网络'!$A$2:$A$501,'04_路径网络'!F237)=0),"父级路径不存在；","")&amp;IF(AND('04_路径网络'!A237&lt;&gt;"",COUNTIF('04_路径网络'!$A$2:$A$501,'04_路径网络'!A237)&gt;1),"ID重复；",""),"")</f>
        <v/>
      </c>
      <c r="G1237" s="14">
        <f>IF(F1237&lt;&gt;"","按字段批注、数据字典和来源记录修正后复核","")</f>
        <v/>
      </c>
      <c r="H1237" s="14">
        <f>IF(F1237&lt;&gt;"","待处理","")</f>
        <v/>
      </c>
    </row>
    <row r="1238">
      <c r="A1238" s="14">
        <f>IF(F1238&lt;&gt;"","ISSUE-"&amp;TEXT(ROW()-1,"00000"),"")</f>
        <v/>
      </c>
      <c r="B1238" s="14">
        <f>IF(F1238&lt;&gt;"","错误","")</f>
        <v/>
      </c>
      <c r="C1238" s="14">
        <f>IF('04_路径网络'!A238&lt;&gt;"","04_路径网络","")</f>
        <v/>
      </c>
      <c r="D1238" s="14">
        <f>IF('04_路径网络'!A238&lt;&gt;"",'04_路径网络'!A238,"")</f>
        <v/>
      </c>
      <c r="E1238" s="14">
        <f>IF(F1238&lt;&gt;"","综合校验","")</f>
        <v/>
      </c>
      <c r="F1238" s="14">
        <f>IF('04_路径网络'!A238&lt;&gt;"",IF('04_路径网络'!A238="","缺少路径ID；","")&amp;IF('04_路径网络'!C238="","缺少路径类型；","")&amp;IF('04_路径网络'!D238="","缺少起点对象ID；","")&amp;IF('04_路径网络'!E238="","缺少终点对象ID；","")&amp;IF(AND('04_路径网络'!D238&lt;&gt;"",'04_路径网络'!D238='04_路径网络'!E238),"起点与终点相同；","")&amp;IF(AND('04_路径网络'!D238&lt;&gt;"",COUNTIF('02_固定地理'!$A$2:$A$501,'04_路径网络'!D238)+COUNTIF('03_地点锚点'!$A$2:$A$501,'04_路径网络'!D238)+COUNTIF('06_建筑锚点'!$A$2:$A$501,'04_路径网络'!D238)=0),"起点引用对象不存在；","")&amp;IF(AND('04_路径网络'!E238&lt;&gt;"",COUNTIF('02_固定地理'!$A$2:$A$501,'04_路径网络'!E238)+COUNTIF('03_地点锚点'!$A$2:$A$501,'04_路径网络'!E238)+COUNTIF('06_建筑锚点'!$A$2:$A$501,'04_路径网络'!E238)=0),"终点引用对象不存在；","")&amp;IF(AND('04_路径网络'!F238&lt;&gt;"",COUNTIF('04_路径网络'!$A$2:$A$501,'04_路径网络'!F238)=0),"父级路径不存在；","")&amp;IF(AND('04_路径网络'!A238&lt;&gt;"",COUNTIF('04_路径网络'!$A$2:$A$501,'04_路径网络'!A238)&gt;1),"ID重复；",""),"")</f>
        <v/>
      </c>
      <c r="G1238" s="14">
        <f>IF(F1238&lt;&gt;"","按字段批注、数据字典和来源记录修正后复核","")</f>
        <v/>
      </c>
      <c r="H1238" s="14">
        <f>IF(F1238&lt;&gt;"","待处理","")</f>
        <v/>
      </c>
    </row>
    <row r="1239">
      <c r="A1239" s="14">
        <f>IF(F1239&lt;&gt;"","ISSUE-"&amp;TEXT(ROW()-1,"00000"),"")</f>
        <v/>
      </c>
      <c r="B1239" s="14">
        <f>IF(F1239&lt;&gt;"","错误","")</f>
        <v/>
      </c>
      <c r="C1239" s="14">
        <f>IF('04_路径网络'!A239&lt;&gt;"","04_路径网络","")</f>
        <v/>
      </c>
      <c r="D1239" s="14">
        <f>IF('04_路径网络'!A239&lt;&gt;"",'04_路径网络'!A239,"")</f>
        <v/>
      </c>
      <c r="E1239" s="14">
        <f>IF(F1239&lt;&gt;"","综合校验","")</f>
        <v/>
      </c>
      <c r="F1239" s="14">
        <f>IF('04_路径网络'!A239&lt;&gt;"",IF('04_路径网络'!A239="","缺少路径ID；","")&amp;IF('04_路径网络'!C239="","缺少路径类型；","")&amp;IF('04_路径网络'!D239="","缺少起点对象ID；","")&amp;IF('04_路径网络'!E239="","缺少终点对象ID；","")&amp;IF(AND('04_路径网络'!D239&lt;&gt;"",'04_路径网络'!D239='04_路径网络'!E239),"起点与终点相同；","")&amp;IF(AND('04_路径网络'!D239&lt;&gt;"",COUNTIF('02_固定地理'!$A$2:$A$501,'04_路径网络'!D239)+COUNTIF('03_地点锚点'!$A$2:$A$501,'04_路径网络'!D239)+COUNTIF('06_建筑锚点'!$A$2:$A$501,'04_路径网络'!D239)=0),"起点引用对象不存在；","")&amp;IF(AND('04_路径网络'!E239&lt;&gt;"",COUNTIF('02_固定地理'!$A$2:$A$501,'04_路径网络'!E239)+COUNTIF('03_地点锚点'!$A$2:$A$501,'04_路径网络'!E239)+COUNTIF('06_建筑锚点'!$A$2:$A$501,'04_路径网络'!E239)=0),"终点引用对象不存在；","")&amp;IF(AND('04_路径网络'!F239&lt;&gt;"",COUNTIF('04_路径网络'!$A$2:$A$501,'04_路径网络'!F239)=0),"父级路径不存在；","")&amp;IF(AND('04_路径网络'!A239&lt;&gt;"",COUNTIF('04_路径网络'!$A$2:$A$501,'04_路径网络'!A239)&gt;1),"ID重复；",""),"")</f>
        <v/>
      </c>
      <c r="G1239" s="14">
        <f>IF(F1239&lt;&gt;"","按字段批注、数据字典和来源记录修正后复核","")</f>
        <v/>
      </c>
      <c r="H1239" s="14">
        <f>IF(F1239&lt;&gt;"","待处理","")</f>
        <v/>
      </c>
    </row>
    <row r="1240">
      <c r="A1240" s="14">
        <f>IF(F1240&lt;&gt;"","ISSUE-"&amp;TEXT(ROW()-1,"00000"),"")</f>
        <v/>
      </c>
      <c r="B1240" s="14">
        <f>IF(F1240&lt;&gt;"","错误","")</f>
        <v/>
      </c>
      <c r="C1240" s="14">
        <f>IF('04_路径网络'!A240&lt;&gt;"","04_路径网络","")</f>
        <v/>
      </c>
      <c r="D1240" s="14">
        <f>IF('04_路径网络'!A240&lt;&gt;"",'04_路径网络'!A240,"")</f>
        <v/>
      </c>
      <c r="E1240" s="14">
        <f>IF(F1240&lt;&gt;"","综合校验","")</f>
        <v/>
      </c>
      <c r="F1240" s="14">
        <f>IF('04_路径网络'!A240&lt;&gt;"",IF('04_路径网络'!A240="","缺少路径ID；","")&amp;IF('04_路径网络'!C240="","缺少路径类型；","")&amp;IF('04_路径网络'!D240="","缺少起点对象ID；","")&amp;IF('04_路径网络'!E240="","缺少终点对象ID；","")&amp;IF(AND('04_路径网络'!D240&lt;&gt;"",'04_路径网络'!D240='04_路径网络'!E240),"起点与终点相同；","")&amp;IF(AND('04_路径网络'!D240&lt;&gt;"",COUNTIF('02_固定地理'!$A$2:$A$501,'04_路径网络'!D240)+COUNTIF('03_地点锚点'!$A$2:$A$501,'04_路径网络'!D240)+COUNTIF('06_建筑锚点'!$A$2:$A$501,'04_路径网络'!D240)=0),"起点引用对象不存在；","")&amp;IF(AND('04_路径网络'!E240&lt;&gt;"",COUNTIF('02_固定地理'!$A$2:$A$501,'04_路径网络'!E240)+COUNTIF('03_地点锚点'!$A$2:$A$501,'04_路径网络'!E240)+COUNTIF('06_建筑锚点'!$A$2:$A$501,'04_路径网络'!E240)=0),"终点引用对象不存在；","")&amp;IF(AND('04_路径网络'!F240&lt;&gt;"",COUNTIF('04_路径网络'!$A$2:$A$501,'04_路径网络'!F240)=0),"父级路径不存在；","")&amp;IF(AND('04_路径网络'!A240&lt;&gt;"",COUNTIF('04_路径网络'!$A$2:$A$501,'04_路径网络'!A240)&gt;1),"ID重复；",""),"")</f>
        <v/>
      </c>
      <c r="G1240" s="14">
        <f>IF(F1240&lt;&gt;"","按字段批注、数据字典和来源记录修正后复核","")</f>
        <v/>
      </c>
      <c r="H1240" s="14">
        <f>IF(F1240&lt;&gt;"","待处理","")</f>
        <v/>
      </c>
    </row>
    <row r="1241">
      <c r="A1241" s="14">
        <f>IF(F1241&lt;&gt;"","ISSUE-"&amp;TEXT(ROW()-1,"00000"),"")</f>
        <v/>
      </c>
      <c r="B1241" s="14">
        <f>IF(F1241&lt;&gt;"","错误","")</f>
        <v/>
      </c>
      <c r="C1241" s="14">
        <f>IF('04_路径网络'!A241&lt;&gt;"","04_路径网络","")</f>
        <v/>
      </c>
      <c r="D1241" s="14">
        <f>IF('04_路径网络'!A241&lt;&gt;"",'04_路径网络'!A241,"")</f>
        <v/>
      </c>
      <c r="E1241" s="14">
        <f>IF(F1241&lt;&gt;"","综合校验","")</f>
        <v/>
      </c>
      <c r="F1241" s="14">
        <f>IF('04_路径网络'!A241&lt;&gt;"",IF('04_路径网络'!A241="","缺少路径ID；","")&amp;IF('04_路径网络'!C241="","缺少路径类型；","")&amp;IF('04_路径网络'!D241="","缺少起点对象ID；","")&amp;IF('04_路径网络'!E241="","缺少终点对象ID；","")&amp;IF(AND('04_路径网络'!D241&lt;&gt;"",'04_路径网络'!D241='04_路径网络'!E241),"起点与终点相同；","")&amp;IF(AND('04_路径网络'!D241&lt;&gt;"",COUNTIF('02_固定地理'!$A$2:$A$501,'04_路径网络'!D241)+COUNTIF('03_地点锚点'!$A$2:$A$501,'04_路径网络'!D241)+COUNTIF('06_建筑锚点'!$A$2:$A$501,'04_路径网络'!D241)=0),"起点引用对象不存在；","")&amp;IF(AND('04_路径网络'!E241&lt;&gt;"",COUNTIF('02_固定地理'!$A$2:$A$501,'04_路径网络'!E241)+COUNTIF('03_地点锚点'!$A$2:$A$501,'04_路径网络'!E241)+COUNTIF('06_建筑锚点'!$A$2:$A$501,'04_路径网络'!E241)=0),"终点引用对象不存在；","")&amp;IF(AND('04_路径网络'!F241&lt;&gt;"",COUNTIF('04_路径网络'!$A$2:$A$501,'04_路径网络'!F241)=0),"父级路径不存在；","")&amp;IF(AND('04_路径网络'!A241&lt;&gt;"",COUNTIF('04_路径网络'!$A$2:$A$501,'04_路径网络'!A241)&gt;1),"ID重复；",""),"")</f>
        <v/>
      </c>
      <c r="G1241" s="14">
        <f>IF(F1241&lt;&gt;"","按字段批注、数据字典和来源记录修正后复核","")</f>
        <v/>
      </c>
      <c r="H1241" s="14">
        <f>IF(F1241&lt;&gt;"","待处理","")</f>
        <v/>
      </c>
    </row>
    <row r="1242">
      <c r="A1242" s="14">
        <f>IF(F1242&lt;&gt;"","ISSUE-"&amp;TEXT(ROW()-1,"00000"),"")</f>
        <v/>
      </c>
      <c r="B1242" s="14">
        <f>IF(F1242&lt;&gt;"","错误","")</f>
        <v/>
      </c>
      <c r="C1242" s="14">
        <f>IF('04_路径网络'!A242&lt;&gt;"","04_路径网络","")</f>
        <v/>
      </c>
      <c r="D1242" s="14">
        <f>IF('04_路径网络'!A242&lt;&gt;"",'04_路径网络'!A242,"")</f>
        <v/>
      </c>
      <c r="E1242" s="14">
        <f>IF(F1242&lt;&gt;"","综合校验","")</f>
        <v/>
      </c>
      <c r="F1242" s="14">
        <f>IF('04_路径网络'!A242&lt;&gt;"",IF('04_路径网络'!A242="","缺少路径ID；","")&amp;IF('04_路径网络'!C242="","缺少路径类型；","")&amp;IF('04_路径网络'!D242="","缺少起点对象ID；","")&amp;IF('04_路径网络'!E242="","缺少终点对象ID；","")&amp;IF(AND('04_路径网络'!D242&lt;&gt;"",'04_路径网络'!D242='04_路径网络'!E242),"起点与终点相同；","")&amp;IF(AND('04_路径网络'!D242&lt;&gt;"",COUNTIF('02_固定地理'!$A$2:$A$501,'04_路径网络'!D242)+COUNTIF('03_地点锚点'!$A$2:$A$501,'04_路径网络'!D242)+COUNTIF('06_建筑锚点'!$A$2:$A$501,'04_路径网络'!D242)=0),"起点引用对象不存在；","")&amp;IF(AND('04_路径网络'!E242&lt;&gt;"",COUNTIF('02_固定地理'!$A$2:$A$501,'04_路径网络'!E242)+COUNTIF('03_地点锚点'!$A$2:$A$501,'04_路径网络'!E242)+COUNTIF('06_建筑锚点'!$A$2:$A$501,'04_路径网络'!E242)=0),"终点引用对象不存在；","")&amp;IF(AND('04_路径网络'!F242&lt;&gt;"",COUNTIF('04_路径网络'!$A$2:$A$501,'04_路径网络'!F242)=0),"父级路径不存在；","")&amp;IF(AND('04_路径网络'!A242&lt;&gt;"",COUNTIF('04_路径网络'!$A$2:$A$501,'04_路径网络'!A242)&gt;1),"ID重复；",""),"")</f>
        <v/>
      </c>
      <c r="G1242" s="14">
        <f>IF(F1242&lt;&gt;"","按字段批注、数据字典和来源记录修正后复核","")</f>
        <v/>
      </c>
      <c r="H1242" s="14">
        <f>IF(F1242&lt;&gt;"","待处理","")</f>
        <v/>
      </c>
    </row>
    <row r="1243">
      <c r="A1243" s="14">
        <f>IF(F1243&lt;&gt;"","ISSUE-"&amp;TEXT(ROW()-1,"00000"),"")</f>
        <v/>
      </c>
      <c r="B1243" s="14">
        <f>IF(F1243&lt;&gt;"","错误","")</f>
        <v/>
      </c>
      <c r="C1243" s="14">
        <f>IF('04_路径网络'!A243&lt;&gt;"","04_路径网络","")</f>
        <v/>
      </c>
      <c r="D1243" s="14">
        <f>IF('04_路径网络'!A243&lt;&gt;"",'04_路径网络'!A243,"")</f>
        <v/>
      </c>
      <c r="E1243" s="14">
        <f>IF(F1243&lt;&gt;"","综合校验","")</f>
        <v/>
      </c>
      <c r="F1243" s="14">
        <f>IF('04_路径网络'!A243&lt;&gt;"",IF('04_路径网络'!A243="","缺少路径ID；","")&amp;IF('04_路径网络'!C243="","缺少路径类型；","")&amp;IF('04_路径网络'!D243="","缺少起点对象ID；","")&amp;IF('04_路径网络'!E243="","缺少终点对象ID；","")&amp;IF(AND('04_路径网络'!D243&lt;&gt;"",'04_路径网络'!D243='04_路径网络'!E243),"起点与终点相同；","")&amp;IF(AND('04_路径网络'!D243&lt;&gt;"",COUNTIF('02_固定地理'!$A$2:$A$501,'04_路径网络'!D243)+COUNTIF('03_地点锚点'!$A$2:$A$501,'04_路径网络'!D243)+COUNTIF('06_建筑锚点'!$A$2:$A$501,'04_路径网络'!D243)=0),"起点引用对象不存在；","")&amp;IF(AND('04_路径网络'!E243&lt;&gt;"",COUNTIF('02_固定地理'!$A$2:$A$501,'04_路径网络'!E243)+COUNTIF('03_地点锚点'!$A$2:$A$501,'04_路径网络'!E243)+COUNTIF('06_建筑锚点'!$A$2:$A$501,'04_路径网络'!E243)=0),"终点引用对象不存在；","")&amp;IF(AND('04_路径网络'!F243&lt;&gt;"",COUNTIF('04_路径网络'!$A$2:$A$501,'04_路径网络'!F243)=0),"父级路径不存在；","")&amp;IF(AND('04_路径网络'!A243&lt;&gt;"",COUNTIF('04_路径网络'!$A$2:$A$501,'04_路径网络'!A243)&gt;1),"ID重复；",""),"")</f>
        <v/>
      </c>
      <c r="G1243" s="14">
        <f>IF(F1243&lt;&gt;"","按字段批注、数据字典和来源记录修正后复核","")</f>
        <v/>
      </c>
      <c r="H1243" s="14">
        <f>IF(F1243&lt;&gt;"","待处理","")</f>
        <v/>
      </c>
    </row>
    <row r="1244">
      <c r="A1244" s="14">
        <f>IF(F1244&lt;&gt;"","ISSUE-"&amp;TEXT(ROW()-1,"00000"),"")</f>
        <v/>
      </c>
      <c r="B1244" s="14">
        <f>IF(F1244&lt;&gt;"","错误","")</f>
        <v/>
      </c>
      <c r="C1244" s="14">
        <f>IF('04_路径网络'!A244&lt;&gt;"","04_路径网络","")</f>
        <v/>
      </c>
      <c r="D1244" s="14">
        <f>IF('04_路径网络'!A244&lt;&gt;"",'04_路径网络'!A244,"")</f>
        <v/>
      </c>
      <c r="E1244" s="14">
        <f>IF(F1244&lt;&gt;"","综合校验","")</f>
        <v/>
      </c>
      <c r="F1244" s="14">
        <f>IF('04_路径网络'!A244&lt;&gt;"",IF('04_路径网络'!A244="","缺少路径ID；","")&amp;IF('04_路径网络'!C244="","缺少路径类型；","")&amp;IF('04_路径网络'!D244="","缺少起点对象ID；","")&amp;IF('04_路径网络'!E244="","缺少终点对象ID；","")&amp;IF(AND('04_路径网络'!D244&lt;&gt;"",'04_路径网络'!D244='04_路径网络'!E244),"起点与终点相同；","")&amp;IF(AND('04_路径网络'!D244&lt;&gt;"",COUNTIF('02_固定地理'!$A$2:$A$501,'04_路径网络'!D244)+COUNTIF('03_地点锚点'!$A$2:$A$501,'04_路径网络'!D244)+COUNTIF('06_建筑锚点'!$A$2:$A$501,'04_路径网络'!D244)=0),"起点引用对象不存在；","")&amp;IF(AND('04_路径网络'!E244&lt;&gt;"",COUNTIF('02_固定地理'!$A$2:$A$501,'04_路径网络'!E244)+COUNTIF('03_地点锚点'!$A$2:$A$501,'04_路径网络'!E244)+COUNTIF('06_建筑锚点'!$A$2:$A$501,'04_路径网络'!E244)=0),"终点引用对象不存在；","")&amp;IF(AND('04_路径网络'!F244&lt;&gt;"",COUNTIF('04_路径网络'!$A$2:$A$501,'04_路径网络'!F244)=0),"父级路径不存在；","")&amp;IF(AND('04_路径网络'!A244&lt;&gt;"",COUNTIF('04_路径网络'!$A$2:$A$501,'04_路径网络'!A244)&gt;1),"ID重复；",""),"")</f>
        <v/>
      </c>
      <c r="G1244" s="14">
        <f>IF(F1244&lt;&gt;"","按字段批注、数据字典和来源记录修正后复核","")</f>
        <v/>
      </c>
      <c r="H1244" s="14">
        <f>IF(F1244&lt;&gt;"","待处理","")</f>
        <v/>
      </c>
    </row>
    <row r="1245">
      <c r="A1245" s="14">
        <f>IF(F1245&lt;&gt;"","ISSUE-"&amp;TEXT(ROW()-1,"00000"),"")</f>
        <v/>
      </c>
      <c r="B1245" s="14">
        <f>IF(F1245&lt;&gt;"","错误","")</f>
        <v/>
      </c>
      <c r="C1245" s="14">
        <f>IF('04_路径网络'!A245&lt;&gt;"","04_路径网络","")</f>
        <v/>
      </c>
      <c r="D1245" s="14">
        <f>IF('04_路径网络'!A245&lt;&gt;"",'04_路径网络'!A245,"")</f>
        <v/>
      </c>
      <c r="E1245" s="14">
        <f>IF(F1245&lt;&gt;"","综合校验","")</f>
        <v/>
      </c>
      <c r="F1245" s="14">
        <f>IF('04_路径网络'!A245&lt;&gt;"",IF('04_路径网络'!A245="","缺少路径ID；","")&amp;IF('04_路径网络'!C245="","缺少路径类型；","")&amp;IF('04_路径网络'!D245="","缺少起点对象ID；","")&amp;IF('04_路径网络'!E245="","缺少终点对象ID；","")&amp;IF(AND('04_路径网络'!D245&lt;&gt;"",'04_路径网络'!D245='04_路径网络'!E245),"起点与终点相同；","")&amp;IF(AND('04_路径网络'!D245&lt;&gt;"",COUNTIF('02_固定地理'!$A$2:$A$501,'04_路径网络'!D245)+COUNTIF('03_地点锚点'!$A$2:$A$501,'04_路径网络'!D245)+COUNTIF('06_建筑锚点'!$A$2:$A$501,'04_路径网络'!D245)=0),"起点引用对象不存在；","")&amp;IF(AND('04_路径网络'!E245&lt;&gt;"",COUNTIF('02_固定地理'!$A$2:$A$501,'04_路径网络'!E245)+COUNTIF('03_地点锚点'!$A$2:$A$501,'04_路径网络'!E245)+COUNTIF('06_建筑锚点'!$A$2:$A$501,'04_路径网络'!E245)=0),"终点引用对象不存在；","")&amp;IF(AND('04_路径网络'!F245&lt;&gt;"",COUNTIF('04_路径网络'!$A$2:$A$501,'04_路径网络'!F245)=0),"父级路径不存在；","")&amp;IF(AND('04_路径网络'!A245&lt;&gt;"",COUNTIF('04_路径网络'!$A$2:$A$501,'04_路径网络'!A245)&gt;1),"ID重复；",""),"")</f>
        <v/>
      </c>
      <c r="G1245" s="14">
        <f>IF(F1245&lt;&gt;"","按字段批注、数据字典和来源记录修正后复核","")</f>
        <v/>
      </c>
      <c r="H1245" s="14">
        <f>IF(F1245&lt;&gt;"","待处理","")</f>
        <v/>
      </c>
    </row>
    <row r="1246">
      <c r="A1246" s="14">
        <f>IF(F1246&lt;&gt;"","ISSUE-"&amp;TEXT(ROW()-1,"00000"),"")</f>
        <v/>
      </c>
      <c r="B1246" s="14">
        <f>IF(F1246&lt;&gt;"","错误","")</f>
        <v/>
      </c>
      <c r="C1246" s="14">
        <f>IF('04_路径网络'!A246&lt;&gt;"","04_路径网络","")</f>
        <v/>
      </c>
      <c r="D1246" s="14">
        <f>IF('04_路径网络'!A246&lt;&gt;"",'04_路径网络'!A246,"")</f>
        <v/>
      </c>
      <c r="E1246" s="14">
        <f>IF(F1246&lt;&gt;"","综合校验","")</f>
        <v/>
      </c>
      <c r="F1246" s="14">
        <f>IF('04_路径网络'!A246&lt;&gt;"",IF('04_路径网络'!A246="","缺少路径ID；","")&amp;IF('04_路径网络'!C246="","缺少路径类型；","")&amp;IF('04_路径网络'!D246="","缺少起点对象ID；","")&amp;IF('04_路径网络'!E246="","缺少终点对象ID；","")&amp;IF(AND('04_路径网络'!D246&lt;&gt;"",'04_路径网络'!D246='04_路径网络'!E246),"起点与终点相同；","")&amp;IF(AND('04_路径网络'!D246&lt;&gt;"",COUNTIF('02_固定地理'!$A$2:$A$501,'04_路径网络'!D246)+COUNTIF('03_地点锚点'!$A$2:$A$501,'04_路径网络'!D246)+COUNTIF('06_建筑锚点'!$A$2:$A$501,'04_路径网络'!D246)=0),"起点引用对象不存在；","")&amp;IF(AND('04_路径网络'!E246&lt;&gt;"",COUNTIF('02_固定地理'!$A$2:$A$501,'04_路径网络'!E246)+COUNTIF('03_地点锚点'!$A$2:$A$501,'04_路径网络'!E246)+COUNTIF('06_建筑锚点'!$A$2:$A$501,'04_路径网络'!E246)=0),"终点引用对象不存在；","")&amp;IF(AND('04_路径网络'!F246&lt;&gt;"",COUNTIF('04_路径网络'!$A$2:$A$501,'04_路径网络'!F246)=0),"父级路径不存在；","")&amp;IF(AND('04_路径网络'!A246&lt;&gt;"",COUNTIF('04_路径网络'!$A$2:$A$501,'04_路径网络'!A246)&gt;1),"ID重复；",""),"")</f>
        <v/>
      </c>
      <c r="G1246" s="14">
        <f>IF(F1246&lt;&gt;"","按字段批注、数据字典和来源记录修正后复核","")</f>
        <v/>
      </c>
      <c r="H1246" s="14">
        <f>IF(F1246&lt;&gt;"","待处理","")</f>
        <v/>
      </c>
    </row>
    <row r="1247">
      <c r="A1247" s="14">
        <f>IF(F1247&lt;&gt;"","ISSUE-"&amp;TEXT(ROW()-1,"00000"),"")</f>
        <v/>
      </c>
      <c r="B1247" s="14">
        <f>IF(F1247&lt;&gt;"","错误","")</f>
        <v/>
      </c>
      <c r="C1247" s="14">
        <f>IF('04_路径网络'!A247&lt;&gt;"","04_路径网络","")</f>
        <v/>
      </c>
      <c r="D1247" s="14">
        <f>IF('04_路径网络'!A247&lt;&gt;"",'04_路径网络'!A247,"")</f>
        <v/>
      </c>
      <c r="E1247" s="14">
        <f>IF(F1247&lt;&gt;"","综合校验","")</f>
        <v/>
      </c>
      <c r="F1247" s="14">
        <f>IF('04_路径网络'!A247&lt;&gt;"",IF('04_路径网络'!A247="","缺少路径ID；","")&amp;IF('04_路径网络'!C247="","缺少路径类型；","")&amp;IF('04_路径网络'!D247="","缺少起点对象ID；","")&amp;IF('04_路径网络'!E247="","缺少终点对象ID；","")&amp;IF(AND('04_路径网络'!D247&lt;&gt;"",'04_路径网络'!D247='04_路径网络'!E247),"起点与终点相同；","")&amp;IF(AND('04_路径网络'!D247&lt;&gt;"",COUNTIF('02_固定地理'!$A$2:$A$501,'04_路径网络'!D247)+COUNTIF('03_地点锚点'!$A$2:$A$501,'04_路径网络'!D247)+COUNTIF('06_建筑锚点'!$A$2:$A$501,'04_路径网络'!D247)=0),"起点引用对象不存在；","")&amp;IF(AND('04_路径网络'!E247&lt;&gt;"",COUNTIF('02_固定地理'!$A$2:$A$501,'04_路径网络'!E247)+COUNTIF('03_地点锚点'!$A$2:$A$501,'04_路径网络'!E247)+COUNTIF('06_建筑锚点'!$A$2:$A$501,'04_路径网络'!E247)=0),"终点引用对象不存在；","")&amp;IF(AND('04_路径网络'!F247&lt;&gt;"",COUNTIF('04_路径网络'!$A$2:$A$501,'04_路径网络'!F247)=0),"父级路径不存在；","")&amp;IF(AND('04_路径网络'!A247&lt;&gt;"",COUNTIF('04_路径网络'!$A$2:$A$501,'04_路径网络'!A247)&gt;1),"ID重复；",""),"")</f>
        <v/>
      </c>
      <c r="G1247" s="14">
        <f>IF(F1247&lt;&gt;"","按字段批注、数据字典和来源记录修正后复核","")</f>
        <v/>
      </c>
      <c r="H1247" s="14">
        <f>IF(F1247&lt;&gt;"","待处理","")</f>
        <v/>
      </c>
    </row>
    <row r="1248">
      <c r="A1248" s="14">
        <f>IF(F1248&lt;&gt;"","ISSUE-"&amp;TEXT(ROW()-1,"00000"),"")</f>
        <v/>
      </c>
      <c r="B1248" s="14">
        <f>IF(F1248&lt;&gt;"","错误","")</f>
        <v/>
      </c>
      <c r="C1248" s="14">
        <f>IF('04_路径网络'!A248&lt;&gt;"","04_路径网络","")</f>
        <v/>
      </c>
      <c r="D1248" s="14">
        <f>IF('04_路径网络'!A248&lt;&gt;"",'04_路径网络'!A248,"")</f>
        <v/>
      </c>
      <c r="E1248" s="14">
        <f>IF(F1248&lt;&gt;"","综合校验","")</f>
        <v/>
      </c>
      <c r="F1248" s="14">
        <f>IF('04_路径网络'!A248&lt;&gt;"",IF('04_路径网络'!A248="","缺少路径ID；","")&amp;IF('04_路径网络'!C248="","缺少路径类型；","")&amp;IF('04_路径网络'!D248="","缺少起点对象ID；","")&amp;IF('04_路径网络'!E248="","缺少终点对象ID；","")&amp;IF(AND('04_路径网络'!D248&lt;&gt;"",'04_路径网络'!D248='04_路径网络'!E248),"起点与终点相同；","")&amp;IF(AND('04_路径网络'!D248&lt;&gt;"",COUNTIF('02_固定地理'!$A$2:$A$501,'04_路径网络'!D248)+COUNTIF('03_地点锚点'!$A$2:$A$501,'04_路径网络'!D248)+COUNTIF('06_建筑锚点'!$A$2:$A$501,'04_路径网络'!D248)=0),"起点引用对象不存在；","")&amp;IF(AND('04_路径网络'!E248&lt;&gt;"",COUNTIF('02_固定地理'!$A$2:$A$501,'04_路径网络'!E248)+COUNTIF('03_地点锚点'!$A$2:$A$501,'04_路径网络'!E248)+COUNTIF('06_建筑锚点'!$A$2:$A$501,'04_路径网络'!E248)=0),"终点引用对象不存在；","")&amp;IF(AND('04_路径网络'!F248&lt;&gt;"",COUNTIF('04_路径网络'!$A$2:$A$501,'04_路径网络'!F248)=0),"父级路径不存在；","")&amp;IF(AND('04_路径网络'!A248&lt;&gt;"",COUNTIF('04_路径网络'!$A$2:$A$501,'04_路径网络'!A248)&gt;1),"ID重复；",""),"")</f>
        <v/>
      </c>
      <c r="G1248" s="14">
        <f>IF(F1248&lt;&gt;"","按字段批注、数据字典和来源记录修正后复核","")</f>
        <v/>
      </c>
      <c r="H1248" s="14">
        <f>IF(F1248&lt;&gt;"","待处理","")</f>
        <v/>
      </c>
    </row>
    <row r="1249">
      <c r="A1249" s="14">
        <f>IF(F1249&lt;&gt;"","ISSUE-"&amp;TEXT(ROW()-1,"00000"),"")</f>
        <v/>
      </c>
      <c r="B1249" s="14">
        <f>IF(F1249&lt;&gt;"","错误","")</f>
        <v/>
      </c>
      <c r="C1249" s="14">
        <f>IF('04_路径网络'!A249&lt;&gt;"","04_路径网络","")</f>
        <v/>
      </c>
      <c r="D1249" s="14">
        <f>IF('04_路径网络'!A249&lt;&gt;"",'04_路径网络'!A249,"")</f>
        <v/>
      </c>
      <c r="E1249" s="14">
        <f>IF(F1249&lt;&gt;"","综合校验","")</f>
        <v/>
      </c>
      <c r="F1249" s="14">
        <f>IF('04_路径网络'!A249&lt;&gt;"",IF('04_路径网络'!A249="","缺少路径ID；","")&amp;IF('04_路径网络'!C249="","缺少路径类型；","")&amp;IF('04_路径网络'!D249="","缺少起点对象ID；","")&amp;IF('04_路径网络'!E249="","缺少终点对象ID；","")&amp;IF(AND('04_路径网络'!D249&lt;&gt;"",'04_路径网络'!D249='04_路径网络'!E249),"起点与终点相同；","")&amp;IF(AND('04_路径网络'!D249&lt;&gt;"",COUNTIF('02_固定地理'!$A$2:$A$501,'04_路径网络'!D249)+COUNTIF('03_地点锚点'!$A$2:$A$501,'04_路径网络'!D249)+COUNTIF('06_建筑锚点'!$A$2:$A$501,'04_路径网络'!D249)=0),"起点引用对象不存在；","")&amp;IF(AND('04_路径网络'!E249&lt;&gt;"",COUNTIF('02_固定地理'!$A$2:$A$501,'04_路径网络'!E249)+COUNTIF('03_地点锚点'!$A$2:$A$501,'04_路径网络'!E249)+COUNTIF('06_建筑锚点'!$A$2:$A$501,'04_路径网络'!E249)=0),"终点引用对象不存在；","")&amp;IF(AND('04_路径网络'!F249&lt;&gt;"",COUNTIF('04_路径网络'!$A$2:$A$501,'04_路径网络'!F249)=0),"父级路径不存在；","")&amp;IF(AND('04_路径网络'!A249&lt;&gt;"",COUNTIF('04_路径网络'!$A$2:$A$501,'04_路径网络'!A249)&gt;1),"ID重复；",""),"")</f>
        <v/>
      </c>
      <c r="G1249" s="14">
        <f>IF(F1249&lt;&gt;"","按字段批注、数据字典和来源记录修正后复核","")</f>
        <v/>
      </c>
      <c r="H1249" s="14">
        <f>IF(F1249&lt;&gt;"","待处理","")</f>
        <v/>
      </c>
    </row>
    <row r="1250">
      <c r="A1250" s="14">
        <f>IF(F1250&lt;&gt;"","ISSUE-"&amp;TEXT(ROW()-1,"00000"),"")</f>
        <v/>
      </c>
      <c r="B1250" s="14">
        <f>IF(F1250&lt;&gt;"","错误","")</f>
        <v/>
      </c>
      <c r="C1250" s="14">
        <f>IF('04_路径网络'!A250&lt;&gt;"","04_路径网络","")</f>
        <v/>
      </c>
      <c r="D1250" s="14">
        <f>IF('04_路径网络'!A250&lt;&gt;"",'04_路径网络'!A250,"")</f>
        <v/>
      </c>
      <c r="E1250" s="14">
        <f>IF(F1250&lt;&gt;"","综合校验","")</f>
        <v/>
      </c>
      <c r="F1250" s="14">
        <f>IF('04_路径网络'!A250&lt;&gt;"",IF('04_路径网络'!A250="","缺少路径ID；","")&amp;IF('04_路径网络'!C250="","缺少路径类型；","")&amp;IF('04_路径网络'!D250="","缺少起点对象ID；","")&amp;IF('04_路径网络'!E250="","缺少终点对象ID；","")&amp;IF(AND('04_路径网络'!D250&lt;&gt;"",'04_路径网络'!D250='04_路径网络'!E250),"起点与终点相同；","")&amp;IF(AND('04_路径网络'!D250&lt;&gt;"",COUNTIF('02_固定地理'!$A$2:$A$501,'04_路径网络'!D250)+COUNTIF('03_地点锚点'!$A$2:$A$501,'04_路径网络'!D250)+COUNTIF('06_建筑锚点'!$A$2:$A$501,'04_路径网络'!D250)=0),"起点引用对象不存在；","")&amp;IF(AND('04_路径网络'!E250&lt;&gt;"",COUNTIF('02_固定地理'!$A$2:$A$501,'04_路径网络'!E250)+COUNTIF('03_地点锚点'!$A$2:$A$501,'04_路径网络'!E250)+COUNTIF('06_建筑锚点'!$A$2:$A$501,'04_路径网络'!E250)=0),"终点引用对象不存在；","")&amp;IF(AND('04_路径网络'!F250&lt;&gt;"",COUNTIF('04_路径网络'!$A$2:$A$501,'04_路径网络'!F250)=0),"父级路径不存在；","")&amp;IF(AND('04_路径网络'!A250&lt;&gt;"",COUNTIF('04_路径网络'!$A$2:$A$501,'04_路径网络'!A250)&gt;1),"ID重复；",""),"")</f>
        <v/>
      </c>
      <c r="G1250" s="14">
        <f>IF(F1250&lt;&gt;"","按字段批注、数据字典和来源记录修正后复核","")</f>
        <v/>
      </c>
      <c r="H1250" s="14">
        <f>IF(F1250&lt;&gt;"","待处理","")</f>
        <v/>
      </c>
    </row>
    <row r="1251">
      <c r="A1251" s="14">
        <f>IF(F1251&lt;&gt;"","ISSUE-"&amp;TEXT(ROW()-1,"00000"),"")</f>
        <v/>
      </c>
      <c r="B1251" s="14">
        <f>IF(F1251&lt;&gt;"","错误","")</f>
        <v/>
      </c>
      <c r="C1251" s="14">
        <f>IF('04_路径网络'!A251&lt;&gt;"","04_路径网络","")</f>
        <v/>
      </c>
      <c r="D1251" s="14">
        <f>IF('04_路径网络'!A251&lt;&gt;"",'04_路径网络'!A251,"")</f>
        <v/>
      </c>
      <c r="E1251" s="14">
        <f>IF(F1251&lt;&gt;"","综合校验","")</f>
        <v/>
      </c>
      <c r="F1251" s="14">
        <f>IF('04_路径网络'!A251&lt;&gt;"",IF('04_路径网络'!A251="","缺少路径ID；","")&amp;IF('04_路径网络'!C251="","缺少路径类型；","")&amp;IF('04_路径网络'!D251="","缺少起点对象ID；","")&amp;IF('04_路径网络'!E251="","缺少终点对象ID；","")&amp;IF(AND('04_路径网络'!D251&lt;&gt;"",'04_路径网络'!D251='04_路径网络'!E251),"起点与终点相同；","")&amp;IF(AND('04_路径网络'!D251&lt;&gt;"",COUNTIF('02_固定地理'!$A$2:$A$501,'04_路径网络'!D251)+COUNTIF('03_地点锚点'!$A$2:$A$501,'04_路径网络'!D251)+COUNTIF('06_建筑锚点'!$A$2:$A$501,'04_路径网络'!D251)=0),"起点引用对象不存在；","")&amp;IF(AND('04_路径网络'!E251&lt;&gt;"",COUNTIF('02_固定地理'!$A$2:$A$501,'04_路径网络'!E251)+COUNTIF('03_地点锚点'!$A$2:$A$501,'04_路径网络'!E251)+COUNTIF('06_建筑锚点'!$A$2:$A$501,'04_路径网络'!E251)=0),"终点引用对象不存在；","")&amp;IF(AND('04_路径网络'!F251&lt;&gt;"",COUNTIF('04_路径网络'!$A$2:$A$501,'04_路径网络'!F251)=0),"父级路径不存在；","")&amp;IF(AND('04_路径网络'!A251&lt;&gt;"",COUNTIF('04_路径网络'!$A$2:$A$501,'04_路径网络'!A251)&gt;1),"ID重复；",""),"")</f>
        <v/>
      </c>
      <c r="G1251" s="14">
        <f>IF(F1251&lt;&gt;"","按字段批注、数据字典和来源记录修正后复核","")</f>
        <v/>
      </c>
      <c r="H1251" s="14">
        <f>IF(F1251&lt;&gt;"","待处理","")</f>
        <v/>
      </c>
    </row>
    <row r="1252">
      <c r="A1252" s="14">
        <f>IF(F1252&lt;&gt;"","ISSUE-"&amp;TEXT(ROW()-1,"00000"),"")</f>
        <v/>
      </c>
      <c r="B1252" s="14">
        <f>IF(F1252&lt;&gt;"","错误","")</f>
        <v/>
      </c>
      <c r="C1252" s="14">
        <f>IF('04_路径网络'!A252&lt;&gt;"","04_路径网络","")</f>
        <v/>
      </c>
      <c r="D1252" s="14">
        <f>IF('04_路径网络'!A252&lt;&gt;"",'04_路径网络'!A252,"")</f>
        <v/>
      </c>
      <c r="E1252" s="14">
        <f>IF(F1252&lt;&gt;"","综合校验","")</f>
        <v/>
      </c>
      <c r="F1252" s="14">
        <f>IF('04_路径网络'!A252&lt;&gt;"",IF('04_路径网络'!A252="","缺少路径ID；","")&amp;IF('04_路径网络'!C252="","缺少路径类型；","")&amp;IF('04_路径网络'!D252="","缺少起点对象ID；","")&amp;IF('04_路径网络'!E252="","缺少终点对象ID；","")&amp;IF(AND('04_路径网络'!D252&lt;&gt;"",'04_路径网络'!D252='04_路径网络'!E252),"起点与终点相同；","")&amp;IF(AND('04_路径网络'!D252&lt;&gt;"",COUNTIF('02_固定地理'!$A$2:$A$501,'04_路径网络'!D252)+COUNTIF('03_地点锚点'!$A$2:$A$501,'04_路径网络'!D252)+COUNTIF('06_建筑锚点'!$A$2:$A$501,'04_路径网络'!D252)=0),"起点引用对象不存在；","")&amp;IF(AND('04_路径网络'!E252&lt;&gt;"",COUNTIF('02_固定地理'!$A$2:$A$501,'04_路径网络'!E252)+COUNTIF('03_地点锚点'!$A$2:$A$501,'04_路径网络'!E252)+COUNTIF('06_建筑锚点'!$A$2:$A$501,'04_路径网络'!E252)=0),"终点引用对象不存在；","")&amp;IF(AND('04_路径网络'!F252&lt;&gt;"",COUNTIF('04_路径网络'!$A$2:$A$501,'04_路径网络'!F252)=0),"父级路径不存在；","")&amp;IF(AND('04_路径网络'!A252&lt;&gt;"",COUNTIF('04_路径网络'!$A$2:$A$501,'04_路径网络'!A252)&gt;1),"ID重复；",""),"")</f>
        <v/>
      </c>
      <c r="G1252" s="14">
        <f>IF(F1252&lt;&gt;"","按字段批注、数据字典和来源记录修正后复核","")</f>
        <v/>
      </c>
      <c r="H1252" s="14">
        <f>IF(F1252&lt;&gt;"","待处理","")</f>
        <v/>
      </c>
    </row>
    <row r="1253">
      <c r="A1253" s="14">
        <f>IF(F1253&lt;&gt;"","ISSUE-"&amp;TEXT(ROW()-1,"00000"),"")</f>
        <v/>
      </c>
      <c r="B1253" s="14">
        <f>IF(F1253&lt;&gt;"","错误","")</f>
        <v/>
      </c>
      <c r="C1253" s="14">
        <f>IF('04_路径网络'!A253&lt;&gt;"","04_路径网络","")</f>
        <v/>
      </c>
      <c r="D1253" s="14">
        <f>IF('04_路径网络'!A253&lt;&gt;"",'04_路径网络'!A253,"")</f>
        <v/>
      </c>
      <c r="E1253" s="14">
        <f>IF(F1253&lt;&gt;"","综合校验","")</f>
        <v/>
      </c>
      <c r="F1253" s="14">
        <f>IF('04_路径网络'!A253&lt;&gt;"",IF('04_路径网络'!A253="","缺少路径ID；","")&amp;IF('04_路径网络'!C253="","缺少路径类型；","")&amp;IF('04_路径网络'!D253="","缺少起点对象ID；","")&amp;IF('04_路径网络'!E253="","缺少终点对象ID；","")&amp;IF(AND('04_路径网络'!D253&lt;&gt;"",'04_路径网络'!D253='04_路径网络'!E253),"起点与终点相同；","")&amp;IF(AND('04_路径网络'!D253&lt;&gt;"",COUNTIF('02_固定地理'!$A$2:$A$501,'04_路径网络'!D253)+COUNTIF('03_地点锚点'!$A$2:$A$501,'04_路径网络'!D253)+COUNTIF('06_建筑锚点'!$A$2:$A$501,'04_路径网络'!D253)=0),"起点引用对象不存在；","")&amp;IF(AND('04_路径网络'!E253&lt;&gt;"",COUNTIF('02_固定地理'!$A$2:$A$501,'04_路径网络'!E253)+COUNTIF('03_地点锚点'!$A$2:$A$501,'04_路径网络'!E253)+COUNTIF('06_建筑锚点'!$A$2:$A$501,'04_路径网络'!E253)=0),"终点引用对象不存在；","")&amp;IF(AND('04_路径网络'!F253&lt;&gt;"",COUNTIF('04_路径网络'!$A$2:$A$501,'04_路径网络'!F253)=0),"父级路径不存在；","")&amp;IF(AND('04_路径网络'!A253&lt;&gt;"",COUNTIF('04_路径网络'!$A$2:$A$501,'04_路径网络'!A253)&gt;1),"ID重复；",""),"")</f>
        <v/>
      </c>
      <c r="G1253" s="14">
        <f>IF(F1253&lt;&gt;"","按字段批注、数据字典和来源记录修正后复核","")</f>
        <v/>
      </c>
      <c r="H1253" s="14">
        <f>IF(F1253&lt;&gt;"","待处理","")</f>
        <v/>
      </c>
    </row>
    <row r="1254">
      <c r="A1254" s="14">
        <f>IF(F1254&lt;&gt;"","ISSUE-"&amp;TEXT(ROW()-1,"00000"),"")</f>
        <v/>
      </c>
      <c r="B1254" s="14">
        <f>IF(F1254&lt;&gt;"","错误","")</f>
        <v/>
      </c>
      <c r="C1254" s="14">
        <f>IF('04_路径网络'!A254&lt;&gt;"","04_路径网络","")</f>
        <v/>
      </c>
      <c r="D1254" s="14">
        <f>IF('04_路径网络'!A254&lt;&gt;"",'04_路径网络'!A254,"")</f>
        <v/>
      </c>
      <c r="E1254" s="14">
        <f>IF(F1254&lt;&gt;"","综合校验","")</f>
        <v/>
      </c>
      <c r="F1254" s="14">
        <f>IF('04_路径网络'!A254&lt;&gt;"",IF('04_路径网络'!A254="","缺少路径ID；","")&amp;IF('04_路径网络'!C254="","缺少路径类型；","")&amp;IF('04_路径网络'!D254="","缺少起点对象ID；","")&amp;IF('04_路径网络'!E254="","缺少终点对象ID；","")&amp;IF(AND('04_路径网络'!D254&lt;&gt;"",'04_路径网络'!D254='04_路径网络'!E254),"起点与终点相同；","")&amp;IF(AND('04_路径网络'!D254&lt;&gt;"",COUNTIF('02_固定地理'!$A$2:$A$501,'04_路径网络'!D254)+COUNTIF('03_地点锚点'!$A$2:$A$501,'04_路径网络'!D254)+COUNTIF('06_建筑锚点'!$A$2:$A$501,'04_路径网络'!D254)=0),"起点引用对象不存在；","")&amp;IF(AND('04_路径网络'!E254&lt;&gt;"",COUNTIF('02_固定地理'!$A$2:$A$501,'04_路径网络'!E254)+COUNTIF('03_地点锚点'!$A$2:$A$501,'04_路径网络'!E254)+COUNTIF('06_建筑锚点'!$A$2:$A$501,'04_路径网络'!E254)=0),"终点引用对象不存在；","")&amp;IF(AND('04_路径网络'!F254&lt;&gt;"",COUNTIF('04_路径网络'!$A$2:$A$501,'04_路径网络'!F254)=0),"父级路径不存在；","")&amp;IF(AND('04_路径网络'!A254&lt;&gt;"",COUNTIF('04_路径网络'!$A$2:$A$501,'04_路径网络'!A254)&gt;1),"ID重复；",""),"")</f>
        <v/>
      </c>
      <c r="G1254" s="14">
        <f>IF(F1254&lt;&gt;"","按字段批注、数据字典和来源记录修正后复核","")</f>
        <v/>
      </c>
      <c r="H1254" s="14">
        <f>IF(F1254&lt;&gt;"","待处理","")</f>
        <v/>
      </c>
    </row>
    <row r="1255">
      <c r="A1255" s="14">
        <f>IF(F1255&lt;&gt;"","ISSUE-"&amp;TEXT(ROW()-1,"00000"),"")</f>
        <v/>
      </c>
      <c r="B1255" s="14">
        <f>IF(F1255&lt;&gt;"","错误","")</f>
        <v/>
      </c>
      <c r="C1255" s="14">
        <f>IF('04_路径网络'!A255&lt;&gt;"","04_路径网络","")</f>
        <v/>
      </c>
      <c r="D1255" s="14">
        <f>IF('04_路径网络'!A255&lt;&gt;"",'04_路径网络'!A255,"")</f>
        <v/>
      </c>
      <c r="E1255" s="14">
        <f>IF(F1255&lt;&gt;"","综合校验","")</f>
        <v/>
      </c>
      <c r="F1255" s="14">
        <f>IF('04_路径网络'!A255&lt;&gt;"",IF('04_路径网络'!A255="","缺少路径ID；","")&amp;IF('04_路径网络'!C255="","缺少路径类型；","")&amp;IF('04_路径网络'!D255="","缺少起点对象ID；","")&amp;IF('04_路径网络'!E255="","缺少终点对象ID；","")&amp;IF(AND('04_路径网络'!D255&lt;&gt;"",'04_路径网络'!D255='04_路径网络'!E255),"起点与终点相同；","")&amp;IF(AND('04_路径网络'!D255&lt;&gt;"",COUNTIF('02_固定地理'!$A$2:$A$501,'04_路径网络'!D255)+COUNTIF('03_地点锚点'!$A$2:$A$501,'04_路径网络'!D255)+COUNTIF('06_建筑锚点'!$A$2:$A$501,'04_路径网络'!D255)=0),"起点引用对象不存在；","")&amp;IF(AND('04_路径网络'!E255&lt;&gt;"",COUNTIF('02_固定地理'!$A$2:$A$501,'04_路径网络'!E255)+COUNTIF('03_地点锚点'!$A$2:$A$501,'04_路径网络'!E255)+COUNTIF('06_建筑锚点'!$A$2:$A$501,'04_路径网络'!E255)=0),"终点引用对象不存在；","")&amp;IF(AND('04_路径网络'!F255&lt;&gt;"",COUNTIF('04_路径网络'!$A$2:$A$501,'04_路径网络'!F255)=0),"父级路径不存在；","")&amp;IF(AND('04_路径网络'!A255&lt;&gt;"",COUNTIF('04_路径网络'!$A$2:$A$501,'04_路径网络'!A255)&gt;1),"ID重复；",""),"")</f>
        <v/>
      </c>
      <c r="G1255" s="14">
        <f>IF(F1255&lt;&gt;"","按字段批注、数据字典和来源记录修正后复核","")</f>
        <v/>
      </c>
      <c r="H1255" s="14">
        <f>IF(F1255&lt;&gt;"","待处理","")</f>
        <v/>
      </c>
    </row>
    <row r="1256">
      <c r="A1256" s="14">
        <f>IF(F1256&lt;&gt;"","ISSUE-"&amp;TEXT(ROW()-1,"00000"),"")</f>
        <v/>
      </c>
      <c r="B1256" s="14">
        <f>IF(F1256&lt;&gt;"","错误","")</f>
        <v/>
      </c>
      <c r="C1256" s="14">
        <f>IF('04_路径网络'!A256&lt;&gt;"","04_路径网络","")</f>
        <v/>
      </c>
      <c r="D1256" s="14">
        <f>IF('04_路径网络'!A256&lt;&gt;"",'04_路径网络'!A256,"")</f>
        <v/>
      </c>
      <c r="E1256" s="14">
        <f>IF(F1256&lt;&gt;"","综合校验","")</f>
        <v/>
      </c>
      <c r="F1256" s="14">
        <f>IF('04_路径网络'!A256&lt;&gt;"",IF('04_路径网络'!A256="","缺少路径ID；","")&amp;IF('04_路径网络'!C256="","缺少路径类型；","")&amp;IF('04_路径网络'!D256="","缺少起点对象ID；","")&amp;IF('04_路径网络'!E256="","缺少终点对象ID；","")&amp;IF(AND('04_路径网络'!D256&lt;&gt;"",'04_路径网络'!D256='04_路径网络'!E256),"起点与终点相同；","")&amp;IF(AND('04_路径网络'!D256&lt;&gt;"",COUNTIF('02_固定地理'!$A$2:$A$501,'04_路径网络'!D256)+COUNTIF('03_地点锚点'!$A$2:$A$501,'04_路径网络'!D256)+COUNTIF('06_建筑锚点'!$A$2:$A$501,'04_路径网络'!D256)=0),"起点引用对象不存在；","")&amp;IF(AND('04_路径网络'!E256&lt;&gt;"",COUNTIF('02_固定地理'!$A$2:$A$501,'04_路径网络'!E256)+COUNTIF('03_地点锚点'!$A$2:$A$501,'04_路径网络'!E256)+COUNTIF('06_建筑锚点'!$A$2:$A$501,'04_路径网络'!E256)=0),"终点引用对象不存在；","")&amp;IF(AND('04_路径网络'!F256&lt;&gt;"",COUNTIF('04_路径网络'!$A$2:$A$501,'04_路径网络'!F256)=0),"父级路径不存在；","")&amp;IF(AND('04_路径网络'!A256&lt;&gt;"",COUNTIF('04_路径网络'!$A$2:$A$501,'04_路径网络'!A256)&gt;1),"ID重复；",""),"")</f>
        <v/>
      </c>
      <c r="G1256" s="14">
        <f>IF(F1256&lt;&gt;"","按字段批注、数据字典和来源记录修正后复核","")</f>
        <v/>
      </c>
      <c r="H1256" s="14">
        <f>IF(F1256&lt;&gt;"","待处理","")</f>
        <v/>
      </c>
    </row>
    <row r="1257">
      <c r="A1257" s="14">
        <f>IF(F1257&lt;&gt;"","ISSUE-"&amp;TEXT(ROW()-1,"00000"),"")</f>
        <v/>
      </c>
      <c r="B1257" s="14">
        <f>IF(F1257&lt;&gt;"","错误","")</f>
        <v/>
      </c>
      <c r="C1257" s="14">
        <f>IF('04_路径网络'!A257&lt;&gt;"","04_路径网络","")</f>
        <v/>
      </c>
      <c r="D1257" s="14">
        <f>IF('04_路径网络'!A257&lt;&gt;"",'04_路径网络'!A257,"")</f>
        <v/>
      </c>
      <c r="E1257" s="14">
        <f>IF(F1257&lt;&gt;"","综合校验","")</f>
        <v/>
      </c>
      <c r="F1257" s="14">
        <f>IF('04_路径网络'!A257&lt;&gt;"",IF('04_路径网络'!A257="","缺少路径ID；","")&amp;IF('04_路径网络'!C257="","缺少路径类型；","")&amp;IF('04_路径网络'!D257="","缺少起点对象ID；","")&amp;IF('04_路径网络'!E257="","缺少终点对象ID；","")&amp;IF(AND('04_路径网络'!D257&lt;&gt;"",'04_路径网络'!D257='04_路径网络'!E257),"起点与终点相同；","")&amp;IF(AND('04_路径网络'!D257&lt;&gt;"",COUNTIF('02_固定地理'!$A$2:$A$501,'04_路径网络'!D257)+COUNTIF('03_地点锚点'!$A$2:$A$501,'04_路径网络'!D257)+COUNTIF('06_建筑锚点'!$A$2:$A$501,'04_路径网络'!D257)=0),"起点引用对象不存在；","")&amp;IF(AND('04_路径网络'!E257&lt;&gt;"",COUNTIF('02_固定地理'!$A$2:$A$501,'04_路径网络'!E257)+COUNTIF('03_地点锚点'!$A$2:$A$501,'04_路径网络'!E257)+COUNTIF('06_建筑锚点'!$A$2:$A$501,'04_路径网络'!E257)=0),"终点引用对象不存在；","")&amp;IF(AND('04_路径网络'!F257&lt;&gt;"",COUNTIF('04_路径网络'!$A$2:$A$501,'04_路径网络'!F257)=0),"父级路径不存在；","")&amp;IF(AND('04_路径网络'!A257&lt;&gt;"",COUNTIF('04_路径网络'!$A$2:$A$501,'04_路径网络'!A257)&gt;1),"ID重复；",""),"")</f>
        <v/>
      </c>
      <c r="G1257" s="14">
        <f>IF(F1257&lt;&gt;"","按字段批注、数据字典和来源记录修正后复核","")</f>
        <v/>
      </c>
      <c r="H1257" s="14">
        <f>IF(F1257&lt;&gt;"","待处理","")</f>
        <v/>
      </c>
    </row>
    <row r="1258">
      <c r="A1258" s="14">
        <f>IF(F1258&lt;&gt;"","ISSUE-"&amp;TEXT(ROW()-1,"00000"),"")</f>
        <v/>
      </c>
      <c r="B1258" s="14">
        <f>IF(F1258&lt;&gt;"","错误","")</f>
        <v/>
      </c>
      <c r="C1258" s="14">
        <f>IF('04_路径网络'!A258&lt;&gt;"","04_路径网络","")</f>
        <v/>
      </c>
      <c r="D1258" s="14">
        <f>IF('04_路径网络'!A258&lt;&gt;"",'04_路径网络'!A258,"")</f>
        <v/>
      </c>
      <c r="E1258" s="14">
        <f>IF(F1258&lt;&gt;"","综合校验","")</f>
        <v/>
      </c>
      <c r="F1258" s="14">
        <f>IF('04_路径网络'!A258&lt;&gt;"",IF('04_路径网络'!A258="","缺少路径ID；","")&amp;IF('04_路径网络'!C258="","缺少路径类型；","")&amp;IF('04_路径网络'!D258="","缺少起点对象ID；","")&amp;IF('04_路径网络'!E258="","缺少终点对象ID；","")&amp;IF(AND('04_路径网络'!D258&lt;&gt;"",'04_路径网络'!D258='04_路径网络'!E258),"起点与终点相同；","")&amp;IF(AND('04_路径网络'!D258&lt;&gt;"",COUNTIF('02_固定地理'!$A$2:$A$501,'04_路径网络'!D258)+COUNTIF('03_地点锚点'!$A$2:$A$501,'04_路径网络'!D258)+COUNTIF('06_建筑锚点'!$A$2:$A$501,'04_路径网络'!D258)=0),"起点引用对象不存在；","")&amp;IF(AND('04_路径网络'!E258&lt;&gt;"",COUNTIF('02_固定地理'!$A$2:$A$501,'04_路径网络'!E258)+COUNTIF('03_地点锚点'!$A$2:$A$501,'04_路径网络'!E258)+COUNTIF('06_建筑锚点'!$A$2:$A$501,'04_路径网络'!E258)=0),"终点引用对象不存在；","")&amp;IF(AND('04_路径网络'!F258&lt;&gt;"",COUNTIF('04_路径网络'!$A$2:$A$501,'04_路径网络'!F258)=0),"父级路径不存在；","")&amp;IF(AND('04_路径网络'!A258&lt;&gt;"",COUNTIF('04_路径网络'!$A$2:$A$501,'04_路径网络'!A258)&gt;1),"ID重复；",""),"")</f>
        <v/>
      </c>
      <c r="G1258" s="14">
        <f>IF(F1258&lt;&gt;"","按字段批注、数据字典和来源记录修正后复核","")</f>
        <v/>
      </c>
      <c r="H1258" s="14">
        <f>IF(F1258&lt;&gt;"","待处理","")</f>
        <v/>
      </c>
    </row>
    <row r="1259">
      <c r="A1259" s="14">
        <f>IF(F1259&lt;&gt;"","ISSUE-"&amp;TEXT(ROW()-1,"00000"),"")</f>
        <v/>
      </c>
      <c r="B1259" s="14">
        <f>IF(F1259&lt;&gt;"","错误","")</f>
        <v/>
      </c>
      <c r="C1259" s="14">
        <f>IF('04_路径网络'!A259&lt;&gt;"","04_路径网络","")</f>
        <v/>
      </c>
      <c r="D1259" s="14">
        <f>IF('04_路径网络'!A259&lt;&gt;"",'04_路径网络'!A259,"")</f>
        <v/>
      </c>
      <c r="E1259" s="14">
        <f>IF(F1259&lt;&gt;"","综合校验","")</f>
        <v/>
      </c>
      <c r="F1259" s="14">
        <f>IF('04_路径网络'!A259&lt;&gt;"",IF('04_路径网络'!A259="","缺少路径ID；","")&amp;IF('04_路径网络'!C259="","缺少路径类型；","")&amp;IF('04_路径网络'!D259="","缺少起点对象ID；","")&amp;IF('04_路径网络'!E259="","缺少终点对象ID；","")&amp;IF(AND('04_路径网络'!D259&lt;&gt;"",'04_路径网络'!D259='04_路径网络'!E259),"起点与终点相同；","")&amp;IF(AND('04_路径网络'!D259&lt;&gt;"",COUNTIF('02_固定地理'!$A$2:$A$501,'04_路径网络'!D259)+COUNTIF('03_地点锚点'!$A$2:$A$501,'04_路径网络'!D259)+COUNTIF('06_建筑锚点'!$A$2:$A$501,'04_路径网络'!D259)=0),"起点引用对象不存在；","")&amp;IF(AND('04_路径网络'!E259&lt;&gt;"",COUNTIF('02_固定地理'!$A$2:$A$501,'04_路径网络'!E259)+COUNTIF('03_地点锚点'!$A$2:$A$501,'04_路径网络'!E259)+COUNTIF('06_建筑锚点'!$A$2:$A$501,'04_路径网络'!E259)=0),"终点引用对象不存在；","")&amp;IF(AND('04_路径网络'!F259&lt;&gt;"",COUNTIF('04_路径网络'!$A$2:$A$501,'04_路径网络'!F259)=0),"父级路径不存在；","")&amp;IF(AND('04_路径网络'!A259&lt;&gt;"",COUNTIF('04_路径网络'!$A$2:$A$501,'04_路径网络'!A259)&gt;1),"ID重复；",""),"")</f>
        <v/>
      </c>
      <c r="G1259" s="14">
        <f>IF(F1259&lt;&gt;"","按字段批注、数据字典和来源记录修正后复核","")</f>
        <v/>
      </c>
      <c r="H1259" s="14">
        <f>IF(F1259&lt;&gt;"","待处理","")</f>
        <v/>
      </c>
    </row>
    <row r="1260">
      <c r="A1260" s="14">
        <f>IF(F1260&lt;&gt;"","ISSUE-"&amp;TEXT(ROW()-1,"00000"),"")</f>
        <v/>
      </c>
      <c r="B1260" s="14">
        <f>IF(F1260&lt;&gt;"","错误","")</f>
        <v/>
      </c>
      <c r="C1260" s="14">
        <f>IF('04_路径网络'!A260&lt;&gt;"","04_路径网络","")</f>
        <v/>
      </c>
      <c r="D1260" s="14">
        <f>IF('04_路径网络'!A260&lt;&gt;"",'04_路径网络'!A260,"")</f>
        <v/>
      </c>
      <c r="E1260" s="14">
        <f>IF(F1260&lt;&gt;"","综合校验","")</f>
        <v/>
      </c>
      <c r="F1260" s="14">
        <f>IF('04_路径网络'!A260&lt;&gt;"",IF('04_路径网络'!A260="","缺少路径ID；","")&amp;IF('04_路径网络'!C260="","缺少路径类型；","")&amp;IF('04_路径网络'!D260="","缺少起点对象ID；","")&amp;IF('04_路径网络'!E260="","缺少终点对象ID；","")&amp;IF(AND('04_路径网络'!D260&lt;&gt;"",'04_路径网络'!D260='04_路径网络'!E260),"起点与终点相同；","")&amp;IF(AND('04_路径网络'!D260&lt;&gt;"",COUNTIF('02_固定地理'!$A$2:$A$501,'04_路径网络'!D260)+COUNTIF('03_地点锚点'!$A$2:$A$501,'04_路径网络'!D260)+COUNTIF('06_建筑锚点'!$A$2:$A$501,'04_路径网络'!D260)=0),"起点引用对象不存在；","")&amp;IF(AND('04_路径网络'!E260&lt;&gt;"",COUNTIF('02_固定地理'!$A$2:$A$501,'04_路径网络'!E260)+COUNTIF('03_地点锚点'!$A$2:$A$501,'04_路径网络'!E260)+COUNTIF('06_建筑锚点'!$A$2:$A$501,'04_路径网络'!E260)=0),"终点引用对象不存在；","")&amp;IF(AND('04_路径网络'!F260&lt;&gt;"",COUNTIF('04_路径网络'!$A$2:$A$501,'04_路径网络'!F260)=0),"父级路径不存在；","")&amp;IF(AND('04_路径网络'!A260&lt;&gt;"",COUNTIF('04_路径网络'!$A$2:$A$501,'04_路径网络'!A260)&gt;1),"ID重复；",""),"")</f>
        <v/>
      </c>
      <c r="G1260" s="14">
        <f>IF(F1260&lt;&gt;"","按字段批注、数据字典和来源记录修正后复核","")</f>
        <v/>
      </c>
      <c r="H1260" s="14">
        <f>IF(F1260&lt;&gt;"","待处理","")</f>
        <v/>
      </c>
    </row>
    <row r="1261">
      <c r="A1261" s="14">
        <f>IF(F1261&lt;&gt;"","ISSUE-"&amp;TEXT(ROW()-1,"00000"),"")</f>
        <v/>
      </c>
      <c r="B1261" s="14">
        <f>IF(F1261&lt;&gt;"","错误","")</f>
        <v/>
      </c>
      <c r="C1261" s="14">
        <f>IF('04_路径网络'!A261&lt;&gt;"","04_路径网络","")</f>
        <v/>
      </c>
      <c r="D1261" s="14">
        <f>IF('04_路径网络'!A261&lt;&gt;"",'04_路径网络'!A261,"")</f>
        <v/>
      </c>
      <c r="E1261" s="14">
        <f>IF(F1261&lt;&gt;"","综合校验","")</f>
        <v/>
      </c>
      <c r="F1261" s="14">
        <f>IF('04_路径网络'!A261&lt;&gt;"",IF('04_路径网络'!A261="","缺少路径ID；","")&amp;IF('04_路径网络'!C261="","缺少路径类型；","")&amp;IF('04_路径网络'!D261="","缺少起点对象ID；","")&amp;IF('04_路径网络'!E261="","缺少终点对象ID；","")&amp;IF(AND('04_路径网络'!D261&lt;&gt;"",'04_路径网络'!D261='04_路径网络'!E261),"起点与终点相同；","")&amp;IF(AND('04_路径网络'!D261&lt;&gt;"",COUNTIF('02_固定地理'!$A$2:$A$501,'04_路径网络'!D261)+COUNTIF('03_地点锚点'!$A$2:$A$501,'04_路径网络'!D261)+COUNTIF('06_建筑锚点'!$A$2:$A$501,'04_路径网络'!D261)=0),"起点引用对象不存在；","")&amp;IF(AND('04_路径网络'!E261&lt;&gt;"",COUNTIF('02_固定地理'!$A$2:$A$501,'04_路径网络'!E261)+COUNTIF('03_地点锚点'!$A$2:$A$501,'04_路径网络'!E261)+COUNTIF('06_建筑锚点'!$A$2:$A$501,'04_路径网络'!E261)=0),"终点引用对象不存在；","")&amp;IF(AND('04_路径网络'!F261&lt;&gt;"",COUNTIF('04_路径网络'!$A$2:$A$501,'04_路径网络'!F261)=0),"父级路径不存在；","")&amp;IF(AND('04_路径网络'!A261&lt;&gt;"",COUNTIF('04_路径网络'!$A$2:$A$501,'04_路径网络'!A261)&gt;1),"ID重复；",""),"")</f>
        <v/>
      </c>
      <c r="G1261" s="14">
        <f>IF(F1261&lt;&gt;"","按字段批注、数据字典和来源记录修正后复核","")</f>
        <v/>
      </c>
      <c r="H1261" s="14">
        <f>IF(F1261&lt;&gt;"","待处理","")</f>
        <v/>
      </c>
    </row>
    <row r="1262">
      <c r="A1262" s="14">
        <f>IF(F1262&lt;&gt;"","ISSUE-"&amp;TEXT(ROW()-1,"00000"),"")</f>
        <v/>
      </c>
      <c r="B1262" s="14">
        <f>IF(F1262&lt;&gt;"","错误","")</f>
        <v/>
      </c>
      <c r="C1262" s="14">
        <f>IF('04_路径网络'!A262&lt;&gt;"","04_路径网络","")</f>
        <v/>
      </c>
      <c r="D1262" s="14">
        <f>IF('04_路径网络'!A262&lt;&gt;"",'04_路径网络'!A262,"")</f>
        <v/>
      </c>
      <c r="E1262" s="14">
        <f>IF(F1262&lt;&gt;"","综合校验","")</f>
        <v/>
      </c>
      <c r="F1262" s="14">
        <f>IF('04_路径网络'!A262&lt;&gt;"",IF('04_路径网络'!A262="","缺少路径ID；","")&amp;IF('04_路径网络'!C262="","缺少路径类型；","")&amp;IF('04_路径网络'!D262="","缺少起点对象ID；","")&amp;IF('04_路径网络'!E262="","缺少终点对象ID；","")&amp;IF(AND('04_路径网络'!D262&lt;&gt;"",'04_路径网络'!D262='04_路径网络'!E262),"起点与终点相同；","")&amp;IF(AND('04_路径网络'!D262&lt;&gt;"",COUNTIF('02_固定地理'!$A$2:$A$501,'04_路径网络'!D262)+COUNTIF('03_地点锚点'!$A$2:$A$501,'04_路径网络'!D262)+COUNTIF('06_建筑锚点'!$A$2:$A$501,'04_路径网络'!D262)=0),"起点引用对象不存在；","")&amp;IF(AND('04_路径网络'!E262&lt;&gt;"",COUNTIF('02_固定地理'!$A$2:$A$501,'04_路径网络'!E262)+COUNTIF('03_地点锚点'!$A$2:$A$501,'04_路径网络'!E262)+COUNTIF('06_建筑锚点'!$A$2:$A$501,'04_路径网络'!E262)=0),"终点引用对象不存在；","")&amp;IF(AND('04_路径网络'!F262&lt;&gt;"",COUNTIF('04_路径网络'!$A$2:$A$501,'04_路径网络'!F262)=0),"父级路径不存在；","")&amp;IF(AND('04_路径网络'!A262&lt;&gt;"",COUNTIF('04_路径网络'!$A$2:$A$501,'04_路径网络'!A262)&gt;1),"ID重复；",""),"")</f>
        <v/>
      </c>
      <c r="G1262" s="14">
        <f>IF(F1262&lt;&gt;"","按字段批注、数据字典和来源记录修正后复核","")</f>
        <v/>
      </c>
      <c r="H1262" s="14">
        <f>IF(F1262&lt;&gt;"","待处理","")</f>
        <v/>
      </c>
    </row>
    <row r="1263">
      <c r="A1263" s="14">
        <f>IF(F1263&lt;&gt;"","ISSUE-"&amp;TEXT(ROW()-1,"00000"),"")</f>
        <v/>
      </c>
      <c r="B1263" s="14">
        <f>IF(F1263&lt;&gt;"","错误","")</f>
        <v/>
      </c>
      <c r="C1263" s="14">
        <f>IF('04_路径网络'!A263&lt;&gt;"","04_路径网络","")</f>
        <v/>
      </c>
      <c r="D1263" s="14">
        <f>IF('04_路径网络'!A263&lt;&gt;"",'04_路径网络'!A263,"")</f>
        <v/>
      </c>
      <c r="E1263" s="14">
        <f>IF(F1263&lt;&gt;"","综合校验","")</f>
        <v/>
      </c>
      <c r="F1263" s="14">
        <f>IF('04_路径网络'!A263&lt;&gt;"",IF('04_路径网络'!A263="","缺少路径ID；","")&amp;IF('04_路径网络'!C263="","缺少路径类型；","")&amp;IF('04_路径网络'!D263="","缺少起点对象ID；","")&amp;IF('04_路径网络'!E263="","缺少终点对象ID；","")&amp;IF(AND('04_路径网络'!D263&lt;&gt;"",'04_路径网络'!D263='04_路径网络'!E263),"起点与终点相同；","")&amp;IF(AND('04_路径网络'!D263&lt;&gt;"",COUNTIF('02_固定地理'!$A$2:$A$501,'04_路径网络'!D263)+COUNTIF('03_地点锚点'!$A$2:$A$501,'04_路径网络'!D263)+COUNTIF('06_建筑锚点'!$A$2:$A$501,'04_路径网络'!D263)=0),"起点引用对象不存在；","")&amp;IF(AND('04_路径网络'!E263&lt;&gt;"",COUNTIF('02_固定地理'!$A$2:$A$501,'04_路径网络'!E263)+COUNTIF('03_地点锚点'!$A$2:$A$501,'04_路径网络'!E263)+COUNTIF('06_建筑锚点'!$A$2:$A$501,'04_路径网络'!E263)=0),"终点引用对象不存在；","")&amp;IF(AND('04_路径网络'!F263&lt;&gt;"",COUNTIF('04_路径网络'!$A$2:$A$501,'04_路径网络'!F263)=0),"父级路径不存在；","")&amp;IF(AND('04_路径网络'!A263&lt;&gt;"",COUNTIF('04_路径网络'!$A$2:$A$501,'04_路径网络'!A263)&gt;1),"ID重复；",""),"")</f>
        <v/>
      </c>
      <c r="G1263" s="14">
        <f>IF(F1263&lt;&gt;"","按字段批注、数据字典和来源记录修正后复核","")</f>
        <v/>
      </c>
      <c r="H1263" s="14">
        <f>IF(F1263&lt;&gt;"","待处理","")</f>
        <v/>
      </c>
    </row>
    <row r="1264">
      <c r="A1264" s="14">
        <f>IF(F1264&lt;&gt;"","ISSUE-"&amp;TEXT(ROW()-1,"00000"),"")</f>
        <v/>
      </c>
      <c r="B1264" s="14">
        <f>IF(F1264&lt;&gt;"","错误","")</f>
        <v/>
      </c>
      <c r="C1264" s="14">
        <f>IF('04_路径网络'!A264&lt;&gt;"","04_路径网络","")</f>
        <v/>
      </c>
      <c r="D1264" s="14">
        <f>IF('04_路径网络'!A264&lt;&gt;"",'04_路径网络'!A264,"")</f>
        <v/>
      </c>
      <c r="E1264" s="14">
        <f>IF(F1264&lt;&gt;"","综合校验","")</f>
        <v/>
      </c>
      <c r="F1264" s="14">
        <f>IF('04_路径网络'!A264&lt;&gt;"",IF('04_路径网络'!A264="","缺少路径ID；","")&amp;IF('04_路径网络'!C264="","缺少路径类型；","")&amp;IF('04_路径网络'!D264="","缺少起点对象ID；","")&amp;IF('04_路径网络'!E264="","缺少终点对象ID；","")&amp;IF(AND('04_路径网络'!D264&lt;&gt;"",'04_路径网络'!D264='04_路径网络'!E264),"起点与终点相同；","")&amp;IF(AND('04_路径网络'!D264&lt;&gt;"",COUNTIF('02_固定地理'!$A$2:$A$501,'04_路径网络'!D264)+COUNTIF('03_地点锚点'!$A$2:$A$501,'04_路径网络'!D264)+COUNTIF('06_建筑锚点'!$A$2:$A$501,'04_路径网络'!D264)=0),"起点引用对象不存在；","")&amp;IF(AND('04_路径网络'!E264&lt;&gt;"",COUNTIF('02_固定地理'!$A$2:$A$501,'04_路径网络'!E264)+COUNTIF('03_地点锚点'!$A$2:$A$501,'04_路径网络'!E264)+COUNTIF('06_建筑锚点'!$A$2:$A$501,'04_路径网络'!E264)=0),"终点引用对象不存在；","")&amp;IF(AND('04_路径网络'!F264&lt;&gt;"",COUNTIF('04_路径网络'!$A$2:$A$501,'04_路径网络'!F264)=0),"父级路径不存在；","")&amp;IF(AND('04_路径网络'!A264&lt;&gt;"",COUNTIF('04_路径网络'!$A$2:$A$501,'04_路径网络'!A264)&gt;1),"ID重复；",""),"")</f>
        <v/>
      </c>
      <c r="G1264" s="14">
        <f>IF(F1264&lt;&gt;"","按字段批注、数据字典和来源记录修正后复核","")</f>
        <v/>
      </c>
      <c r="H1264" s="14">
        <f>IF(F1264&lt;&gt;"","待处理","")</f>
        <v/>
      </c>
    </row>
    <row r="1265">
      <c r="A1265" s="14">
        <f>IF(F1265&lt;&gt;"","ISSUE-"&amp;TEXT(ROW()-1,"00000"),"")</f>
        <v/>
      </c>
      <c r="B1265" s="14">
        <f>IF(F1265&lt;&gt;"","错误","")</f>
        <v/>
      </c>
      <c r="C1265" s="14">
        <f>IF('04_路径网络'!A265&lt;&gt;"","04_路径网络","")</f>
        <v/>
      </c>
      <c r="D1265" s="14">
        <f>IF('04_路径网络'!A265&lt;&gt;"",'04_路径网络'!A265,"")</f>
        <v/>
      </c>
      <c r="E1265" s="14">
        <f>IF(F1265&lt;&gt;"","综合校验","")</f>
        <v/>
      </c>
      <c r="F1265" s="14">
        <f>IF('04_路径网络'!A265&lt;&gt;"",IF('04_路径网络'!A265="","缺少路径ID；","")&amp;IF('04_路径网络'!C265="","缺少路径类型；","")&amp;IF('04_路径网络'!D265="","缺少起点对象ID；","")&amp;IF('04_路径网络'!E265="","缺少终点对象ID；","")&amp;IF(AND('04_路径网络'!D265&lt;&gt;"",'04_路径网络'!D265='04_路径网络'!E265),"起点与终点相同；","")&amp;IF(AND('04_路径网络'!D265&lt;&gt;"",COUNTIF('02_固定地理'!$A$2:$A$501,'04_路径网络'!D265)+COUNTIF('03_地点锚点'!$A$2:$A$501,'04_路径网络'!D265)+COUNTIF('06_建筑锚点'!$A$2:$A$501,'04_路径网络'!D265)=0),"起点引用对象不存在；","")&amp;IF(AND('04_路径网络'!E265&lt;&gt;"",COUNTIF('02_固定地理'!$A$2:$A$501,'04_路径网络'!E265)+COUNTIF('03_地点锚点'!$A$2:$A$501,'04_路径网络'!E265)+COUNTIF('06_建筑锚点'!$A$2:$A$501,'04_路径网络'!E265)=0),"终点引用对象不存在；","")&amp;IF(AND('04_路径网络'!F265&lt;&gt;"",COUNTIF('04_路径网络'!$A$2:$A$501,'04_路径网络'!F265)=0),"父级路径不存在；","")&amp;IF(AND('04_路径网络'!A265&lt;&gt;"",COUNTIF('04_路径网络'!$A$2:$A$501,'04_路径网络'!A265)&gt;1),"ID重复；",""),"")</f>
        <v/>
      </c>
      <c r="G1265" s="14">
        <f>IF(F1265&lt;&gt;"","按字段批注、数据字典和来源记录修正后复核","")</f>
        <v/>
      </c>
      <c r="H1265" s="14">
        <f>IF(F1265&lt;&gt;"","待处理","")</f>
        <v/>
      </c>
    </row>
    <row r="1266">
      <c r="A1266" s="14">
        <f>IF(F1266&lt;&gt;"","ISSUE-"&amp;TEXT(ROW()-1,"00000"),"")</f>
        <v/>
      </c>
      <c r="B1266" s="14">
        <f>IF(F1266&lt;&gt;"","错误","")</f>
        <v/>
      </c>
      <c r="C1266" s="14">
        <f>IF('04_路径网络'!A266&lt;&gt;"","04_路径网络","")</f>
        <v/>
      </c>
      <c r="D1266" s="14">
        <f>IF('04_路径网络'!A266&lt;&gt;"",'04_路径网络'!A266,"")</f>
        <v/>
      </c>
      <c r="E1266" s="14">
        <f>IF(F1266&lt;&gt;"","综合校验","")</f>
        <v/>
      </c>
      <c r="F1266" s="14">
        <f>IF('04_路径网络'!A266&lt;&gt;"",IF('04_路径网络'!A266="","缺少路径ID；","")&amp;IF('04_路径网络'!C266="","缺少路径类型；","")&amp;IF('04_路径网络'!D266="","缺少起点对象ID；","")&amp;IF('04_路径网络'!E266="","缺少终点对象ID；","")&amp;IF(AND('04_路径网络'!D266&lt;&gt;"",'04_路径网络'!D266='04_路径网络'!E266),"起点与终点相同；","")&amp;IF(AND('04_路径网络'!D266&lt;&gt;"",COUNTIF('02_固定地理'!$A$2:$A$501,'04_路径网络'!D266)+COUNTIF('03_地点锚点'!$A$2:$A$501,'04_路径网络'!D266)+COUNTIF('06_建筑锚点'!$A$2:$A$501,'04_路径网络'!D266)=0),"起点引用对象不存在；","")&amp;IF(AND('04_路径网络'!E266&lt;&gt;"",COUNTIF('02_固定地理'!$A$2:$A$501,'04_路径网络'!E266)+COUNTIF('03_地点锚点'!$A$2:$A$501,'04_路径网络'!E266)+COUNTIF('06_建筑锚点'!$A$2:$A$501,'04_路径网络'!E266)=0),"终点引用对象不存在；","")&amp;IF(AND('04_路径网络'!F266&lt;&gt;"",COUNTIF('04_路径网络'!$A$2:$A$501,'04_路径网络'!F266)=0),"父级路径不存在；","")&amp;IF(AND('04_路径网络'!A266&lt;&gt;"",COUNTIF('04_路径网络'!$A$2:$A$501,'04_路径网络'!A266)&gt;1),"ID重复；",""),"")</f>
        <v/>
      </c>
      <c r="G1266" s="14">
        <f>IF(F1266&lt;&gt;"","按字段批注、数据字典和来源记录修正后复核","")</f>
        <v/>
      </c>
      <c r="H1266" s="14">
        <f>IF(F1266&lt;&gt;"","待处理","")</f>
        <v/>
      </c>
    </row>
    <row r="1267">
      <c r="A1267" s="14">
        <f>IF(F1267&lt;&gt;"","ISSUE-"&amp;TEXT(ROW()-1,"00000"),"")</f>
        <v/>
      </c>
      <c r="B1267" s="14">
        <f>IF(F1267&lt;&gt;"","错误","")</f>
        <v/>
      </c>
      <c r="C1267" s="14">
        <f>IF('04_路径网络'!A267&lt;&gt;"","04_路径网络","")</f>
        <v/>
      </c>
      <c r="D1267" s="14">
        <f>IF('04_路径网络'!A267&lt;&gt;"",'04_路径网络'!A267,"")</f>
        <v/>
      </c>
      <c r="E1267" s="14">
        <f>IF(F1267&lt;&gt;"","综合校验","")</f>
        <v/>
      </c>
      <c r="F1267" s="14">
        <f>IF('04_路径网络'!A267&lt;&gt;"",IF('04_路径网络'!A267="","缺少路径ID；","")&amp;IF('04_路径网络'!C267="","缺少路径类型；","")&amp;IF('04_路径网络'!D267="","缺少起点对象ID；","")&amp;IF('04_路径网络'!E267="","缺少终点对象ID；","")&amp;IF(AND('04_路径网络'!D267&lt;&gt;"",'04_路径网络'!D267='04_路径网络'!E267),"起点与终点相同；","")&amp;IF(AND('04_路径网络'!D267&lt;&gt;"",COUNTIF('02_固定地理'!$A$2:$A$501,'04_路径网络'!D267)+COUNTIF('03_地点锚点'!$A$2:$A$501,'04_路径网络'!D267)+COUNTIF('06_建筑锚点'!$A$2:$A$501,'04_路径网络'!D267)=0),"起点引用对象不存在；","")&amp;IF(AND('04_路径网络'!E267&lt;&gt;"",COUNTIF('02_固定地理'!$A$2:$A$501,'04_路径网络'!E267)+COUNTIF('03_地点锚点'!$A$2:$A$501,'04_路径网络'!E267)+COUNTIF('06_建筑锚点'!$A$2:$A$501,'04_路径网络'!E267)=0),"终点引用对象不存在；","")&amp;IF(AND('04_路径网络'!F267&lt;&gt;"",COUNTIF('04_路径网络'!$A$2:$A$501,'04_路径网络'!F267)=0),"父级路径不存在；","")&amp;IF(AND('04_路径网络'!A267&lt;&gt;"",COUNTIF('04_路径网络'!$A$2:$A$501,'04_路径网络'!A267)&gt;1),"ID重复；",""),"")</f>
        <v/>
      </c>
      <c r="G1267" s="14">
        <f>IF(F1267&lt;&gt;"","按字段批注、数据字典和来源记录修正后复核","")</f>
        <v/>
      </c>
      <c r="H1267" s="14">
        <f>IF(F1267&lt;&gt;"","待处理","")</f>
        <v/>
      </c>
    </row>
    <row r="1268">
      <c r="A1268" s="14">
        <f>IF(F1268&lt;&gt;"","ISSUE-"&amp;TEXT(ROW()-1,"00000"),"")</f>
        <v/>
      </c>
      <c r="B1268" s="14">
        <f>IF(F1268&lt;&gt;"","错误","")</f>
        <v/>
      </c>
      <c r="C1268" s="14">
        <f>IF('04_路径网络'!A268&lt;&gt;"","04_路径网络","")</f>
        <v/>
      </c>
      <c r="D1268" s="14">
        <f>IF('04_路径网络'!A268&lt;&gt;"",'04_路径网络'!A268,"")</f>
        <v/>
      </c>
      <c r="E1268" s="14">
        <f>IF(F1268&lt;&gt;"","综合校验","")</f>
        <v/>
      </c>
      <c r="F1268" s="14">
        <f>IF('04_路径网络'!A268&lt;&gt;"",IF('04_路径网络'!A268="","缺少路径ID；","")&amp;IF('04_路径网络'!C268="","缺少路径类型；","")&amp;IF('04_路径网络'!D268="","缺少起点对象ID；","")&amp;IF('04_路径网络'!E268="","缺少终点对象ID；","")&amp;IF(AND('04_路径网络'!D268&lt;&gt;"",'04_路径网络'!D268='04_路径网络'!E268),"起点与终点相同；","")&amp;IF(AND('04_路径网络'!D268&lt;&gt;"",COUNTIF('02_固定地理'!$A$2:$A$501,'04_路径网络'!D268)+COUNTIF('03_地点锚点'!$A$2:$A$501,'04_路径网络'!D268)+COUNTIF('06_建筑锚点'!$A$2:$A$501,'04_路径网络'!D268)=0),"起点引用对象不存在；","")&amp;IF(AND('04_路径网络'!E268&lt;&gt;"",COUNTIF('02_固定地理'!$A$2:$A$501,'04_路径网络'!E268)+COUNTIF('03_地点锚点'!$A$2:$A$501,'04_路径网络'!E268)+COUNTIF('06_建筑锚点'!$A$2:$A$501,'04_路径网络'!E268)=0),"终点引用对象不存在；","")&amp;IF(AND('04_路径网络'!F268&lt;&gt;"",COUNTIF('04_路径网络'!$A$2:$A$501,'04_路径网络'!F268)=0),"父级路径不存在；","")&amp;IF(AND('04_路径网络'!A268&lt;&gt;"",COUNTIF('04_路径网络'!$A$2:$A$501,'04_路径网络'!A268)&gt;1),"ID重复；",""),"")</f>
        <v/>
      </c>
      <c r="G1268" s="14">
        <f>IF(F1268&lt;&gt;"","按字段批注、数据字典和来源记录修正后复核","")</f>
        <v/>
      </c>
      <c r="H1268" s="14">
        <f>IF(F1268&lt;&gt;"","待处理","")</f>
        <v/>
      </c>
    </row>
    <row r="1269">
      <c r="A1269" s="14">
        <f>IF(F1269&lt;&gt;"","ISSUE-"&amp;TEXT(ROW()-1,"00000"),"")</f>
        <v/>
      </c>
      <c r="B1269" s="14">
        <f>IF(F1269&lt;&gt;"","错误","")</f>
        <v/>
      </c>
      <c r="C1269" s="14">
        <f>IF('04_路径网络'!A269&lt;&gt;"","04_路径网络","")</f>
        <v/>
      </c>
      <c r="D1269" s="14">
        <f>IF('04_路径网络'!A269&lt;&gt;"",'04_路径网络'!A269,"")</f>
        <v/>
      </c>
      <c r="E1269" s="14">
        <f>IF(F1269&lt;&gt;"","综合校验","")</f>
        <v/>
      </c>
      <c r="F1269" s="14">
        <f>IF('04_路径网络'!A269&lt;&gt;"",IF('04_路径网络'!A269="","缺少路径ID；","")&amp;IF('04_路径网络'!C269="","缺少路径类型；","")&amp;IF('04_路径网络'!D269="","缺少起点对象ID；","")&amp;IF('04_路径网络'!E269="","缺少终点对象ID；","")&amp;IF(AND('04_路径网络'!D269&lt;&gt;"",'04_路径网络'!D269='04_路径网络'!E269),"起点与终点相同；","")&amp;IF(AND('04_路径网络'!D269&lt;&gt;"",COUNTIF('02_固定地理'!$A$2:$A$501,'04_路径网络'!D269)+COUNTIF('03_地点锚点'!$A$2:$A$501,'04_路径网络'!D269)+COUNTIF('06_建筑锚点'!$A$2:$A$501,'04_路径网络'!D269)=0),"起点引用对象不存在；","")&amp;IF(AND('04_路径网络'!E269&lt;&gt;"",COUNTIF('02_固定地理'!$A$2:$A$501,'04_路径网络'!E269)+COUNTIF('03_地点锚点'!$A$2:$A$501,'04_路径网络'!E269)+COUNTIF('06_建筑锚点'!$A$2:$A$501,'04_路径网络'!E269)=0),"终点引用对象不存在；","")&amp;IF(AND('04_路径网络'!F269&lt;&gt;"",COUNTIF('04_路径网络'!$A$2:$A$501,'04_路径网络'!F269)=0),"父级路径不存在；","")&amp;IF(AND('04_路径网络'!A269&lt;&gt;"",COUNTIF('04_路径网络'!$A$2:$A$501,'04_路径网络'!A269)&gt;1),"ID重复；",""),"")</f>
        <v/>
      </c>
      <c r="G1269" s="14">
        <f>IF(F1269&lt;&gt;"","按字段批注、数据字典和来源记录修正后复核","")</f>
        <v/>
      </c>
      <c r="H1269" s="14">
        <f>IF(F1269&lt;&gt;"","待处理","")</f>
        <v/>
      </c>
    </row>
    <row r="1270">
      <c r="A1270" s="14">
        <f>IF(F1270&lt;&gt;"","ISSUE-"&amp;TEXT(ROW()-1,"00000"),"")</f>
        <v/>
      </c>
      <c r="B1270" s="14">
        <f>IF(F1270&lt;&gt;"","错误","")</f>
        <v/>
      </c>
      <c r="C1270" s="14">
        <f>IF('04_路径网络'!A270&lt;&gt;"","04_路径网络","")</f>
        <v/>
      </c>
      <c r="D1270" s="14">
        <f>IF('04_路径网络'!A270&lt;&gt;"",'04_路径网络'!A270,"")</f>
        <v/>
      </c>
      <c r="E1270" s="14">
        <f>IF(F1270&lt;&gt;"","综合校验","")</f>
        <v/>
      </c>
      <c r="F1270" s="14">
        <f>IF('04_路径网络'!A270&lt;&gt;"",IF('04_路径网络'!A270="","缺少路径ID；","")&amp;IF('04_路径网络'!C270="","缺少路径类型；","")&amp;IF('04_路径网络'!D270="","缺少起点对象ID；","")&amp;IF('04_路径网络'!E270="","缺少终点对象ID；","")&amp;IF(AND('04_路径网络'!D270&lt;&gt;"",'04_路径网络'!D270='04_路径网络'!E270),"起点与终点相同；","")&amp;IF(AND('04_路径网络'!D270&lt;&gt;"",COUNTIF('02_固定地理'!$A$2:$A$501,'04_路径网络'!D270)+COUNTIF('03_地点锚点'!$A$2:$A$501,'04_路径网络'!D270)+COUNTIF('06_建筑锚点'!$A$2:$A$501,'04_路径网络'!D270)=0),"起点引用对象不存在；","")&amp;IF(AND('04_路径网络'!E270&lt;&gt;"",COUNTIF('02_固定地理'!$A$2:$A$501,'04_路径网络'!E270)+COUNTIF('03_地点锚点'!$A$2:$A$501,'04_路径网络'!E270)+COUNTIF('06_建筑锚点'!$A$2:$A$501,'04_路径网络'!E270)=0),"终点引用对象不存在；","")&amp;IF(AND('04_路径网络'!F270&lt;&gt;"",COUNTIF('04_路径网络'!$A$2:$A$501,'04_路径网络'!F270)=0),"父级路径不存在；","")&amp;IF(AND('04_路径网络'!A270&lt;&gt;"",COUNTIF('04_路径网络'!$A$2:$A$501,'04_路径网络'!A270)&gt;1),"ID重复；",""),"")</f>
        <v/>
      </c>
      <c r="G1270" s="14">
        <f>IF(F1270&lt;&gt;"","按字段批注、数据字典和来源记录修正后复核","")</f>
        <v/>
      </c>
      <c r="H1270" s="14">
        <f>IF(F1270&lt;&gt;"","待处理","")</f>
        <v/>
      </c>
    </row>
    <row r="1271">
      <c r="A1271" s="14">
        <f>IF(F1271&lt;&gt;"","ISSUE-"&amp;TEXT(ROW()-1,"00000"),"")</f>
        <v/>
      </c>
      <c r="B1271" s="14">
        <f>IF(F1271&lt;&gt;"","错误","")</f>
        <v/>
      </c>
      <c r="C1271" s="14">
        <f>IF('04_路径网络'!A271&lt;&gt;"","04_路径网络","")</f>
        <v/>
      </c>
      <c r="D1271" s="14">
        <f>IF('04_路径网络'!A271&lt;&gt;"",'04_路径网络'!A271,"")</f>
        <v/>
      </c>
      <c r="E1271" s="14">
        <f>IF(F1271&lt;&gt;"","综合校验","")</f>
        <v/>
      </c>
      <c r="F1271" s="14">
        <f>IF('04_路径网络'!A271&lt;&gt;"",IF('04_路径网络'!A271="","缺少路径ID；","")&amp;IF('04_路径网络'!C271="","缺少路径类型；","")&amp;IF('04_路径网络'!D271="","缺少起点对象ID；","")&amp;IF('04_路径网络'!E271="","缺少终点对象ID；","")&amp;IF(AND('04_路径网络'!D271&lt;&gt;"",'04_路径网络'!D271='04_路径网络'!E271),"起点与终点相同；","")&amp;IF(AND('04_路径网络'!D271&lt;&gt;"",COUNTIF('02_固定地理'!$A$2:$A$501,'04_路径网络'!D271)+COUNTIF('03_地点锚点'!$A$2:$A$501,'04_路径网络'!D271)+COUNTIF('06_建筑锚点'!$A$2:$A$501,'04_路径网络'!D271)=0),"起点引用对象不存在；","")&amp;IF(AND('04_路径网络'!E271&lt;&gt;"",COUNTIF('02_固定地理'!$A$2:$A$501,'04_路径网络'!E271)+COUNTIF('03_地点锚点'!$A$2:$A$501,'04_路径网络'!E271)+COUNTIF('06_建筑锚点'!$A$2:$A$501,'04_路径网络'!E271)=0),"终点引用对象不存在；","")&amp;IF(AND('04_路径网络'!F271&lt;&gt;"",COUNTIF('04_路径网络'!$A$2:$A$501,'04_路径网络'!F271)=0),"父级路径不存在；","")&amp;IF(AND('04_路径网络'!A271&lt;&gt;"",COUNTIF('04_路径网络'!$A$2:$A$501,'04_路径网络'!A271)&gt;1),"ID重复；",""),"")</f>
        <v/>
      </c>
      <c r="G1271" s="14">
        <f>IF(F1271&lt;&gt;"","按字段批注、数据字典和来源记录修正后复核","")</f>
        <v/>
      </c>
      <c r="H1271" s="14">
        <f>IF(F1271&lt;&gt;"","待处理","")</f>
        <v/>
      </c>
    </row>
    <row r="1272">
      <c r="A1272" s="14">
        <f>IF(F1272&lt;&gt;"","ISSUE-"&amp;TEXT(ROW()-1,"00000"),"")</f>
        <v/>
      </c>
      <c r="B1272" s="14">
        <f>IF(F1272&lt;&gt;"","错误","")</f>
        <v/>
      </c>
      <c r="C1272" s="14">
        <f>IF('04_路径网络'!A272&lt;&gt;"","04_路径网络","")</f>
        <v/>
      </c>
      <c r="D1272" s="14">
        <f>IF('04_路径网络'!A272&lt;&gt;"",'04_路径网络'!A272,"")</f>
        <v/>
      </c>
      <c r="E1272" s="14">
        <f>IF(F1272&lt;&gt;"","综合校验","")</f>
        <v/>
      </c>
      <c r="F1272" s="14">
        <f>IF('04_路径网络'!A272&lt;&gt;"",IF('04_路径网络'!A272="","缺少路径ID；","")&amp;IF('04_路径网络'!C272="","缺少路径类型；","")&amp;IF('04_路径网络'!D272="","缺少起点对象ID；","")&amp;IF('04_路径网络'!E272="","缺少终点对象ID；","")&amp;IF(AND('04_路径网络'!D272&lt;&gt;"",'04_路径网络'!D272='04_路径网络'!E272),"起点与终点相同；","")&amp;IF(AND('04_路径网络'!D272&lt;&gt;"",COUNTIF('02_固定地理'!$A$2:$A$501,'04_路径网络'!D272)+COUNTIF('03_地点锚点'!$A$2:$A$501,'04_路径网络'!D272)+COUNTIF('06_建筑锚点'!$A$2:$A$501,'04_路径网络'!D272)=0),"起点引用对象不存在；","")&amp;IF(AND('04_路径网络'!E272&lt;&gt;"",COUNTIF('02_固定地理'!$A$2:$A$501,'04_路径网络'!E272)+COUNTIF('03_地点锚点'!$A$2:$A$501,'04_路径网络'!E272)+COUNTIF('06_建筑锚点'!$A$2:$A$501,'04_路径网络'!E272)=0),"终点引用对象不存在；","")&amp;IF(AND('04_路径网络'!F272&lt;&gt;"",COUNTIF('04_路径网络'!$A$2:$A$501,'04_路径网络'!F272)=0),"父级路径不存在；","")&amp;IF(AND('04_路径网络'!A272&lt;&gt;"",COUNTIF('04_路径网络'!$A$2:$A$501,'04_路径网络'!A272)&gt;1),"ID重复；",""),"")</f>
        <v/>
      </c>
      <c r="G1272" s="14">
        <f>IF(F1272&lt;&gt;"","按字段批注、数据字典和来源记录修正后复核","")</f>
        <v/>
      </c>
      <c r="H1272" s="14">
        <f>IF(F1272&lt;&gt;"","待处理","")</f>
        <v/>
      </c>
    </row>
    <row r="1273">
      <c r="A1273" s="14">
        <f>IF(F1273&lt;&gt;"","ISSUE-"&amp;TEXT(ROW()-1,"00000"),"")</f>
        <v/>
      </c>
      <c r="B1273" s="14">
        <f>IF(F1273&lt;&gt;"","错误","")</f>
        <v/>
      </c>
      <c r="C1273" s="14">
        <f>IF('04_路径网络'!A273&lt;&gt;"","04_路径网络","")</f>
        <v/>
      </c>
      <c r="D1273" s="14">
        <f>IF('04_路径网络'!A273&lt;&gt;"",'04_路径网络'!A273,"")</f>
        <v/>
      </c>
      <c r="E1273" s="14">
        <f>IF(F1273&lt;&gt;"","综合校验","")</f>
        <v/>
      </c>
      <c r="F1273" s="14">
        <f>IF('04_路径网络'!A273&lt;&gt;"",IF('04_路径网络'!A273="","缺少路径ID；","")&amp;IF('04_路径网络'!C273="","缺少路径类型；","")&amp;IF('04_路径网络'!D273="","缺少起点对象ID；","")&amp;IF('04_路径网络'!E273="","缺少终点对象ID；","")&amp;IF(AND('04_路径网络'!D273&lt;&gt;"",'04_路径网络'!D273='04_路径网络'!E273),"起点与终点相同；","")&amp;IF(AND('04_路径网络'!D273&lt;&gt;"",COUNTIF('02_固定地理'!$A$2:$A$501,'04_路径网络'!D273)+COUNTIF('03_地点锚点'!$A$2:$A$501,'04_路径网络'!D273)+COUNTIF('06_建筑锚点'!$A$2:$A$501,'04_路径网络'!D273)=0),"起点引用对象不存在；","")&amp;IF(AND('04_路径网络'!E273&lt;&gt;"",COUNTIF('02_固定地理'!$A$2:$A$501,'04_路径网络'!E273)+COUNTIF('03_地点锚点'!$A$2:$A$501,'04_路径网络'!E273)+COUNTIF('06_建筑锚点'!$A$2:$A$501,'04_路径网络'!E273)=0),"终点引用对象不存在；","")&amp;IF(AND('04_路径网络'!F273&lt;&gt;"",COUNTIF('04_路径网络'!$A$2:$A$501,'04_路径网络'!F273)=0),"父级路径不存在；","")&amp;IF(AND('04_路径网络'!A273&lt;&gt;"",COUNTIF('04_路径网络'!$A$2:$A$501,'04_路径网络'!A273)&gt;1),"ID重复；",""),"")</f>
        <v/>
      </c>
      <c r="G1273" s="14">
        <f>IF(F1273&lt;&gt;"","按字段批注、数据字典和来源记录修正后复核","")</f>
        <v/>
      </c>
      <c r="H1273" s="14">
        <f>IF(F1273&lt;&gt;"","待处理","")</f>
        <v/>
      </c>
    </row>
    <row r="1274">
      <c r="A1274" s="14">
        <f>IF(F1274&lt;&gt;"","ISSUE-"&amp;TEXT(ROW()-1,"00000"),"")</f>
        <v/>
      </c>
      <c r="B1274" s="14">
        <f>IF(F1274&lt;&gt;"","错误","")</f>
        <v/>
      </c>
      <c r="C1274" s="14">
        <f>IF('04_路径网络'!A274&lt;&gt;"","04_路径网络","")</f>
        <v/>
      </c>
      <c r="D1274" s="14">
        <f>IF('04_路径网络'!A274&lt;&gt;"",'04_路径网络'!A274,"")</f>
        <v/>
      </c>
      <c r="E1274" s="14">
        <f>IF(F1274&lt;&gt;"","综合校验","")</f>
        <v/>
      </c>
      <c r="F1274" s="14">
        <f>IF('04_路径网络'!A274&lt;&gt;"",IF('04_路径网络'!A274="","缺少路径ID；","")&amp;IF('04_路径网络'!C274="","缺少路径类型；","")&amp;IF('04_路径网络'!D274="","缺少起点对象ID；","")&amp;IF('04_路径网络'!E274="","缺少终点对象ID；","")&amp;IF(AND('04_路径网络'!D274&lt;&gt;"",'04_路径网络'!D274='04_路径网络'!E274),"起点与终点相同；","")&amp;IF(AND('04_路径网络'!D274&lt;&gt;"",COUNTIF('02_固定地理'!$A$2:$A$501,'04_路径网络'!D274)+COUNTIF('03_地点锚点'!$A$2:$A$501,'04_路径网络'!D274)+COUNTIF('06_建筑锚点'!$A$2:$A$501,'04_路径网络'!D274)=0),"起点引用对象不存在；","")&amp;IF(AND('04_路径网络'!E274&lt;&gt;"",COUNTIF('02_固定地理'!$A$2:$A$501,'04_路径网络'!E274)+COUNTIF('03_地点锚点'!$A$2:$A$501,'04_路径网络'!E274)+COUNTIF('06_建筑锚点'!$A$2:$A$501,'04_路径网络'!E274)=0),"终点引用对象不存在；","")&amp;IF(AND('04_路径网络'!F274&lt;&gt;"",COUNTIF('04_路径网络'!$A$2:$A$501,'04_路径网络'!F274)=0),"父级路径不存在；","")&amp;IF(AND('04_路径网络'!A274&lt;&gt;"",COUNTIF('04_路径网络'!$A$2:$A$501,'04_路径网络'!A274)&gt;1),"ID重复；",""),"")</f>
        <v/>
      </c>
      <c r="G1274" s="14">
        <f>IF(F1274&lt;&gt;"","按字段批注、数据字典和来源记录修正后复核","")</f>
        <v/>
      </c>
      <c r="H1274" s="14">
        <f>IF(F1274&lt;&gt;"","待处理","")</f>
        <v/>
      </c>
    </row>
    <row r="1275">
      <c r="A1275" s="14">
        <f>IF(F1275&lt;&gt;"","ISSUE-"&amp;TEXT(ROW()-1,"00000"),"")</f>
        <v/>
      </c>
      <c r="B1275" s="14">
        <f>IF(F1275&lt;&gt;"","错误","")</f>
        <v/>
      </c>
      <c r="C1275" s="14">
        <f>IF('04_路径网络'!A275&lt;&gt;"","04_路径网络","")</f>
        <v/>
      </c>
      <c r="D1275" s="14">
        <f>IF('04_路径网络'!A275&lt;&gt;"",'04_路径网络'!A275,"")</f>
        <v/>
      </c>
      <c r="E1275" s="14">
        <f>IF(F1275&lt;&gt;"","综合校验","")</f>
        <v/>
      </c>
      <c r="F1275" s="14">
        <f>IF('04_路径网络'!A275&lt;&gt;"",IF('04_路径网络'!A275="","缺少路径ID；","")&amp;IF('04_路径网络'!C275="","缺少路径类型；","")&amp;IF('04_路径网络'!D275="","缺少起点对象ID；","")&amp;IF('04_路径网络'!E275="","缺少终点对象ID；","")&amp;IF(AND('04_路径网络'!D275&lt;&gt;"",'04_路径网络'!D275='04_路径网络'!E275),"起点与终点相同；","")&amp;IF(AND('04_路径网络'!D275&lt;&gt;"",COUNTIF('02_固定地理'!$A$2:$A$501,'04_路径网络'!D275)+COUNTIF('03_地点锚点'!$A$2:$A$501,'04_路径网络'!D275)+COUNTIF('06_建筑锚点'!$A$2:$A$501,'04_路径网络'!D275)=0),"起点引用对象不存在；","")&amp;IF(AND('04_路径网络'!E275&lt;&gt;"",COUNTIF('02_固定地理'!$A$2:$A$501,'04_路径网络'!E275)+COUNTIF('03_地点锚点'!$A$2:$A$501,'04_路径网络'!E275)+COUNTIF('06_建筑锚点'!$A$2:$A$501,'04_路径网络'!E275)=0),"终点引用对象不存在；","")&amp;IF(AND('04_路径网络'!F275&lt;&gt;"",COUNTIF('04_路径网络'!$A$2:$A$501,'04_路径网络'!F275)=0),"父级路径不存在；","")&amp;IF(AND('04_路径网络'!A275&lt;&gt;"",COUNTIF('04_路径网络'!$A$2:$A$501,'04_路径网络'!A275)&gt;1),"ID重复；",""),"")</f>
        <v/>
      </c>
      <c r="G1275" s="14">
        <f>IF(F1275&lt;&gt;"","按字段批注、数据字典和来源记录修正后复核","")</f>
        <v/>
      </c>
      <c r="H1275" s="14">
        <f>IF(F1275&lt;&gt;"","待处理","")</f>
        <v/>
      </c>
    </row>
    <row r="1276">
      <c r="A1276" s="14">
        <f>IF(F1276&lt;&gt;"","ISSUE-"&amp;TEXT(ROW()-1,"00000"),"")</f>
        <v/>
      </c>
      <c r="B1276" s="14">
        <f>IF(F1276&lt;&gt;"","错误","")</f>
        <v/>
      </c>
      <c r="C1276" s="14">
        <f>IF('04_路径网络'!A276&lt;&gt;"","04_路径网络","")</f>
        <v/>
      </c>
      <c r="D1276" s="14">
        <f>IF('04_路径网络'!A276&lt;&gt;"",'04_路径网络'!A276,"")</f>
        <v/>
      </c>
      <c r="E1276" s="14">
        <f>IF(F1276&lt;&gt;"","综合校验","")</f>
        <v/>
      </c>
      <c r="F1276" s="14">
        <f>IF('04_路径网络'!A276&lt;&gt;"",IF('04_路径网络'!A276="","缺少路径ID；","")&amp;IF('04_路径网络'!C276="","缺少路径类型；","")&amp;IF('04_路径网络'!D276="","缺少起点对象ID；","")&amp;IF('04_路径网络'!E276="","缺少终点对象ID；","")&amp;IF(AND('04_路径网络'!D276&lt;&gt;"",'04_路径网络'!D276='04_路径网络'!E276),"起点与终点相同；","")&amp;IF(AND('04_路径网络'!D276&lt;&gt;"",COUNTIF('02_固定地理'!$A$2:$A$501,'04_路径网络'!D276)+COUNTIF('03_地点锚点'!$A$2:$A$501,'04_路径网络'!D276)+COUNTIF('06_建筑锚点'!$A$2:$A$501,'04_路径网络'!D276)=0),"起点引用对象不存在；","")&amp;IF(AND('04_路径网络'!E276&lt;&gt;"",COUNTIF('02_固定地理'!$A$2:$A$501,'04_路径网络'!E276)+COUNTIF('03_地点锚点'!$A$2:$A$501,'04_路径网络'!E276)+COUNTIF('06_建筑锚点'!$A$2:$A$501,'04_路径网络'!E276)=0),"终点引用对象不存在；","")&amp;IF(AND('04_路径网络'!F276&lt;&gt;"",COUNTIF('04_路径网络'!$A$2:$A$501,'04_路径网络'!F276)=0),"父级路径不存在；","")&amp;IF(AND('04_路径网络'!A276&lt;&gt;"",COUNTIF('04_路径网络'!$A$2:$A$501,'04_路径网络'!A276)&gt;1),"ID重复；",""),"")</f>
        <v/>
      </c>
      <c r="G1276" s="14">
        <f>IF(F1276&lt;&gt;"","按字段批注、数据字典和来源记录修正后复核","")</f>
        <v/>
      </c>
      <c r="H1276" s="14">
        <f>IF(F1276&lt;&gt;"","待处理","")</f>
        <v/>
      </c>
    </row>
    <row r="1277">
      <c r="A1277" s="14">
        <f>IF(F1277&lt;&gt;"","ISSUE-"&amp;TEXT(ROW()-1,"00000"),"")</f>
        <v/>
      </c>
      <c r="B1277" s="14">
        <f>IF(F1277&lt;&gt;"","错误","")</f>
        <v/>
      </c>
      <c r="C1277" s="14">
        <f>IF('04_路径网络'!A277&lt;&gt;"","04_路径网络","")</f>
        <v/>
      </c>
      <c r="D1277" s="14">
        <f>IF('04_路径网络'!A277&lt;&gt;"",'04_路径网络'!A277,"")</f>
        <v/>
      </c>
      <c r="E1277" s="14">
        <f>IF(F1277&lt;&gt;"","综合校验","")</f>
        <v/>
      </c>
      <c r="F1277" s="14">
        <f>IF('04_路径网络'!A277&lt;&gt;"",IF('04_路径网络'!A277="","缺少路径ID；","")&amp;IF('04_路径网络'!C277="","缺少路径类型；","")&amp;IF('04_路径网络'!D277="","缺少起点对象ID；","")&amp;IF('04_路径网络'!E277="","缺少终点对象ID；","")&amp;IF(AND('04_路径网络'!D277&lt;&gt;"",'04_路径网络'!D277='04_路径网络'!E277),"起点与终点相同；","")&amp;IF(AND('04_路径网络'!D277&lt;&gt;"",COUNTIF('02_固定地理'!$A$2:$A$501,'04_路径网络'!D277)+COUNTIF('03_地点锚点'!$A$2:$A$501,'04_路径网络'!D277)+COUNTIF('06_建筑锚点'!$A$2:$A$501,'04_路径网络'!D277)=0),"起点引用对象不存在；","")&amp;IF(AND('04_路径网络'!E277&lt;&gt;"",COUNTIF('02_固定地理'!$A$2:$A$501,'04_路径网络'!E277)+COUNTIF('03_地点锚点'!$A$2:$A$501,'04_路径网络'!E277)+COUNTIF('06_建筑锚点'!$A$2:$A$501,'04_路径网络'!E277)=0),"终点引用对象不存在；","")&amp;IF(AND('04_路径网络'!F277&lt;&gt;"",COUNTIF('04_路径网络'!$A$2:$A$501,'04_路径网络'!F277)=0),"父级路径不存在；","")&amp;IF(AND('04_路径网络'!A277&lt;&gt;"",COUNTIF('04_路径网络'!$A$2:$A$501,'04_路径网络'!A277)&gt;1),"ID重复；",""),"")</f>
        <v/>
      </c>
      <c r="G1277" s="14">
        <f>IF(F1277&lt;&gt;"","按字段批注、数据字典和来源记录修正后复核","")</f>
        <v/>
      </c>
      <c r="H1277" s="14">
        <f>IF(F1277&lt;&gt;"","待处理","")</f>
        <v/>
      </c>
    </row>
    <row r="1278">
      <c r="A1278" s="14">
        <f>IF(F1278&lt;&gt;"","ISSUE-"&amp;TEXT(ROW()-1,"00000"),"")</f>
        <v/>
      </c>
      <c r="B1278" s="14">
        <f>IF(F1278&lt;&gt;"","错误","")</f>
        <v/>
      </c>
      <c r="C1278" s="14">
        <f>IF('04_路径网络'!A278&lt;&gt;"","04_路径网络","")</f>
        <v/>
      </c>
      <c r="D1278" s="14">
        <f>IF('04_路径网络'!A278&lt;&gt;"",'04_路径网络'!A278,"")</f>
        <v/>
      </c>
      <c r="E1278" s="14">
        <f>IF(F1278&lt;&gt;"","综合校验","")</f>
        <v/>
      </c>
      <c r="F1278" s="14">
        <f>IF('04_路径网络'!A278&lt;&gt;"",IF('04_路径网络'!A278="","缺少路径ID；","")&amp;IF('04_路径网络'!C278="","缺少路径类型；","")&amp;IF('04_路径网络'!D278="","缺少起点对象ID；","")&amp;IF('04_路径网络'!E278="","缺少终点对象ID；","")&amp;IF(AND('04_路径网络'!D278&lt;&gt;"",'04_路径网络'!D278='04_路径网络'!E278),"起点与终点相同；","")&amp;IF(AND('04_路径网络'!D278&lt;&gt;"",COUNTIF('02_固定地理'!$A$2:$A$501,'04_路径网络'!D278)+COUNTIF('03_地点锚点'!$A$2:$A$501,'04_路径网络'!D278)+COUNTIF('06_建筑锚点'!$A$2:$A$501,'04_路径网络'!D278)=0),"起点引用对象不存在；","")&amp;IF(AND('04_路径网络'!E278&lt;&gt;"",COUNTIF('02_固定地理'!$A$2:$A$501,'04_路径网络'!E278)+COUNTIF('03_地点锚点'!$A$2:$A$501,'04_路径网络'!E278)+COUNTIF('06_建筑锚点'!$A$2:$A$501,'04_路径网络'!E278)=0),"终点引用对象不存在；","")&amp;IF(AND('04_路径网络'!F278&lt;&gt;"",COUNTIF('04_路径网络'!$A$2:$A$501,'04_路径网络'!F278)=0),"父级路径不存在；","")&amp;IF(AND('04_路径网络'!A278&lt;&gt;"",COUNTIF('04_路径网络'!$A$2:$A$501,'04_路径网络'!A278)&gt;1),"ID重复；",""),"")</f>
        <v/>
      </c>
      <c r="G1278" s="14">
        <f>IF(F1278&lt;&gt;"","按字段批注、数据字典和来源记录修正后复核","")</f>
        <v/>
      </c>
      <c r="H1278" s="14">
        <f>IF(F1278&lt;&gt;"","待处理","")</f>
        <v/>
      </c>
    </row>
    <row r="1279">
      <c r="A1279" s="14">
        <f>IF(F1279&lt;&gt;"","ISSUE-"&amp;TEXT(ROW()-1,"00000"),"")</f>
        <v/>
      </c>
      <c r="B1279" s="14">
        <f>IF(F1279&lt;&gt;"","错误","")</f>
        <v/>
      </c>
      <c r="C1279" s="14">
        <f>IF('04_路径网络'!A279&lt;&gt;"","04_路径网络","")</f>
        <v/>
      </c>
      <c r="D1279" s="14">
        <f>IF('04_路径网络'!A279&lt;&gt;"",'04_路径网络'!A279,"")</f>
        <v/>
      </c>
      <c r="E1279" s="14">
        <f>IF(F1279&lt;&gt;"","综合校验","")</f>
        <v/>
      </c>
      <c r="F1279" s="14">
        <f>IF('04_路径网络'!A279&lt;&gt;"",IF('04_路径网络'!A279="","缺少路径ID；","")&amp;IF('04_路径网络'!C279="","缺少路径类型；","")&amp;IF('04_路径网络'!D279="","缺少起点对象ID；","")&amp;IF('04_路径网络'!E279="","缺少终点对象ID；","")&amp;IF(AND('04_路径网络'!D279&lt;&gt;"",'04_路径网络'!D279='04_路径网络'!E279),"起点与终点相同；","")&amp;IF(AND('04_路径网络'!D279&lt;&gt;"",COUNTIF('02_固定地理'!$A$2:$A$501,'04_路径网络'!D279)+COUNTIF('03_地点锚点'!$A$2:$A$501,'04_路径网络'!D279)+COUNTIF('06_建筑锚点'!$A$2:$A$501,'04_路径网络'!D279)=0),"起点引用对象不存在；","")&amp;IF(AND('04_路径网络'!E279&lt;&gt;"",COUNTIF('02_固定地理'!$A$2:$A$501,'04_路径网络'!E279)+COUNTIF('03_地点锚点'!$A$2:$A$501,'04_路径网络'!E279)+COUNTIF('06_建筑锚点'!$A$2:$A$501,'04_路径网络'!E279)=0),"终点引用对象不存在；","")&amp;IF(AND('04_路径网络'!F279&lt;&gt;"",COUNTIF('04_路径网络'!$A$2:$A$501,'04_路径网络'!F279)=0),"父级路径不存在；","")&amp;IF(AND('04_路径网络'!A279&lt;&gt;"",COUNTIF('04_路径网络'!$A$2:$A$501,'04_路径网络'!A279)&gt;1),"ID重复；",""),"")</f>
        <v/>
      </c>
      <c r="G1279" s="14">
        <f>IF(F1279&lt;&gt;"","按字段批注、数据字典和来源记录修正后复核","")</f>
        <v/>
      </c>
      <c r="H1279" s="14">
        <f>IF(F1279&lt;&gt;"","待处理","")</f>
        <v/>
      </c>
    </row>
    <row r="1280">
      <c r="A1280" s="14">
        <f>IF(F1280&lt;&gt;"","ISSUE-"&amp;TEXT(ROW()-1,"00000"),"")</f>
        <v/>
      </c>
      <c r="B1280" s="14">
        <f>IF(F1280&lt;&gt;"","错误","")</f>
        <v/>
      </c>
      <c r="C1280" s="14">
        <f>IF('04_路径网络'!A280&lt;&gt;"","04_路径网络","")</f>
        <v/>
      </c>
      <c r="D1280" s="14">
        <f>IF('04_路径网络'!A280&lt;&gt;"",'04_路径网络'!A280,"")</f>
        <v/>
      </c>
      <c r="E1280" s="14">
        <f>IF(F1280&lt;&gt;"","综合校验","")</f>
        <v/>
      </c>
      <c r="F1280" s="14">
        <f>IF('04_路径网络'!A280&lt;&gt;"",IF('04_路径网络'!A280="","缺少路径ID；","")&amp;IF('04_路径网络'!C280="","缺少路径类型；","")&amp;IF('04_路径网络'!D280="","缺少起点对象ID；","")&amp;IF('04_路径网络'!E280="","缺少终点对象ID；","")&amp;IF(AND('04_路径网络'!D280&lt;&gt;"",'04_路径网络'!D280='04_路径网络'!E280),"起点与终点相同；","")&amp;IF(AND('04_路径网络'!D280&lt;&gt;"",COUNTIF('02_固定地理'!$A$2:$A$501,'04_路径网络'!D280)+COUNTIF('03_地点锚点'!$A$2:$A$501,'04_路径网络'!D280)+COUNTIF('06_建筑锚点'!$A$2:$A$501,'04_路径网络'!D280)=0),"起点引用对象不存在；","")&amp;IF(AND('04_路径网络'!E280&lt;&gt;"",COUNTIF('02_固定地理'!$A$2:$A$501,'04_路径网络'!E280)+COUNTIF('03_地点锚点'!$A$2:$A$501,'04_路径网络'!E280)+COUNTIF('06_建筑锚点'!$A$2:$A$501,'04_路径网络'!E280)=0),"终点引用对象不存在；","")&amp;IF(AND('04_路径网络'!F280&lt;&gt;"",COUNTIF('04_路径网络'!$A$2:$A$501,'04_路径网络'!F280)=0),"父级路径不存在；","")&amp;IF(AND('04_路径网络'!A280&lt;&gt;"",COUNTIF('04_路径网络'!$A$2:$A$501,'04_路径网络'!A280)&gt;1),"ID重复；",""),"")</f>
        <v/>
      </c>
      <c r="G1280" s="14">
        <f>IF(F1280&lt;&gt;"","按字段批注、数据字典和来源记录修正后复核","")</f>
        <v/>
      </c>
      <c r="H1280" s="14">
        <f>IF(F1280&lt;&gt;"","待处理","")</f>
        <v/>
      </c>
    </row>
    <row r="1281">
      <c r="A1281" s="14">
        <f>IF(F1281&lt;&gt;"","ISSUE-"&amp;TEXT(ROW()-1,"00000"),"")</f>
        <v/>
      </c>
      <c r="B1281" s="14">
        <f>IF(F1281&lt;&gt;"","错误","")</f>
        <v/>
      </c>
      <c r="C1281" s="14">
        <f>IF('04_路径网络'!A281&lt;&gt;"","04_路径网络","")</f>
        <v/>
      </c>
      <c r="D1281" s="14">
        <f>IF('04_路径网络'!A281&lt;&gt;"",'04_路径网络'!A281,"")</f>
        <v/>
      </c>
      <c r="E1281" s="14">
        <f>IF(F1281&lt;&gt;"","综合校验","")</f>
        <v/>
      </c>
      <c r="F1281" s="14">
        <f>IF('04_路径网络'!A281&lt;&gt;"",IF('04_路径网络'!A281="","缺少路径ID；","")&amp;IF('04_路径网络'!C281="","缺少路径类型；","")&amp;IF('04_路径网络'!D281="","缺少起点对象ID；","")&amp;IF('04_路径网络'!E281="","缺少终点对象ID；","")&amp;IF(AND('04_路径网络'!D281&lt;&gt;"",'04_路径网络'!D281='04_路径网络'!E281),"起点与终点相同；","")&amp;IF(AND('04_路径网络'!D281&lt;&gt;"",COUNTIF('02_固定地理'!$A$2:$A$501,'04_路径网络'!D281)+COUNTIF('03_地点锚点'!$A$2:$A$501,'04_路径网络'!D281)+COUNTIF('06_建筑锚点'!$A$2:$A$501,'04_路径网络'!D281)=0),"起点引用对象不存在；","")&amp;IF(AND('04_路径网络'!E281&lt;&gt;"",COUNTIF('02_固定地理'!$A$2:$A$501,'04_路径网络'!E281)+COUNTIF('03_地点锚点'!$A$2:$A$501,'04_路径网络'!E281)+COUNTIF('06_建筑锚点'!$A$2:$A$501,'04_路径网络'!E281)=0),"终点引用对象不存在；","")&amp;IF(AND('04_路径网络'!F281&lt;&gt;"",COUNTIF('04_路径网络'!$A$2:$A$501,'04_路径网络'!F281)=0),"父级路径不存在；","")&amp;IF(AND('04_路径网络'!A281&lt;&gt;"",COUNTIF('04_路径网络'!$A$2:$A$501,'04_路径网络'!A281)&gt;1),"ID重复；",""),"")</f>
        <v/>
      </c>
      <c r="G1281" s="14">
        <f>IF(F1281&lt;&gt;"","按字段批注、数据字典和来源记录修正后复核","")</f>
        <v/>
      </c>
      <c r="H1281" s="14">
        <f>IF(F1281&lt;&gt;"","待处理","")</f>
        <v/>
      </c>
    </row>
    <row r="1282">
      <c r="A1282" s="14">
        <f>IF(F1282&lt;&gt;"","ISSUE-"&amp;TEXT(ROW()-1,"00000"),"")</f>
        <v/>
      </c>
      <c r="B1282" s="14">
        <f>IF(F1282&lt;&gt;"","错误","")</f>
        <v/>
      </c>
      <c r="C1282" s="14">
        <f>IF('04_路径网络'!A282&lt;&gt;"","04_路径网络","")</f>
        <v/>
      </c>
      <c r="D1282" s="14">
        <f>IF('04_路径网络'!A282&lt;&gt;"",'04_路径网络'!A282,"")</f>
        <v/>
      </c>
      <c r="E1282" s="14">
        <f>IF(F1282&lt;&gt;"","综合校验","")</f>
        <v/>
      </c>
      <c r="F1282" s="14">
        <f>IF('04_路径网络'!A282&lt;&gt;"",IF('04_路径网络'!A282="","缺少路径ID；","")&amp;IF('04_路径网络'!C282="","缺少路径类型；","")&amp;IF('04_路径网络'!D282="","缺少起点对象ID；","")&amp;IF('04_路径网络'!E282="","缺少终点对象ID；","")&amp;IF(AND('04_路径网络'!D282&lt;&gt;"",'04_路径网络'!D282='04_路径网络'!E282),"起点与终点相同；","")&amp;IF(AND('04_路径网络'!D282&lt;&gt;"",COUNTIF('02_固定地理'!$A$2:$A$501,'04_路径网络'!D282)+COUNTIF('03_地点锚点'!$A$2:$A$501,'04_路径网络'!D282)+COUNTIF('06_建筑锚点'!$A$2:$A$501,'04_路径网络'!D282)=0),"起点引用对象不存在；","")&amp;IF(AND('04_路径网络'!E282&lt;&gt;"",COUNTIF('02_固定地理'!$A$2:$A$501,'04_路径网络'!E282)+COUNTIF('03_地点锚点'!$A$2:$A$501,'04_路径网络'!E282)+COUNTIF('06_建筑锚点'!$A$2:$A$501,'04_路径网络'!E282)=0),"终点引用对象不存在；","")&amp;IF(AND('04_路径网络'!F282&lt;&gt;"",COUNTIF('04_路径网络'!$A$2:$A$501,'04_路径网络'!F282)=0),"父级路径不存在；","")&amp;IF(AND('04_路径网络'!A282&lt;&gt;"",COUNTIF('04_路径网络'!$A$2:$A$501,'04_路径网络'!A282)&gt;1),"ID重复；",""),"")</f>
        <v/>
      </c>
      <c r="G1282" s="14">
        <f>IF(F1282&lt;&gt;"","按字段批注、数据字典和来源记录修正后复核","")</f>
        <v/>
      </c>
      <c r="H1282" s="14">
        <f>IF(F1282&lt;&gt;"","待处理","")</f>
        <v/>
      </c>
    </row>
    <row r="1283">
      <c r="A1283" s="14">
        <f>IF(F1283&lt;&gt;"","ISSUE-"&amp;TEXT(ROW()-1,"00000"),"")</f>
        <v/>
      </c>
      <c r="B1283" s="14">
        <f>IF(F1283&lt;&gt;"","错误","")</f>
        <v/>
      </c>
      <c r="C1283" s="14">
        <f>IF('04_路径网络'!A283&lt;&gt;"","04_路径网络","")</f>
        <v/>
      </c>
      <c r="D1283" s="14">
        <f>IF('04_路径网络'!A283&lt;&gt;"",'04_路径网络'!A283,"")</f>
        <v/>
      </c>
      <c r="E1283" s="14">
        <f>IF(F1283&lt;&gt;"","综合校验","")</f>
        <v/>
      </c>
      <c r="F1283" s="14">
        <f>IF('04_路径网络'!A283&lt;&gt;"",IF('04_路径网络'!A283="","缺少路径ID；","")&amp;IF('04_路径网络'!C283="","缺少路径类型；","")&amp;IF('04_路径网络'!D283="","缺少起点对象ID；","")&amp;IF('04_路径网络'!E283="","缺少终点对象ID；","")&amp;IF(AND('04_路径网络'!D283&lt;&gt;"",'04_路径网络'!D283='04_路径网络'!E283),"起点与终点相同；","")&amp;IF(AND('04_路径网络'!D283&lt;&gt;"",COUNTIF('02_固定地理'!$A$2:$A$501,'04_路径网络'!D283)+COUNTIF('03_地点锚点'!$A$2:$A$501,'04_路径网络'!D283)+COUNTIF('06_建筑锚点'!$A$2:$A$501,'04_路径网络'!D283)=0),"起点引用对象不存在；","")&amp;IF(AND('04_路径网络'!E283&lt;&gt;"",COUNTIF('02_固定地理'!$A$2:$A$501,'04_路径网络'!E283)+COUNTIF('03_地点锚点'!$A$2:$A$501,'04_路径网络'!E283)+COUNTIF('06_建筑锚点'!$A$2:$A$501,'04_路径网络'!E283)=0),"终点引用对象不存在；","")&amp;IF(AND('04_路径网络'!F283&lt;&gt;"",COUNTIF('04_路径网络'!$A$2:$A$501,'04_路径网络'!F283)=0),"父级路径不存在；","")&amp;IF(AND('04_路径网络'!A283&lt;&gt;"",COUNTIF('04_路径网络'!$A$2:$A$501,'04_路径网络'!A283)&gt;1),"ID重复；",""),"")</f>
        <v/>
      </c>
      <c r="G1283" s="14">
        <f>IF(F1283&lt;&gt;"","按字段批注、数据字典和来源记录修正后复核","")</f>
        <v/>
      </c>
      <c r="H1283" s="14">
        <f>IF(F1283&lt;&gt;"","待处理","")</f>
        <v/>
      </c>
    </row>
    <row r="1284">
      <c r="A1284" s="14">
        <f>IF(F1284&lt;&gt;"","ISSUE-"&amp;TEXT(ROW()-1,"00000"),"")</f>
        <v/>
      </c>
      <c r="B1284" s="14">
        <f>IF(F1284&lt;&gt;"","错误","")</f>
        <v/>
      </c>
      <c r="C1284" s="14">
        <f>IF('04_路径网络'!A284&lt;&gt;"","04_路径网络","")</f>
        <v/>
      </c>
      <c r="D1284" s="14">
        <f>IF('04_路径网络'!A284&lt;&gt;"",'04_路径网络'!A284,"")</f>
        <v/>
      </c>
      <c r="E1284" s="14">
        <f>IF(F1284&lt;&gt;"","综合校验","")</f>
        <v/>
      </c>
      <c r="F1284" s="14">
        <f>IF('04_路径网络'!A284&lt;&gt;"",IF('04_路径网络'!A284="","缺少路径ID；","")&amp;IF('04_路径网络'!C284="","缺少路径类型；","")&amp;IF('04_路径网络'!D284="","缺少起点对象ID；","")&amp;IF('04_路径网络'!E284="","缺少终点对象ID；","")&amp;IF(AND('04_路径网络'!D284&lt;&gt;"",'04_路径网络'!D284='04_路径网络'!E284),"起点与终点相同；","")&amp;IF(AND('04_路径网络'!D284&lt;&gt;"",COUNTIF('02_固定地理'!$A$2:$A$501,'04_路径网络'!D284)+COUNTIF('03_地点锚点'!$A$2:$A$501,'04_路径网络'!D284)+COUNTIF('06_建筑锚点'!$A$2:$A$501,'04_路径网络'!D284)=0),"起点引用对象不存在；","")&amp;IF(AND('04_路径网络'!E284&lt;&gt;"",COUNTIF('02_固定地理'!$A$2:$A$501,'04_路径网络'!E284)+COUNTIF('03_地点锚点'!$A$2:$A$501,'04_路径网络'!E284)+COUNTIF('06_建筑锚点'!$A$2:$A$501,'04_路径网络'!E284)=0),"终点引用对象不存在；","")&amp;IF(AND('04_路径网络'!F284&lt;&gt;"",COUNTIF('04_路径网络'!$A$2:$A$501,'04_路径网络'!F284)=0),"父级路径不存在；","")&amp;IF(AND('04_路径网络'!A284&lt;&gt;"",COUNTIF('04_路径网络'!$A$2:$A$501,'04_路径网络'!A284)&gt;1),"ID重复；",""),"")</f>
        <v/>
      </c>
      <c r="G1284" s="14">
        <f>IF(F1284&lt;&gt;"","按字段批注、数据字典和来源记录修正后复核","")</f>
        <v/>
      </c>
      <c r="H1284" s="14">
        <f>IF(F1284&lt;&gt;"","待处理","")</f>
        <v/>
      </c>
    </row>
    <row r="1285">
      <c r="A1285" s="14">
        <f>IF(F1285&lt;&gt;"","ISSUE-"&amp;TEXT(ROW()-1,"00000"),"")</f>
        <v/>
      </c>
      <c r="B1285" s="14">
        <f>IF(F1285&lt;&gt;"","错误","")</f>
        <v/>
      </c>
      <c r="C1285" s="14">
        <f>IF('04_路径网络'!A285&lt;&gt;"","04_路径网络","")</f>
        <v/>
      </c>
      <c r="D1285" s="14">
        <f>IF('04_路径网络'!A285&lt;&gt;"",'04_路径网络'!A285,"")</f>
        <v/>
      </c>
      <c r="E1285" s="14">
        <f>IF(F1285&lt;&gt;"","综合校验","")</f>
        <v/>
      </c>
      <c r="F1285" s="14">
        <f>IF('04_路径网络'!A285&lt;&gt;"",IF('04_路径网络'!A285="","缺少路径ID；","")&amp;IF('04_路径网络'!C285="","缺少路径类型；","")&amp;IF('04_路径网络'!D285="","缺少起点对象ID；","")&amp;IF('04_路径网络'!E285="","缺少终点对象ID；","")&amp;IF(AND('04_路径网络'!D285&lt;&gt;"",'04_路径网络'!D285='04_路径网络'!E285),"起点与终点相同；","")&amp;IF(AND('04_路径网络'!D285&lt;&gt;"",COUNTIF('02_固定地理'!$A$2:$A$501,'04_路径网络'!D285)+COUNTIF('03_地点锚点'!$A$2:$A$501,'04_路径网络'!D285)+COUNTIF('06_建筑锚点'!$A$2:$A$501,'04_路径网络'!D285)=0),"起点引用对象不存在；","")&amp;IF(AND('04_路径网络'!E285&lt;&gt;"",COUNTIF('02_固定地理'!$A$2:$A$501,'04_路径网络'!E285)+COUNTIF('03_地点锚点'!$A$2:$A$501,'04_路径网络'!E285)+COUNTIF('06_建筑锚点'!$A$2:$A$501,'04_路径网络'!E285)=0),"终点引用对象不存在；","")&amp;IF(AND('04_路径网络'!F285&lt;&gt;"",COUNTIF('04_路径网络'!$A$2:$A$501,'04_路径网络'!F285)=0),"父级路径不存在；","")&amp;IF(AND('04_路径网络'!A285&lt;&gt;"",COUNTIF('04_路径网络'!$A$2:$A$501,'04_路径网络'!A285)&gt;1),"ID重复；",""),"")</f>
        <v/>
      </c>
      <c r="G1285" s="14">
        <f>IF(F1285&lt;&gt;"","按字段批注、数据字典和来源记录修正后复核","")</f>
        <v/>
      </c>
      <c r="H1285" s="14">
        <f>IF(F1285&lt;&gt;"","待处理","")</f>
        <v/>
      </c>
    </row>
    <row r="1286">
      <c r="A1286" s="14">
        <f>IF(F1286&lt;&gt;"","ISSUE-"&amp;TEXT(ROW()-1,"00000"),"")</f>
        <v/>
      </c>
      <c r="B1286" s="14">
        <f>IF(F1286&lt;&gt;"","错误","")</f>
        <v/>
      </c>
      <c r="C1286" s="14">
        <f>IF('04_路径网络'!A286&lt;&gt;"","04_路径网络","")</f>
        <v/>
      </c>
      <c r="D1286" s="14">
        <f>IF('04_路径网络'!A286&lt;&gt;"",'04_路径网络'!A286,"")</f>
        <v/>
      </c>
      <c r="E1286" s="14">
        <f>IF(F1286&lt;&gt;"","综合校验","")</f>
        <v/>
      </c>
      <c r="F1286" s="14">
        <f>IF('04_路径网络'!A286&lt;&gt;"",IF('04_路径网络'!A286="","缺少路径ID；","")&amp;IF('04_路径网络'!C286="","缺少路径类型；","")&amp;IF('04_路径网络'!D286="","缺少起点对象ID；","")&amp;IF('04_路径网络'!E286="","缺少终点对象ID；","")&amp;IF(AND('04_路径网络'!D286&lt;&gt;"",'04_路径网络'!D286='04_路径网络'!E286),"起点与终点相同；","")&amp;IF(AND('04_路径网络'!D286&lt;&gt;"",COUNTIF('02_固定地理'!$A$2:$A$501,'04_路径网络'!D286)+COUNTIF('03_地点锚点'!$A$2:$A$501,'04_路径网络'!D286)+COUNTIF('06_建筑锚点'!$A$2:$A$501,'04_路径网络'!D286)=0),"起点引用对象不存在；","")&amp;IF(AND('04_路径网络'!E286&lt;&gt;"",COUNTIF('02_固定地理'!$A$2:$A$501,'04_路径网络'!E286)+COUNTIF('03_地点锚点'!$A$2:$A$501,'04_路径网络'!E286)+COUNTIF('06_建筑锚点'!$A$2:$A$501,'04_路径网络'!E286)=0),"终点引用对象不存在；","")&amp;IF(AND('04_路径网络'!F286&lt;&gt;"",COUNTIF('04_路径网络'!$A$2:$A$501,'04_路径网络'!F286)=0),"父级路径不存在；","")&amp;IF(AND('04_路径网络'!A286&lt;&gt;"",COUNTIF('04_路径网络'!$A$2:$A$501,'04_路径网络'!A286)&gt;1),"ID重复；",""),"")</f>
        <v/>
      </c>
      <c r="G1286" s="14">
        <f>IF(F1286&lt;&gt;"","按字段批注、数据字典和来源记录修正后复核","")</f>
        <v/>
      </c>
      <c r="H1286" s="14">
        <f>IF(F1286&lt;&gt;"","待处理","")</f>
        <v/>
      </c>
    </row>
    <row r="1287">
      <c r="A1287" s="14">
        <f>IF(F1287&lt;&gt;"","ISSUE-"&amp;TEXT(ROW()-1,"00000"),"")</f>
        <v/>
      </c>
      <c r="B1287" s="14">
        <f>IF(F1287&lt;&gt;"","错误","")</f>
        <v/>
      </c>
      <c r="C1287" s="14">
        <f>IF('04_路径网络'!A287&lt;&gt;"","04_路径网络","")</f>
        <v/>
      </c>
      <c r="D1287" s="14">
        <f>IF('04_路径网络'!A287&lt;&gt;"",'04_路径网络'!A287,"")</f>
        <v/>
      </c>
      <c r="E1287" s="14">
        <f>IF(F1287&lt;&gt;"","综合校验","")</f>
        <v/>
      </c>
      <c r="F1287" s="14">
        <f>IF('04_路径网络'!A287&lt;&gt;"",IF('04_路径网络'!A287="","缺少路径ID；","")&amp;IF('04_路径网络'!C287="","缺少路径类型；","")&amp;IF('04_路径网络'!D287="","缺少起点对象ID；","")&amp;IF('04_路径网络'!E287="","缺少终点对象ID；","")&amp;IF(AND('04_路径网络'!D287&lt;&gt;"",'04_路径网络'!D287='04_路径网络'!E287),"起点与终点相同；","")&amp;IF(AND('04_路径网络'!D287&lt;&gt;"",COUNTIF('02_固定地理'!$A$2:$A$501,'04_路径网络'!D287)+COUNTIF('03_地点锚点'!$A$2:$A$501,'04_路径网络'!D287)+COUNTIF('06_建筑锚点'!$A$2:$A$501,'04_路径网络'!D287)=0),"起点引用对象不存在；","")&amp;IF(AND('04_路径网络'!E287&lt;&gt;"",COUNTIF('02_固定地理'!$A$2:$A$501,'04_路径网络'!E287)+COUNTIF('03_地点锚点'!$A$2:$A$501,'04_路径网络'!E287)+COUNTIF('06_建筑锚点'!$A$2:$A$501,'04_路径网络'!E287)=0),"终点引用对象不存在；","")&amp;IF(AND('04_路径网络'!F287&lt;&gt;"",COUNTIF('04_路径网络'!$A$2:$A$501,'04_路径网络'!F287)=0),"父级路径不存在；","")&amp;IF(AND('04_路径网络'!A287&lt;&gt;"",COUNTIF('04_路径网络'!$A$2:$A$501,'04_路径网络'!A287)&gt;1),"ID重复；",""),"")</f>
        <v/>
      </c>
      <c r="G1287" s="14">
        <f>IF(F1287&lt;&gt;"","按字段批注、数据字典和来源记录修正后复核","")</f>
        <v/>
      </c>
      <c r="H1287" s="14">
        <f>IF(F1287&lt;&gt;"","待处理","")</f>
        <v/>
      </c>
    </row>
    <row r="1288">
      <c r="A1288" s="14">
        <f>IF(F1288&lt;&gt;"","ISSUE-"&amp;TEXT(ROW()-1,"00000"),"")</f>
        <v/>
      </c>
      <c r="B1288" s="14">
        <f>IF(F1288&lt;&gt;"","错误","")</f>
        <v/>
      </c>
      <c r="C1288" s="14">
        <f>IF('04_路径网络'!A288&lt;&gt;"","04_路径网络","")</f>
        <v/>
      </c>
      <c r="D1288" s="14">
        <f>IF('04_路径网络'!A288&lt;&gt;"",'04_路径网络'!A288,"")</f>
        <v/>
      </c>
      <c r="E1288" s="14">
        <f>IF(F1288&lt;&gt;"","综合校验","")</f>
        <v/>
      </c>
      <c r="F1288" s="14">
        <f>IF('04_路径网络'!A288&lt;&gt;"",IF('04_路径网络'!A288="","缺少路径ID；","")&amp;IF('04_路径网络'!C288="","缺少路径类型；","")&amp;IF('04_路径网络'!D288="","缺少起点对象ID；","")&amp;IF('04_路径网络'!E288="","缺少终点对象ID；","")&amp;IF(AND('04_路径网络'!D288&lt;&gt;"",'04_路径网络'!D288='04_路径网络'!E288),"起点与终点相同；","")&amp;IF(AND('04_路径网络'!D288&lt;&gt;"",COUNTIF('02_固定地理'!$A$2:$A$501,'04_路径网络'!D288)+COUNTIF('03_地点锚点'!$A$2:$A$501,'04_路径网络'!D288)+COUNTIF('06_建筑锚点'!$A$2:$A$501,'04_路径网络'!D288)=0),"起点引用对象不存在；","")&amp;IF(AND('04_路径网络'!E288&lt;&gt;"",COUNTIF('02_固定地理'!$A$2:$A$501,'04_路径网络'!E288)+COUNTIF('03_地点锚点'!$A$2:$A$501,'04_路径网络'!E288)+COUNTIF('06_建筑锚点'!$A$2:$A$501,'04_路径网络'!E288)=0),"终点引用对象不存在；","")&amp;IF(AND('04_路径网络'!F288&lt;&gt;"",COUNTIF('04_路径网络'!$A$2:$A$501,'04_路径网络'!F288)=0),"父级路径不存在；","")&amp;IF(AND('04_路径网络'!A288&lt;&gt;"",COUNTIF('04_路径网络'!$A$2:$A$501,'04_路径网络'!A288)&gt;1),"ID重复；",""),"")</f>
        <v/>
      </c>
      <c r="G1288" s="14">
        <f>IF(F1288&lt;&gt;"","按字段批注、数据字典和来源记录修正后复核","")</f>
        <v/>
      </c>
      <c r="H1288" s="14">
        <f>IF(F1288&lt;&gt;"","待处理","")</f>
        <v/>
      </c>
    </row>
    <row r="1289">
      <c r="A1289" s="14">
        <f>IF(F1289&lt;&gt;"","ISSUE-"&amp;TEXT(ROW()-1,"00000"),"")</f>
        <v/>
      </c>
      <c r="B1289" s="14">
        <f>IF(F1289&lt;&gt;"","错误","")</f>
        <v/>
      </c>
      <c r="C1289" s="14">
        <f>IF('04_路径网络'!A289&lt;&gt;"","04_路径网络","")</f>
        <v/>
      </c>
      <c r="D1289" s="14">
        <f>IF('04_路径网络'!A289&lt;&gt;"",'04_路径网络'!A289,"")</f>
        <v/>
      </c>
      <c r="E1289" s="14">
        <f>IF(F1289&lt;&gt;"","综合校验","")</f>
        <v/>
      </c>
      <c r="F1289" s="14">
        <f>IF('04_路径网络'!A289&lt;&gt;"",IF('04_路径网络'!A289="","缺少路径ID；","")&amp;IF('04_路径网络'!C289="","缺少路径类型；","")&amp;IF('04_路径网络'!D289="","缺少起点对象ID；","")&amp;IF('04_路径网络'!E289="","缺少终点对象ID；","")&amp;IF(AND('04_路径网络'!D289&lt;&gt;"",'04_路径网络'!D289='04_路径网络'!E289),"起点与终点相同；","")&amp;IF(AND('04_路径网络'!D289&lt;&gt;"",COUNTIF('02_固定地理'!$A$2:$A$501,'04_路径网络'!D289)+COUNTIF('03_地点锚点'!$A$2:$A$501,'04_路径网络'!D289)+COUNTIF('06_建筑锚点'!$A$2:$A$501,'04_路径网络'!D289)=0),"起点引用对象不存在；","")&amp;IF(AND('04_路径网络'!E289&lt;&gt;"",COUNTIF('02_固定地理'!$A$2:$A$501,'04_路径网络'!E289)+COUNTIF('03_地点锚点'!$A$2:$A$501,'04_路径网络'!E289)+COUNTIF('06_建筑锚点'!$A$2:$A$501,'04_路径网络'!E289)=0),"终点引用对象不存在；","")&amp;IF(AND('04_路径网络'!F289&lt;&gt;"",COUNTIF('04_路径网络'!$A$2:$A$501,'04_路径网络'!F289)=0),"父级路径不存在；","")&amp;IF(AND('04_路径网络'!A289&lt;&gt;"",COUNTIF('04_路径网络'!$A$2:$A$501,'04_路径网络'!A289)&gt;1),"ID重复；",""),"")</f>
        <v/>
      </c>
      <c r="G1289" s="14">
        <f>IF(F1289&lt;&gt;"","按字段批注、数据字典和来源记录修正后复核","")</f>
        <v/>
      </c>
      <c r="H1289" s="14">
        <f>IF(F1289&lt;&gt;"","待处理","")</f>
        <v/>
      </c>
    </row>
    <row r="1290">
      <c r="A1290" s="14">
        <f>IF(F1290&lt;&gt;"","ISSUE-"&amp;TEXT(ROW()-1,"00000"),"")</f>
        <v/>
      </c>
      <c r="B1290" s="14">
        <f>IF(F1290&lt;&gt;"","错误","")</f>
        <v/>
      </c>
      <c r="C1290" s="14">
        <f>IF('04_路径网络'!A290&lt;&gt;"","04_路径网络","")</f>
        <v/>
      </c>
      <c r="D1290" s="14">
        <f>IF('04_路径网络'!A290&lt;&gt;"",'04_路径网络'!A290,"")</f>
        <v/>
      </c>
      <c r="E1290" s="14">
        <f>IF(F1290&lt;&gt;"","综合校验","")</f>
        <v/>
      </c>
      <c r="F1290" s="14">
        <f>IF('04_路径网络'!A290&lt;&gt;"",IF('04_路径网络'!A290="","缺少路径ID；","")&amp;IF('04_路径网络'!C290="","缺少路径类型；","")&amp;IF('04_路径网络'!D290="","缺少起点对象ID；","")&amp;IF('04_路径网络'!E290="","缺少终点对象ID；","")&amp;IF(AND('04_路径网络'!D290&lt;&gt;"",'04_路径网络'!D290='04_路径网络'!E290),"起点与终点相同；","")&amp;IF(AND('04_路径网络'!D290&lt;&gt;"",COUNTIF('02_固定地理'!$A$2:$A$501,'04_路径网络'!D290)+COUNTIF('03_地点锚点'!$A$2:$A$501,'04_路径网络'!D290)+COUNTIF('06_建筑锚点'!$A$2:$A$501,'04_路径网络'!D290)=0),"起点引用对象不存在；","")&amp;IF(AND('04_路径网络'!E290&lt;&gt;"",COUNTIF('02_固定地理'!$A$2:$A$501,'04_路径网络'!E290)+COUNTIF('03_地点锚点'!$A$2:$A$501,'04_路径网络'!E290)+COUNTIF('06_建筑锚点'!$A$2:$A$501,'04_路径网络'!E290)=0),"终点引用对象不存在；","")&amp;IF(AND('04_路径网络'!F290&lt;&gt;"",COUNTIF('04_路径网络'!$A$2:$A$501,'04_路径网络'!F290)=0),"父级路径不存在；","")&amp;IF(AND('04_路径网络'!A290&lt;&gt;"",COUNTIF('04_路径网络'!$A$2:$A$501,'04_路径网络'!A290)&gt;1),"ID重复；",""),"")</f>
        <v/>
      </c>
      <c r="G1290" s="14">
        <f>IF(F1290&lt;&gt;"","按字段批注、数据字典和来源记录修正后复核","")</f>
        <v/>
      </c>
      <c r="H1290" s="14">
        <f>IF(F1290&lt;&gt;"","待处理","")</f>
        <v/>
      </c>
    </row>
    <row r="1291">
      <c r="A1291" s="14">
        <f>IF(F1291&lt;&gt;"","ISSUE-"&amp;TEXT(ROW()-1,"00000"),"")</f>
        <v/>
      </c>
      <c r="B1291" s="14">
        <f>IF(F1291&lt;&gt;"","错误","")</f>
        <v/>
      </c>
      <c r="C1291" s="14">
        <f>IF('04_路径网络'!A291&lt;&gt;"","04_路径网络","")</f>
        <v/>
      </c>
      <c r="D1291" s="14">
        <f>IF('04_路径网络'!A291&lt;&gt;"",'04_路径网络'!A291,"")</f>
        <v/>
      </c>
      <c r="E1291" s="14">
        <f>IF(F1291&lt;&gt;"","综合校验","")</f>
        <v/>
      </c>
      <c r="F1291" s="14">
        <f>IF('04_路径网络'!A291&lt;&gt;"",IF('04_路径网络'!A291="","缺少路径ID；","")&amp;IF('04_路径网络'!C291="","缺少路径类型；","")&amp;IF('04_路径网络'!D291="","缺少起点对象ID；","")&amp;IF('04_路径网络'!E291="","缺少终点对象ID；","")&amp;IF(AND('04_路径网络'!D291&lt;&gt;"",'04_路径网络'!D291='04_路径网络'!E291),"起点与终点相同；","")&amp;IF(AND('04_路径网络'!D291&lt;&gt;"",COUNTIF('02_固定地理'!$A$2:$A$501,'04_路径网络'!D291)+COUNTIF('03_地点锚点'!$A$2:$A$501,'04_路径网络'!D291)+COUNTIF('06_建筑锚点'!$A$2:$A$501,'04_路径网络'!D291)=0),"起点引用对象不存在；","")&amp;IF(AND('04_路径网络'!E291&lt;&gt;"",COUNTIF('02_固定地理'!$A$2:$A$501,'04_路径网络'!E291)+COUNTIF('03_地点锚点'!$A$2:$A$501,'04_路径网络'!E291)+COUNTIF('06_建筑锚点'!$A$2:$A$501,'04_路径网络'!E291)=0),"终点引用对象不存在；","")&amp;IF(AND('04_路径网络'!F291&lt;&gt;"",COUNTIF('04_路径网络'!$A$2:$A$501,'04_路径网络'!F291)=0),"父级路径不存在；","")&amp;IF(AND('04_路径网络'!A291&lt;&gt;"",COUNTIF('04_路径网络'!$A$2:$A$501,'04_路径网络'!A291)&gt;1),"ID重复；",""),"")</f>
        <v/>
      </c>
      <c r="G1291" s="14">
        <f>IF(F1291&lt;&gt;"","按字段批注、数据字典和来源记录修正后复核","")</f>
        <v/>
      </c>
      <c r="H1291" s="14">
        <f>IF(F1291&lt;&gt;"","待处理","")</f>
        <v/>
      </c>
    </row>
    <row r="1292">
      <c r="A1292" s="14">
        <f>IF(F1292&lt;&gt;"","ISSUE-"&amp;TEXT(ROW()-1,"00000"),"")</f>
        <v/>
      </c>
      <c r="B1292" s="14">
        <f>IF(F1292&lt;&gt;"","错误","")</f>
        <v/>
      </c>
      <c r="C1292" s="14">
        <f>IF('04_路径网络'!A292&lt;&gt;"","04_路径网络","")</f>
        <v/>
      </c>
      <c r="D1292" s="14">
        <f>IF('04_路径网络'!A292&lt;&gt;"",'04_路径网络'!A292,"")</f>
        <v/>
      </c>
      <c r="E1292" s="14">
        <f>IF(F1292&lt;&gt;"","综合校验","")</f>
        <v/>
      </c>
      <c r="F1292" s="14">
        <f>IF('04_路径网络'!A292&lt;&gt;"",IF('04_路径网络'!A292="","缺少路径ID；","")&amp;IF('04_路径网络'!C292="","缺少路径类型；","")&amp;IF('04_路径网络'!D292="","缺少起点对象ID；","")&amp;IF('04_路径网络'!E292="","缺少终点对象ID；","")&amp;IF(AND('04_路径网络'!D292&lt;&gt;"",'04_路径网络'!D292='04_路径网络'!E292),"起点与终点相同；","")&amp;IF(AND('04_路径网络'!D292&lt;&gt;"",COUNTIF('02_固定地理'!$A$2:$A$501,'04_路径网络'!D292)+COUNTIF('03_地点锚点'!$A$2:$A$501,'04_路径网络'!D292)+COUNTIF('06_建筑锚点'!$A$2:$A$501,'04_路径网络'!D292)=0),"起点引用对象不存在；","")&amp;IF(AND('04_路径网络'!E292&lt;&gt;"",COUNTIF('02_固定地理'!$A$2:$A$501,'04_路径网络'!E292)+COUNTIF('03_地点锚点'!$A$2:$A$501,'04_路径网络'!E292)+COUNTIF('06_建筑锚点'!$A$2:$A$501,'04_路径网络'!E292)=0),"终点引用对象不存在；","")&amp;IF(AND('04_路径网络'!F292&lt;&gt;"",COUNTIF('04_路径网络'!$A$2:$A$501,'04_路径网络'!F292)=0),"父级路径不存在；","")&amp;IF(AND('04_路径网络'!A292&lt;&gt;"",COUNTIF('04_路径网络'!$A$2:$A$501,'04_路径网络'!A292)&gt;1),"ID重复；",""),"")</f>
        <v/>
      </c>
      <c r="G1292" s="14">
        <f>IF(F1292&lt;&gt;"","按字段批注、数据字典和来源记录修正后复核","")</f>
        <v/>
      </c>
      <c r="H1292" s="14">
        <f>IF(F1292&lt;&gt;"","待处理","")</f>
        <v/>
      </c>
    </row>
    <row r="1293">
      <c r="A1293" s="14">
        <f>IF(F1293&lt;&gt;"","ISSUE-"&amp;TEXT(ROW()-1,"00000"),"")</f>
        <v/>
      </c>
      <c r="B1293" s="14">
        <f>IF(F1293&lt;&gt;"","错误","")</f>
        <v/>
      </c>
      <c r="C1293" s="14">
        <f>IF('04_路径网络'!A293&lt;&gt;"","04_路径网络","")</f>
        <v/>
      </c>
      <c r="D1293" s="14">
        <f>IF('04_路径网络'!A293&lt;&gt;"",'04_路径网络'!A293,"")</f>
        <v/>
      </c>
      <c r="E1293" s="14">
        <f>IF(F1293&lt;&gt;"","综合校验","")</f>
        <v/>
      </c>
      <c r="F1293" s="14">
        <f>IF('04_路径网络'!A293&lt;&gt;"",IF('04_路径网络'!A293="","缺少路径ID；","")&amp;IF('04_路径网络'!C293="","缺少路径类型；","")&amp;IF('04_路径网络'!D293="","缺少起点对象ID；","")&amp;IF('04_路径网络'!E293="","缺少终点对象ID；","")&amp;IF(AND('04_路径网络'!D293&lt;&gt;"",'04_路径网络'!D293='04_路径网络'!E293),"起点与终点相同；","")&amp;IF(AND('04_路径网络'!D293&lt;&gt;"",COUNTIF('02_固定地理'!$A$2:$A$501,'04_路径网络'!D293)+COUNTIF('03_地点锚点'!$A$2:$A$501,'04_路径网络'!D293)+COUNTIF('06_建筑锚点'!$A$2:$A$501,'04_路径网络'!D293)=0),"起点引用对象不存在；","")&amp;IF(AND('04_路径网络'!E293&lt;&gt;"",COUNTIF('02_固定地理'!$A$2:$A$501,'04_路径网络'!E293)+COUNTIF('03_地点锚点'!$A$2:$A$501,'04_路径网络'!E293)+COUNTIF('06_建筑锚点'!$A$2:$A$501,'04_路径网络'!E293)=0),"终点引用对象不存在；","")&amp;IF(AND('04_路径网络'!F293&lt;&gt;"",COUNTIF('04_路径网络'!$A$2:$A$501,'04_路径网络'!F293)=0),"父级路径不存在；","")&amp;IF(AND('04_路径网络'!A293&lt;&gt;"",COUNTIF('04_路径网络'!$A$2:$A$501,'04_路径网络'!A293)&gt;1),"ID重复；",""),"")</f>
        <v/>
      </c>
      <c r="G1293" s="14">
        <f>IF(F1293&lt;&gt;"","按字段批注、数据字典和来源记录修正后复核","")</f>
        <v/>
      </c>
      <c r="H1293" s="14">
        <f>IF(F1293&lt;&gt;"","待处理","")</f>
        <v/>
      </c>
    </row>
    <row r="1294">
      <c r="A1294" s="14">
        <f>IF(F1294&lt;&gt;"","ISSUE-"&amp;TEXT(ROW()-1,"00000"),"")</f>
        <v/>
      </c>
      <c r="B1294" s="14">
        <f>IF(F1294&lt;&gt;"","错误","")</f>
        <v/>
      </c>
      <c r="C1294" s="14">
        <f>IF('04_路径网络'!A294&lt;&gt;"","04_路径网络","")</f>
        <v/>
      </c>
      <c r="D1294" s="14">
        <f>IF('04_路径网络'!A294&lt;&gt;"",'04_路径网络'!A294,"")</f>
        <v/>
      </c>
      <c r="E1294" s="14">
        <f>IF(F1294&lt;&gt;"","综合校验","")</f>
        <v/>
      </c>
      <c r="F1294" s="14">
        <f>IF('04_路径网络'!A294&lt;&gt;"",IF('04_路径网络'!A294="","缺少路径ID；","")&amp;IF('04_路径网络'!C294="","缺少路径类型；","")&amp;IF('04_路径网络'!D294="","缺少起点对象ID；","")&amp;IF('04_路径网络'!E294="","缺少终点对象ID；","")&amp;IF(AND('04_路径网络'!D294&lt;&gt;"",'04_路径网络'!D294='04_路径网络'!E294),"起点与终点相同；","")&amp;IF(AND('04_路径网络'!D294&lt;&gt;"",COUNTIF('02_固定地理'!$A$2:$A$501,'04_路径网络'!D294)+COUNTIF('03_地点锚点'!$A$2:$A$501,'04_路径网络'!D294)+COUNTIF('06_建筑锚点'!$A$2:$A$501,'04_路径网络'!D294)=0),"起点引用对象不存在；","")&amp;IF(AND('04_路径网络'!E294&lt;&gt;"",COUNTIF('02_固定地理'!$A$2:$A$501,'04_路径网络'!E294)+COUNTIF('03_地点锚点'!$A$2:$A$501,'04_路径网络'!E294)+COUNTIF('06_建筑锚点'!$A$2:$A$501,'04_路径网络'!E294)=0),"终点引用对象不存在；","")&amp;IF(AND('04_路径网络'!F294&lt;&gt;"",COUNTIF('04_路径网络'!$A$2:$A$501,'04_路径网络'!F294)=0),"父级路径不存在；","")&amp;IF(AND('04_路径网络'!A294&lt;&gt;"",COUNTIF('04_路径网络'!$A$2:$A$501,'04_路径网络'!A294)&gt;1),"ID重复；",""),"")</f>
        <v/>
      </c>
      <c r="G1294" s="14">
        <f>IF(F1294&lt;&gt;"","按字段批注、数据字典和来源记录修正后复核","")</f>
        <v/>
      </c>
      <c r="H1294" s="14">
        <f>IF(F1294&lt;&gt;"","待处理","")</f>
        <v/>
      </c>
    </row>
    <row r="1295">
      <c r="A1295" s="14">
        <f>IF(F1295&lt;&gt;"","ISSUE-"&amp;TEXT(ROW()-1,"00000"),"")</f>
        <v/>
      </c>
      <c r="B1295" s="14">
        <f>IF(F1295&lt;&gt;"","错误","")</f>
        <v/>
      </c>
      <c r="C1295" s="14">
        <f>IF('04_路径网络'!A295&lt;&gt;"","04_路径网络","")</f>
        <v/>
      </c>
      <c r="D1295" s="14">
        <f>IF('04_路径网络'!A295&lt;&gt;"",'04_路径网络'!A295,"")</f>
        <v/>
      </c>
      <c r="E1295" s="14">
        <f>IF(F1295&lt;&gt;"","综合校验","")</f>
        <v/>
      </c>
      <c r="F1295" s="14">
        <f>IF('04_路径网络'!A295&lt;&gt;"",IF('04_路径网络'!A295="","缺少路径ID；","")&amp;IF('04_路径网络'!C295="","缺少路径类型；","")&amp;IF('04_路径网络'!D295="","缺少起点对象ID；","")&amp;IF('04_路径网络'!E295="","缺少终点对象ID；","")&amp;IF(AND('04_路径网络'!D295&lt;&gt;"",'04_路径网络'!D295='04_路径网络'!E295),"起点与终点相同；","")&amp;IF(AND('04_路径网络'!D295&lt;&gt;"",COUNTIF('02_固定地理'!$A$2:$A$501,'04_路径网络'!D295)+COUNTIF('03_地点锚点'!$A$2:$A$501,'04_路径网络'!D295)+COUNTIF('06_建筑锚点'!$A$2:$A$501,'04_路径网络'!D295)=0),"起点引用对象不存在；","")&amp;IF(AND('04_路径网络'!E295&lt;&gt;"",COUNTIF('02_固定地理'!$A$2:$A$501,'04_路径网络'!E295)+COUNTIF('03_地点锚点'!$A$2:$A$501,'04_路径网络'!E295)+COUNTIF('06_建筑锚点'!$A$2:$A$501,'04_路径网络'!E295)=0),"终点引用对象不存在；","")&amp;IF(AND('04_路径网络'!F295&lt;&gt;"",COUNTIF('04_路径网络'!$A$2:$A$501,'04_路径网络'!F295)=0),"父级路径不存在；","")&amp;IF(AND('04_路径网络'!A295&lt;&gt;"",COUNTIF('04_路径网络'!$A$2:$A$501,'04_路径网络'!A295)&gt;1),"ID重复；",""),"")</f>
        <v/>
      </c>
      <c r="G1295" s="14">
        <f>IF(F1295&lt;&gt;"","按字段批注、数据字典和来源记录修正后复核","")</f>
        <v/>
      </c>
      <c r="H1295" s="14">
        <f>IF(F1295&lt;&gt;"","待处理","")</f>
        <v/>
      </c>
    </row>
    <row r="1296">
      <c r="A1296" s="14">
        <f>IF(F1296&lt;&gt;"","ISSUE-"&amp;TEXT(ROW()-1,"00000"),"")</f>
        <v/>
      </c>
      <c r="B1296" s="14">
        <f>IF(F1296&lt;&gt;"","错误","")</f>
        <v/>
      </c>
      <c r="C1296" s="14">
        <f>IF('04_路径网络'!A296&lt;&gt;"","04_路径网络","")</f>
        <v/>
      </c>
      <c r="D1296" s="14">
        <f>IF('04_路径网络'!A296&lt;&gt;"",'04_路径网络'!A296,"")</f>
        <v/>
      </c>
      <c r="E1296" s="14">
        <f>IF(F1296&lt;&gt;"","综合校验","")</f>
        <v/>
      </c>
      <c r="F1296" s="14">
        <f>IF('04_路径网络'!A296&lt;&gt;"",IF('04_路径网络'!A296="","缺少路径ID；","")&amp;IF('04_路径网络'!C296="","缺少路径类型；","")&amp;IF('04_路径网络'!D296="","缺少起点对象ID；","")&amp;IF('04_路径网络'!E296="","缺少终点对象ID；","")&amp;IF(AND('04_路径网络'!D296&lt;&gt;"",'04_路径网络'!D296='04_路径网络'!E296),"起点与终点相同；","")&amp;IF(AND('04_路径网络'!D296&lt;&gt;"",COUNTIF('02_固定地理'!$A$2:$A$501,'04_路径网络'!D296)+COUNTIF('03_地点锚点'!$A$2:$A$501,'04_路径网络'!D296)+COUNTIF('06_建筑锚点'!$A$2:$A$501,'04_路径网络'!D296)=0),"起点引用对象不存在；","")&amp;IF(AND('04_路径网络'!E296&lt;&gt;"",COUNTIF('02_固定地理'!$A$2:$A$501,'04_路径网络'!E296)+COUNTIF('03_地点锚点'!$A$2:$A$501,'04_路径网络'!E296)+COUNTIF('06_建筑锚点'!$A$2:$A$501,'04_路径网络'!E296)=0),"终点引用对象不存在；","")&amp;IF(AND('04_路径网络'!F296&lt;&gt;"",COUNTIF('04_路径网络'!$A$2:$A$501,'04_路径网络'!F296)=0),"父级路径不存在；","")&amp;IF(AND('04_路径网络'!A296&lt;&gt;"",COUNTIF('04_路径网络'!$A$2:$A$501,'04_路径网络'!A296)&gt;1),"ID重复；",""),"")</f>
        <v/>
      </c>
      <c r="G1296" s="14">
        <f>IF(F1296&lt;&gt;"","按字段批注、数据字典和来源记录修正后复核","")</f>
        <v/>
      </c>
      <c r="H1296" s="14">
        <f>IF(F1296&lt;&gt;"","待处理","")</f>
        <v/>
      </c>
    </row>
    <row r="1297">
      <c r="A1297" s="14">
        <f>IF(F1297&lt;&gt;"","ISSUE-"&amp;TEXT(ROW()-1,"00000"),"")</f>
        <v/>
      </c>
      <c r="B1297" s="14">
        <f>IF(F1297&lt;&gt;"","错误","")</f>
        <v/>
      </c>
      <c r="C1297" s="14">
        <f>IF('04_路径网络'!A297&lt;&gt;"","04_路径网络","")</f>
        <v/>
      </c>
      <c r="D1297" s="14">
        <f>IF('04_路径网络'!A297&lt;&gt;"",'04_路径网络'!A297,"")</f>
        <v/>
      </c>
      <c r="E1297" s="14">
        <f>IF(F1297&lt;&gt;"","综合校验","")</f>
        <v/>
      </c>
      <c r="F1297" s="14">
        <f>IF('04_路径网络'!A297&lt;&gt;"",IF('04_路径网络'!A297="","缺少路径ID；","")&amp;IF('04_路径网络'!C297="","缺少路径类型；","")&amp;IF('04_路径网络'!D297="","缺少起点对象ID；","")&amp;IF('04_路径网络'!E297="","缺少终点对象ID；","")&amp;IF(AND('04_路径网络'!D297&lt;&gt;"",'04_路径网络'!D297='04_路径网络'!E297),"起点与终点相同；","")&amp;IF(AND('04_路径网络'!D297&lt;&gt;"",COUNTIF('02_固定地理'!$A$2:$A$501,'04_路径网络'!D297)+COUNTIF('03_地点锚点'!$A$2:$A$501,'04_路径网络'!D297)+COUNTIF('06_建筑锚点'!$A$2:$A$501,'04_路径网络'!D297)=0),"起点引用对象不存在；","")&amp;IF(AND('04_路径网络'!E297&lt;&gt;"",COUNTIF('02_固定地理'!$A$2:$A$501,'04_路径网络'!E297)+COUNTIF('03_地点锚点'!$A$2:$A$501,'04_路径网络'!E297)+COUNTIF('06_建筑锚点'!$A$2:$A$501,'04_路径网络'!E297)=0),"终点引用对象不存在；","")&amp;IF(AND('04_路径网络'!F297&lt;&gt;"",COUNTIF('04_路径网络'!$A$2:$A$501,'04_路径网络'!F297)=0),"父级路径不存在；","")&amp;IF(AND('04_路径网络'!A297&lt;&gt;"",COUNTIF('04_路径网络'!$A$2:$A$501,'04_路径网络'!A297)&gt;1),"ID重复；",""),"")</f>
        <v/>
      </c>
      <c r="G1297" s="14">
        <f>IF(F1297&lt;&gt;"","按字段批注、数据字典和来源记录修正后复核","")</f>
        <v/>
      </c>
      <c r="H1297" s="14">
        <f>IF(F1297&lt;&gt;"","待处理","")</f>
        <v/>
      </c>
    </row>
    <row r="1298">
      <c r="A1298" s="14">
        <f>IF(F1298&lt;&gt;"","ISSUE-"&amp;TEXT(ROW()-1,"00000"),"")</f>
        <v/>
      </c>
      <c r="B1298" s="14">
        <f>IF(F1298&lt;&gt;"","错误","")</f>
        <v/>
      </c>
      <c r="C1298" s="14">
        <f>IF('04_路径网络'!A298&lt;&gt;"","04_路径网络","")</f>
        <v/>
      </c>
      <c r="D1298" s="14">
        <f>IF('04_路径网络'!A298&lt;&gt;"",'04_路径网络'!A298,"")</f>
        <v/>
      </c>
      <c r="E1298" s="14">
        <f>IF(F1298&lt;&gt;"","综合校验","")</f>
        <v/>
      </c>
      <c r="F1298" s="14">
        <f>IF('04_路径网络'!A298&lt;&gt;"",IF('04_路径网络'!A298="","缺少路径ID；","")&amp;IF('04_路径网络'!C298="","缺少路径类型；","")&amp;IF('04_路径网络'!D298="","缺少起点对象ID；","")&amp;IF('04_路径网络'!E298="","缺少终点对象ID；","")&amp;IF(AND('04_路径网络'!D298&lt;&gt;"",'04_路径网络'!D298='04_路径网络'!E298),"起点与终点相同；","")&amp;IF(AND('04_路径网络'!D298&lt;&gt;"",COUNTIF('02_固定地理'!$A$2:$A$501,'04_路径网络'!D298)+COUNTIF('03_地点锚点'!$A$2:$A$501,'04_路径网络'!D298)+COUNTIF('06_建筑锚点'!$A$2:$A$501,'04_路径网络'!D298)=0),"起点引用对象不存在；","")&amp;IF(AND('04_路径网络'!E298&lt;&gt;"",COUNTIF('02_固定地理'!$A$2:$A$501,'04_路径网络'!E298)+COUNTIF('03_地点锚点'!$A$2:$A$501,'04_路径网络'!E298)+COUNTIF('06_建筑锚点'!$A$2:$A$501,'04_路径网络'!E298)=0),"终点引用对象不存在；","")&amp;IF(AND('04_路径网络'!F298&lt;&gt;"",COUNTIF('04_路径网络'!$A$2:$A$501,'04_路径网络'!F298)=0),"父级路径不存在；","")&amp;IF(AND('04_路径网络'!A298&lt;&gt;"",COUNTIF('04_路径网络'!$A$2:$A$501,'04_路径网络'!A298)&gt;1),"ID重复；",""),"")</f>
        <v/>
      </c>
      <c r="G1298" s="14">
        <f>IF(F1298&lt;&gt;"","按字段批注、数据字典和来源记录修正后复核","")</f>
        <v/>
      </c>
      <c r="H1298" s="14">
        <f>IF(F1298&lt;&gt;"","待处理","")</f>
        <v/>
      </c>
    </row>
    <row r="1299">
      <c r="A1299" s="14">
        <f>IF(F1299&lt;&gt;"","ISSUE-"&amp;TEXT(ROW()-1,"00000"),"")</f>
        <v/>
      </c>
      <c r="B1299" s="14">
        <f>IF(F1299&lt;&gt;"","错误","")</f>
        <v/>
      </c>
      <c r="C1299" s="14">
        <f>IF('04_路径网络'!A299&lt;&gt;"","04_路径网络","")</f>
        <v/>
      </c>
      <c r="D1299" s="14">
        <f>IF('04_路径网络'!A299&lt;&gt;"",'04_路径网络'!A299,"")</f>
        <v/>
      </c>
      <c r="E1299" s="14">
        <f>IF(F1299&lt;&gt;"","综合校验","")</f>
        <v/>
      </c>
      <c r="F1299" s="14">
        <f>IF('04_路径网络'!A299&lt;&gt;"",IF('04_路径网络'!A299="","缺少路径ID；","")&amp;IF('04_路径网络'!C299="","缺少路径类型；","")&amp;IF('04_路径网络'!D299="","缺少起点对象ID；","")&amp;IF('04_路径网络'!E299="","缺少终点对象ID；","")&amp;IF(AND('04_路径网络'!D299&lt;&gt;"",'04_路径网络'!D299='04_路径网络'!E299),"起点与终点相同；","")&amp;IF(AND('04_路径网络'!D299&lt;&gt;"",COUNTIF('02_固定地理'!$A$2:$A$501,'04_路径网络'!D299)+COUNTIF('03_地点锚点'!$A$2:$A$501,'04_路径网络'!D299)+COUNTIF('06_建筑锚点'!$A$2:$A$501,'04_路径网络'!D299)=0),"起点引用对象不存在；","")&amp;IF(AND('04_路径网络'!E299&lt;&gt;"",COUNTIF('02_固定地理'!$A$2:$A$501,'04_路径网络'!E299)+COUNTIF('03_地点锚点'!$A$2:$A$501,'04_路径网络'!E299)+COUNTIF('06_建筑锚点'!$A$2:$A$501,'04_路径网络'!E299)=0),"终点引用对象不存在；","")&amp;IF(AND('04_路径网络'!F299&lt;&gt;"",COUNTIF('04_路径网络'!$A$2:$A$501,'04_路径网络'!F299)=0),"父级路径不存在；","")&amp;IF(AND('04_路径网络'!A299&lt;&gt;"",COUNTIF('04_路径网络'!$A$2:$A$501,'04_路径网络'!A299)&gt;1),"ID重复；",""),"")</f>
        <v/>
      </c>
      <c r="G1299" s="14">
        <f>IF(F1299&lt;&gt;"","按字段批注、数据字典和来源记录修正后复核","")</f>
        <v/>
      </c>
      <c r="H1299" s="14">
        <f>IF(F1299&lt;&gt;"","待处理","")</f>
        <v/>
      </c>
    </row>
    <row r="1300">
      <c r="A1300" s="14">
        <f>IF(F1300&lt;&gt;"","ISSUE-"&amp;TEXT(ROW()-1,"00000"),"")</f>
        <v/>
      </c>
      <c r="B1300" s="14">
        <f>IF(F1300&lt;&gt;"","错误","")</f>
        <v/>
      </c>
      <c r="C1300" s="14">
        <f>IF('04_路径网络'!A300&lt;&gt;"","04_路径网络","")</f>
        <v/>
      </c>
      <c r="D1300" s="14">
        <f>IF('04_路径网络'!A300&lt;&gt;"",'04_路径网络'!A300,"")</f>
        <v/>
      </c>
      <c r="E1300" s="14">
        <f>IF(F1300&lt;&gt;"","综合校验","")</f>
        <v/>
      </c>
      <c r="F1300" s="14">
        <f>IF('04_路径网络'!A300&lt;&gt;"",IF('04_路径网络'!A300="","缺少路径ID；","")&amp;IF('04_路径网络'!C300="","缺少路径类型；","")&amp;IF('04_路径网络'!D300="","缺少起点对象ID；","")&amp;IF('04_路径网络'!E300="","缺少终点对象ID；","")&amp;IF(AND('04_路径网络'!D300&lt;&gt;"",'04_路径网络'!D300='04_路径网络'!E300),"起点与终点相同；","")&amp;IF(AND('04_路径网络'!D300&lt;&gt;"",COUNTIF('02_固定地理'!$A$2:$A$501,'04_路径网络'!D300)+COUNTIF('03_地点锚点'!$A$2:$A$501,'04_路径网络'!D300)+COUNTIF('06_建筑锚点'!$A$2:$A$501,'04_路径网络'!D300)=0),"起点引用对象不存在；","")&amp;IF(AND('04_路径网络'!E300&lt;&gt;"",COUNTIF('02_固定地理'!$A$2:$A$501,'04_路径网络'!E300)+COUNTIF('03_地点锚点'!$A$2:$A$501,'04_路径网络'!E300)+COUNTIF('06_建筑锚点'!$A$2:$A$501,'04_路径网络'!E300)=0),"终点引用对象不存在；","")&amp;IF(AND('04_路径网络'!F300&lt;&gt;"",COUNTIF('04_路径网络'!$A$2:$A$501,'04_路径网络'!F300)=0),"父级路径不存在；","")&amp;IF(AND('04_路径网络'!A300&lt;&gt;"",COUNTIF('04_路径网络'!$A$2:$A$501,'04_路径网络'!A300)&gt;1),"ID重复；",""),"")</f>
        <v/>
      </c>
      <c r="G1300" s="14">
        <f>IF(F1300&lt;&gt;"","按字段批注、数据字典和来源记录修正后复核","")</f>
        <v/>
      </c>
      <c r="H1300" s="14">
        <f>IF(F1300&lt;&gt;"","待处理","")</f>
        <v/>
      </c>
    </row>
    <row r="1301">
      <c r="A1301" s="14">
        <f>IF(F1301&lt;&gt;"","ISSUE-"&amp;TEXT(ROW()-1,"00000"),"")</f>
        <v/>
      </c>
      <c r="B1301" s="14">
        <f>IF(F1301&lt;&gt;"","错误","")</f>
        <v/>
      </c>
      <c r="C1301" s="14">
        <f>IF('04_路径网络'!A301&lt;&gt;"","04_路径网络","")</f>
        <v/>
      </c>
      <c r="D1301" s="14">
        <f>IF('04_路径网络'!A301&lt;&gt;"",'04_路径网络'!A301,"")</f>
        <v/>
      </c>
      <c r="E1301" s="14">
        <f>IF(F1301&lt;&gt;"","综合校验","")</f>
        <v/>
      </c>
      <c r="F1301" s="14">
        <f>IF('04_路径网络'!A301&lt;&gt;"",IF('04_路径网络'!A301="","缺少路径ID；","")&amp;IF('04_路径网络'!C301="","缺少路径类型；","")&amp;IF('04_路径网络'!D301="","缺少起点对象ID；","")&amp;IF('04_路径网络'!E301="","缺少终点对象ID；","")&amp;IF(AND('04_路径网络'!D301&lt;&gt;"",'04_路径网络'!D301='04_路径网络'!E301),"起点与终点相同；","")&amp;IF(AND('04_路径网络'!D301&lt;&gt;"",COUNTIF('02_固定地理'!$A$2:$A$501,'04_路径网络'!D301)+COUNTIF('03_地点锚点'!$A$2:$A$501,'04_路径网络'!D301)+COUNTIF('06_建筑锚点'!$A$2:$A$501,'04_路径网络'!D301)=0),"起点引用对象不存在；","")&amp;IF(AND('04_路径网络'!E301&lt;&gt;"",COUNTIF('02_固定地理'!$A$2:$A$501,'04_路径网络'!E301)+COUNTIF('03_地点锚点'!$A$2:$A$501,'04_路径网络'!E301)+COUNTIF('06_建筑锚点'!$A$2:$A$501,'04_路径网络'!E301)=0),"终点引用对象不存在；","")&amp;IF(AND('04_路径网络'!F301&lt;&gt;"",COUNTIF('04_路径网络'!$A$2:$A$501,'04_路径网络'!F301)=0),"父级路径不存在；","")&amp;IF(AND('04_路径网络'!A301&lt;&gt;"",COUNTIF('04_路径网络'!$A$2:$A$501,'04_路径网络'!A301)&gt;1),"ID重复；",""),"")</f>
        <v/>
      </c>
      <c r="G1301" s="14">
        <f>IF(F1301&lt;&gt;"","按字段批注、数据字典和来源记录修正后复核","")</f>
        <v/>
      </c>
      <c r="H1301" s="14">
        <f>IF(F1301&lt;&gt;"","待处理","")</f>
        <v/>
      </c>
    </row>
    <row r="1302">
      <c r="A1302" s="14">
        <f>IF(F1302&lt;&gt;"","ISSUE-"&amp;TEXT(ROW()-1,"00000"),"")</f>
        <v/>
      </c>
      <c r="B1302" s="14">
        <f>IF(F1302&lt;&gt;"","错误","")</f>
        <v/>
      </c>
      <c r="C1302" s="14">
        <f>IF('04_路径网络'!A302&lt;&gt;"","04_路径网络","")</f>
        <v/>
      </c>
      <c r="D1302" s="14">
        <f>IF('04_路径网络'!A302&lt;&gt;"",'04_路径网络'!A302,"")</f>
        <v/>
      </c>
      <c r="E1302" s="14">
        <f>IF(F1302&lt;&gt;"","综合校验","")</f>
        <v/>
      </c>
      <c r="F1302" s="14">
        <f>IF('04_路径网络'!A302&lt;&gt;"",IF('04_路径网络'!A302="","缺少路径ID；","")&amp;IF('04_路径网络'!C302="","缺少路径类型；","")&amp;IF('04_路径网络'!D302="","缺少起点对象ID；","")&amp;IF('04_路径网络'!E302="","缺少终点对象ID；","")&amp;IF(AND('04_路径网络'!D302&lt;&gt;"",'04_路径网络'!D302='04_路径网络'!E302),"起点与终点相同；","")&amp;IF(AND('04_路径网络'!D302&lt;&gt;"",COUNTIF('02_固定地理'!$A$2:$A$501,'04_路径网络'!D302)+COUNTIF('03_地点锚点'!$A$2:$A$501,'04_路径网络'!D302)+COUNTIF('06_建筑锚点'!$A$2:$A$501,'04_路径网络'!D302)=0),"起点引用对象不存在；","")&amp;IF(AND('04_路径网络'!E302&lt;&gt;"",COUNTIF('02_固定地理'!$A$2:$A$501,'04_路径网络'!E302)+COUNTIF('03_地点锚点'!$A$2:$A$501,'04_路径网络'!E302)+COUNTIF('06_建筑锚点'!$A$2:$A$501,'04_路径网络'!E302)=0),"终点引用对象不存在；","")&amp;IF(AND('04_路径网络'!F302&lt;&gt;"",COUNTIF('04_路径网络'!$A$2:$A$501,'04_路径网络'!F302)=0),"父级路径不存在；","")&amp;IF(AND('04_路径网络'!A302&lt;&gt;"",COUNTIF('04_路径网络'!$A$2:$A$501,'04_路径网络'!A302)&gt;1),"ID重复；",""),"")</f>
        <v/>
      </c>
      <c r="G1302" s="14">
        <f>IF(F1302&lt;&gt;"","按字段批注、数据字典和来源记录修正后复核","")</f>
        <v/>
      </c>
      <c r="H1302" s="14">
        <f>IF(F1302&lt;&gt;"","待处理","")</f>
        <v/>
      </c>
    </row>
    <row r="1303">
      <c r="A1303" s="14">
        <f>IF(F1303&lt;&gt;"","ISSUE-"&amp;TEXT(ROW()-1,"00000"),"")</f>
        <v/>
      </c>
      <c r="B1303" s="14">
        <f>IF(F1303&lt;&gt;"","错误","")</f>
        <v/>
      </c>
      <c r="C1303" s="14">
        <f>IF('04_路径网络'!A303&lt;&gt;"","04_路径网络","")</f>
        <v/>
      </c>
      <c r="D1303" s="14">
        <f>IF('04_路径网络'!A303&lt;&gt;"",'04_路径网络'!A303,"")</f>
        <v/>
      </c>
      <c r="E1303" s="14">
        <f>IF(F1303&lt;&gt;"","综合校验","")</f>
        <v/>
      </c>
      <c r="F1303" s="14">
        <f>IF('04_路径网络'!A303&lt;&gt;"",IF('04_路径网络'!A303="","缺少路径ID；","")&amp;IF('04_路径网络'!C303="","缺少路径类型；","")&amp;IF('04_路径网络'!D303="","缺少起点对象ID；","")&amp;IF('04_路径网络'!E303="","缺少终点对象ID；","")&amp;IF(AND('04_路径网络'!D303&lt;&gt;"",'04_路径网络'!D303='04_路径网络'!E303),"起点与终点相同；","")&amp;IF(AND('04_路径网络'!D303&lt;&gt;"",COUNTIF('02_固定地理'!$A$2:$A$501,'04_路径网络'!D303)+COUNTIF('03_地点锚点'!$A$2:$A$501,'04_路径网络'!D303)+COUNTIF('06_建筑锚点'!$A$2:$A$501,'04_路径网络'!D303)=0),"起点引用对象不存在；","")&amp;IF(AND('04_路径网络'!E303&lt;&gt;"",COUNTIF('02_固定地理'!$A$2:$A$501,'04_路径网络'!E303)+COUNTIF('03_地点锚点'!$A$2:$A$501,'04_路径网络'!E303)+COUNTIF('06_建筑锚点'!$A$2:$A$501,'04_路径网络'!E303)=0),"终点引用对象不存在；","")&amp;IF(AND('04_路径网络'!F303&lt;&gt;"",COUNTIF('04_路径网络'!$A$2:$A$501,'04_路径网络'!F303)=0),"父级路径不存在；","")&amp;IF(AND('04_路径网络'!A303&lt;&gt;"",COUNTIF('04_路径网络'!$A$2:$A$501,'04_路径网络'!A303)&gt;1),"ID重复；",""),"")</f>
        <v/>
      </c>
      <c r="G1303" s="14">
        <f>IF(F1303&lt;&gt;"","按字段批注、数据字典和来源记录修正后复核","")</f>
        <v/>
      </c>
      <c r="H1303" s="14">
        <f>IF(F1303&lt;&gt;"","待处理","")</f>
        <v/>
      </c>
    </row>
    <row r="1304">
      <c r="A1304" s="14">
        <f>IF(F1304&lt;&gt;"","ISSUE-"&amp;TEXT(ROW()-1,"00000"),"")</f>
        <v/>
      </c>
      <c r="B1304" s="14">
        <f>IF(F1304&lt;&gt;"","错误","")</f>
        <v/>
      </c>
      <c r="C1304" s="14">
        <f>IF('04_路径网络'!A304&lt;&gt;"","04_路径网络","")</f>
        <v/>
      </c>
      <c r="D1304" s="14">
        <f>IF('04_路径网络'!A304&lt;&gt;"",'04_路径网络'!A304,"")</f>
        <v/>
      </c>
      <c r="E1304" s="14">
        <f>IF(F1304&lt;&gt;"","综合校验","")</f>
        <v/>
      </c>
      <c r="F1304" s="14">
        <f>IF('04_路径网络'!A304&lt;&gt;"",IF('04_路径网络'!A304="","缺少路径ID；","")&amp;IF('04_路径网络'!C304="","缺少路径类型；","")&amp;IF('04_路径网络'!D304="","缺少起点对象ID；","")&amp;IF('04_路径网络'!E304="","缺少终点对象ID；","")&amp;IF(AND('04_路径网络'!D304&lt;&gt;"",'04_路径网络'!D304='04_路径网络'!E304),"起点与终点相同；","")&amp;IF(AND('04_路径网络'!D304&lt;&gt;"",COUNTIF('02_固定地理'!$A$2:$A$501,'04_路径网络'!D304)+COUNTIF('03_地点锚点'!$A$2:$A$501,'04_路径网络'!D304)+COUNTIF('06_建筑锚点'!$A$2:$A$501,'04_路径网络'!D304)=0),"起点引用对象不存在；","")&amp;IF(AND('04_路径网络'!E304&lt;&gt;"",COUNTIF('02_固定地理'!$A$2:$A$501,'04_路径网络'!E304)+COUNTIF('03_地点锚点'!$A$2:$A$501,'04_路径网络'!E304)+COUNTIF('06_建筑锚点'!$A$2:$A$501,'04_路径网络'!E304)=0),"终点引用对象不存在；","")&amp;IF(AND('04_路径网络'!F304&lt;&gt;"",COUNTIF('04_路径网络'!$A$2:$A$501,'04_路径网络'!F304)=0),"父级路径不存在；","")&amp;IF(AND('04_路径网络'!A304&lt;&gt;"",COUNTIF('04_路径网络'!$A$2:$A$501,'04_路径网络'!A304)&gt;1),"ID重复；",""),"")</f>
        <v/>
      </c>
      <c r="G1304" s="14">
        <f>IF(F1304&lt;&gt;"","按字段批注、数据字典和来源记录修正后复核","")</f>
        <v/>
      </c>
      <c r="H1304" s="14">
        <f>IF(F1304&lt;&gt;"","待处理","")</f>
        <v/>
      </c>
    </row>
    <row r="1305">
      <c r="A1305" s="14">
        <f>IF(F1305&lt;&gt;"","ISSUE-"&amp;TEXT(ROW()-1,"00000"),"")</f>
        <v/>
      </c>
      <c r="B1305" s="14">
        <f>IF(F1305&lt;&gt;"","错误","")</f>
        <v/>
      </c>
      <c r="C1305" s="14">
        <f>IF('04_路径网络'!A305&lt;&gt;"","04_路径网络","")</f>
        <v/>
      </c>
      <c r="D1305" s="14">
        <f>IF('04_路径网络'!A305&lt;&gt;"",'04_路径网络'!A305,"")</f>
        <v/>
      </c>
      <c r="E1305" s="14">
        <f>IF(F1305&lt;&gt;"","综合校验","")</f>
        <v/>
      </c>
      <c r="F1305" s="14">
        <f>IF('04_路径网络'!A305&lt;&gt;"",IF('04_路径网络'!A305="","缺少路径ID；","")&amp;IF('04_路径网络'!C305="","缺少路径类型；","")&amp;IF('04_路径网络'!D305="","缺少起点对象ID；","")&amp;IF('04_路径网络'!E305="","缺少终点对象ID；","")&amp;IF(AND('04_路径网络'!D305&lt;&gt;"",'04_路径网络'!D305='04_路径网络'!E305),"起点与终点相同；","")&amp;IF(AND('04_路径网络'!D305&lt;&gt;"",COUNTIF('02_固定地理'!$A$2:$A$501,'04_路径网络'!D305)+COUNTIF('03_地点锚点'!$A$2:$A$501,'04_路径网络'!D305)+COUNTIF('06_建筑锚点'!$A$2:$A$501,'04_路径网络'!D305)=0),"起点引用对象不存在；","")&amp;IF(AND('04_路径网络'!E305&lt;&gt;"",COUNTIF('02_固定地理'!$A$2:$A$501,'04_路径网络'!E305)+COUNTIF('03_地点锚点'!$A$2:$A$501,'04_路径网络'!E305)+COUNTIF('06_建筑锚点'!$A$2:$A$501,'04_路径网络'!E305)=0),"终点引用对象不存在；","")&amp;IF(AND('04_路径网络'!F305&lt;&gt;"",COUNTIF('04_路径网络'!$A$2:$A$501,'04_路径网络'!F305)=0),"父级路径不存在；","")&amp;IF(AND('04_路径网络'!A305&lt;&gt;"",COUNTIF('04_路径网络'!$A$2:$A$501,'04_路径网络'!A305)&gt;1),"ID重复；",""),"")</f>
        <v/>
      </c>
      <c r="G1305" s="14">
        <f>IF(F1305&lt;&gt;"","按字段批注、数据字典和来源记录修正后复核","")</f>
        <v/>
      </c>
      <c r="H1305" s="14">
        <f>IF(F1305&lt;&gt;"","待处理","")</f>
        <v/>
      </c>
    </row>
    <row r="1306">
      <c r="A1306" s="14">
        <f>IF(F1306&lt;&gt;"","ISSUE-"&amp;TEXT(ROW()-1,"00000"),"")</f>
        <v/>
      </c>
      <c r="B1306" s="14">
        <f>IF(F1306&lt;&gt;"","错误","")</f>
        <v/>
      </c>
      <c r="C1306" s="14">
        <f>IF('04_路径网络'!A306&lt;&gt;"","04_路径网络","")</f>
        <v/>
      </c>
      <c r="D1306" s="14">
        <f>IF('04_路径网络'!A306&lt;&gt;"",'04_路径网络'!A306,"")</f>
        <v/>
      </c>
      <c r="E1306" s="14">
        <f>IF(F1306&lt;&gt;"","综合校验","")</f>
        <v/>
      </c>
      <c r="F1306" s="14">
        <f>IF('04_路径网络'!A306&lt;&gt;"",IF('04_路径网络'!A306="","缺少路径ID；","")&amp;IF('04_路径网络'!C306="","缺少路径类型；","")&amp;IF('04_路径网络'!D306="","缺少起点对象ID；","")&amp;IF('04_路径网络'!E306="","缺少终点对象ID；","")&amp;IF(AND('04_路径网络'!D306&lt;&gt;"",'04_路径网络'!D306='04_路径网络'!E306),"起点与终点相同；","")&amp;IF(AND('04_路径网络'!D306&lt;&gt;"",COUNTIF('02_固定地理'!$A$2:$A$501,'04_路径网络'!D306)+COUNTIF('03_地点锚点'!$A$2:$A$501,'04_路径网络'!D306)+COUNTIF('06_建筑锚点'!$A$2:$A$501,'04_路径网络'!D306)=0),"起点引用对象不存在；","")&amp;IF(AND('04_路径网络'!E306&lt;&gt;"",COUNTIF('02_固定地理'!$A$2:$A$501,'04_路径网络'!E306)+COUNTIF('03_地点锚点'!$A$2:$A$501,'04_路径网络'!E306)+COUNTIF('06_建筑锚点'!$A$2:$A$501,'04_路径网络'!E306)=0),"终点引用对象不存在；","")&amp;IF(AND('04_路径网络'!F306&lt;&gt;"",COUNTIF('04_路径网络'!$A$2:$A$501,'04_路径网络'!F306)=0),"父级路径不存在；","")&amp;IF(AND('04_路径网络'!A306&lt;&gt;"",COUNTIF('04_路径网络'!$A$2:$A$501,'04_路径网络'!A306)&gt;1),"ID重复；",""),"")</f>
        <v/>
      </c>
      <c r="G1306" s="14">
        <f>IF(F1306&lt;&gt;"","按字段批注、数据字典和来源记录修正后复核","")</f>
        <v/>
      </c>
      <c r="H1306" s="14">
        <f>IF(F1306&lt;&gt;"","待处理","")</f>
        <v/>
      </c>
    </row>
    <row r="1307">
      <c r="A1307" s="14">
        <f>IF(F1307&lt;&gt;"","ISSUE-"&amp;TEXT(ROW()-1,"00000"),"")</f>
        <v/>
      </c>
      <c r="B1307" s="14">
        <f>IF(F1307&lt;&gt;"","错误","")</f>
        <v/>
      </c>
      <c r="C1307" s="14">
        <f>IF('04_路径网络'!A307&lt;&gt;"","04_路径网络","")</f>
        <v/>
      </c>
      <c r="D1307" s="14">
        <f>IF('04_路径网络'!A307&lt;&gt;"",'04_路径网络'!A307,"")</f>
        <v/>
      </c>
      <c r="E1307" s="14">
        <f>IF(F1307&lt;&gt;"","综合校验","")</f>
        <v/>
      </c>
      <c r="F1307" s="14">
        <f>IF('04_路径网络'!A307&lt;&gt;"",IF('04_路径网络'!A307="","缺少路径ID；","")&amp;IF('04_路径网络'!C307="","缺少路径类型；","")&amp;IF('04_路径网络'!D307="","缺少起点对象ID；","")&amp;IF('04_路径网络'!E307="","缺少终点对象ID；","")&amp;IF(AND('04_路径网络'!D307&lt;&gt;"",'04_路径网络'!D307='04_路径网络'!E307),"起点与终点相同；","")&amp;IF(AND('04_路径网络'!D307&lt;&gt;"",COUNTIF('02_固定地理'!$A$2:$A$501,'04_路径网络'!D307)+COUNTIF('03_地点锚点'!$A$2:$A$501,'04_路径网络'!D307)+COUNTIF('06_建筑锚点'!$A$2:$A$501,'04_路径网络'!D307)=0),"起点引用对象不存在；","")&amp;IF(AND('04_路径网络'!E307&lt;&gt;"",COUNTIF('02_固定地理'!$A$2:$A$501,'04_路径网络'!E307)+COUNTIF('03_地点锚点'!$A$2:$A$501,'04_路径网络'!E307)+COUNTIF('06_建筑锚点'!$A$2:$A$501,'04_路径网络'!E307)=0),"终点引用对象不存在；","")&amp;IF(AND('04_路径网络'!F307&lt;&gt;"",COUNTIF('04_路径网络'!$A$2:$A$501,'04_路径网络'!F307)=0),"父级路径不存在；","")&amp;IF(AND('04_路径网络'!A307&lt;&gt;"",COUNTIF('04_路径网络'!$A$2:$A$501,'04_路径网络'!A307)&gt;1),"ID重复；",""),"")</f>
        <v/>
      </c>
      <c r="G1307" s="14">
        <f>IF(F1307&lt;&gt;"","按字段批注、数据字典和来源记录修正后复核","")</f>
        <v/>
      </c>
      <c r="H1307" s="14">
        <f>IF(F1307&lt;&gt;"","待处理","")</f>
        <v/>
      </c>
    </row>
    <row r="1308">
      <c r="A1308" s="14">
        <f>IF(F1308&lt;&gt;"","ISSUE-"&amp;TEXT(ROW()-1,"00000"),"")</f>
        <v/>
      </c>
      <c r="B1308" s="14">
        <f>IF(F1308&lt;&gt;"","错误","")</f>
        <v/>
      </c>
      <c r="C1308" s="14">
        <f>IF('04_路径网络'!A308&lt;&gt;"","04_路径网络","")</f>
        <v/>
      </c>
      <c r="D1308" s="14">
        <f>IF('04_路径网络'!A308&lt;&gt;"",'04_路径网络'!A308,"")</f>
        <v/>
      </c>
      <c r="E1308" s="14">
        <f>IF(F1308&lt;&gt;"","综合校验","")</f>
        <v/>
      </c>
      <c r="F1308" s="14">
        <f>IF('04_路径网络'!A308&lt;&gt;"",IF('04_路径网络'!A308="","缺少路径ID；","")&amp;IF('04_路径网络'!C308="","缺少路径类型；","")&amp;IF('04_路径网络'!D308="","缺少起点对象ID；","")&amp;IF('04_路径网络'!E308="","缺少终点对象ID；","")&amp;IF(AND('04_路径网络'!D308&lt;&gt;"",'04_路径网络'!D308='04_路径网络'!E308),"起点与终点相同；","")&amp;IF(AND('04_路径网络'!D308&lt;&gt;"",COUNTIF('02_固定地理'!$A$2:$A$501,'04_路径网络'!D308)+COUNTIF('03_地点锚点'!$A$2:$A$501,'04_路径网络'!D308)+COUNTIF('06_建筑锚点'!$A$2:$A$501,'04_路径网络'!D308)=0),"起点引用对象不存在；","")&amp;IF(AND('04_路径网络'!E308&lt;&gt;"",COUNTIF('02_固定地理'!$A$2:$A$501,'04_路径网络'!E308)+COUNTIF('03_地点锚点'!$A$2:$A$501,'04_路径网络'!E308)+COUNTIF('06_建筑锚点'!$A$2:$A$501,'04_路径网络'!E308)=0),"终点引用对象不存在；","")&amp;IF(AND('04_路径网络'!F308&lt;&gt;"",COUNTIF('04_路径网络'!$A$2:$A$501,'04_路径网络'!F308)=0),"父级路径不存在；","")&amp;IF(AND('04_路径网络'!A308&lt;&gt;"",COUNTIF('04_路径网络'!$A$2:$A$501,'04_路径网络'!A308)&gt;1),"ID重复；",""),"")</f>
        <v/>
      </c>
      <c r="G1308" s="14">
        <f>IF(F1308&lt;&gt;"","按字段批注、数据字典和来源记录修正后复核","")</f>
        <v/>
      </c>
      <c r="H1308" s="14">
        <f>IF(F1308&lt;&gt;"","待处理","")</f>
        <v/>
      </c>
    </row>
    <row r="1309">
      <c r="A1309" s="14">
        <f>IF(F1309&lt;&gt;"","ISSUE-"&amp;TEXT(ROW()-1,"00000"),"")</f>
        <v/>
      </c>
      <c r="B1309" s="14">
        <f>IF(F1309&lt;&gt;"","错误","")</f>
        <v/>
      </c>
      <c r="C1309" s="14">
        <f>IF('04_路径网络'!A309&lt;&gt;"","04_路径网络","")</f>
        <v/>
      </c>
      <c r="D1309" s="14">
        <f>IF('04_路径网络'!A309&lt;&gt;"",'04_路径网络'!A309,"")</f>
        <v/>
      </c>
      <c r="E1309" s="14">
        <f>IF(F1309&lt;&gt;"","综合校验","")</f>
        <v/>
      </c>
      <c r="F1309" s="14">
        <f>IF('04_路径网络'!A309&lt;&gt;"",IF('04_路径网络'!A309="","缺少路径ID；","")&amp;IF('04_路径网络'!C309="","缺少路径类型；","")&amp;IF('04_路径网络'!D309="","缺少起点对象ID；","")&amp;IF('04_路径网络'!E309="","缺少终点对象ID；","")&amp;IF(AND('04_路径网络'!D309&lt;&gt;"",'04_路径网络'!D309='04_路径网络'!E309),"起点与终点相同；","")&amp;IF(AND('04_路径网络'!D309&lt;&gt;"",COUNTIF('02_固定地理'!$A$2:$A$501,'04_路径网络'!D309)+COUNTIF('03_地点锚点'!$A$2:$A$501,'04_路径网络'!D309)+COUNTIF('06_建筑锚点'!$A$2:$A$501,'04_路径网络'!D309)=0),"起点引用对象不存在；","")&amp;IF(AND('04_路径网络'!E309&lt;&gt;"",COUNTIF('02_固定地理'!$A$2:$A$501,'04_路径网络'!E309)+COUNTIF('03_地点锚点'!$A$2:$A$501,'04_路径网络'!E309)+COUNTIF('06_建筑锚点'!$A$2:$A$501,'04_路径网络'!E309)=0),"终点引用对象不存在；","")&amp;IF(AND('04_路径网络'!F309&lt;&gt;"",COUNTIF('04_路径网络'!$A$2:$A$501,'04_路径网络'!F309)=0),"父级路径不存在；","")&amp;IF(AND('04_路径网络'!A309&lt;&gt;"",COUNTIF('04_路径网络'!$A$2:$A$501,'04_路径网络'!A309)&gt;1),"ID重复；",""),"")</f>
        <v/>
      </c>
      <c r="G1309" s="14">
        <f>IF(F1309&lt;&gt;"","按字段批注、数据字典和来源记录修正后复核","")</f>
        <v/>
      </c>
      <c r="H1309" s="14">
        <f>IF(F1309&lt;&gt;"","待处理","")</f>
        <v/>
      </c>
    </row>
    <row r="1310">
      <c r="A1310" s="14">
        <f>IF(F1310&lt;&gt;"","ISSUE-"&amp;TEXT(ROW()-1,"00000"),"")</f>
        <v/>
      </c>
      <c r="B1310" s="14">
        <f>IF(F1310&lt;&gt;"","错误","")</f>
        <v/>
      </c>
      <c r="C1310" s="14">
        <f>IF('04_路径网络'!A310&lt;&gt;"","04_路径网络","")</f>
        <v/>
      </c>
      <c r="D1310" s="14">
        <f>IF('04_路径网络'!A310&lt;&gt;"",'04_路径网络'!A310,"")</f>
        <v/>
      </c>
      <c r="E1310" s="14">
        <f>IF(F1310&lt;&gt;"","综合校验","")</f>
        <v/>
      </c>
      <c r="F1310" s="14">
        <f>IF('04_路径网络'!A310&lt;&gt;"",IF('04_路径网络'!A310="","缺少路径ID；","")&amp;IF('04_路径网络'!C310="","缺少路径类型；","")&amp;IF('04_路径网络'!D310="","缺少起点对象ID；","")&amp;IF('04_路径网络'!E310="","缺少终点对象ID；","")&amp;IF(AND('04_路径网络'!D310&lt;&gt;"",'04_路径网络'!D310='04_路径网络'!E310),"起点与终点相同；","")&amp;IF(AND('04_路径网络'!D310&lt;&gt;"",COUNTIF('02_固定地理'!$A$2:$A$501,'04_路径网络'!D310)+COUNTIF('03_地点锚点'!$A$2:$A$501,'04_路径网络'!D310)+COUNTIF('06_建筑锚点'!$A$2:$A$501,'04_路径网络'!D310)=0),"起点引用对象不存在；","")&amp;IF(AND('04_路径网络'!E310&lt;&gt;"",COUNTIF('02_固定地理'!$A$2:$A$501,'04_路径网络'!E310)+COUNTIF('03_地点锚点'!$A$2:$A$501,'04_路径网络'!E310)+COUNTIF('06_建筑锚点'!$A$2:$A$501,'04_路径网络'!E310)=0),"终点引用对象不存在；","")&amp;IF(AND('04_路径网络'!F310&lt;&gt;"",COUNTIF('04_路径网络'!$A$2:$A$501,'04_路径网络'!F310)=0),"父级路径不存在；","")&amp;IF(AND('04_路径网络'!A310&lt;&gt;"",COUNTIF('04_路径网络'!$A$2:$A$501,'04_路径网络'!A310)&gt;1),"ID重复；",""),"")</f>
        <v/>
      </c>
      <c r="G1310" s="14">
        <f>IF(F1310&lt;&gt;"","按字段批注、数据字典和来源记录修正后复核","")</f>
        <v/>
      </c>
      <c r="H1310" s="14">
        <f>IF(F1310&lt;&gt;"","待处理","")</f>
        <v/>
      </c>
    </row>
    <row r="1311">
      <c r="A1311" s="14">
        <f>IF(F1311&lt;&gt;"","ISSUE-"&amp;TEXT(ROW()-1,"00000"),"")</f>
        <v/>
      </c>
      <c r="B1311" s="14">
        <f>IF(F1311&lt;&gt;"","错误","")</f>
        <v/>
      </c>
      <c r="C1311" s="14">
        <f>IF('04_路径网络'!A311&lt;&gt;"","04_路径网络","")</f>
        <v/>
      </c>
      <c r="D1311" s="14">
        <f>IF('04_路径网络'!A311&lt;&gt;"",'04_路径网络'!A311,"")</f>
        <v/>
      </c>
      <c r="E1311" s="14">
        <f>IF(F1311&lt;&gt;"","综合校验","")</f>
        <v/>
      </c>
      <c r="F1311" s="14">
        <f>IF('04_路径网络'!A311&lt;&gt;"",IF('04_路径网络'!A311="","缺少路径ID；","")&amp;IF('04_路径网络'!C311="","缺少路径类型；","")&amp;IF('04_路径网络'!D311="","缺少起点对象ID；","")&amp;IF('04_路径网络'!E311="","缺少终点对象ID；","")&amp;IF(AND('04_路径网络'!D311&lt;&gt;"",'04_路径网络'!D311='04_路径网络'!E311),"起点与终点相同；","")&amp;IF(AND('04_路径网络'!D311&lt;&gt;"",COUNTIF('02_固定地理'!$A$2:$A$501,'04_路径网络'!D311)+COUNTIF('03_地点锚点'!$A$2:$A$501,'04_路径网络'!D311)+COUNTIF('06_建筑锚点'!$A$2:$A$501,'04_路径网络'!D311)=0),"起点引用对象不存在；","")&amp;IF(AND('04_路径网络'!E311&lt;&gt;"",COUNTIF('02_固定地理'!$A$2:$A$501,'04_路径网络'!E311)+COUNTIF('03_地点锚点'!$A$2:$A$501,'04_路径网络'!E311)+COUNTIF('06_建筑锚点'!$A$2:$A$501,'04_路径网络'!E311)=0),"终点引用对象不存在；","")&amp;IF(AND('04_路径网络'!F311&lt;&gt;"",COUNTIF('04_路径网络'!$A$2:$A$501,'04_路径网络'!F311)=0),"父级路径不存在；","")&amp;IF(AND('04_路径网络'!A311&lt;&gt;"",COUNTIF('04_路径网络'!$A$2:$A$501,'04_路径网络'!A311)&gt;1),"ID重复；",""),"")</f>
        <v/>
      </c>
      <c r="G1311" s="14">
        <f>IF(F1311&lt;&gt;"","按字段批注、数据字典和来源记录修正后复核","")</f>
        <v/>
      </c>
      <c r="H1311" s="14">
        <f>IF(F1311&lt;&gt;"","待处理","")</f>
        <v/>
      </c>
    </row>
    <row r="1312">
      <c r="A1312" s="14">
        <f>IF(F1312&lt;&gt;"","ISSUE-"&amp;TEXT(ROW()-1,"00000"),"")</f>
        <v/>
      </c>
      <c r="B1312" s="14">
        <f>IF(F1312&lt;&gt;"","错误","")</f>
        <v/>
      </c>
      <c r="C1312" s="14">
        <f>IF('04_路径网络'!A312&lt;&gt;"","04_路径网络","")</f>
        <v/>
      </c>
      <c r="D1312" s="14">
        <f>IF('04_路径网络'!A312&lt;&gt;"",'04_路径网络'!A312,"")</f>
        <v/>
      </c>
      <c r="E1312" s="14">
        <f>IF(F1312&lt;&gt;"","综合校验","")</f>
        <v/>
      </c>
      <c r="F1312" s="14">
        <f>IF('04_路径网络'!A312&lt;&gt;"",IF('04_路径网络'!A312="","缺少路径ID；","")&amp;IF('04_路径网络'!C312="","缺少路径类型；","")&amp;IF('04_路径网络'!D312="","缺少起点对象ID；","")&amp;IF('04_路径网络'!E312="","缺少终点对象ID；","")&amp;IF(AND('04_路径网络'!D312&lt;&gt;"",'04_路径网络'!D312='04_路径网络'!E312),"起点与终点相同；","")&amp;IF(AND('04_路径网络'!D312&lt;&gt;"",COUNTIF('02_固定地理'!$A$2:$A$501,'04_路径网络'!D312)+COUNTIF('03_地点锚点'!$A$2:$A$501,'04_路径网络'!D312)+COUNTIF('06_建筑锚点'!$A$2:$A$501,'04_路径网络'!D312)=0),"起点引用对象不存在；","")&amp;IF(AND('04_路径网络'!E312&lt;&gt;"",COUNTIF('02_固定地理'!$A$2:$A$501,'04_路径网络'!E312)+COUNTIF('03_地点锚点'!$A$2:$A$501,'04_路径网络'!E312)+COUNTIF('06_建筑锚点'!$A$2:$A$501,'04_路径网络'!E312)=0),"终点引用对象不存在；","")&amp;IF(AND('04_路径网络'!F312&lt;&gt;"",COUNTIF('04_路径网络'!$A$2:$A$501,'04_路径网络'!F312)=0),"父级路径不存在；","")&amp;IF(AND('04_路径网络'!A312&lt;&gt;"",COUNTIF('04_路径网络'!$A$2:$A$501,'04_路径网络'!A312)&gt;1),"ID重复；",""),"")</f>
        <v/>
      </c>
      <c r="G1312" s="14">
        <f>IF(F1312&lt;&gt;"","按字段批注、数据字典和来源记录修正后复核","")</f>
        <v/>
      </c>
      <c r="H1312" s="14">
        <f>IF(F1312&lt;&gt;"","待处理","")</f>
        <v/>
      </c>
    </row>
    <row r="1313">
      <c r="A1313" s="14">
        <f>IF(F1313&lt;&gt;"","ISSUE-"&amp;TEXT(ROW()-1,"00000"),"")</f>
        <v/>
      </c>
      <c r="B1313" s="14">
        <f>IF(F1313&lt;&gt;"","错误","")</f>
        <v/>
      </c>
      <c r="C1313" s="14">
        <f>IF('04_路径网络'!A313&lt;&gt;"","04_路径网络","")</f>
        <v/>
      </c>
      <c r="D1313" s="14">
        <f>IF('04_路径网络'!A313&lt;&gt;"",'04_路径网络'!A313,"")</f>
        <v/>
      </c>
      <c r="E1313" s="14">
        <f>IF(F1313&lt;&gt;"","综合校验","")</f>
        <v/>
      </c>
      <c r="F1313" s="14">
        <f>IF('04_路径网络'!A313&lt;&gt;"",IF('04_路径网络'!A313="","缺少路径ID；","")&amp;IF('04_路径网络'!C313="","缺少路径类型；","")&amp;IF('04_路径网络'!D313="","缺少起点对象ID；","")&amp;IF('04_路径网络'!E313="","缺少终点对象ID；","")&amp;IF(AND('04_路径网络'!D313&lt;&gt;"",'04_路径网络'!D313='04_路径网络'!E313),"起点与终点相同；","")&amp;IF(AND('04_路径网络'!D313&lt;&gt;"",COUNTIF('02_固定地理'!$A$2:$A$501,'04_路径网络'!D313)+COUNTIF('03_地点锚点'!$A$2:$A$501,'04_路径网络'!D313)+COUNTIF('06_建筑锚点'!$A$2:$A$501,'04_路径网络'!D313)=0),"起点引用对象不存在；","")&amp;IF(AND('04_路径网络'!E313&lt;&gt;"",COUNTIF('02_固定地理'!$A$2:$A$501,'04_路径网络'!E313)+COUNTIF('03_地点锚点'!$A$2:$A$501,'04_路径网络'!E313)+COUNTIF('06_建筑锚点'!$A$2:$A$501,'04_路径网络'!E313)=0),"终点引用对象不存在；","")&amp;IF(AND('04_路径网络'!F313&lt;&gt;"",COUNTIF('04_路径网络'!$A$2:$A$501,'04_路径网络'!F313)=0),"父级路径不存在；","")&amp;IF(AND('04_路径网络'!A313&lt;&gt;"",COUNTIF('04_路径网络'!$A$2:$A$501,'04_路径网络'!A313)&gt;1),"ID重复；",""),"")</f>
        <v/>
      </c>
      <c r="G1313" s="14">
        <f>IF(F1313&lt;&gt;"","按字段批注、数据字典和来源记录修正后复核","")</f>
        <v/>
      </c>
      <c r="H1313" s="14">
        <f>IF(F1313&lt;&gt;"","待处理","")</f>
        <v/>
      </c>
    </row>
    <row r="1314">
      <c r="A1314" s="14">
        <f>IF(F1314&lt;&gt;"","ISSUE-"&amp;TEXT(ROW()-1,"00000"),"")</f>
        <v/>
      </c>
      <c r="B1314" s="14">
        <f>IF(F1314&lt;&gt;"","错误","")</f>
        <v/>
      </c>
      <c r="C1314" s="14">
        <f>IF('04_路径网络'!A314&lt;&gt;"","04_路径网络","")</f>
        <v/>
      </c>
      <c r="D1314" s="14">
        <f>IF('04_路径网络'!A314&lt;&gt;"",'04_路径网络'!A314,"")</f>
        <v/>
      </c>
      <c r="E1314" s="14">
        <f>IF(F1314&lt;&gt;"","综合校验","")</f>
        <v/>
      </c>
      <c r="F1314" s="14">
        <f>IF('04_路径网络'!A314&lt;&gt;"",IF('04_路径网络'!A314="","缺少路径ID；","")&amp;IF('04_路径网络'!C314="","缺少路径类型；","")&amp;IF('04_路径网络'!D314="","缺少起点对象ID；","")&amp;IF('04_路径网络'!E314="","缺少终点对象ID；","")&amp;IF(AND('04_路径网络'!D314&lt;&gt;"",'04_路径网络'!D314='04_路径网络'!E314),"起点与终点相同；","")&amp;IF(AND('04_路径网络'!D314&lt;&gt;"",COUNTIF('02_固定地理'!$A$2:$A$501,'04_路径网络'!D314)+COUNTIF('03_地点锚点'!$A$2:$A$501,'04_路径网络'!D314)+COUNTIF('06_建筑锚点'!$A$2:$A$501,'04_路径网络'!D314)=0),"起点引用对象不存在；","")&amp;IF(AND('04_路径网络'!E314&lt;&gt;"",COUNTIF('02_固定地理'!$A$2:$A$501,'04_路径网络'!E314)+COUNTIF('03_地点锚点'!$A$2:$A$501,'04_路径网络'!E314)+COUNTIF('06_建筑锚点'!$A$2:$A$501,'04_路径网络'!E314)=0),"终点引用对象不存在；","")&amp;IF(AND('04_路径网络'!F314&lt;&gt;"",COUNTIF('04_路径网络'!$A$2:$A$501,'04_路径网络'!F314)=0),"父级路径不存在；","")&amp;IF(AND('04_路径网络'!A314&lt;&gt;"",COUNTIF('04_路径网络'!$A$2:$A$501,'04_路径网络'!A314)&gt;1),"ID重复；",""),"")</f>
        <v/>
      </c>
      <c r="G1314" s="14">
        <f>IF(F1314&lt;&gt;"","按字段批注、数据字典和来源记录修正后复核","")</f>
        <v/>
      </c>
      <c r="H1314" s="14">
        <f>IF(F1314&lt;&gt;"","待处理","")</f>
        <v/>
      </c>
    </row>
    <row r="1315">
      <c r="A1315" s="14">
        <f>IF(F1315&lt;&gt;"","ISSUE-"&amp;TEXT(ROW()-1,"00000"),"")</f>
        <v/>
      </c>
      <c r="B1315" s="14">
        <f>IF(F1315&lt;&gt;"","错误","")</f>
        <v/>
      </c>
      <c r="C1315" s="14">
        <f>IF('04_路径网络'!A315&lt;&gt;"","04_路径网络","")</f>
        <v/>
      </c>
      <c r="D1315" s="14">
        <f>IF('04_路径网络'!A315&lt;&gt;"",'04_路径网络'!A315,"")</f>
        <v/>
      </c>
      <c r="E1315" s="14">
        <f>IF(F1315&lt;&gt;"","综合校验","")</f>
        <v/>
      </c>
      <c r="F1315" s="14">
        <f>IF('04_路径网络'!A315&lt;&gt;"",IF('04_路径网络'!A315="","缺少路径ID；","")&amp;IF('04_路径网络'!C315="","缺少路径类型；","")&amp;IF('04_路径网络'!D315="","缺少起点对象ID；","")&amp;IF('04_路径网络'!E315="","缺少终点对象ID；","")&amp;IF(AND('04_路径网络'!D315&lt;&gt;"",'04_路径网络'!D315='04_路径网络'!E315),"起点与终点相同；","")&amp;IF(AND('04_路径网络'!D315&lt;&gt;"",COUNTIF('02_固定地理'!$A$2:$A$501,'04_路径网络'!D315)+COUNTIF('03_地点锚点'!$A$2:$A$501,'04_路径网络'!D315)+COUNTIF('06_建筑锚点'!$A$2:$A$501,'04_路径网络'!D315)=0),"起点引用对象不存在；","")&amp;IF(AND('04_路径网络'!E315&lt;&gt;"",COUNTIF('02_固定地理'!$A$2:$A$501,'04_路径网络'!E315)+COUNTIF('03_地点锚点'!$A$2:$A$501,'04_路径网络'!E315)+COUNTIF('06_建筑锚点'!$A$2:$A$501,'04_路径网络'!E315)=0),"终点引用对象不存在；","")&amp;IF(AND('04_路径网络'!F315&lt;&gt;"",COUNTIF('04_路径网络'!$A$2:$A$501,'04_路径网络'!F315)=0),"父级路径不存在；","")&amp;IF(AND('04_路径网络'!A315&lt;&gt;"",COUNTIF('04_路径网络'!$A$2:$A$501,'04_路径网络'!A315)&gt;1),"ID重复；",""),"")</f>
        <v/>
      </c>
      <c r="G1315" s="14">
        <f>IF(F1315&lt;&gt;"","按字段批注、数据字典和来源记录修正后复核","")</f>
        <v/>
      </c>
      <c r="H1315" s="14">
        <f>IF(F1315&lt;&gt;"","待处理","")</f>
        <v/>
      </c>
    </row>
    <row r="1316">
      <c r="A1316" s="14">
        <f>IF(F1316&lt;&gt;"","ISSUE-"&amp;TEXT(ROW()-1,"00000"),"")</f>
        <v/>
      </c>
      <c r="B1316" s="14">
        <f>IF(F1316&lt;&gt;"","错误","")</f>
        <v/>
      </c>
      <c r="C1316" s="14">
        <f>IF('04_路径网络'!A316&lt;&gt;"","04_路径网络","")</f>
        <v/>
      </c>
      <c r="D1316" s="14">
        <f>IF('04_路径网络'!A316&lt;&gt;"",'04_路径网络'!A316,"")</f>
        <v/>
      </c>
      <c r="E1316" s="14">
        <f>IF(F1316&lt;&gt;"","综合校验","")</f>
        <v/>
      </c>
      <c r="F1316" s="14">
        <f>IF('04_路径网络'!A316&lt;&gt;"",IF('04_路径网络'!A316="","缺少路径ID；","")&amp;IF('04_路径网络'!C316="","缺少路径类型；","")&amp;IF('04_路径网络'!D316="","缺少起点对象ID；","")&amp;IF('04_路径网络'!E316="","缺少终点对象ID；","")&amp;IF(AND('04_路径网络'!D316&lt;&gt;"",'04_路径网络'!D316='04_路径网络'!E316),"起点与终点相同；","")&amp;IF(AND('04_路径网络'!D316&lt;&gt;"",COUNTIF('02_固定地理'!$A$2:$A$501,'04_路径网络'!D316)+COUNTIF('03_地点锚点'!$A$2:$A$501,'04_路径网络'!D316)+COUNTIF('06_建筑锚点'!$A$2:$A$501,'04_路径网络'!D316)=0),"起点引用对象不存在；","")&amp;IF(AND('04_路径网络'!E316&lt;&gt;"",COUNTIF('02_固定地理'!$A$2:$A$501,'04_路径网络'!E316)+COUNTIF('03_地点锚点'!$A$2:$A$501,'04_路径网络'!E316)+COUNTIF('06_建筑锚点'!$A$2:$A$501,'04_路径网络'!E316)=0),"终点引用对象不存在；","")&amp;IF(AND('04_路径网络'!F316&lt;&gt;"",COUNTIF('04_路径网络'!$A$2:$A$501,'04_路径网络'!F316)=0),"父级路径不存在；","")&amp;IF(AND('04_路径网络'!A316&lt;&gt;"",COUNTIF('04_路径网络'!$A$2:$A$501,'04_路径网络'!A316)&gt;1),"ID重复；",""),"")</f>
        <v/>
      </c>
      <c r="G1316" s="14">
        <f>IF(F1316&lt;&gt;"","按字段批注、数据字典和来源记录修正后复核","")</f>
        <v/>
      </c>
      <c r="H1316" s="14">
        <f>IF(F1316&lt;&gt;"","待处理","")</f>
        <v/>
      </c>
    </row>
    <row r="1317">
      <c r="A1317" s="14">
        <f>IF(F1317&lt;&gt;"","ISSUE-"&amp;TEXT(ROW()-1,"00000"),"")</f>
        <v/>
      </c>
      <c r="B1317" s="14">
        <f>IF(F1317&lt;&gt;"","错误","")</f>
        <v/>
      </c>
      <c r="C1317" s="14">
        <f>IF('04_路径网络'!A317&lt;&gt;"","04_路径网络","")</f>
        <v/>
      </c>
      <c r="D1317" s="14">
        <f>IF('04_路径网络'!A317&lt;&gt;"",'04_路径网络'!A317,"")</f>
        <v/>
      </c>
      <c r="E1317" s="14">
        <f>IF(F1317&lt;&gt;"","综合校验","")</f>
        <v/>
      </c>
      <c r="F1317" s="14">
        <f>IF('04_路径网络'!A317&lt;&gt;"",IF('04_路径网络'!A317="","缺少路径ID；","")&amp;IF('04_路径网络'!C317="","缺少路径类型；","")&amp;IF('04_路径网络'!D317="","缺少起点对象ID；","")&amp;IF('04_路径网络'!E317="","缺少终点对象ID；","")&amp;IF(AND('04_路径网络'!D317&lt;&gt;"",'04_路径网络'!D317='04_路径网络'!E317),"起点与终点相同；","")&amp;IF(AND('04_路径网络'!D317&lt;&gt;"",COUNTIF('02_固定地理'!$A$2:$A$501,'04_路径网络'!D317)+COUNTIF('03_地点锚点'!$A$2:$A$501,'04_路径网络'!D317)+COUNTIF('06_建筑锚点'!$A$2:$A$501,'04_路径网络'!D317)=0),"起点引用对象不存在；","")&amp;IF(AND('04_路径网络'!E317&lt;&gt;"",COUNTIF('02_固定地理'!$A$2:$A$501,'04_路径网络'!E317)+COUNTIF('03_地点锚点'!$A$2:$A$501,'04_路径网络'!E317)+COUNTIF('06_建筑锚点'!$A$2:$A$501,'04_路径网络'!E317)=0),"终点引用对象不存在；","")&amp;IF(AND('04_路径网络'!F317&lt;&gt;"",COUNTIF('04_路径网络'!$A$2:$A$501,'04_路径网络'!F317)=0),"父级路径不存在；","")&amp;IF(AND('04_路径网络'!A317&lt;&gt;"",COUNTIF('04_路径网络'!$A$2:$A$501,'04_路径网络'!A317)&gt;1),"ID重复；",""),"")</f>
        <v/>
      </c>
      <c r="G1317" s="14">
        <f>IF(F1317&lt;&gt;"","按字段批注、数据字典和来源记录修正后复核","")</f>
        <v/>
      </c>
      <c r="H1317" s="14">
        <f>IF(F1317&lt;&gt;"","待处理","")</f>
        <v/>
      </c>
    </row>
    <row r="1318">
      <c r="A1318" s="14">
        <f>IF(F1318&lt;&gt;"","ISSUE-"&amp;TEXT(ROW()-1,"00000"),"")</f>
        <v/>
      </c>
      <c r="B1318" s="14">
        <f>IF(F1318&lt;&gt;"","错误","")</f>
        <v/>
      </c>
      <c r="C1318" s="14">
        <f>IF('04_路径网络'!A318&lt;&gt;"","04_路径网络","")</f>
        <v/>
      </c>
      <c r="D1318" s="14">
        <f>IF('04_路径网络'!A318&lt;&gt;"",'04_路径网络'!A318,"")</f>
        <v/>
      </c>
      <c r="E1318" s="14">
        <f>IF(F1318&lt;&gt;"","综合校验","")</f>
        <v/>
      </c>
      <c r="F1318" s="14">
        <f>IF('04_路径网络'!A318&lt;&gt;"",IF('04_路径网络'!A318="","缺少路径ID；","")&amp;IF('04_路径网络'!C318="","缺少路径类型；","")&amp;IF('04_路径网络'!D318="","缺少起点对象ID；","")&amp;IF('04_路径网络'!E318="","缺少终点对象ID；","")&amp;IF(AND('04_路径网络'!D318&lt;&gt;"",'04_路径网络'!D318='04_路径网络'!E318),"起点与终点相同；","")&amp;IF(AND('04_路径网络'!D318&lt;&gt;"",COUNTIF('02_固定地理'!$A$2:$A$501,'04_路径网络'!D318)+COUNTIF('03_地点锚点'!$A$2:$A$501,'04_路径网络'!D318)+COUNTIF('06_建筑锚点'!$A$2:$A$501,'04_路径网络'!D318)=0),"起点引用对象不存在；","")&amp;IF(AND('04_路径网络'!E318&lt;&gt;"",COUNTIF('02_固定地理'!$A$2:$A$501,'04_路径网络'!E318)+COUNTIF('03_地点锚点'!$A$2:$A$501,'04_路径网络'!E318)+COUNTIF('06_建筑锚点'!$A$2:$A$501,'04_路径网络'!E318)=0),"终点引用对象不存在；","")&amp;IF(AND('04_路径网络'!F318&lt;&gt;"",COUNTIF('04_路径网络'!$A$2:$A$501,'04_路径网络'!F318)=0),"父级路径不存在；","")&amp;IF(AND('04_路径网络'!A318&lt;&gt;"",COUNTIF('04_路径网络'!$A$2:$A$501,'04_路径网络'!A318)&gt;1),"ID重复；",""),"")</f>
        <v/>
      </c>
      <c r="G1318" s="14">
        <f>IF(F1318&lt;&gt;"","按字段批注、数据字典和来源记录修正后复核","")</f>
        <v/>
      </c>
      <c r="H1318" s="14">
        <f>IF(F1318&lt;&gt;"","待处理","")</f>
        <v/>
      </c>
    </row>
    <row r="1319">
      <c r="A1319" s="14">
        <f>IF(F1319&lt;&gt;"","ISSUE-"&amp;TEXT(ROW()-1,"00000"),"")</f>
        <v/>
      </c>
      <c r="B1319" s="14">
        <f>IF(F1319&lt;&gt;"","错误","")</f>
        <v/>
      </c>
      <c r="C1319" s="14">
        <f>IF('04_路径网络'!A319&lt;&gt;"","04_路径网络","")</f>
        <v/>
      </c>
      <c r="D1319" s="14">
        <f>IF('04_路径网络'!A319&lt;&gt;"",'04_路径网络'!A319,"")</f>
        <v/>
      </c>
      <c r="E1319" s="14">
        <f>IF(F1319&lt;&gt;"","综合校验","")</f>
        <v/>
      </c>
      <c r="F1319" s="14">
        <f>IF('04_路径网络'!A319&lt;&gt;"",IF('04_路径网络'!A319="","缺少路径ID；","")&amp;IF('04_路径网络'!C319="","缺少路径类型；","")&amp;IF('04_路径网络'!D319="","缺少起点对象ID；","")&amp;IF('04_路径网络'!E319="","缺少终点对象ID；","")&amp;IF(AND('04_路径网络'!D319&lt;&gt;"",'04_路径网络'!D319='04_路径网络'!E319),"起点与终点相同；","")&amp;IF(AND('04_路径网络'!D319&lt;&gt;"",COUNTIF('02_固定地理'!$A$2:$A$501,'04_路径网络'!D319)+COUNTIF('03_地点锚点'!$A$2:$A$501,'04_路径网络'!D319)+COUNTIF('06_建筑锚点'!$A$2:$A$501,'04_路径网络'!D319)=0),"起点引用对象不存在；","")&amp;IF(AND('04_路径网络'!E319&lt;&gt;"",COUNTIF('02_固定地理'!$A$2:$A$501,'04_路径网络'!E319)+COUNTIF('03_地点锚点'!$A$2:$A$501,'04_路径网络'!E319)+COUNTIF('06_建筑锚点'!$A$2:$A$501,'04_路径网络'!E319)=0),"终点引用对象不存在；","")&amp;IF(AND('04_路径网络'!F319&lt;&gt;"",COUNTIF('04_路径网络'!$A$2:$A$501,'04_路径网络'!F319)=0),"父级路径不存在；","")&amp;IF(AND('04_路径网络'!A319&lt;&gt;"",COUNTIF('04_路径网络'!$A$2:$A$501,'04_路径网络'!A319)&gt;1),"ID重复；",""),"")</f>
        <v/>
      </c>
      <c r="G1319" s="14">
        <f>IF(F1319&lt;&gt;"","按字段批注、数据字典和来源记录修正后复核","")</f>
        <v/>
      </c>
      <c r="H1319" s="14">
        <f>IF(F1319&lt;&gt;"","待处理","")</f>
        <v/>
      </c>
    </row>
    <row r="1320">
      <c r="A1320" s="14">
        <f>IF(F1320&lt;&gt;"","ISSUE-"&amp;TEXT(ROW()-1,"00000"),"")</f>
        <v/>
      </c>
      <c r="B1320" s="14">
        <f>IF(F1320&lt;&gt;"","错误","")</f>
        <v/>
      </c>
      <c r="C1320" s="14">
        <f>IF('04_路径网络'!A320&lt;&gt;"","04_路径网络","")</f>
        <v/>
      </c>
      <c r="D1320" s="14">
        <f>IF('04_路径网络'!A320&lt;&gt;"",'04_路径网络'!A320,"")</f>
        <v/>
      </c>
      <c r="E1320" s="14">
        <f>IF(F1320&lt;&gt;"","综合校验","")</f>
        <v/>
      </c>
      <c r="F1320" s="14">
        <f>IF('04_路径网络'!A320&lt;&gt;"",IF('04_路径网络'!A320="","缺少路径ID；","")&amp;IF('04_路径网络'!C320="","缺少路径类型；","")&amp;IF('04_路径网络'!D320="","缺少起点对象ID；","")&amp;IF('04_路径网络'!E320="","缺少终点对象ID；","")&amp;IF(AND('04_路径网络'!D320&lt;&gt;"",'04_路径网络'!D320='04_路径网络'!E320),"起点与终点相同；","")&amp;IF(AND('04_路径网络'!D320&lt;&gt;"",COUNTIF('02_固定地理'!$A$2:$A$501,'04_路径网络'!D320)+COUNTIF('03_地点锚点'!$A$2:$A$501,'04_路径网络'!D320)+COUNTIF('06_建筑锚点'!$A$2:$A$501,'04_路径网络'!D320)=0),"起点引用对象不存在；","")&amp;IF(AND('04_路径网络'!E320&lt;&gt;"",COUNTIF('02_固定地理'!$A$2:$A$501,'04_路径网络'!E320)+COUNTIF('03_地点锚点'!$A$2:$A$501,'04_路径网络'!E320)+COUNTIF('06_建筑锚点'!$A$2:$A$501,'04_路径网络'!E320)=0),"终点引用对象不存在；","")&amp;IF(AND('04_路径网络'!F320&lt;&gt;"",COUNTIF('04_路径网络'!$A$2:$A$501,'04_路径网络'!F320)=0),"父级路径不存在；","")&amp;IF(AND('04_路径网络'!A320&lt;&gt;"",COUNTIF('04_路径网络'!$A$2:$A$501,'04_路径网络'!A320)&gt;1),"ID重复；",""),"")</f>
        <v/>
      </c>
      <c r="G1320" s="14">
        <f>IF(F1320&lt;&gt;"","按字段批注、数据字典和来源记录修正后复核","")</f>
        <v/>
      </c>
      <c r="H1320" s="14">
        <f>IF(F1320&lt;&gt;"","待处理","")</f>
        <v/>
      </c>
    </row>
    <row r="1321">
      <c r="A1321" s="14">
        <f>IF(F1321&lt;&gt;"","ISSUE-"&amp;TEXT(ROW()-1,"00000"),"")</f>
        <v/>
      </c>
      <c r="B1321" s="14">
        <f>IF(F1321&lt;&gt;"","错误","")</f>
        <v/>
      </c>
      <c r="C1321" s="14">
        <f>IF('04_路径网络'!A321&lt;&gt;"","04_路径网络","")</f>
        <v/>
      </c>
      <c r="D1321" s="14">
        <f>IF('04_路径网络'!A321&lt;&gt;"",'04_路径网络'!A321,"")</f>
        <v/>
      </c>
      <c r="E1321" s="14">
        <f>IF(F1321&lt;&gt;"","综合校验","")</f>
        <v/>
      </c>
      <c r="F1321" s="14">
        <f>IF('04_路径网络'!A321&lt;&gt;"",IF('04_路径网络'!A321="","缺少路径ID；","")&amp;IF('04_路径网络'!C321="","缺少路径类型；","")&amp;IF('04_路径网络'!D321="","缺少起点对象ID；","")&amp;IF('04_路径网络'!E321="","缺少终点对象ID；","")&amp;IF(AND('04_路径网络'!D321&lt;&gt;"",'04_路径网络'!D321='04_路径网络'!E321),"起点与终点相同；","")&amp;IF(AND('04_路径网络'!D321&lt;&gt;"",COUNTIF('02_固定地理'!$A$2:$A$501,'04_路径网络'!D321)+COUNTIF('03_地点锚点'!$A$2:$A$501,'04_路径网络'!D321)+COUNTIF('06_建筑锚点'!$A$2:$A$501,'04_路径网络'!D321)=0),"起点引用对象不存在；","")&amp;IF(AND('04_路径网络'!E321&lt;&gt;"",COUNTIF('02_固定地理'!$A$2:$A$501,'04_路径网络'!E321)+COUNTIF('03_地点锚点'!$A$2:$A$501,'04_路径网络'!E321)+COUNTIF('06_建筑锚点'!$A$2:$A$501,'04_路径网络'!E321)=0),"终点引用对象不存在；","")&amp;IF(AND('04_路径网络'!F321&lt;&gt;"",COUNTIF('04_路径网络'!$A$2:$A$501,'04_路径网络'!F321)=0),"父级路径不存在；","")&amp;IF(AND('04_路径网络'!A321&lt;&gt;"",COUNTIF('04_路径网络'!$A$2:$A$501,'04_路径网络'!A321)&gt;1),"ID重复；",""),"")</f>
        <v/>
      </c>
      <c r="G1321" s="14">
        <f>IF(F1321&lt;&gt;"","按字段批注、数据字典和来源记录修正后复核","")</f>
        <v/>
      </c>
      <c r="H1321" s="14">
        <f>IF(F1321&lt;&gt;"","待处理","")</f>
        <v/>
      </c>
    </row>
    <row r="1322">
      <c r="A1322" s="14">
        <f>IF(F1322&lt;&gt;"","ISSUE-"&amp;TEXT(ROW()-1,"00000"),"")</f>
        <v/>
      </c>
      <c r="B1322" s="14">
        <f>IF(F1322&lt;&gt;"","错误","")</f>
        <v/>
      </c>
      <c r="C1322" s="14">
        <f>IF('04_路径网络'!A322&lt;&gt;"","04_路径网络","")</f>
        <v/>
      </c>
      <c r="D1322" s="14">
        <f>IF('04_路径网络'!A322&lt;&gt;"",'04_路径网络'!A322,"")</f>
        <v/>
      </c>
      <c r="E1322" s="14">
        <f>IF(F1322&lt;&gt;"","综合校验","")</f>
        <v/>
      </c>
      <c r="F1322" s="14">
        <f>IF('04_路径网络'!A322&lt;&gt;"",IF('04_路径网络'!A322="","缺少路径ID；","")&amp;IF('04_路径网络'!C322="","缺少路径类型；","")&amp;IF('04_路径网络'!D322="","缺少起点对象ID；","")&amp;IF('04_路径网络'!E322="","缺少终点对象ID；","")&amp;IF(AND('04_路径网络'!D322&lt;&gt;"",'04_路径网络'!D322='04_路径网络'!E322),"起点与终点相同；","")&amp;IF(AND('04_路径网络'!D322&lt;&gt;"",COUNTIF('02_固定地理'!$A$2:$A$501,'04_路径网络'!D322)+COUNTIF('03_地点锚点'!$A$2:$A$501,'04_路径网络'!D322)+COUNTIF('06_建筑锚点'!$A$2:$A$501,'04_路径网络'!D322)=0),"起点引用对象不存在；","")&amp;IF(AND('04_路径网络'!E322&lt;&gt;"",COUNTIF('02_固定地理'!$A$2:$A$501,'04_路径网络'!E322)+COUNTIF('03_地点锚点'!$A$2:$A$501,'04_路径网络'!E322)+COUNTIF('06_建筑锚点'!$A$2:$A$501,'04_路径网络'!E322)=0),"终点引用对象不存在；","")&amp;IF(AND('04_路径网络'!F322&lt;&gt;"",COUNTIF('04_路径网络'!$A$2:$A$501,'04_路径网络'!F322)=0),"父级路径不存在；","")&amp;IF(AND('04_路径网络'!A322&lt;&gt;"",COUNTIF('04_路径网络'!$A$2:$A$501,'04_路径网络'!A322)&gt;1),"ID重复；",""),"")</f>
        <v/>
      </c>
      <c r="G1322" s="14">
        <f>IF(F1322&lt;&gt;"","按字段批注、数据字典和来源记录修正后复核","")</f>
        <v/>
      </c>
      <c r="H1322" s="14">
        <f>IF(F1322&lt;&gt;"","待处理","")</f>
        <v/>
      </c>
    </row>
    <row r="1323">
      <c r="A1323" s="14">
        <f>IF(F1323&lt;&gt;"","ISSUE-"&amp;TEXT(ROW()-1,"00000"),"")</f>
        <v/>
      </c>
      <c r="B1323" s="14">
        <f>IF(F1323&lt;&gt;"","错误","")</f>
        <v/>
      </c>
      <c r="C1323" s="14">
        <f>IF('04_路径网络'!A323&lt;&gt;"","04_路径网络","")</f>
        <v/>
      </c>
      <c r="D1323" s="14">
        <f>IF('04_路径网络'!A323&lt;&gt;"",'04_路径网络'!A323,"")</f>
        <v/>
      </c>
      <c r="E1323" s="14">
        <f>IF(F1323&lt;&gt;"","综合校验","")</f>
        <v/>
      </c>
      <c r="F1323" s="14">
        <f>IF('04_路径网络'!A323&lt;&gt;"",IF('04_路径网络'!A323="","缺少路径ID；","")&amp;IF('04_路径网络'!C323="","缺少路径类型；","")&amp;IF('04_路径网络'!D323="","缺少起点对象ID；","")&amp;IF('04_路径网络'!E323="","缺少终点对象ID；","")&amp;IF(AND('04_路径网络'!D323&lt;&gt;"",'04_路径网络'!D323='04_路径网络'!E323),"起点与终点相同；","")&amp;IF(AND('04_路径网络'!D323&lt;&gt;"",COUNTIF('02_固定地理'!$A$2:$A$501,'04_路径网络'!D323)+COUNTIF('03_地点锚点'!$A$2:$A$501,'04_路径网络'!D323)+COUNTIF('06_建筑锚点'!$A$2:$A$501,'04_路径网络'!D323)=0),"起点引用对象不存在；","")&amp;IF(AND('04_路径网络'!E323&lt;&gt;"",COUNTIF('02_固定地理'!$A$2:$A$501,'04_路径网络'!E323)+COUNTIF('03_地点锚点'!$A$2:$A$501,'04_路径网络'!E323)+COUNTIF('06_建筑锚点'!$A$2:$A$501,'04_路径网络'!E323)=0),"终点引用对象不存在；","")&amp;IF(AND('04_路径网络'!F323&lt;&gt;"",COUNTIF('04_路径网络'!$A$2:$A$501,'04_路径网络'!F323)=0),"父级路径不存在；","")&amp;IF(AND('04_路径网络'!A323&lt;&gt;"",COUNTIF('04_路径网络'!$A$2:$A$501,'04_路径网络'!A323)&gt;1),"ID重复；",""),"")</f>
        <v/>
      </c>
      <c r="G1323" s="14">
        <f>IF(F1323&lt;&gt;"","按字段批注、数据字典和来源记录修正后复核","")</f>
        <v/>
      </c>
      <c r="H1323" s="14">
        <f>IF(F1323&lt;&gt;"","待处理","")</f>
        <v/>
      </c>
    </row>
    <row r="1324">
      <c r="A1324" s="14">
        <f>IF(F1324&lt;&gt;"","ISSUE-"&amp;TEXT(ROW()-1,"00000"),"")</f>
        <v/>
      </c>
      <c r="B1324" s="14">
        <f>IF(F1324&lt;&gt;"","错误","")</f>
        <v/>
      </c>
      <c r="C1324" s="14">
        <f>IF('04_路径网络'!A324&lt;&gt;"","04_路径网络","")</f>
        <v/>
      </c>
      <c r="D1324" s="14">
        <f>IF('04_路径网络'!A324&lt;&gt;"",'04_路径网络'!A324,"")</f>
        <v/>
      </c>
      <c r="E1324" s="14">
        <f>IF(F1324&lt;&gt;"","综合校验","")</f>
        <v/>
      </c>
      <c r="F1324" s="14">
        <f>IF('04_路径网络'!A324&lt;&gt;"",IF('04_路径网络'!A324="","缺少路径ID；","")&amp;IF('04_路径网络'!C324="","缺少路径类型；","")&amp;IF('04_路径网络'!D324="","缺少起点对象ID；","")&amp;IF('04_路径网络'!E324="","缺少终点对象ID；","")&amp;IF(AND('04_路径网络'!D324&lt;&gt;"",'04_路径网络'!D324='04_路径网络'!E324),"起点与终点相同；","")&amp;IF(AND('04_路径网络'!D324&lt;&gt;"",COUNTIF('02_固定地理'!$A$2:$A$501,'04_路径网络'!D324)+COUNTIF('03_地点锚点'!$A$2:$A$501,'04_路径网络'!D324)+COUNTIF('06_建筑锚点'!$A$2:$A$501,'04_路径网络'!D324)=0),"起点引用对象不存在；","")&amp;IF(AND('04_路径网络'!E324&lt;&gt;"",COUNTIF('02_固定地理'!$A$2:$A$501,'04_路径网络'!E324)+COUNTIF('03_地点锚点'!$A$2:$A$501,'04_路径网络'!E324)+COUNTIF('06_建筑锚点'!$A$2:$A$501,'04_路径网络'!E324)=0),"终点引用对象不存在；","")&amp;IF(AND('04_路径网络'!F324&lt;&gt;"",COUNTIF('04_路径网络'!$A$2:$A$501,'04_路径网络'!F324)=0),"父级路径不存在；","")&amp;IF(AND('04_路径网络'!A324&lt;&gt;"",COUNTIF('04_路径网络'!$A$2:$A$501,'04_路径网络'!A324)&gt;1),"ID重复；",""),"")</f>
        <v/>
      </c>
      <c r="G1324" s="14">
        <f>IF(F1324&lt;&gt;"","按字段批注、数据字典和来源记录修正后复核","")</f>
        <v/>
      </c>
      <c r="H1324" s="14">
        <f>IF(F1324&lt;&gt;"","待处理","")</f>
        <v/>
      </c>
    </row>
    <row r="1325">
      <c r="A1325" s="14">
        <f>IF(F1325&lt;&gt;"","ISSUE-"&amp;TEXT(ROW()-1,"00000"),"")</f>
        <v/>
      </c>
      <c r="B1325" s="14">
        <f>IF(F1325&lt;&gt;"","错误","")</f>
        <v/>
      </c>
      <c r="C1325" s="14">
        <f>IF('04_路径网络'!A325&lt;&gt;"","04_路径网络","")</f>
        <v/>
      </c>
      <c r="D1325" s="14">
        <f>IF('04_路径网络'!A325&lt;&gt;"",'04_路径网络'!A325,"")</f>
        <v/>
      </c>
      <c r="E1325" s="14">
        <f>IF(F1325&lt;&gt;"","综合校验","")</f>
        <v/>
      </c>
      <c r="F1325" s="14">
        <f>IF('04_路径网络'!A325&lt;&gt;"",IF('04_路径网络'!A325="","缺少路径ID；","")&amp;IF('04_路径网络'!C325="","缺少路径类型；","")&amp;IF('04_路径网络'!D325="","缺少起点对象ID；","")&amp;IF('04_路径网络'!E325="","缺少终点对象ID；","")&amp;IF(AND('04_路径网络'!D325&lt;&gt;"",'04_路径网络'!D325='04_路径网络'!E325),"起点与终点相同；","")&amp;IF(AND('04_路径网络'!D325&lt;&gt;"",COUNTIF('02_固定地理'!$A$2:$A$501,'04_路径网络'!D325)+COUNTIF('03_地点锚点'!$A$2:$A$501,'04_路径网络'!D325)+COUNTIF('06_建筑锚点'!$A$2:$A$501,'04_路径网络'!D325)=0),"起点引用对象不存在；","")&amp;IF(AND('04_路径网络'!E325&lt;&gt;"",COUNTIF('02_固定地理'!$A$2:$A$501,'04_路径网络'!E325)+COUNTIF('03_地点锚点'!$A$2:$A$501,'04_路径网络'!E325)+COUNTIF('06_建筑锚点'!$A$2:$A$501,'04_路径网络'!E325)=0),"终点引用对象不存在；","")&amp;IF(AND('04_路径网络'!F325&lt;&gt;"",COUNTIF('04_路径网络'!$A$2:$A$501,'04_路径网络'!F325)=0),"父级路径不存在；","")&amp;IF(AND('04_路径网络'!A325&lt;&gt;"",COUNTIF('04_路径网络'!$A$2:$A$501,'04_路径网络'!A325)&gt;1),"ID重复；",""),"")</f>
        <v/>
      </c>
      <c r="G1325" s="14">
        <f>IF(F1325&lt;&gt;"","按字段批注、数据字典和来源记录修正后复核","")</f>
        <v/>
      </c>
      <c r="H1325" s="14">
        <f>IF(F1325&lt;&gt;"","待处理","")</f>
        <v/>
      </c>
    </row>
    <row r="1326">
      <c r="A1326" s="14">
        <f>IF(F1326&lt;&gt;"","ISSUE-"&amp;TEXT(ROW()-1,"00000"),"")</f>
        <v/>
      </c>
      <c r="B1326" s="14">
        <f>IF(F1326&lt;&gt;"","错误","")</f>
        <v/>
      </c>
      <c r="C1326" s="14">
        <f>IF('04_路径网络'!A326&lt;&gt;"","04_路径网络","")</f>
        <v/>
      </c>
      <c r="D1326" s="14">
        <f>IF('04_路径网络'!A326&lt;&gt;"",'04_路径网络'!A326,"")</f>
        <v/>
      </c>
      <c r="E1326" s="14">
        <f>IF(F1326&lt;&gt;"","综合校验","")</f>
        <v/>
      </c>
      <c r="F1326" s="14">
        <f>IF('04_路径网络'!A326&lt;&gt;"",IF('04_路径网络'!A326="","缺少路径ID；","")&amp;IF('04_路径网络'!C326="","缺少路径类型；","")&amp;IF('04_路径网络'!D326="","缺少起点对象ID；","")&amp;IF('04_路径网络'!E326="","缺少终点对象ID；","")&amp;IF(AND('04_路径网络'!D326&lt;&gt;"",'04_路径网络'!D326='04_路径网络'!E326),"起点与终点相同；","")&amp;IF(AND('04_路径网络'!D326&lt;&gt;"",COUNTIF('02_固定地理'!$A$2:$A$501,'04_路径网络'!D326)+COUNTIF('03_地点锚点'!$A$2:$A$501,'04_路径网络'!D326)+COUNTIF('06_建筑锚点'!$A$2:$A$501,'04_路径网络'!D326)=0),"起点引用对象不存在；","")&amp;IF(AND('04_路径网络'!E326&lt;&gt;"",COUNTIF('02_固定地理'!$A$2:$A$501,'04_路径网络'!E326)+COUNTIF('03_地点锚点'!$A$2:$A$501,'04_路径网络'!E326)+COUNTIF('06_建筑锚点'!$A$2:$A$501,'04_路径网络'!E326)=0),"终点引用对象不存在；","")&amp;IF(AND('04_路径网络'!F326&lt;&gt;"",COUNTIF('04_路径网络'!$A$2:$A$501,'04_路径网络'!F326)=0),"父级路径不存在；","")&amp;IF(AND('04_路径网络'!A326&lt;&gt;"",COUNTIF('04_路径网络'!$A$2:$A$501,'04_路径网络'!A326)&gt;1),"ID重复；",""),"")</f>
        <v/>
      </c>
      <c r="G1326" s="14">
        <f>IF(F1326&lt;&gt;"","按字段批注、数据字典和来源记录修正后复核","")</f>
        <v/>
      </c>
      <c r="H1326" s="14">
        <f>IF(F1326&lt;&gt;"","待处理","")</f>
        <v/>
      </c>
    </row>
    <row r="1327">
      <c r="A1327" s="14">
        <f>IF(F1327&lt;&gt;"","ISSUE-"&amp;TEXT(ROW()-1,"00000"),"")</f>
        <v/>
      </c>
      <c r="B1327" s="14">
        <f>IF(F1327&lt;&gt;"","错误","")</f>
        <v/>
      </c>
      <c r="C1327" s="14">
        <f>IF('04_路径网络'!A327&lt;&gt;"","04_路径网络","")</f>
        <v/>
      </c>
      <c r="D1327" s="14">
        <f>IF('04_路径网络'!A327&lt;&gt;"",'04_路径网络'!A327,"")</f>
        <v/>
      </c>
      <c r="E1327" s="14">
        <f>IF(F1327&lt;&gt;"","综合校验","")</f>
        <v/>
      </c>
      <c r="F1327" s="14">
        <f>IF('04_路径网络'!A327&lt;&gt;"",IF('04_路径网络'!A327="","缺少路径ID；","")&amp;IF('04_路径网络'!C327="","缺少路径类型；","")&amp;IF('04_路径网络'!D327="","缺少起点对象ID；","")&amp;IF('04_路径网络'!E327="","缺少终点对象ID；","")&amp;IF(AND('04_路径网络'!D327&lt;&gt;"",'04_路径网络'!D327='04_路径网络'!E327),"起点与终点相同；","")&amp;IF(AND('04_路径网络'!D327&lt;&gt;"",COUNTIF('02_固定地理'!$A$2:$A$501,'04_路径网络'!D327)+COUNTIF('03_地点锚点'!$A$2:$A$501,'04_路径网络'!D327)+COUNTIF('06_建筑锚点'!$A$2:$A$501,'04_路径网络'!D327)=0),"起点引用对象不存在；","")&amp;IF(AND('04_路径网络'!E327&lt;&gt;"",COUNTIF('02_固定地理'!$A$2:$A$501,'04_路径网络'!E327)+COUNTIF('03_地点锚点'!$A$2:$A$501,'04_路径网络'!E327)+COUNTIF('06_建筑锚点'!$A$2:$A$501,'04_路径网络'!E327)=0),"终点引用对象不存在；","")&amp;IF(AND('04_路径网络'!F327&lt;&gt;"",COUNTIF('04_路径网络'!$A$2:$A$501,'04_路径网络'!F327)=0),"父级路径不存在；","")&amp;IF(AND('04_路径网络'!A327&lt;&gt;"",COUNTIF('04_路径网络'!$A$2:$A$501,'04_路径网络'!A327)&gt;1),"ID重复；",""),"")</f>
        <v/>
      </c>
      <c r="G1327" s="14">
        <f>IF(F1327&lt;&gt;"","按字段批注、数据字典和来源记录修正后复核","")</f>
        <v/>
      </c>
      <c r="H1327" s="14">
        <f>IF(F1327&lt;&gt;"","待处理","")</f>
        <v/>
      </c>
    </row>
    <row r="1328">
      <c r="A1328" s="14">
        <f>IF(F1328&lt;&gt;"","ISSUE-"&amp;TEXT(ROW()-1,"00000"),"")</f>
        <v/>
      </c>
      <c r="B1328" s="14">
        <f>IF(F1328&lt;&gt;"","错误","")</f>
        <v/>
      </c>
      <c r="C1328" s="14">
        <f>IF('04_路径网络'!A328&lt;&gt;"","04_路径网络","")</f>
        <v/>
      </c>
      <c r="D1328" s="14">
        <f>IF('04_路径网络'!A328&lt;&gt;"",'04_路径网络'!A328,"")</f>
        <v/>
      </c>
      <c r="E1328" s="14">
        <f>IF(F1328&lt;&gt;"","综合校验","")</f>
        <v/>
      </c>
      <c r="F1328" s="14">
        <f>IF('04_路径网络'!A328&lt;&gt;"",IF('04_路径网络'!A328="","缺少路径ID；","")&amp;IF('04_路径网络'!C328="","缺少路径类型；","")&amp;IF('04_路径网络'!D328="","缺少起点对象ID；","")&amp;IF('04_路径网络'!E328="","缺少终点对象ID；","")&amp;IF(AND('04_路径网络'!D328&lt;&gt;"",'04_路径网络'!D328='04_路径网络'!E328),"起点与终点相同；","")&amp;IF(AND('04_路径网络'!D328&lt;&gt;"",COUNTIF('02_固定地理'!$A$2:$A$501,'04_路径网络'!D328)+COUNTIF('03_地点锚点'!$A$2:$A$501,'04_路径网络'!D328)+COUNTIF('06_建筑锚点'!$A$2:$A$501,'04_路径网络'!D328)=0),"起点引用对象不存在；","")&amp;IF(AND('04_路径网络'!E328&lt;&gt;"",COUNTIF('02_固定地理'!$A$2:$A$501,'04_路径网络'!E328)+COUNTIF('03_地点锚点'!$A$2:$A$501,'04_路径网络'!E328)+COUNTIF('06_建筑锚点'!$A$2:$A$501,'04_路径网络'!E328)=0),"终点引用对象不存在；","")&amp;IF(AND('04_路径网络'!F328&lt;&gt;"",COUNTIF('04_路径网络'!$A$2:$A$501,'04_路径网络'!F328)=0),"父级路径不存在；","")&amp;IF(AND('04_路径网络'!A328&lt;&gt;"",COUNTIF('04_路径网络'!$A$2:$A$501,'04_路径网络'!A328)&gt;1),"ID重复；",""),"")</f>
        <v/>
      </c>
      <c r="G1328" s="14">
        <f>IF(F1328&lt;&gt;"","按字段批注、数据字典和来源记录修正后复核","")</f>
        <v/>
      </c>
      <c r="H1328" s="14">
        <f>IF(F1328&lt;&gt;"","待处理","")</f>
        <v/>
      </c>
    </row>
    <row r="1329">
      <c r="A1329" s="14">
        <f>IF(F1329&lt;&gt;"","ISSUE-"&amp;TEXT(ROW()-1,"00000"),"")</f>
        <v/>
      </c>
      <c r="B1329" s="14">
        <f>IF(F1329&lt;&gt;"","错误","")</f>
        <v/>
      </c>
      <c r="C1329" s="14">
        <f>IF('04_路径网络'!A329&lt;&gt;"","04_路径网络","")</f>
        <v/>
      </c>
      <c r="D1329" s="14">
        <f>IF('04_路径网络'!A329&lt;&gt;"",'04_路径网络'!A329,"")</f>
        <v/>
      </c>
      <c r="E1329" s="14">
        <f>IF(F1329&lt;&gt;"","综合校验","")</f>
        <v/>
      </c>
      <c r="F1329" s="14">
        <f>IF('04_路径网络'!A329&lt;&gt;"",IF('04_路径网络'!A329="","缺少路径ID；","")&amp;IF('04_路径网络'!C329="","缺少路径类型；","")&amp;IF('04_路径网络'!D329="","缺少起点对象ID；","")&amp;IF('04_路径网络'!E329="","缺少终点对象ID；","")&amp;IF(AND('04_路径网络'!D329&lt;&gt;"",'04_路径网络'!D329='04_路径网络'!E329),"起点与终点相同；","")&amp;IF(AND('04_路径网络'!D329&lt;&gt;"",COUNTIF('02_固定地理'!$A$2:$A$501,'04_路径网络'!D329)+COUNTIF('03_地点锚点'!$A$2:$A$501,'04_路径网络'!D329)+COUNTIF('06_建筑锚点'!$A$2:$A$501,'04_路径网络'!D329)=0),"起点引用对象不存在；","")&amp;IF(AND('04_路径网络'!E329&lt;&gt;"",COUNTIF('02_固定地理'!$A$2:$A$501,'04_路径网络'!E329)+COUNTIF('03_地点锚点'!$A$2:$A$501,'04_路径网络'!E329)+COUNTIF('06_建筑锚点'!$A$2:$A$501,'04_路径网络'!E329)=0),"终点引用对象不存在；","")&amp;IF(AND('04_路径网络'!F329&lt;&gt;"",COUNTIF('04_路径网络'!$A$2:$A$501,'04_路径网络'!F329)=0),"父级路径不存在；","")&amp;IF(AND('04_路径网络'!A329&lt;&gt;"",COUNTIF('04_路径网络'!$A$2:$A$501,'04_路径网络'!A329)&gt;1),"ID重复；",""),"")</f>
        <v/>
      </c>
      <c r="G1329" s="14">
        <f>IF(F1329&lt;&gt;"","按字段批注、数据字典和来源记录修正后复核","")</f>
        <v/>
      </c>
      <c r="H1329" s="14">
        <f>IF(F1329&lt;&gt;"","待处理","")</f>
        <v/>
      </c>
    </row>
    <row r="1330">
      <c r="A1330" s="14">
        <f>IF(F1330&lt;&gt;"","ISSUE-"&amp;TEXT(ROW()-1,"00000"),"")</f>
        <v/>
      </c>
      <c r="B1330" s="14">
        <f>IF(F1330&lt;&gt;"","错误","")</f>
        <v/>
      </c>
      <c r="C1330" s="14">
        <f>IF('04_路径网络'!A330&lt;&gt;"","04_路径网络","")</f>
        <v/>
      </c>
      <c r="D1330" s="14">
        <f>IF('04_路径网络'!A330&lt;&gt;"",'04_路径网络'!A330,"")</f>
        <v/>
      </c>
      <c r="E1330" s="14">
        <f>IF(F1330&lt;&gt;"","综合校验","")</f>
        <v/>
      </c>
      <c r="F1330" s="14">
        <f>IF('04_路径网络'!A330&lt;&gt;"",IF('04_路径网络'!A330="","缺少路径ID；","")&amp;IF('04_路径网络'!C330="","缺少路径类型；","")&amp;IF('04_路径网络'!D330="","缺少起点对象ID；","")&amp;IF('04_路径网络'!E330="","缺少终点对象ID；","")&amp;IF(AND('04_路径网络'!D330&lt;&gt;"",'04_路径网络'!D330='04_路径网络'!E330),"起点与终点相同；","")&amp;IF(AND('04_路径网络'!D330&lt;&gt;"",COUNTIF('02_固定地理'!$A$2:$A$501,'04_路径网络'!D330)+COUNTIF('03_地点锚点'!$A$2:$A$501,'04_路径网络'!D330)+COUNTIF('06_建筑锚点'!$A$2:$A$501,'04_路径网络'!D330)=0),"起点引用对象不存在；","")&amp;IF(AND('04_路径网络'!E330&lt;&gt;"",COUNTIF('02_固定地理'!$A$2:$A$501,'04_路径网络'!E330)+COUNTIF('03_地点锚点'!$A$2:$A$501,'04_路径网络'!E330)+COUNTIF('06_建筑锚点'!$A$2:$A$501,'04_路径网络'!E330)=0),"终点引用对象不存在；","")&amp;IF(AND('04_路径网络'!F330&lt;&gt;"",COUNTIF('04_路径网络'!$A$2:$A$501,'04_路径网络'!F330)=0),"父级路径不存在；","")&amp;IF(AND('04_路径网络'!A330&lt;&gt;"",COUNTIF('04_路径网络'!$A$2:$A$501,'04_路径网络'!A330)&gt;1),"ID重复；",""),"")</f>
        <v/>
      </c>
      <c r="G1330" s="14">
        <f>IF(F1330&lt;&gt;"","按字段批注、数据字典和来源记录修正后复核","")</f>
        <v/>
      </c>
      <c r="H1330" s="14">
        <f>IF(F1330&lt;&gt;"","待处理","")</f>
        <v/>
      </c>
    </row>
    <row r="1331">
      <c r="A1331" s="14">
        <f>IF(F1331&lt;&gt;"","ISSUE-"&amp;TEXT(ROW()-1,"00000"),"")</f>
        <v/>
      </c>
      <c r="B1331" s="14">
        <f>IF(F1331&lt;&gt;"","错误","")</f>
        <v/>
      </c>
      <c r="C1331" s="14">
        <f>IF('04_路径网络'!A331&lt;&gt;"","04_路径网络","")</f>
        <v/>
      </c>
      <c r="D1331" s="14">
        <f>IF('04_路径网络'!A331&lt;&gt;"",'04_路径网络'!A331,"")</f>
        <v/>
      </c>
      <c r="E1331" s="14">
        <f>IF(F1331&lt;&gt;"","综合校验","")</f>
        <v/>
      </c>
      <c r="F1331" s="14">
        <f>IF('04_路径网络'!A331&lt;&gt;"",IF('04_路径网络'!A331="","缺少路径ID；","")&amp;IF('04_路径网络'!C331="","缺少路径类型；","")&amp;IF('04_路径网络'!D331="","缺少起点对象ID；","")&amp;IF('04_路径网络'!E331="","缺少终点对象ID；","")&amp;IF(AND('04_路径网络'!D331&lt;&gt;"",'04_路径网络'!D331='04_路径网络'!E331),"起点与终点相同；","")&amp;IF(AND('04_路径网络'!D331&lt;&gt;"",COUNTIF('02_固定地理'!$A$2:$A$501,'04_路径网络'!D331)+COUNTIF('03_地点锚点'!$A$2:$A$501,'04_路径网络'!D331)+COUNTIF('06_建筑锚点'!$A$2:$A$501,'04_路径网络'!D331)=0),"起点引用对象不存在；","")&amp;IF(AND('04_路径网络'!E331&lt;&gt;"",COUNTIF('02_固定地理'!$A$2:$A$501,'04_路径网络'!E331)+COUNTIF('03_地点锚点'!$A$2:$A$501,'04_路径网络'!E331)+COUNTIF('06_建筑锚点'!$A$2:$A$501,'04_路径网络'!E331)=0),"终点引用对象不存在；","")&amp;IF(AND('04_路径网络'!F331&lt;&gt;"",COUNTIF('04_路径网络'!$A$2:$A$501,'04_路径网络'!F331)=0),"父级路径不存在；","")&amp;IF(AND('04_路径网络'!A331&lt;&gt;"",COUNTIF('04_路径网络'!$A$2:$A$501,'04_路径网络'!A331)&gt;1),"ID重复；",""),"")</f>
        <v/>
      </c>
      <c r="G1331" s="14">
        <f>IF(F1331&lt;&gt;"","按字段批注、数据字典和来源记录修正后复核","")</f>
        <v/>
      </c>
      <c r="H1331" s="14">
        <f>IF(F1331&lt;&gt;"","待处理","")</f>
        <v/>
      </c>
    </row>
    <row r="1332">
      <c r="A1332" s="14">
        <f>IF(F1332&lt;&gt;"","ISSUE-"&amp;TEXT(ROW()-1,"00000"),"")</f>
        <v/>
      </c>
      <c r="B1332" s="14">
        <f>IF(F1332&lt;&gt;"","错误","")</f>
        <v/>
      </c>
      <c r="C1332" s="14">
        <f>IF('04_路径网络'!A332&lt;&gt;"","04_路径网络","")</f>
        <v/>
      </c>
      <c r="D1332" s="14">
        <f>IF('04_路径网络'!A332&lt;&gt;"",'04_路径网络'!A332,"")</f>
        <v/>
      </c>
      <c r="E1332" s="14">
        <f>IF(F1332&lt;&gt;"","综合校验","")</f>
        <v/>
      </c>
      <c r="F1332" s="14">
        <f>IF('04_路径网络'!A332&lt;&gt;"",IF('04_路径网络'!A332="","缺少路径ID；","")&amp;IF('04_路径网络'!C332="","缺少路径类型；","")&amp;IF('04_路径网络'!D332="","缺少起点对象ID；","")&amp;IF('04_路径网络'!E332="","缺少终点对象ID；","")&amp;IF(AND('04_路径网络'!D332&lt;&gt;"",'04_路径网络'!D332='04_路径网络'!E332),"起点与终点相同；","")&amp;IF(AND('04_路径网络'!D332&lt;&gt;"",COUNTIF('02_固定地理'!$A$2:$A$501,'04_路径网络'!D332)+COUNTIF('03_地点锚点'!$A$2:$A$501,'04_路径网络'!D332)+COUNTIF('06_建筑锚点'!$A$2:$A$501,'04_路径网络'!D332)=0),"起点引用对象不存在；","")&amp;IF(AND('04_路径网络'!E332&lt;&gt;"",COUNTIF('02_固定地理'!$A$2:$A$501,'04_路径网络'!E332)+COUNTIF('03_地点锚点'!$A$2:$A$501,'04_路径网络'!E332)+COUNTIF('06_建筑锚点'!$A$2:$A$501,'04_路径网络'!E332)=0),"终点引用对象不存在；","")&amp;IF(AND('04_路径网络'!F332&lt;&gt;"",COUNTIF('04_路径网络'!$A$2:$A$501,'04_路径网络'!F332)=0),"父级路径不存在；","")&amp;IF(AND('04_路径网络'!A332&lt;&gt;"",COUNTIF('04_路径网络'!$A$2:$A$501,'04_路径网络'!A332)&gt;1),"ID重复；",""),"")</f>
        <v/>
      </c>
      <c r="G1332" s="14">
        <f>IF(F1332&lt;&gt;"","按字段批注、数据字典和来源记录修正后复核","")</f>
        <v/>
      </c>
      <c r="H1332" s="14">
        <f>IF(F1332&lt;&gt;"","待处理","")</f>
        <v/>
      </c>
    </row>
    <row r="1333">
      <c r="A1333" s="14">
        <f>IF(F1333&lt;&gt;"","ISSUE-"&amp;TEXT(ROW()-1,"00000"),"")</f>
        <v/>
      </c>
      <c r="B1333" s="14">
        <f>IF(F1333&lt;&gt;"","错误","")</f>
        <v/>
      </c>
      <c r="C1333" s="14">
        <f>IF('04_路径网络'!A333&lt;&gt;"","04_路径网络","")</f>
        <v/>
      </c>
      <c r="D1333" s="14">
        <f>IF('04_路径网络'!A333&lt;&gt;"",'04_路径网络'!A333,"")</f>
        <v/>
      </c>
      <c r="E1333" s="14">
        <f>IF(F1333&lt;&gt;"","综合校验","")</f>
        <v/>
      </c>
      <c r="F1333" s="14">
        <f>IF('04_路径网络'!A333&lt;&gt;"",IF('04_路径网络'!A333="","缺少路径ID；","")&amp;IF('04_路径网络'!C333="","缺少路径类型；","")&amp;IF('04_路径网络'!D333="","缺少起点对象ID；","")&amp;IF('04_路径网络'!E333="","缺少终点对象ID；","")&amp;IF(AND('04_路径网络'!D333&lt;&gt;"",'04_路径网络'!D333='04_路径网络'!E333),"起点与终点相同；","")&amp;IF(AND('04_路径网络'!D333&lt;&gt;"",COUNTIF('02_固定地理'!$A$2:$A$501,'04_路径网络'!D333)+COUNTIF('03_地点锚点'!$A$2:$A$501,'04_路径网络'!D333)+COUNTIF('06_建筑锚点'!$A$2:$A$501,'04_路径网络'!D333)=0),"起点引用对象不存在；","")&amp;IF(AND('04_路径网络'!E333&lt;&gt;"",COUNTIF('02_固定地理'!$A$2:$A$501,'04_路径网络'!E333)+COUNTIF('03_地点锚点'!$A$2:$A$501,'04_路径网络'!E333)+COUNTIF('06_建筑锚点'!$A$2:$A$501,'04_路径网络'!E333)=0),"终点引用对象不存在；","")&amp;IF(AND('04_路径网络'!F333&lt;&gt;"",COUNTIF('04_路径网络'!$A$2:$A$501,'04_路径网络'!F333)=0),"父级路径不存在；","")&amp;IF(AND('04_路径网络'!A333&lt;&gt;"",COUNTIF('04_路径网络'!$A$2:$A$501,'04_路径网络'!A333)&gt;1),"ID重复；",""),"")</f>
        <v/>
      </c>
      <c r="G1333" s="14">
        <f>IF(F1333&lt;&gt;"","按字段批注、数据字典和来源记录修正后复核","")</f>
        <v/>
      </c>
      <c r="H1333" s="14">
        <f>IF(F1333&lt;&gt;"","待处理","")</f>
        <v/>
      </c>
    </row>
    <row r="1334">
      <c r="A1334" s="14">
        <f>IF(F1334&lt;&gt;"","ISSUE-"&amp;TEXT(ROW()-1,"00000"),"")</f>
        <v/>
      </c>
      <c r="B1334" s="14">
        <f>IF(F1334&lt;&gt;"","错误","")</f>
        <v/>
      </c>
      <c r="C1334" s="14">
        <f>IF('04_路径网络'!A334&lt;&gt;"","04_路径网络","")</f>
        <v/>
      </c>
      <c r="D1334" s="14">
        <f>IF('04_路径网络'!A334&lt;&gt;"",'04_路径网络'!A334,"")</f>
        <v/>
      </c>
      <c r="E1334" s="14">
        <f>IF(F1334&lt;&gt;"","综合校验","")</f>
        <v/>
      </c>
      <c r="F1334" s="14">
        <f>IF('04_路径网络'!A334&lt;&gt;"",IF('04_路径网络'!A334="","缺少路径ID；","")&amp;IF('04_路径网络'!C334="","缺少路径类型；","")&amp;IF('04_路径网络'!D334="","缺少起点对象ID；","")&amp;IF('04_路径网络'!E334="","缺少终点对象ID；","")&amp;IF(AND('04_路径网络'!D334&lt;&gt;"",'04_路径网络'!D334='04_路径网络'!E334),"起点与终点相同；","")&amp;IF(AND('04_路径网络'!D334&lt;&gt;"",COUNTIF('02_固定地理'!$A$2:$A$501,'04_路径网络'!D334)+COUNTIF('03_地点锚点'!$A$2:$A$501,'04_路径网络'!D334)+COUNTIF('06_建筑锚点'!$A$2:$A$501,'04_路径网络'!D334)=0),"起点引用对象不存在；","")&amp;IF(AND('04_路径网络'!E334&lt;&gt;"",COUNTIF('02_固定地理'!$A$2:$A$501,'04_路径网络'!E334)+COUNTIF('03_地点锚点'!$A$2:$A$501,'04_路径网络'!E334)+COUNTIF('06_建筑锚点'!$A$2:$A$501,'04_路径网络'!E334)=0),"终点引用对象不存在；","")&amp;IF(AND('04_路径网络'!F334&lt;&gt;"",COUNTIF('04_路径网络'!$A$2:$A$501,'04_路径网络'!F334)=0),"父级路径不存在；","")&amp;IF(AND('04_路径网络'!A334&lt;&gt;"",COUNTIF('04_路径网络'!$A$2:$A$501,'04_路径网络'!A334)&gt;1),"ID重复；",""),"")</f>
        <v/>
      </c>
      <c r="G1334" s="14">
        <f>IF(F1334&lt;&gt;"","按字段批注、数据字典和来源记录修正后复核","")</f>
        <v/>
      </c>
      <c r="H1334" s="14">
        <f>IF(F1334&lt;&gt;"","待处理","")</f>
        <v/>
      </c>
    </row>
    <row r="1335">
      <c r="A1335" s="14">
        <f>IF(F1335&lt;&gt;"","ISSUE-"&amp;TEXT(ROW()-1,"00000"),"")</f>
        <v/>
      </c>
      <c r="B1335" s="14">
        <f>IF(F1335&lt;&gt;"","错误","")</f>
        <v/>
      </c>
      <c r="C1335" s="14">
        <f>IF('04_路径网络'!A335&lt;&gt;"","04_路径网络","")</f>
        <v/>
      </c>
      <c r="D1335" s="14">
        <f>IF('04_路径网络'!A335&lt;&gt;"",'04_路径网络'!A335,"")</f>
        <v/>
      </c>
      <c r="E1335" s="14">
        <f>IF(F1335&lt;&gt;"","综合校验","")</f>
        <v/>
      </c>
      <c r="F1335" s="14">
        <f>IF('04_路径网络'!A335&lt;&gt;"",IF('04_路径网络'!A335="","缺少路径ID；","")&amp;IF('04_路径网络'!C335="","缺少路径类型；","")&amp;IF('04_路径网络'!D335="","缺少起点对象ID；","")&amp;IF('04_路径网络'!E335="","缺少终点对象ID；","")&amp;IF(AND('04_路径网络'!D335&lt;&gt;"",'04_路径网络'!D335='04_路径网络'!E335),"起点与终点相同；","")&amp;IF(AND('04_路径网络'!D335&lt;&gt;"",COUNTIF('02_固定地理'!$A$2:$A$501,'04_路径网络'!D335)+COUNTIF('03_地点锚点'!$A$2:$A$501,'04_路径网络'!D335)+COUNTIF('06_建筑锚点'!$A$2:$A$501,'04_路径网络'!D335)=0),"起点引用对象不存在；","")&amp;IF(AND('04_路径网络'!E335&lt;&gt;"",COUNTIF('02_固定地理'!$A$2:$A$501,'04_路径网络'!E335)+COUNTIF('03_地点锚点'!$A$2:$A$501,'04_路径网络'!E335)+COUNTIF('06_建筑锚点'!$A$2:$A$501,'04_路径网络'!E335)=0),"终点引用对象不存在；","")&amp;IF(AND('04_路径网络'!F335&lt;&gt;"",COUNTIF('04_路径网络'!$A$2:$A$501,'04_路径网络'!F335)=0),"父级路径不存在；","")&amp;IF(AND('04_路径网络'!A335&lt;&gt;"",COUNTIF('04_路径网络'!$A$2:$A$501,'04_路径网络'!A335)&gt;1),"ID重复；",""),"")</f>
        <v/>
      </c>
      <c r="G1335" s="14">
        <f>IF(F1335&lt;&gt;"","按字段批注、数据字典和来源记录修正后复核","")</f>
        <v/>
      </c>
      <c r="H1335" s="14">
        <f>IF(F1335&lt;&gt;"","待处理","")</f>
        <v/>
      </c>
    </row>
    <row r="1336">
      <c r="A1336" s="14">
        <f>IF(F1336&lt;&gt;"","ISSUE-"&amp;TEXT(ROW()-1,"00000"),"")</f>
        <v/>
      </c>
      <c r="B1336" s="14">
        <f>IF(F1336&lt;&gt;"","错误","")</f>
        <v/>
      </c>
      <c r="C1336" s="14">
        <f>IF('04_路径网络'!A336&lt;&gt;"","04_路径网络","")</f>
        <v/>
      </c>
      <c r="D1336" s="14">
        <f>IF('04_路径网络'!A336&lt;&gt;"",'04_路径网络'!A336,"")</f>
        <v/>
      </c>
      <c r="E1336" s="14">
        <f>IF(F1336&lt;&gt;"","综合校验","")</f>
        <v/>
      </c>
      <c r="F1336" s="14">
        <f>IF('04_路径网络'!A336&lt;&gt;"",IF('04_路径网络'!A336="","缺少路径ID；","")&amp;IF('04_路径网络'!C336="","缺少路径类型；","")&amp;IF('04_路径网络'!D336="","缺少起点对象ID；","")&amp;IF('04_路径网络'!E336="","缺少终点对象ID；","")&amp;IF(AND('04_路径网络'!D336&lt;&gt;"",'04_路径网络'!D336='04_路径网络'!E336),"起点与终点相同；","")&amp;IF(AND('04_路径网络'!D336&lt;&gt;"",COUNTIF('02_固定地理'!$A$2:$A$501,'04_路径网络'!D336)+COUNTIF('03_地点锚点'!$A$2:$A$501,'04_路径网络'!D336)+COUNTIF('06_建筑锚点'!$A$2:$A$501,'04_路径网络'!D336)=0),"起点引用对象不存在；","")&amp;IF(AND('04_路径网络'!E336&lt;&gt;"",COUNTIF('02_固定地理'!$A$2:$A$501,'04_路径网络'!E336)+COUNTIF('03_地点锚点'!$A$2:$A$501,'04_路径网络'!E336)+COUNTIF('06_建筑锚点'!$A$2:$A$501,'04_路径网络'!E336)=0),"终点引用对象不存在；","")&amp;IF(AND('04_路径网络'!F336&lt;&gt;"",COUNTIF('04_路径网络'!$A$2:$A$501,'04_路径网络'!F336)=0),"父级路径不存在；","")&amp;IF(AND('04_路径网络'!A336&lt;&gt;"",COUNTIF('04_路径网络'!$A$2:$A$501,'04_路径网络'!A336)&gt;1),"ID重复；",""),"")</f>
        <v/>
      </c>
      <c r="G1336" s="14">
        <f>IF(F1336&lt;&gt;"","按字段批注、数据字典和来源记录修正后复核","")</f>
        <v/>
      </c>
      <c r="H1336" s="14">
        <f>IF(F1336&lt;&gt;"","待处理","")</f>
        <v/>
      </c>
    </row>
    <row r="1337">
      <c r="A1337" s="14">
        <f>IF(F1337&lt;&gt;"","ISSUE-"&amp;TEXT(ROW()-1,"00000"),"")</f>
        <v/>
      </c>
      <c r="B1337" s="14">
        <f>IF(F1337&lt;&gt;"","错误","")</f>
        <v/>
      </c>
      <c r="C1337" s="14">
        <f>IF('04_路径网络'!A337&lt;&gt;"","04_路径网络","")</f>
        <v/>
      </c>
      <c r="D1337" s="14">
        <f>IF('04_路径网络'!A337&lt;&gt;"",'04_路径网络'!A337,"")</f>
        <v/>
      </c>
      <c r="E1337" s="14">
        <f>IF(F1337&lt;&gt;"","综合校验","")</f>
        <v/>
      </c>
      <c r="F1337" s="14">
        <f>IF('04_路径网络'!A337&lt;&gt;"",IF('04_路径网络'!A337="","缺少路径ID；","")&amp;IF('04_路径网络'!C337="","缺少路径类型；","")&amp;IF('04_路径网络'!D337="","缺少起点对象ID；","")&amp;IF('04_路径网络'!E337="","缺少终点对象ID；","")&amp;IF(AND('04_路径网络'!D337&lt;&gt;"",'04_路径网络'!D337='04_路径网络'!E337),"起点与终点相同；","")&amp;IF(AND('04_路径网络'!D337&lt;&gt;"",COUNTIF('02_固定地理'!$A$2:$A$501,'04_路径网络'!D337)+COUNTIF('03_地点锚点'!$A$2:$A$501,'04_路径网络'!D337)+COUNTIF('06_建筑锚点'!$A$2:$A$501,'04_路径网络'!D337)=0),"起点引用对象不存在；","")&amp;IF(AND('04_路径网络'!E337&lt;&gt;"",COUNTIF('02_固定地理'!$A$2:$A$501,'04_路径网络'!E337)+COUNTIF('03_地点锚点'!$A$2:$A$501,'04_路径网络'!E337)+COUNTIF('06_建筑锚点'!$A$2:$A$501,'04_路径网络'!E337)=0),"终点引用对象不存在；","")&amp;IF(AND('04_路径网络'!F337&lt;&gt;"",COUNTIF('04_路径网络'!$A$2:$A$501,'04_路径网络'!F337)=0),"父级路径不存在；","")&amp;IF(AND('04_路径网络'!A337&lt;&gt;"",COUNTIF('04_路径网络'!$A$2:$A$501,'04_路径网络'!A337)&gt;1),"ID重复；",""),"")</f>
        <v/>
      </c>
      <c r="G1337" s="14">
        <f>IF(F1337&lt;&gt;"","按字段批注、数据字典和来源记录修正后复核","")</f>
        <v/>
      </c>
      <c r="H1337" s="14">
        <f>IF(F1337&lt;&gt;"","待处理","")</f>
        <v/>
      </c>
    </row>
    <row r="1338">
      <c r="A1338" s="14">
        <f>IF(F1338&lt;&gt;"","ISSUE-"&amp;TEXT(ROW()-1,"00000"),"")</f>
        <v/>
      </c>
      <c r="B1338" s="14">
        <f>IF(F1338&lt;&gt;"","错误","")</f>
        <v/>
      </c>
      <c r="C1338" s="14">
        <f>IF('04_路径网络'!A338&lt;&gt;"","04_路径网络","")</f>
        <v/>
      </c>
      <c r="D1338" s="14">
        <f>IF('04_路径网络'!A338&lt;&gt;"",'04_路径网络'!A338,"")</f>
        <v/>
      </c>
      <c r="E1338" s="14">
        <f>IF(F1338&lt;&gt;"","综合校验","")</f>
        <v/>
      </c>
      <c r="F1338" s="14">
        <f>IF('04_路径网络'!A338&lt;&gt;"",IF('04_路径网络'!A338="","缺少路径ID；","")&amp;IF('04_路径网络'!C338="","缺少路径类型；","")&amp;IF('04_路径网络'!D338="","缺少起点对象ID；","")&amp;IF('04_路径网络'!E338="","缺少终点对象ID；","")&amp;IF(AND('04_路径网络'!D338&lt;&gt;"",'04_路径网络'!D338='04_路径网络'!E338),"起点与终点相同；","")&amp;IF(AND('04_路径网络'!D338&lt;&gt;"",COUNTIF('02_固定地理'!$A$2:$A$501,'04_路径网络'!D338)+COUNTIF('03_地点锚点'!$A$2:$A$501,'04_路径网络'!D338)+COUNTIF('06_建筑锚点'!$A$2:$A$501,'04_路径网络'!D338)=0),"起点引用对象不存在；","")&amp;IF(AND('04_路径网络'!E338&lt;&gt;"",COUNTIF('02_固定地理'!$A$2:$A$501,'04_路径网络'!E338)+COUNTIF('03_地点锚点'!$A$2:$A$501,'04_路径网络'!E338)+COUNTIF('06_建筑锚点'!$A$2:$A$501,'04_路径网络'!E338)=0),"终点引用对象不存在；","")&amp;IF(AND('04_路径网络'!F338&lt;&gt;"",COUNTIF('04_路径网络'!$A$2:$A$501,'04_路径网络'!F338)=0),"父级路径不存在；","")&amp;IF(AND('04_路径网络'!A338&lt;&gt;"",COUNTIF('04_路径网络'!$A$2:$A$501,'04_路径网络'!A338)&gt;1),"ID重复；",""),"")</f>
        <v/>
      </c>
      <c r="G1338" s="14">
        <f>IF(F1338&lt;&gt;"","按字段批注、数据字典和来源记录修正后复核","")</f>
        <v/>
      </c>
      <c r="H1338" s="14">
        <f>IF(F1338&lt;&gt;"","待处理","")</f>
        <v/>
      </c>
    </row>
    <row r="1339">
      <c r="A1339" s="14">
        <f>IF(F1339&lt;&gt;"","ISSUE-"&amp;TEXT(ROW()-1,"00000"),"")</f>
        <v/>
      </c>
      <c r="B1339" s="14">
        <f>IF(F1339&lt;&gt;"","错误","")</f>
        <v/>
      </c>
      <c r="C1339" s="14">
        <f>IF('04_路径网络'!A339&lt;&gt;"","04_路径网络","")</f>
        <v/>
      </c>
      <c r="D1339" s="14">
        <f>IF('04_路径网络'!A339&lt;&gt;"",'04_路径网络'!A339,"")</f>
        <v/>
      </c>
      <c r="E1339" s="14">
        <f>IF(F1339&lt;&gt;"","综合校验","")</f>
        <v/>
      </c>
      <c r="F1339" s="14">
        <f>IF('04_路径网络'!A339&lt;&gt;"",IF('04_路径网络'!A339="","缺少路径ID；","")&amp;IF('04_路径网络'!C339="","缺少路径类型；","")&amp;IF('04_路径网络'!D339="","缺少起点对象ID；","")&amp;IF('04_路径网络'!E339="","缺少终点对象ID；","")&amp;IF(AND('04_路径网络'!D339&lt;&gt;"",'04_路径网络'!D339='04_路径网络'!E339),"起点与终点相同；","")&amp;IF(AND('04_路径网络'!D339&lt;&gt;"",COUNTIF('02_固定地理'!$A$2:$A$501,'04_路径网络'!D339)+COUNTIF('03_地点锚点'!$A$2:$A$501,'04_路径网络'!D339)+COUNTIF('06_建筑锚点'!$A$2:$A$501,'04_路径网络'!D339)=0),"起点引用对象不存在；","")&amp;IF(AND('04_路径网络'!E339&lt;&gt;"",COUNTIF('02_固定地理'!$A$2:$A$501,'04_路径网络'!E339)+COUNTIF('03_地点锚点'!$A$2:$A$501,'04_路径网络'!E339)+COUNTIF('06_建筑锚点'!$A$2:$A$501,'04_路径网络'!E339)=0),"终点引用对象不存在；","")&amp;IF(AND('04_路径网络'!F339&lt;&gt;"",COUNTIF('04_路径网络'!$A$2:$A$501,'04_路径网络'!F339)=0),"父级路径不存在；","")&amp;IF(AND('04_路径网络'!A339&lt;&gt;"",COUNTIF('04_路径网络'!$A$2:$A$501,'04_路径网络'!A339)&gt;1),"ID重复；",""),"")</f>
        <v/>
      </c>
      <c r="G1339" s="14">
        <f>IF(F1339&lt;&gt;"","按字段批注、数据字典和来源记录修正后复核","")</f>
        <v/>
      </c>
      <c r="H1339" s="14">
        <f>IF(F1339&lt;&gt;"","待处理","")</f>
        <v/>
      </c>
    </row>
    <row r="1340">
      <c r="A1340" s="14">
        <f>IF(F1340&lt;&gt;"","ISSUE-"&amp;TEXT(ROW()-1,"00000"),"")</f>
        <v/>
      </c>
      <c r="B1340" s="14">
        <f>IF(F1340&lt;&gt;"","错误","")</f>
        <v/>
      </c>
      <c r="C1340" s="14">
        <f>IF('04_路径网络'!A340&lt;&gt;"","04_路径网络","")</f>
        <v/>
      </c>
      <c r="D1340" s="14">
        <f>IF('04_路径网络'!A340&lt;&gt;"",'04_路径网络'!A340,"")</f>
        <v/>
      </c>
      <c r="E1340" s="14">
        <f>IF(F1340&lt;&gt;"","综合校验","")</f>
        <v/>
      </c>
      <c r="F1340" s="14">
        <f>IF('04_路径网络'!A340&lt;&gt;"",IF('04_路径网络'!A340="","缺少路径ID；","")&amp;IF('04_路径网络'!C340="","缺少路径类型；","")&amp;IF('04_路径网络'!D340="","缺少起点对象ID；","")&amp;IF('04_路径网络'!E340="","缺少终点对象ID；","")&amp;IF(AND('04_路径网络'!D340&lt;&gt;"",'04_路径网络'!D340='04_路径网络'!E340),"起点与终点相同；","")&amp;IF(AND('04_路径网络'!D340&lt;&gt;"",COUNTIF('02_固定地理'!$A$2:$A$501,'04_路径网络'!D340)+COUNTIF('03_地点锚点'!$A$2:$A$501,'04_路径网络'!D340)+COUNTIF('06_建筑锚点'!$A$2:$A$501,'04_路径网络'!D340)=0),"起点引用对象不存在；","")&amp;IF(AND('04_路径网络'!E340&lt;&gt;"",COUNTIF('02_固定地理'!$A$2:$A$501,'04_路径网络'!E340)+COUNTIF('03_地点锚点'!$A$2:$A$501,'04_路径网络'!E340)+COUNTIF('06_建筑锚点'!$A$2:$A$501,'04_路径网络'!E340)=0),"终点引用对象不存在；","")&amp;IF(AND('04_路径网络'!F340&lt;&gt;"",COUNTIF('04_路径网络'!$A$2:$A$501,'04_路径网络'!F340)=0),"父级路径不存在；","")&amp;IF(AND('04_路径网络'!A340&lt;&gt;"",COUNTIF('04_路径网络'!$A$2:$A$501,'04_路径网络'!A340)&gt;1),"ID重复；",""),"")</f>
        <v/>
      </c>
      <c r="G1340" s="14">
        <f>IF(F1340&lt;&gt;"","按字段批注、数据字典和来源记录修正后复核","")</f>
        <v/>
      </c>
      <c r="H1340" s="14">
        <f>IF(F1340&lt;&gt;"","待处理","")</f>
        <v/>
      </c>
    </row>
    <row r="1341">
      <c r="A1341" s="14">
        <f>IF(F1341&lt;&gt;"","ISSUE-"&amp;TEXT(ROW()-1,"00000"),"")</f>
        <v/>
      </c>
      <c r="B1341" s="14">
        <f>IF(F1341&lt;&gt;"","错误","")</f>
        <v/>
      </c>
      <c r="C1341" s="14">
        <f>IF('04_路径网络'!A341&lt;&gt;"","04_路径网络","")</f>
        <v/>
      </c>
      <c r="D1341" s="14">
        <f>IF('04_路径网络'!A341&lt;&gt;"",'04_路径网络'!A341,"")</f>
        <v/>
      </c>
      <c r="E1341" s="14">
        <f>IF(F1341&lt;&gt;"","综合校验","")</f>
        <v/>
      </c>
      <c r="F1341" s="14">
        <f>IF('04_路径网络'!A341&lt;&gt;"",IF('04_路径网络'!A341="","缺少路径ID；","")&amp;IF('04_路径网络'!C341="","缺少路径类型；","")&amp;IF('04_路径网络'!D341="","缺少起点对象ID；","")&amp;IF('04_路径网络'!E341="","缺少终点对象ID；","")&amp;IF(AND('04_路径网络'!D341&lt;&gt;"",'04_路径网络'!D341='04_路径网络'!E341),"起点与终点相同；","")&amp;IF(AND('04_路径网络'!D341&lt;&gt;"",COUNTIF('02_固定地理'!$A$2:$A$501,'04_路径网络'!D341)+COUNTIF('03_地点锚点'!$A$2:$A$501,'04_路径网络'!D341)+COUNTIF('06_建筑锚点'!$A$2:$A$501,'04_路径网络'!D341)=0),"起点引用对象不存在；","")&amp;IF(AND('04_路径网络'!E341&lt;&gt;"",COUNTIF('02_固定地理'!$A$2:$A$501,'04_路径网络'!E341)+COUNTIF('03_地点锚点'!$A$2:$A$501,'04_路径网络'!E341)+COUNTIF('06_建筑锚点'!$A$2:$A$501,'04_路径网络'!E341)=0),"终点引用对象不存在；","")&amp;IF(AND('04_路径网络'!F341&lt;&gt;"",COUNTIF('04_路径网络'!$A$2:$A$501,'04_路径网络'!F341)=0),"父级路径不存在；","")&amp;IF(AND('04_路径网络'!A341&lt;&gt;"",COUNTIF('04_路径网络'!$A$2:$A$501,'04_路径网络'!A341)&gt;1),"ID重复；",""),"")</f>
        <v/>
      </c>
      <c r="G1341" s="14">
        <f>IF(F1341&lt;&gt;"","按字段批注、数据字典和来源记录修正后复核","")</f>
        <v/>
      </c>
      <c r="H1341" s="14">
        <f>IF(F1341&lt;&gt;"","待处理","")</f>
        <v/>
      </c>
    </row>
    <row r="1342">
      <c r="A1342" s="14">
        <f>IF(F1342&lt;&gt;"","ISSUE-"&amp;TEXT(ROW()-1,"00000"),"")</f>
        <v/>
      </c>
      <c r="B1342" s="14">
        <f>IF(F1342&lt;&gt;"","错误","")</f>
        <v/>
      </c>
      <c r="C1342" s="14">
        <f>IF('04_路径网络'!A342&lt;&gt;"","04_路径网络","")</f>
        <v/>
      </c>
      <c r="D1342" s="14">
        <f>IF('04_路径网络'!A342&lt;&gt;"",'04_路径网络'!A342,"")</f>
        <v/>
      </c>
      <c r="E1342" s="14">
        <f>IF(F1342&lt;&gt;"","综合校验","")</f>
        <v/>
      </c>
      <c r="F1342" s="14">
        <f>IF('04_路径网络'!A342&lt;&gt;"",IF('04_路径网络'!A342="","缺少路径ID；","")&amp;IF('04_路径网络'!C342="","缺少路径类型；","")&amp;IF('04_路径网络'!D342="","缺少起点对象ID；","")&amp;IF('04_路径网络'!E342="","缺少终点对象ID；","")&amp;IF(AND('04_路径网络'!D342&lt;&gt;"",'04_路径网络'!D342='04_路径网络'!E342),"起点与终点相同；","")&amp;IF(AND('04_路径网络'!D342&lt;&gt;"",COUNTIF('02_固定地理'!$A$2:$A$501,'04_路径网络'!D342)+COUNTIF('03_地点锚点'!$A$2:$A$501,'04_路径网络'!D342)+COUNTIF('06_建筑锚点'!$A$2:$A$501,'04_路径网络'!D342)=0),"起点引用对象不存在；","")&amp;IF(AND('04_路径网络'!E342&lt;&gt;"",COUNTIF('02_固定地理'!$A$2:$A$501,'04_路径网络'!E342)+COUNTIF('03_地点锚点'!$A$2:$A$501,'04_路径网络'!E342)+COUNTIF('06_建筑锚点'!$A$2:$A$501,'04_路径网络'!E342)=0),"终点引用对象不存在；","")&amp;IF(AND('04_路径网络'!F342&lt;&gt;"",COUNTIF('04_路径网络'!$A$2:$A$501,'04_路径网络'!F342)=0),"父级路径不存在；","")&amp;IF(AND('04_路径网络'!A342&lt;&gt;"",COUNTIF('04_路径网络'!$A$2:$A$501,'04_路径网络'!A342)&gt;1),"ID重复；",""),"")</f>
        <v/>
      </c>
      <c r="G1342" s="14">
        <f>IF(F1342&lt;&gt;"","按字段批注、数据字典和来源记录修正后复核","")</f>
        <v/>
      </c>
      <c r="H1342" s="14">
        <f>IF(F1342&lt;&gt;"","待处理","")</f>
        <v/>
      </c>
    </row>
    <row r="1343">
      <c r="A1343" s="14">
        <f>IF(F1343&lt;&gt;"","ISSUE-"&amp;TEXT(ROW()-1,"00000"),"")</f>
        <v/>
      </c>
      <c r="B1343" s="14">
        <f>IF(F1343&lt;&gt;"","错误","")</f>
        <v/>
      </c>
      <c r="C1343" s="14">
        <f>IF('04_路径网络'!A343&lt;&gt;"","04_路径网络","")</f>
        <v/>
      </c>
      <c r="D1343" s="14">
        <f>IF('04_路径网络'!A343&lt;&gt;"",'04_路径网络'!A343,"")</f>
        <v/>
      </c>
      <c r="E1343" s="14">
        <f>IF(F1343&lt;&gt;"","综合校验","")</f>
        <v/>
      </c>
      <c r="F1343" s="14">
        <f>IF('04_路径网络'!A343&lt;&gt;"",IF('04_路径网络'!A343="","缺少路径ID；","")&amp;IF('04_路径网络'!C343="","缺少路径类型；","")&amp;IF('04_路径网络'!D343="","缺少起点对象ID；","")&amp;IF('04_路径网络'!E343="","缺少终点对象ID；","")&amp;IF(AND('04_路径网络'!D343&lt;&gt;"",'04_路径网络'!D343='04_路径网络'!E343),"起点与终点相同；","")&amp;IF(AND('04_路径网络'!D343&lt;&gt;"",COUNTIF('02_固定地理'!$A$2:$A$501,'04_路径网络'!D343)+COUNTIF('03_地点锚点'!$A$2:$A$501,'04_路径网络'!D343)+COUNTIF('06_建筑锚点'!$A$2:$A$501,'04_路径网络'!D343)=0),"起点引用对象不存在；","")&amp;IF(AND('04_路径网络'!E343&lt;&gt;"",COUNTIF('02_固定地理'!$A$2:$A$501,'04_路径网络'!E343)+COUNTIF('03_地点锚点'!$A$2:$A$501,'04_路径网络'!E343)+COUNTIF('06_建筑锚点'!$A$2:$A$501,'04_路径网络'!E343)=0),"终点引用对象不存在；","")&amp;IF(AND('04_路径网络'!F343&lt;&gt;"",COUNTIF('04_路径网络'!$A$2:$A$501,'04_路径网络'!F343)=0),"父级路径不存在；","")&amp;IF(AND('04_路径网络'!A343&lt;&gt;"",COUNTIF('04_路径网络'!$A$2:$A$501,'04_路径网络'!A343)&gt;1),"ID重复；",""),"")</f>
        <v/>
      </c>
      <c r="G1343" s="14">
        <f>IF(F1343&lt;&gt;"","按字段批注、数据字典和来源记录修正后复核","")</f>
        <v/>
      </c>
      <c r="H1343" s="14">
        <f>IF(F1343&lt;&gt;"","待处理","")</f>
        <v/>
      </c>
    </row>
    <row r="1344">
      <c r="A1344" s="14">
        <f>IF(F1344&lt;&gt;"","ISSUE-"&amp;TEXT(ROW()-1,"00000"),"")</f>
        <v/>
      </c>
      <c r="B1344" s="14">
        <f>IF(F1344&lt;&gt;"","错误","")</f>
        <v/>
      </c>
      <c r="C1344" s="14">
        <f>IF('04_路径网络'!A344&lt;&gt;"","04_路径网络","")</f>
        <v/>
      </c>
      <c r="D1344" s="14">
        <f>IF('04_路径网络'!A344&lt;&gt;"",'04_路径网络'!A344,"")</f>
        <v/>
      </c>
      <c r="E1344" s="14">
        <f>IF(F1344&lt;&gt;"","综合校验","")</f>
        <v/>
      </c>
      <c r="F1344" s="14">
        <f>IF('04_路径网络'!A344&lt;&gt;"",IF('04_路径网络'!A344="","缺少路径ID；","")&amp;IF('04_路径网络'!C344="","缺少路径类型；","")&amp;IF('04_路径网络'!D344="","缺少起点对象ID；","")&amp;IF('04_路径网络'!E344="","缺少终点对象ID；","")&amp;IF(AND('04_路径网络'!D344&lt;&gt;"",'04_路径网络'!D344='04_路径网络'!E344),"起点与终点相同；","")&amp;IF(AND('04_路径网络'!D344&lt;&gt;"",COUNTIF('02_固定地理'!$A$2:$A$501,'04_路径网络'!D344)+COUNTIF('03_地点锚点'!$A$2:$A$501,'04_路径网络'!D344)+COUNTIF('06_建筑锚点'!$A$2:$A$501,'04_路径网络'!D344)=0),"起点引用对象不存在；","")&amp;IF(AND('04_路径网络'!E344&lt;&gt;"",COUNTIF('02_固定地理'!$A$2:$A$501,'04_路径网络'!E344)+COUNTIF('03_地点锚点'!$A$2:$A$501,'04_路径网络'!E344)+COUNTIF('06_建筑锚点'!$A$2:$A$501,'04_路径网络'!E344)=0),"终点引用对象不存在；","")&amp;IF(AND('04_路径网络'!F344&lt;&gt;"",COUNTIF('04_路径网络'!$A$2:$A$501,'04_路径网络'!F344)=0),"父级路径不存在；","")&amp;IF(AND('04_路径网络'!A344&lt;&gt;"",COUNTIF('04_路径网络'!$A$2:$A$501,'04_路径网络'!A344)&gt;1),"ID重复；",""),"")</f>
        <v/>
      </c>
      <c r="G1344" s="14">
        <f>IF(F1344&lt;&gt;"","按字段批注、数据字典和来源记录修正后复核","")</f>
        <v/>
      </c>
      <c r="H1344" s="14">
        <f>IF(F1344&lt;&gt;"","待处理","")</f>
        <v/>
      </c>
    </row>
    <row r="1345">
      <c r="A1345" s="14">
        <f>IF(F1345&lt;&gt;"","ISSUE-"&amp;TEXT(ROW()-1,"00000"),"")</f>
        <v/>
      </c>
      <c r="B1345" s="14">
        <f>IF(F1345&lt;&gt;"","错误","")</f>
        <v/>
      </c>
      <c r="C1345" s="14">
        <f>IF('04_路径网络'!A345&lt;&gt;"","04_路径网络","")</f>
        <v/>
      </c>
      <c r="D1345" s="14">
        <f>IF('04_路径网络'!A345&lt;&gt;"",'04_路径网络'!A345,"")</f>
        <v/>
      </c>
      <c r="E1345" s="14">
        <f>IF(F1345&lt;&gt;"","综合校验","")</f>
        <v/>
      </c>
      <c r="F1345" s="14">
        <f>IF('04_路径网络'!A345&lt;&gt;"",IF('04_路径网络'!A345="","缺少路径ID；","")&amp;IF('04_路径网络'!C345="","缺少路径类型；","")&amp;IF('04_路径网络'!D345="","缺少起点对象ID；","")&amp;IF('04_路径网络'!E345="","缺少终点对象ID；","")&amp;IF(AND('04_路径网络'!D345&lt;&gt;"",'04_路径网络'!D345='04_路径网络'!E345),"起点与终点相同；","")&amp;IF(AND('04_路径网络'!D345&lt;&gt;"",COUNTIF('02_固定地理'!$A$2:$A$501,'04_路径网络'!D345)+COUNTIF('03_地点锚点'!$A$2:$A$501,'04_路径网络'!D345)+COUNTIF('06_建筑锚点'!$A$2:$A$501,'04_路径网络'!D345)=0),"起点引用对象不存在；","")&amp;IF(AND('04_路径网络'!E345&lt;&gt;"",COUNTIF('02_固定地理'!$A$2:$A$501,'04_路径网络'!E345)+COUNTIF('03_地点锚点'!$A$2:$A$501,'04_路径网络'!E345)+COUNTIF('06_建筑锚点'!$A$2:$A$501,'04_路径网络'!E345)=0),"终点引用对象不存在；","")&amp;IF(AND('04_路径网络'!F345&lt;&gt;"",COUNTIF('04_路径网络'!$A$2:$A$501,'04_路径网络'!F345)=0),"父级路径不存在；","")&amp;IF(AND('04_路径网络'!A345&lt;&gt;"",COUNTIF('04_路径网络'!$A$2:$A$501,'04_路径网络'!A345)&gt;1),"ID重复；",""),"")</f>
        <v/>
      </c>
      <c r="G1345" s="14">
        <f>IF(F1345&lt;&gt;"","按字段批注、数据字典和来源记录修正后复核","")</f>
        <v/>
      </c>
      <c r="H1345" s="14">
        <f>IF(F1345&lt;&gt;"","待处理","")</f>
        <v/>
      </c>
    </row>
    <row r="1346">
      <c r="A1346" s="14">
        <f>IF(F1346&lt;&gt;"","ISSUE-"&amp;TEXT(ROW()-1,"00000"),"")</f>
        <v/>
      </c>
      <c r="B1346" s="14">
        <f>IF(F1346&lt;&gt;"","错误","")</f>
        <v/>
      </c>
      <c r="C1346" s="14">
        <f>IF('04_路径网络'!A346&lt;&gt;"","04_路径网络","")</f>
        <v/>
      </c>
      <c r="D1346" s="14">
        <f>IF('04_路径网络'!A346&lt;&gt;"",'04_路径网络'!A346,"")</f>
        <v/>
      </c>
      <c r="E1346" s="14">
        <f>IF(F1346&lt;&gt;"","综合校验","")</f>
        <v/>
      </c>
      <c r="F1346" s="14">
        <f>IF('04_路径网络'!A346&lt;&gt;"",IF('04_路径网络'!A346="","缺少路径ID；","")&amp;IF('04_路径网络'!C346="","缺少路径类型；","")&amp;IF('04_路径网络'!D346="","缺少起点对象ID；","")&amp;IF('04_路径网络'!E346="","缺少终点对象ID；","")&amp;IF(AND('04_路径网络'!D346&lt;&gt;"",'04_路径网络'!D346='04_路径网络'!E346),"起点与终点相同；","")&amp;IF(AND('04_路径网络'!D346&lt;&gt;"",COUNTIF('02_固定地理'!$A$2:$A$501,'04_路径网络'!D346)+COUNTIF('03_地点锚点'!$A$2:$A$501,'04_路径网络'!D346)+COUNTIF('06_建筑锚点'!$A$2:$A$501,'04_路径网络'!D346)=0),"起点引用对象不存在；","")&amp;IF(AND('04_路径网络'!E346&lt;&gt;"",COUNTIF('02_固定地理'!$A$2:$A$501,'04_路径网络'!E346)+COUNTIF('03_地点锚点'!$A$2:$A$501,'04_路径网络'!E346)+COUNTIF('06_建筑锚点'!$A$2:$A$501,'04_路径网络'!E346)=0),"终点引用对象不存在；","")&amp;IF(AND('04_路径网络'!F346&lt;&gt;"",COUNTIF('04_路径网络'!$A$2:$A$501,'04_路径网络'!F346)=0),"父级路径不存在；","")&amp;IF(AND('04_路径网络'!A346&lt;&gt;"",COUNTIF('04_路径网络'!$A$2:$A$501,'04_路径网络'!A346)&gt;1),"ID重复；",""),"")</f>
        <v/>
      </c>
      <c r="G1346" s="14">
        <f>IF(F1346&lt;&gt;"","按字段批注、数据字典和来源记录修正后复核","")</f>
        <v/>
      </c>
      <c r="H1346" s="14">
        <f>IF(F1346&lt;&gt;"","待处理","")</f>
        <v/>
      </c>
    </row>
    <row r="1347">
      <c r="A1347" s="14">
        <f>IF(F1347&lt;&gt;"","ISSUE-"&amp;TEXT(ROW()-1,"00000"),"")</f>
        <v/>
      </c>
      <c r="B1347" s="14">
        <f>IF(F1347&lt;&gt;"","错误","")</f>
        <v/>
      </c>
      <c r="C1347" s="14">
        <f>IF('04_路径网络'!A347&lt;&gt;"","04_路径网络","")</f>
        <v/>
      </c>
      <c r="D1347" s="14">
        <f>IF('04_路径网络'!A347&lt;&gt;"",'04_路径网络'!A347,"")</f>
        <v/>
      </c>
      <c r="E1347" s="14">
        <f>IF(F1347&lt;&gt;"","综合校验","")</f>
        <v/>
      </c>
      <c r="F1347" s="14">
        <f>IF('04_路径网络'!A347&lt;&gt;"",IF('04_路径网络'!A347="","缺少路径ID；","")&amp;IF('04_路径网络'!C347="","缺少路径类型；","")&amp;IF('04_路径网络'!D347="","缺少起点对象ID；","")&amp;IF('04_路径网络'!E347="","缺少终点对象ID；","")&amp;IF(AND('04_路径网络'!D347&lt;&gt;"",'04_路径网络'!D347='04_路径网络'!E347),"起点与终点相同；","")&amp;IF(AND('04_路径网络'!D347&lt;&gt;"",COUNTIF('02_固定地理'!$A$2:$A$501,'04_路径网络'!D347)+COUNTIF('03_地点锚点'!$A$2:$A$501,'04_路径网络'!D347)+COUNTIF('06_建筑锚点'!$A$2:$A$501,'04_路径网络'!D347)=0),"起点引用对象不存在；","")&amp;IF(AND('04_路径网络'!E347&lt;&gt;"",COUNTIF('02_固定地理'!$A$2:$A$501,'04_路径网络'!E347)+COUNTIF('03_地点锚点'!$A$2:$A$501,'04_路径网络'!E347)+COUNTIF('06_建筑锚点'!$A$2:$A$501,'04_路径网络'!E347)=0),"终点引用对象不存在；","")&amp;IF(AND('04_路径网络'!F347&lt;&gt;"",COUNTIF('04_路径网络'!$A$2:$A$501,'04_路径网络'!F347)=0),"父级路径不存在；","")&amp;IF(AND('04_路径网络'!A347&lt;&gt;"",COUNTIF('04_路径网络'!$A$2:$A$501,'04_路径网络'!A347)&gt;1),"ID重复；",""),"")</f>
        <v/>
      </c>
      <c r="G1347" s="14">
        <f>IF(F1347&lt;&gt;"","按字段批注、数据字典和来源记录修正后复核","")</f>
        <v/>
      </c>
      <c r="H1347" s="14">
        <f>IF(F1347&lt;&gt;"","待处理","")</f>
        <v/>
      </c>
    </row>
    <row r="1348">
      <c r="A1348" s="14">
        <f>IF(F1348&lt;&gt;"","ISSUE-"&amp;TEXT(ROW()-1,"00000"),"")</f>
        <v/>
      </c>
      <c r="B1348" s="14">
        <f>IF(F1348&lt;&gt;"","错误","")</f>
        <v/>
      </c>
      <c r="C1348" s="14">
        <f>IF('04_路径网络'!A348&lt;&gt;"","04_路径网络","")</f>
        <v/>
      </c>
      <c r="D1348" s="14">
        <f>IF('04_路径网络'!A348&lt;&gt;"",'04_路径网络'!A348,"")</f>
        <v/>
      </c>
      <c r="E1348" s="14">
        <f>IF(F1348&lt;&gt;"","综合校验","")</f>
        <v/>
      </c>
      <c r="F1348" s="14">
        <f>IF('04_路径网络'!A348&lt;&gt;"",IF('04_路径网络'!A348="","缺少路径ID；","")&amp;IF('04_路径网络'!C348="","缺少路径类型；","")&amp;IF('04_路径网络'!D348="","缺少起点对象ID；","")&amp;IF('04_路径网络'!E348="","缺少终点对象ID；","")&amp;IF(AND('04_路径网络'!D348&lt;&gt;"",'04_路径网络'!D348='04_路径网络'!E348),"起点与终点相同；","")&amp;IF(AND('04_路径网络'!D348&lt;&gt;"",COUNTIF('02_固定地理'!$A$2:$A$501,'04_路径网络'!D348)+COUNTIF('03_地点锚点'!$A$2:$A$501,'04_路径网络'!D348)+COUNTIF('06_建筑锚点'!$A$2:$A$501,'04_路径网络'!D348)=0),"起点引用对象不存在；","")&amp;IF(AND('04_路径网络'!E348&lt;&gt;"",COUNTIF('02_固定地理'!$A$2:$A$501,'04_路径网络'!E348)+COUNTIF('03_地点锚点'!$A$2:$A$501,'04_路径网络'!E348)+COUNTIF('06_建筑锚点'!$A$2:$A$501,'04_路径网络'!E348)=0),"终点引用对象不存在；","")&amp;IF(AND('04_路径网络'!F348&lt;&gt;"",COUNTIF('04_路径网络'!$A$2:$A$501,'04_路径网络'!F348)=0),"父级路径不存在；","")&amp;IF(AND('04_路径网络'!A348&lt;&gt;"",COUNTIF('04_路径网络'!$A$2:$A$501,'04_路径网络'!A348)&gt;1),"ID重复；",""),"")</f>
        <v/>
      </c>
      <c r="G1348" s="14">
        <f>IF(F1348&lt;&gt;"","按字段批注、数据字典和来源记录修正后复核","")</f>
        <v/>
      </c>
      <c r="H1348" s="14">
        <f>IF(F1348&lt;&gt;"","待处理","")</f>
        <v/>
      </c>
    </row>
    <row r="1349">
      <c r="A1349" s="14">
        <f>IF(F1349&lt;&gt;"","ISSUE-"&amp;TEXT(ROW()-1,"00000"),"")</f>
        <v/>
      </c>
      <c r="B1349" s="14">
        <f>IF(F1349&lt;&gt;"","错误","")</f>
        <v/>
      </c>
      <c r="C1349" s="14">
        <f>IF('04_路径网络'!A349&lt;&gt;"","04_路径网络","")</f>
        <v/>
      </c>
      <c r="D1349" s="14">
        <f>IF('04_路径网络'!A349&lt;&gt;"",'04_路径网络'!A349,"")</f>
        <v/>
      </c>
      <c r="E1349" s="14">
        <f>IF(F1349&lt;&gt;"","综合校验","")</f>
        <v/>
      </c>
      <c r="F1349" s="14">
        <f>IF('04_路径网络'!A349&lt;&gt;"",IF('04_路径网络'!A349="","缺少路径ID；","")&amp;IF('04_路径网络'!C349="","缺少路径类型；","")&amp;IF('04_路径网络'!D349="","缺少起点对象ID；","")&amp;IF('04_路径网络'!E349="","缺少终点对象ID；","")&amp;IF(AND('04_路径网络'!D349&lt;&gt;"",'04_路径网络'!D349='04_路径网络'!E349),"起点与终点相同；","")&amp;IF(AND('04_路径网络'!D349&lt;&gt;"",COUNTIF('02_固定地理'!$A$2:$A$501,'04_路径网络'!D349)+COUNTIF('03_地点锚点'!$A$2:$A$501,'04_路径网络'!D349)+COUNTIF('06_建筑锚点'!$A$2:$A$501,'04_路径网络'!D349)=0),"起点引用对象不存在；","")&amp;IF(AND('04_路径网络'!E349&lt;&gt;"",COUNTIF('02_固定地理'!$A$2:$A$501,'04_路径网络'!E349)+COUNTIF('03_地点锚点'!$A$2:$A$501,'04_路径网络'!E349)+COUNTIF('06_建筑锚点'!$A$2:$A$501,'04_路径网络'!E349)=0),"终点引用对象不存在；","")&amp;IF(AND('04_路径网络'!F349&lt;&gt;"",COUNTIF('04_路径网络'!$A$2:$A$501,'04_路径网络'!F349)=0),"父级路径不存在；","")&amp;IF(AND('04_路径网络'!A349&lt;&gt;"",COUNTIF('04_路径网络'!$A$2:$A$501,'04_路径网络'!A349)&gt;1),"ID重复；",""),"")</f>
        <v/>
      </c>
      <c r="G1349" s="14">
        <f>IF(F1349&lt;&gt;"","按字段批注、数据字典和来源记录修正后复核","")</f>
        <v/>
      </c>
      <c r="H1349" s="14">
        <f>IF(F1349&lt;&gt;"","待处理","")</f>
        <v/>
      </c>
    </row>
    <row r="1350">
      <c r="A1350" s="14">
        <f>IF(F1350&lt;&gt;"","ISSUE-"&amp;TEXT(ROW()-1,"00000"),"")</f>
        <v/>
      </c>
      <c r="B1350" s="14">
        <f>IF(F1350&lt;&gt;"","错误","")</f>
        <v/>
      </c>
      <c r="C1350" s="14">
        <f>IF('04_路径网络'!A350&lt;&gt;"","04_路径网络","")</f>
        <v/>
      </c>
      <c r="D1350" s="14">
        <f>IF('04_路径网络'!A350&lt;&gt;"",'04_路径网络'!A350,"")</f>
        <v/>
      </c>
      <c r="E1350" s="14">
        <f>IF(F1350&lt;&gt;"","综合校验","")</f>
        <v/>
      </c>
      <c r="F1350" s="14">
        <f>IF('04_路径网络'!A350&lt;&gt;"",IF('04_路径网络'!A350="","缺少路径ID；","")&amp;IF('04_路径网络'!C350="","缺少路径类型；","")&amp;IF('04_路径网络'!D350="","缺少起点对象ID；","")&amp;IF('04_路径网络'!E350="","缺少终点对象ID；","")&amp;IF(AND('04_路径网络'!D350&lt;&gt;"",'04_路径网络'!D350='04_路径网络'!E350),"起点与终点相同；","")&amp;IF(AND('04_路径网络'!D350&lt;&gt;"",COUNTIF('02_固定地理'!$A$2:$A$501,'04_路径网络'!D350)+COUNTIF('03_地点锚点'!$A$2:$A$501,'04_路径网络'!D350)+COUNTIF('06_建筑锚点'!$A$2:$A$501,'04_路径网络'!D350)=0),"起点引用对象不存在；","")&amp;IF(AND('04_路径网络'!E350&lt;&gt;"",COUNTIF('02_固定地理'!$A$2:$A$501,'04_路径网络'!E350)+COUNTIF('03_地点锚点'!$A$2:$A$501,'04_路径网络'!E350)+COUNTIF('06_建筑锚点'!$A$2:$A$501,'04_路径网络'!E350)=0),"终点引用对象不存在；","")&amp;IF(AND('04_路径网络'!F350&lt;&gt;"",COUNTIF('04_路径网络'!$A$2:$A$501,'04_路径网络'!F350)=0),"父级路径不存在；","")&amp;IF(AND('04_路径网络'!A350&lt;&gt;"",COUNTIF('04_路径网络'!$A$2:$A$501,'04_路径网络'!A350)&gt;1),"ID重复；",""),"")</f>
        <v/>
      </c>
      <c r="G1350" s="14">
        <f>IF(F1350&lt;&gt;"","按字段批注、数据字典和来源记录修正后复核","")</f>
        <v/>
      </c>
      <c r="H1350" s="14">
        <f>IF(F1350&lt;&gt;"","待处理","")</f>
        <v/>
      </c>
    </row>
    <row r="1351">
      <c r="A1351" s="14">
        <f>IF(F1351&lt;&gt;"","ISSUE-"&amp;TEXT(ROW()-1,"00000"),"")</f>
        <v/>
      </c>
      <c r="B1351" s="14">
        <f>IF(F1351&lt;&gt;"","错误","")</f>
        <v/>
      </c>
      <c r="C1351" s="14">
        <f>IF('04_路径网络'!A351&lt;&gt;"","04_路径网络","")</f>
        <v/>
      </c>
      <c r="D1351" s="14">
        <f>IF('04_路径网络'!A351&lt;&gt;"",'04_路径网络'!A351,"")</f>
        <v/>
      </c>
      <c r="E1351" s="14">
        <f>IF(F1351&lt;&gt;"","综合校验","")</f>
        <v/>
      </c>
      <c r="F1351" s="14">
        <f>IF('04_路径网络'!A351&lt;&gt;"",IF('04_路径网络'!A351="","缺少路径ID；","")&amp;IF('04_路径网络'!C351="","缺少路径类型；","")&amp;IF('04_路径网络'!D351="","缺少起点对象ID；","")&amp;IF('04_路径网络'!E351="","缺少终点对象ID；","")&amp;IF(AND('04_路径网络'!D351&lt;&gt;"",'04_路径网络'!D351='04_路径网络'!E351),"起点与终点相同；","")&amp;IF(AND('04_路径网络'!D351&lt;&gt;"",COUNTIF('02_固定地理'!$A$2:$A$501,'04_路径网络'!D351)+COUNTIF('03_地点锚点'!$A$2:$A$501,'04_路径网络'!D351)+COUNTIF('06_建筑锚点'!$A$2:$A$501,'04_路径网络'!D351)=0),"起点引用对象不存在；","")&amp;IF(AND('04_路径网络'!E351&lt;&gt;"",COUNTIF('02_固定地理'!$A$2:$A$501,'04_路径网络'!E351)+COUNTIF('03_地点锚点'!$A$2:$A$501,'04_路径网络'!E351)+COUNTIF('06_建筑锚点'!$A$2:$A$501,'04_路径网络'!E351)=0),"终点引用对象不存在；","")&amp;IF(AND('04_路径网络'!F351&lt;&gt;"",COUNTIF('04_路径网络'!$A$2:$A$501,'04_路径网络'!F351)=0),"父级路径不存在；","")&amp;IF(AND('04_路径网络'!A351&lt;&gt;"",COUNTIF('04_路径网络'!$A$2:$A$501,'04_路径网络'!A351)&gt;1),"ID重复；",""),"")</f>
        <v/>
      </c>
      <c r="G1351" s="14">
        <f>IF(F1351&lt;&gt;"","按字段批注、数据字典和来源记录修正后复核","")</f>
        <v/>
      </c>
      <c r="H1351" s="14">
        <f>IF(F1351&lt;&gt;"","待处理","")</f>
        <v/>
      </c>
    </row>
    <row r="1352">
      <c r="A1352" s="14">
        <f>IF(F1352&lt;&gt;"","ISSUE-"&amp;TEXT(ROW()-1,"00000"),"")</f>
        <v/>
      </c>
      <c r="B1352" s="14">
        <f>IF(F1352&lt;&gt;"","错误","")</f>
        <v/>
      </c>
      <c r="C1352" s="14">
        <f>IF('04_路径网络'!A352&lt;&gt;"","04_路径网络","")</f>
        <v/>
      </c>
      <c r="D1352" s="14">
        <f>IF('04_路径网络'!A352&lt;&gt;"",'04_路径网络'!A352,"")</f>
        <v/>
      </c>
      <c r="E1352" s="14">
        <f>IF(F1352&lt;&gt;"","综合校验","")</f>
        <v/>
      </c>
      <c r="F1352" s="14">
        <f>IF('04_路径网络'!A352&lt;&gt;"",IF('04_路径网络'!A352="","缺少路径ID；","")&amp;IF('04_路径网络'!C352="","缺少路径类型；","")&amp;IF('04_路径网络'!D352="","缺少起点对象ID；","")&amp;IF('04_路径网络'!E352="","缺少终点对象ID；","")&amp;IF(AND('04_路径网络'!D352&lt;&gt;"",'04_路径网络'!D352='04_路径网络'!E352),"起点与终点相同；","")&amp;IF(AND('04_路径网络'!D352&lt;&gt;"",COUNTIF('02_固定地理'!$A$2:$A$501,'04_路径网络'!D352)+COUNTIF('03_地点锚点'!$A$2:$A$501,'04_路径网络'!D352)+COUNTIF('06_建筑锚点'!$A$2:$A$501,'04_路径网络'!D352)=0),"起点引用对象不存在；","")&amp;IF(AND('04_路径网络'!E352&lt;&gt;"",COUNTIF('02_固定地理'!$A$2:$A$501,'04_路径网络'!E352)+COUNTIF('03_地点锚点'!$A$2:$A$501,'04_路径网络'!E352)+COUNTIF('06_建筑锚点'!$A$2:$A$501,'04_路径网络'!E352)=0),"终点引用对象不存在；","")&amp;IF(AND('04_路径网络'!F352&lt;&gt;"",COUNTIF('04_路径网络'!$A$2:$A$501,'04_路径网络'!F352)=0),"父级路径不存在；","")&amp;IF(AND('04_路径网络'!A352&lt;&gt;"",COUNTIF('04_路径网络'!$A$2:$A$501,'04_路径网络'!A352)&gt;1),"ID重复；",""),"")</f>
        <v/>
      </c>
      <c r="G1352" s="14">
        <f>IF(F1352&lt;&gt;"","按字段批注、数据字典和来源记录修正后复核","")</f>
        <v/>
      </c>
      <c r="H1352" s="14">
        <f>IF(F1352&lt;&gt;"","待处理","")</f>
        <v/>
      </c>
    </row>
    <row r="1353">
      <c r="A1353" s="14">
        <f>IF(F1353&lt;&gt;"","ISSUE-"&amp;TEXT(ROW()-1,"00000"),"")</f>
        <v/>
      </c>
      <c r="B1353" s="14">
        <f>IF(F1353&lt;&gt;"","错误","")</f>
        <v/>
      </c>
      <c r="C1353" s="14">
        <f>IF('04_路径网络'!A353&lt;&gt;"","04_路径网络","")</f>
        <v/>
      </c>
      <c r="D1353" s="14">
        <f>IF('04_路径网络'!A353&lt;&gt;"",'04_路径网络'!A353,"")</f>
        <v/>
      </c>
      <c r="E1353" s="14">
        <f>IF(F1353&lt;&gt;"","综合校验","")</f>
        <v/>
      </c>
      <c r="F1353" s="14">
        <f>IF('04_路径网络'!A353&lt;&gt;"",IF('04_路径网络'!A353="","缺少路径ID；","")&amp;IF('04_路径网络'!C353="","缺少路径类型；","")&amp;IF('04_路径网络'!D353="","缺少起点对象ID；","")&amp;IF('04_路径网络'!E353="","缺少终点对象ID；","")&amp;IF(AND('04_路径网络'!D353&lt;&gt;"",'04_路径网络'!D353='04_路径网络'!E353),"起点与终点相同；","")&amp;IF(AND('04_路径网络'!D353&lt;&gt;"",COUNTIF('02_固定地理'!$A$2:$A$501,'04_路径网络'!D353)+COUNTIF('03_地点锚点'!$A$2:$A$501,'04_路径网络'!D353)+COUNTIF('06_建筑锚点'!$A$2:$A$501,'04_路径网络'!D353)=0),"起点引用对象不存在；","")&amp;IF(AND('04_路径网络'!E353&lt;&gt;"",COUNTIF('02_固定地理'!$A$2:$A$501,'04_路径网络'!E353)+COUNTIF('03_地点锚点'!$A$2:$A$501,'04_路径网络'!E353)+COUNTIF('06_建筑锚点'!$A$2:$A$501,'04_路径网络'!E353)=0),"终点引用对象不存在；","")&amp;IF(AND('04_路径网络'!F353&lt;&gt;"",COUNTIF('04_路径网络'!$A$2:$A$501,'04_路径网络'!F353)=0),"父级路径不存在；","")&amp;IF(AND('04_路径网络'!A353&lt;&gt;"",COUNTIF('04_路径网络'!$A$2:$A$501,'04_路径网络'!A353)&gt;1),"ID重复；",""),"")</f>
        <v/>
      </c>
      <c r="G1353" s="14">
        <f>IF(F1353&lt;&gt;"","按字段批注、数据字典和来源记录修正后复核","")</f>
        <v/>
      </c>
      <c r="H1353" s="14">
        <f>IF(F1353&lt;&gt;"","待处理","")</f>
        <v/>
      </c>
    </row>
    <row r="1354">
      <c r="A1354" s="14">
        <f>IF(F1354&lt;&gt;"","ISSUE-"&amp;TEXT(ROW()-1,"00000"),"")</f>
        <v/>
      </c>
      <c r="B1354" s="14">
        <f>IF(F1354&lt;&gt;"","错误","")</f>
        <v/>
      </c>
      <c r="C1354" s="14">
        <f>IF('04_路径网络'!A354&lt;&gt;"","04_路径网络","")</f>
        <v/>
      </c>
      <c r="D1354" s="14">
        <f>IF('04_路径网络'!A354&lt;&gt;"",'04_路径网络'!A354,"")</f>
        <v/>
      </c>
      <c r="E1354" s="14">
        <f>IF(F1354&lt;&gt;"","综合校验","")</f>
        <v/>
      </c>
      <c r="F1354" s="14">
        <f>IF('04_路径网络'!A354&lt;&gt;"",IF('04_路径网络'!A354="","缺少路径ID；","")&amp;IF('04_路径网络'!C354="","缺少路径类型；","")&amp;IF('04_路径网络'!D354="","缺少起点对象ID；","")&amp;IF('04_路径网络'!E354="","缺少终点对象ID；","")&amp;IF(AND('04_路径网络'!D354&lt;&gt;"",'04_路径网络'!D354='04_路径网络'!E354),"起点与终点相同；","")&amp;IF(AND('04_路径网络'!D354&lt;&gt;"",COUNTIF('02_固定地理'!$A$2:$A$501,'04_路径网络'!D354)+COUNTIF('03_地点锚点'!$A$2:$A$501,'04_路径网络'!D354)+COUNTIF('06_建筑锚点'!$A$2:$A$501,'04_路径网络'!D354)=0),"起点引用对象不存在；","")&amp;IF(AND('04_路径网络'!E354&lt;&gt;"",COUNTIF('02_固定地理'!$A$2:$A$501,'04_路径网络'!E354)+COUNTIF('03_地点锚点'!$A$2:$A$501,'04_路径网络'!E354)+COUNTIF('06_建筑锚点'!$A$2:$A$501,'04_路径网络'!E354)=0),"终点引用对象不存在；","")&amp;IF(AND('04_路径网络'!F354&lt;&gt;"",COUNTIF('04_路径网络'!$A$2:$A$501,'04_路径网络'!F354)=0),"父级路径不存在；","")&amp;IF(AND('04_路径网络'!A354&lt;&gt;"",COUNTIF('04_路径网络'!$A$2:$A$501,'04_路径网络'!A354)&gt;1),"ID重复；",""),"")</f>
        <v/>
      </c>
      <c r="G1354" s="14">
        <f>IF(F1354&lt;&gt;"","按字段批注、数据字典和来源记录修正后复核","")</f>
        <v/>
      </c>
      <c r="H1354" s="14">
        <f>IF(F1354&lt;&gt;"","待处理","")</f>
        <v/>
      </c>
    </row>
    <row r="1355">
      <c r="A1355" s="14">
        <f>IF(F1355&lt;&gt;"","ISSUE-"&amp;TEXT(ROW()-1,"00000"),"")</f>
        <v/>
      </c>
      <c r="B1355" s="14">
        <f>IF(F1355&lt;&gt;"","错误","")</f>
        <v/>
      </c>
      <c r="C1355" s="14">
        <f>IF('04_路径网络'!A355&lt;&gt;"","04_路径网络","")</f>
        <v/>
      </c>
      <c r="D1355" s="14">
        <f>IF('04_路径网络'!A355&lt;&gt;"",'04_路径网络'!A355,"")</f>
        <v/>
      </c>
      <c r="E1355" s="14">
        <f>IF(F1355&lt;&gt;"","综合校验","")</f>
        <v/>
      </c>
      <c r="F1355" s="14">
        <f>IF('04_路径网络'!A355&lt;&gt;"",IF('04_路径网络'!A355="","缺少路径ID；","")&amp;IF('04_路径网络'!C355="","缺少路径类型；","")&amp;IF('04_路径网络'!D355="","缺少起点对象ID；","")&amp;IF('04_路径网络'!E355="","缺少终点对象ID；","")&amp;IF(AND('04_路径网络'!D355&lt;&gt;"",'04_路径网络'!D355='04_路径网络'!E355),"起点与终点相同；","")&amp;IF(AND('04_路径网络'!D355&lt;&gt;"",COUNTIF('02_固定地理'!$A$2:$A$501,'04_路径网络'!D355)+COUNTIF('03_地点锚点'!$A$2:$A$501,'04_路径网络'!D355)+COUNTIF('06_建筑锚点'!$A$2:$A$501,'04_路径网络'!D355)=0),"起点引用对象不存在；","")&amp;IF(AND('04_路径网络'!E355&lt;&gt;"",COUNTIF('02_固定地理'!$A$2:$A$501,'04_路径网络'!E355)+COUNTIF('03_地点锚点'!$A$2:$A$501,'04_路径网络'!E355)+COUNTIF('06_建筑锚点'!$A$2:$A$501,'04_路径网络'!E355)=0),"终点引用对象不存在；","")&amp;IF(AND('04_路径网络'!F355&lt;&gt;"",COUNTIF('04_路径网络'!$A$2:$A$501,'04_路径网络'!F355)=0),"父级路径不存在；","")&amp;IF(AND('04_路径网络'!A355&lt;&gt;"",COUNTIF('04_路径网络'!$A$2:$A$501,'04_路径网络'!A355)&gt;1),"ID重复；",""),"")</f>
        <v/>
      </c>
      <c r="G1355" s="14">
        <f>IF(F1355&lt;&gt;"","按字段批注、数据字典和来源记录修正后复核","")</f>
        <v/>
      </c>
      <c r="H1355" s="14">
        <f>IF(F1355&lt;&gt;"","待处理","")</f>
        <v/>
      </c>
    </row>
    <row r="1356">
      <c r="A1356" s="14">
        <f>IF(F1356&lt;&gt;"","ISSUE-"&amp;TEXT(ROW()-1,"00000"),"")</f>
        <v/>
      </c>
      <c r="B1356" s="14">
        <f>IF(F1356&lt;&gt;"","错误","")</f>
        <v/>
      </c>
      <c r="C1356" s="14">
        <f>IF('04_路径网络'!A356&lt;&gt;"","04_路径网络","")</f>
        <v/>
      </c>
      <c r="D1356" s="14">
        <f>IF('04_路径网络'!A356&lt;&gt;"",'04_路径网络'!A356,"")</f>
        <v/>
      </c>
      <c r="E1356" s="14">
        <f>IF(F1356&lt;&gt;"","综合校验","")</f>
        <v/>
      </c>
      <c r="F1356" s="14">
        <f>IF('04_路径网络'!A356&lt;&gt;"",IF('04_路径网络'!A356="","缺少路径ID；","")&amp;IF('04_路径网络'!C356="","缺少路径类型；","")&amp;IF('04_路径网络'!D356="","缺少起点对象ID；","")&amp;IF('04_路径网络'!E356="","缺少终点对象ID；","")&amp;IF(AND('04_路径网络'!D356&lt;&gt;"",'04_路径网络'!D356='04_路径网络'!E356),"起点与终点相同；","")&amp;IF(AND('04_路径网络'!D356&lt;&gt;"",COUNTIF('02_固定地理'!$A$2:$A$501,'04_路径网络'!D356)+COUNTIF('03_地点锚点'!$A$2:$A$501,'04_路径网络'!D356)+COUNTIF('06_建筑锚点'!$A$2:$A$501,'04_路径网络'!D356)=0),"起点引用对象不存在；","")&amp;IF(AND('04_路径网络'!E356&lt;&gt;"",COUNTIF('02_固定地理'!$A$2:$A$501,'04_路径网络'!E356)+COUNTIF('03_地点锚点'!$A$2:$A$501,'04_路径网络'!E356)+COUNTIF('06_建筑锚点'!$A$2:$A$501,'04_路径网络'!E356)=0),"终点引用对象不存在；","")&amp;IF(AND('04_路径网络'!F356&lt;&gt;"",COUNTIF('04_路径网络'!$A$2:$A$501,'04_路径网络'!F356)=0),"父级路径不存在；","")&amp;IF(AND('04_路径网络'!A356&lt;&gt;"",COUNTIF('04_路径网络'!$A$2:$A$501,'04_路径网络'!A356)&gt;1),"ID重复；",""),"")</f>
        <v/>
      </c>
      <c r="G1356" s="14">
        <f>IF(F1356&lt;&gt;"","按字段批注、数据字典和来源记录修正后复核","")</f>
        <v/>
      </c>
      <c r="H1356" s="14">
        <f>IF(F1356&lt;&gt;"","待处理","")</f>
        <v/>
      </c>
    </row>
    <row r="1357">
      <c r="A1357" s="14">
        <f>IF(F1357&lt;&gt;"","ISSUE-"&amp;TEXT(ROW()-1,"00000"),"")</f>
        <v/>
      </c>
      <c r="B1357" s="14">
        <f>IF(F1357&lt;&gt;"","错误","")</f>
        <v/>
      </c>
      <c r="C1357" s="14">
        <f>IF('04_路径网络'!A357&lt;&gt;"","04_路径网络","")</f>
        <v/>
      </c>
      <c r="D1357" s="14">
        <f>IF('04_路径网络'!A357&lt;&gt;"",'04_路径网络'!A357,"")</f>
        <v/>
      </c>
      <c r="E1357" s="14">
        <f>IF(F1357&lt;&gt;"","综合校验","")</f>
        <v/>
      </c>
      <c r="F1357" s="14">
        <f>IF('04_路径网络'!A357&lt;&gt;"",IF('04_路径网络'!A357="","缺少路径ID；","")&amp;IF('04_路径网络'!C357="","缺少路径类型；","")&amp;IF('04_路径网络'!D357="","缺少起点对象ID；","")&amp;IF('04_路径网络'!E357="","缺少终点对象ID；","")&amp;IF(AND('04_路径网络'!D357&lt;&gt;"",'04_路径网络'!D357='04_路径网络'!E357),"起点与终点相同；","")&amp;IF(AND('04_路径网络'!D357&lt;&gt;"",COUNTIF('02_固定地理'!$A$2:$A$501,'04_路径网络'!D357)+COUNTIF('03_地点锚点'!$A$2:$A$501,'04_路径网络'!D357)+COUNTIF('06_建筑锚点'!$A$2:$A$501,'04_路径网络'!D357)=0),"起点引用对象不存在；","")&amp;IF(AND('04_路径网络'!E357&lt;&gt;"",COUNTIF('02_固定地理'!$A$2:$A$501,'04_路径网络'!E357)+COUNTIF('03_地点锚点'!$A$2:$A$501,'04_路径网络'!E357)+COUNTIF('06_建筑锚点'!$A$2:$A$501,'04_路径网络'!E357)=0),"终点引用对象不存在；","")&amp;IF(AND('04_路径网络'!F357&lt;&gt;"",COUNTIF('04_路径网络'!$A$2:$A$501,'04_路径网络'!F357)=0),"父级路径不存在；","")&amp;IF(AND('04_路径网络'!A357&lt;&gt;"",COUNTIF('04_路径网络'!$A$2:$A$501,'04_路径网络'!A357)&gt;1),"ID重复；",""),"")</f>
        <v/>
      </c>
      <c r="G1357" s="14">
        <f>IF(F1357&lt;&gt;"","按字段批注、数据字典和来源记录修正后复核","")</f>
        <v/>
      </c>
      <c r="H1357" s="14">
        <f>IF(F1357&lt;&gt;"","待处理","")</f>
        <v/>
      </c>
    </row>
    <row r="1358">
      <c r="A1358" s="14">
        <f>IF(F1358&lt;&gt;"","ISSUE-"&amp;TEXT(ROW()-1,"00000"),"")</f>
        <v/>
      </c>
      <c r="B1358" s="14">
        <f>IF(F1358&lt;&gt;"","错误","")</f>
        <v/>
      </c>
      <c r="C1358" s="14">
        <f>IF('04_路径网络'!A358&lt;&gt;"","04_路径网络","")</f>
        <v/>
      </c>
      <c r="D1358" s="14">
        <f>IF('04_路径网络'!A358&lt;&gt;"",'04_路径网络'!A358,"")</f>
        <v/>
      </c>
      <c r="E1358" s="14">
        <f>IF(F1358&lt;&gt;"","综合校验","")</f>
        <v/>
      </c>
      <c r="F1358" s="14">
        <f>IF('04_路径网络'!A358&lt;&gt;"",IF('04_路径网络'!A358="","缺少路径ID；","")&amp;IF('04_路径网络'!C358="","缺少路径类型；","")&amp;IF('04_路径网络'!D358="","缺少起点对象ID；","")&amp;IF('04_路径网络'!E358="","缺少终点对象ID；","")&amp;IF(AND('04_路径网络'!D358&lt;&gt;"",'04_路径网络'!D358='04_路径网络'!E358),"起点与终点相同；","")&amp;IF(AND('04_路径网络'!D358&lt;&gt;"",COUNTIF('02_固定地理'!$A$2:$A$501,'04_路径网络'!D358)+COUNTIF('03_地点锚点'!$A$2:$A$501,'04_路径网络'!D358)+COUNTIF('06_建筑锚点'!$A$2:$A$501,'04_路径网络'!D358)=0),"起点引用对象不存在；","")&amp;IF(AND('04_路径网络'!E358&lt;&gt;"",COUNTIF('02_固定地理'!$A$2:$A$501,'04_路径网络'!E358)+COUNTIF('03_地点锚点'!$A$2:$A$501,'04_路径网络'!E358)+COUNTIF('06_建筑锚点'!$A$2:$A$501,'04_路径网络'!E358)=0),"终点引用对象不存在；","")&amp;IF(AND('04_路径网络'!F358&lt;&gt;"",COUNTIF('04_路径网络'!$A$2:$A$501,'04_路径网络'!F358)=0),"父级路径不存在；","")&amp;IF(AND('04_路径网络'!A358&lt;&gt;"",COUNTIF('04_路径网络'!$A$2:$A$501,'04_路径网络'!A358)&gt;1),"ID重复；",""),"")</f>
        <v/>
      </c>
      <c r="G1358" s="14">
        <f>IF(F1358&lt;&gt;"","按字段批注、数据字典和来源记录修正后复核","")</f>
        <v/>
      </c>
      <c r="H1358" s="14">
        <f>IF(F1358&lt;&gt;"","待处理","")</f>
        <v/>
      </c>
    </row>
    <row r="1359">
      <c r="A1359" s="14">
        <f>IF(F1359&lt;&gt;"","ISSUE-"&amp;TEXT(ROW()-1,"00000"),"")</f>
        <v/>
      </c>
      <c r="B1359" s="14">
        <f>IF(F1359&lt;&gt;"","错误","")</f>
        <v/>
      </c>
      <c r="C1359" s="14">
        <f>IF('04_路径网络'!A359&lt;&gt;"","04_路径网络","")</f>
        <v/>
      </c>
      <c r="D1359" s="14">
        <f>IF('04_路径网络'!A359&lt;&gt;"",'04_路径网络'!A359,"")</f>
        <v/>
      </c>
      <c r="E1359" s="14">
        <f>IF(F1359&lt;&gt;"","综合校验","")</f>
        <v/>
      </c>
      <c r="F1359" s="14">
        <f>IF('04_路径网络'!A359&lt;&gt;"",IF('04_路径网络'!A359="","缺少路径ID；","")&amp;IF('04_路径网络'!C359="","缺少路径类型；","")&amp;IF('04_路径网络'!D359="","缺少起点对象ID；","")&amp;IF('04_路径网络'!E359="","缺少终点对象ID；","")&amp;IF(AND('04_路径网络'!D359&lt;&gt;"",'04_路径网络'!D359='04_路径网络'!E359),"起点与终点相同；","")&amp;IF(AND('04_路径网络'!D359&lt;&gt;"",COUNTIF('02_固定地理'!$A$2:$A$501,'04_路径网络'!D359)+COUNTIF('03_地点锚点'!$A$2:$A$501,'04_路径网络'!D359)+COUNTIF('06_建筑锚点'!$A$2:$A$501,'04_路径网络'!D359)=0),"起点引用对象不存在；","")&amp;IF(AND('04_路径网络'!E359&lt;&gt;"",COUNTIF('02_固定地理'!$A$2:$A$501,'04_路径网络'!E359)+COUNTIF('03_地点锚点'!$A$2:$A$501,'04_路径网络'!E359)+COUNTIF('06_建筑锚点'!$A$2:$A$501,'04_路径网络'!E359)=0),"终点引用对象不存在；","")&amp;IF(AND('04_路径网络'!F359&lt;&gt;"",COUNTIF('04_路径网络'!$A$2:$A$501,'04_路径网络'!F359)=0),"父级路径不存在；","")&amp;IF(AND('04_路径网络'!A359&lt;&gt;"",COUNTIF('04_路径网络'!$A$2:$A$501,'04_路径网络'!A359)&gt;1),"ID重复；",""),"")</f>
        <v/>
      </c>
      <c r="G1359" s="14">
        <f>IF(F1359&lt;&gt;"","按字段批注、数据字典和来源记录修正后复核","")</f>
        <v/>
      </c>
      <c r="H1359" s="14">
        <f>IF(F1359&lt;&gt;"","待处理","")</f>
        <v/>
      </c>
    </row>
    <row r="1360">
      <c r="A1360" s="14">
        <f>IF(F1360&lt;&gt;"","ISSUE-"&amp;TEXT(ROW()-1,"00000"),"")</f>
        <v/>
      </c>
      <c r="B1360" s="14">
        <f>IF(F1360&lt;&gt;"","错误","")</f>
        <v/>
      </c>
      <c r="C1360" s="14">
        <f>IF('04_路径网络'!A360&lt;&gt;"","04_路径网络","")</f>
        <v/>
      </c>
      <c r="D1360" s="14">
        <f>IF('04_路径网络'!A360&lt;&gt;"",'04_路径网络'!A360,"")</f>
        <v/>
      </c>
      <c r="E1360" s="14">
        <f>IF(F1360&lt;&gt;"","综合校验","")</f>
        <v/>
      </c>
      <c r="F1360" s="14">
        <f>IF('04_路径网络'!A360&lt;&gt;"",IF('04_路径网络'!A360="","缺少路径ID；","")&amp;IF('04_路径网络'!C360="","缺少路径类型；","")&amp;IF('04_路径网络'!D360="","缺少起点对象ID；","")&amp;IF('04_路径网络'!E360="","缺少终点对象ID；","")&amp;IF(AND('04_路径网络'!D360&lt;&gt;"",'04_路径网络'!D360='04_路径网络'!E360),"起点与终点相同；","")&amp;IF(AND('04_路径网络'!D360&lt;&gt;"",COUNTIF('02_固定地理'!$A$2:$A$501,'04_路径网络'!D360)+COUNTIF('03_地点锚点'!$A$2:$A$501,'04_路径网络'!D360)+COUNTIF('06_建筑锚点'!$A$2:$A$501,'04_路径网络'!D360)=0),"起点引用对象不存在；","")&amp;IF(AND('04_路径网络'!E360&lt;&gt;"",COUNTIF('02_固定地理'!$A$2:$A$501,'04_路径网络'!E360)+COUNTIF('03_地点锚点'!$A$2:$A$501,'04_路径网络'!E360)+COUNTIF('06_建筑锚点'!$A$2:$A$501,'04_路径网络'!E360)=0),"终点引用对象不存在；","")&amp;IF(AND('04_路径网络'!F360&lt;&gt;"",COUNTIF('04_路径网络'!$A$2:$A$501,'04_路径网络'!F360)=0),"父级路径不存在；","")&amp;IF(AND('04_路径网络'!A360&lt;&gt;"",COUNTIF('04_路径网络'!$A$2:$A$501,'04_路径网络'!A360)&gt;1),"ID重复；",""),"")</f>
        <v/>
      </c>
      <c r="G1360" s="14">
        <f>IF(F1360&lt;&gt;"","按字段批注、数据字典和来源记录修正后复核","")</f>
        <v/>
      </c>
      <c r="H1360" s="14">
        <f>IF(F1360&lt;&gt;"","待处理","")</f>
        <v/>
      </c>
    </row>
    <row r="1361">
      <c r="A1361" s="14">
        <f>IF(F1361&lt;&gt;"","ISSUE-"&amp;TEXT(ROW()-1,"00000"),"")</f>
        <v/>
      </c>
      <c r="B1361" s="14">
        <f>IF(F1361&lt;&gt;"","错误","")</f>
        <v/>
      </c>
      <c r="C1361" s="14">
        <f>IF('04_路径网络'!A361&lt;&gt;"","04_路径网络","")</f>
        <v/>
      </c>
      <c r="D1361" s="14">
        <f>IF('04_路径网络'!A361&lt;&gt;"",'04_路径网络'!A361,"")</f>
        <v/>
      </c>
      <c r="E1361" s="14">
        <f>IF(F1361&lt;&gt;"","综合校验","")</f>
        <v/>
      </c>
      <c r="F1361" s="14">
        <f>IF('04_路径网络'!A361&lt;&gt;"",IF('04_路径网络'!A361="","缺少路径ID；","")&amp;IF('04_路径网络'!C361="","缺少路径类型；","")&amp;IF('04_路径网络'!D361="","缺少起点对象ID；","")&amp;IF('04_路径网络'!E361="","缺少终点对象ID；","")&amp;IF(AND('04_路径网络'!D361&lt;&gt;"",'04_路径网络'!D361='04_路径网络'!E361),"起点与终点相同；","")&amp;IF(AND('04_路径网络'!D361&lt;&gt;"",COUNTIF('02_固定地理'!$A$2:$A$501,'04_路径网络'!D361)+COUNTIF('03_地点锚点'!$A$2:$A$501,'04_路径网络'!D361)+COUNTIF('06_建筑锚点'!$A$2:$A$501,'04_路径网络'!D361)=0),"起点引用对象不存在；","")&amp;IF(AND('04_路径网络'!E361&lt;&gt;"",COUNTIF('02_固定地理'!$A$2:$A$501,'04_路径网络'!E361)+COUNTIF('03_地点锚点'!$A$2:$A$501,'04_路径网络'!E361)+COUNTIF('06_建筑锚点'!$A$2:$A$501,'04_路径网络'!E361)=0),"终点引用对象不存在；","")&amp;IF(AND('04_路径网络'!F361&lt;&gt;"",COUNTIF('04_路径网络'!$A$2:$A$501,'04_路径网络'!F361)=0),"父级路径不存在；","")&amp;IF(AND('04_路径网络'!A361&lt;&gt;"",COUNTIF('04_路径网络'!$A$2:$A$501,'04_路径网络'!A361)&gt;1),"ID重复；",""),"")</f>
        <v/>
      </c>
      <c r="G1361" s="14">
        <f>IF(F1361&lt;&gt;"","按字段批注、数据字典和来源记录修正后复核","")</f>
        <v/>
      </c>
      <c r="H1361" s="14">
        <f>IF(F1361&lt;&gt;"","待处理","")</f>
        <v/>
      </c>
    </row>
    <row r="1362">
      <c r="A1362" s="14">
        <f>IF(F1362&lt;&gt;"","ISSUE-"&amp;TEXT(ROW()-1,"00000"),"")</f>
        <v/>
      </c>
      <c r="B1362" s="14">
        <f>IF(F1362&lt;&gt;"","错误","")</f>
        <v/>
      </c>
      <c r="C1362" s="14">
        <f>IF('04_路径网络'!A362&lt;&gt;"","04_路径网络","")</f>
        <v/>
      </c>
      <c r="D1362" s="14">
        <f>IF('04_路径网络'!A362&lt;&gt;"",'04_路径网络'!A362,"")</f>
        <v/>
      </c>
      <c r="E1362" s="14">
        <f>IF(F1362&lt;&gt;"","综合校验","")</f>
        <v/>
      </c>
      <c r="F1362" s="14">
        <f>IF('04_路径网络'!A362&lt;&gt;"",IF('04_路径网络'!A362="","缺少路径ID；","")&amp;IF('04_路径网络'!C362="","缺少路径类型；","")&amp;IF('04_路径网络'!D362="","缺少起点对象ID；","")&amp;IF('04_路径网络'!E362="","缺少终点对象ID；","")&amp;IF(AND('04_路径网络'!D362&lt;&gt;"",'04_路径网络'!D362='04_路径网络'!E362),"起点与终点相同；","")&amp;IF(AND('04_路径网络'!D362&lt;&gt;"",COUNTIF('02_固定地理'!$A$2:$A$501,'04_路径网络'!D362)+COUNTIF('03_地点锚点'!$A$2:$A$501,'04_路径网络'!D362)+COUNTIF('06_建筑锚点'!$A$2:$A$501,'04_路径网络'!D362)=0),"起点引用对象不存在；","")&amp;IF(AND('04_路径网络'!E362&lt;&gt;"",COUNTIF('02_固定地理'!$A$2:$A$501,'04_路径网络'!E362)+COUNTIF('03_地点锚点'!$A$2:$A$501,'04_路径网络'!E362)+COUNTIF('06_建筑锚点'!$A$2:$A$501,'04_路径网络'!E362)=0),"终点引用对象不存在；","")&amp;IF(AND('04_路径网络'!F362&lt;&gt;"",COUNTIF('04_路径网络'!$A$2:$A$501,'04_路径网络'!F362)=0),"父级路径不存在；","")&amp;IF(AND('04_路径网络'!A362&lt;&gt;"",COUNTIF('04_路径网络'!$A$2:$A$501,'04_路径网络'!A362)&gt;1),"ID重复；",""),"")</f>
        <v/>
      </c>
      <c r="G1362" s="14">
        <f>IF(F1362&lt;&gt;"","按字段批注、数据字典和来源记录修正后复核","")</f>
        <v/>
      </c>
      <c r="H1362" s="14">
        <f>IF(F1362&lt;&gt;"","待处理","")</f>
        <v/>
      </c>
    </row>
    <row r="1363">
      <c r="A1363" s="14">
        <f>IF(F1363&lt;&gt;"","ISSUE-"&amp;TEXT(ROW()-1,"00000"),"")</f>
        <v/>
      </c>
      <c r="B1363" s="14">
        <f>IF(F1363&lt;&gt;"","错误","")</f>
        <v/>
      </c>
      <c r="C1363" s="14">
        <f>IF('04_路径网络'!A363&lt;&gt;"","04_路径网络","")</f>
        <v/>
      </c>
      <c r="D1363" s="14">
        <f>IF('04_路径网络'!A363&lt;&gt;"",'04_路径网络'!A363,"")</f>
        <v/>
      </c>
      <c r="E1363" s="14">
        <f>IF(F1363&lt;&gt;"","综合校验","")</f>
        <v/>
      </c>
      <c r="F1363" s="14">
        <f>IF('04_路径网络'!A363&lt;&gt;"",IF('04_路径网络'!A363="","缺少路径ID；","")&amp;IF('04_路径网络'!C363="","缺少路径类型；","")&amp;IF('04_路径网络'!D363="","缺少起点对象ID；","")&amp;IF('04_路径网络'!E363="","缺少终点对象ID；","")&amp;IF(AND('04_路径网络'!D363&lt;&gt;"",'04_路径网络'!D363='04_路径网络'!E363),"起点与终点相同；","")&amp;IF(AND('04_路径网络'!D363&lt;&gt;"",COUNTIF('02_固定地理'!$A$2:$A$501,'04_路径网络'!D363)+COUNTIF('03_地点锚点'!$A$2:$A$501,'04_路径网络'!D363)+COUNTIF('06_建筑锚点'!$A$2:$A$501,'04_路径网络'!D363)=0),"起点引用对象不存在；","")&amp;IF(AND('04_路径网络'!E363&lt;&gt;"",COUNTIF('02_固定地理'!$A$2:$A$501,'04_路径网络'!E363)+COUNTIF('03_地点锚点'!$A$2:$A$501,'04_路径网络'!E363)+COUNTIF('06_建筑锚点'!$A$2:$A$501,'04_路径网络'!E363)=0),"终点引用对象不存在；","")&amp;IF(AND('04_路径网络'!F363&lt;&gt;"",COUNTIF('04_路径网络'!$A$2:$A$501,'04_路径网络'!F363)=0),"父级路径不存在；","")&amp;IF(AND('04_路径网络'!A363&lt;&gt;"",COUNTIF('04_路径网络'!$A$2:$A$501,'04_路径网络'!A363)&gt;1),"ID重复；",""),"")</f>
        <v/>
      </c>
      <c r="G1363" s="14">
        <f>IF(F1363&lt;&gt;"","按字段批注、数据字典和来源记录修正后复核","")</f>
        <v/>
      </c>
      <c r="H1363" s="14">
        <f>IF(F1363&lt;&gt;"","待处理","")</f>
        <v/>
      </c>
    </row>
    <row r="1364">
      <c r="A1364" s="14">
        <f>IF(F1364&lt;&gt;"","ISSUE-"&amp;TEXT(ROW()-1,"00000"),"")</f>
        <v/>
      </c>
      <c r="B1364" s="14">
        <f>IF(F1364&lt;&gt;"","错误","")</f>
        <v/>
      </c>
      <c r="C1364" s="14">
        <f>IF('04_路径网络'!A364&lt;&gt;"","04_路径网络","")</f>
        <v/>
      </c>
      <c r="D1364" s="14">
        <f>IF('04_路径网络'!A364&lt;&gt;"",'04_路径网络'!A364,"")</f>
        <v/>
      </c>
      <c r="E1364" s="14">
        <f>IF(F1364&lt;&gt;"","综合校验","")</f>
        <v/>
      </c>
      <c r="F1364" s="14">
        <f>IF('04_路径网络'!A364&lt;&gt;"",IF('04_路径网络'!A364="","缺少路径ID；","")&amp;IF('04_路径网络'!C364="","缺少路径类型；","")&amp;IF('04_路径网络'!D364="","缺少起点对象ID；","")&amp;IF('04_路径网络'!E364="","缺少终点对象ID；","")&amp;IF(AND('04_路径网络'!D364&lt;&gt;"",'04_路径网络'!D364='04_路径网络'!E364),"起点与终点相同；","")&amp;IF(AND('04_路径网络'!D364&lt;&gt;"",COUNTIF('02_固定地理'!$A$2:$A$501,'04_路径网络'!D364)+COUNTIF('03_地点锚点'!$A$2:$A$501,'04_路径网络'!D364)+COUNTIF('06_建筑锚点'!$A$2:$A$501,'04_路径网络'!D364)=0),"起点引用对象不存在；","")&amp;IF(AND('04_路径网络'!E364&lt;&gt;"",COUNTIF('02_固定地理'!$A$2:$A$501,'04_路径网络'!E364)+COUNTIF('03_地点锚点'!$A$2:$A$501,'04_路径网络'!E364)+COUNTIF('06_建筑锚点'!$A$2:$A$501,'04_路径网络'!E364)=0),"终点引用对象不存在；","")&amp;IF(AND('04_路径网络'!F364&lt;&gt;"",COUNTIF('04_路径网络'!$A$2:$A$501,'04_路径网络'!F364)=0),"父级路径不存在；","")&amp;IF(AND('04_路径网络'!A364&lt;&gt;"",COUNTIF('04_路径网络'!$A$2:$A$501,'04_路径网络'!A364)&gt;1),"ID重复；",""),"")</f>
        <v/>
      </c>
      <c r="G1364" s="14">
        <f>IF(F1364&lt;&gt;"","按字段批注、数据字典和来源记录修正后复核","")</f>
        <v/>
      </c>
      <c r="H1364" s="14">
        <f>IF(F1364&lt;&gt;"","待处理","")</f>
        <v/>
      </c>
    </row>
    <row r="1365">
      <c r="A1365" s="14">
        <f>IF(F1365&lt;&gt;"","ISSUE-"&amp;TEXT(ROW()-1,"00000"),"")</f>
        <v/>
      </c>
      <c r="B1365" s="14">
        <f>IF(F1365&lt;&gt;"","错误","")</f>
        <v/>
      </c>
      <c r="C1365" s="14">
        <f>IF('04_路径网络'!A365&lt;&gt;"","04_路径网络","")</f>
        <v/>
      </c>
      <c r="D1365" s="14">
        <f>IF('04_路径网络'!A365&lt;&gt;"",'04_路径网络'!A365,"")</f>
        <v/>
      </c>
      <c r="E1365" s="14">
        <f>IF(F1365&lt;&gt;"","综合校验","")</f>
        <v/>
      </c>
      <c r="F1365" s="14">
        <f>IF('04_路径网络'!A365&lt;&gt;"",IF('04_路径网络'!A365="","缺少路径ID；","")&amp;IF('04_路径网络'!C365="","缺少路径类型；","")&amp;IF('04_路径网络'!D365="","缺少起点对象ID；","")&amp;IF('04_路径网络'!E365="","缺少终点对象ID；","")&amp;IF(AND('04_路径网络'!D365&lt;&gt;"",'04_路径网络'!D365='04_路径网络'!E365),"起点与终点相同；","")&amp;IF(AND('04_路径网络'!D365&lt;&gt;"",COUNTIF('02_固定地理'!$A$2:$A$501,'04_路径网络'!D365)+COUNTIF('03_地点锚点'!$A$2:$A$501,'04_路径网络'!D365)+COUNTIF('06_建筑锚点'!$A$2:$A$501,'04_路径网络'!D365)=0),"起点引用对象不存在；","")&amp;IF(AND('04_路径网络'!E365&lt;&gt;"",COUNTIF('02_固定地理'!$A$2:$A$501,'04_路径网络'!E365)+COUNTIF('03_地点锚点'!$A$2:$A$501,'04_路径网络'!E365)+COUNTIF('06_建筑锚点'!$A$2:$A$501,'04_路径网络'!E365)=0),"终点引用对象不存在；","")&amp;IF(AND('04_路径网络'!F365&lt;&gt;"",COUNTIF('04_路径网络'!$A$2:$A$501,'04_路径网络'!F365)=0),"父级路径不存在；","")&amp;IF(AND('04_路径网络'!A365&lt;&gt;"",COUNTIF('04_路径网络'!$A$2:$A$501,'04_路径网络'!A365)&gt;1),"ID重复；",""),"")</f>
        <v/>
      </c>
      <c r="G1365" s="14">
        <f>IF(F1365&lt;&gt;"","按字段批注、数据字典和来源记录修正后复核","")</f>
        <v/>
      </c>
      <c r="H1365" s="14">
        <f>IF(F1365&lt;&gt;"","待处理","")</f>
        <v/>
      </c>
    </row>
    <row r="1366">
      <c r="A1366" s="14">
        <f>IF(F1366&lt;&gt;"","ISSUE-"&amp;TEXT(ROW()-1,"00000"),"")</f>
        <v/>
      </c>
      <c r="B1366" s="14">
        <f>IF(F1366&lt;&gt;"","错误","")</f>
        <v/>
      </c>
      <c r="C1366" s="14">
        <f>IF('04_路径网络'!A366&lt;&gt;"","04_路径网络","")</f>
        <v/>
      </c>
      <c r="D1366" s="14">
        <f>IF('04_路径网络'!A366&lt;&gt;"",'04_路径网络'!A366,"")</f>
        <v/>
      </c>
      <c r="E1366" s="14">
        <f>IF(F1366&lt;&gt;"","综合校验","")</f>
        <v/>
      </c>
      <c r="F1366" s="14">
        <f>IF('04_路径网络'!A366&lt;&gt;"",IF('04_路径网络'!A366="","缺少路径ID；","")&amp;IF('04_路径网络'!C366="","缺少路径类型；","")&amp;IF('04_路径网络'!D366="","缺少起点对象ID；","")&amp;IF('04_路径网络'!E366="","缺少终点对象ID；","")&amp;IF(AND('04_路径网络'!D366&lt;&gt;"",'04_路径网络'!D366='04_路径网络'!E366),"起点与终点相同；","")&amp;IF(AND('04_路径网络'!D366&lt;&gt;"",COUNTIF('02_固定地理'!$A$2:$A$501,'04_路径网络'!D366)+COUNTIF('03_地点锚点'!$A$2:$A$501,'04_路径网络'!D366)+COUNTIF('06_建筑锚点'!$A$2:$A$501,'04_路径网络'!D366)=0),"起点引用对象不存在；","")&amp;IF(AND('04_路径网络'!E366&lt;&gt;"",COUNTIF('02_固定地理'!$A$2:$A$501,'04_路径网络'!E366)+COUNTIF('03_地点锚点'!$A$2:$A$501,'04_路径网络'!E366)+COUNTIF('06_建筑锚点'!$A$2:$A$501,'04_路径网络'!E366)=0),"终点引用对象不存在；","")&amp;IF(AND('04_路径网络'!F366&lt;&gt;"",COUNTIF('04_路径网络'!$A$2:$A$501,'04_路径网络'!F366)=0),"父级路径不存在；","")&amp;IF(AND('04_路径网络'!A366&lt;&gt;"",COUNTIF('04_路径网络'!$A$2:$A$501,'04_路径网络'!A366)&gt;1),"ID重复；",""),"")</f>
        <v/>
      </c>
      <c r="G1366" s="14">
        <f>IF(F1366&lt;&gt;"","按字段批注、数据字典和来源记录修正后复核","")</f>
        <v/>
      </c>
      <c r="H1366" s="14">
        <f>IF(F1366&lt;&gt;"","待处理","")</f>
        <v/>
      </c>
    </row>
    <row r="1367">
      <c r="A1367" s="14">
        <f>IF(F1367&lt;&gt;"","ISSUE-"&amp;TEXT(ROW()-1,"00000"),"")</f>
        <v/>
      </c>
      <c r="B1367" s="14">
        <f>IF(F1367&lt;&gt;"","错误","")</f>
        <v/>
      </c>
      <c r="C1367" s="14">
        <f>IF('04_路径网络'!A367&lt;&gt;"","04_路径网络","")</f>
        <v/>
      </c>
      <c r="D1367" s="14">
        <f>IF('04_路径网络'!A367&lt;&gt;"",'04_路径网络'!A367,"")</f>
        <v/>
      </c>
      <c r="E1367" s="14">
        <f>IF(F1367&lt;&gt;"","综合校验","")</f>
        <v/>
      </c>
      <c r="F1367" s="14">
        <f>IF('04_路径网络'!A367&lt;&gt;"",IF('04_路径网络'!A367="","缺少路径ID；","")&amp;IF('04_路径网络'!C367="","缺少路径类型；","")&amp;IF('04_路径网络'!D367="","缺少起点对象ID；","")&amp;IF('04_路径网络'!E367="","缺少终点对象ID；","")&amp;IF(AND('04_路径网络'!D367&lt;&gt;"",'04_路径网络'!D367='04_路径网络'!E367),"起点与终点相同；","")&amp;IF(AND('04_路径网络'!D367&lt;&gt;"",COUNTIF('02_固定地理'!$A$2:$A$501,'04_路径网络'!D367)+COUNTIF('03_地点锚点'!$A$2:$A$501,'04_路径网络'!D367)+COUNTIF('06_建筑锚点'!$A$2:$A$501,'04_路径网络'!D367)=0),"起点引用对象不存在；","")&amp;IF(AND('04_路径网络'!E367&lt;&gt;"",COUNTIF('02_固定地理'!$A$2:$A$501,'04_路径网络'!E367)+COUNTIF('03_地点锚点'!$A$2:$A$501,'04_路径网络'!E367)+COUNTIF('06_建筑锚点'!$A$2:$A$501,'04_路径网络'!E367)=0),"终点引用对象不存在；","")&amp;IF(AND('04_路径网络'!F367&lt;&gt;"",COUNTIF('04_路径网络'!$A$2:$A$501,'04_路径网络'!F367)=0),"父级路径不存在；","")&amp;IF(AND('04_路径网络'!A367&lt;&gt;"",COUNTIF('04_路径网络'!$A$2:$A$501,'04_路径网络'!A367)&gt;1),"ID重复；",""),"")</f>
        <v/>
      </c>
      <c r="G1367" s="14">
        <f>IF(F1367&lt;&gt;"","按字段批注、数据字典和来源记录修正后复核","")</f>
        <v/>
      </c>
      <c r="H1367" s="14">
        <f>IF(F1367&lt;&gt;"","待处理","")</f>
        <v/>
      </c>
    </row>
    <row r="1368">
      <c r="A1368" s="14">
        <f>IF(F1368&lt;&gt;"","ISSUE-"&amp;TEXT(ROW()-1,"00000"),"")</f>
        <v/>
      </c>
      <c r="B1368" s="14">
        <f>IF(F1368&lt;&gt;"","错误","")</f>
        <v/>
      </c>
      <c r="C1368" s="14">
        <f>IF('04_路径网络'!A368&lt;&gt;"","04_路径网络","")</f>
        <v/>
      </c>
      <c r="D1368" s="14">
        <f>IF('04_路径网络'!A368&lt;&gt;"",'04_路径网络'!A368,"")</f>
        <v/>
      </c>
      <c r="E1368" s="14">
        <f>IF(F1368&lt;&gt;"","综合校验","")</f>
        <v/>
      </c>
      <c r="F1368" s="14">
        <f>IF('04_路径网络'!A368&lt;&gt;"",IF('04_路径网络'!A368="","缺少路径ID；","")&amp;IF('04_路径网络'!C368="","缺少路径类型；","")&amp;IF('04_路径网络'!D368="","缺少起点对象ID；","")&amp;IF('04_路径网络'!E368="","缺少终点对象ID；","")&amp;IF(AND('04_路径网络'!D368&lt;&gt;"",'04_路径网络'!D368='04_路径网络'!E368),"起点与终点相同；","")&amp;IF(AND('04_路径网络'!D368&lt;&gt;"",COUNTIF('02_固定地理'!$A$2:$A$501,'04_路径网络'!D368)+COUNTIF('03_地点锚点'!$A$2:$A$501,'04_路径网络'!D368)+COUNTIF('06_建筑锚点'!$A$2:$A$501,'04_路径网络'!D368)=0),"起点引用对象不存在；","")&amp;IF(AND('04_路径网络'!E368&lt;&gt;"",COUNTIF('02_固定地理'!$A$2:$A$501,'04_路径网络'!E368)+COUNTIF('03_地点锚点'!$A$2:$A$501,'04_路径网络'!E368)+COUNTIF('06_建筑锚点'!$A$2:$A$501,'04_路径网络'!E368)=0),"终点引用对象不存在；","")&amp;IF(AND('04_路径网络'!F368&lt;&gt;"",COUNTIF('04_路径网络'!$A$2:$A$501,'04_路径网络'!F368)=0),"父级路径不存在；","")&amp;IF(AND('04_路径网络'!A368&lt;&gt;"",COUNTIF('04_路径网络'!$A$2:$A$501,'04_路径网络'!A368)&gt;1),"ID重复；",""),"")</f>
        <v/>
      </c>
      <c r="G1368" s="14">
        <f>IF(F1368&lt;&gt;"","按字段批注、数据字典和来源记录修正后复核","")</f>
        <v/>
      </c>
      <c r="H1368" s="14">
        <f>IF(F1368&lt;&gt;"","待处理","")</f>
        <v/>
      </c>
    </row>
    <row r="1369">
      <c r="A1369" s="14">
        <f>IF(F1369&lt;&gt;"","ISSUE-"&amp;TEXT(ROW()-1,"00000"),"")</f>
        <v/>
      </c>
      <c r="B1369" s="14">
        <f>IF(F1369&lt;&gt;"","错误","")</f>
        <v/>
      </c>
      <c r="C1369" s="14">
        <f>IF('04_路径网络'!A369&lt;&gt;"","04_路径网络","")</f>
        <v/>
      </c>
      <c r="D1369" s="14">
        <f>IF('04_路径网络'!A369&lt;&gt;"",'04_路径网络'!A369,"")</f>
        <v/>
      </c>
      <c r="E1369" s="14">
        <f>IF(F1369&lt;&gt;"","综合校验","")</f>
        <v/>
      </c>
      <c r="F1369" s="14">
        <f>IF('04_路径网络'!A369&lt;&gt;"",IF('04_路径网络'!A369="","缺少路径ID；","")&amp;IF('04_路径网络'!C369="","缺少路径类型；","")&amp;IF('04_路径网络'!D369="","缺少起点对象ID；","")&amp;IF('04_路径网络'!E369="","缺少终点对象ID；","")&amp;IF(AND('04_路径网络'!D369&lt;&gt;"",'04_路径网络'!D369='04_路径网络'!E369),"起点与终点相同；","")&amp;IF(AND('04_路径网络'!D369&lt;&gt;"",COUNTIF('02_固定地理'!$A$2:$A$501,'04_路径网络'!D369)+COUNTIF('03_地点锚点'!$A$2:$A$501,'04_路径网络'!D369)+COUNTIF('06_建筑锚点'!$A$2:$A$501,'04_路径网络'!D369)=0),"起点引用对象不存在；","")&amp;IF(AND('04_路径网络'!E369&lt;&gt;"",COUNTIF('02_固定地理'!$A$2:$A$501,'04_路径网络'!E369)+COUNTIF('03_地点锚点'!$A$2:$A$501,'04_路径网络'!E369)+COUNTIF('06_建筑锚点'!$A$2:$A$501,'04_路径网络'!E369)=0),"终点引用对象不存在；","")&amp;IF(AND('04_路径网络'!F369&lt;&gt;"",COUNTIF('04_路径网络'!$A$2:$A$501,'04_路径网络'!F369)=0),"父级路径不存在；","")&amp;IF(AND('04_路径网络'!A369&lt;&gt;"",COUNTIF('04_路径网络'!$A$2:$A$501,'04_路径网络'!A369)&gt;1),"ID重复；",""),"")</f>
        <v/>
      </c>
      <c r="G1369" s="14">
        <f>IF(F1369&lt;&gt;"","按字段批注、数据字典和来源记录修正后复核","")</f>
        <v/>
      </c>
      <c r="H1369" s="14">
        <f>IF(F1369&lt;&gt;"","待处理","")</f>
        <v/>
      </c>
    </row>
    <row r="1370">
      <c r="A1370" s="14">
        <f>IF(F1370&lt;&gt;"","ISSUE-"&amp;TEXT(ROW()-1,"00000"),"")</f>
        <v/>
      </c>
      <c r="B1370" s="14">
        <f>IF(F1370&lt;&gt;"","错误","")</f>
        <v/>
      </c>
      <c r="C1370" s="14">
        <f>IF('04_路径网络'!A370&lt;&gt;"","04_路径网络","")</f>
        <v/>
      </c>
      <c r="D1370" s="14">
        <f>IF('04_路径网络'!A370&lt;&gt;"",'04_路径网络'!A370,"")</f>
        <v/>
      </c>
      <c r="E1370" s="14">
        <f>IF(F1370&lt;&gt;"","综合校验","")</f>
        <v/>
      </c>
      <c r="F1370" s="14">
        <f>IF('04_路径网络'!A370&lt;&gt;"",IF('04_路径网络'!A370="","缺少路径ID；","")&amp;IF('04_路径网络'!C370="","缺少路径类型；","")&amp;IF('04_路径网络'!D370="","缺少起点对象ID；","")&amp;IF('04_路径网络'!E370="","缺少终点对象ID；","")&amp;IF(AND('04_路径网络'!D370&lt;&gt;"",'04_路径网络'!D370='04_路径网络'!E370),"起点与终点相同；","")&amp;IF(AND('04_路径网络'!D370&lt;&gt;"",COUNTIF('02_固定地理'!$A$2:$A$501,'04_路径网络'!D370)+COUNTIF('03_地点锚点'!$A$2:$A$501,'04_路径网络'!D370)+COUNTIF('06_建筑锚点'!$A$2:$A$501,'04_路径网络'!D370)=0),"起点引用对象不存在；","")&amp;IF(AND('04_路径网络'!E370&lt;&gt;"",COUNTIF('02_固定地理'!$A$2:$A$501,'04_路径网络'!E370)+COUNTIF('03_地点锚点'!$A$2:$A$501,'04_路径网络'!E370)+COUNTIF('06_建筑锚点'!$A$2:$A$501,'04_路径网络'!E370)=0),"终点引用对象不存在；","")&amp;IF(AND('04_路径网络'!F370&lt;&gt;"",COUNTIF('04_路径网络'!$A$2:$A$501,'04_路径网络'!F370)=0),"父级路径不存在；","")&amp;IF(AND('04_路径网络'!A370&lt;&gt;"",COUNTIF('04_路径网络'!$A$2:$A$501,'04_路径网络'!A370)&gt;1),"ID重复；",""),"")</f>
        <v/>
      </c>
      <c r="G1370" s="14">
        <f>IF(F1370&lt;&gt;"","按字段批注、数据字典和来源记录修正后复核","")</f>
        <v/>
      </c>
      <c r="H1370" s="14">
        <f>IF(F1370&lt;&gt;"","待处理","")</f>
        <v/>
      </c>
    </row>
    <row r="1371">
      <c r="A1371" s="14">
        <f>IF(F1371&lt;&gt;"","ISSUE-"&amp;TEXT(ROW()-1,"00000"),"")</f>
        <v/>
      </c>
      <c r="B1371" s="14">
        <f>IF(F1371&lt;&gt;"","错误","")</f>
        <v/>
      </c>
      <c r="C1371" s="14">
        <f>IF('04_路径网络'!A371&lt;&gt;"","04_路径网络","")</f>
        <v/>
      </c>
      <c r="D1371" s="14">
        <f>IF('04_路径网络'!A371&lt;&gt;"",'04_路径网络'!A371,"")</f>
        <v/>
      </c>
      <c r="E1371" s="14">
        <f>IF(F1371&lt;&gt;"","综合校验","")</f>
        <v/>
      </c>
      <c r="F1371" s="14">
        <f>IF('04_路径网络'!A371&lt;&gt;"",IF('04_路径网络'!A371="","缺少路径ID；","")&amp;IF('04_路径网络'!C371="","缺少路径类型；","")&amp;IF('04_路径网络'!D371="","缺少起点对象ID；","")&amp;IF('04_路径网络'!E371="","缺少终点对象ID；","")&amp;IF(AND('04_路径网络'!D371&lt;&gt;"",'04_路径网络'!D371='04_路径网络'!E371),"起点与终点相同；","")&amp;IF(AND('04_路径网络'!D371&lt;&gt;"",COUNTIF('02_固定地理'!$A$2:$A$501,'04_路径网络'!D371)+COUNTIF('03_地点锚点'!$A$2:$A$501,'04_路径网络'!D371)+COUNTIF('06_建筑锚点'!$A$2:$A$501,'04_路径网络'!D371)=0),"起点引用对象不存在；","")&amp;IF(AND('04_路径网络'!E371&lt;&gt;"",COUNTIF('02_固定地理'!$A$2:$A$501,'04_路径网络'!E371)+COUNTIF('03_地点锚点'!$A$2:$A$501,'04_路径网络'!E371)+COUNTIF('06_建筑锚点'!$A$2:$A$501,'04_路径网络'!E371)=0),"终点引用对象不存在；","")&amp;IF(AND('04_路径网络'!F371&lt;&gt;"",COUNTIF('04_路径网络'!$A$2:$A$501,'04_路径网络'!F371)=0),"父级路径不存在；","")&amp;IF(AND('04_路径网络'!A371&lt;&gt;"",COUNTIF('04_路径网络'!$A$2:$A$501,'04_路径网络'!A371)&gt;1),"ID重复；",""),"")</f>
        <v/>
      </c>
      <c r="G1371" s="14">
        <f>IF(F1371&lt;&gt;"","按字段批注、数据字典和来源记录修正后复核","")</f>
        <v/>
      </c>
      <c r="H1371" s="14">
        <f>IF(F1371&lt;&gt;"","待处理","")</f>
        <v/>
      </c>
    </row>
    <row r="1372">
      <c r="A1372" s="14">
        <f>IF(F1372&lt;&gt;"","ISSUE-"&amp;TEXT(ROW()-1,"00000"),"")</f>
        <v/>
      </c>
      <c r="B1372" s="14">
        <f>IF(F1372&lt;&gt;"","错误","")</f>
        <v/>
      </c>
      <c r="C1372" s="14">
        <f>IF('04_路径网络'!A372&lt;&gt;"","04_路径网络","")</f>
        <v/>
      </c>
      <c r="D1372" s="14">
        <f>IF('04_路径网络'!A372&lt;&gt;"",'04_路径网络'!A372,"")</f>
        <v/>
      </c>
      <c r="E1372" s="14">
        <f>IF(F1372&lt;&gt;"","综合校验","")</f>
        <v/>
      </c>
      <c r="F1372" s="14">
        <f>IF('04_路径网络'!A372&lt;&gt;"",IF('04_路径网络'!A372="","缺少路径ID；","")&amp;IF('04_路径网络'!C372="","缺少路径类型；","")&amp;IF('04_路径网络'!D372="","缺少起点对象ID；","")&amp;IF('04_路径网络'!E372="","缺少终点对象ID；","")&amp;IF(AND('04_路径网络'!D372&lt;&gt;"",'04_路径网络'!D372='04_路径网络'!E372),"起点与终点相同；","")&amp;IF(AND('04_路径网络'!D372&lt;&gt;"",COUNTIF('02_固定地理'!$A$2:$A$501,'04_路径网络'!D372)+COUNTIF('03_地点锚点'!$A$2:$A$501,'04_路径网络'!D372)+COUNTIF('06_建筑锚点'!$A$2:$A$501,'04_路径网络'!D372)=0),"起点引用对象不存在；","")&amp;IF(AND('04_路径网络'!E372&lt;&gt;"",COUNTIF('02_固定地理'!$A$2:$A$501,'04_路径网络'!E372)+COUNTIF('03_地点锚点'!$A$2:$A$501,'04_路径网络'!E372)+COUNTIF('06_建筑锚点'!$A$2:$A$501,'04_路径网络'!E372)=0),"终点引用对象不存在；","")&amp;IF(AND('04_路径网络'!F372&lt;&gt;"",COUNTIF('04_路径网络'!$A$2:$A$501,'04_路径网络'!F372)=0),"父级路径不存在；","")&amp;IF(AND('04_路径网络'!A372&lt;&gt;"",COUNTIF('04_路径网络'!$A$2:$A$501,'04_路径网络'!A372)&gt;1),"ID重复；",""),"")</f>
        <v/>
      </c>
      <c r="G1372" s="14">
        <f>IF(F1372&lt;&gt;"","按字段批注、数据字典和来源记录修正后复核","")</f>
        <v/>
      </c>
      <c r="H1372" s="14">
        <f>IF(F1372&lt;&gt;"","待处理","")</f>
        <v/>
      </c>
    </row>
    <row r="1373">
      <c r="A1373" s="14">
        <f>IF(F1373&lt;&gt;"","ISSUE-"&amp;TEXT(ROW()-1,"00000"),"")</f>
        <v/>
      </c>
      <c r="B1373" s="14">
        <f>IF(F1373&lt;&gt;"","错误","")</f>
        <v/>
      </c>
      <c r="C1373" s="14">
        <f>IF('04_路径网络'!A373&lt;&gt;"","04_路径网络","")</f>
        <v/>
      </c>
      <c r="D1373" s="14">
        <f>IF('04_路径网络'!A373&lt;&gt;"",'04_路径网络'!A373,"")</f>
        <v/>
      </c>
      <c r="E1373" s="14">
        <f>IF(F1373&lt;&gt;"","综合校验","")</f>
        <v/>
      </c>
      <c r="F1373" s="14">
        <f>IF('04_路径网络'!A373&lt;&gt;"",IF('04_路径网络'!A373="","缺少路径ID；","")&amp;IF('04_路径网络'!C373="","缺少路径类型；","")&amp;IF('04_路径网络'!D373="","缺少起点对象ID；","")&amp;IF('04_路径网络'!E373="","缺少终点对象ID；","")&amp;IF(AND('04_路径网络'!D373&lt;&gt;"",'04_路径网络'!D373='04_路径网络'!E373),"起点与终点相同；","")&amp;IF(AND('04_路径网络'!D373&lt;&gt;"",COUNTIF('02_固定地理'!$A$2:$A$501,'04_路径网络'!D373)+COUNTIF('03_地点锚点'!$A$2:$A$501,'04_路径网络'!D373)+COUNTIF('06_建筑锚点'!$A$2:$A$501,'04_路径网络'!D373)=0),"起点引用对象不存在；","")&amp;IF(AND('04_路径网络'!E373&lt;&gt;"",COUNTIF('02_固定地理'!$A$2:$A$501,'04_路径网络'!E373)+COUNTIF('03_地点锚点'!$A$2:$A$501,'04_路径网络'!E373)+COUNTIF('06_建筑锚点'!$A$2:$A$501,'04_路径网络'!E373)=0),"终点引用对象不存在；","")&amp;IF(AND('04_路径网络'!F373&lt;&gt;"",COUNTIF('04_路径网络'!$A$2:$A$501,'04_路径网络'!F373)=0),"父级路径不存在；","")&amp;IF(AND('04_路径网络'!A373&lt;&gt;"",COUNTIF('04_路径网络'!$A$2:$A$501,'04_路径网络'!A373)&gt;1),"ID重复；",""),"")</f>
        <v/>
      </c>
      <c r="G1373" s="14">
        <f>IF(F1373&lt;&gt;"","按字段批注、数据字典和来源记录修正后复核","")</f>
        <v/>
      </c>
      <c r="H1373" s="14">
        <f>IF(F1373&lt;&gt;"","待处理","")</f>
        <v/>
      </c>
    </row>
    <row r="1374">
      <c r="A1374" s="14">
        <f>IF(F1374&lt;&gt;"","ISSUE-"&amp;TEXT(ROW()-1,"00000"),"")</f>
        <v/>
      </c>
      <c r="B1374" s="14">
        <f>IF(F1374&lt;&gt;"","错误","")</f>
        <v/>
      </c>
      <c r="C1374" s="14">
        <f>IF('04_路径网络'!A374&lt;&gt;"","04_路径网络","")</f>
        <v/>
      </c>
      <c r="D1374" s="14">
        <f>IF('04_路径网络'!A374&lt;&gt;"",'04_路径网络'!A374,"")</f>
        <v/>
      </c>
      <c r="E1374" s="14">
        <f>IF(F1374&lt;&gt;"","综合校验","")</f>
        <v/>
      </c>
      <c r="F1374" s="14">
        <f>IF('04_路径网络'!A374&lt;&gt;"",IF('04_路径网络'!A374="","缺少路径ID；","")&amp;IF('04_路径网络'!C374="","缺少路径类型；","")&amp;IF('04_路径网络'!D374="","缺少起点对象ID；","")&amp;IF('04_路径网络'!E374="","缺少终点对象ID；","")&amp;IF(AND('04_路径网络'!D374&lt;&gt;"",'04_路径网络'!D374='04_路径网络'!E374),"起点与终点相同；","")&amp;IF(AND('04_路径网络'!D374&lt;&gt;"",COUNTIF('02_固定地理'!$A$2:$A$501,'04_路径网络'!D374)+COUNTIF('03_地点锚点'!$A$2:$A$501,'04_路径网络'!D374)+COUNTIF('06_建筑锚点'!$A$2:$A$501,'04_路径网络'!D374)=0),"起点引用对象不存在；","")&amp;IF(AND('04_路径网络'!E374&lt;&gt;"",COUNTIF('02_固定地理'!$A$2:$A$501,'04_路径网络'!E374)+COUNTIF('03_地点锚点'!$A$2:$A$501,'04_路径网络'!E374)+COUNTIF('06_建筑锚点'!$A$2:$A$501,'04_路径网络'!E374)=0),"终点引用对象不存在；","")&amp;IF(AND('04_路径网络'!F374&lt;&gt;"",COUNTIF('04_路径网络'!$A$2:$A$501,'04_路径网络'!F374)=0),"父级路径不存在；","")&amp;IF(AND('04_路径网络'!A374&lt;&gt;"",COUNTIF('04_路径网络'!$A$2:$A$501,'04_路径网络'!A374)&gt;1),"ID重复；",""),"")</f>
        <v/>
      </c>
      <c r="G1374" s="14">
        <f>IF(F1374&lt;&gt;"","按字段批注、数据字典和来源记录修正后复核","")</f>
        <v/>
      </c>
      <c r="H1374" s="14">
        <f>IF(F1374&lt;&gt;"","待处理","")</f>
        <v/>
      </c>
    </row>
    <row r="1375">
      <c r="A1375" s="14">
        <f>IF(F1375&lt;&gt;"","ISSUE-"&amp;TEXT(ROW()-1,"00000"),"")</f>
        <v/>
      </c>
      <c r="B1375" s="14">
        <f>IF(F1375&lt;&gt;"","错误","")</f>
        <v/>
      </c>
      <c r="C1375" s="14">
        <f>IF('04_路径网络'!A375&lt;&gt;"","04_路径网络","")</f>
        <v/>
      </c>
      <c r="D1375" s="14">
        <f>IF('04_路径网络'!A375&lt;&gt;"",'04_路径网络'!A375,"")</f>
        <v/>
      </c>
      <c r="E1375" s="14">
        <f>IF(F1375&lt;&gt;"","综合校验","")</f>
        <v/>
      </c>
      <c r="F1375" s="14">
        <f>IF('04_路径网络'!A375&lt;&gt;"",IF('04_路径网络'!A375="","缺少路径ID；","")&amp;IF('04_路径网络'!C375="","缺少路径类型；","")&amp;IF('04_路径网络'!D375="","缺少起点对象ID；","")&amp;IF('04_路径网络'!E375="","缺少终点对象ID；","")&amp;IF(AND('04_路径网络'!D375&lt;&gt;"",'04_路径网络'!D375='04_路径网络'!E375),"起点与终点相同；","")&amp;IF(AND('04_路径网络'!D375&lt;&gt;"",COUNTIF('02_固定地理'!$A$2:$A$501,'04_路径网络'!D375)+COUNTIF('03_地点锚点'!$A$2:$A$501,'04_路径网络'!D375)+COUNTIF('06_建筑锚点'!$A$2:$A$501,'04_路径网络'!D375)=0),"起点引用对象不存在；","")&amp;IF(AND('04_路径网络'!E375&lt;&gt;"",COUNTIF('02_固定地理'!$A$2:$A$501,'04_路径网络'!E375)+COUNTIF('03_地点锚点'!$A$2:$A$501,'04_路径网络'!E375)+COUNTIF('06_建筑锚点'!$A$2:$A$501,'04_路径网络'!E375)=0),"终点引用对象不存在；","")&amp;IF(AND('04_路径网络'!F375&lt;&gt;"",COUNTIF('04_路径网络'!$A$2:$A$501,'04_路径网络'!F375)=0),"父级路径不存在；","")&amp;IF(AND('04_路径网络'!A375&lt;&gt;"",COUNTIF('04_路径网络'!$A$2:$A$501,'04_路径网络'!A375)&gt;1),"ID重复；",""),"")</f>
        <v/>
      </c>
      <c r="G1375" s="14">
        <f>IF(F1375&lt;&gt;"","按字段批注、数据字典和来源记录修正后复核","")</f>
        <v/>
      </c>
      <c r="H1375" s="14">
        <f>IF(F1375&lt;&gt;"","待处理","")</f>
        <v/>
      </c>
    </row>
    <row r="1376">
      <c r="A1376" s="14">
        <f>IF(F1376&lt;&gt;"","ISSUE-"&amp;TEXT(ROW()-1,"00000"),"")</f>
        <v/>
      </c>
      <c r="B1376" s="14">
        <f>IF(F1376&lt;&gt;"","错误","")</f>
        <v/>
      </c>
      <c r="C1376" s="14">
        <f>IF('04_路径网络'!A376&lt;&gt;"","04_路径网络","")</f>
        <v/>
      </c>
      <c r="D1376" s="14">
        <f>IF('04_路径网络'!A376&lt;&gt;"",'04_路径网络'!A376,"")</f>
        <v/>
      </c>
      <c r="E1376" s="14">
        <f>IF(F1376&lt;&gt;"","综合校验","")</f>
        <v/>
      </c>
      <c r="F1376" s="14">
        <f>IF('04_路径网络'!A376&lt;&gt;"",IF('04_路径网络'!A376="","缺少路径ID；","")&amp;IF('04_路径网络'!C376="","缺少路径类型；","")&amp;IF('04_路径网络'!D376="","缺少起点对象ID；","")&amp;IF('04_路径网络'!E376="","缺少终点对象ID；","")&amp;IF(AND('04_路径网络'!D376&lt;&gt;"",'04_路径网络'!D376='04_路径网络'!E376),"起点与终点相同；","")&amp;IF(AND('04_路径网络'!D376&lt;&gt;"",COUNTIF('02_固定地理'!$A$2:$A$501,'04_路径网络'!D376)+COUNTIF('03_地点锚点'!$A$2:$A$501,'04_路径网络'!D376)+COUNTIF('06_建筑锚点'!$A$2:$A$501,'04_路径网络'!D376)=0),"起点引用对象不存在；","")&amp;IF(AND('04_路径网络'!E376&lt;&gt;"",COUNTIF('02_固定地理'!$A$2:$A$501,'04_路径网络'!E376)+COUNTIF('03_地点锚点'!$A$2:$A$501,'04_路径网络'!E376)+COUNTIF('06_建筑锚点'!$A$2:$A$501,'04_路径网络'!E376)=0),"终点引用对象不存在；","")&amp;IF(AND('04_路径网络'!F376&lt;&gt;"",COUNTIF('04_路径网络'!$A$2:$A$501,'04_路径网络'!F376)=0),"父级路径不存在；","")&amp;IF(AND('04_路径网络'!A376&lt;&gt;"",COUNTIF('04_路径网络'!$A$2:$A$501,'04_路径网络'!A376)&gt;1),"ID重复；",""),"")</f>
        <v/>
      </c>
      <c r="G1376" s="14">
        <f>IF(F1376&lt;&gt;"","按字段批注、数据字典和来源记录修正后复核","")</f>
        <v/>
      </c>
      <c r="H1376" s="14">
        <f>IF(F1376&lt;&gt;"","待处理","")</f>
        <v/>
      </c>
    </row>
    <row r="1377">
      <c r="A1377" s="14">
        <f>IF(F1377&lt;&gt;"","ISSUE-"&amp;TEXT(ROW()-1,"00000"),"")</f>
        <v/>
      </c>
      <c r="B1377" s="14">
        <f>IF(F1377&lt;&gt;"","错误","")</f>
        <v/>
      </c>
      <c r="C1377" s="14">
        <f>IF('04_路径网络'!A377&lt;&gt;"","04_路径网络","")</f>
        <v/>
      </c>
      <c r="D1377" s="14">
        <f>IF('04_路径网络'!A377&lt;&gt;"",'04_路径网络'!A377,"")</f>
        <v/>
      </c>
      <c r="E1377" s="14">
        <f>IF(F1377&lt;&gt;"","综合校验","")</f>
        <v/>
      </c>
      <c r="F1377" s="14">
        <f>IF('04_路径网络'!A377&lt;&gt;"",IF('04_路径网络'!A377="","缺少路径ID；","")&amp;IF('04_路径网络'!C377="","缺少路径类型；","")&amp;IF('04_路径网络'!D377="","缺少起点对象ID；","")&amp;IF('04_路径网络'!E377="","缺少终点对象ID；","")&amp;IF(AND('04_路径网络'!D377&lt;&gt;"",'04_路径网络'!D377='04_路径网络'!E377),"起点与终点相同；","")&amp;IF(AND('04_路径网络'!D377&lt;&gt;"",COUNTIF('02_固定地理'!$A$2:$A$501,'04_路径网络'!D377)+COUNTIF('03_地点锚点'!$A$2:$A$501,'04_路径网络'!D377)+COUNTIF('06_建筑锚点'!$A$2:$A$501,'04_路径网络'!D377)=0),"起点引用对象不存在；","")&amp;IF(AND('04_路径网络'!E377&lt;&gt;"",COUNTIF('02_固定地理'!$A$2:$A$501,'04_路径网络'!E377)+COUNTIF('03_地点锚点'!$A$2:$A$501,'04_路径网络'!E377)+COUNTIF('06_建筑锚点'!$A$2:$A$501,'04_路径网络'!E377)=0),"终点引用对象不存在；","")&amp;IF(AND('04_路径网络'!F377&lt;&gt;"",COUNTIF('04_路径网络'!$A$2:$A$501,'04_路径网络'!F377)=0),"父级路径不存在；","")&amp;IF(AND('04_路径网络'!A377&lt;&gt;"",COUNTIF('04_路径网络'!$A$2:$A$501,'04_路径网络'!A377)&gt;1),"ID重复；",""),"")</f>
        <v/>
      </c>
      <c r="G1377" s="14">
        <f>IF(F1377&lt;&gt;"","按字段批注、数据字典和来源记录修正后复核","")</f>
        <v/>
      </c>
      <c r="H1377" s="14">
        <f>IF(F1377&lt;&gt;"","待处理","")</f>
        <v/>
      </c>
    </row>
    <row r="1378">
      <c r="A1378" s="14">
        <f>IF(F1378&lt;&gt;"","ISSUE-"&amp;TEXT(ROW()-1,"00000"),"")</f>
        <v/>
      </c>
      <c r="B1378" s="14">
        <f>IF(F1378&lt;&gt;"","错误","")</f>
        <v/>
      </c>
      <c r="C1378" s="14">
        <f>IF('04_路径网络'!A378&lt;&gt;"","04_路径网络","")</f>
        <v/>
      </c>
      <c r="D1378" s="14">
        <f>IF('04_路径网络'!A378&lt;&gt;"",'04_路径网络'!A378,"")</f>
        <v/>
      </c>
      <c r="E1378" s="14">
        <f>IF(F1378&lt;&gt;"","综合校验","")</f>
        <v/>
      </c>
      <c r="F1378" s="14">
        <f>IF('04_路径网络'!A378&lt;&gt;"",IF('04_路径网络'!A378="","缺少路径ID；","")&amp;IF('04_路径网络'!C378="","缺少路径类型；","")&amp;IF('04_路径网络'!D378="","缺少起点对象ID；","")&amp;IF('04_路径网络'!E378="","缺少终点对象ID；","")&amp;IF(AND('04_路径网络'!D378&lt;&gt;"",'04_路径网络'!D378='04_路径网络'!E378),"起点与终点相同；","")&amp;IF(AND('04_路径网络'!D378&lt;&gt;"",COUNTIF('02_固定地理'!$A$2:$A$501,'04_路径网络'!D378)+COUNTIF('03_地点锚点'!$A$2:$A$501,'04_路径网络'!D378)+COUNTIF('06_建筑锚点'!$A$2:$A$501,'04_路径网络'!D378)=0),"起点引用对象不存在；","")&amp;IF(AND('04_路径网络'!E378&lt;&gt;"",COUNTIF('02_固定地理'!$A$2:$A$501,'04_路径网络'!E378)+COUNTIF('03_地点锚点'!$A$2:$A$501,'04_路径网络'!E378)+COUNTIF('06_建筑锚点'!$A$2:$A$501,'04_路径网络'!E378)=0),"终点引用对象不存在；","")&amp;IF(AND('04_路径网络'!F378&lt;&gt;"",COUNTIF('04_路径网络'!$A$2:$A$501,'04_路径网络'!F378)=0),"父级路径不存在；","")&amp;IF(AND('04_路径网络'!A378&lt;&gt;"",COUNTIF('04_路径网络'!$A$2:$A$501,'04_路径网络'!A378)&gt;1),"ID重复；",""),"")</f>
        <v/>
      </c>
      <c r="G1378" s="14">
        <f>IF(F1378&lt;&gt;"","按字段批注、数据字典和来源记录修正后复核","")</f>
        <v/>
      </c>
      <c r="H1378" s="14">
        <f>IF(F1378&lt;&gt;"","待处理","")</f>
        <v/>
      </c>
    </row>
    <row r="1379">
      <c r="A1379" s="14">
        <f>IF(F1379&lt;&gt;"","ISSUE-"&amp;TEXT(ROW()-1,"00000"),"")</f>
        <v/>
      </c>
      <c r="B1379" s="14">
        <f>IF(F1379&lt;&gt;"","错误","")</f>
        <v/>
      </c>
      <c r="C1379" s="14">
        <f>IF('04_路径网络'!A379&lt;&gt;"","04_路径网络","")</f>
        <v/>
      </c>
      <c r="D1379" s="14">
        <f>IF('04_路径网络'!A379&lt;&gt;"",'04_路径网络'!A379,"")</f>
        <v/>
      </c>
      <c r="E1379" s="14">
        <f>IF(F1379&lt;&gt;"","综合校验","")</f>
        <v/>
      </c>
      <c r="F1379" s="14">
        <f>IF('04_路径网络'!A379&lt;&gt;"",IF('04_路径网络'!A379="","缺少路径ID；","")&amp;IF('04_路径网络'!C379="","缺少路径类型；","")&amp;IF('04_路径网络'!D379="","缺少起点对象ID；","")&amp;IF('04_路径网络'!E379="","缺少终点对象ID；","")&amp;IF(AND('04_路径网络'!D379&lt;&gt;"",'04_路径网络'!D379='04_路径网络'!E379),"起点与终点相同；","")&amp;IF(AND('04_路径网络'!D379&lt;&gt;"",COUNTIF('02_固定地理'!$A$2:$A$501,'04_路径网络'!D379)+COUNTIF('03_地点锚点'!$A$2:$A$501,'04_路径网络'!D379)+COUNTIF('06_建筑锚点'!$A$2:$A$501,'04_路径网络'!D379)=0),"起点引用对象不存在；","")&amp;IF(AND('04_路径网络'!E379&lt;&gt;"",COUNTIF('02_固定地理'!$A$2:$A$501,'04_路径网络'!E379)+COUNTIF('03_地点锚点'!$A$2:$A$501,'04_路径网络'!E379)+COUNTIF('06_建筑锚点'!$A$2:$A$501,'04_路径网络'!E379)=0),"终点引用对象不存在；","")&amp;IF(AND('04_路径网络'!F379&lt;&gt;"",COUNTIF('04_路径网络'!$A$2:$A$501,'04_路径网络'!F379)=0),"父级路径不存在；","")&amp;IF(AND('04_路径网络'!A379&lt;&gt;"",COUNTIF('04_路径网络'!$A$2:$A$501,'04_路径网络'!A379)&gt;1),"ID重复；",""),"")</f>
        <v/>
      </c>
      <c r="G1379" s="14">
        <f>IF(F1379&lt;&gt;"","按字段批注、数据字典和来源记录修正后复核","")</f>
        <v/>
      </c>
      <c r="H1379" s="14">
        <f>IF(F1379&lt;&gt;"","待处理","")</f>
        <v/>
      </c>
    </row>
    <row r="1380">
      <c r="A1380" s="14">
        <f>IF(F1380&lt;&gt;"","ISSUE-"&amp;TEXT(ROW()-1,"00000"),"")</f>
        <v/>
      </c>
      <c r="B1380" s="14">
        <f>IF(F1380&lt;&gt;"","错误","")</f>
        <v/>
      </c>
      <c r="C1380" s="14">
        <f>IF('04_路径网络'!A380&lt;&gt;"","04_路径网络","")</f>
        <v/>
      </c>
      <c r="D1380" s="14">
        <f>IF('04_路径网络'!A380&lt;&gt;"",'04_路径网络'!A380,"")</f>
        <v/>
      </c>
      <c r="E1380" s="14">
        <f>IF(F1380&lt;&gt;"","综合校验","")</f>
        <v/>
      </c>
      <c r="F1380" s="14">
        <f>IF('04_路径网络'!A380&lt;&gt;"",IF('04_路径网络'!A380="","缺少路径ID；","")&amp;IF('04_路径网络'!C380="","缺少路径类型；","")&amp;IF('04_路径网络'!D380="","缺少起点对象ID；","")&amp;IF('04_路径网络'!E380="","缺少终点对象ID；","")&amp;IF(AND('04_路径网络'!D380&lt;&gt;"",'04_路径网络'!D380='04_路径网络'!E380),"起点与终点相同；","")&amp;IF(AND('04_路径网络'!D380&lt;&gt;"",COUNTIF('02_固定地理'!$A$2:$A$501,'04_路径网络'!D380)+COUNTIF('03_地点锚点'!$A$2:$A$501,'04_路径网络'!D380)+COUNTIF('06_建筑锚点'!$A$2:$A$501,'04_路径网络'!D380)=0),"起点引用对象不存在；","")&amp;IF(AND('04_路径网络'!E380&lt;&gt;"",COUNTIF('02_固定地理'!$A$2:$A$501,'04_路径网络'!E380)+COUNTIF('03_地点锚点'!$A$2:$A$501,'04_路径网络'!E380)+COUNTIF('06_建筑锚点'!$A$2:$A$501,'04_路径网络'!E380)=0),"终点引用对象不存在；","")&amp;IF(AND('04_路径网络'!F380&lt;&gt;"",COUNTIF('04_路径网络'!$A$2:$A$501,'04_路径网络'!F380)=0),"父级路径不存在；","")&amp;IF(AND('04_路径网络'!A380&lt;&gt;"",COUNTIF('04_路径网络'!$A$2:$A$501,'04_路径网络'!A380)&gt;1),"ID重复；",""),"")</f>
        <v/>
      </c>
      <c r="G1380" s="14">
        <f>IF(F1380&lt;&gt;"","按字段批注、数据字典和来源记录修正后复核","")</f>
        <v/>
      </c>
      <c r="H1380" s="14">
        <f>IF(F1380&lt;&gt;"","待处理","")</f>
        <v/>
      </c>
    </row>
    <row r="1381">
      <c r="A1381" s="14">
        <f>IF(F1381&lt;&gt;"","ISSUE-"&amp;TEXT(ROW()-1,"00000"),"")</f>
        <v/>
      </c>
      <c r="B1381" s="14">
        <f>IF(F1381&lt;&gt;"","错误","")</f>
        <v/>
      </c>
      <c r="C1381" s="14">
        <f>IF('04_路径网络'!A381&lt;&gt;"","04_路径网络","")</f>
        <v/>
      </c>
      <c r="D1381" s="14">
        <f>IF('04_路径网络'!A381&lt;&gt;"",'04_路径网络'!A381,"")</f>
        <v/>
      </c>
      <c r="E1381" s="14">
        <f>IF(F1381&lt;&gt;"","综合校验","")</f>
        <v/>
      </c>
      <c r="F1381" s="14">
        <f>IF('04_路径网络'!A381&lt;&gt;"",IF('04_路径网络'!A381="","缺少路径ID；","")&amp;IF('04_路径网络'!C381="","缺少路径类型；","")&amp;IF('04_路径网络'!D381="","缺少起点对象ID；","")&amp;IF('04_路径网络'!E381="","缺少终点对象ID；","")&amp;IF(AND('04_路径网络'!D381&lt;&gt;"",'04_路径网络'!D381='04_路径网络'!E381),"起点与终点相同；","")&amp;IF(AND('04_路径网络'!D381&lt;&gt;"",COUNTIF('02_固定地理'!$A$2:$A$501,'04_路径网络'!D381)+COUNTIF('03_地点锚点'!$A$2:$A$501,'04_路径网络'!D381)+COUNTIF('06_建筑锚点'!$A$2:$A$501,'04_路径网络'!D381)=0),"起点引用对象不存在；","")&amp;IF(AND('04_路径网络'!E381&lt;&gt;"",COUNTIF('02_固定地理'!$A$2:$A$501,'04_路径网络'!E381)+COUNTIF('03_地点锚点'!$A$2:$A$501,'04_路径网络'!E381)+COUNTIF('06_建筑锚点'!$A$2:$A$501,'04_路径网络'!E381)=0),"终点引用对象不存在；","")&amp;IF(AND('04_路径网络'!F381&lt;&gt;"",COUNTIF('04_路径网络'!$A$2:$A$501,'04_路径网络'!F381)=0),"父级路径不存在；","")&amp;IF(AND('04_路径网络'!A381&lt;&gt;"",COUNTIF('04_路径网络'!$A$2:$A$501,'04_路径网络'!A381)&gt;1),"ID重复；",""),"")</f>
        <v/>
      </c>
      <c r="G1381" s="14">
        <f>IF(F1381&lt;&gt;"","按字段批注、数据字典和来源记录修正后复核","")</f>
        <v/>
      </c>
      <c r="H1381" s="14">
        <f>IF(F1381&lt;&gt;"","待处理","")</f>
        <v/>
      </c>
    </row>
    <row r="1382">
      <c r="A1382" s="14">
        <f>IF(F1382&lt;&gt;"","ISSUE-"&amp;TEXT(ROW()-1,"00000"),"")</f>
        <v/>
      </c>
      <c r="B1382" s="14">
        <f>IF(F1382&lt;&gt;"","错误","")</f>
        <v/>
      </c>
      <c r="C1382" s="14">
        <f>IF('04_路径网络'!A382&lt;&gt;"","04_路径网络","")</f>
        <v/>
      </c>
      <c r="D1382" s="14">
        <f>IF('04_路径网络'!A382&lt;&gt;"",'04_路径网络'!A382,"")</f>
        <v/>
      </c>
      <c r="E1382" s="14">
        <f>IF(F1382&lt;&gt;"","综合校验","")</f>
        <v/>
      </c>
      <c r="F1382" s="14">
        <f>IF('04_路径网络'!A382&lt;&gt;"",IF('04_路径网络'!A382="","缺少路径ID；","")&amp;IF('04_路径网络'!C382="","缺少路径类型；","")&amp;IF('04_路径网络'!D382="","缺少起点对象ID；","")&amp;IF('04_路径网络'!E382="","缺少终点对象ID；","")&amp;IF(AND('04_路径网络'!D382&lt;&gt;"",'04_路径网络'!D382='04_路径网络'!E382),"起点与终点相同；","")&amp;IF(AND('04_路径网络'!D382&lt;&gt;"",COUNTIF('02_固定地理'!$A$2:$A$501,'04_路径网络'!D382)+COUNTIF('03_地点锚点'!$A$2:$A$501,'04_路径网络'!D382)+COUNTIF('06_建筑锚点'!$A$2:$A$501,'04_路径网络'!D382)=0),"起点引用对象不存在；","")&amp;IF(AND('04_路径网络'!E382&lt;&gt;"",COUNTIF('02_固定地理'!$A$2:$A$501,'04_路径网络'!E382)+COUNTIF('03_地点锚点'!$A$2:$A$501,'04_路径网络'!E382)+COUNTIF('06_建筑锚点'!$A$2:$A$501,'04_路径网络'!E382)=0),"终点引用对象不存在；","")&amp;IF(AND('04_路径网络'!F382&lt;&gt;"",COUNTIF('04_路径网络'!$A$2:$A$501,'04_路径网络'!F382)=0),"父级路径不存在；","")&amp;IF(AND('04_路径网络'!A382&lt;&gt;"",COUNTIF('04_路径网络'!$A$2:$A$501,'04_路径网络'!A382)&gt;1),"ID重复；",""),"")</f>
        <v/>
      </c>
      <c r="G1382" s="14">
        <f>IF(F1382&lt;&gt;"","按字段批注、数据字典和来源记录修正后复核","")</f>
        <v/>
      </c>
      <c r="H1382" s="14">
        <f>IF(F1382&lt;&gt;"","待处理","")</f>
        <v/>
      </c>
    </row>
    <row r="1383">
      <c r="A1383" s="14">
        <f>IF(F1383&lt;&gt;"","ISSUE-"&amp;TEXT(ROW()-1,"00000"),"")</f>
        <v/>
      </c>
      <c r="B1383" s="14">
        <f>IF(F1383&lt;&gt;"","错误","")</f>
        <v/>
      </c>
      <c r="C1383" s="14">
        <f>IF('04_路径网络'!A383&lt;&gt;"","04_路径网络","")</f>
        <v/>
      </c>
      <c r="D1383" s="14">
        <f>IF('04_路径网络'!A383&lt;&gt;"",'04_路径网络'!A383,"")</f>
        <v/>
      </c>
      <c r="E1383" s="14">
        <f>IF(F1383&lt;&gt;"","综合校验","")</f>
        <v/>
      </c>
      <c r="F1383" s="14">
        <f>IF('04_路径网络'!A383&lt;&gt;"",IF('04_路径网络'!A383="","缺少路径ID；","")&amp;IF('04_路径网络'!C383="","缺少路径类型；","")&amp;IF('04_路径网络'!D383="","缺少起点对象ID；","")&amp;IF('04_路径网络'!E383="","缺少终点对象ID；","")&amp;IF(AND('04_路径网络'!D383&lt;&gt;"",'04_路径网络'!D383='04_路径网络'!E383),"起点与终点相同；","")&amp;IF(AND('04_路径网络'!D383&lt;&gt;"",COUNTIF('02_固定地理'!$A$2:$A$501,'04_路径网络'!D383)+COUNTIF('03_地点锚点'!$A$2:$A$501,'04_路径网络'!D383)+COUNTIF('06_建筑锚点'!$A$2:$A$501,'04_路径网络'!D383)=0),"起点引用对象不存在；","")&amp;IF(AND('04_路径网络'!E383&lt;&gt;"",COUNTIF('02_固定地理'!$A$2:$A$501,'04_路径网络'!E383)+COUNTIF('03_地点锚点'!$A$2:$A$501,'04_路径网络'!E383)+COUNTIF('06_建筑锚点'!$A$2:$A$501,'04_路径网络'!E383)=0),"终点引用对象不存在；","")&amp;IF(AND('04_路径网络'!F383&lt;&gt;"",COUNTIF('04_路径网络'!$A$2:$A$501,'04_路径网络'!F383)=0),"父级路径不存在；","")&amp;IF(AND('04_路径网络'!A383&lt;&gt;"",COUNTIF('04_路径网络'!$A$2:$A$501,'04_路径网络'!A383)&gt;1),"ID重复；",""),"")</f>
        <v/>
      </c>
      <c r="G1383" s="14">
        <f>IF(F1383&lt;&gt;"","按字段批注、数据字典和来源记录修正后复核","")</f>
        <v/>
      </c>
      <c r="H1383" s="14">
        <f>IF(F1383&lt;&gt;"","待处理","")</f>
        <v/>
      </c>
    </row>
    <row r="1384">
      <c r="A1384" s="14">
        <f>IF(F1384&lt;&gt;"","ISSUE-"&amp;TEXT(ROW()-1,"00000"),"")</f>
        <v/>
      </c>
      <c r="B1384" s="14">
        <f>IF(F1384&lt;&gt;"","错误","")</f>
        <v/>
      </c>
      <c r="C1384" s="14">
        <f>IF('04_路径网络'!A384&lt;&gt;"","04_路径网络","")</f>
        <v/>
      </c>
      <c r="D1384" s="14">
        <f>IF('04_路径网络'!A384&lt;&gt;"",'04_路径网络'!A384,"")</f>
        <v/>
      </c>
      <c r="E1384" s="14">
        <f>IF(F1384&lt;&gt;"","综合校验","")</f>
        <v/>
      </c>
      <c r="F1384" s="14">
        <f>IF('04_路径网络'!A384&lt;&gt;"",IF('04_路径网络'!A384="","缺少路径ID；","")&amp;IF('04_路径网络'!C384="","缺少路径类型；","")&amp;IF('04_路径网络'!D384="","缺少起点对象ID；","")&amp;IF('04_路径网络'!E384="","缺少终点对象ID；","")&amp;IF(AND('04_路径网络'!D384&lt;&gt;"",'04_路径网络'!D384='04_路径网络'!E384),"起点与终点相同；","")&amp;IF(AND('04_路径网络'!D384&lt;&gt;"",COUNTIF('02_固定地理'!$A$2:$A$501,'04_路径网络'!D384)+COUNTIF('03_地点锚点'!$A$2:$A$501,'04_路径网络'!D384)+COUNTIF('06_建筑锚点'!$A$2:$A$501,'04_路径网络'!D384)=0),"起点引用对象不存在；","")&amp;IF(AND('04_路径网络'!E384&lt;&gt;"",COUNTIF('02_固定地理'!$A$2:$A$501,'04_路径网络'!E384)+COUNTIF('03_地点锚点'!$A$2:$A$501,'04_路径网络'!E384)+COUNTIF('06_建筑锚点'!$A$2:$A$501,'04_路径网络'!E384)=0),"终点引用对象不存在；","")&amp;IF(AND('04_路径网络'!F384&lt;&gt;"",COUNTIF('04_路径网络'!$A$2:$A$501,'04_路径网络'!F384)=0),"父级路径不存在；","")&amp;IF(AND('04_路径网络'!A384&lt;&gt;"",COUNTIF('04_路径网络'!$A$2:$A$501,'04_路径网络'!A384)&gt;1),"ID重复；",""),"")</f>
        <v/>
      </c>
      <c r="G1384" s="14">
        <f>IF(F1384&lt;&gt;"","按字段批注、数据字典和来源记录修正后复核","")</f>
        <v/>
      </c>
      <c r="H1384" s="14">
        <f>IF(F1384&lt;&gt;"","待处理","")</f>
        <v/>
      </c>
    </row>
    <row r="1385">
      <c r="A1385" s="14">
        <f>IF(F1385&lt;&gt;"","ISSUE-"&amp;TEXT(ROW()-1,"00000"),"")</f>
        <v/>
      </c>
      <c r="B1385" s="14">
        <f>IF(F1385&lt;&gt;"","错误","")</f>
        <v/>
      </c>
      <c r="C1385" s="14">
        <f>IF('04_路径网络'!A385&lt;&gt;"","04_路径网络","")</f>
        <v/>
      </c>
      <c r="D1385" s="14">
        <f>IF('04_路径网络'!A385&lt;&gt;"",'04_路径网络'!A385,"")</f>
        <v/>
      </c>
      <c r="E1385" s="14">
        <f>IF(F1385&lt;&gt;"","综合校验","")</f>
        <v/>
      </c>
      <c r="F1385" s="14">
        <f>IF('04_路径网络'!A385&lt;&gt;"",IF('04_路径网络'!A385="","缺少路径ID；","")&amp;IF('04_路径网络'!C385="","缺少路径类型；","")&amp;IF('04_路径网络'!D385="","缺少起点对象ID；","")&amp;IF('04_路径网络'!E385="","缺少终点对象ID；","")&amp;IF(AND('04_路径网络'!D385&lt;&gt;"",'04_路径网络'!D385='04_路径网络'!E385),"起点与终点相同；","")&amp;IF(AND('04_路径网络'!D385&lt;&gt;"",COUNTIF('02_固定地理'!$A$2:$A$501,'04_路径网络'!D385)+COUNTIF('03_地点锚点'!$A$2:$A$501,'04_路径网络'!D385)+COUNTIF('06_建筑锚点'!$A$2:$A$501,'04_路径网络'!D385)=0),"起点引用对象不存在；","")&amp;IF(AND('04_路径网络'!E385&lt;&gt;"",COUNTIF('02_固定地理'!$A$2:$A$501,'04_路径网络'!E385)+COUNTIF('03_地点锚点'!$A$2:$A$501,'04_路径网络'!E385)+COUNTIF('06_建筑锚点'!$A$2:$A$501,'04_路径网络'!E385)=0),"终点引用对象不存在；","")&amp;IF(AND('04_路径网络'!F385&lt;&gt;"",COUNTIF('04_路径网络'!$A$2:$A$501,'04_路径网络'!F385)=0),"父级路径不存在；","")&amp;IF(AND('04_路径网络'!A385&lt;&gt;"",COUNTIF('04_路径网络'!$A$2:$A$501,'04_路径网络'!A385)&gt;1),"ID重复；",""),"")</f>
        <v/>
      </c>
      <c r="G1385" s="14">
        <f>IF(F1385&lt;&gt;"","按字段批注、数据字典和来源记录修正后复核","")</f>
        <v/>
      </c>
      <c r="H1385" s="14">
        <f>IF(F1385&lt;&gt;"","待处理","")</f>
        <v/>
      </c>
    </row>
    <row r="1386">
      <c r="A1386" s="14">
        <f>IF(F1386&lt;&gt;"","ISSUE-"&amp;TEXT(ROW()-1,"00000"),"")</f>
        <v/>
      </c>
      <c r="B1386" s="14">
        <f>IF(F1386&lt;&gt;"","错误","")</f>
        <v/>
      </c>
      <c r="C1386" s="14">
        <f>IF('04_路径网络'!A386&lt;&gt;"","04_路径网络","")</f>
        <v/>
      </c>
      <c r="D1386" s="14">
        <f>IF('04_路径网络'!A386&lt;&gt;"",'04_路径网络'!A386,"")</f>
        <v/>
      </c>
      <c r="E1386" s="14">
        <f>IF(F1386&lt;&gt;"","综合校验","")</f>
        <v/>
      </c>
      <c r="F1386" s="14">
        <f>IF('04_路径网络'!A386&lt;&gt;"",IF('04_路径网络'!A386="","缺少路径ID；","")&amp;IF('04_路径网络'!C386="","缺少路径类型；","")&amp;IF('04_路径网络'!D386="","缺少起点对象ID；","")&amp;IF('04_路径网络'!E386="","缺少终点对象ID；","")&amp;IF(AND('04_路径网络'!D386&lt;&gt;"",'04_路径网络'!D386='04_路径网络'!E386),"起点与终点相同；","")&amp;IF(AND('04_路径网络'!D386&lt;&gt;"",COUNTIF('02_固定地理'!$A$2:$A$501,'04_路径网络'!D386)+COUNTIF('03_地点锚点'!$A$2:$A$501,'04_路径网络'!D386)+COUNTIF('06_建筑锚点'!$A$2:$A$501,'04_路径网络'!D386)=0),"起点引用对象不存在；","")&amp;IF(AND('04_路径网络'!E386&lt;&gt;"",COUNTIF('02_固定地理'!$A$2:$A$501,'04_路径网络'!E386)+COUNTIF('03_地点锚点'!$A$2:$A$501,'04_路径网络'!E386)+COUNTIF('06_建筑锚点'!$A$2:$A$501,'04_路径网络'!E386)=0),"终点引用对象不存在；","")&amp;IF(AND('04_路径网络'!F386&lt;&gt;"",COUNTIF('04_路径网络'!$A$2:$A$501,'04_路径网络'!F386)=0),"父级路径不存在；","")&amp;IF(AND('04_路径网络'!A386&lt;&gt;"",COUNTIF('04_路径网络'!$A$2:$A$501,'04_路径网络'!A386)&gt;1),"ID重复；",""),"")</f>
        <v/>
      </c>
      <c r="G1386" s="14">
        <f>IF(F1386&lt;&gt;"","按字段批注、数据字典和来源记录修正后复核","")</f>
        <v/>
      </c>
      <c r="H1386" s="14">
        <f>IF(F1386&lt;&gt;"","待处理","")</f>
        <v/>
      </c>
    </row>
    <row r="1387">
      <c r="A1387" s="14">
        <f>IF(F1387&lt;&gt;"","ISSUE-"&amp;TEXT(ROW()-1,"00000"),"")</f>
        <v/>
      </c>
      <c r="B1387" s="14">
        <f>IF(F1387&lt;&gt;"","错误","")</f>
        <v/>
      </c>
      <c r="C1387" s="14">
        <f>IF('04_路径网络'!A387&lt;&gt;"","04_路径网络","")</f>
        <v/>
      </c>
      <c r="D1387" s="14">
        <f>IF('04_路径网络'!A387&lt;&gt;"",'04_路径网络'!A387,"")</f>
        <v/>
      </c>
      <c r="E1387" s="14">
        <f>IF(F1387&lt;&gt;"","综合校验","")</f>
        <v/>
      </c>
      <c r="F1387" s="14">
        <f>IF('04_路径网络'!A387&lt;&gt;"",IF('04_路径网络'!A387="","缺少路径ID；","")&amp;IF('04_路径网络'!C387="","缺少路径类型；","")&amp;IF('04_路径网络'!D387="","缺少起点对象ID；","")&amp;IF('04_路径网络'!E387="","缺少终点对象ID；","")&amp;IF(AND('04_路径网络'!D387&lt;&gt;"",'04_路径网络'!D387='04_路径网络'!E387),"起点与终点相同；","")&amp;IF(AND('04_路径网络'!D387&lt;&gt;"",COUNTIF('02_固定地理'!$A$2:$A$501,'04_路径网络'!D387)+COUNTIF('03_地点锚点'!$A$2:$A$501,'04_路径网络'!D387)+COUNTIF('06_建筑锚点'!$A$2:$A$501,'04_路径网络'!D387)=0),"起点引用对象不存在；","")&amp;IF(AND('04_路径网络'!E387&lt;&gt;"",COUNTIF('02_固定地理'!$A$2:$A$501,'04_路径网络'!E387)+COUNTIF('03_地点锚点'!$A$2:$A$501,'04_路径网络'!E387)+COUNTIF('06_建筑锚点'!$A$2:$A$501,'04_路径网络'!E387)=0),"终点引用对象不存在；","")&amp;IF(AND('04_路径网络'!F387&lt;&gt;"",COUNTIF('04_路径网络'!$A$2:$A$501,'04_路径网络'!F387)=0),"父级路径不存在；","")&amp;IF(AND('04_路径网络'!A387&lt;&gt;"",COUNTIF('04_路径网络'!$A$2:$A$501,'04_路径网络'!A387)&gt;1),"ID重复；",""),"")</f>
        <v/>
      </c>
      <c r="G1387" s="14">
        <f>IF(F1387&lt;&gt;"","按字段批注、数据字典和来源记录修正后复核","")</f>
        <v/>
      </c>
      <c r="H1387" s="14">
        <f>IF(F1387&lt;&gt;"","待处理","")</f>
        <v/>
      </c>
    </row>
    <row r="1388">
      <c r="A1388" s="14">
        <f>IF(F1388&lt;&gt;"","ISSUE-"&amp;TEXT(ROW()-1,"00000"),"")</f>
        <v/>
      </c>
      <c r="B1388" s="14">
        <f>IF(F1388&lt;&gt;"","错误","")</f>
        <v/>
      </c>
      <c r="C1388" s="14">
        <f>IF('04_路径网络'!A388&lt;&gt;"","04_路径网络","")</f>
        <v/>
      </c>
      <c r="D1388" s="14">
        <f>IF('04_路径网络'!A388&lt;&gt;"",'04_路径网络'!A388,"")</f>
        <v/>
      </c>
      <c r="E1388" s="14">
        <f>IF(F1388&lt;&gt;"","综合校验","")</f>
        <v/>
      </c>
      <c r="F1388" s="14">
        <f>IF('04_路径网络'!A388&lt;&gt;"",IF('04_路径网络'!A388="","缺少路径ID；","")&amp;IF('04_路径网络'!C388="","缺少路径类型；","")&amp;IF('04_路径网络'!D388="","缺少起点对象ID；","")&amp;IF('04_路径网络'!E388="","缺少终点对象ID；","")&amp;IF(AND('04_路径网络'!D388&lt;&gt;"",'04_路径网络'!D388='04_路径网络'!E388),"起点与终点相同；","")&amp;IF(AND('04_路径网络'!D388&lt;&gt;"",COUNTIF('02_固定地理'!$A$2:$A$501,'04_路径网络'!D388)+COUNTIF('03_地点锚点'!$A$2:$A$501,'04_路径网络'!D388)+COUNTIF('06_建筑锚点'!$A$2:$A$501,'04_路径网络'!D388)=0),"起点引用对象不存在；","")&amp;IF(AND('04_路径网络'!E388&lt;&gt;"",COUNTIF('02_固定地理'!$A$2:$A$501,'04_路径网络'!E388)+COUNTIF('03_地点锚点'!$A$2:$A$501,'04_路径网络'!E388)+COUNTIF('06_建筑锚点'!$A$2:$A$501,'04_路径网络'!E388)=0),"终点引用对象不存在；","")&amp;IF(AND('04_路径网络'!F388&lt;&gt;"",COUNTIF('04_路径网络'!$A$2:$A$501,'04_路径网络'!F388)=0),"父级路径不存在；","")&amp;IF(AND('04_路径网络'!A388&lt;&gt;"",COUNTIF('04_路径网络'!$A$2:$A$501,'04_路径网络'!A388)&gt;1),"ID重复；",""),"")</f>
        <v/>
      </c>
      <c r="G1388" s="14">
        <f>IF(F1388&lt;&gt;"","按字段批注、数据字典和来源记录修正后复核","")</f>
        <v/>
      </c>
      <c r="H1388" s="14">
        <f>IF(F1388&lt;&gt;"","待处理","")</f>
        <v/>
      </c>
    </row>
    <row r="1389">
      <c r="A1389" s="14">
        <f>IF(F1389&lt;&gt;"","ISSUE-"&amp;TEXT(ROW()-1,"00000"),"")</f>
        <v/>
      </c>
      <c r="B1389" s="14">
        <f>IF(F1389&lt;&gt;"","错误","")</f>
        <v/>
      </c>
      <c r="C1389" s="14">
        <f>IF('04_路径网络'!A389&lt;&gt;"","04_路径网络","")</f>
        <v/>
      </c>
      <c r="D1389" s="14">
        <f>IF('04_路径网络'!A389&lt;&gt;"",'04_路径网络'!A389,"")</f>
        <v/>
      </c>
      <c r="E1389" s="14">
        <f>IF(F1389&lt;&gt;"","综合校验","")</f>
        <v/>
      </c>
      <c r="F1389" s="14">
        <f>IF('04_路径网络'!A389&lt;&gt;"",IF('04_路径网络'!A389="","缺少路径ID；","")&amp;IF('04_路径网络'!C389="","缺少路径类型；","")&amp;IF('04_路径网络'!D389="","缺少起点对象ID；","")&amp;IF('04_路径网络'!E389="","缺少终点对象ID；","")&amp;IF(AND('04_路径网络'!D389&lt;&gt;"",'04_路径网络'!D389='04_路径网络'!E389),"起点与终点相同；","")&amp;IF(AND('04_路径网络'!D389&lt;&gt;"",COUNTIF('02_固定地理'!$A$2:$A$501,'04_路径网络'!D389)+COUNTIF('03_地点锚点'!$A$2:$A$501,'04_路径网络'!D389)+COUNTIF('06_建筑锚点'!$A$2:$A$501,'04_路径网络'!D389)=0),"起点引用对象不存在；","")&amp;IF(AND('04_路径网络'!E389&lt;&gt;"",COUNTIF('02_固定地理'!$A$2:$A$501,'04_路径网络'!E389)+COUNTIF('03_地点锚点'!$A$2:$A$501,'04_路径网络'!E389)+COUNTIF('06_建筑锚点'!$A$2:$A$501,'04_路径网络'!E389)=0),"终点引用对象不存在；","")&amp;IF(AND('04_路径网络'!F389&lt;&gt;"",COUNTIF('04_路径网络'!$A$2:$A$501,'04_路径网络'!F389)=0),"父级路径不存在；","")&amp;IF(AND('04_路径网络'!A389&lt;&gt;"",COUNTIF('04_路径网络'!$A$2:$A$501,'04_路径网络'!A389)&gt;1),"ID重复；",""),"")</f>
        <v/>
      </c>
      <c r="G1389" s="14">
        <f>IF(F1389&lt;&gt;"","按字段批注、数据字典和来源记录修正后复核","")</f>
        <v/>
      </c>
      <c r="H1389" s="14">
        <f>IF(F1389&lt;&gt;"","待处理","")</f>
        <v/>
      </c>
    </row>
    <row r="1390">
      <c r="A1390" s="14">
        <f>IF(F1390&lt;&gt;"","ISSUE-"&amp;TEXT(ROW()-1,"00000"),"")</f>
        <v/>
      </c>
      <c r="B1390" s="14">
        <f>IF(F1390&lt;&gt;"","错误","")</f>
        <v/>
      </c>
      <c r="C1390" s="14">
        <f>IF('04_路径网络'!A390&lt;&gt;"","04_路径网络","")</f>
        <v/>
      </c>
      <c r="D1390" s="14">
        <f>IF('04_路径网络'!A390&lt;&gt;"",'04_路径网络'!A390,"")</f>
        <v/>
      </c>
      <c r="E1390" s="14">
        <f>IF(F1390&lt;&gt;"","综合校验","")</f>
        <v/>
      </c>
      <c r="F1390" s="14">
        <f>IF('04_路径网络'!A390&lt;&gt;"",IF('04_路径网络'!A390="","缺少路径ID；","")&amp;IF('04_路径网络'!C390="","缺少路径类型；","")&amp;IF('04_路径网络'!D390="","缺少起点对象ID；","")&amp;IF('04_路径网络'!E390="","缺少终点对象ID；","")&amp;IF(AND('04_路径网络'!D390&lt;&gt;"",'04_路径网络'!D390='04_路径网络'!E390),"起点与终点相同；","")&amp;IF(AND('04_路径网络'!D390&lt;&gt;"",COUNTIF('02_固定地理'!$A$2:$A$501,'04_路径网络'!D390)+COUNTIF('03_地点锚点'!$A$2:$A$501,'04_路径网络'!D390)+COUNTIF('06_建筑锚点'!$A$2:$A$501,'04_路径网络'!D390)=0),"起点引用对象不存在；","")&amp;IF(AND('04_路径网络'!E390&lt;&gt;"",COUNTIF('02_固定地理'!$A$2:$A$501,'04_路径网络'!E390)+COUNTIF('03_地点锚点'!$A$2:$A$501,'04_路径网络'!E390)+COUNTIF('06_建筑锚点'!$A$2:$A$501,'04_路径网络'!E390)=0),"终点引用对象不存在；","")&amp;IF(AND('04_路径网络'!F390&lt;&gt;"",COUNTIF('04_路径网络'!$A$2:$A$501,'04_路径网络'!F390)=0),"父级路径不存在；","")&amp;IF(AND('04_路径网络'!A390&lt;&gt;"",COUNTIF('04_路径网络'!$A$2:$A$501,'04_路径网络'!A390)&gt;1),"ID重复；",""),"")</f>
        <v/>
      </c>
      <c r="G1390" s="14">
        <f>IF(F1390&lt;&gt;"","按字段批注、数据字典和来源记录修正后复核","")</f>
        <v/>
      </c>
      <c r="H1390" s="14">
        <f>IF(F1390&lt;&gt;"","待处理","")</f>
        <v/>
      </c>
    </row>
    <row r="1391">
      <c r="A1391" s="14">
        <f>IF(F1391&lt;&gt;"","ISSUE-"&amp;TEXT(ROW()-1,"00000"),"")</f>
        <v/>
      </c>
      <c r="B1391" s="14">
        <f>IF(F1391&lt;&gt;"","错误","")</f>
        <v/>
      </c>
      <c r="C1391" s="14">
        <f>IF('04_路径网络'!A391&lt;&gt;"","04_路径网络","")</f>
        <v/>
      </c>
      <c r="D1391" s="14">
        <f>IF('04_路径网络'!A391&lt;&gt;"",'04_路径网络'!A391,"")</f>
        <v/>
      </c>
      <c r="E1391" s="14">
        <f>IF(F1391&lt;&gt;"","综合校验","")</f>
        <v/>
      </c>
      <c r="F1391" s="14">
        <f>IF('04_路径网络'!A391&lt;&gt;"",IF('04_路径网络'!A391="","缺少路径ID；","")&amp;IF('04_路径网络'!C391="","缺少路径类型；","")&amp;IF('04_路径网络'!D391="","缺少起点对象ID；","")&amp;IF('04_路径网络'!E391="","缺少终点对象ID；","")&amp;IF(AND('04_路径网络'!D391&lt;&gt;"",'04_路径网络'!D391='04_路径网络'!E391),"起点与终点相同；","")&amp;IF(AND('04_路径网络'!D391&lt;&gt;"",COUNTIF('02_固定地理'!$A$2:$A$501,'04_路径网络'!D391)+COUNTIF('03_地点锚点'!$A$2:$A$501,'04_路径网络'!D391)+COUNTIF('06_建筑锚点'!$A$2:$A$501,'04_路径网络'!D391)=0),"起点引用对象不存在；","")&amp;IF(AND('04_路径网络'!E391&lt;&gt;"",COUNTIF('02_固定地理'!$A$2:$A$501,'04_路径网络'!E391)+COUNTIF('03_地点锚点'!$A$2:$A$501,'04_路径网络'!E391)+COUNTIF('06_建筑锚点'!$A$2:$A$501,'04_路径网络'!E391)=0),"终点引用对象不存在；","")&amp;IF(AND('04_路径网络'!F391&lt;&gt;"",COUNTIF('04_路径网络'!$A$2:$A$501,'04_路径网络'!F391)=0),"父级路径不存在；","")&amp;IF(AND('04_路径网络'!A391&lt;&gt;"",COUNTIF('04_路径网络'!$A$2:$A$501,'04_路径网络'!A391)&gt;1),"ID重复；",""),"")</f>
        <v/>
      </c>
      <c r="G1391" s="14">
        <f>IF(F1391&lt;&gt;"","按字段批注、数据字典和来源记录修正后复核","")</f>
        <v/>
      </c>
      <c r="H1391" s="14">
        <f>IF(F1391&lt;&gt;"","待处理","")</f>
        <v/>
      </c>
    </row>
    <row r="1392">
      <c r="A1392" s="14">
        <f>IF(F1392&lt;&gt;"","ISSUE-"&amp;TEXT(ROW()-1,"00000"),"")</f>
        <v/>
      </c>
      <c r="B1392" s="14">
        <f>IF(F1392&lt;&gt;"","错误","")</f>
        <v/>
      </c>
      <c r="C1392" s="14">
        <f>IF('04_路径网络'!A392&lt;&gt;"","04_路径网络","")</f>
        <v/>
      </c>
      <c r="D1392" s="14">
        <f>IF('04_路径网络'!A392&lt;&gt;"",'04_路径网络'!A392,"")</f>
        <v/>
      </c>
      <c r="E1392" s="14">
        <f>IF(F1392&lt;&gt;"","综合校验","")</f>
        <v/>
      </c>
      <c r="F1392" s="14">
        <f>IF('04_路径网络'!A392&lt;&gt;"",IF('04_路径网络'!A392="","缺少路径ID；","")&amp;IF('04_路径网络'!C392="","缺少路径类型；","")&amp;IF('04_路径网络'!D392="","缺少起点对象ID；","")&amp;IF('04_路径网络'!E392="","缺少终点对象ID；","")&amp;IF(AND('04_路径网络'!D392&lt;&gt;"",'04_路径网络'!D392='04_路径网络'!E392),"起点与终点相同；","")&amp;IF(AND('04_路径网络'!D392&lt;&gt;"",COUNTIF('02_固定地理'!$A$2:$A$501,'04_路径网络'!D392)+COUNTIF('03_地点锚点'!$A$2:$A$501,'04_路径网络'!D392)+COUNTIF('06_建筑锚点'!$A$2:$A$501,'04_路径网络'!D392)=0),"起点引用对象不存在；","")&amp;IF(AND('04_路径网络'!E392&lt;&gt;"",COUNTIF('02_固定地理'!$A$2:$A$501,'04_路径网络'!E392)+COUNTIF('03_地点锚点'!$A$2:$A$501,'04_路径网络'!E392)+COUNTIF('06_建筑锚点'!$A$2:$A$501,'04_路径网络'!E392)=0),"终点引用对象不存在；","")&amp;IF(AND('04_路径网络'!F392&lt;&gt;"",COUNTIF('04_路径网络'!$A$2:$A$501,'04_路径网络'!F392)=0),"父级路径不存在；","")&amp;IF(AND('04_路径网络'!A392&lt;&gt;"",COUNTIF('04_路径网络'!$A$2:$A$501,'04_路径网络'!A392)&gt;1),"ID重复；",""),"")</f>
        <v/>
      </c>
      <c r="G1392" s="14">
        <f>IF(F1392&lt;&gt;"","按字段批注、数据字典和来源记录修正后复核","")</f>
        <v/>
      </c>
      <c r="H1392" s="14">
        <f>IF(F1392&lt;&gt;"","待处理","")</f>
        <v/>
      </c>
    </row>
    <row r="1393">
      <c r="A1393" s="14">
        <f>IF(F1393&lt;&gt;"","ISSUE-"&amp;TEXT(ROW()-1,"00000"),"")</f>
        <v/>
      </c>
      <c r="B1393" s="14">
        <f>IF(F1393&lt;&gt;"","错误","")</f>
        <v/>
      </c>
      <c r="C1393" s="14">
        <f>IF('04_路径网络'!A393&lt;&gt;"","04_路径网络","")</f>
        <v/>
      </c>
      <c r="D1393" s="14">
        <f>IF('04_路径网络'!A393&lt;&gt;"",'04_路径网络'!A393,"")</f>
        <v/>
      </c>
      <c r="E1393" s="14">
        <f>IF(F1393&lt;&gt;"","综合校验","")</f>
        <v/>
      </c>
      <c r="F1393" s="14">
        <f>IF('04_路径网络'!A393&lt;&gt;"",IF('04_路径网络'!A393="","缺少路径ID；","")&amp;IF('04_路径网络'!C393="","缺少路径类型；","")&amp;IF('04_路径网络'!D393="","缺少起点对象ID；","")&amp;IF('04_路径网络'!E393="","缺少终点对象ID；","")&amp;IF(AND('04_路径网络'!D393&lt;&gt;"",'04_路径网络'!D393='04_路径网络'!E393),"起点与终点相同；","")&amp;IF(AND('04_路径网络'!D393&lt;&gt;"",COUNTIF('02_固定地理'!$A$2:$A$501,'04_路径网络'!D393)+COUNTIF('03_地点锚点'!$A$2:$A$501,'04_路径网络'!D393)+COUNTIF('06_建筑锚点'!$A$2:$A$501,'04_路径网络'!D393)=0),"起点引用对象不存在；","")&amp;IF(AND('04_路径网络'!E393&lt;&gt;"",COUNTIF('02_固定地理'!$A$2:$A$501,'04_路径网络'!E393)+COUNTIF('03_地点锚点'!$A$2:$A$501,'04_路径网络'!E393)+COUNTIF('06_建筑锚点'!$A$2:$A$501,'04_路径网络'!E393)=0),"终点引用对象不存在；","")&amp;IF(AND('04_路径网络'!F393&lt;&gt;"",COUNTIF('04_路径网络'!$A$2:$A$501,'04_路径网络'!F393)=0),"父级路径不存在；","")&amp;IF(AND('04_路径网络'!A393&lt;&gt;"",COUNTIF('04_路径网络'!$A$2:$A$501,'04_路径网络'!A393)&gt;1),"ID重复；",""),"")</f>
        <v/>
      </c>
      <c r="G1393" s="14">
        <f>IF(F1393&lt;&gt;"","按字段批注、数据字典和来源记录修正后复核","")</f>
        <v/>
      </c>
      <c r="H1393" s="14">
        <f>IF(F1393&lt;&gt;"","待处理","")</f>
        <v/>
      </c>
    </row>
    <row r="1394">
      <c r="A1394" s="14">
        <f>IF(F1394&lt;&gt;"","ISSUE-"&amp;TEXT(ROW()-1,"00000"),"")</f>
        <v/>
      </c>
      <c r="B1394" s="14">
        <f>IF(F1394&lt;&gt;"","错误","")</f>
        <v/>
      </c>
      <c r="C1394" s="14">
        <f>IF('04_路径网络'!A394&lt;&gt;"","04_路径网络","")</f>
        <v/>
      </c>
      <c r="D1394" s="14">
        <f>IF('04_路径网络'!A394&lt;&gt;"",'04_路径网络'!A394,"")</f>
        <v/>
      </c>
      <c r="E1394" s="14">
        <f>IF(F1394&lt;&gt;"","综合校验","")</f>
        <v/>
      </c>
      <c r="F1394" s="14">
        <f>IF('04_路径网络'!A394&lt;&gt;"",IF('04_路径网络'!A394="","缺少路径ID；","")&amp;IF('04_路径网络'!C394="","缺少路径类型；","")&amp;IF('04_路径网络'!D394="","缺少起点对象ID；","")&amp;IF('04_路径网络'!E394="","缺少终点对象ID；","")&amp;IF(AND('04_路径网络'!D394&lt;&gt;"",'04_路径网络'!D394='04_路径网络'!E394),"起点与终点相同；","")&amp;IF(AND('04_路径网络'!D394&lt;&gt;"",COUNTIF('02_固定地理'!$A$2:$A$501,'04_路径网络'!D394)+COUNTIF('03_地点锚点'!$A$2:$A$501,'04_路径网络'!D394)+COUNTIF('06_建筑锚点'!$A$2:$A$501,'04_路径网络'!D394)=0),"起点引用对象不存在；","")&amp;IF(AND('04_路径网络'!E394&lt;&gt;"",COUNTIF('02_固定地理'!$A$2:$A$501,'04_路径网络'!E394)+COUNTIF('03_地点锚点'!$A$2:$A$501,'04_路径网络'!E394)+COUNTIF('06_建筑锚点'!$A$2:$A$501,'04_路径网络'!E394)=0),"终点引用对象不存在；","")&amp;IF(AND('04_路径网络'!F394&lt;&gt;"",COUNTIF('04_路径网络'!$A$2:$A$501,'04_路径网络'!F394)=0),"父级路径不存在；","")&amp;IF(AND('04_路径网络'!A394&lt;&gt;"",COUNTIF('04_路径网络'!$A$2:$A$501,'04_路径网络'!A394)&gt;1),"ID重复；",""),"")</f>
        <v/>
      </c>
      <c r="G1394" s="14">
        <f>IF(F1394&lt;&gt;"","按字段批注、数据字典和来源记录修正后复核","")</f>
        <v/>
      </c>
      <c r="H1394" s="14">
        <f>IF(F1394&lt;&gt;"","待处理","")</f>
        <v/>
      </c>
    </row>
    <row r="1395">
      <c r="A1395" s="14">
        <f>IF(F1395&lt;&gt;"","ISSUE-"&amp;TEXT(ROW()-1,"00000"),"")</f>
        <v/>
      </c>
      <c r="B1395" s="14">
        <f>IF(F1395&lt;&gt;"","错误","")</f>
        <v/>
      </c>
      <c r="C1395" s="14">
        <f>IF('04_路径网络'!A395&lt;&gt;"","04_路径网络","")</f>
        <v/>
      </c>
      <c r="D1395" s="14">
        <f>IF('04_路径网络'!A395&lt;&gt;"",'04_路径网络'!A395,"")</f>
        <v/>
      </c>
      <c r="E1395" s="14">
        <f>IF(F1395&lt;&gt;"","综合校验","")</f>
        <v/>
      </c>
      <c r="F1395" s="14">
        <f>IF('04_路径网络'!A395&lt;&gt;"",IF('04_路径网络'!A395="","缺少路径ID；","")&amp;IF('04_路径网络'!C395="","缺少路径类型；","")&amp;IF('04_路径网络'!D395="","缺少起点对象ID；","")&amp;IF('04_路径网络'!E395="","缺少终点对象ID；","")&amp;IF(AND('04_路径网络'!D395&lt;&gt;"",'04_路径网络'!D395='04_路径网络'!E395),"起点与终点相同；","")&amp;IF(AND('04_路径网络'!D395&lt;&gt;"",COUNTIF('02_固定地理'!$A$2:$A$501,'04_路径网络'!D395)+COUNTIF('03_地点锚点'!$A$2:$A$501,'04_路径网络'!D395)+COUNTIF('06_建筑锚点'!$A$2:$A$501,'04_路径网络'!D395)=0),"起点引用对象不存在；","")&amp;IF(AND('04_路径网络'!E395&lt;&gt;"",COUNTIF('02_固定地理'!$A$2:$A$501,'04_路径网络'!E395)+COUNTIF('03_地点锚点'!$A$2:$A$501,'04_路径网络'!E395)+COUNTIF('06_建筑锚点'!$A$2:$A$501,'04_路径网络'!E395)=0),"终点引用对象不存在；","")&amp;IF(AND('04_路径网络'!F395&lt;&gt;"",COUNTIF('04_路径网络'!$A$2:$A$501,'04_路径网络'!F395)=0),"父级路径不存在；","")&amp;IF(AND('04_路径网络'!A395&lt;&gt;"",COUNTIF('04_路径网络'!$A$2:$A$501,'04_路径网络'!A395)&gt;1),"ID重复；",""),"")</f>
        <v/>
      </c>
      <c r="G1395" s="14">
        <f>IF(F1395&lt;&gt;"","按字段批注、数据字典和来源记录修正后复核","")</f>
        <v/>
      </c>
      <c r="H1395" s="14">
        <f>IF(F1395&lt;&gt;"","待处理","")</f>
        <v/>
      </c>
    </row>
    <row r="1396">
      <c r="A1396" s="14">
        <f>IF(F1396&lt;&gt;"","ISSUE-"&amp;TEXT(ROW()-1,"00000"),"")</f>
        <v/>
      </c>
      <c r="B1396" s="14">
        <f>IF(F1396&lt;&gt;"","错误","")</f>
        <v/>
      </c>
      <c r="C1396" s="14">
        <f>IF('04_路径网络'!A396&lt;&gt;"","04_路径网络","")</f>
        <v/>
      </c>
      <c r="D1396" s="14">
        <f>IF('04_路径网络'!A396&lt;&gt;"",'04_路径网络'!A396,"")</f>
        <v/>
      </c>
      <c r="E1396" s="14">
        <f>IF(F1396&lt;&gt;"","综合校验","")</f>
        <v/>
      </c>
      <c r="F1396" s="14">
        <f>IF('04_路径网络'!A396&lt;&gt;"",IF('04_路径网络'!A396="","缺少路径ID；","")&amp;IF('04_路径网络'!C396="","缺少路径类型；","")&amp;IF('04_路径网络'!D396="","缺少起点对象ID；","")&amp;IF('04_路径网络'!E396="","缺少终点对象ID；","")&amp;IF(AND('04_路径网络'!D396&lt;&gt;"",'04_路径网络'!D396='04_路径网络'!E396),"起点与终点相同；","")&amp;IF(AND('04_路径网络'!D396&lt;&gt;"",COUNTIF('02_固定地理'!$A$2:$A$501,'04_路径网络'!D396)+COUNTIF('03_地点锚点'!$A$2:$A$501,'04_路径网络'!D396)+COUNTIF('06_建筑锚点'!$A$2:$A$501,'04_路径网络'!D396)=0),"起点引用对象不存在；","")&amp;IF(AND('04_路径网络'!E396&lt;&gt;"",COUNTIF('02_固定地理'!$A$2:$A$501,'04_路径网络'!E396)+COUNTIF('03_地点锚点'!$A$2:$A$501,'04_路径网络'!E396)+COUNTIF('06_建筑锚点'!$A$2:$A$501,'04_路径网络'!E396)=0),"终点引用对象不存在；","")&amp;IF(AND('04_路径网络'!F396&lt;&gt;"",COUNTIF('04_路径网络'!$A$2:$A$501,'04_路径网络'!F396)=0),"父级路径不存在；","")&amp;IF(AND('04_路径网络'!A396&lt;&gt;"",COUNTIF('04_路径网络'!$A$2:$A$501,'04_路径网络'!A396)&gt;1),"ID重复；",""),"")</f>
        <v/>
      </c>
      <c r="G1396" s="14">
        <f>IF(F1396&lt;&gt;"","按字段批注、数据字典和来源记录修正后复核","")</f>
        <v/>
      </c>
      <c r="H1396" s="14">
        <f>IF(F1396&lt;&gt;"","待处理","")</f>
        <v/>
      </c>
    </row>
    <row r="1397">
      <c r="A1397" s="14">
        <f>IF(F1397&lt;&gt;"","ISSUE-"&amp;TEXT(ROW()-1,"00000"),"")</f>
        <v/>
      </c>
      <c r="B1397" s="14">
        <f>IF(F1397&lt;&gt;"","错误","")</f>
        <v/>
      </c>
      <c r="C1397" s="14">
        <f>IF('04_路径网络'!A397&lt;&gt;"","04_路径网络","")</f>
        <v/>
      </c>
      <c r="D1397" s="14">
        <f>IF('04_路径网络'!A397&lt;&gt;"",'04_路径网络'!A397,"")</f>
        <v/>
      </c>
      <c r="E1397" s="14">
        <f>IF(F1397&lt;&gt;"","综合校验","")</f>
        <v/>
      </c>
      <c r="F1397" s="14">
        <f>IF('04_路径网络'!A397&lt;&gt;"",IF('04_路径网络'!A397="","缺少路径ID；","")&amp;IF('04_路径网络'!C397="","缺少路径类型；","")&amp;IF('04_路径网络'!D397="","缺少起点对象ID；","")&amp;IF('04_路径网络'!E397="","缺少终点对象ID；","")&amp;IF(AND('04_路径网络'!D397&lt;&gt;"",'04_路径网络'!D397='04_路径网络'!E397),"起点与终点相同；","")&amp;IF(AND('04_路径网络'!D397&lt;&gt;"",COUNTIF('02_固定地理'!$A$2:$A$501,'04_路径网络'!D397)+COUNTIF('03_地点锚点'!$A$2:$A$501,'04_路径网络'!D397)+COUNTIF('06_建筑锚点'!$A$2:$A$501,'04_路径网络'!D397)=0),"起点引用对象不存在；","")&amp;IF(AND('04_路径网络'!E397&lt;&gt;"",COUNTIF('02_固定地理'!$A$2:$A$501,'04_路径网络'!E397)+COUNTIF('03_地点锚点'!$A$2:$A$501,'04_路径网络'!E397)+COUNTIF('06_建筑锚点'!$A$2:$A$501,'04_路径网络'!E397)=0),"终点引用对象不存在；","")&amp;IF(AND('04_路径网络'!F397&lt;&gt;"",COUNTIF('04_路径网络'!$A$2:$A$501,'04_路径网络'!F397)=0),"父级路径不存在；","")&amp;IF(AND('04_路径网络'!A397&lt;&gt;"",COUNTIF('04_路径网络'!$A$2:$A$501,'04_路径网络'!A397)&gt;1),"ID重复；",""),"")</f>
        <v/>
      </c>
      <c r="G1397" s="14">
        <f>IF(F1397&lt;&gt;"","按字段批注、数据字典和来源记录修正后复核","")</f>
        <v/>
      </c>
      <c r="H1397" s="14">
        <f>IF(F1397&lt;&gt;"","待处理","")</f>
        <v/>
      </c>
    </row>
    <row r="1398">
      <c r="A1398" s="14">
        <f>IF(F1398&lt;&gt;"","ISSUE-"&amp;TEXT(ROW()-1,"00000"),"")</f>
        <v/>
      </c>
      <c r="B1398" s="14">
        <f>IF(F1398&lt;&gt;"","错误","")</f>
        <v/>
      </c>
      <c r="C1398" s="14">
        <f>IF('04_路径网络'!A398&lt;&gt;"","04_路径网络","")</f>
        <v/>
      </c>
      <c r="D1398" s="14">
        <f>IF('04_路径网络'!A398&lt;&gt;"",'04_路径网络'!A398,"")</f>
        <v/>
      </c>
      <c r="E1398" s="14">
        <f>IF(F1398&lt;&gt;"","综合校验","")</f>
        <v/>
      </c>
      <c r="F1398" s="14">
        <f>IF('04_路径网络'!A398&lt;&gt;"",IF('04_路径网络'!A398="","缺少路径ID；","")&amp;IF('04_路径网络'!C398="","缺少路径类型；","")&amp;IF('04_路径网络'!D398="","缺少起点对象ID；","")&amp;IF('04_路径网络'!E398="","缺少终点对象ID；","")&amp;IF(AND('04_路径网络'!D398&lt;&gt;"",'04_路径网络'!D398='04_路径网络'!E398),"起点与终点相同；","")&amp;IF(AND('04_路径网络'!D398&lt;&gt;"",COUNTIF('02_固定地理'!$A$2:$A$501,'04_路径网络'!D398)+COUNTIF('03_地点锚点'!$A$2:$A$501,'04_路径网络'!D398)+COUNTIF('06_建筑锚点'!$A$2:$A$501,'04_路径网络'!D398)=0),"起点引用对象不存在；","")&amp;IF(AND('04_路径网络'!E398&lt;&gt;"",COUNTIF('02_固定地理'!$A$2:$A$501,'04_路径网络'!E398)+COUNTIF('03_地点锚点'!$A$2:$A$501,'04_路径网络'!E398)+COUNTIF('06_建筑锚点'!$A$2:$A$501,'04_路径网络'!E398)=0),"终点引用对象不存在；","")&amp;IF(AND('04_路径网络'!F398&lt;&gt;"",COUNTIF('04_路径网络'!$A$2:$A$501,'04_路径网络'!F398)=0),"父级路径不存在；","")&amp;IF(AND('04_路径网络'!A398&lt;&gt;"",COUNTIF('04_路径网络'!$A$2:$A$501,'04_路径网络'!A398)&gt;1),"ID重复；",""),"")</f>
        <v/>
      </c>
      <c r="G1398" s="14">
        <f>IF(F1398&lt;&gt;"","按字段批注、数据字典和来源记录修正后复核","")</f>
        <v/>
      </c>
      <c r="H1398" s="14">
        <f>IF(F1398&lt;&gt;"","待处理","")</f>
        <v/>
      </c>
    </row>
    <row r="1399">
      <c r="A1399" s="14">
        <f>IF(F1399&lt;&gt;"","ISSUE-"&amp;TEXT(ROW()-1,"00000"),"")</f>
        <v/>
      </c>
      <c r="B1399" s="14">
        <f>IF(F1399&lt;&gt;"","错误","")</f>
        <v/>
      </c>
      <c r="C1399" s="14">
        <f>IF('04_路径网络'!A399&lt;&gt;"","04_路径网络","")</f>
        <v/>
      </c>
      <c r="D1399" s="14">
        <f>IF('04_路径网络'!A399&lt;&gt;"",'04_路径网络'!A399,"")</f>
        <v/>
      </c>
      <c r="E1399" s="14">
        <f>IF(F1399&lt;&gt;"","综合校验","")</f>
        <v/>
      </c>
      <c r="F1399" s="14">
        <f>IF('04_路径网络'!A399&lt;&gt;"",IF('04_路径网络'!A399="","缺少路径ID；","")&amp;IF('04_路径网络'!C399="","缺少路径类型；","")&amp;IF('04_路径网络'!D399="","缺少起点对象ID；","")&amp;IF('04_路径网络'!E399="","缺少终点对象ID；","")&amp;IF(AND('04_路径网络'!D399&lt;&gt;"",'04_路径网络'!D399='04_路径网络'!E399),"起点与终点相同；","")&amp;IF(AND('04_路径网络'!D399&lt;&gt;"",COUNTIF('02_固定地理'!$A$2:$A$501,'04_路径网络'!D399)+COUNTIF('03_地点锚点'!$A$2:$A$501,'04_路径网络'!D399)+COUNTIF('06_建筑锚点'!$A$2:$A$501,'04_路径网络'!D399)=0),"起点引用对象不存在；","")&amp;IF(AND('04_路径网络'!E399&lt;&gt;"",COUNTIF('02_固定地理'!$A$2:$A$501,'04_路径网络'!E399)+COUNTIF('03_地点锚点'!$A$2:$A$501,'04_路径网络'!E399)+COUNTIF('06_建筑锚点'!$A$2:$A$501,'04_路径网络'!E399)=0),"终点引用对象不存在；","")&amp;IF(AND('04_路径网络'!F399&lt;&gt;"",COUNTIF('04_路径网络'!$A$2:$A$501,'04_路径网络'!F399)=0),"父级路径不存在；","")&amp;IF(AND('04_路径网络'!A399&lt;&gt;"",COUNTIF('04_路径网络'!$A$2:$A$501,'04_路径网络'!A399)&gt;1),"ID重复；",""),"")</f>
        <v/>
      </c>
      <c r="G1399" s="14">
        <f>IF(F1399&lt;&gt;"","按字段批注、数据字典和来源记录修正后复核","")</f>
        <v/>
      </c>
      <c r="H1399" s="14">
        <f>IF(F1399&lt;&gt;"","待处理","")</f>
        <v/>
      </c>
    </row>
    <row r="1400">
      <c r="A1400" s="14">
        <f>IF(F1400&lt;&gt;"","ISSUE-"&amp;TEXT(ROW()-1,"00000"),"")</f>
        <v/>
      </c>
      <c r="B1400" s="14">
        <f>IF(F1400&lt;&gt;"","错误","")</f>
        <v/>
      </c>
      <c r="C1400" s="14">
        <f>IF('04_路径网络'!A400&lt;&gt;"","04_路径网络","")</f>
        <v/>
      </c>
      <c r="D1400" s="14">
        <f>IF('04_路径网络'!A400&lt;&gt;"",'04_路径网络'!A400,"")</f>
        <v/>
      </c>
      <c r="E1400" s="14">
        <f>IF(F1400&lt;&gt;"","综合校验","")</f>
        <v/>
      </c>
      <c r="F1400" s="14">
        <f>IF('04_路径网络'!A400&lt;&gt;"",IF('04_路径网络'!A400="","缺少路径ID；","")&amp;IF('04_路径网络'!C400="","缺少路径类型；","")&amp;IF('04_路径网络'!D400="","缺少起点对象ID；","")&amp;IF('04_路径网络'!E400="","缺少终点对象ID；","")&amp;IF(AND('04_路径网络'!D400&lt;&gt;"",'04_路径网络'!D400='04_路径网络'!E400),"起点与终点相同；","")&amp;IF(AND('04_路径网络'!D400&lt;&gt;"",COUNTIF('02_固定地理'!$A$2:$A$501,'04_路径网络'!D400)+COUNTIF('03_地点锚点'!$A$2:$A$501,'04_路径网络'!D400)+COUNTIF('06_建筑锚点'!$A$2:$A$501,'04_路径网络'!D400)=0),"起点引用对象不存在；","")&amp;IF(AND('04_路径网络'!E400&lt;&gt;"",COUNTIF('02_固定地理'!$A$2:$A$501,'04_路径网络'!E400)+COUNTIF('03_地点锚点'!$A$2:$A$501,'04_路径网络'!E400)+COUNTIF('06_建筑锚点'!$A$2:$A$501,'04_路径网络'!E400)=0),"终点引用对象不存在；","")&amp;IF(AND('04_路径网络'!F400&lt;&gt;"",COUNTIF('04_路径网络'!$A$2:$A$501,'04_路径网络'!F400)=0),"父级路径不存在；","")&amp;IF(AND('04_路径网络'!A400&lt;&gt;"",COUNTIF('04_路径网络'!$A$2:$A$501,'04_路径网络'!A400)&gt;1),"ID重复；",""),"")</f>
        <v/>
      </c>
      <c r="G1400" s="14">
        <f>IF(F1400&lt;&gt;"","按字段批注、数据字典和来源记录修正后复核","")</f>
        <v/>
      </c>
      <c r="H1400" s="14">
        <f>IF(F1400&lt;&gt;"","待处理","")</f>
        <v/>
      </c>
    </row>
    <row r="1401">
      <c r="A1401" s="14">
        <f>IF(F1401&lt;&gt;"","ISSUE-"&amp;TEXT(ROW()-1,"00000"),"")</f>
        <v/>
      </c>
      <c r="B1401" s="14">
        <f>IF(F1401&lt;&gt;"","错误","")</f>
        <v/>
      </c>
      <c r="C1401" s="14">
        <f>IF('04_路径网络'!A401&lt;&gt;"","04_路径网络","")</f>
        <v/>
      </c>
      <c r="D1401" s="14">
        <f>IF('04_路径网络'!A401&lt;&gt;"",'04_路径网络'!A401,"")</f>
        <v/>
      </c>
      <c r="E1401" s="14">
        <f>IF(F1401&lt;&gt;"","综合校验","")</f>
        <v/>
      </c>
      <c r="F1401" s="14">
        <f>IF('04_路径网络'!A401&lt;&gt;"",IF('04_路径网络'!A401="","缺少路径ID；","")&amp;IF('04_路径网络'!C401="","缺少路径类型；","")&amp;IF('04_路径网络'!D401="","缺少起点对象ID；","")&amp;IF('04_路径网络'!E401="","缺少终点对象ID；","")&amp;IF(AND('04_路径网络'!D401&lt;&gt;"",'04_路径网络'!D401='04_路径网络'!E401),"起点与终点相同；","")&amp;IF(AND('04_路径网络'!D401&lt;&gt;"",COUNTIF('02_固定地理'!$A$2:$A$501,'04_路径网络'!D401)+COUNTIF('03_地点锚点'!$A$2:$A$501,'04_路径网络'!D401)+COUNTIF('06_建筑锚点'!$A$2:$A$501,'04_路径网络'!D401)=0),"起点引用对象不存在；","")&amp;IF(AND('04_路径网络'!E401&lt;&gt;"",COUNTIF('02_固定地理'!$A$2:$A$501,'04_路径网络'!E401)+COUNTIF('03_地点锚点'!$A$2:$A$501,'04_路径网络'!E401)+COUNTIF('06_建筑锚点'!$A$2:$A$501,'04_路径网络'!E401)=0),"终点引用对象不存在；","")&amp;IF(AND('04_路径网络'!F401&lt;&gt;"",COUNTIF('04_路径网络'!$A$2:$A$501,'04_路径网络'!F401)=0),"父级路径不存在；","")&amp;IF(AND('04_路径网络'!A401&lt;&gt;"",COUNTIF('04_路径网络'!$A$2:$A$501,'04_路径网络'!A401)&gt;1),"ID重复；",""),"")</f>
        <v/>
      </c>
      <c r="G1401" s="14">
        <f>IF(F1401&lt;&gt;"","按字段批注、数据字典和来源记录修正后复核","")</f>
        <v/>
      </c>
      <c r="H1401" s="14">
        <f>IF(F1401&lt;&gt;"","待处理","")</f>
        <v/>
      </c>
    </row>
    <row r="1402">
      <c r="A1402" s="14">
        <f>IF(F1402&lt;&gt;"","ISSUE-"&amp;TEXT(ROW()-1,"00000"),"")</f>
        <v/>
      </c>
      <c r="B1402" s="14">
        <f>IF(F1402&lt;&gt;"","错误","")</f>
        <v/>
      </c>
      <c r="C1402" s="14">
        <f>IF('04_路径网络'!A402&lt;&gt;"","04_路径网络","")</f>
        <v/>
      </c>
      <c r="D1402" s="14">
        <f>IF('04_路径网络'!A402&lt;&gt;"",'04_路径网络'!A402,"")</f>
        <v/>
      </c>
      <c r="E1402" s="14">
        <f>IF(F1402&lt;&gt;"","综合校验","")</f>
        <v/>
      </c>
      <c r="F1402" s="14">
        <f>IF('04_路径网络'!A402&lt;&gt;"",IF('04_路径网络'!A402="","缺少路径ID；","")&amp;IF('04_路径网络'!C402="","缺少路径类型；","")&amp;IF('04_路径网络'!D402="","缺少起点对象ID；","")&amp;IF('04_路径网络'!E402="","缺少终点对象ID；","")&amp;IF(AND('04_路径网络'!D402&lt;&gt;"",'04_路径网络'!D402='04_路径网络'!E402),"起点与终点相同；","")&amp;IF(AND('04_路径网络'!D402&lt;&gt;"",COUNTIF('02_固定地理'!$A$2:$A$501,'04_路径网络'!D402)+COUNTIF('03_地点锚点'!$A$2:$A$501,'04_路径网络'!D402)+COUNTIF('06_建筑锚点'!$A$2:$A$501,'04_路径网络'!D402)=0),"起点引用对象不存在；","")&amp;IF(AND('04_路径网络'!E402&lt;&gt;"",COUNTIF('02_固定地理'!$A$2:$A$501,'04_路径网络'!E402)+COUNTIF('03_地点锚点'!$A$2:$A$501,'04_路径网络'!E402)+COUNTIF('06_建筑锚点'!$A$2:$A$501,'04_路径网络'!E402)=0),"终点引用对象不存在；","")&amp;IF(AND('04_路径网络'!F402&lt;&gt;"",COUNTIF('04_路径网络'!$A$2:$A$501,'04_路径网络'!F402)=0),"父级路径不存在；","")&amp;IF(AND('04_路径网络'!A402&lt;&gt;"",COUNTIF('04_路径网络'!$A$2:$A$501,'04_路径网络'!A402)&gt;1),"ID重复；",""),"")</f>
        <v/>
      </c>
      <c r="G1402" s="14">
        <f>IF(F1402&lt;&gt;"","按字段批注、数据字典和来源记录修正后复核","")</f>
        <v/>
      </c>
      <c r="H1402" s="14">
        <f>IF(F1402&lt;&gt;"","待处理","")</f>
        <v/>
      </c>
    </row>
    <row r="1403">
      <c r="A1403" s="14">
        <f>IF(F1403&lt;&gt;"","ISSUE-"&amp;TEXT(ROW()-1,"00000"),"")</f>
        <v/>
      </c>
      <c r="B1403" s="14">
        <f>IF(F1403&lt;&gt;"","错误","")</f>
        <v/>
      </c>
      <c r="C1403" s="14">
        <f>IF('04_路径网络'!A403&lt;&gt;"","04_路径网络","")</f>
        <v/>
      </c>
      <c r="D1403" s="14">
        <f>IF('04_路径网络'!A403&lt;&gt;"",'04_路径网络'!A403,"")</f>
        <v/>
      </c>
      <c r="E1403" s="14">
        <f>IF(F1403&lt;&gt;"","综合校验","")</f>
        <v/>
      </c>
      <c r="F1403" s="14">
        <f>IF('04_路径网络'!A403&lt;&gt;"",IF('04_路径网络'!A403="","缺少路径ID；","")&amp;IF('04_路径网络'!C403="","缺少路径类型；","")&amp;IF('04_路径网络'!D403="","缺少起点对象ID；","")&amp;IF('04_路径网络'!E403="","缺少终点对象ID；","")&amp;IF(AND('04_路径网络'!D403&lt;&gt;"",'04_路径网络'!D403='04_路径网络'!E403),"起点与终点相同；","")&amp;IF(AND('04_路径网络'!D403&lt;&gt;"",COUNTIF('02_固定地理'!$A$2:$A$501,'04_路径网络'!D403)+COUNTIF('03_地点锚点'!$A$2:$A$501,'04_路径网络'!D403)+COUNTIF('06_建筑锚点'!$A$2:$A$501,'04_路径网络'!D403)=0),"起点引用对象不存在；","")&amp;IF(AND('04_路径网络'!E403&lt;&gt;"",COUNTIF('02_固定地理'!$A$2:$A$501,'04_路径网络'!E403)+COUNTIF('03_地点锚点'!$A$2:$A$501,'04_路径网络'!E403)+COUNTIF('06_建筑锚点'!$A$2:$A$501,'04_路径网络'!E403)=0),"终点引用对象不存在；","")&amp;IF(AND('04_路径网络'!F403&lt;&gt;"",COUNTIF('04_路径网络'!$A$2:$A$501,'04_路径网络'!F403)=0),"父级路径不存在；","")&amp;IF(AND('04_路径网络'!A403&lt;&gt;"",COUNTIF('04_路径网络'!$A$2:$A$501,'04_路径网络'!A403)&gt;1),"ID重复；",""),"")</f>
        <v/>
      </c>
      <c r="G1403" s="14">
        <f>IF(F1403&lt;&gt;"","按字段批注、数据字典和来源记录修正后复核","")</f>
        <v/>
      </c>
      <c r="H1403" s="14">
        <f>IF(F1403&lt;&gt;"","待处理","")</f>
        <v/>
      </c>
    </row>
    <row r="1404">
      <c r="A1404" s="14">
        <f>IF(F1404&lt;&gt;"","ISSUE-"&amp;TEXT(ROW()-1,"00000"),"")</f>
        <v/>
      </c>
      <c r="B1404" s="14">
        <f>IF(F1404&lt;&gt;"","错误","")</f>
        <v/>
      </c>
      <c r="C1404" s="14">
        <f>IF('04_路径网络'!A404&lt;&gt;"","04_路径网络","")</f>
        <v/>
      </c>
      <c r="D1404" s="14">
        <f>IF('04_路径网络'!A404&lt;&gt;"",'04_路径网络'!A404,"")</f>
        <v/>
      </c>
      <c r="E1404" s="14">
        <f>IF(F1404&lt;&gt;"","综合校验","")</f>
        <v/>
      </c>
      <c r="F1404" s="14">
        <f>IF('04_路径网络'!A404&lt;&gt;"",IF('04_路径网络'!A404="","缺少路径ID；","")&amp;IF('04_路径网络'!C404="","缺少路径类型；","")&amp;IF('04_路径网络'!D404="","缺少起点对象ID；","")&amp;IF('04_路径网络'!E404="","缺少终点对象ID；","")&amp;IF(AND('04_路径网络'!D404&lt;&gt;"",'04_路径网络'!D404='04_路径网络'!E404),"起点与终点相同；","")&amp;IF(AND('04_路径网络'!D404&lt;&gt;"",COUNTIF('02_固定地理'!$A$2:$A$501,'04_路径网络'!D404)+COUNTIF('03_地点锚点'!$A$2:$A$501,'04_路径网络'!D404)+COUNTIF('06_建筑锚点'!$A$2:$A$501,'04_路径网络'!D404)=0),"起点引用对象不存在；","")&amp;IF(AND('04_路径网络'!E404&lt;&gt;"",COUNTIF('02_固定地理'!$A$2:$A$501,'04_路径网络'!E404)+COUNTIF('03_地点锚点'!$A$2:$A$501,'04_路径网络'!E404)+COUNTIF('06_建筑锚点'!$A$2:$A$501,'04_路径网络'!E404)=0),"终点引用对象不存在；","")&amp;IF(AND('04_路径网络'!F404&lt;&gt;"",COUNTIF('04_路径网络'!$A$2:$A$501,'04_路径网络'!F404)=0),"父级路径不存在；","")&amp;IF(AND('04_路径网络'!A404&lt;&gt;"",COUNTIF('04_路径网络'!$A$2:$A$501,'04_路径网络'!A404)&gt;1),"ID重复；",""),"")</f>
        <v/>
      </c>
      <c r="G1404" s="14">
        <f>IF(F1404&lt;&gt;"","按字段批注、数据字典和来源记录修正后复核","")</f>
        <v/>
      </c>
      <c r="H1404" s="14">
        <f>IF(F1404&lt;&gt;"","待处理","")</f>
        <v/>
      </c>
    </row>
    <row r="1405">
      <c r="A1405" s="14">
        <f>IF(F1405&lt;&gt;"","ISSUE-"&amp;TEXT(ROW()-1,"00000"),"")</f>
        <v/>
      </c>
      <c r="B1405" s="14">
        <f>IF(F1405&lt;&gt;"","错误","")</f>
        <v/>
      </c>
      <c r="C1405" s="14">
        <f>IF('04_路径网络'!A405&lt;&gt;"","04_路径网络","")</f>
        <v/>
      </c>
      <c r="D1405" s="14">
        <f>IF('04_路径网络'!A405&lt;&gt;"",'04_路径网络'!A405,"")</f>
        <v/>
      </c>
      <c r="E1405" s="14">
        <f>IF(F1405&lt;&gt;"","综合校验","")</f>
        <v/>
      </c>
      <c r="F1405" s="14">
        <f>IF('04_路径网络'!A405&lt;&gt;"",IF('04_路径网络'!A405="","缺少路径ID；","")&amp;IF('04_路径网络'!C405="","缺少路径类型；","")&amp;IF('04_路径网络'!D405="","缺少起点对象ID；","")&amp;IF('04_路径网络'!E405="","缺少终点对象ID；","")&amp;IF(AND('04_路径网络'!D405&lt;&gt;"",'04_路径网络'!D405='04_路径网络'!E405),"起点与终点相同；","")&amp;IF(AND('04_路径网络'!D405&lt;&gt;"",COUNTIF('02_固定地理'!$A$2:$A$501,'04_路径网络'!D405)+COUNTIF('03_地点锚点'!$A$2:$A$501,'04_路径网络'!D405)+COUNTIF('06_建筑锚点'!$A$2:$A$501,'04_路径网络'!D405)=0),"起点引用对象不存在；","")&amp;IF(AND('04_路径网络'!E405&lt;&gt;"",COUNTIF('02_固定地理'!$A$2:$A$501,'04_路径网络'!E405)+COUNTIF('03_地点锚点'!$A$2:$A$501,'04_路径网络'!E405)+COUNTIF('06_建筑锚点'!$A$2:$A$501,'04_路径网络'!E405)=0),"终点引用对象不存在；","")&amp;IF(AND('04_路径网络'!F405&lt;&gt;"",COUNTIF('04_路径网络'!$A$2:$A$501,'04_路径网络'!F405)=0),"父级路径不存在；","")&amp;IF(AND('04_路径网络'!A405&lt;&gt;"",COUNTIF('04_路径网络'!$A$2:$A$501,'04_路径网络'!A405)&gt;1),"ID重复；",""),"")</f>
        <v/>
      </c>
      <c r="G1405" s="14">
        <f>IF(F1405&lt;&gt;"","按字段批注、数据字典和来源记录修正后复核","")</f>
        <v/>
      </c>
      <c r="H1405" s="14">
        <f>IF(F1405&lt;&gt;"","待处理","")</f>
        <v/>
      </c>
    </row>
    <row r="1406">
      <c r="A1406" s="14">
        <f>IF(F1406&lt;&gt;"","ISSUE-"&amp;TEXT(ROW()-1,"00000"),"")</f>
        <v/>
      </c>
      <c r="B1406" s="14">
        <f>IF(F1406&lt;&gt;"","错误","")</f>
        <v/>
      </c>
      <c r="C1406" s="14">
        <f>IF('04_路径网络'!A406&lt;&gt;"","04_路径网络","")</f>
        <v/>
      </c>
      <c r="D1406" s="14">
        <f>IF('04_路径网络'!A406&lt;&gt;"",'04_路径网络'!A406,"")</f>
        <v/>
      </c>
      <c r="E1406" s="14">
        <f>IF(F1406&lt;&gt;"","综合校验","")</f>
        <v/>
      </c>
      <c r="F1406" s="14">
        <f>IF('04_路径网络'!A406&lt;&gt;"",IF('04_路径网络'!A406="","缺少路径ID；","")&amp;IF('04_路径网络'!C406="","缺少路径类型；","")&amp;IF('04_路径网络'!D406="","缺少起点对象ID；","")&amp;IF('04_路径网络'!E406="","缺少终点对象ID；","")&amp;IF(AND('04_路径网络'!D406&lt;&gt;"",'04_路径网络'!D406='04_路径网络'!E406),"起点与终点相同；","")&amp;IF(AND('04_路径网络'!D406&lt;&gt;"",COUNTIF('02_固定地理'!$A$2:$A$501,'04_路径网络'!D406)+COUNTIF('03_地点锚点'!$A$2:$A$501,'04_路径网络'!D406)+COUNTIF('06_建筑锚点'!$A$2:$A$501,'04_路径网络'!D406)=0),"起点引用对象不存在；","")&amp;IF(AND('04_路径网络'!E406&lt;&gt;"",COUNTIF('02_固定地理'!$A$2:$A$501,'04_路径网络'!E406)+COUNTIF('03_地点锚点'!$A$2:$A$501,'04_路径网络'!E406)+COUNTIF('06_建筑锚点'!$A$2:$A$501,'04_路径网络'!E406)=0),"终点引用对象不存在；","")&amp;IF(AND('04_路径网络'!F406&lt;&gt;"",COUNTIF('04_路径网络'!$A$2:$A$501,'04_路径网络'!F406)=0),"父级路径不存在；","")&amp;IF(AND('04_路径网络'!A406&lt;&gt;"",COUNTIF('04_路径网络'!$A$2:$A$501,'04_路径网络'!A406)&gt;1),"ID重复；",""),"")</f>
        <v/>
      </c>
      <c r="G1406" s="14">
        <f>IF(F1406&lt;&gt;"","按字段批注、数据字典和来源记录修正后复核","")</f>
        <v/>
      </c>
      <c r="H1406" s="14">
        <f>IF(F1406&lt;&gt;"","待处理","")</f>
        <v/>
      </c>
    </row>
    <row r="1407">
      <c r="A1407" s="14">
        <f>IF(F1407&lt;&gt;"","ISSUE-"&amp;TEXT(ROW()-1,"00000"),"")</f>
        <v/>
      </c>
      <c r="B1407" s="14">
        <f>IF(F1407&lt;&gt;"","错误","")</f>
        <v/>
      </c>
      <c r="C1407" s="14">
        <f>IF('04_路径网络'!A407&lt;&gt;"","04_路径网络","")</f>
        <v/>
      </c>
      <c r="D1407" s="14">
        <f>IF('04_路径网络'!A407&lt;&gt;"",'04_路径网络'!A407,"")</f>
        <v/>
      </c>
      <c r="E1407" s="14">
        <f>IF(F1407&lt;&gt;"","综合校验","")</f>
        <v/>
      </c>
      <c r="F1407" s="14">
        <f>IF('04_路径网络'!A407&lt;&gt;"",IF('04_路径网络'!A407="","缺少路径ID；","")&amp;IF('04_路径网络'!C407="","缺少路径类型；","")&amp;IF('04_路径网络'!D407="","缺少起点对象ID；","")&amp;IF('04_路径网络'!E407="","缺少终点对象ID；","")&amp;IF(AND('04_路径网络'!D407&lt;&gt;"",'04_路径网络'!D407='04_路径网络'!E407),"起点与终点相同；","")&amp;IF(AND('04_路径网络'!D407&lt;&gt;"",COUNTIF('02_固定地理'!$A$2:$A$501,'04_路径网络'!D407)+COUNTIF('03_地点锚点'!$A$2:$A$501,'04_路径网络'!D407)+COUNTIF('06_建筑锚点'!$A$2:$A$501,'04_路径网络'!D407)=0),"起点引用对象不存在；","")&amp;IF(AND('04_路径网络'!E407&lt;&gt;"",COUNTIF('02_固定地理'!$A$2:$A$501,'04_路径网络'!E407)+COUNTIF('03_地点锚点'!$A$2:$A$501,'04_路径网络'!E407)+COUNTIF('06_建筑锚点'!$A$2:$A$501,'04_路径网络'!E407)=0),"终点引用对象不存在；","")&amp;IF(AND('04_路径网络'!F407&lt;&gt;"",COUNTIF('04_路径网络'!$A$2:$A$501,'04_路径网络'!F407)=0),"父级路径不存在；","")&amp;IF(AND('04_路径网络'!A407&lt;&gt;"",COUNTIF('04_路径网络'!$A$2:$A$501,'04_路径网络'!A407)&gt;1),"ID重复；",""),"")</f>
        <v/>
      </c>
      <c r="G1407" s="14">
        <f>IF(F1407&lt;&gt;"","按字段批注、数据字典和来源记录修正后复核","")</f>
        <v/>
      </c>
      <c r="H1407" s="14">
        <f>IF(F1407&lt;&gt;"","待处理","")</f>
        <v/>
      </c>
    </row>
    <row r="1408">
      <c r="A1408" s="14">
        <f>IF(F1408&lt;&gt;"","ISSUE-"&amp;TEXT(ROW()-1,"00000"),"")</f>
        <v/>
      </c>
      <c r="B1408" s="14">
        <f>IF(F1408&lt;&gt;"","错误","")</f>
        <v/>
      </c>
      <c r="C1408" s="14">
        <f>IF('04_路径网络'!A408&lt;&gt;"","04_路径网络","")</f>
        <v/>
      </c>
      <c r="D1408" s="14">
        <f>IF('04_路径网络'!A408&lt;&gt;"",'04_路径网络'!A408,"")</f>
        <v/>
      </c>
      <c r="E1408" s="14">
        <f>IF(F1408&lt;&gt;"","综合校验","")</f>
        <v/>
      </c>
      <c r="F1408" s="14">
        <f>IF('04_路径网络'!A408&lt;&gt;"",IF('04_路径网络'!A408="","缺少路径ID；","")&amp;IF('04_路径网络'!C408="","缺少路径类型；","")&amp;IF('04_路径网络'!D408="","缺少起点对象ID；","")&amp;IF('04_路径网络'!E408="","缺少终点对象ID；","")&amp;IF(AND('04_路径网络'!D408&lt;&gt;"",'04_路径网络'!D408='04_路径网络'!E408),"起点与终点相同；","")&amp;IF(AND('04_路径网络'!D408&lt;&gt;"",COUNTIF('02_固定地理'!$A$2:$A$501,'04_路径网络'!D408)+COUNTIF('03_地点锚点'!$A$2:$A$501,'04_路径网络'!D408)+COUNTIF('06_建筑锚点'!$A$2:$A$501,'04_路径网络'!D408)=0),"起点引用对象不存在；","")&amp;IF(AND('04_路径网络'!E408&lt;&gt;"",COUNTIF('02_固定地理'!$A$2:$A$501,'04_路径网络'!E408)+COUNTIF('03_地点锚点'!$A$2:$A$501,'04_路径网络'!E408)+COUNTIF('06_建筑锚点'!$A$2:$A$501,'04_路径网络'!E408)=0),"终点引用对象不存在；","")&amp;IF(AND('04_路径网络'!F408&lt;&gt;"",COUNTIF('04_路径网络'!$A$2:$A$501,'04_路径网络'!F408)=0),"父级路径不存在；","")&amp;IF(AND('04_路径网络'!A408&lt;&gt;"",COUNTIF('04_路径网络'!$A$2:$A$501,'04_路径网络'!A408)&gt;1),"ID重复；",""),"")</f>
        <v/>
      </c>
      <c r="G1408" s="14">
        <f>IF(F1408&lt;&gt;"","按字段批注、数据字典和来源记录修正后复核","")</f>
        <v/>
      </c>
      <c r="H1408" s="14">
        <f>IF(F1408&lt;&gt;"","待处理","")</f>
        <v/>
      </c>
    </row>
    <row r="1409">
      <c r="A1409" s="14">
        <f>IF(F1409&lt;&gt;"","ISSUE-"&amp;TEXT(ROW()-1,"00000"),"")</f>
        <v/>
      </c>
      <c r="B1409" s="14">
        <f>IF(F1409&lt;&gt;"","错误","")</f>
        <v/>
      </c>
      <c r="C1409" s="14">
        <f>IF('04_路径网络'!A409&lt;&gt;"","04_路径网络","")</f>
        <v/>
      </c>
      <c r="D1409" s="14">
        <f>IF('04_路径网络'!A409&lt;&gt;"",'04_路径网络'!A409,"")</f>
        <v/>
      </c>
      <c r="E1409" s="14">
        <f>IF(F1409&lt;&gt;"","综合校验","")</f>
        <v/>
      </c>
      <c r="F1409" s="14">
        <f>IF('04_路径网络'!A409&lt;&gt;"",IF('04_路径网络'!A409="","缺少路径ID；","")&amp;IF('04_路径网络'!C409="","缺少路径类型；","")&amp;IF('04_路径网络'!D409="","缺少起点对象ID；","")&amp;IF('04_路径网络'!E409="","缺少终点对象ID；","")&amp;IF(AND('04_路径网络'!D409&lt;&gt;"",'04_路径网络'!D409='04_路径网络'!E409),"起点与终点相同；","")&amp;IF(AND('04_路径网络'!D409&lt;&gt;"",COUNTIF('02_固定地理'!$A$2:$A$501,'04_路径网络'!D409)+COUNTIF('03_地点锚点'!$A$2:$A$501,'04_路径网络'!D409)+COUNTIF('06_建筑锚点'!$A$2:$A$501,'04_路径网络'!D409)=0),"起点引用对象不存在；","")&amp;IF(AND('04_路径网络'!E409&lt;&gt;"",COUNTIF('02_固定地理'!$A$2:$A$501,'04_路径网络'!E409)+COUNTIF('03_地点锚点'!$A$2:$A$501,'04_路径网络'!E409)+COUNTIF('06_建筑锚点'!$A$2:$A$501,'04_路径网络'!E409)=0),"终点引用对象不存在；","")&amp;IF(AND('04_路径网络'!F409&lt;&gt;"",COUNTIF('04_路径网络'!$A$2:$A$501,'04_路径网络'!F409)=0),"父级路径不存在；","")&amp;IF(AND('04_路径网络'!A409&lt;&gt;"",COUNTIF('04_路径网络'!$A$2:$A$501,'04_路径网络'!A409)&gt;1),"ID重复；",""),"")</f>
        <v/>
      </c>
      <c r="G1409" s="14">
        <f>IF(F1409&lt;&gt;"","按字段批注、数据字典和来源记录修正后复核","")</f>
        <v/>
      </c>
      <c r="H1409" s="14">
        <f>IF(F1409&lt;&gt;"","待处理","")</f>
        <v/>
      </c>
    </row>
    <row r="1410">
      <c r="A1410" s="14">
        <f>IF(F1410&lt;&gt;"","ISSUE-"&amp;TEXT(ROW()-1,"00000"),"")</f>
        <v/>
      </c>
      <c r="B1410" s="14">
        <f>IF(F1410&lt;&gt;"","错误","")</f>
        <v/>
      </c>
      <c r="C1410" s="14">
        <f>IF('04_路径网络'!A410&lt;&gt;"","04_路径网络","")</f>
        <v/>
      </c>
      <c r="D1410" s="14">
        <f>IF('04_路径网络'!A410&lt;&gt;"",'04_路径网络'!A410,"")</f>
        <v/>
      </c>
      <c r="E1410" s="14">
        <f>IF(F1410&lt;&gt;"","综合校验","")</f>
        <v/>
      </c>
      <c r="F1410" s="14">
        <f>IF('04_路径网络'!A410&lt;&gt;"",IF('04_路径网络'!A410="","缺少路径ID；","")&amp;IF('04_路径网络'!C410="","缺少路径类型；","")&amp;IF('04_路径网络'!D410="","缺少起点对象ID；","")&amp;IF('04_路径网络'!E410="","缺少终点对象ID；","")&amp;IF(AND('04_路径网络'!D410&lt;&gt;"",'04_路径网络'!D410='04_路径网络'!E410),"起点与终点相同；","")&amp;IF(AND('04_路径网络'!D410&lt;&gt;"",COUNTIF('02_固定地理'!$A$2:$A$501,'04_路径网络'!D410)+COUNTIF('03_地点锚点'!$A$2:$A$501,'04_路径网络'!D410)+COUNTIF('06_建筑锚点'!$A$2:$A$501,'04_路径网络'!D410)=0),"起点引用对象不存在；","")&amp;IF(AND('04_路径网络'!E410&lt;&gt;"",COUNTIF('02_固定地理'!$A$2:$A$501,'04_路径网络'!E410)+COUNTIF('03_地点锚点'!$A$2:$A$501,'04_路径网络'!E410)+COUNTIF('06_建筑锚点'!$A$2:$A$501,'04_路径网络'!E410)=0),"终点引用对象不存在；","")&amp;IF(AND('04_路径网络'!F410&lt;&gt;"",COUNTIF('04_路径网络'!$A$2:$A$501,'04_路径网络'!F410)=0),"父级路径不存在；","")&amp;IF(AND('04_路径网络'!A410&lt;&gt;"",COUNTIF('04_路径网络'!$A$2:$A$501,'04_路径网络'!A410)&gt;1),"ID重复；",""),"")</f>
        <v/>
      </c>
      <c r="G1410" s="14">
        <f>IF(F1410&lt;&gt;"","按字段批注、数据字典和来源记录修正后复核","")</f>
        <v/>
      </c>
      <c r="H1410" s="14">
        <f>IF(F1410&lt;&gt;"","待处理","")</f>
        <v/>
      </c>
    </row>
    <row r="1411">
      <c r="A1411" s="14">
        <f>IF(F1411&lt;&gt;"","ISSUE-"&amp;TEXT(ROW()-1,"00000"),"")</f>
        <v/>
      </c>
      <c r="B1411" s="14">
        <f>IF(F1411&lt;&gt;"","错误","")</f>
        <v/>
      </c>
      <c r="C1411" s="14">
        <f>IF('04_路径网络'!A411&lt;&gt;"","04_路径网络","")</f>
        <v/>
      </c>
      <c r="D1411" s="14">
        <f>IF('04_路径网络'!A411&lt;&gt;"",'04_路径网络'!A411,"")</f>
        <v/>
      </c>
      <c r="E1411" s="14">
        <f>IF(F1411&lt;&gt;"","综合校验","")</f>
        <v/>
      </c>
      <c r="F1411" s="14">
        <f>IF('04_路径网络'!A411&lt;&gt;"",IF('04_路径网络'!A411="","缺少路径ID；","")&amp;IF('04_路径网络'!C411="","缺少路径类型；","")&amp;IF('04_路径网络'!D411="","缺少起点对象ID；","")&amp;IF('04_路径网络'!E411="","缺少终点对象ID；","")&amp;IF(AND('04_路径网络'!D411&lt;&gt;"",'04_路径网络'!D411='04_路径网络'!E411),"起点与终点相同；","")&amp;IF(AND('04_路径网络'!D411&lt;&gt;"",COUNTIF('02_固定地理'!$A$2:$A$501,'04_路径网络'!D411)+COUNTIF('03_地点锚点'!$A$2:$A$501,'04_路径网络'!D411)+COUNTIF('06_建筑锚点'!$A$2:$A$501,'04_路径网络'!D411)=0),"起点引用对象不存在；","")&amp;IF(AND('04_路径网络'!E411&lt;&gt;"",COUNTIF('02_固定地理'!$A$2:$A$501,'04_路径网络'!E411)+COUNTIF('03_地点锚点'!$A$2:$A$501,'04_路径网络'!E411)+COUNTIF('06_建筑锚点'!$A$2:$A$501,'04_路径网络'!E411)=0),"终点引用对象不存在；","")&amp;IF(AND('04_路径网络'!F411&lt;&gt;"",COUNTIF('04_路径网络'!$A$2:$A$501,'04_路径网络'!F411)=0),"父级路径不存在；","")&amp;IF(AND('04_路径网络'!A411&lt;&gt;"",COUNTIF('04_路径网络'!$A$2:$A$501,'04_路径网络'!A411)&gt;1),"ID重复；",""),"")</f>
        <v/>
      </c>
      <c r="G1411" s="14">
        <f>IF(F1411&lt;&gt;"","按字段批注、数据字典和来源记录修正后复核","")</f>
        <v/>
      </c>
      <c r="H1411" s="14">
        <f>IF(F1411&lt;&gt;"","待处理","")</f>
        <v/>
      </c>
    </row>
    <row r="1412">
      <c r="A1412" s="14">
        <f>IF(F1412&lt;&gt;"","ISSUE-"&amp;TEXT(ROW()-1,"00000"),"")</f>
        <v/>
      </c>
      <c r="B1412" s="14">
        <f>IF(F1412&lt;&gt;"","错误","")</f>
        <v/>
      </c>
      <c r="C1412" s="14">
        <f>IF('04_路径网络'!A412&lt;&gt;"","04_路径网络","")</f>
        <v/>
      </c>
      <c r="D1412" s="14">
        <f>IF('04_路径网络'!A412&lt;&gt;"",'04_路径网络'!A412,"")</f>
        <v/>
      </c>
      <c r="E1412" s="14">
        <f>IF(F1412&lt;&gt;"","综合校验","")</f>
        <v/>
      </c>
      <c r="F1412" s="14">
        <f>IF('04_路径网络'!A412&lt;&gt;"",IF('04_路径网络'!A412="","缺少路径ID；","")&amp;IF('04_路径网络'!C412="","缺少路径类型；","")&amp;IF('04_路径网络'!D412="","缺少起点对象ID；","")&amp;IF('04_路径网络'!E412="","缺少终点对象ID；","")&amp;IF(AND('04_路径网络'!D412&lt;&gt;"",'04_路径网络'!D412='04_路径网络'!E412),"起点与终点相同；","")&amp;IF(AND('04_路径网络'!D412&lt;&gt;"",COUNTIF('02_固定地理'!$A$2:$A$501,'04_路径网络'!D412)+COUNTIF('03_地点锚点'!$A$2:$A$501,'04_路径网络'!D412)+COUNTIF('06_建筑锚点'!$A$2:$A$501,'04_路径网络'!D412)=0),"起点引用对象不存在；","")&amp;IF(AND('04_路径网络'!E412&lt;&gt;"",COUNTIF('02_固定地理'!$A$2:$A$501,'04_路径网络'!E412)+COUNTIF('03_地点锚点'!$A$2:$A$501,'04_路径网络'!E412)+COUNTIF('06_建筑锚点'!$A$2:$A$501,'04_路径网络'!E412)=0),"终点引用对象不存在；","")&amp;IF(AND('04_路径网络'!F412&lt;&gt;"",COUNTIF('04_路径网络'!$A$2:$A$501,'04_路径网络'!F412)=0),"父级路径不存在；","")&amp;IF(AND('04_路径网络'!A412&lt;&gt;"",COUNTIF('04_路径网络'!$A$2:$A$501,'04_路径网络'!A412)&gt;1),"ID重复；",""),"")</f>
        <v/>
      </c>
      <c r="G1412" s="14">
        <f>IF(F1412&lt;&gt;"","按字段批注、数据字典和来源记录修正后复核","")</f>
        <v/>
      </c>
      <c r="H1412" s="14">
        <f>IF(F1412&lt;&gt;"","待处理","")</f>
        <v/>
      </c>
    </row>
    <row r="1413">
      <c r="A1413" s="14">
        <f>IF(F1413&lt;&gt;"","ISSUE-"&amp;TEXT(ROW()-1,"00000"),"")</f>
        <v/>
      </c>
      <c r="B1413" s="14">
        <f>IF(F1413&lt;&gt;"","错误","")</f>
        <v/>
      </c>
      <c r="C1413" s="14">
        <f>IF('04_路径网络'!A413&lt;&gt;"","04_路径网络","")</f>
        <v/>
      </c>
      <c r="D1413" s="14">
        <f>IF('04_路径网络'!A413&lt;&gt;"",'04_路径网络'!A413,"")</f>
        <v/>
      </c>
      <c r="E1413" s="14">
        <f>IF(F1413&lt;&gt;"","综合校验","")</f>
        <v/>
      </c>
      <c r="F1413" s="14">
        <f>IF('04_路径网络'!A413&lt;&gt;"",IF('04_路径网络'!A413="","缺少路径ID；","")&amp;IF('04_路径网络'!C413="","缺少路径类型；","")&amp;IF('04_路径网络'!D413="","缺少起点对象ID；","")&amp;IF('04_路径网络'!E413="","缺少终点对象ID；","")&amp;IF(AND('04_路径网络'!D413&lt;&gt;"",'04_路径网络'!D413='04_路径网络'!E413),"起点与终点相同；","")&amp;IF(AND('04_路径网络'!D413&lt;&gt;"",COUNTIF('02_固定地理'!$A$2:$A$501,'04_路径网络'!D413)+COUNTIF('03_地点锚点'!$A$2:$A$501,'04_路径网络'!D413)+COUNTIF('06_建筑锚点'!$A$2:$A$501,'04_路径网络'!D413)=0),"起点引用对象不存在；","")&amp;IF(AND('04_路径网络'!E413&lt;&gt;"",COUNTIF('02_固定地理'!$A$2:$A$501,'04_路径网络'!E413)+COUNTIF('03_地点锚点'!$A$2:$A$501,'04_路径网络'!E413)+COUNTIF('06_建筑锚点'!$A$2:$A$501,'04_路径网络'!E413)=0),"终点引用对象不存在；","")&amp;IF(AND('04_路径网络'!F413&lt;&gt;"",COUNTIF('04_路径网络'!$A$2:$A$501,'04_路径网络'!F413)=0),"父级路径不存在；","")&amp;IF(AND('04_路径网络'!A413&lt;&gt;"",COUNTIF('04_路径网络'!$A$2:$A$501,'04_路径网络'!A413)&gt;1),"ID重复；",""),"")</f>
        <v/>
      </c>
      <c r="G1413" s="14">
        <f>IF(F1413&lt;&gt;"","按字段批注、数据字典和来源记录修正后复核","")</f>
        <v/>
      </c>
      <c r="H1413" s="14">
        <f>IF(F1413&lt;&gt;"","待处理","")</f>
        <v/>
      </c>
    </row>
    <row r="1414">
      <c r="A1414" s="14">
        <f>IF(F1414&lt;&gt;"","ISSUE-"&amp;TEXT(ROW()-1,"00000"),"")</f>
        <v/>
      </c>
      <c r="B1414" s="14">
        <f>IF(F1414&lt;&gt;"","错误","")</f>
        <v/>
      </c>
      <c r="C1414" s="14">
        <f>IF('04_路径网络'!A414&lt;&gt;"","04_路径网络","")</f>
        <v/>
      </c>
      <c r="D1414" s="14">
        <f>IF('04_路径网络'!A414&lt;&gt;"",'04_路径网络'!A414,"")</f>
        <v/>
      </c>
      <c r="E1414" s="14">
        <f>IF(F1414&lt;&gt;"","综合校验","")</f>
        <v/>
      </c>
      <c r="F1414" s="14">
        <f>IF('04_路径网络'!A414&lt;&gt;"",IF('04_路径网络'!A414="","缺少路径ID；","")&amp;IF('04_路径网络'!C414="","缺少路径类型；","")&amp;IF('04_路径网络'!D414="","缺少起点对象ID；","")&amp;IF('04_路径网络'!E414="","缺少终点对象ID；","")&amp;IF(AND('04_路径网络'!D414&lt;&gt;"",'04_路径网络'!D414='04_路径网络'!E414),"起点与终点相同；","")&amp;IF(AND('04_路径网络'!D414&lt;&gt;"",COUNTIF('02_固定地理'!$A$2:$A$501,'04_路径网络'!D414)+COUNTIF('03_地点锚点'!$A$2:$A$501,'04_路径网络'!D414)+COUNTIF('06_建筑锚点'!$A$2:$A$501,'04_路径网络'!D414)=0),"起点引用对象不存在；","")&amp;IF(AND('04_路径网络'!E414&lt;&gt;"",COUNTIF('02_固定地理'!$A$2:$A$501,'04_路径网络'!E414)+COUNTIF('03_地点锚点'!$A$2:$A$501,'04_路径网络'!E414)+COUNTIF('06_建筑锚点'!$A$2:$A$501,'04_路径网络'!E414)=0),"终点引用对象不存在；","")&amp;IF(AND('04_路径网络'!F414&lt;&gt;"",COUNTIF('04_路径网络'!$A$2:$A$501,'04_路径网络'!F414)=0),"父级路径不存在；","")&amp;IF(AND('04_路径网络'!A414&lt;&gt;"",COUNTIF('04_路径网络'!$A$2:$A$501,'04_路径网络'!A414)&gt;1),"ID重复；",""),"")</f>
        <v/>
      </c>
      <c r="G1414" s="14">
        <f>IF(F1414&lt;&gt;"","按字段批注、数据字典和来源记录修正后复核","")</f>
        <v/>
      </c>
      <c r="H1414" s="14">
        <f>IF(F1414&lt;&gt;"","待处理","")</f>
        <v/>
      </c>
    </row>
    <row r="1415">
      <c r="A1415" s="14">
        <f>IF(F1415&lt;&gt;"","ISSUE-"&amp;TEXT(ROW()-1,"00000"),"")</f>
        <v/>
      </c>
      <c r="B1415" s="14">
        <f>IF(F1415&lt;&gt;"","错误","")</f>
        <v/>
      </c>
      <c r="C1415" s="14">
        <f>IF('04_路径网络'!A415&lt;&gt;"","04_路径网络","")</f>
        <v/>
      </c>
      <c r="D1415" s="14">
        <f>IF('04_路径网络'!A415&lt;&gt;"",'04_路径网络'!A415,"")</f>
        <v/>
      </c>
      <c r="E1415" s="14">
        <f>IF(F1415&lt;&gt;"","综合校验","")</f>
        <v/>
      </c>
      <c r="F1415" s="14">
        <f>IF('04_路径网络'!A415&lt;&gt;"",IF('04_路径网络'!A415="","缺少路径ID；","")&amp;IF('04_路径网络'!C415="","缺少路径类型；","")&amp;IF('04_路径网络'!D415="","缺少起点对象ID；","")&amp;IF('04_路径网络'!E415="","缺少终点对象ID；","")&amp;IF(AND('04_路径网络'!D415&lt;&gt;"",'04_路径网络'!D415='04_路径网络'!E415),"起点与终点相同；","")&amp;IF(AND('04_路径网络'!D415&lt;&gt;"",COUNTIF('02_固定地理'!$A$2:$A$501,'04_路径网络'!D415)+COUNTIF('03_地点锚点'!$A$2:$A$501,'04_路径网络'!D415)+COUNTIF('06_建筑锚点'!$A$2:$A$501,'04_路径网络'!D415)=0),"起点引用对象不存在；","")&amp;IF(AND('04_路径网络'!E415&lt;&gt;"",COUNTIF('02_固定地理'!$A$2:$A$501,'04_路径网络'!E415)+COUNTIF('03_地点锚点'!$A$2:$A$501,'04_路径网络'!E415)+COUNTIF('06_建筑锚点'!$A$2:$A$501,'04_路径网络'!E415)=0),"终点引用对象不存在；","")&amp;IF(AND('04_路径网络'!F415&lt;&gt;"",COUNTIF('04_路径网络'!$A$2:$A$501,'04_路径网络'!F415)=0),"父级路径不存在；","")&amp;IF(AND('04_路径网络'!A415&lt;&gt;"",COUNTIF('04_路径网络'!$A$2:$A$501,'04_路径网络'!A415)&gt;1),"ID重复；",""),"")</f>
        <v/>
      </c>
      <c r="G1415" s="14">
        <f>IF(F1415&lt;&gt;"","按字段批注、数据字典和来源记录修正后复核","")</f>
        <v/>
      </c>
      <c r="H1415" s="14">
        <f>IF(F1415&lt;&gt;"","待处理","")</f>
        <v/>
      </c>
    </row>
    <row r="1416">
      <c r="A1416" s="14">
        <f>IF(F1416&lt;&gt;"","ISSUE-"&amp;TEXT(ROW()-1,"00000"),"")</f>
        <v/>
      </c>
      <c r="B1416" s="14">
        <f>IF(F1416&lt;&gt;"","错误","")</f>
        <v/>
      </c>
      <c r="C1416" s="14">
        <f>IF('04_路径网络'!A416&lt;&gt;"","04_路径网络","")</f>
        <v/>
      </c>
      <c r="D1416" s="14">
        <f>IF('04_路径网络'!A416&lt;&gt;"",'04_路径网络'!A416,"")</f>
        <v/>
      </c>
      <c r="E1416" s="14">
        <f>IF(F1416&lt;&gt;"","综合校验","")</f>
        <v/>
      </c>
      <c r="F1416" s="14">
        <f>IF('04_路径网络'!A416&lt;&gt;"",IF('04_路径网络'!A416="","缺少路径ID；","")&amp;IF('04_路径网络'!C416="","缺少路径类型；","")&amp;IF('04_路径网络'!D416="","缺少起点对象ID；","")&amp;IF('04_路径网络'!E416="","缺少终点对象ID；","")&amp;IF(AND('04_路径网络'!D416&lt;&gt;"",'04_路径网络'!D416='04_路径网络'!E416),"起点与终点相同；","")&amp;IF(AND('04_路径网络'!D416&lt;&gt;"",COUNTIF('02_固定地理'!$A$2:$A$501,'04_路径网络'!D416)+COUNTIF('03_地点锚点'!$A$2:$A$501,'04_路径网络'!D416)+COUNTIF('06_建筑锚点'!$A$2:$A$501,'04_路径网络'!D416)=0),"起点引用对象不存在；","")&amp;IF(AND('04_路径网络'!E416&lt;&gt;"",COUNTIF('02_固定地理'!$A$2:$A$501,'04_路径网络'!E416)+COUNTIF('03_地点锚点'!$A$2:$A$501,'04_路径网络'!E416)+COUNTIF('06_建筑锚点'!$A$2:$A$501,'04_路径网络'!E416)=0),"终点引用对象不存在；","")&amp;IF(AND('04_路径网络'!F416&lt;&gt;"",COUNTIF('04_路径网络'!$A$2:$A$501,'04_路径网络'!F416)=0),"父级路径不存在；","")&amp;IF(AND('04_路径网络'!A416&lt;&gt;"",COUNTIF('04_路径网络'!$A$2:$A$501,'04_路径网络'!A416)&gt;1),"ID重复；",""),"")</f>
        <v/>
      </c>
      <c r="G1416" s="14">
        <f>IF(F1416&lt;&gt;"","按字段批注、数据字典和来源记录修正后复核","")</f>
        <v/>
      </c>
      <c r="H1416" s="14">
        <f>IF(F1416&lt;&gt;"","待处理","")</f>
        <v/>
      </c>
    </row>
    <row r="1417">
      <c r="A1417" s="14">
        <f>IF(F1417&lt;&gt;"","ISSUE-"&amp;TEXT(ROW()-1,"00000"),"")</f>
        <v/>
      </c>
      <c r="B1417" s="14">
        <f>IF(F1417&lt;&gt;"","错误","")</f>
        <v/>
      </c>
      <c r="C1417" s="14">
        <f>IF('04_路径网络'!A417&lt;&gt;"","04_路径网络","")</f>
        <v/>
      </c>
      <c r="D1417" s="14">
        <f>IF('04_路径网络'!A417&lt;&gt;"",'04_路径网络'!A417,"")</f>
        <v/>
      </c>
      <c r="E1417" s="14">
        <f>IF(F1417&lt;&gt;"","综合校验","")</f>
        <v/>
      </c>
      <c r="F1417" s="14">
        <f>IF('04_路径网络'!A417&lt;&gt;"",IF('04_路径网络'!A417="","缺少路径ID；","")&amp;IF('04_路径网络'!C417="","缺少路径类型；","")&amp;IF('04_路径网络'!D417="","缺少起点对象ID；","")&amp;IF('04_路径网络'!E417="","缺少终点对象ID；","")&amp;IF(AND('04_路径网络'!D417&lt;&gt;"",'04_路径网络'!D417='04_路径网络'!E417),"起点与终点相同；","")&amp;IF(AND('04_路径网络'!D417&lt;&gt;"",COUNTIF('02_固定地理'!$A$2:$A$501,'04_路径网络'!D417)+COUNTIF('03_地点锚点'!$A$2:$A$501,'04_路径网络'!D417)+COUNTIF('06_建筑锚点'!$A$2:$A$501,'04_路径网络'!D417)=0),"起点引用对象不存在；","")&amp;IF(AND('04_路径网络'!E417&lt;&gt;"",COUNTIF('02_固定地理'!$A$2:$A$501,'04_路径网络'!E417)+COUNTIF('03_地点锚点'!$A$2:$A$501,'04_路径网络'!E417)+COUNTIF('06_建筑锚点'!$A$2:$A$501,'04_路径网络'!E417)=0),"终点引用对象不存在；","")&amp;IF(AND('04_路径网络'!F417&lt;&gt;"",COUNTIF('04_路径网络'!$A$2:$A$501,'04_路径网络'!F417)=0),"父级路径不存在；","")&amp;IF(AND('04_路径网络'!A417&lt;&gt;"",COUNTIF('04_路径网络'!$A$2:$A$501,'04_路径网络'!A417)&gt;1),"ID重复；",""),"")</f>
        <v/>
      </c>
      <c r="G1417" s="14">
        <f>IF(F1417&lt;&gt;"","按字段批注、数据字典和来源记录修正后复核","")</f>
        <v/>
      </c>
      <c r="H1417" s="14">
        <f>IF(F1417&lt;&gt;"","待处理","")</f>
        <v/>
      </c>
    </row>
    <row r="1418">
      <c r="A1418" s="14">
        <f>IF(F1418&lt;&gt;"","ISSUE-"&amp;TEXT(ROW()-1,"00000"),"")</f>
        <v/>
      </c>
      <c r="B1418" s="14">
        <f>IF(F1418&lt;&gt;"","错误","")</f>
        <v/>
      </c>
      <c r="C1418" s="14">
        <f>IF('04_路径网络'!A418&lt;&gt;"","04_路径网络","")</f>
        <v/>
      </c>
      <c r="D1418" s="14">
        <f>IF('04_路径网络'!A418&lt;&gt;"",'04_路径网络'!A418,"")</f>
        <v/>
      </c>
      <c r="E1418" s="14">
        <f>IF(F1418&lt;&gt;"","综合校验","")</f>
        <v/>
      </c>
      <c r="F1418" s="14">
        <f>IF('04_路径网络'!A418&lt;&gt;"",IF('04_路径网络'!A418="","缺少路径ID；","")&amp;IF('04_路径网络'!C418="","缺少路径类型；","")&amp;IF('04_路径网络'!D418="","缺少起点对象ID；","")&amp;IF('04_路径网络'!E418="","缺少终点对象ID；","")&amp;IF(AND('04_路径网络'!D418&lt;&gt;"",'04_路径网络'!D418='04_路径网络'!E418),"起点与终点相同；","")&amp;IF(AND('04_路径网络'!D418&lt;&gt;"",COUNTIF('02_固定地理'!$A$2:$A$501,'04_路径网络'!D418)+COUNTIF('03_地点锚点'!$A$2:$A$501,'04_路径网络'!D418)+COUNTIF('06_建筑锚点'!$A$2:$A$501,'04_路径网络'!D418)=0),"起点引用对象不存在；","")&amp;IF(AND('04_路径网络'!E418&lt;&gt;"",COUNTIF('02_固定地理'!$A$2:$A$501,'04_路径网络'!E418)+COUNTIF('03_地点锚点'!$A$2:$A$501,'04_路径网络'!E418)+COUNTIF('06_建筑锚点'!$A$2:$A$501,'04_路径网络'!E418)=0),"终点引用对象不存在；","")&amp;IF(AND('04_路径网络'!F418&lt;&gt;"",COUNTIF('04_路径网络'!$A$2:$A$501,'04_路径网络'!F418)=0),"父级路径不存在；","")&amp;IF(AND('04_路径网络'!A418&lt;&gt;"",COUNTIF('04_路径网络'!$A$2:$A$501,'04_路径网络'!A418)&gt;1),"ID重复；",""),"")</f>
        <v/>
      </c>
      <c r="G1418" s="14">
        <f>IF(F1418&lt;&gt;"","按字段批注、数据字典和来源记录修正后复核","")</f>
        <v/>
      </c>
      <c r="H1418" s="14">
        <f>IF(F1418&lt;&gt;"","待处理","")</f>
        <v/>
      </c>
    </row>
    <row r="1419">
      <c r="A1419" s="14">
        <f>IF(F1419&lt;&gt;"","ISSUE-"&amp;TEXT(ROW()-1,"00000"),"")</f>
        <v/>
      </c>
      <c r="B1419" s="14">
        <f>IF(F1419&lt;&gt;"","错误","")</f>
        <v/>
      </c>
      <c r="C1419" s="14">
        <f>IF('04_路径网络'!A419&lt;&gt;"","04_路径网络","")</f>
        <v/>
      </c>
      <c r="D1419" s="14">
        <f>IF('04_路径网络'!A419&lt;&gt;"",'04_路径网络'!A419,"")</f>
        <v/>
      </c>
      <c r="E1419" s="14">
        <f>IF(F1419&lt;&gt;"","综合校验","")</f>
        <v/>
      </c>
      <c r="F1419" s="14">
        <f>IF('04_路径网络'!A419&lt;&gt;"",IF('04_路径网络'!A419="","缺少路径ID；","")&amp;IF('04_路径网络'!C419="","缺少路径类型；","")&amp;IF('04_路径网络'!D419="","缺少起点对象ID；","")&amp;IF('04_路径网络'!E419="","缺少终点对象ID；","")&amp;IF(AND('04_路径网络'!D419&lt;&gt;"",'04_路径网络'!D419='04_路径网络'!E419),"起点与终点相同；","")&amp;IF(AND('04_路径网络'!D419&lt;&gt;"",COUNTIF('02_固定地理'!$A$2:$A$501,'04_路径网络'!D419)+COUNTIF('03_地点锚点'!$A$2:$A$501,'04_路径网络'!D419)+COUNTIF('06_建筑锚点'!$A$2:$A$501,'04_路径网络'!D419)=0),"起点引用对象不存在；","")&amp;IF(AND('04_路径网络'!E419&lt;&gt;"",COUNTIF('02_固定地理'!$A$2:$A$501,'04_路径网络'!E419)+COUNTIF('03_地点锚点'!$A$2:$A$501,'04_路径网络'!E419)+COUNTIF('06_建筑锚点'!$A$2:$A$501,'04_路径网络'!E419)=0),"终点引用对象不存在；","")&amp;IF(AND('04_路径网络'!F419&lt;&gt;"",COUNTIF('04_路径网络'!$A$2:$A$501,'04_路径网络'!F419)=0),"父级路径不存在；","")&amp;IF(AND('04_路径网络'!A419&lt;&gt;"",COUNTIF('04_路径网络'!$A$2:$A$501,'04_路径网络'!A419)&gt;1),"ID重复；",""),"")</f>
        <v/>
      </c>
      <c r="G1419" s="14">
        <f>IF(F1419&lt;&gt;"","按字段批注、数据字典和来源记录修正后复核","")</f>
        <v/>
      </c>
      <c r="H1419" s="14">
        <f>IF(F1419&lt;&gt;"","待处理","")</f>
        <v/>
      </c>
    </row>
    <row r="1420">
      <c r="A1420" s="14">
        <f>IF(F1420&lt;&gt;"","ISSUE-"&amp;TEXT(ROW()-1,"00000"),"")</f>
        <v/>
      </c>
      <c r="B1420" s="14">
        <f>IF(F1420&lt;&gt;"","错误","")</f>
        <v/>
      </c>
      <c r="C1420" s="14">
        <f>IF('04_路径网络'!A420&lt;&gt;"","04_路径网络","")</f>
        <v/>
      </c>
      <c r="D1420" s="14">
        <f>IF('04_路径网络'!A420&lt;&gt;"",'04_路径网络'!A420,"")</f>
        <v/>
      </c>
      <c r="E1420" s="14">
        <f>IF(F1420&lt;&gt;"","综合校验","")</f>
        <v/>
      </c>
      <c r="F1420" s="14">
        <f>IF('04_路径网络'!A420&lt;&gt;"",IF('04_路径网络'!A420="","缺少路径ID；","")&amp;IF('04_路径网络'!C420="","缺少路径类型；","")&amp;IF('04_路径网络'!D420="","缺少起点对象ID；","")&amp;IF('04_路径网络'!E420="","缺少终点对象ID；","")&amp;IF(AND('04_路径网络'!D420&lt;&gt;"",'04_路径网络'!D420='04_路径网络'!E420),"起点与终点相同；","")&amp;IF(AND('04_路径网络'!D420&lt;&gt;"",COUNTIF('02_固定地理'!$A$2:$A$501,'04_路径网络'!D420)+COUNTIF('03_地点锚点'!$A$2:$A$501,'04_路径网络'!D420)+COUNTIF('06_建筑锚点'!$A$2:$A$501,'04_路径网络'!D420)=0),"起点引用对象不存在；","")&amp;IF(AND('04_路径网络'!E420&lt;&gt;"",COUNTIF('02_固定地理'!$A$2:$A$501,'04_路径网络'!E420)+COUNTIF('03_地点锚点'!$A$2:$A$501,'04_路径网络'!E420)+COUNTIF('06_建筑锚点'!$A$2:$A$501,'04_路径网络'!E420)=0),"终点引用对象不存在；","")&amp;IF(AND('04_路径网络'!F420&lt;&gt;"",COUNTIF('04_路径网络'!$A$2:$A$501,'04_路径网络'!F420)=0),"父级路径不存在；","")&amp;IF(AND('04_路径网络'!A420&lt;&gt;"",COUNTIF('04_路径网络'!$A$2:$A$501,'04_路径网络'!A420)&gt;1),"ID重复；",""),"")</f>
        <v/>
      </c>
      <c r="G1420" s="14">
        <f>IF(F1420&lt;&gt;"","按字段批注、数据字典和来源记录修正后复核","")</f>
        <v/>
      </c>
      <c r="H1420" s="14">
        <f>IF(F1420&lt;&gt;"","待处理","")</f>
        <v/>
      </c>
    </row>
    <row r="1421">
      <c r="A1421" s="14">
        <f>IF(F1421&lt;&gt;"","ISSUE-"&amp;TEXT(ROW()-1,"00000"),"")</f>
        <v/>
      </c>
      <c r="B1421" s="14">
        <f>IF(F1421&lt;&gt;"","错误","")</f>
        <v/>
      </c>
      <c r="C1421" s="14">
        <f>IF('04_路径网络'!A421&lt;&gt;"","04_路径网络","")</f>
        <v/>
      </c>
      <c r="D1421" s="14">
        <f>IF('04_路径网络'!A421&lt;&gt;"",'04_路径网络'!A421,"")</f>
        <v/>
      </c>
      <c r="E1421" s="14">
        <f>IF(F1421&lt;&gt;"","综合校验","")</f>
        <v/>
      </c>
      <c r="F1421" s="14">
        <f>IF('04_路径网络'!A421&lt;&gt;"",IF('04_路径网络'!A421="","缺少路径ID；","")&amp;IF('04_路径网络'!C421="","缺少路径类型；","")&amp;IF('04_路径网络'!D421="","缺少起点对象ID；","")&amp;IF('04_路径网络'!E421="","缺少终点对象ID；","")&amp;IF(AND('04_路径网络'!D421&lt;&gt;"",'04_路径网络'!D421='04_路径网络'!E421),"起点与终点相同；","")&amp;IF(AND('04_路径网络'!D421&lt;&gt;"",COUNTIF('02_固定地理'!$A$2:$A$501,'04_路径网络'!D421)+COUNTIF('03_地点锚点'!$A$2:$A$501,'04_路径网络'!D421)+COUNTIF('06_建筑锚点'!$A$2:$A$501,'04_路径网络'!D421)=0),"起点引用对象不存在；","")&amp;IF(AND('04_路径网络'!E421&lt;&gt;"",COUNTIF('02_固定地理'!$A$2:$A$501,'04_路径网络'!E421)+COUNTIF('03_地点锚点'!$A$2:$A$501,'04_路径网络'!E421)+COUNTIF('06_建筑锚点'!$A$2:$A$501,'04_路径网络'!E421)=0),"终点引用对象不存在；","")&amp;IF(AND('04_路径网络'!F421&lt;&gt;"",COUNTIF('04_路径网络'!$A$2:$A$501,'04_路径网络'!F421)=0),"父级路径不存在；","")&amp;IF(AND('04_路径网络'!A421&lt;&gt;"",COUNTIF('04_路径网络'!$A$2:$A$501,'04_路径网络'!A421)&gt;1),"ID重复；",""),"")</f>
        <v/>
      </c>
      <c r="G1421" s="14">
        <f>IF(F1421&lt;&gt;"","按字段批注、数据字典和来源记录修正后复核","")</f>
        <v/>
      </c>
      <c r="H1421" s="14">
        <f>IF(F1421&lt;&gt;"","待处理","")</f>
        <v/>
      </c>
    </row>
    <row r="1422">
      <c r="A1422" s="14">
        <f>IF(F1422&lt;&gt;"","ISSUE-"&amp;TEXT(ROW()-1,"00000"),"")</f>
        <v/>
      </c>
      <c r="B1422" s="14">
        <f>IF(F1422&lt;&gt;"","错误","")</f>
        <v/>
      </c>
      <c r="C1422" s="14">
        <f>IF('04_路径网络'!A422&lt;&gt;"","04_路径网络","")</f>
        <v/>
      </c>
      <c r="D1422" s="14">
        <f>IF('04_路径网络'!A422&lt;&gt;"",'04_路径网络'!A422,"")</f>
        <v/>
      </c>
      <c r="E1422" s="14">
        <f>IF(F1422&lt;&gt;"","综合校验","")</f>
        <v/>
      </c>
      <c r="F1422" s="14">
        <f>IF('04_路径网络'!A422&lt;&gt;"",IF('04_路径网络'!A422="","缺少路径ID；","")&amp;IF('04_路径网络'!C422="","缺少路径类型；","")&amp;IF('04_路径网络'!D422="","缺少起点对象ID；","")&amp;IF('04_路径网络'!E422="","缺少终点对象ID；","")&amp;IF(AND('04_路径网络'!D422&lt;&gt;"",'04_路径网络'!D422='04_路径网络'!E422),"起点与终点相同；","")&amp;IF(AND('04_路径网络'!D422&lt;&gt;"",COUNTIF('02_固定地理'!$A$2:$A$501,'04_路径网络'!D422)+COUNTIF('03_地点锚点'!$A$2:$A$501,'04_路径网络'!D422)+COUNTIF('06_建筑锚点'!$A$2:$A$501,'04_路径网络'!D422)=0),"起点引用对象不存在；","")&amp;IF(AND('04_路径网络'!E422&lt;&gt;"",COUNTIF('02_固定地理'!$A$2:$A$501,'04_路径网络'!E422)+COUNTIF('03_地点锚点'!$A$2:$A$501,'04_路径网络'!E422)+COUNTIF('06_建筑锚点'!$A$2:$A$501,'04_路径网络'!E422)=0),"终点引用对象不存在；","")&amp;IF(AND('04_路径网络'!F422&lt;&gt;"",COUNTIF('04_路径网络'!$A$2:$A$501,'04_路径网络'!F422)=0),"父级路径不存在；","")&amp;IF(AND('04_路径网络'!A422&lt;&gt;"",COUNTIF('04_路径网络'!$A$2:$A$501,'04_路径网络'!A422)&gt;1),"ID重复；",""),"")</f>
        <v/>
      </c>
      <c r="G1422" s="14">
        <f>IF(F1422&lt;&gt;"","按字段批注、数据字典和来源记录修正后复核","")</f>
        <v/>
      </c>
      <c r="H1422" s="14">
        <f>IF(F1422&lt;&gt;"","待处理","")</f>
        <v/>
      </c>
    </row>
    <row r="1423">
      <c r="A1423" s="14">
        <f>IF(F1423&lt;&gt;"","ISSUE-"&amp;TEXT(ROW()-1,"00000"),"")</f>
        <v/>
      </c>
      <c r="B1423" s="14">
        <f>IF(F1423&lt;&gt;"","错误","")</f>
        <v/>
      </c>
      <c r="C1423" s="14">
        <f>IF('04_路径网络'!A423&lt;&gt;"","04_路径网络","")</f>
        <v/>
      </c>
      <c r="D1423" s="14">
        <f>IF('04_路径网络'!A423&lt;&gt;"",'04_路径网络'!A423,"")</f>
        <v/>
      </c>
      <c r="E1423" s="14">
        <f>IF(F1423&lt;&gt;"","综合校验","")</f>
        <v/>
      </c>
      <c r="F1423" s="14">
        <f>IF('04_路径网络'!A423&lt;&gt;"",IF('04_路径网络'!A423="","缺少路径ID；","")&amp;IF('04_路径网络'!C423="","缺少路径类型；","")&amp;IF('04_路径网络'!D423="","缺少起点对象ID；","")&amp;IF('04_路径网络'!E423="","缺少终点对象ID；","")&amp;IF(AND('04_路径网络'!D423&lt;&gt;"",'04_路径网络'!D423='04_路径网络'!E423),"起点与终点相同；","")&amp;IF(AND('04_路径网络'!D423&lt;&gt;"",COUNTIF('02_固定地理'!$A$2:$A$501,'04_路径网络'!D423)+COUNTIF('03_地点锚点'!$A$2:$A$501,'04_路径网络'!D423)+COUNTIF('06_建筑锚点'!$A$2:$A$501,'04_路径网络'!D423)=0),"起点引用对象不存在；","")&amp;IF(AND('04_路径网络'!E423&lt;&gt;"",COUNTIF('02_固定地理'!$A$2:$A$501,'04_路径网络'!E423)+COUNTIF('03_地点锚点'!$A$2:$A$501,'04_路径网络'!E423)+COUNTIF('06_建筑锚点'!$A$2:$A$501,'04_路径网络'!E423)=0),"终点引用对象不存在；","")&amp;IF(AND('04_路径网络'!F423&lt;&gt;"",COUNTIF('04_路径网络'!$A$2:$A$501,'04_路径网络'!F423)=0),"父级路径不存在；","")&amp;IF(AND('04_路径网络'!A423&lt;&gt;"",COUNTIF('04_路径网络'!$A$2:$A$501,'04_路径网络'!A423)&gt;1),"ID重复；",""),"")</f>
        <v/>
      </c>
      <c r="G1423" s="14">
        <f>IF(F1423&lt;&gt;"","按字段批注、数据字典和来源记录修正后复核","")</f>
        <v/>
      </c>
      <c r="H1423" s="14">
        <f>IF(F1423&lt;&gt;"","待处理","")</f>
        <v/>
      </c>
    </row>
    <row r="1424">
      <c r="A1424" s="14">
        <f>IF(F1424&lt;&gt;"","ISSUE-"&amp;TEXT(ROW()-1,"00000"),"")</f>
        <v/>
      </c>
      <c r="B1424" s="14">
        <f>IF(F1424&lt;&gt;"","错误","")</f>
        <v/>
      </c>
      <c r="C1424" s="14">
        <f>IF('04_路径网络'!A424&lt;&gt;"","04_路径网络","")</f>
        <v/>
      </c>
      <c r="D1424" s="14">
        <f>IF('04_路径网络'!A424&lt;&gt;"",'04_路径网络'!A424,"")</f>
        <v/>
      </c>
      <c r="E1424" s="14">
        <f>IF(F1424&lt;&gt;"","综合校验","")</f>
        <v/>
      </c>
      <c r="F1424" s="14">
        <f>IF('04_路径网络'!A424&lt;&gt;"",IF('04_路径网络'!A424="","缺少路径ID；","")&amp;IF('04_路径网络'!C424="","缺少路径类型；","")&amp;IF('04_路径网络'!D424="","缺少起点对象ID；","")&amp;IF('04_路径网络'!E424="","缺少终点对象ID；","")&amp;IF(AND('04_路径网络'!D424&lt;&gt;"",'04_路径网络'!D424='04_路径网络'!E424),"起点与终点相同；","")&amp;IF(AND('04_路径网络'!D424&lt;&gt;"",COUNTIF('02_固定地理'!$A$2:$A$501,'04_路径网络'!D424)+COUNTIF('03_地点锚点'!$A$2:$A$501,'04_路径网络'!D424)+COUNTIF('06_建筑锚点'!$A$2:$A$501,'04_路径网络'!D424)=0),"起点引用对象不存在；","")&amp;IF(AND('04_路径网络'!E424&lt;&gt;"",COUNTIF('02_固定地理'!$A$2:$A$501,'04_路径网络'!E424)+COUNTIF('03_地点锚点'!$A$2:$A$501,'04_路径网络'!E424)+COUNTIF('06_建筑锚点'!$A$2:$A$501,'04_路径网络'!E424)=0),"终点引用对象不存在；","")&amp;IF(AND('04_路径网络'!F424&lt;&gt;"",COUNTIF('04_路径网络'!$A$2:$A$501,'04_路径网络'!F424)=0),"父级路径不存在；","")&amp;IF(AND('04_路径网络'!A424&lt;&gt;"",COUNTIF('04_路径网络'!$A$2:$A$501,'04_路径网络'!A424)&gt;1),"ID重复；",""),"")</f>
        <v/>
      </c>
      <c r="G1424" s="14">
        <f>IF(F1424&lt;&gt;"","按字段批注、数据字典和来源记录修正后复核","")</f>
        <v/>
      </c>
      <c r="H1424" s="14">
        <f>IF(F1424&lt;&gt;"","待处理","")</f>
        <v/>
      </c>
    </row>
    <row r="1425">
      <c r="A1425" s="14">
        <f>IF(F1425&lt;&gt;"","ISSUE-"&amp;TEXT(ROW()-1,"00000"),"")</f>
        <v/>
      </c>
      <c r="B1425" s="14">
        <f>IF(F1425&lt;&gt;"","错误","")</f>
        <v/>
      </c>
      <c r="C1425" s="14">
        <f>IF('04_路径网络'!A425&lt;&gt;"","04_路径网络","")</f>
        <v/>
      </c>
      <c r="D1425" s="14">
        <f>IF('04_路径网络'!A425&lt;&gt;"",'04_路径网络'!A425,"")</f>
        <v/>
      </c>
      <c r="E1425" s="14">
        <f>IF(F1425&lt;&gt;"","综合校验","")</f>
        <v/>
      </c>
      <c r="F1425" s="14">
        <f>IF('04_路径网络'!A425&lt;&gt;"",IF('04_路径网络'!A425="","缺少路径ID；","")&amp;IF('04_路径网络'!C425="","缺少路径类型；","")&amp;IF('04_路径网络'!D425="","缺少起点对象ID；","")&amp;IF('04_路径网络'!E425="","缺少终点对象ID；","")&amp;IF(AND('04_路径网络'!D425&lt;&gt;"",'04_路径网络'!D425='04_路径网络'!E425),"起点与终点相同；","")&amp;IF(AND('04_路径网络'!D425&lt;&gt;"",COUNTIF('02_固定地理'!$A$2:$A$501,'04_路径网络'!D425)+COUNTIF('03_地点锚点'!$A$2:$A$501,'04_路径网络'!D425)+COUNTIF('06_建筑锚点'!$A$2:$A$501,'04_路径网络'!D425)=0),"起点引用对象不存在；","")&amp;IF(AND('04_路径网络'!E425&lt;&gt;"",COUNTIF('02_固定地理'!$A$2:$A$501,'04_路径网络'!E425)+COUNTIF('03_地点锚点'!$A$2:$A$501,'04_路径网络'!E425)+COUNTIF('06_建筑锚点'!$A$2:$A$501,'04_路径网络'!E425)=0),"终点引用对象不存在；","")&amp;IF(AND('04_路径网络'!F425&lt;&gt;"",COUNTIF('04_路径网络'!$A$2:$A$501,'04_路径网络'!F425)=0),"父级路径不存在；","")&amp;IF(AND('04_路径网络'!A425&lt;&gt;"",COUNTIF('04_路径网络'!$A$2:$A$501,'04_路径网络'!A425)&gt;1),"ID重复；",""),"")</f>
        <v/>
      </c>
      <c r="G1425" s="14">
        <f>IF(F1425&lt;&gt;"","按字段批注、数据字典和来源记录修正后复核","")</f>
        <v/>
      </c>
      <c r="H1425" s="14">
        <f>IF(F1425&lt;&gt;"","待处理","")</f>
        <v/>
      </c>
    </row>
    <row r="1426">
      <c r="A1426" s="14">
        <f>IF(F1426&lt;&gt;"","ISSUE-"&amp;TEXT(ROW()-1,"00000"),"")</f>
        <v/>
      </c>
      <c r="B1426" s="14">
        <f>IF(F1426&lt;&gt;"","错误","")</f>
        <v/>
      </c>
      <c r="C1426" s="14">
        <f>IF('04_路径网络'!A426&lt;&gt;"","04_路径网络","")</f>
        <v/>
      </c>
      <c r="D1426" s="14">
        <f>IF('04_路径网络'!A426&lt;&gt;"",'04_路径网络'!A426,"")</f>
        <v/>
      </c>
      <c r="E1426" s="14">
        <f>IF(F1426&lt;&gt;"","综合校验","")</f>
        <v/>
      </c>
      <c r="F1426" s="14">
        <f>IF('04_路径网络'!A426&lt;&gt;"",IF('04_路径网络'!A426="","缺少路径ID；","")&amp;IF('04_路径网络'!C426="","缺少路径类型；","")&amp;IF('04_路径网络'!D426="","缺少起点对象ID；","")&amp;IF('04_路径网络'!E426="","缺少终点对象ID；","")&amp;IF(AND('04_路径网络'!D426&lt;&gt;"",'04_路径网络'!D426='04_路径网络'!E426),"起点与终点相同；","")&amp;IF(AND('04_路径网络'!D426&lt;&gt;"",COUNTIF('02_固定地理'!$A$2:$A$501,'04_路径网络'!D426)+COUNTIF('03_地点锚点'!$A$2:$A$501,'04_路径网络'!D426)+COUNTIF('06_建筑锚点'!$A$2:$A$501,'04_路径网络'!D426)=0),"起点引用对象不存在；","")&amp;IF(AND('04_路径网络'!E426&lt;&gt;"",COUNTIF('02_固定地理'!$A$2:$A$501,'04_路径网络'!E426)+COUNTIF('03_地点锚点'!$A$2:$A$501,'04_路径网络'!E426)+COUNTIF('06_建筑锚点'!$A$2:$A$501,'04_路径网络'!E426)=0),"终点引用对象不存在；","")&amp;IF(AND('04_路径网络'!F426&lt;&gt;"",COUNTIF('04_路径网络'!$A$2:$A$501,'04_路径网络'!F426)=0),"父级路径不存在；","")&amp;IF(AND('04_路径网络'!A426&lt;&gt;"",COUNTIF('04_路径网络'!$A$2:$A$501,'04_路径网络'!A426)&gt;1),"ID重复；",""),"")</f>
        <v/>
      </c>
      <c r="G1426" s="14">
        <f>IF(F1426&lt;&gt;"","按字段批注、数据字典和来源记录修正后复核","")</f>
        <v/>
      </c>
      <c r="H1426" s="14">
        <f>IF(F1426&lt;&gt;"","待处理","")</f>
        <v/>
      </c>
    </row>
    <row r="1427">
      <c r="A1427" s="14">
        <f>IF(F1427&lt;&gt;"","ISSUE-"&amp;TEXT(ROW()-1,"00000"),"")</f>
        <v/>
      </c>
      <c r="B1427" s="14">
        <f>IF(F1427&lt;&gt;"","错误","")</f>
        <v/>
      </c>
      <c r="C1427" s="14">
        <f>IF('04_路径网络'!A427&lt;&gt;"","04_路径网络","")</f>
        <v/>
      </c>
      <c r="D1427" s="14">
        <f>IF('04_路径网络'!A427&lt;&gt;"",'04_路径网络'!A427,"")</f>
        <v/>
      </c>
      <c r="E1427" s="14">
        <f>IF(F1427&lt;&gt;"","综合校验","")</f>
        <v/>
      </c>
      <c r="F1427" s="14">
        <f>IF('04_路径网络'!A427&lt;&gt;"",IF('04_路径网络'!A427="","缺少路径ID；","")&amp;IF('04_路径网络'!C427="","缺少路径类型；","")&amp;IF('04_路径网络'!D427="","缺少起点对象ID；","")&amp;IF('04_路径网络'!E427="","缺少终点对象ID；","")&amp;IF(AND('04_路径网络'!D427&lt;&gt;"",'04_路径网络'!D427='04_路径网络'!E427),"起点与终点相同；","")&amp;IF(AND('04_路径网络'!D427&lt;&gt;"",COUNTIF('02_固定地理'!$A$2:$A$501,'04_路径网络'!D427)+COUNTIF('03_地点锚点'!$A$2:$A$501,'04_路径网络'!D427)+COUNTIF('06_建筑锚点'!$A$2:$A$501,'04_路径网络'!D427)=0),"起点引用对象不存在；","")&amp;IF(AND('04_路径网络'!E427&lt;&gt;"",COUNTIF('02_固定地理'!$A$2:$A$501,'04_路径网络'!E427)+COUNTIF('03_地点锚点'!$A$2:$A$501,'04_路径网络'!E427)+COUNTIF('06_建筑锚点'!$A$2:$A$501,'04_路径网络'!E427)=0),"终点引用对象不存在；","")&amp;IF(AND('04_路径网络'!F427&lt;&gt;"",COUNTIF('04_路径网络'!$A$2:$A$501,'04_路径网络'!F427)=0),"父级路径不存在；","")&amp;IF(AND('04_路径网络'!A427&lt;&gt;"",COUNTIF('04_路径网络'!$A$2:$A$501,'04_路径网络'!A427)&gt;1),"ID重复；",""),"")</f>
        <v/>
      </c>
      <c r="G1427" s="14">
        <f>IF(F1427&lt;&gt;"","按字段批注、数据字典和来源记录修正后复核","")</f>
        <v/>
      </c>
      <c r="H1427" s="14">
        <f>IF(F1427&lt;&gt;"","待处理","")</f>
        <v/>
      </c>
    </row>
    <row r="1428">
      <c r="A1428" s="14">
        <f>IF(F1428&lt;&gt;"","ISSUE-"&amp;TEXT(ROW()-1,"00000"),"")</f>
        <v/>
      </c>
      <c r="B1428" s="14">
        <f>IF(F1428&lt;&gt;"","错误","")</f>
        <v/>
      </c>
      <c r="C1428" s="14">
        <f>IF('04_路径网络'!A428&lt;&gt;"","04_路径网络","")</f>
        <v/>
      </c>
      <c r="D1428" s="14">
        <f>IF('04_路径网络'!A428&lt;&gt;"",'04_路径网络'!A428,"")</f>
        <v/>
      </c>
      <c r="E1428" s="14">
        <f>IF(F1428&lt;&gt;"","综合校验","")</f>
        <v/>
      </c>
      <c r="F1428" s="14">
        <f>IF('04_路径网络'!A428&lt;&gt;"",IF('04_路径网络'!A428="","缺少路径ID；","")&amp;IF('04_路径网络'!C428="","缺少路径类型；","")&amp;IF('04_路径网络'!D428="","缺少起点对象ID；","")&amp;IF('04_路径网络'!E428="","缺少终点对象ID；","")&amp;IF(AND('04_路径网络'!D428&lt;&gt;"",'04_路径网络'!D428='04_路径网络'!E428),"起点与终点相同；","")&amp;IF(AND('04_路径网络'!D428&lt;&gt;"",COUNTIF('02_固定地理'!$A$2:$A$501,'04_路径网络'!D428)+COUNTIF('03_地点锚点'!$A$2:$A$501,'04_路径网络'!D428)+COUNTIF('06_建筑锚点'!$A$2:$A$501,'04_路径网络'!D428)=0),"起点引用对象不存在；","")&amp;IF(AND('04_路径网络'!E428&lt;&gt;"",COUNTIF('02_固定地理'!$A$2:$A$501,'04_路径网络'!E428)+COUNTIF('03_地点锚点'!$A$2:$A$501,'04_路径网络'!E428)+COUNTIF('06_建筑锚点'!$A$2:$A$501,'04_路径网络'!E428)=0),"终点引用对象不存在；","")&amp;IF(AND('04_路径网络'!F428&lt;&gt;"",COUNTIF('04_路径网络'!$A$2:$A$501,'04_路径网络'!F428)=0),"父级路径不存在；","")&amp;IF(AND('04_路径网络'!A428&lt;&gt;"",COUNTIF('04_路径网络'!$A$2:$A$501,'04_路径网络'!A428)&gt;1),"ID重复；",""),"")</f>
        <v/>
      </c>
      <c r="G1428" s="14">
        <f>IF(F1428&lt;&gt;"","按字段批注、数据字典和来源记录修正后复核","")</f>
        <v/>
      </c>
      <c r="H1428" s="14">
        <f>IF(F1428&lt;&gt;"","待处理","")</f>
        <v/>
      </c>
    </row>
    <row r="1429">
      <c r="A1429" s="14">
        <f>IF(F1429&lt;&gt;"","ISSUE-"&amp;TEXT(ROW()-1,"00000"),"")</f>
        <v/>
      </c>
      <c r="B1429" s="14">
        <f>IF(F1429&lt;&gt;"","错误","")</f>
        <v/>
      </c>
      <c r="C1429" s="14">
        <f>IF('04_路径网络'!A429&lt;&gt;"","04_路径网络","")</f>
        <v/>
      </c>
      <c r="D1429" s="14">
        <f>IF('04_路径网络'!A429&lt;&gt;"",'04_路径网络'!A429,"")</f>
        <v/>
      </c>
      <c r="E1429" s="14">
        <f>IF(F1429&lt;&gt;"","综合校验","")</f>
        <v/>
      </c>
      <c r="F1429" s="14">
        <f>IF('04_路径网络'!A429&lt;&gt;"",IF('04_路径网络'!A429="","缺少路径ID；","")&amp;IF('04_路径网络'!C429="","缺少路径类型；","")&amp;IF('04_路径网络'!D429="","缺少起点对象ID；","")&amp;IF('04_路径网络'!E429="","缺少终点对象ID；","")&amp;IF(AND('04_路径网络'!D429&lt;&gt;"",'04_路径网络'!D429='04_路径网络'!E429),"起点与终点相同；","")&amp;IF(AND('04_路径网络'!D429&lt;&gt;"",COUNTIF('02_固定地理'!$A$2:$A$501,'04_路径网络'!D429)+COUNTIF('03_地点锚点'!$A$2:$A$501,'04_路径网络'!D429)+COUNTIF('06_建筑锚点'!$A$2:$A$501,'04_路径网络'!D429)=0),"起点引用对象不存在；","")&amp;IF(AND('04_路径网络'!E429&lt;&gt;"",COUNTIF('02_固定地理'!$A$2:$A$501,'04_路径网络'!E429)+COUNTIF('03_地点锚点'!$A$2:$A$501,'04_路径网络'!E429)+COUNTIF('06_建筑锚点'!$A$2:$A$501,'04_路径网络'!E429)=0),"终点引用对象不存在；","")&amp;IF(AND('04_路径网络'!F429&lt;&gt;"",COUNTIF('04_路径网络'!$A$2:$A$501,'04_路径网络'!F429)=0),"父级路径不存在；","")&amp;IF(AND('04_路径网络'!A429&lt;&gt;"",COUNTIF('04_路径网络'!$A$2:$A$501,'04_路径网络'!A429)&gt;1),"ID重复；",""),"")</f>
        <v/>
      </c>
      <c r="G1429" s="14">
        <f>IF(F1429&lt;&gt;"","按字段批注、数据字典和来源记录修正后复核","")</f>
        <v/>
      </c>
      <c r="H1429" s="14">
        <f>IF(F1429&lt;&gt;"","待处理","")</f>
        <v/>
      </c>
    </row>
    <row r="1430">
      <c r="A1430" s="14">
        <f>IF(F1430&lt;&gt;"","ISSUE-"&amp;TEXT(ROW()-1,"00000"),"")</f>
        <v/>
      </c>
      <c r="B1430" s="14">
        <f>IF(F1430&lt;&gt;"","错误","")</f>
        <v/>
      </c>
      <c r="C1430" s="14">
        <f>IF('04_路径网络'!A430&lt;&gt;"","04_路径网络","")</f>
        <v/>
      </c>
      <c r="D1430" s="14">
        <f>IF('04_路径网络'!A430&lt;&gt;"",'04_路径网络'!A430,"")</f>
        <v/>
      </c>
      <c r="E1430" s="14">
        <f>IF(F1430&lt;&gt;"","综合校验","")</f>
        <v/>
      </c>
      <c r="F1430" s="14">
        <f>IF('04_路径网络'!A430&lt;&gt;"",IF('04_路径网络'!A430="","缺少路径ID；","")&amp;IF('04_路径网络'!C430="","缺少路径类型；","")&amp;IF('04_路径网络'!D430="","缺少起点对象ID；","")&amp;IF('04_路径网络'!E430="","缺少终点对象ID；","")&amp;IF(AND('04_路径网络'!D430&lt;&gt;"",'04_路径网络'!D430='04_路径网络'!E430),"起点与终点相同；","")&amp;IF(AND('04_路径网络'!D430&lt;&gt;"",COUNTIF('02_固定地理'!$A$2:$A$501,'04_路径网络'!D430)+COUNTIF('03_地点锚点'!$A$2:$A$501,'04_路径网络'!D430)+COUNTIF('06_建筑锚点'!$A$2:$A$501,'04_路径网络'!D430)=0),"起点引用对象不存在；","")&amp;IF(AND('04_路径网络'!E430&lt;&gt;"",COUNTIF('02_固定地理'!$A$2:$A$501,'04_路径网络'!E430)+COUNTIF('03_地点锚点'!$A$2:$A$501,'04_路径网络'!E430)+COUNTIF('06_建筑锚点'!$A$2:$A$501,'04_路径网络'!E430)=0),"终点引用对象不存在；","")&amp;IF(AND('04_路径网络'!F430&lt;&gt;"",COUNTIF('04_路径网络'!$A$2:$A$501,'04_路径网络'!F430)=0),"父级路径不存在；","")&amp;IF(AND('04_路径网络'!A430&lt;&gt;"",COUNTIF('04_路径网络'!$A$2:$A$501,'04_路径网络'!A430)&gt;1),"ID重复；",""),"")</f>
        <v/>
      </c>
      <c r="G1430" s="14">
        <f>IF(F1430&lt;&gt;"","按字段批注、数据字典和来源记录修正后复核","")</f>
        <v/>
      </c>
      <c r="H1430" s="14">
        <f>IF(F1430&lt;&gt;"","待处理","")</f>
        <v/>
      </c>
    </row>
    <row r="1431">
      <c r="A1431" s="14">
        <f>IF(F1431&lt;&gt;"","ISSUE-"&amp;TEXT(ROW()-1,"00000"),"")</f>
        <v/>
      </c>
      <c r="B1431" s="14">
        <f>IF(F1431&lt;&gt;"","错误","")</f>
        <v/>
      </c>
      <c r="C1431" s="14">
        <f>IF('04_路径网络'!A431&lt;&gt;"","04_路径网络","")</f>
        <v/>
      </c>
      <c r="D1431" s="14">
        <f>IF('04_路径网络'!A431&lt;&gt;"",'04_路径网络'!A431,"")</f>
        <v/>
      </c>
      <c r="E1431" s="14">
        <f>IF(F1431&lt;&gt;"","综合校验","")</f>
        <v/>
      </c>
      <c r="F1431" s="14">
        <f>IF('04_路径网络'!A431&lt;&gt;"",IF('04_路径网络'!A431="","缺少路径ID；","")&amp;IF('04_路径网络'!C431="","缺少路径类型；","")&amp;IF('04_路径网络'!D431="","缺少起点对象ID；","")&amp;IF('04_路径网络'!E431="","缺少终点对象ID；","")&amp;IF(AND('04_路径网络'!D431&lt;&gt;"",'04_路径网络'!D431='04_路径网络'!E431),"起点与终点相同；","")&amp;IF(AND('04_路径网络'!D431&lt;&gt;"",COUNTIF('02_固定地理'!$A$2:$A$501,'04_路径网络'!D431)+COUNTIF('03_地点锚点'!$A$2:$A$501,'04_路径网络'!D431)+COUNTIF('06_建筑锚点'!$A$2:$A$501,'04_路径网络'!D431)=0),"起点引用对象不存在；","")&amp;IF(AND('04_路径网络'!E431&lt;&gt;"",COUNTIF('02_固定地理'!$A$2:$A$501,'04_路径网络'!E431)+COUNTIF('03_地点锚点'!$A$2:$A$501,'04_路径网络'!E431)+COUNTIF('06_建筑锚点'!$A$2:$A$501,'04_路径网络'!E431)=0),"终点引用对象不存在；","")&amp;IF(AND('04_路径网络'!F431&lt;&gt;"",COUNTIF('04_路径网络'!$A$2:$A$501,'04_路径网络'!F431)=0),"父级路径不存在；","")&amp;IF(AND('04_路径网络'!A431&lt;&gt;"",COUNTIF('04_路径网络'!$A$2:$A$501,'04_路径网络'!A431)&gt;1),"ID重复；",""),"")</f>
        <v/>
      </c>
      <c r="G1431" s="14">
        <f>IF(F1431&lt;&gt;"","按字段批注、数据字典和来源记录修正后复核","")</f>
        <v/>
      </c>
      <c r="H1431" s="14">
        <f>IF(F1431&lt;&gt;"","待处理","")</f>
        <v/>
      </c>
    </row>
    <row r="1432">
      <c r="A1432" s="14">
        <f>IF(F1432&lt;&gt;"","ISSUE-"&amp;TEXT(ROW()-1,"00000"),"")</f>
        <v/>
      </c>
      <c r="B1432" s="14">
        <f>IF(F1432&lt;&gt;"","错误","")</f>
        <v/>
      </c>
      <c r="C1432" s="14">
        <f>IF('04_路径网络'!A432&lt;&gt;"","04_路径网络","")</f>
        <v/>
      </c>
      <c r="D1432" s="14">
        <f>IF('04_路径网络'!A432&lt;&gt;"",'04_路径网络'!A432,"")</f>
        <v/>
      </c>
      <c r="E1432" s="14">
        <f>IF(F1432&lt;&gt;"","综合校验","")</f>
        <v/>
      </c>
      <c r="F1432" s="14">
        <f>IF('04_路径网络'!A432&lt;&gt;"",IF('04_路径网络'!A432="","缺少路径ID；","")&amp;IF('04_路径网络'!C432="","缺少路径类型；","")&amp;IF('04_路径网络'!D432="","缺少起点对象ID；","")&amp;IF('04_路径网络'!E432="","缺少终点对象ID；","")&amp;IF(AND('04_路径网络'!D432&lt;&gt;"",'04_路径网络'!D432='04_路径网络'!E432),"起点与终点相同；","")&amp;IF(AND('04_路径网络'!D432&lt;&gt;"",COUNTIF('02_固定地理'!$A$2:$A$501,'04_路径网络'!D432)+COUNTIF('03_地点锚点'!$A$2:$A$501,'04_路径网络'!D432)+COUNTIF('06_建筑锚点'!$A$2:$A$501,'04_路径网络'!D432)=0),"起点引用对象不存在；","")&amp;IF(AND('04_路径网络'!E432&lt;&gt;"",COUNTIF('02_固定地理'!$A$2:$A$501,'04_路径网络'!E432)+COUNTIF('03_地点锚点'!$A$2:$A$501,'04_路径网络'!E432)+COUNTIF('06_建筑锚点'!$A$2:$A$501,'04_路径网络'!E432)=0),"终点引用对象不存在；","")&amp;IF(AND('04_路径网络'!F432&lt;&gt;"",COUNTIF('04_路径网络'!$A$2:$A$501,'04_路径网络'!F432)=0),"父级路径不存在；","")&amp;IF(AND('04_路径网络'!A432&lt;&gt;"",COUNTIF('04_路径网络'!$A$2:$A$501,'04_路径网络'!A432)&gt;1),"ID重复；",""),"")</f>
        <v/>
      </c>
      <c r="G1432" s="14">
        <f>IF(F1432&lt;&gt;"","按字段批注、数据字典和来源记录修正后复核","")</f>
        <v/>
      </c>
      <c r="H1432" s="14">
        <f>IF(F1432&lt;&gt;"","待处理","")</f>
        <v/>
      </c>
    </row>
    <row r="1433">
      <c r="A1433" s="14">
        <f>IF(F1433&lt;&gt;"","ISSUE-"&amp;TEXT(ROW()-1,"00000"),"")</f>
        <v/>
      </c>
      <c r="B1433" s="14">
        <f>IF(F1433&lt;&gt;"","错误","")</f>
        <v/>
      </c>
      <c r="C1433" s="14">
        <f>IF('04_路径网络'!A433&lt;&gt;"","04_路径网络","")</f>
        <v/>
      </c>
      <c r="D1433" s="14">
        <f>IF('04_路径网络'!A433&lt;&gt;"",'04_路径网络'!A433,"")</f>
        <v/>
      </c>
      <c r="E1433" s="14">
        <f>IF(F1433&lt;&gt;"","综合校验","")</f>
        <v/>
      </c>
      <c r="F1433" s="14">
        <f>IF('04_路径网络'!A433&lt;&gt;"",IF('04_路径网络'!A433="","缺少路径ID；","")&amp;IF('04_路径网络'!C433="","缺少路径类型；","")&amp;IF('04_路径网络'!D433="","缺少起点对象ID；","")&amp;IF('04_路径网络'!E433="","缺少终点对象ID；","")&amp;IF(AND('04_路径网络'!D433&lt;&gt;"",'04_路径网络'!D433='04_路径网络'!E433),"起点与终点相同；","")&amp;IF(AND('04_路径网络'!D433&lt;&gt;"",COUNTIF('02_固定地理'!$A$2:$A$501,'04_路径网络'!D433)+COUNTIF('03_地点锚点'!$A$2:$A$501,'04_路径网络'!D433)+COUNTIF('06_建筑锚点'!$A$2:$A$501,'04_路径网络'!D433)=0),"起点引用对象不存在；","")&amp;IF(AND('04_路径网络'!E433&lt;&gt;"",COUNTIF('02_固定地理'!$A$2:$A$501,'04_路径网络'!E433)+COUNTIF('03_地点锚点'!$A$2:$A$501,'04_路径网络'!E433)+COUNTIF('06_建筑锚点'!$A$2:$A$501,'04_路径网络'!E433)=0),"终点引用对象不存在；","")&amp;IF(AND('04_路径网络'!F433&lt;&gt;"",COUNTIF('04_路径网络'!$A$2:$A$501,'04_路径网络'!F433)=0),"父级路径不存在；","")&amp;IF(AND('04_路径网络'!A433&lt;&gt;"",COUNTIF('04_路径网络'!$A$2:$A$501,'04_路径网络'!A433)&gt;1),"ID重复；",""),"")</f>
        <v/>
      </c>
      <c r="G1433" s="14">
        <f>IF(F1433&lt;&gt;"","按字段批注、数据字典和来源记录修正后复核","")</f>
        <v/>
      </c>
      <c r="H1433" s="14">
        <f>IF(F1433&lt;&gt;"","待处理","")</f>
        <v/>
      </c>
    </row>
    <row r="1434">
      <c r="A1434" s="14">
        <f>IF(F1434&lt;&gt;"","ISSUE-"&amp;TEXT(ROW()-1,"00000"),"")</f>
        <v/>
      </c>
      <c r="B1434" s="14">
        <f>IF(F1434&lt;&gt;"","错误","")</f>
        <v/>
      </c>
      <c r="C1434" s="14">
        <f>IF('04_路径网络'!A434&lt;&gt;"","04_路径网络","")</f>
        <v/>
      </c>
      <c r="D1434" s="14">
        <f>IF('04_路径网络'!A434&lt;&gt;"",'04_路径网络'!A434,"")</f>
        <v/>
      </c>
      <c r="E1434" s="14">
        <f>IF(F1434&lt;&gt;"","综合校验","")</f>
        <v/>
      </c>
      <c r="F1434" s="14">
        <f>IF('04_路径网络'!A434&lt;&gt;"",IF('04_路径网络'!A434="","缺少路径ID；","")&amp;IF('04_路径网络'!C434="","缺少路径类型；","")&amp;IF('04_路径网络'!D434="","缺少起点对象ID；","")&amp;IF('04_路径网络'!E434="","缺少终点对象ID；","")&amp;IF(AND('04_路径网络'!D434&lt;&gt;"",'04_路径网络'!D434='04_路径网络'!E434),"起点与终点相同；","")&amp;IF(AND('04_路径网络'!D434&lt;&gt;"",COUNTIF('02_固定地理'!$A$2:$A$501,'04_路径网络'!D434)+COUNTIF('03_地点锚点'!$A$2:$A$501,'04_路径网络'!D434)+COUNTIF('06_建筑锚点'!$A$2:$A$501,'04_路径网络'!D434)=0),"起点引用对象不存在；","")&amp;IF(AND('04_路径网络'!E434&lt;&gt;"",COUNTIF('02_固定地理'!$A$2:$A$501,'04_路径网络'!E434)+COUNTIF('03_地点锚点'!$A$2:$A$501,'04_路径网络'!E434)+COUNTIF('06_建筑锚点'!$A$2:$A$501,'04_路径网络'!E434)=0),"终点引用对象不存在；","")&amp;IF(AND('04_路径网络'!F434&lt;&gt;"",COUNTIF('04_路径网络'!$A$2:$A$501,'04_路径网络'!F434)=0),"父级路径不存在；","")&amp;IF(AND('04_路径网络'!A434&lt;&gt;"",COUNTIF('04_路径网络'!$A$2:$A$501,'04_路径网络'!A434)&gt;1),"ID重复；",""),"")</f>
        <v/>
      </c>
      <c r="G1434" s="14">
        <f>IF(F1434&lt;&gt;"","按字段批注、数据字典和来源记录修正后复核","")</f>
        <v/>
      </c>
      <c r="H1434" s="14">
        <f>IF(F1434&lt;&gt;"","待处理","")</f>
        <v/>
      </c>
    </row>
    <row r="1435">
      <c r="A1435" s="14">
        <f>IF(F1435&lt;&gt;"","ISSUE-"&amp;TEXT(ROW()-1,"00000"),"")</f>
        <v/>
      </c>
      <c r="B1435" s="14">
        <f>IF(F1435&lt;&gt;"","错误","")</f>
        <v/>
      </c>
      <c r="C1435" s="14">
        <f>IF('04_路径网络'!A435&lt;&gt;"","04_路径网络","")</f>
        <v/>
      </c>
      <c r="D1435" s="14">
        <f>IF('04_路径网络'!A435&lt;&gt;"",'04_路径网络'!A435,"")</f>
        <v/>
      </c>
      <c r="E1435" s="14">
        <f>IF(F1435&lt;&gt;"","综合校验","")</f>
        <v/>
      </c>
      <c r="F1435" s="14">
        <f>IF('04_路径网络'!A435&lt;&gt;"",IF('04_路径网络'!A435="","缺少路径ID；","")&amp;IF('04_路径网络'!C435="","缺少路径类型；","")&amp;IF('04_路径网络'!D435="","缺少起点对象ID；","")&amp;IF('04_路径网络'!E435="","缺少终点对象ID；","")&amp;IF(AND('04_路径网络'!D435&lt;&gt;"",'04_路径网络'!D435='04_路径网络'!E435),"起点与终点相同；","")&amp;IF(AND('04_路径网络'!D435&lt;&gt;"",COUNTIF('02_固定地理'!$A$2:$A$501,'04_路径网络'!D435)+COUNTIF('03_地点锚点'!$A$2:$A$501,'04_路径网络'!D435)+COUNTIF('06_建筑锚点'!$A$2:$A$501,'04_路径网络'!D435)=0),"起点引用对象不存在；","")&amp;IF(AND('04_路径网络'!E435&lt;&gt;"",COUNTIF('02_固定地理'!$A$2:$A$501,'04_路径网络'!E435)+COUNTIF('03_地点锚点'!$A$2:$A$501,'04_路径网络'!E435)+COUNTIF('06_建筑锚点'!$A$2:$A$501,'04_路径网络'!E435)=0),"终点引用对象不存在；","")&amp;IF(AND('04_路径网络'!F435&lt;&gt;"",COUNTIF('04_路径网络'!$A$2:$A$501,'04_路径网络'!F435)=0),"父级路径不存在；","")&amp;IF(AND('04_路径网络'!A435&lt;&gt;"",COUNTIF('04_路径网络'!$A$2:$A$501,'04_路径网络'!A435)&gt;1),"ID重复；",""),"")</f>
        <v/>
      </c>
      <c r="G1435" s="14">
        <f>IF(F1435&lt;&gt;"","按字段批注、数据字典和来源记录修正后复核","")</f>
        <v/>
      </c>
      <c r="H1435" s="14">
        <f>IF(F1435&lt;&gt;"","待处理","")</f>
        <v/>
      </c>
    </row>
    <row r="1436">
      <c r="A1436" s="14">
        <f>IF(F1436&lt;&gt;"","ISSUE-"&amp;TEXT(ROW()-1,"00000"),"")</f>
        <v/>
      </c>
      <c r="B1436" s="14">
        <f>IF(F1436&lt;&gt;"","错误","")</f>
        <v/>
      </c>
      <c r="C1436" s="14">
        <f>IF('04_路径网络'!A436&lt;&gt;"","04_路径网络","")</f>
        <v/>
      </c>
      <c r="D1436" s="14">
        <f>IF('04_路径网络'!A436&lt;&gt;"",'04_路径网络'!A436,"")</f>
        <v/>
      </c>
      <c r="E1436" s="14">
        <f>IF(F1436&lt;&gt;"","综合校验","")</f>
        <v/>
      </c>
      <c r="F1436" s="14">
        <f>IF('04_路径网络'!A436&lt;&gt;"",IF('04_路径网络'!A436="","缺少路径ID；","")&amp;IF('04_路径网络'!C436="","缺少路径类型；","")&amp;IF('04_路径网络'!D436="","缺少起点对象ID；","")&amp;IF('04_路径网络'!E436="","缺少终点对象ID；","")&amp;IF(AND('04_路径网络'!D436&lt;&gt;"",'04_路径网络'!D436='04_路径网络'!E436),"起点与终点相同；","")&amp;IF(AND('04_路径网络'!D436&lt;&gt;"",COUNTIF('02_固定地理'!$A$2:$A$501,'04_路径网络'!D436)+COUNTIF('03_地点锚点'!$A$2:$A$501,'04_路径网络'!D436)+COUNTIF('06_建筑锚点'!$A$2:$A$501,'04_路径网络'!D436)=0),"起点引用对象不存在；","")&amp;IF(AND('04_路径网络'!E436&lt;&gt;"",COUNTIF('02_固定地理'!$A$2:$A$501,'04_路径网络'!E436)+COUNTIF('03_地点锚点'!$A$2:$A$501,'04_路径网络'!E436)+COUNTIF('06_建筑锚点'!$A$2:$A$501,'04_路径网络'!E436)=0),"终点引用对象不存在；","")&amp;IF(AND('04_路径网络'!F436&lt;&gt;"",COUNTIF('04_路径网络'!$A$2:$A$501,'04_路径网络'!F436)=0),"父级路径不存在；","")&amp;IF(AND('04_路径网络'!A436&lt;&gt;"",COUNTIF('04_路径网络'!$A$2:$A$501,'04_路径网络'!A436)&gt;1),"ID重复；",""),"")</f>
        <v/>
      </c>
      <c r="G1436" s="14">
        <f>IF(F1436&lt;&gt;"","按字段批注、数据字典和来源记录修正后复核","")</f>
        <v/>
      </c>
      <c r="H1436" s="14">
        <f>IF(F1436&lt;&gt;"","待处理","")</f>
        <v/>
      </c>
    </row>
    <row r="1437">
      <c r="A1437" s="14">
        <f>IF(F1437&lt;&gt;"","ISSUE-"&amp;TEXT(ROW()-1,"00000"),"")</f>
        <v/>
      </c>
      <c r="B1437" s="14">
        <f>IF(F1437&lt;&gt;"","错误","")</f>
        <v/>
      </c>
      <c r="C1437" s="14">
        <f>IF('04_路径网络'!A437&lt;&gt;"","04_路径网络","")</f>
        <v/>
      </c>
      <c r="D1437" s="14">
        <f>IF('04_路径网络'!A437&lt;&gt;"",'04_路径网络'!A437,"")</f>
        <v/>
      </c>
      <c r="E1437" s="14">
        <f>IF(F1437&lt;&gt;"","综合校验","")</f>
        <v/>
      </c>
      <c r="F1437" s="14">
        <f>IF('04_路径网络'!A437&lt;&gt;"",IF('04_路径网络'!A437="","缺少路径ID；","")&amp;IF('04_路径网络'!C437="","缺少路径类型；","")&amp;IF('04_路径网络'!D437="","缺少起点对象ID；","")&amp;IF('04_路径网络'!E437="","缺少终点对象ID；","")&amp;IF(AND('04_路径网络'!D437&lt;&gt;"",'04_路径网络'!D437='04_路径网络'!E437),"起点与终点相同；","")&amp;IF(AND('04_路径网络'!D437&lt;&gt;"",COUNTIF('02_固定地理'!$A$2:$A$501,'04_路径网络'!D437)+COUNTIF('03_地点锚点'!$A$2:$A$501,'04_路径网络'!D437)+COUNTIF('06_建筑锚点'!$A$2:$A$501,'04_路径网络'!D437)=0),"起点引用对象不存在；","")&amp;IF(AND('04_路径网络'!E437&lt;&gt;"",COUNTIF('02_固定地理'!$A$2:$A$501,'04_路径网络'!E437)+COUNTIF('03_地点锚点'!$A$2:$A$501,'04_路径网络'!E437)+COUNTIF('06_建筑锚点'!$A$2:$A$501,'04_路径网络'!E437)=0),"终点引用对象不存在；","")&amp;IF(AND('04_路径网络'!F437&lt;&gt;"",COUNTIF('04_路径网络'!$A$2:$A$501,'04_路径网络'!F437)=0),"父级路径不存在；","")&amp;IF(AND('04_路径网络'!A437&lt;&gt;"",COUNTIF('04_路径网络'!$A$2:$A$501,'04_路径网络'!A437)&gt;1),"ID重复；",""),"")</f>
        <v/>
      </c>
      <c r="G1437" s="14">
        <f>IF(F1437&lt;&gt;"","按字段批注、数据字典和来源记录修正后复核","")</f>
        <v/>
      </c>
      <c r="H1437" s="14">
        <f>IF(F1437&lt;&gt;"","待处理","")</f>
        <v/>
      </c>
    </row>
    <row r="1438">
      <c r="A1438" s="14">
        <f>IF(F1438&lt;&gt;"","ISSUE-"&amp;TEXT(ROW()-1,"00000"),"")</f>
        <v/>
      </c>
      <c r="B1438" s="14">
        <f>IF(F1438&lt;&gt;"","错误","")</f>
        <v/>
      </c>
      <c r="C1438" s="14">
        <f>IF('04_路径网络'!A438&lt;&gt;"","04_路径网络","")</f>
        <v/>
      </c>
      <c r="D1438" s="14">
        <f>IF('04_路径网络'!A438&lt;&gt;"",'04_路径网络'!A438,"")</f>
        <v/>
      </c>
      <c r="E1438" s="14">
        <f>IF(F1438&lt;&gt;"","综合校验","")</f>
        <v/>
      </c>
      <c r="F1438" s="14">
        <f>IF('04_路径网络'!A438&lt;&gt;"",IF('04_路径网络'!A438="","缺少路径ID；","")&amp;IF('04_路径网络'!C438="","缺少路径类型；","")&amp;IF('04_路径网络'!D438="","缺少起点对象ID；","")&amp;IF('04_路径网络'!E438="","缺少终点对象ID；","")&amp;IF(AND('04_路径网络'!D438&lt;&gt;"",'04_路径网络'!D438='04_路径网络'!E438),"起点与终点相同；","")&amp;IF(AND('04_路径网络'!D438&lt;&gt;"",COUNTIF('02_固定地理'!$A$2:$A$501,'04_路径网络'!D438)+COUNTIF('03_地点锚点'!$A$2:$A$501,'04_路径网络'!D438)+COUNTIF('06_建筑锚点'!$A$2:$A$501,'04_路径网络'!D438)=0),"起点引用对象不存在；","")&amp;IF(AND('04_路径网络'!E438&lt;&gt;"",COUNTIF('02_固定地理'!$A$2:$A$501,'04_路径网络'!E438)+COUNTIF('03_地点锚点'!$A$2:$A$501,'04_路径网络'!E438)+COUNTIF('06_建筑锚点'!$A$2:$A$501,'04_路径网络'!E438)=0),"终点引用对象不存在；","")&amp;IF(AND('04_路径网络'!F438&lt;&gt;"",COUNTIF('04_路径网络'!$A$2:$A$501,'04_路径网络'!F438)=0),"父级路径不存在；","")&amp;IF(AND('04_路径网络'!A438&lt;&gt;"",COUNTIF('04_路径网络'!$A$2:$A$501,'04_路径网络'!A438)&gt;1),"ID重复；",""),"")</f>
        <v/>
      </c>
      <c r="G1438" s="14">
        <f>IF(F1438&lt;&gt;"","按字段批注、数据字典和来源记录修正后复核","")</f>
        <v/>
      </c>
      <c r="H1438" s="14">
        <f>IF(F1438&lt;&gt;"","待处理","")</f>
        <v/>
      </c>
    </row>
    <row r="1439">
      <c r="A1439" s="14">
        <f>IF(F1439&lt;&gt;"","ISSUE-"&amp;TEXT(ROW()-1,"00000"),"")</f>
        <v/>
      </c>
      <c r="B1439" s="14">
        <f>IF(F1439&lt;&gt;"","错误","")</f>
        <v/>
      </c>
      <c r="C1439" s="14">
        <f>IF('04_路径网络'!A439&lt;&gt;"","04_路径网络","")</f>
        <v/>
      </c>
      <c r="D1439" s="14">
        <f>IF('04_路径网络'!A439&lt;&gt;"",'04_路径网络'!A439,"")</f>
        <v/>
      </c>
      <c r="E1439" s="14">
        <f>IF(F1439&lt;&gt;"","综合校验","")</f>
        <v/>
      </c>
      <c r="F1439" s="14">
        <f>IF('04_路径网络'!A439&lt;&gt;"",IF('04_路径网络'!A439="","缺少路径ID；","")&amp;IF('04_路径网络'!C439="","缺少路径类型；","")&amp;IF('04_路径网络'!D439="","缺少起点对象ID；","")&amp;IF('04_路径网络'!E439="","缺少终点对象ID；","")&amp;IF(AND('04_路径网络'!D439&lt;&gt;"",'04_路径网络'!D439='04_路径网络'!E439),"起点与终点相同；","")&amp;IF(AND('04_路径网络'!D439&lt;&gt;"",COUNTIF('02_固定地理'!$A$2:$A$501,'04_路径网络'!D439)+COUNTIF('03_地点锚点'!$A$2:$A$501,'04_路径网络'!D439)+COUNTIF('06_建筑锚点'!$A$2:$A$501,'04_路径网络'!D439)=0),"起点引用对象不存在；","")&amp;IF(AND('04_路径网络'!E439&lt;&gt;"",COUNTIF('02_固定地理'!$A$2:$A$501,'04_路径网络'!E439)+COUNTIF('03_地点锚点'!$A$2:$A$501,'04_路径网络'!E439)+COUNTIF('06_建筑锚点'!$A$2:$A$501,'04_路径网络'!E439)=0),"终点引用对象不存在；","")&amp;IF(AND('04_路径网络'!F439&lt;&gt;"",COUNTIF('04_路径网络'!$A$2:$A$501,'04_路径网络'!F439)=0),"父级路径不存在；","")&amp;IF(AND('04_路径网络'!A439&lt;&gt;"",COUNTIF('04_路径网络'!$A$2:$A$501,'04_路径网络'!A439)&gt;1),"ID重复；",""),"")</f>
        <v/>
      </c>
      <c r="G1439" s="14">
        <f>IF(F1439&lt;&gt;"","按字段批注、数据字典和来源记录修正后复核","")</f>
        <v/>
      </c>
      <c r="H1439" s="14">
        <f>IF(F1439&lt;&gt;"","待处理","")</f>
        <v/>
      </c>
    </row>
    <row r="1440">
      <c r="A1440" s="14">
        <f>IF(F1440&lt;&gt;"","ISSUE-"&amp;TEXT(ROW()-1,"00000"),"")</f>
        <v/>
      </c>
      <c r="B1440" s="14">
        <f>IF(F1440&lt;&gt;"","错误","")</f>
        <v/>
      </c>
      <c r="C1440" s="14">
        <f>IF('04_路径网络'!A440&lt;&gt;"","04_路径网络","")</f>
        <v/>
      </c>
      <c r="D1440" s="14">
        <f>IF('04_路径网络'!A440&lt;&gt;"",'04_路径网络'!A440,"")</f>
        <v/>
      </c>
      <c r="E1440" s="14">
        <f>IF(F1440&lt;&gt;"","综合校验","")</f>
        <v/>
      </c>
      <c r="F1440" s="14">
        <f>IF('04_路径网络'!A440&lt;&gt;"",IF('04_路径网络'!A440="","缺少路径ID；","")&amp;IF('04_路径网络'!C440="","缺少路径类型；","")&amp;IF('04_路径网络'!D440="","缺少起点对象ID；","")&amp;IF('04_路径网络'!E440="","缺少终点对象ID；","")&amp;IF(AND('04_路径网络'!D440&lt;&gt;"",'04_路径网络'!D440='04_路径网络'!E440),"起点与终点相同；","")&amp;IF(AND('04_路径网络'!D440&lt;&gt;"",COUNTIF('02_固定地理'!$A$2:$A$501,'04_路径网络'!D440)+COUNTIF('03_地点锚点'!$A$2:$A$501,'04_路径网络'!D440)+COUNTIF('06_建筑锚点'!$A$2:$A$501,'04_路径网络'!D440)=0),"起点引用对象不存在；","")&amp;IF(AND('04_路径网络'!E440&lt;&gt;"",COUNTIF('02_固定地理'!$A$2:$A$501,'04_路径网络'!E440)+COUNTIF('03_地点锚点'!$A$2:$A$501,'04_路径网络'!E440)+COUNTIF('06_建筑锚点'!$A$2:$A$501,'04_路径网络'!E440)=0),"终点引用对象不存在；","")&amp;IF(AND('04_路径网络'!F440&lt;&gt;"",COUNTIF('04_路径网络'!$A$2:$A$501,'04_路径网络'!F440)=0),"父级路径不存在；","")&amp;IF(AND('04_路径网络'!A440&lt;&gt;"",COUNTIF('04_路径网络'!$A$2:$A$501,'04_路径网络'!A440)&gt;1),"ID重复；",""),"")</f>
        <v/>
      </c>
      <c r="G1440" s="14">
        <f>IF(F1440&lt;&gt;"","按字段批注、数据字典和来源记录修正后复核","")</f>
        <v/>
      </c>
      <c r="H1440" s="14">
        <f>IF(F1440&lt;&gt;"","待处理","")</f>
        <v/>
      </c>
    </row>
    <row r="1441">
      <c r="A1441" s="14">
        <f>IF(F1441&lt;&gt;"","ISSUE-"&amp;TEXT(ROW()-1,"00000"),"")</f>
        <v/>
      </c>
      <c r="B1441" s="14">
        <f>IF(F1441&lt;&gt;"","错误","")</f>
        <v/>
      </c>
      <c r="C1441" s="14">
        <f>IF('04_路径网络'!A441&lt;&gt;"","04_路径网络","")</f>
        <v/>
      </c>
      <c r="D1441" s="14">
        <f>IF('04_路径网络'!A441&lt;&gt;"",'04_路径网络'!A441,"")</f>
        <v/>
      </c>
      <c r="E1441" s="14">
        <f>IF(F1441&lt;&gt;"","综合校验","")</f>
        <v/>
      </c>
      <c r="F1441" s="14">
        <f>IF('04_路径网络'!A441&lt;&gt;"",IF('04_路径网络'!A441="","缺少路径ID；","")&amp;IF('04_路径网络'!C441="","缺少路径类型；","")&amp;IF('04_路径网络'!D441="","缺少起点对象ID；","")&amp;IF('04_路径网络'!E441="","缺少终点对象ID；","")&amp;IF(AND('04_路径网络'!D441&lt;&gt;"",'04_路径网络'!D441='04_路径网络'!E441),"起点与终点相同；","")&amp;IF(AND('04_路径网络'!D441&lt;&gt;"",COUNTIF('02_固定地理'!$A$2:$A$501,'04_路径网络'!D441)+COUNTIF('03_地点锚点'!$A$2:$A$501,'04_路径网络'!D441)+COUNTIF('06_建筑锚点'!$A$2:$A$501,'04_路径网络'!D441)=0),"起点引用对象不存在；","")&amp;IF(AND('04_路径网络'!E441&lt;&gt;"",COUNTIF('02_固定地理'!$A$2:$A$501,'04_路径网络'!E441)+COUNTIF('03_地点锚点'!$A$2:$A$501,'04_路径网络'!E441)+COUNTIF('06_建筑锚点'!$A$2:$A$501,'04_路径网络'!E441)=0),"终点引用对象不存在；","")&amp;IF(AND('04_路径网络'!F441&lt;&gt;"",COUNTIF('04_路径网络'!$A$2:$A$501,'04_路径网络'!F441)=0),"父级路径不存在；","")&amp;IF(AND('04_路径网络'!A441&lt;&gt;"",COUNTIF('04_路径网络'!$A$2:$A$501,'04_路径网络'!A441)&gt;1),"ID重复；",""),"")</f>
        <v/>
      </c>
      <c r="G1441" s="14">
        <f>IF(F1441&lt;&gt;"","按字段批注、数据字典和来源记录修正后复核","")</f>
        <v/>
      </c>
      <c r="H1441" s="14">
        <f>IF(F1441&lt;&gt;"","待处理","")</f>
        <v/>
      </c>
    </row>
    <row r="1442">
      <c r="A1442" s="14">
        <f>IF(F1442&lt;&gt;"","ISSUE-"&amp;TEXT(ROW()-1,"00000"),"")</f>
        <v/>
      </c>
      <c r="B1442" s="14">
        <f>IF(F1442&lt;&gt;"","错误","")</f>
        <v/>
      </c>
      <c r="C1442" s="14">
        <f>IF('04_路径网络'!A442&lt;&gt;"","04_路径网络","")</f>
        <v/>
      </c>
      <c r="D1442" s="14">
        <f>IF('04_路径网络'!A442&lt;&gt;"",'04_路径网络'!A442,"")</f>
        <v/>
      </c>
      <c r="E1442" s="14">
        <f>IF(F1442&lt;&gt;"","综合校验","")</f>
        <v/>
      </c>
      <c r="F1442" s="14">
        <f>IF('04_路径网络'!A442&lt;&gt;"",IF('04_路径网络'!A442="","缺少路径ID；","")&amp;IF('04_路径网络'!C442="","缺少路径类型；","")&amp;IF('04_路径网络'!D442="","缺少起点对象ID；","")&amp;IF('04_路径网络'!E442="","缺少终点对象ID；","")&amp;IF(AND('04_路径网络'!D442&lt;&gt;"",'04_路径网络'!D442='04_路径网络'!E442),"起点与终点相同；","")&amp;IF(AND('04_路径网络'!D442&lt;&gt;"",COUNTIF('02_固定地理'!$A$2:$A$501,'04_路径网络'!D442)+COUNTIF('03_地点锚点'!$A$2:$A$501,'04_路径网络'!D442)+COUNTIF('06_建筑锚点'!$A$2:$A$501,'04_路径网络'!D442)=0),"起点引用对象不存在；","")&amp;IF(AND('04_路径网络'!E442&lt;&gt;"",COUNTIF('02_固定地理'!$A$2:$A$501,'04_路径网络'!E442)+COUNTIF('03_地点锚点'!$A$2:$A$501,'04_路径网络'!E442)+COUNTIF('06_建筑锚点'!$A$2:$A$501,'04_路径网络'!E442)=0),"终点引用对象不存在；","")&amp;IF(AND('04_路径网络'!F442&lt;&gt;"",COUNTIF('04_路径网络'!$A$2:$A$501,'04_路径网络'!F442)=0),"父级路径不存在；","")&amp;IF(AND('04_路径网络'!A442&lt;&gt;"",COUNTIF('04_路径网络'!$A$2:$A$501,'04_路径网络'!A442)&gt;1),"ID重复；",""),"")</f>
        <v/>
      </c>
      <c r="G1442" s="14">
        <f>IF(F1442&lt;&gt;"","按字段批注、数据字典和来源记录修正后复核","")</f>
        <v/>
      </c>
      <c r="H1442" s="14">
        <f>IF(F1442&lt;&gt;"","待处理","")</f>
        <v/>
      </c>
    </row>
    <row r="1443">
      <c r="A1443" s="14">
        <f>IF(F1443&lt;&gt;"","ISSUE-"&amp;TEXT(ROW()-1,"00000"),"")</f>
        <v/>
      </c>
      <c r="B1443" s="14">
        <f>IF(F1443&lt;&gt;"","错误","")</f>
        <v/>
      </c>
      <c r="C1443" s="14">
        <f>IF('04_路径网络'!A443&lt;&gt;"","04_路径网络","")</f>
        <v/>
      </c>
      <c r="D1443" s="14">
        <f>IF('04_路径网络'!A443&lt;&gt;"",'04_路径网络'!A443,"")</f>
        <v/>
      </c>
      <c r="E1443" s="14">
        <f>IF(F1443&lt;&gt;"","综合校验","")</f>
        <v/>
      </c>
      <c r="F1443" s="14">
        <f>IF('04_路径网络'!A443&lt;&gt;"",IF('04_路径网络'!A443="","缺少路径ID；","")&amp;IF('04_路径网络'!C443="","缺少路径类型；","")&amp;IF('04_路径网络'!D443="","缺少起点对象ID；","")&amp;IF('04_路径网络'!E443="","缺少终点对象ID；","")&amp;IF(AND('04_路径网络'!D443&lt;&gt;"",'04_路径网络'!D443='04_路径网络'!E443),"起点与终点相同；","")&amp;IF(AND('04_路径网络'!D443&lt;&gt;"",COUNTIF('02_固定地理'!$A$2:$A$501,'04_路径网络'!D443)+COUNTIF('03_地点锚点'!$A$2:$A$501,'04_路径网络'!D443)+COUNTIF('06_建筑锚点'!$A$2:$A$501,'04_路径网络'!D443)=0),"起点引用对象不存在；","")&amp;IF(AND('04_路径网络'!E443&lt;&gt;"",COUNTIF('02_固定地理'!$A$2:$A$501,'04_路径网络'!E443)+COUNTIF('03_地点锚点'!$A$2:$A$501,'04_路径网络'!E443)+COUNTIF('06_建筑锚点'!$A$2:$A$501,'04_路径网络'!E443)=0),"终点引用对象不存在；","")&amp;IF(AND('04_路径网络'!F443&lt;&gt;"",COUNTIF('04_路径网络'!$A$2:$A$501,'04_路径网络'!F443)=0),"父级路径不存在；","")&amp;IF(AND('04_路径网络'!A443&lt;&gt;"",COUNTIF('04_路径网络'!$A$2:$A$501,'04_路径网络'!A443)&gt;1),"ID重复；",""),"")</f>
        <v/>
      </c>
      <c r="G1443" s="14">
        <f>IF(F1443&lt;&gt;"","按字段批注、数据字典和来源记录修正后复核","")</f>
        <v/>
      </c>
      <c r="H1443" s="14">
        <f>IF(F1443&lt;&gt;"","待处理","")</f>
        <v/>
      </c>
    </row>
    <row r="1444">
      <c r="A1444" s="14">
        <f>IF(F1444&lt;&gt;"","ISSUE-"&amp;TEXT(ROW()-1,"00000"),"")</f>
        <v/>
      </c>
      <c r="B1444" s="14">
        <f>IF(F1444&lt;&gt;"","错误","")</f>
        <v/>
      </c>
      <c r="C1444" s="14">
        <f>IF('04_路径网络'!A444&lt;&gt;"","04_路径网络","")</f>
        <v/>
      </c>
      <c r="D1444" s="14">
        <f>IF('04_路径网络'!A444&lt;&gt;"",'04_路径网络'!A444,"")</f>
        <v/>
      </c>
      <c r="E1444" s="14">
        <f>IF(F1444&lt;&gt;"","综合校验","")</f>
        <v/>
      </c>
      <c r="F1444" s="14">
        <f>IF('04_路径网络'!A444&lt;&gt;"",IF('04_路径网络'!A444="","缺少路径ID；","")&amp;IF('04_路径网络'!C444="","缺少路径类型；","")&amp;IF('04_路径网络'!D444="","缺少起点对象ID；","")&amp;IF('04_路径网络'!E444="","缺少终点对象ID；","")&amp;IF(AND('04_路径网络'!D444&lt;&gt;"",'04_路径网络'!D444='04_路径网络'!E444),"起点与终点相同；","")&amp;IF(AND('04_路径网络'!D444&lt;&gt;"",COUNTIF('02_固定地理'!$A$2:$A$501,'04_路径网络'!D444)+COUNTIF('03_地点锚点'!$A$2:$A$501,'04_路径网络'!D444)+COUNTIF('06_建筑锚点'!$A$2:$A$501,'04_路径网络'!D444)=0),"起点引用对象不存在；","")&amp;IF(AND('04_路径网络'!E444&lt;&gt;"",COUNTIF('02_固定地理'!$A$2:$A$501,'04_路径网络'!E444)+COUNTIF('03_地点锚点'!$A$2:$A$501,'04_路径网络'!E444)+COUNTIF('06_建筑锚点'!$A$2:$A$501,'04_路径网络'!E444)=0),"终点引用对象不存在；","")&amp;IF(AND('04_路径网络'!F444&lt;&gt;"",COUNTIF('04_路径网络'!$A$2:$A$501,'04_路径网络'!F444)=0),"父级路径不存在；","")&amp;IF(AND('04_路径网络'!A444&lt;&gt;"",COUNTIF('04_路径网络'!$A$2:$A$501,'04_路径网络'!A444)&gt;1),"ID重复；",""),"")</f>
        <v/>
      </c>
      <c r="G1444" s="14">
        <f>IF(F1444&lt;&gt;"","按字段批注、数据字典和来源记录修正后复核","")</f>
        <v/>
      </c>
      <c r="H1444" s="14">
        <f>IF(F1444&lt;&gt;"","待处理","")</f>
        <v/>
      </c>
    </row>
    <row r="1445">
      <c r="A1445" s="14">
        <f>IF(F1445&lt;&gt;"","ISSUE-"&amp;TEXT(ROW()-1,"00000"),"")</f>
        <v/>
      </c>
      <c r="B1445" s="14">
        <f>IF(F1445&lt;&gt;"","错误","")</f>
        <v/>
      </c>
      <c r="C1445" s="14">
        <f>IF('04_路径网络'!A445&lt;&gt;"","04_路径网络","")</f>
        <v/>
      </c>
      <c r="D1445" s="14">
        <f>IF('04_路径网络'!A445&lt;&gt;"",'04_路径网络'!A445,"")</f>
        <v/>
      </c>
      <c r="E1445" s="14">
        <f>IF(F1445&lt;&gt;"","综合校验","")</f>
        <v/>
      </c>
      <c r="F1445" s="14">
        <f>IF('04_路径网络'!A445&lt;&gt;"",IF('04_路径网络'!A445="","缺少路径ID；","")&amp;IF('04_路径网络'!C445="","缺少路径类型；","")&amp;IF('04_路径网络'!D445="","缺少起点对象ID；","")&amp;IF('04_路径网络'!E445="","缺少终点对象ID；","")&amp;IF(AND('04_路径网络'!D445&lt;&gt;"",'04_路径网络'!D445='04_路径网络'!E445),"起点与终点相同；","")&amp;IF(AND('04_路径网络'!D445&lt;&gt;"",COUNTIF('02_固定地理'!$A$2:$A$501,'04_路径网络'!D445)+COUNTIF('03_地点锚点'!$A$2:$A$501,'04_路径网络'!D445)+COUNTIF('06_建筑锚点'!$A$2:$A$501,'04_路径网络'!D445)=0),"起点引用对象不存在；","")&amp;IF(AND('04_路径网络'!E445&lt;&gt;"",COUNTIF('02_固定地理'!$A$2:$A$501,'04_路径网络'!E445)+COUNTIF('03_地点锚点'!$A$2:$A$501,'04_路径网络'!E445)+COUNTIF('06_建筑锚点'!$A$2:$A$501,'04_路径网络'!E445)=0),"终点引用对象不存在；","")&amp;IF(AND('04_路径网络'!F445&lt;&gt;"",COUNTIF('04_路径网络'!$A$2:$A$501,'04_路径网络'!F445)=0),"父级路径不存在；","")&amp;IF(AND('04_路径网络'!A445&lt;&gt;"",COUNTIF('04_路径网络'!$A$2:$A$501,'04_路径网络'!A445)&gt;1),"ID重复；",""),"")</f>
        <v/>
      </c>
      <c r="G1445" s="14">
        <f>IF(F1445&lt;&gt;"","按字段批注、数据字典和来源记录修正后复核","")</f>
        <v/>
      </c>
      <c r="H1445" s="14">
        <f>IF(F1445&lt;&gt;"","待处理","")</f>
        <v/>
      </c>
    </row>
    <row r="1446">
      <c r="A1446" s="14">
        <f>IF(F1446&lt;&gt;"","ISSUE-"&amp;TEXT(ROW()-1,"00000"),"")</f>
        <v/>
      </c>
      <c r="B1446" s="14">
        <f>IF(F1446&lt;&gt;"","错误","")</f>
        <v/>
      </c>
      <c r="C1446" s="14">
        <f>IF('04_路径网络'!A446&lt;&gt;"","04_路径网络","")</f>
        <v/>
      </c>
      <c r="D1446" s="14">
        <f>IF('04_路径网络'!A446&lt;&gt;"",'04_路径网络'!A446,"")</f>
        <v/>
      </c>
      <c r="E1446" s="14">
        <f>IF(F1446&lt;&gt;"","综合校验","")</f>
        <v/>
      </c>
      <c r="F1446" s="14">
        <f>IF('04_路径网络'!A446&lt;&gt;"",IF('04_路径网络'!A446="","缺少路径ID；","")&amp;IF('04_路径网络'!C446="","缺少路径类型；","")&amp;IF('04_路径网络'!D446="","缺少起点对象ID；","")&amp;IF('04_路径网络'!E446="","缺少终点对象ID；","")&amp;IF(AND('04_路径网络'!D446&lt;&gt;"",'04_路径网络'!D446='04_路径网络'!E446),"起点与终点相同；","")&amp;IF(AND('04_路径网络'!D446&lt;&gt;"",COUNTIF('02_固定地理'!$A$2:$A$501,'04_路径网络'!D446)+COUNTIF('03_地点锚点'!$A$2:$A$501,'04_路径网络'!D446)+COUNTIF('06_建筑锚点'!$A$2:$A$501,'04_路径网络'!D446)=0),"起点引用对象不存在；","")&amp;IF(AND('04_路径网络'!E446&lt;&gt;"",COUNTIF('02_固定地理'!$A$2:$A$501,'04_路径网络'!E446)+COUNTIF('03_地点锚点'!$A$2:$A$501,'04_路径网络'!E446)+COUNTIF('06_建筑锚点'!$A$2:$A$501,'04_路径网络'!E446)=0),"终点引用对象不存在；","")&amp;IF(AND('04_路径网络'!F446&lt;&gt;"",COUNTIF('04_路径网络'!$A$2:$A$501,'04_路径网络'!F446)=0),"父级路径不存在；","")&amp;IF(AND('04_路径网络'!A446&lt;&gt;"",COUNTIF('04_路径网络'!$A$2:$A$501,'04_路径网络'!A446)&gt;1),"ID重复；",""),"")</f>
        <v/>
      </c>
      <c r="G1446" s="14">
        <f>IF(F1446&lt;&gt;"","按字段批注、数据字典和来源记录修正后复核","")</f>
        <v/>
      </c>
      <c r="H1446" s="14">
        <f>IF(F1446&lt;&gt;"","待处理","")</f>
        <v/>
      </c>
    </row>
    <row r="1447">
      <c r="A1447" s="14">
        <f>IF(F1447&lt;&gt;"","ISSUE-"&amp;TEXT(ROW()-1,"00000"),"")</f>
        <v/>
      </c>
      <c r="B1447" s="14">
        <f>IF(F1447&lt;&gt;"","错误","")</f>
        <v/>
      </c>
      <c r="C1447" s="14">
        <f>IF('04_路径网络'!A447&lt;&gt;"","04_路径网络","")</f>
        <v/>
      </c>
      <c r="D1447" s="14">
        <f>IF('04_路径网络'!A447&lt;&gt;"",'04_路径网络'!A447,"")</f>
        <v/>
      </c>
      <c r="E1447" s="14">
        <f>IF(F1447&lt;&gt;"","综合校验","")</f>
        <v/>
      </c>
      <c r="F1447" s="14">
        <f>IF('04_路径网络'!A447&lt;&gt;"",IF('04_路径网络'!A447="","缺少路径ID；","")&amp;IF('04_路径网络'!C447="","缺少路径类型；","")&amp;IF('04_路径网络'!D447="","缺少起点对象ID；","")&amp;IF('04_路径网络'!E447="","缺少终点对象ID；","")&amp;IF(AND('04_路径网络'!D447&lt;&gt;"",'04_路径网络'!D447='04_路径网络'!E447),"起点与终点相同；","")&amp;IF(AND('04_路径网络'!D447&lt;&gt;"",COUNTIF('02_固定地理'!$A$2:$A$501,'04_路径网络'!D447)+COUNTIF('03_地点锚点'!$A$2:$A$501,'04_路径网络'!D447)+COUNTIF('06_建筑锚点'!$A$2:$A$501,'04_路径网络'!D447)=0),"起点引用对象不存在；","")&amp;IF(AND('04_路径网络'!E447&lt;&gt;"",COUNTIF('02_固定地理'!$A$2:$A$501,'04_路径网络'!E447)+COUNTIF('03_地点锚点'!$A$2:$A$501,'04_路径网络'!E447)+COUNTIF('06_建筑锚点'!$A$2:$A$501,'04_路径网络'!E447)=0),"终点引用对象不存在；","")&amp;IF(AND('04_路径网络'!F447&lt;&gt;"",COUNTIF('04_路径网络'!$A$2:$A$501,'04_路径网络'!F447)=0),"父级路径不存在；","")&amp;IF(AND('04_路径网络'!A447&lt;&gt;"",COUNTIF('04_路径网络'!$A$2:$A$501,'04_路径网络'!A447)&gt;1),"ID重复；",""),"")</f>
        <v/>
      </c>
      <c r="G1447" s="14">
        <f>IF(F1447&lt;&gt;"","按字段批注、数据字典和来源记录修正后复核","")</f>
        <v/>
      </c>
      <c r="H1447" s="14">
        <f>IF(F1447&lt;&gt;"","待处理","")</f>
        <v/>
      </c>
    </row>
    <row r="1448">
      <c r="A1448" s="14">
        <f>IF(F1448&lt;&gt;"","ISSUE-"&amp;TEXT(ROW()-1,"00000"),"")</f>
        <v/>
      </c>
      <c r="B1448" s="14">
        <f>IF(F1448&lt;&gt;"","错误","")</f>
        <v/>
      </c>
      <c r="C1448" s="14">
        <f>IF('04_路径网络'!A448&lt;&gt;"","04_路径网络","")</f>
        <v/>
      </c>
      <c r="D1448" s="14">
        <f>IF('04_路径网络'!A448&lt;&gt;"",'04_路径网络'!A448,"")</f>
        <v/>
      </c>
      <c r="E1448" s="14">
        <f>IF(F1448&lt;&gt;"","综合校验","")</f>
        <v/>
      </c>
      <c r="F1448" s="14">
        <f>IF('04_路径网络'!A448&lt;&gt;"",IF('04_路径网络'!A448="","缺少路径ID；","")&amp;IF('04_路径网络'!C448="","缺少路径类型；","")&amp;IF('04_路径网络'!D448="","缺少起点对象ID；","")&amp;IF('04_路径网络'!E448="","缺少终点对象ID；","")&amp;IF(AND('04_路径网络'!D448&lt;&gt;"",'04_路径网络'!D448='04_路径网络'!E448),"起点与终点相同；","")&amp;IF(AND('04_路径网络'!D448&lt;&gt;"",COUNTIF('02_固定地理'!$A$2:$A$501,'04_路径网络'!D448)+COUNTIF('03_地点锚点'!$A$2:$A$501,'04_路径网络'!D448)+COUNTIF('06_建筑锚点'!$A$2:$A$501,'04_路径网络'!D448)=0),"起点引用对象不存在；","")&amp;IF(AND('04_路径网络'!E448&lt;&gt;"",COUNTIF('02_固定地理'!$A$2:$A$501,'04_路径网络'!E448)+COUNTIF('03_地点锚点'!$A$2:$A$501,'04_路径网络'!E448)+COUNTIF('06_建筑锚点'!$A$2:$A$501,'04_路径网络'!E448)=0),"终点引用对象不存在；","")&amp;IF(AND('04_路径网络'!F448&lt;&gt;"",COUNTIF('04_路径网络'!$A$2:$A$501,'04_路径网络'!F448)=0),"父级路径不存在；","")&amp;IF(AND('04_路径网络'!A448&lt;&gt;"",COUNTIF('04_路径网络'!$A$2:$A$501,'04_路径网络'!A448)&gt;1),"ID重复；",""),"")</f>
        <v/>
      </c>
      <c r="G1448" s="14">
        <f>IF(F1448&lt;&gt;"","按字段批注、数据字典和来源记录修正后复核","")</f>
        <v/>
      </c>
      <c r="H1448" s="14">
        <f>IF(F1448&lt;&gt;"","待处理","")</f>
        <v/>
      </c>
    </row>
    <row r="1449">
      <c r="A1449" s="14">
        <f>IF(F1449&lt;&gt;"","ISSUE-"&amp;TEXT(ROW()-1,"00000"),"")</f>
        <v/>
      </c>
      <c r="B1449" s="14">
        <f>IF(F1449&lt;&gt;"","错误","")</f>
        <v/>
      </c>
      <c r="C1449" s="14">
        <f>IF('04_路径网络'!A449&lt;&gt;"","04_路径网络","")</f>
        <v/>
      </c>
      <c r="D1449" s="14">
        <f>IF('04_路径网络'!A449&lt;&gt;"",'04_路径网络'!A449,"")</f>
        <v/>
      </c>
      <c r="E1449" s="14">
        <f>IF(F1449&lt;&gt;"","综合校验","")</f>
        <v/>
      </c>
      <c r="F1449" s="14">
        <f>IF('04_路径网络'!A449&lt;&gt;"",IF('04_路径网络'!A449="","缺少路径ID；","")&amp;IF('04_路径网络'!C449="","缺少路径类型；","")&amp;IF('04_路径网络'!D449="","缺少起点对象ID；","")&amp;IF('04_路径网络'!E449="","缺少终点对象ID；","")&amp;IF(AND('04_路径网络'!D449&lt;&gt;"",'04_路径网络'!D449='04_路径网络'!E449),"起点与终点相同；","")&amp;IF(AND('04_路径网络'!D449&lt;&gt;"",COUNTIF('02_固定地理'!$A$2:$A$501,'04_路径网络'!D449)+COUNTIF('03_地点锚点'!$A$2:$A$501,'04_路径网络'!D449)+COUNTIF('06_建筑锚点'!$A$2:$A$501,'04_路径网络'!D449)=0),"起点引用对象不存在；","")&amp;IF(AND('04_路径网络'!E449&lt;&gt;"",COUNTIF('02_固定地理'!$A$2:$A$501,'04_路径网络'!E449)+COUNTIF('03_地点锚点'!$A$2:$A$501,'04_路径网络'!E449)+COUNTIF('06_建筑锚点'!$A$2:$A$501,'04_路径网络'!E449)=0),"终点引用对象不存在；","")&amp;IF(AND('04_路径网络'!F449&lt;&gt;"",COUNTIF('04_路径网络'!$A$2:$A$501,'04_路径网络'!F449)=0),"父级路径不存在；","")&amp;IF(AND('04_路径网络'!A449&lt;&gt;"",COUNTIF('04_路径网络'!$A$2:$A$501,'04_路径网络'!A449)&gt;1),"ID重复；",""),"")</f>
        <v/>
      </c>
      <c r="G1449" s="14">
        <f>IF(F1449&lt;&gt;"","按字段批注、数据字典和来源记录修正后复核","")</f>
        <v/>
      </c>
      <c r="H1449" s="14">
        <f>IF(F1449&lt;&gt;"","待处理","")</f>
        <v/>
      </c>
    </row>
    <row r="1450">
      <c r="A1450" s="14">
        <f>IF(F1450&lt;&gt;"","ISSUE-"&amp;TEXT(ROW()-1,"00000"),"")</f>
        <v/>
      </c>
      <c r="B1450" s="14">
        <f>IF(F1450&lt;&gt;"","错误","")</f>
        <v/>
      </c>
      <c r="C1450" s="14">
        <f>IF('04_路径网络'!A450&lt;&gt;"","04_路径网络","")</f>
        <v/>
      </c>
      <c r="D1450" s="14">
        <f>IF('04_路径网络'!A450&lt;&gt;"",'04_路径网络'!A450,"")</f>
        <v/>
      </c>
      <c r="E1450" s="14">
        <f>IF(F1450&lt;&gt;"","综合校验","")</f>
        <v/>
      </c>
      <c r="F1450" s="14">
        <f>IF('04_路径网络'!A450&lt;&gt;"",IF('04_路径网络'!A450="","缺少路径ID；","")&amp;IF('04_路径网络'!C450="","缺少路径类型；","")&amp;IF('04_路径网络'!D450="","缺少起点对象ID；","")&amp;IF('04_路径网络'!E450="","缺少终点对象ID；","")&amp;IF(AND('04_路径网络'!D450&lt;&gt;"",'04_路径网络'!D450='04_路径网络'!E450),"起点与终点相同；","")&amp;IF(AND('04_路径网络'!D450&lt;&gt;"",COUNTIF('02_固定地理'!$A$2:$A$501,'04_路径网络'!D450)+COUNTIF('03_地点锚点'!$A$2:$A$501,'04_路径网络'!D450)+COUNTIF('06_建筑锚点'!$A$2:$A$501,'04_路径网络'!D450)=0),"起点引用对象不存在；","")&amp;IF(AND('04_路径网络'!E450&lt;&gt;"",COUNTIF('02_固定地理'!$A$2:$A$501,'04_路径网络'!E450)+COUNTIF('03_地点锚点'!$A$2:$A$501,'04_路径网络'!E450)+COUNTIF('06_建筑锚点'!$A$2:$A$501,'04_路径网络'!E450)=0),"终点引用对象不存在；","")&amp;IF(AND('04_路径网络'!F450&lt;&gt;"",COUNTIF('04_路径网络'!$A$2:$A$501,'04_路径网络'!F450)=0),"父级路径不存在；","")&amp;IF(AND('04_路径网络'!A450&lt;&gt;"",COUNTIF('04_路径网络'!$A$2:$A$501,'04_路径网络'!A450)&gt;1),"ID重复；",""),"")</f>
        <v/>
      </c>
      <c r="G1450" s="14">
        <f>IF(F1450&lt;&gt;"","按字段批注、数据字典和来源记录修正后复核","")</f>
        <v/>
      </c>
      <c r="H1450" s="14">
        <f>IF(F1450&lt;&gt;"","待处理","")</f>
        <v/>
      </c>
    </row>
    <row r="1451">
      <c r="A1451" s="14">
        <f>IF(F1451&lt;&gt;"","ISSUE-"&amp;TEXT(ROW()-1,"00000"),"")</f>
        <v/>
      </c>
      <c r="B1451" s="14">
        <f>IF(F1451&lt;&gt;"","错误","")</f>
        <v/>
      </c>
      <c r="C1451" s="14">
        <f>IF('04_路径网络'!A451&lt;&gt;"","04_路径网络","")</f>
        <v/>
      </c>
      <c r="D1451" s="14">
        <f>IF('04_路径网络'!A451&lt;&gt;"",'04_路径网络'!A451,"")</f>
        <v/>
      </c>
      <c r="E1451" s="14">
        <f>IF(F1451&lt;&gt;"","综合校验","")</f>
        <v/>
      </c>
      <c r="F1451" s="14">
        <f>IF('04_路径网络'!A451&lt;&gt;"",IF('04_路径网络'!A451="","缺少路径ID；","")&amp;IF('04_路径网络'!C451="","缺少路径类型；","")&amp;IF('04_路径网络'!D451="","缺少起点对象ID；","")&amp;IF('04_路径网络'!E451="","缺少终点对象ID；","")&amp;IF(AND('04_路径网络'!D451&lt;&gt;"",'04_路径网络'!D451='04_路径网络'!E451),"起点与终点相同；","")&amp;IF(AND('04_路径网络'!D451&lt;&gt;"",COUNTIF('02_固定地理'!$A$2:$A$501,'04_路径网络'!D451)+COUNTIF('03_地点锚点'!$A$2:$A$501,'04_路径网络'!D451)+COUNTIF('06_建筑锚点'!$A$2:$A$501,'04_路径网络'!D451)=0),"起点引用对象不存在；","")&amp;IF(AND('04_路径网络'!E451&lt;&gt;"",COUNTIF('02_固定地理'!$A$2:$A$501,'04_路径网络'!E451)+COUNTIF('03_地点锚点'!$A$2:$A$501,'04_路径网络'!E451)+COUNTIF('06_建筑锚点'!$A$2:$A$501,'04_路径网络'!E451)=0),"终点引用对象不存在；","")&amp;IF(AND('04_路径网络'!F451&lt;&gt;"",COUNTIF('04_路径网络'!$A$2:$A$501,'04_路径网络'!F451)=0),"父级路径不存在；","")&amp;IF(AND('04_路径网络'!A451&lt;&gt;"",COUNTIF('04_路径网络'!$A$2:$A$501,'04_路径网络'!A451)&gt;1),"ID重复；",""),"")</f>
        <v/>
      </c>
      <c r="G1451" s="14">
        <f>IF(F1451&lt;&gt;"","按字段批注、数据字典和来源记录修正后复核","")</f>
        <v/>
      </c>
      <c r="H1451" s="14">
        <f>IF(F1451&lt;&gt;"","待处理","")</f>
        <v/>
      </c>
    </row>
    <row r="1452">
      <c r="A1452" s="14">
        <f>IF(F1452&lt;&gt;"","ISSUE-"&amp;TEXT(ROW()-1,"00000"),"")</f>
        <v/>
      </c>
      <c r="B1452" s="14">
        <f>IF(F1452&lt;&gt;"","错误","")</f>
        <v/>
      </c>
      <c r="C1452" s="14">
        <f>IF('04_路径网络'!A452&lt;&gt;"","04_路径网络","")</f>
        <v/>
      </c>
      <c r="D1452" s="14">
        <f>IF('04_路径网络'!A452&lt;&gt;"",'04_路径网络'!A452,"")</f>
        <v/>
      </c>
      <c r="E1452" s="14">
        <f>IF(F1452&lt;&gt;"","综合校验","")</f>
        <v/>
      </c>
      <c r="F1452" s="14">
        <f>IF('04_路径网络'!A452&lt;&gt;"",IF('04_路径网络'!A452="","缺少路径ID；","")&amp;IF('04_路径网络'!C452="","缺少路径类型；","")&amp;IF('04_路径网络'!D452="","缺少起点对象ID；","")&amp;IF('04_路径网络'!E452="","缺少终点对象ID；","")&amp;IF(AND('04_路径网络'!D452&lt;&gt;"",'04_路径网络'!D452='04_路径网络'!E452),"起点与终点相同；","")&amp;IF(AND('04_路径网络'!D452&lt;&gt;"",COUNTIF('02_固定地理'!$A$2:$A$501,'04_路径网络'!D452)+COUNTIF('03_地点锚点'!$A$2:$A$501,'04_路径网络'!D452)+COUNTIF('06_建筑锚点'!$A$2:$A$501,'04_路径网络'!D452)=0),"起点引用对象不存在；","")&amp;IF(AND('04_路径网络'!E452&lt;&gt;"",COUNTIF('02_固定地理'!$A$2:$A$501,'04_路径网络'!E452)+COUNTIF('03_地点锚点'!$A$2:$A$501,'04_路径网络'!E452)+COUNTIF('06_建筑锚点'!$A$2:$A$501,'04_路径网络'!E452)=0),"终点引用对象不存在；","")&amp;IF(AND('04_路径网络'!F452&lt;&gt;"",COUNTIF('04_路径网络'!$A$2:$A$501,'04_路径网络'!F452)=0),"父级路径不存在；","")&amp;IF(AND('04_路径网络'!A452&lt;&gt;"",COUNTIF('04_路径网络'!$A$2:$A$501,'04_路径网络'!A452)&gt;1),"ID重复；",""),"")</f>
        <v/>
      </c>
      <c r="G1452" s="14">
        <f>IF(F1452&lt;&gt;"","按字段批注、数据字典和来源记录修正后复核","")</f>
        <v/>
      </c>
      <c r="H1452" s="14">
        <f>IF(F1452&lt;&gt;"","待处理","")</f>
        <v/>
      </c>
    </row>
    <row r="1453">
      <c r="A1453" s="14">
        <f>IF(F1453&lt;&gt;"","ISSUE-"&amp;TEXT(ROW()-1,"00000"),"")</f>
        <v/>
      </c>
      <c r="B1453" s="14">
        <f>IF(F1453&lt;&gt;"","错误","")</f>
        <v/>
      </c>
      <c r="C1453" s="14">
        <f>IF('04_路径网络'!A453&lt;&gt;"","04_路径网络","")</f>
        <v/>
      </c>
      <c r="D1453" s="14">
        <f>IF('04_路径网络'!A453&lt;&gt;"",'04_路径网络'!A453,"")</f>
        <v/>
      </c>
      <c r="E1453" s="14">
        <f>IF(F1453&lt;&gt;"","综合校验","")</f>
        <v/>
      </c>
      <c r="F1453" s="14">
        <f>IF('04_路径网络'!A453&lt;&gt;"",IF('04_路径网络'!A453="","缺少路径ID；","")&amp;IF('04_路径网络'!C453="","缺少路径类型；","")&amp;IF('04_路径网络'!D453="","缺少起点对象ID；","")&amp;IF('04_路径网络'!E453="","缺少终点对象ID；","")&amp;IF(AND('04_路径网络'!D453&lt;&gt;"",'04_路径网络'!D453='04_路径网络'!E453),"起点与终点相同；","")&amp;IF(AND('04_路径网络'!D453&lt;&gt;"",COUNTIF('02_固定地理'!$A$2:$A$501,'04_路径网络'!D453)+COUNTIF('03_地点锚点'!$A$2:$A$501,'04_路径网络'!D453)+COUNTIF('06_建筑锚点'!$A$2:$A$501,'04_路径网络'!D453)=0),"起点引用对象不存在；","")&amp;IF(AND('04_路径网络'!E453&lt;&gt;"",COUNTIF('02_固定地理'!$A$2:$A$501,'04_路径网络'!E453)+COUNTIF('03_地点锚点'!$A$2:$A$501,'04_路径网络'!E453)+COUNTIF('06_建筑锚点'!$A$2:$A$501,'04_路径网络'!E453)=0),"终点引用对象不存在；","")&amp;IF(AND('04_路径网络'!F453&lt;&gt;"",COUNTIF('04_路径网络'!$A$2:$A$501,'04_路径网络'!F453)=0),"父级路径不存在；","")&amp;IF(AND('04_路径网络'!A453&lt;&gt;"",COUNTIF('04_路径网络'!$A$2:$A$501,'04_路径网络'!A453)&gt;1),"ID重复；",""),"")</f>
        <v/>
      </c>
      <c r="G1453" s="14">
        <f>IF(F1453&lt;&gt;"","按字段批注、数据字典和来源记录修正后复核","")</f>
        <v/>
      </c>
      <c r="H1453" s="14">
        <f>IF(F1453&lt;&gt;"","待处理","")</f>
        <v/>
      </c>
    </row>
    <row r="1454">
      <c r="A1454" s="14">
        <f>IF(F1454&lt;&gt;"","ISSUE-"&amp;TEXT(ROW()-1,"00000"),"")</f>
        <v/>
      </c>
      <c r="B1454" s="14">
        <f>IF(F1454&lt;&gt;"","错误","")</f>
        <v/>
      </c>
      <c r="C1454" s="14">
        <f>IF('04_路径网络'!A454&lt;&gt;"","04_路径网络","")</f>
        <v/>
      </c>
      <c r="D1454" s="14">
        <f>IF('04_路径网络'!A454&lt;&gt;"",'04_路径网络'!A454,"")</f>
        <v/>
      </c>
      <c r="E1454" s="14">
        <f>IF(F1454&lt;&gt;"","综合校验","")</f>
        <v/>
      </c>
      <c r="F1454" s="14">
        <f>IF('04_路径网络'!A454&lt;&gt;"",IF('04_路径网络'!A454="","缺少路径ID；","")&amp;IF('04_路径网络'!C454="","缺少路径类型；","")&amp;IF('04_路径网络'!D454="","缺少起点对象ID；","")&amp;IF('04_路径网络'!E454="","缺少终点对象ID；","")&amp;IF(AND('04_路径网络'!D454&lt;&gt;"",'04_路径网络'!D454='04_路径网络'!E454),"起点与终点相同；","")&amp;IF(AND('04_路径网络'!D454&lt;&gt;"",COUNTIF('02_固定地理'!$A$2:$A$501,'04_路径网络'!D454)+COUNTIF('03_地点锚点'!$A$2:$A$501,'04_路径网络'!D454)+COUNTIF('06_建筑锚点'!$A$2:$A$501,'04_路径网络'!D454)=0),"起点引用对象不存在；","")&amp;IF(AND('04_路径网络'!E454&lt;&gt;"",COUNTIF('02_固定地理'!$A$2:$A$501,'04_路径网络'!E454)+COUNTIF('03_地点锚点'!$A$2:$A$501,'04_路径网络'!E454)+COUNTIF('06_建筑锚点'!$A$2:$A$501,'04_路径网络'!E454)=0),"终点引用对象不存在；","")&amp;IF(AND('04_路径网络'!F454&lt;&gt;"",COUNTIF('04_路径网络'!$A$2:$A$501,'04_路径网络'!F454)=0),"父级路径不存在；","")&amp;IF(AND('04_路径网络'!A454&lt;&gt;"",COUNTIF('04_路径网络'!$A$2:$A$501,'04_路径网络'!A454)&gt;1),"ID重复；",""),"")</f>
        <v/>
      </c>
      <c r="G1454" s="14">
        <f>IF(F1454&lt;&gt;"","按字段批注、数据字典和来源记录修正后复核","")</f>
        <v/>
      </c>
      <c r="H1454" s="14">
        <f>IF(F1454&lt;&gt;"","待处理","")</f>
        <v/>
      </c>
    </row>
    <row r="1455">
      <c r="A1455" s="14">
        <f>IF(F1455&lt;&gt;"","ISSUE-"&amp;TEXT(ROW()-1,"00000"),"")</f>
        <v/>
      </c>
      <c r="B1455" s="14">
        <f>IF(F1455&lt;&gt;"","错误","")</f>
        <v/>
      </c>
      <c r="C1455" s="14">
        <f>IF('04_路径网络'!A455&lt;&gt;"","04_路径网络","")</f>
        <v/>
      </c>
      <c r="D1455" s="14">
        <f>IF('04_路径网络'!A455&lt;&gt;"",'04_路径网络'!A455,"")</f>
        <v/>
      </c>
      <c r="E1455" s="14">
        <f>IF(F1455&lt;&gt;"","综合校验","")</f>
        <v/>
      </c>
      <c r="F1455" s="14">
        <f>IF('04_路径网络'!A455&lt;&gt;"",IF('04_路径网络'!A455="","缺少路径ID；","")&amp;IF('04_路径网络'!C455="","缺少路径类型；","")&amp;IF('04_路径网络'!D455="","缺少起点对象ID；","")&amp;IF('04_路径网络'!E455="","缺少终点对象ID；","")&amp;IF(AND('04_路径网络'!D455&lt;&gt;"",'04_路径网络'!D455='04_路径网络'!E455),"起点与终点相同；","")&amp;IF(AND('04_路径网络'!D455&lt;&gt;"",COUNTIF('02_固定地理'!$A$2:$A$501,'04_路径网络'!D455)+COUNTIF('03_地点锚点'!$A$2:$A$501,'04_路径网络'!D455)+COUNTIF('06_建筑锚点'!$A$2:$A$501,'04_路径网络'!D455)=0),"起点引用对象不存在；","")&amp;IF(AND('04_路径网络'!E455&lt;&gt;"",COUNTIF('02_固定地理'!$A$2:$A$501,'04_路径网络'!E455)+COUNTIF('03_地点锚点'!$A$2:$A$501,'04_路径网络'!E455)+COUNTIF('06_建筑锚点'!$A$2:$A$501,'04_路径网络'!E455)=0),"终点引用对象不存在；","")&amp;IF(AND('04_路径网络'!F455&lt;&gt;"",COUNTIF('04_路径网络'!$A$2:$A$501,'04_路径网络'!F455)=0),"父级路径不存在；","")&amp;IF(AND('04_路径网络'!A455&lt;&gt;"",COUNTIF('04_路径网络'!$A$2:$A$501,'04_路径网络'!A455)&gt;1),"ID重复；",""),"")</f>
        <v/>
      </c>
      <c r="G1455" s="14">
        <f>IF(F1455&lt;&gt;"","按字段批注、数据字典和来源记录修正后复核","")</f>
        <v/>
      </c>
      <c r="H1455" s="14">
        <f>IF(F1455&lt;&gt;"","待处理","")</f>
        <v/>
      </c>
    </row>
    <row r="1456">
      <c r="A1456" s="14">
        <f>IF(F1456&lt;&gt;"","ISSUE-"&amp;TEXT(ROW()-1,"00000"),"")</f>
        <v/>
      </c>
      <c r="B1456" s="14">
        <f>IF(F1456&lt;&gt;"","错误","")</f>
        <v/>
      </c>
      <c r="C1456" s="14">
        <f>IF('04_路径网络'!A456&lt;&gt;"","04_路径网络","")</f>
        <v/>
      </c>
      <c r="D1456" s="14">
        <f>IF('04_路径网络'!A456&lt;&gt;"",'04_路径网络'!A456,"")</f>
        <v/>
      </c>
      <c r="E1456" s="14">
        <f>IF(F1456&lt;&gt;"","综合校验","")</f>
        <v/>
      </c>
      <c r="F1456" s="14">
        <f>IF('04_路径网络'!A456&lt;&gt;"",IF('04_路径网络'!A456="","缺少路径ID；","")&amp;IF('04_路径网络'!C456="","缺少路径类型；","")&amp;IF('04_路径网络'!D456="","缺少起点对象ID；","")&amp;IF('04_路径网络'!E456="","缺少终点对象ID；","")&amp;IF(AND('04_路径网络'!D456&lt;&gt;"",'04_路径网络'!D456='04_路径网络'!E456),"起点与终点相同；","")&amp;IF(AND('04_路径网络'!D456&lt;&gt;"",COUNTIF('02_固定地理'!$A$2:$A$501,'04_路径网络'!D456)+COUNTIF('03_地点锚点'!$A$2:$A$501,'04_路径网络'!D456)+COUNTIF('06_建筑锚点'!$A$2:$A$501,'04_路径网络'!D456)=0),"起点引用对象不存在；","")&amp;IF(AND('04_路径网络'!E456&lt;&gt;"",COUNTIF('02_固定地理'!$A$2:$A$501,'04_路径网络'!E456)+COUNTIF('03_地点锚点'!$A$2:$A$501,'04_路径网络'!E456)+COUNTIF('06_建筑锚点'!$A$2:$A$501,'04_路径网络'!E456)=0),"终点引用对象不存在；","")&amp;IF(AND('04_路径网络'!F456&lt;&gt;"",COUNTIF('04_路径网络'!$A$2:$A$501,'04_路径网络'!F456)=0),"父级路径不存在；","")&amp;IF(AND('04_路径网络'!A456&lt;&gt;"",COUNTIF('04_路径网络'!$A$2:$A$501,'04_路径网络'!A456)&gt;1),"ID重复；",""),"")</f>
        <v/>
      </c>
      <c r="G1456" s="14">
        <f>IF(F1456&lt;&gt;"","按字段批注、数据字典和来源记录修正后复核","")</f>
        <v/>
      </c>
      <c r="H1456" s="14">
        <f>IF(F1456&lt;&gt;"","待处理","")</f>
        <v/>
      </c>
    </row>
    <row r="1457">
      <c r="A1457" s="14">
        <f>IF(F1457&lt;&gt;"","ISSUE-"&amp;TEXT(ROW()-1,"00000"),"")</f>
        <v/>
      </c>
      <c r="B1457" s="14">
        <f>IF(F1457&lt;&gt;"","错误","")</f>
        <v/>
      </c>
      <c r="C1457" s="14">
        <f>IF('04_路径网络'!A457&lt;&gt;"","04_路径网络","")</f>
        <v/>
      </c>
      <c r="D1457" s="14">
        <f>IF('04_路径网络'!A457&lt;&gt;"",'04_路径网络'!A457,"")</f>
        <v/>
      </c>
      <c r="E1457" s="14">
        <f>IF(F1457&lt;&gt;"","综合校验","")</f>
        <v/>
      </c>
      <c r="F1457" s="14">
        <f>IF('04_路径网络'!A457&lt;&gt;"",IF('04_路径网络'!A457="","缺少路径ID；","")&amp;IF('04_路径网络'!C457="","缺少路径类型；","")&amp;IF('04_路径网络'!D457="","缺少起点对象ID；","")&amp;IF('04_路径网络'!E457="","缺少终点对象ID；","")&amp;IF(AND('04_路径网络'!D457&lt;&gt;"",'04_路径网络'!D457='04_路径网络'!E457),"起点与终点相同；","")&amp;IF(AND('04_路径网络'!D457&lt;&gt;"",COUNTIF('02_固定地理'!$A$2:$A$501,'04_路径网络'!D457)+COUNTIF('03_地点锚点'!$A$2:$A$501,'04_路径网络'!D457)+COUNTIF('06_建筑锚点'!$A$2:$A$501,'04_路径网络'!D457)=0),"起点引用对象不存在；","")&amp;IF(AND('04_路径网络'!E457&lt;&gt;"",COUNTIF('02_固定地理'!$A$2:$A$501,'04_路径网络'!E457)+COUNTIF('03_地点锚点'!$A$2:$A$501,'04_路径网络'!E457)+COUNTIF('06_建筑锚点'!$A$2:$A$501,'04_路径网络'!E457)=0),"终点引用对象不存在；","")&amp;IF(AND('04_路径网络'!F457&lt;&gt;"",COUNTIF('04_路径网络'!$A$2:$A$501,'04_路径网络'!F457)=0),"父级路径不存在；","")&amp;IF(AND('04_路径网络'!A457&lt;&gt;"",COUNTIF('04_路径网络'!$A$2:$A$501,'04_路径网络'!A457)&gt;1),"ID重复；",""),"")</f>
        <v/>
      </c>
      <c r="G1457" s="14">
        <f>IF(F1457&lt;&gt;"","按字段批注、数据字典和来源记录修正后复核","")</f>
        <v/>
      </c>
      <c r="H1457" s="14">
        <f>IF(F1457&lt;&gt;"","待处理","")</f>
        <v/>
      </c>
    </row>
    <row r="1458">
      <c r="A1458" s="14">
        <f>IF(F1458&lt;&gt;"","ISSUE-"&amp;TEXT(ROW()-1,"00000"),"")</f>
        <v/>
      </c>
      <c r="B1458" s="14">
        <f>IF(F1458&lt;&gt;"","错误","")</f>
        <v/>
      </c>
      <c r="C1458" s="14">
        <f>IF('04_路径网络'!A458&lt;&gt;"","04_路径网络","")</f>
        <v/>
      </c>
      <c r="D1458" s="14">
        <f>IF('04_路径网络'!A458&lt;&gt;"",'04_路径网络'!A458,"")</f>
        <v/>
      </c>
      <c r="E1458" s="14">
        <f>IF(F1458&lt;&gt;"","综合校验","")</f>
        <v/>
      </c>
      <c r="F1458" s="14">
        <f>IF('04_路径网络'!A458&lt;&gt;"",IF('04_路径网络'!A458="","缺少路径ID；","")&amp;IF('04_路径网络'!C458="","缺少路径类型；","")&amp;IF('04_路径网络'!D458="","缺少起点对象ID；","")&amp;IF('04_路径网络'!E458="","缺少终点对象ID；","")&amp;IF(AND('04_路径网络'!D458&lt;&gt;"",'04_路径网络'!D458='04_路径网络'!E458),"起点与终点相同；","")&amp;IF(AND('04_路径网络'!D458&lt;&gt;"",COUNTIF('02_固定地理'!$A$2:$A$501,'04_路径网络'!D458)+COUNTIF('03_地点锚点'!$A$2:$A$501,'04_路径网络'!D458)+COUNTIF('06_建筑锚点'!$A$2:$A$501,'04_路径网络'!D458)=0),"起点引用对象不存在；","")&amp;IF(AND('04_路径网络'!E458&lt;&gt;"",COUNTIF('02_固定地理'!$A$2:$A$501,'04_路径网络'!E458)+COUNTIF('03_地点锚点'!$A$2:$A$501,'04_路径网络'!E458)+COUNTIF('06_建筑锚点'!$A$2:$A$501,'04_路径网络'!E458)=0),"终点引用对象不存在；","")&amp;IF(AND('04_路径网络'!F458&lt;&gt;"",COUNTIF('04_路径网络'!$A$2:$A$501,'04_路径网络'!F458)=0),"父级路径不存在；","")&amp;IF(AND('04_路径网络'!A458&lt;&gt;"",COUNTIF('04_路径网络'!$A$2:$A$501,'04_路径网络'!A458)&gt;1),"ID重复；",""),"")</f>
        <v/>
      </c>
      <c r="G1458" s="14">
        <f>IF(F1458&lt;&gt;"","按字段批注、数据字典和来源记录修正后复核","")</f>
        <v/>
      </c>
      <c r="H1458" s="14">
        <f>IF(F1458&lt;&gt;"","待处理","")</f>
        <v/>
      </c>
    </row>
    <row r="1459">
      <c r="A1459" s="14">
        <f>IF(F1459&lt;&gt;"","ISSUE-"&amp;TEXT(ROW()-1,"00000"),"")</f>
        <v/>
      </c>
      <c r="B1459" s="14">
        <f>IF(F1459&lt;&gt;"","错误","")</f>
        <v/>
      </c>
      <c r="C1459" s="14">
        <f>IF('04_路径网络'!A459&lt;&gt;"","04_路径网络","")</f>
        <v/>
      </c>
      <c r="D1459" s="14">
        <f>IF('04_路径网络'!A459&lt;&gt;"",'04_路径网络'!A459,"")</f>
        <v/>
      </c>
      <c r="E1459" s="14">
        <f>IF(F1459&lt;&gt;"","综合校验","")</f>
        <v/>
      </c>
      <c r="F1459" s="14">
        <f>IF('04_路径网络'!A459&lt;&gt;"",IF('04_路径网络'!A459="","缺少路径ID；","")&amp;IF('04_路径网络'!C459="","缺少路径类型；","")&amp;IF('04_路径网络'!D459="","缺少起点对象ID；","")&amp;IF('04_路径网络'!E459="","缺少终点对象ID；","")&amp;IF(AND('04_路径网络'!D459&lt;&gt;"",'04_路径网络'!D459='04_路径网络'!E459),"起点与终点相同；","")&amp;IF(AND('04_路径网络'!D459&lt;&gt;"",COUNTIF('02_固定地理'!$A$2:$A$501,'04_路径网络'!D459)+COUNTIF('03_地点锚点'!$A$2:$A$501,'04_路径网络'!D459)+COUNTIF('06_建筑锚点'!$A$2:$A$501,'04_路径网络'!D459)=0),"起点引用对象不存在；","")&amp;IF(AND('04_路径网络'!E459&lt;&gt;"",COUNTIF('02_固定地理'!$A$2:$A$501,'04_路径网络'!E459)+COUNTIF('03_地点锚点'!$A$2:$A$501,'04_路径网络'!E459)+COUNTIF('06_建筑锚点'!$A$2:$A$501,'04_路径网络'!E459)=0),"终点引用对象不存在；","")&amp;IF(AND('04_路径网络'!F459&lt;&gt;"",COUNTIF('04_路径网络'!$A$2:$A$501,'04_路径网络'!F459)=0),"父级路径不存在；","")&amp;IF(AND('04_路径网络'!A459&lt;&gt;"",COUNTIF('04_路径网络'!$A$2:$A$501,'04_路径网络'!A459)&gt;1),"ID重复；",""),"")</f>
        <v/>
      </c>
      <c r="G1459" s="14">
        <f>IF(F1459&lt;&gt;"","按字段批注、数据字典和来源记录修正后复核","")</f>
        <v/>
      </c>
      <c r="H1459" s="14">
        <f>IF(F1459&lt;&gt;"","待处理","")</f>
        <v/>
      </c>
    </row>
    <row r="1460">
      <c r="A1460" s="14">
        <f>IF(F1460&lt;&gt;"","ISSUE-"&amp;TEXT(ROW()-1,"00000"),"")</f>
        <v/>
      </c>
      <c r="B1460" s="14">
        <f>IF(F1460&lt;&gt;"","错误","")</f>
        <v/>
      </c>
      <c r="C1460" s="14">
        <f>IF('04_路径网络'!A460&lt;&gt;"","04_路径网络","")</f>
        <v/>
      </c>
      <c r="D1460" s="14">
        <f>IF('04_路径网络'!A460&lt;&gt;"",'04_路径网络'!A460,"")</f>
        <v/>
      </c>
      <c r="E1460" s="14">
        <f>IF(F1460&lt;&gt;"","综合校验","")</f>
        <v/>
      </c>
      <c r="F1460" s="14">
        <f>IF('04_路径网络'!A460&lt;&gt;"",IF('04_路径网络'!A460="","缺少路径ID；","")&amp;IF('04_路径网络'!C460="","缺少路径类型；","")&amp;IF('04_路径网络'!D460="","缺少起点对象ID；","")&amp;IF('04_路径网络'!E460="","缺少终点对象ID；","")&amp;IF(AND('04_路径网络'!D460&lt;&gt;"",'04_路径网络'!D460='04_路径网络'!E460),"起点与终点相同；","")&amp;IF(AND('04_路径网络'!D460&lt;&gt;"",COUNTIF('02_固定地理'!$A$2:$A$501,'04_路径网络'!D460)+COUNTIF('03_地点锚点'!$A$2:$A$501,'04_路径网络'!D460)+COUNTIF('06_建筑锚点'!$A$2:$A$501,'04_路径网络'!D460)=0),"起点引用对象不存在；","")&amp;IF(AND('04_路径网络'!E460&lt;&gt;"",COUNTIF('02_固定地理'!$A$2:$A$501,'04_路径网络'!E460)+COUNTIF('03_地点锚点'!$A$2:$A$501,'04_路径网络'!E460)+COUNTIF('06_建筑锚点'!$A$2:$A$501,'04_路径网络'!E460)=0),"终点引用对象不存在；","")&amp;IF(AND('04_路径网络'!F460&lt;&gt;"",COUNTIF('04_路径网络'!$A$2:$A$501,'04_路径网络'!F460)=0),"父级路径不存在；","")&amp;IF(AND('04_路径网络'!A460&lt;&gt;"",COUNTIF('04_路径网络'!$A$2:$A$501,'04_路径网络'!A460)&gt;1),"ID重复；",""),"")</f>
        <v/>
      </c>
      <c r="G1460" s="14">
        <f>IF(F1460&lt;&gt;"","按字段批注、数据字典和来源记录修正后复核","")</f>
        <v/>
      </c>
      <c r="H1460" s="14">
        <f>IF(F1460&lt;&gt;"","待处理","")</f>
        <v/>
      </c>
    </row>
    <row r="1461">
      <c r="A1461" s="14">
        <f>IF(F1461&lt;&gt;"","ISSUE-"&amp;TEXT(ROW()-1,"00000"),"")</f>
        <v/>
      </c>
      <c r="B1461" s="14">
        <f>IF(F1461&lt;&gt;"","错误","")</f>
        <v/>
      </c>
      <c r="C1461" s="14">
        <f>IF('04_路径网络'!A461&lt;&gt;"","04_路径网络","")</f>
        <v/>
      </c>
      <c r="D1461" s="14">
        <f>IF('04_路径网络'!A461&lt;&gt;"",'04_路径网络'!A461,"")</f>
        <v/>
      </c>
      <c r="E1461" s="14">
        <f>IF(F1461&lt;&gt;"","综合校验","")</f>
        <v/>
      </c>
      <c r="F1461" s="14">
        <f>IF('04_路径网络'!A461&lt;&gt;"",IF('04_路径网络'!A461="","缺少路径ID；","")&amp;IF('04_路径网络'!C461="","缺少路径类型；","")&amp;IF('04_路径网络'!D461="","缺少起点对象ID；","")&amp;IF('04_路径网络'!E461="","缺少终点对象ID；","")&amp;IF(AND('04_路径网络'!D461&lt;&gt;"",'04_路径网络'!D461='04_路径网络'!E461),"起点与终点相同；","")&amp;IF(AND('04_路径网络'!D461&lt;&gt;"",COUNTIF('02_固定地理'!$A$2:$A$501,'04_路径网络'!D461)+COUNTIF('03_地点锚点'!$A$2:$A$501,'04_路径网络'!D461)+COUNTIF('06_建筑锚点'!$A$2:$A$501,'04_路径网络'!D461)=0),"起点引用对象不存在；","")&amp;IF(AND('04_路径网络'!E461&lt;&gt;"",COUNTIF('02_固定地理'!$A$2:$A$501,'04_路径网络'!E461)+COUNTIF('03_地点锚点'!$A$2:$A$501,'04_路径网络'!E461)+COUNTIF('06_建筑锚点'!$A$2:$A$501,'04_路径网络'!E461)=0),"终点引用对象不存在；","")&amp;IF(AND('04_路径网络'!F461&lt;&gt;"",COUNTIF('04_路径网络'!$A$2:$A$501,'04_路径网络'!F461)=0),"父级路径不存在；","")&amp;IF(AND('04_路径网络'!A461&lt;&gt;"",COUNTIF('04_路径网络'!$A$2:$A$501,'04_路径网络'!A461)&gt;1),"ID重复；",""),"")</f>
        <v/>
      </c>
      <c r="G1461" s="14">
        <f>IF(F1461&lt;&gt;"","按字段批注、数据字典和来源记录修正后复核","")</f>
        <v/>
      </c>
      <c r="H1461" s="14">
        <f>IF(F1461&lt;&gt;"","待处理","")</f>
        <v/>
      </c>
    </row>
    <row r="1462">
      <c r="A1462" s="14">
        <f>IF(F1462&lt;&gt;"","ISSUE-"&amp;TEXT(ROW()-1,"00000"),"")</f>
        <v/>
      </c>
      <c r="B1462" s="14">
        <f>IF(F1462&lt;&gt;"","错误","")</f>
        <v/>
      </c>
      <c r="C1462" s="14">
        <f>IF('04_路径网络'!A462&lt;&gt;"","04_路径网络","")</f>
        <v/>
      </c>
      <c r="D1462" s="14">
        <f>IF('04_路径网络'!A462&lt;&gt;"",'04_路径网络'!A462,"")</f>
        <v/>
      </c>
      <c r="E1462" s="14">
        <f>IF(F1462&lt;&gt;"","综合校验","")</f>
        <v/>
      </c>
      <c r="F1462" s="14">
        <f>IF('04_路径网络'!A462&lt;&gt;"",IF('04_路径网络'!A462="","缺少路径ID；","")&amp;IF('04_路径网络'!C462="","缺少路径类型；","")&amp;IF('04_路径网络'!D462="","缺少起点对象ID；","")&amp;IF('04_路径网络'!E462="","缺少终点对象ID；","")&amp;IF(AND('04_路径网络'!D462&lt;&gt;"",'04_路径网络'!D462='04_路径网络'!E462),"起点与终点相同；","")&amp;IF(AND('04_路径网络'!D462&lt;&gt;"",COUNTIF('02_固定地理'!$A$2:$A$501,'04_路径网络'!D462)+COUNTIF('03_地点锚点'!$A$2:$A$501,'04_路径网络'!D462)+COUNTIF('06_建筑锚点'!$A$2:$A$501,'04_路径网络'!D462)=0),"起点引用对象不存在；","")&amp;IF(AND('04_路径网络'!E462&lt;&gt;"",COUNTIF('02_固定地理'!$A$2:$A$501,'04_路径网络'!E462)+COUNTIF('03_地点锚点'!$A$2:$A$501,'04_路径网络'!E462)+COUNTIF('06_建筑锚点'!$A$2:$A$501,'04_路径网络'!E462)=0),"终点引用对象不存在；","")&amp;IF(AND('04_路径网络'!F462&lt;&gt;"",COUNTIF('04_路径网络'!$A$2:$A$501,'04_路径网络'!F462)=0),"父级路径不存在；","")&amp;IF(AND('04_路径网络'!A462&lt;&gt;"",COUNTIF('04_路径网络'!$A$2:$A$501,'04_路径网络'!A462)&gt;1),"ID重复；",""),"")</f>
        <v/>
      </c>
      <c r="G1462" s="14">
        <f>IF(F1462&lt;&gt;"","按字段批注、数据字典和来源记录修正后复核","")</f>
        <v/>
      </c>
      <c r="H1462" s="14">
        <f>IF(F1462&lt;&gt;"","待处理","")</f>
        <v/>
      </c>
    </row>
    <row r="1463">
      <c r="A1463" s="14">
        <f>IF(F1463&lt;&gt;"","ISSUE-"&amp;TEXT(ROW()-1,"00000"),"")</f>
        <v/>
      </c>
      <c r="B1463" s="14">
        <f>IF(F1463&lt;&gt;"","错误","")</f>
        <v/>
      </c>
      <c r="C1463" s="14">
        <f>IF('04_路径网络'!A463&lt;&gt;"","04_路径网络","")</f>
        <v/>
      </c>
      <c r="D1463" s="14">
        <f>IF('04_路径网络'!A463&lt;&gt;"",'04_路径网络'!A463,"")</f>
        <v/>
      </c>
      <c r="E1463" s="14">
        <f>IF(F1463&lt;&gt;"","综合校验","")</f>
        <v/>
      </c>
      <c r="F1463" s="14">
        <f>IF('04_路径网络'!A463&lt;&gt;"",IF('04_路径网络'!A463="","缺少路径ID；","")&amp;IF('04_路径网络'!C463="","缺少路径类型；","")&amp;IF('04_路径网络'!D463="","缺少起点对象ID；","")&amp;IF('04_路径网络'!E463="","缺少终点对象ID；","")&amp;IF(AND('04_路径网络'!D463&lt;&gt;"",'04_路径网络'!D463='04_路径网络'!E463),"起点与终点相同；","")&amp;IF(AND('04_路径网络'!D463&lt;&gt;"",COUNTIF('02_固定地理'!$A$2:$A$501,'04_路径网络'!D463)+COUNTIF('03_地点锚点'!$A$2:$A$501,'04_路径网络'!D463)+COUNTIF('06_建筑锚点'!$A$2:$A$501,'04_路径网络'!D463)=0),"起点引用对象不存在；","")&amp;IF(AND('04_路径网络'!E463&lt;&gt;"",COUNTIF('02_固定地理'!$A$2:$A$501,'04_路径网络'!E463)+COUNTIF('03_地点锚点'!$A$2:$A$501,'04_路径网络'!E463)+COUNTIF('06_建筑锚点'!$A$2:$A$501,'04_路径网络'!E463)=0),"终点引用对象不存在；","")&amp;IF(AND('04_路径网络'!F463&lt;&gt;"",COUNTIF('04_路径网络'!$A$2:$A$501,'04_路径网络'!F463)=0),"父级路径不存在；","")&amp;IF(AND('04_路径网络'!A463&lt;&gt;"",COUNTIF('04_路径网络'!$A$2:$A$501,'04_路径网络'!A463)&gt;1),"ID重复；",""),"")</f>
        <v/>
      </c>
      <c r="G1463" s="14">
        <f>IF(F1463&lt;&gt;"","按字段批注、数据字典和来源记录修正后复核","")</f>
        <v/>
      </c>
      <c r="H1463" s="14">
        <f>IF(F1463&lt;&gt;"","待处理","")</f>
        <v/>
      </c>
    </row>
    <row r="1464">
      <c r="A1464" s="14">
        <f>IF(F1464&lt;&gt;"","ISSUE-"&amp;TEXT(ROW()-1,"00000"),"")</f>
        <v/>
      </c>
      <c r="B1464" s="14">
        <f>IF(F1464&lt;&gt;"","错误","")</f>
        <v/>
      </c>
      <c r="C1464" s="14">
        <f>IF('04_路径网络'!A464&lt;&gt;"","04_路径网络","")</f>
        <v/>
      </c>
      <c r="D1464" s="14">
        <f>IF('04_路径网络'!A464&lt;&gt;"",'04_路径网络'!A464,"")</f>
        <v/>
      </c>
      <c r="E1464" s="14">
        <f>IF(F1464&lt;&gt;"","综合校验","")</f>
        <v/>
      </c>
      <c r="F1464" s="14">
        <f>IF('04_路径网络'!A464&lt;&gt;"",IF('04_路径网络'!A464="","缺少路径ID；","")&amp;IF('04_路径网络'!C464="","缺少路径类型；","")&amp;IF('04_路径网络'!D464="","缺少起点对象ID；","")&amp;IF('04_路径网络'!E464="","缺少终点对象ID；","")&amp;IF(AND('04_路径网络'!D464&lt;&gt;"",'04_路径网络'!D464='04_路径网络'!E464),"起点与终点相同；","")&amp;IF(AND('04_路径网络'!D464&lt;&gt;"",COUNTIF('02_固定地理'!$A$2:$A$501,'04_路径网络'!D464)+COUNTIF('03_地点锚点'!$A$2:$A$501,'04_路径网络'!D464)+COUNTIF('06_建筑锚点'!$A$2:$A$501,'04_路径网络'!D464)=0),"起点引用对象不存在；","")&amp;IF(AND('04_路径网络'!E464&lt;&gt;"",COUNTIF('02_固定地理'!$A$2:$A$501,'04_路径网络'!E464)+COUNTIF('03_地点锚点'!$A$2:$A$501,'04_路径网络'!E464)+COUNTIF('06_建筑锚点'!$A$2:$A$501,'04_路径网络'!E464)=0),"终点引用对象不存在；","")&amp;IF(AND('04_路径网络'!F464&lt;&gt;"",COUNTIF('04_路径网络'!$A$2:$A$501,'04_路径网络'!F464)=0),"父级路径不存在；","")&amp;IF(AND('04_路径网络'!A464&lt;&gt;"",COUNTIF('04_路径网络'!$A$2:$A$501,'04_路径网络'!A464)&gt;1),"ID重复；",""),"")</f>
        <v/>
      </c>
      <c r="G1464" s="14">
        <f>IF(F1464&lt;&gt;"","按字段批注、数据字典和来源记录修正后复核","")</f>
        <v/>
      </c>
      <c r="H1464" s="14">
        <f>IF(F1464&lt;&gt;"","待处理","")</f>
        <v/>
      </c>
    </row>
    <row r="1465">
      <c r="A1465" s="14">
        <f>IF(F1465&lt;&gt;"","ISSUE-"&amp;TEXT(ROW()-1,"00000"),"")</f>
        <v/>
      </c>
      <c r="B1465" s="14">
        <f>IF(F1465&lt;&gt;"","错误","")</f>
        <v/>
      </c>
      <c r="C1465" s="14">
        <f>IF('04_路径网络'!A465&lt;&gt;"","04_路径网络","")</f>
        <v/>
      </c>
      <c r="D1465" s="14">
        <f>IF('04_路径网络'!A465&lt;&gt;"",'04_路径网络'!A465,"")</f>
        <v/>
      </c>
      <c r="E1465" s="14">
        <f>IF(F1465&lt;&gt;"","综合校验","")</f>
        <v/>
      </c>
      <c r="F1465" s="14">
        <f>IF('04_路径网络'!A465&lt;&gt;"",IF('04_路径网络'!A465="","缺少路径ID；","")&amp;IF('04_路径网络'!C465="","缺少路径类型；","")&amp;IF('04_路径网络'!D465="","缺少起点对象ID；","")&amp;IF('04_路径网络'!E465="","缺少终点对象ID；","")&amp;IF(AND('04_路径网络'!D465&lt;&gt;"",'04_路径网络'!D465='04_路径网络'!E465),"起点与终点相同；","")&amp;IF(AND('04_路径网络'!D465&lt;&gt;"",COUNTIF('02_固定地理'!$A$2:$A$501,'04_路径网络'!D465)+COUNTIF('03_地点锚点'!$A$2:$A$501,'04_路径网络'!D465)+COUNTIF('06_建筑锚点'!$A$2:$A$501,'04_路径网络'!D465)=0),"起点引用对象不存在；","")&amp;IF(AND('04_路径网络'!E465&lt;&gt;"",COUNTIF('02_固定地理'!$A$2:$A$501,'04_路径网络'!E465)+COUNTIF('03_地点锚点'!$A$2:$A$501,'04_路径网络'!E465)+COUNTIF('06_建筑锚点'!$A$2:$A$501,'04_路径网络'!E465)=0),"终点引用对象不存在；","")&amp;IF(AND('04_路径网络'!F465&lt;&gt;"",COUNTIF('04_路径网络'!$A$2:$A$501,'04_路径网络'!F465)=0),"父级路径不存在；","")&amp;IF(AND('04_路径网络'!A465&lt;&gt;"",COUNTIF('04_路径网络'!$A$2:$A$501,'04_路径网络'!A465)&gt;1),"ID重复；",""),"")</f>
        <v/>
      </c>
      <c r="G1465" s="14">
        <f>IF(F1465&lt;&gt;"","按字段批注、数据字典和来源记录修正后复核","")</f>
        <v/>
      </c>
      <c r="H1465" s="14">
        <f>IF(F1465&lt;&gt;"","待处理","")</f>
        <v/>
      </c>
    </row>
    <row r="1466">
      <c r="A1466" s="14">
        <f>IF(F1466&lt;&gt;"","ISSUE-"&amp;TEXT(ROW()-1,"00000"),"")</f>
        <v/>
      </c>
      <c r="B1466" s="14">
        <f>IF(F1466&lt;&gt;"","错误","")</f>
        <v/>
      </c>
      <c r="C1466" s="14">
        <f>IF('04_路径网络'!A466&lt;&gt;"","04_路径网络","")</f>
        <v/>
      </c>
      <c r="D1466" s="14">
        <f>IF('04_路径网络'!A466&lt;&gt;"",'04_路径网络'!A466,"")</f>
        <v/>
      </c>
      <c r="E1466" s="14">
        <f>IF(F1466&lt;&gt;"","综合校验","")</f>
        <v/>
      </c>
      <c r="F1466" s="14">
        <f>IF('04_路径网络'!A466&lt;&gt;"",IF('04_路径网络'!A466="","缺少路径ID；","")&amp;IF('04_路径网络'!C466="","缺少路径类型；","")&amp;IF('04_路径网络'!D466="","缺少起点对象ID；","")&amp;IF('04_路径网络'!E466="","缺少终点对象ID；","")&amp;IF(AND('04_路径网络'!D466&lt;&gt;"",'04_路径网络'!D466='04_路径网络'!E466),"起点与终点相同；","")&amp;IF(AND('04_路径网络'!D466&lt;&gt;"",COUNTIF('02_固定地理'!$A$2:$A$501,'04_路径网络'!D466)+COUNTIF('03_地点锚点'!$A$2:$A$501,'04_路径网络'!D466)+COUNTIF('06_建筑锚点'!$A$2:$A$501,'04_路径网络'!D466)=0),"起点引用对象不存在；","")&amp;IF(AND('04_路径网络'!E466&lt;&gt;"",COUNTIF('02_固定地理'!$A$2:$A$501,'04_路径网络'!E466)+COUNTIF('03_地点锚点'!$A$2:$A$501,'04_路径网络'!E466)+COUNTIF('06_建筑锚点'!$A$2:$A$501,'04_路径网络'!E466)=0),"终点引用对象不存在；","")&amp;IF(AND('04_路径网络'!F466&lt;&gt;"",COUNTIF('04_路径网络'!$A$2:$A$501,'04_路径网络'!F466)=0),"父级路径不存在；","")&amp;IF(AND('04_路径网络'!A466&lt;&gt;"",COUNTIF('04_路径网络'!$A$2:$A$501,'04_路径网络'!A466)&gt;1),"ID重复；",""),"")</f>
        <v/>
      </c>
      <c r="G1466" s="14">
        <f>IF(F1466&lt;&gt;"","按字段批注、数据字典和来源记录修正后复核","")</f>
        <v/>
      </c>
      <c r="H1466" s="14">
        <f>IF(F1466&lt;&gt;"","待处理","")</f>
        <v/>
      </c>
    </row>
    <row r="1467">
      <c r="A1467" s="14">
        <f>IF(F1467&lt;&gt;"","ISSUE-"&amp;TEXT(ROW()-1,"00000"),"")</f>
        <v/>
      </c>
      <c r="B1467" s="14">
        <f>IF(F1467&lt;&gt;"","错误","")</f>
        <v/>
      </c>
      <c r="C1467" s="14">
        <f>IF('04_路径网络'!A467&lt;&gt;"","04_路径网络","")</f>
        <v/>
      </c>
      <c r="D1467" s="14">
        <f>IF('04_路径网络'!A467&lt;&gt;"",'04_路径网络'!A467,"")</f>
        <v/>
      </c>
      <c r="E1467" s="14">
        <f>IF(F1467&lt;&gt;"","综合校验","")</f>
        <v/>
      </c>
      <c r="F1467" s="14">
        <f>IF('04_路径网络'!A467&lt;&gt;"",IF('04_路径网络'!A467="","缺少路径ID；","")&amp;IF('04_路径网络'!C467="","缺少路径类型；","")&amp;IF('04_路径网络'!D467="","缺少起点对象ID；","")&amp;IF('04_路径网络'!E467="","缺少终点对象ID；","")&amp;IF(AND('04_路径网络'!D467&lt;&gt;"",'04_路径网络'!D467='04_路径网络'!E467),"起点与终点相同；","")&amp;IF(AND('04_路径网络'!D467&lt;&gt;"",COUNTIF('02_固定地理'!$A$2:$A$501,'04_路径网络'!D467)+COUNTIF('03_地点锚点'!$A$2:$A$501,'04_路径网络'!D467)+COUNTIF('06_建筑锚点'!$A$2:$A$501,'04_路径网络'!D467)=0),"起点引用对象不存在；","")&amp;IF(AND('04_路径网络'!E467&lt;&gt;"",COUNTIF('02_固定地理'!$A$2:$A$501,'04_路径网络'!E467)+COUNTIF('03_地点锚点'!$A$2:$A$501,'04_路径网络'!E467)+COUNTIF('06_建筑锚点'!$A$2:$A$501,'04_路径网络'!E467)=0),"终点引用对象不存在；","")&amp;IF(AND('04_路径网络'!F467&lt;&gt;"",COUNTIF('04_路径网络'!$A$2:$A$501,'04_路径网络'!F467)=0),"父级路径不存在；","")&amp;IF(AND('04_路径网络'!A467&lt;&gt;"",COUNTIF('04_路径网络'!$A$2:$A$501,'04_路径网络'!A467)&gt;1),"ID重复；",""),"")</f>
        <v/>
      </c>
      <c r="G1467" s="14">
        <f>IF(F1467&lt;&gt;"","按字段批注、数据字典和来源记录修正后复核","")</f>
        <v/>
      </c>
      <c r="H1467" s="14">
        <f>IF(F1467&lt;&gt;"","待处理","")</f>
        <v/>
      </c>
    </row>
    <row r="1468">
      <c r="A1468" s="14">
        <f>IF(F1468&lt;&gt;"","ISSUE-"&amp;TEXT(ROW()-1,"00000"),"")</f>
        <v/>
      </c>
      <c r="B1468" s="14">
        <f>IF(F1468&lt;&gt;"","错误","")</f>
        <v/>
      </c>
      <c r="C1468" s="14">
        <f>IF('04_路径网络'!A468&lt;&gt;"","04_路径网络","")</f>
        <v/>
      </c>
      <c r="D1468" s="14">
        <f>IF('04_路径网络'!A468&lt;&gt;"",'04_路径网络'!A468,"")</f>
        <v/>
      </c>
      <c r="E1468" s="14">
        <f>IF(F1468&lt;&gt;"","综合校验","")</f>
        <v/>
      </c>
      <c r="F1468" s="14">
        <f>IF('04_路径网络'!A468&lt;&gt;"",IF('04_路径网络'!A468="","缺少路径ID；","")&amp;IF('04_路径网络'!C468="","缺少路径类型；","")&amp;IF('04_路径网络'!D468="","缺少起点对象ID；","")&amp;IF('04_路径网络'!E468="","缺少终点对象ID；","")&amp;IF(AND('04_路径网络'!D468&lt;&gt;"",'04_路径网络'!D468='04_路径网络'!E468),"起点与终点相同；","")&amp;IF(AND('04_路径网络'!D468&lt;&gt;"",COUNTIF('02_固定地理'!$A$2:$A$501,'04_路径网络'!D468)+COUNTIF('03_地点锚点'!$A$2:$A$501,'04_路径网络'!D468)+COUNTIF('06_建筑锚点'!$A$2:$A$501,'04_路径网络'!D468)=0),"起点引用对象不存在；","")&amp;IF(AND('04_路径网络'!E468&lt;&gt;"",COUNTIF('02_固定地理'!$A$2:$A$501,'04_路径网络'!E468)+COUNTIF('03_地点锚点'!$A$2:$A$501,'04_路径网络'!E468)+COUNTIF('06_建筑锚点'!$A$2:$A$501,'04_路径网络'!E468)=0),"终点引用对象不存在；","")&amp;IF(AND('04_路径网络'!F468&lt;&gt;"",COUNTIF('04_路径网络'!$A$2:$A$501,'04_路径网络'!F468)=0),"父级路径不存在；","")&amp;IF(AND('04_路径网络'!A468&lt;&gt;"",COUNTIF('04_路径网络'!$A$2:$A$501,'04_路径网络'!A468)&gt;1),"ID重复；",""),"")</f>
        <v/>
      </c>
      <c r="G1468" s="14">
        <f>IF(F1468&lt;&gt;"","按字段批注、数据字典和来源记录修正后复核","")</f>
        <v/>
      </c>
      <c r="H1468" s="14">
        <f>IF(F1468&lt;&gt;"","待处理","")</f>
        <v/>
      </c>
    </row>
    <row r="1469">
      <c r="A1469" s="14">
        <f>IF(F1469&lt;&gt;"","ISSUE-"&amp;TEXT(ROW()-1,"00000"),"")</f>
        <v/>
      </c>
      <c r="B1469" s="14">
        <f>IF(F1469&lt;&gt;"","错误","")</f>
        <v/>
      </c>
      <c r="C1469" s="14">
        <f>IF('04_路径网络'!A469&lt;&gt;"","04_路径网络","")</f>
        <v/>
      </c>
      <c r="D1469" s="14">
        <f>IF('04_路径网络'!A469&lt;&gt;"",'04_路径网络'!A469,"")</f>
        <v/>
      </c>
      <c r="E1469" s="14">
        <f>IF(F1469&lt;&gt;"","综合校验","")</f>
        <v/>
      </c>
      <c r="F1469" s="14">
        <f>IF('04_路径网络'!A469&lt;&gt;"",IF('04_路径网络'!A469="","缺少路径ID；","")&amp;IF('04_路径网络'!C469="","缺少路径类型；","")&amp;IF('04_路径网络'!D469="","缺少起点对象ID；","")&amp;IF('04_路径网络'!E469="","缺少终点对象ID；","")&amp;IF(AND('04_路径网络'!D469&lt;&gt;"",'04_路径网络'!D469='04_路径网络'!E469),"起点与终点相同；","")&amp;IF(AND('04_路径网络'!D469&lt;&gt;"",COUNTIF('02_固定地理'!$A$2:$A$501,'04_路径网络'!D469)+COUNTIF('03_地点锚点'!$A$2:$A$501,'04_路径网络'!D469)+COUNTIF('06_建筑锚点'!$A$2:$A$501,'04_路径网络'!D469)=0),"起点引用对象不存在；","")&amp;IF(AND('04_路径网络'!E469&lt;&gt;"",COUNTIF('02_固定地理'!$A$2:$A$501,'04_路径网络'!E469)+COUNTIF('03_地点锚点'!$A$2:$A$501,'04_路径网络'!E469)+COUNTIF('06_建筑锚点'!$A$2:$A$501,'04_路径网络'!E469)=0),"终点引用对象不存在；","")&amp;IF(AND('04_路径网络'!F469&lt;&gt;"",COUNTIF('04_路径网络'!$A$2:$A$501,'04_路径网络'!F469)=0),"父级路径不存在；","")&amp;IF(AND('04_路径网络'!A469&lt;&gt;"",COUNTIF('04_路径网络'!$A$2:$A$501,'04_路径网络'!A469)&gt;1),"ID重复；",""),"")</f>
        <v/>
      </c>
      <c r="G1469" s="14">
        <f>IF(F1469&lt;&gt;"","按字段批注、数据字典和来源记录修正后复核","")</f>
        <v/>
      </c>
      <c r="H1469" s="14">
        <f>IF(F1469&lt;&gt;"","待处理","")</f>
        <v/>
      </c>
    </row>
    <row r="1470">
      <c r="A1470" s="14">
        <f>IF(F1470&lt;&gt;"","ISSUE-"&amp;TEXT(ROW()-1,"00000"),"")</f>
        <v/>
      </c>
      <c r="B1470" s="14">
        <f>IF(F1470&lt;&gt;"","错误","")</f>
        <v/>
      </c>
      <c r="C1470" s="14">
        <f>IF('04_路径网络'!A470&lt;&gt;"","04_路径网络","")</f>
        <v/>
      </c>
      <c r="D1470" s="14">
        <f>IF('04_路径网络'!A470&lt;&gt;"",'04_路径网络'!A470,"")</f>
        <v/>
      </c>
      <c r="E1470" s="14">
        <f>IF(F1470&lt;&gt;"","综合校验","")</f>
        <v/>
      </c>
      <c r="F1470" s="14">
        <f>IF('04_路径网络'!A470&lt;&gt;"",IF('04_路径网络'!A470="","缺少路径ID；","")&amp;IF('04_路径网络'!C470="","缺少路径类型；","")&amp;IF('04_路径网络'!D470="","缺少起点对象ID；","")&amp;IF('04_路径网络'!E470="","缺少终点对象ID；","")&amp;IF(AND('04_路径网络'!D470&lt;&gt;"",'04_路径网络'!D470='04_路径网络'!E470),"起点与终点相同；","")&amp;IF(AND('04_路径网络'!D470&lt;&gt;"",COUNTIF('02_固定地理'!$A$2:$A$501,'04_路径网络'!D470)+COUNTIF('03_地点锚点'!$A$2:$A$501,'04_路径网络'!D470)+COUNTIF('06_建筑锚点'!$A$2:$A$501,'04_路径网络'!D470)=0),"起点引用对象不存在；","")&amp;IF(AND('04_路径网络'!E470&lt;&gt;"",COUNTIF('02_固定地理'!$A$2:$A$501,'04_路径网络'!E470)+COUNTIF('03_地点锚点'!$A$2:$A$501,'04_路径网络'!E470)+COUNTIF('06_建筑锚点'!$A$2:$A$501,'04_路径网络'!E470)=0),"终点引用对象不存在；","")&amp;IF(AND('04_路径网络'!F470&lt;&gt;"",COUNTIF('04_路径网络'!$A$2:$A$501,'04_路径网络'!F470)=0),"父级路径不存在；","")&amp;IF(AND('04_路径网络'!A470&lt;&gt;"",COUNTIF('04_路径网络'!$A$2:$A$501,'04_路径网络'!A470)&gt;1),"ID重复；",""),"")</f>
        <v/>
      </c>
      <c r="G1470" s="14">
        <f>IF(F1470&lt;&gt;"","按字段批注、数据字典和来源记录修正后复核","")</f>
        <v/>
      </c>
      <c r="H1470" s="14">
        <f>IF(F1470&lt;&gt;"","待处理","")</f>
        <v/>
      </c>
    </row>
    <row r="1471">
      <c r="A1471" s="14">
        <f>IF(F1471&lt;&gt;"","ISSUE-"&amp;TEXT(ROW()-1,"00000"),"")</f>
        <v/>
      </c>
      <c r="B1471" s="14">
        <f>IF(F1471&lt;&gt;"","错误","")</f>
        <v/>
      </c>
      <c r="C1471" s="14">
        <f>IF('04_路径网络'!A471&lt;&gt;"","04_路径网络","")</f>
        <v/>
      </c>
      <c r="D1471" s="14">
        <f>IF('04_路径网络'!A471&lt;&gt;"",'04_路径网络'!A471,"")</f>
        <v/>
      </c>
      <c r="E1471" s="14">
        <f>IF(F1471&lt;&gt;"","综合校验","")</f>
        <v/>
      </c>
      <c r="F1471" s="14">
        <f>IF('04_路径网络'!A471&lt;&gt;"",IF('04_路径网络'!A471="","缺少路径ID；","")&amp;IF('04_路径网络'!C471="","缺少路径类型；","")&amp;IF('04_路径网络'!D471="","缺少起点对象ID；","")&amp;IF('04_路径网络'!E471="","缺少终点对象ID；","")&amp;IF(AND('04_路径网络'!D471&lt;&gt;"",'04_路径网络'!D471='04_路径网络'!E471),"起点与终点相同；","")&amp;IF(AND('04_路径网络'!D471&lt;&gt;"",COUNTIF('02_固定地理'!$A$2:$A$501,'04_路径网络'!D471)+COUNTIF('03_地点锚点'!$A$2:$A$501,'04_路径网络'!D471)+COUNTIF('06_建筑锚点'!$A$2:$A$501,'04_路径网络'!D471)=0),"起点引用对象不存在；","")&amp;IF(AND('04_路径网络'!E471&lt;&gt;"",COUNTIF('02_固定地理'!$A$2:$A$501,'04_路径网络'!E471)+COUNTIF('03_地点锚点'!$A$2:$A$501,'04_路径网络'!E471)+COUNTIF('06_建筑锚点'!$A$2:$A$501,'04_路径网络'!E471)=0),"终点引用对象不存在；","")&amp;IF(AND('04_路径网络'!F471&lt;&gt;"",COUNTIF('04_路径网络'!$A$2:$A$501,'04_路径网络'!F471)=0),"父级路径不存在；","")&amp;IF(AND('04_路径网络'!A471&lt;&gt;"",COUNTIF('04_路径网络'!$A$2:$A$501,'04_路径网络'!A471)&gt;1),"ID重复；",""),"")</f>
        <v/>
      </c>
      <c r="G1471" s="14">
        <f>IF(F1471&lt;&gt;"","按字段批注、数据字典和来源记录修正后复核","")</f>
        <v/>
      </c>
      <c r="H1471" s="14">
        <f>IF(F1471&lt;&gt;"","待处理","")</f>
        <v/>
      </c>
    </row>
    <row r="1472">
      <c r="A1472" s="14">
        <f>IF(F1472&lt;&gt;"","ISSUE-"&amp;TEXT(ROW()-1,"00000"),"")</f>
        <v/>
      </c>
      <c r="B1472" s="14">
        <f>IF(F1472&lt;&gt;"","错误","")</f>
        <v/>
      </c>
      <c r="C1472" s="14">
        <f>IF('04_路径网络'!A472&lt;&gt;"","04_路径网络","")</f>
        <v/>
      </c>
      <c r="D1472" s="14">
        <f>IF('04_路径网络'!A472&lt;&gt;"",'04_路径网络'!A472,"")</f>
        <v/>
      </c>
      <c r="E1472" s="14">
        <f>IF(F1472&lt;&gt;"","综合校验","")</f>
        <v/>
      </c>
      <c r="F1472" s="14">
        <f>IF('04_路径网络'!A472&lt;&gt;"",IF('04_路径网络'!A472="","缺少路径ID；","")&amp;IF('04_路径网络'!C472="","缺少路径类型；","")&amp;IF('04_路径网络'!D472="","缺少起点对象ID；","")&amp;IF('04_路径网络'!E472="","缺少终点对象ID；","")&amp;IF(AND('04_路径网络'!D472&lt;&gt;"",'04_路径网络'!D472='04_路径网络'!E472),"起点与终点相同；","")&amp;IF(AND('04_路径网络'!D472&lt;&gt;"",COUNTIF('02_固定地理'!$A$2:$A$501,'04_路径网络'!D472)+COUNTIF('03_地点锚点'!$A$2:$A$501,'04_路径网络'!D472)+COUNTIF('06_建筑锚点'!$A$2:$A$501,'04_路径网络'!D472)=0),"起点引用对象不存在；","")&amp;IF(AND('04_路径网络'!E472&lt;&gt;"",COUNTIF('02_固定地理'!$A$2:$A$501,'04_路径网络'!E472)+COUNTIF('03_地点锚点'!$A$2:$A$501,'04_路径网络'!E472)+COUNTIF('06_建筑锚点'!$A$2:$A$501,'04_路径网络'!E472)=0),"终点引用对象不存在；","")&amp;IF(AND('04_路径网络'!F472&lt;&gt;"",COUNTIF('04_路径网络'!$A$2:$A$501,'04_路径网络'!F472)=0),"父级路径不存在；","")&amp;IF(AND('04_路径网络'!A472&lt;&gt;"",COUNTIF('04_路径网络'!$A$2:$A$501,'04_路径网络'!A472)&gt;1),"ID重复；",""),"")</f>
        <v/>
      </c>
      <c r="G1472" s="14">
        <f>IF(F1472&lt;&gt;"","按字段批注、数据字典和来源记录修正后复核","")</f>
        <v/>
      </c>
      <c r="H1472" s="14">
        <f>IF(F1472&lt;&gt;"","待处理","")</f>
        <v/>
      </c>
    </row>
    <row r="1473">
      <c r="A1473" s="14">
        <f>IF(F1473&lt;&gt;"","ISSUE-"&amp;TEXT(ROW()-1,"00000"),"")</f>
        <v/>
      </c>
      <c r="B1473" s="14">
        <f>IF(F1473&lt;&gt;"","错误","")</f>
        <v/>
      </c>
      <c r="C1473" s="14">
        <f>IF('04_路径网络'!A473&lt;&gt;"","04_路径网络","")</f>
        <v/>
      </c>
      <c r="D1473" s="14">
        <f>IF('04_路径网络'!A473&lt;&gt;"",'04_路径网络'!A473,"")</f>
        <v/>
      </c>
      <c r="E1473" s="14">
        <f>IF(F1473&lt;&gt;"","综合校验","")</f>
        <v/>
      </c>
      <c r="F1473" s="14">
        <f>IF('04_路径网络'!A473&lt;&gt;"",IF('04_路径网络'!A473="","缺少路径ID；","")&amp;IF('04_路径网络'!C473="","缺少路径类型；","")&amp;IF('04_路径网络'!D473="","缺少起点对象ID；","")&amp;IF('04_路径网络'!E473="","缺少终点对象ID；","")&amp;IF(AND('04_路径网络'!D473&lt;&gt;"",'04_路径网络'!D473='04_路径网络'!E473),"起点与终点相同；","")&amp;IF(AND('04_路径网络'!D473&lt;&gt;"",COUNTIF('02_固定地理'!$A$2:$A$501,'04_路径网络'!D473)+COUNTIF('03_地点锚点'!$A$2:$A$501,'04_路径网络'!D473)+COUNTIF('06_建筑锚点'!$A$2:$A$501,'04_路径网络'!D473)=0),"起点引用对象不存在；","")&amp;IF(AND('04_路径网络'!E473&lt;&gt;"",COUNTIF('02_固定地理'!$A$2:$A$501,'04_路径网络'!E473)+COUNTIF('03_地点锚点'!$A$2:$A$501,'04_路径网络'!E473)+COUNTIF('06_建筑锚点'!$A$2:$A$501,'04_路径网络'!E473)=0),"终点引用对象不存在；","")&amp;IF(AND('04_路径网络'!F473&lt;&gt;"",COUNTIF('04_路径网络'!$A$2:$A$501,'04_路径网络'!F473)=0),"父级路径不存在；","")&amp;IF(AND('04_路径网络'!A473&lt;&gt;"",COUNTIF('04_路径网络'!$A$2:$A$501,'04_路径网络'!A473)&gt;1),"ID重复；",""),"")</f>
        <v/>
      </c>
      <c r="G1473" s="14">
        <f>IF(F1473&lt;&gt;"","按字段批注、数据字典和来源记录修正后复核","")</f>
        <v/>
      </c>
      <c r="H1473" s="14">
        <f>IF(F1473&lt;&gt;"","待处理","")</f>
        <v/>
      </c>
    </row>
    <row r="1474">
      <c r="A1474" s="14">
        <f>IF(F1474&lt;&gt;"","ISSUE-"&amp;TEXT(ROW()-1,"00000"),"")</f>
        <v/>
      </c>
      <c r="B1474" s="14">
        <f>IF(F1474&lt;&gt;"","错误","")</f>
        <v/>
      </c>
      <c r="C1474" s="14">
        <f>IF('04_路径网络'!A474&lt;&gt;"","04_路径网络","")</f>
        <v/>
      </c>
      <c r="D1474" s="14">
        <f>IF('04_路径网络'!A474&lt;&gt;"",'04_路径网络'!A474,"")</f>
        <v/>
      </c>
      <c r="E1474" s="14">
        <f>IF(F1474&lt;&gt;"","综合校验","")</f>
        <v/>
      </c>
      <c r="F1474" s="14">
        <f>IF('04_路径网络'!A474&lt;&gt;"",IF('04_路径网络'!A474="","缺少路径ID；","")&amp;IF('04_路径网络'!C474="","缺少路径类型；","")&amp;IF('04_路径网络'!D474="","缺少起点对象ID；","")&amp;IF('04_路径网络'!E474="","缺少终点对象ID；","")&amp;IF(AND('04_路径网络'!D474&lt;&gt;"",'04_路径网络'!D474='04_路径网络'!E474),"起点与终点相同；","")&amp;IF(AND('04_路径网络'!D474&lt;&gt;"",COUNTIF('02_固定地理'!$A$2:$A$501,'04_路径网络'!D474)+COUNTIF('03_地点锚点'!$A$2:$A$501,'04_路径网络'!D474)+COUNTIF('06_建筑锚点'!$A$2:$A$501,'04_路径网络'!D474)=0),"起点引用对象不存在；","")&amp;IF(AND('04_路径网络'!E474&lt;&gt;"",COUNTIF('02_固定地理'!$A$2:$A$501,'04_路径网络'!E474)+COUNTIF('03_地点锚点'!$A$2:$A$501,'04_路径网络'!E474)+COUNTIF('06_建筑锚点'!$A$2:$A$501,'04_路径网络'!E474)=0),"终点引用对象不存在；","")&amp;IF(AND('04_路径网络'!F474&lt;&gt;"",COUNTIF('04_路径网络'!$A$2:$A$501,'04_路径网络'!F474)=0),"父级路径不存在；","")&amp;IF(AND('04_路径网络'!A474&lt;&gt;"",COUNTIF('04_路径网络'!$A$2:$A$501,'04_路径网络'!A474)&gt;1),"ID重复；",""),"")</f>
        <v/>
      </c>
      <c r="G1474" s="14">
        <f>IF(F1474&lt;&gt;"","按字段批注、数据字典和来源记录修正后复核","")</f>
        <v/>
      </c>
      <c r="H1474" s="14">
        <f>IF(F1474&lt;&gt;"","待处理","")</f>
        <v/>
      </c>
    </row>
    <row r="1475">
      <c r="A1475" s="14">
        <f>IF(F1475&lt;&gt;"","ISSUE-"&amp;TEXT(ROW()-1,"00000"),"")</f>
        <v/>
      </c>
      <c r="B1475" s="14">
        <f>IF(F1475&lt;&gt;"","错误","")</f>
        <v/>
      </c>
      <c r="C1475" s="14">
        <f>IF('04_路径网络'!A475&lt;&gt;"","04_路径网络","")</f>
        <v/>
      </c>
      <c r="D1475" s="14">
        <f>IF('04_路径网络'!A475&lt;&gt;"",'04_路径网络'!A475,"")</f>
        <v/>
      </c>
      <c r="E1475" s="14">
        <f>IF(F1475&lt;&gt;"","综合校验","")</f>
        <v/>
      </c>
      <c r="F1475" s="14">
        <f>IF('04_路径网络'!A475&lt;&gt;"",IF('04_路径网络'!A475="","缺少路径ID；","")&amp;IF('04_路径网络'!C475="","缺少路径类型；","")&amp;IF('04_路径网络'!D475="","缺少起点对象ID；","")&amp;IF('04_路径网络'!E475="","缺少终点对象ID；","")&amp;IF(AND('04_路径网络'!D475&lt;&gt;"",'04_路径网络'!D475='04_路径网络'!E475),"起点与终点相同；","")&amp;IF(AND('04_路径网络'!D475&lt;&gt;"",COUNTIF('02_固定地理'!$A$2:$A$501,'04_路径网络'!D475)+COUNTIF('03_地点锚点'!$A$2:$A$501,'04_路径网络'!D475)+COUNTIF('06_建筑锚点'!$A$2:$A$501,'04_路径网络'!D475)=0),"起点引用对象不存在；","")&amp;IF(AND('04_路径网络'!E475&lt;&gt;"",COUNTIF('02_固定地理'!$A$2:$A$501,'04_路径网络'!E475)+COUNTIF('03_地点锚点'!$A$2:$A$501,'04_路径网络'!E475)+COUNTIF('06_建筑锚点'!$A$2:$A$501,'04_路径网络'!E475)=0),"终点引用对象不存在；","")&amp;IF(AND('04_路径网络'!F475&lt;&gt;"",COUNTIF('04_路径网络'!$A$2:$A$501,'04_路径网络'!F475)=0),"父级路径不存在；","")&amp;IF(AND('04_路径网络'!A475&lt;&gt;"",COUNTIF('04_路径网络'!$A$2:$A$501,'04_路径网络'!A475)&gt;1),"ID重复；",""),"")</f>
        <v/>
      </c>
      <c r="G1475" s="14">
        <f>IF(F1475&lt;&gt;"","按字段批注、数据字典和来源记录修正后复核","")</f>
        <v/>
      </c>
      <c r="H1475" s="14">
        <f>IF(F1475&lt;&gt;"","待处理","")</f>
        <v/>
      </c>
    </row>
    <row r="1476">
      <c r="A1476" s="14">
        <f>IF(F1476&lt;&gt;"","ISSUE-"&amp;TEXT(ROW()-1,"00000"),"")</f>
        <v/>
      </c>
      <c r="B1476" s="14">
        <f>IF(F1476&lt;&gt;"","错误","")</f>
        <v/>
      </c>
      <c r="C1476" s="14">
        <f>IF('04_路径网络'!A476&lt;&gt;"","04_路径网络","")</f>
        <v/>
      </c>
      <c r="D1476" s="14">
        <f>IF('04_路径网络'!A476&lt;&gt;"",'04_路径网络'!A476,"")</f>
        <v/>
      </c>
      <c r="E1476" s="14">
        <f>IF(F1476&lt;&gt;"","综合校验","")</f>
        <v/>
      </c>
      <c r="F1476" s="14">
        <f>IF('04_路径网络'!A476&lt;&gt;"",IF('04_路径网络'!A476="","缺少路径ID；","")&amp;IF('04_路径网络'!C476="","缺少路径类型；","")&amp;IF('04_路径网络'!D476="","缺少起点对象ID；","")&amp;IF('04_路径网络'!E476="","缺少终点对象ID；","")&amp;IF(AND('04_路径网络'!D476&lt;&gt;"",'04_路径网络'!D476='04_路径网络'!E476),"起点与终点相同；","")&amp;IF(AND('04_路径网络'!D476&lt;&gt;"",COUNTIF('02_固定地理'!$A$2:$A$501,'04_路径网络'!D476)+COUNTIF('03_地点锚点'!$A$2:$A$501,'04_路径网络'!D476)+COUNTIF('06_建筑锚点'!$A$2:$A$501,'04_路径网络'!D476)=0),"起点引用对象不存在；","")&amp;IF(AND('04_路径网络'!E476&lt;&gt;"",COUNTIF('02_固定地理'!$A$2:$A$501,'04_路径网络'!E476)+COUNTIF('03_地点锚点'!$A$2:$A$501,'04_路径网络'!E476)+COUNTIF('06_建筑锚点'!$A$2:$A$501,'04_路径网络'!E476)=0),"终点引用对象不存在；","")&amp;IF(AND('04_路径网络'!F476&lt;&gt;"",COUNTIF('04_路径网络'!$A$2:$A$501,'04_路径网络'!F476)=0),"父级路径不存在；","")&amp;IF(AND('04_路径网络'!A476&lt;&gt;"",COUNTIF('04_路径网络'!$A$2:$A$501,'04_路径网络'!A476)&gt;1),"ID重复；",""),"")</f>
        <v/>
      </c>
      <c r="G1476" s="14">
        <f>IF(F1476&lt;&gt;"","按字段批注、数据字典和来源记录修正后复核","")</f>
        <v/>
      </c>
      <c r="H1476" s="14">
        <f>IF(F1476&lt;&gt;"","待处理","")</f>
        <v/>
      </c>
    </row>
    <row r="1477">
      <c r="A1477" s="14">
        <f>IF(F1477&lt;&gt;"","ISSUE-"&amp;TEXT(ROW()-1,"00000"),"")</f>
        <v/>
      </c>
      <c r="B1477" s="14">
        <f>IF(F1477&lt;&gt;"","错误","")</f>
        <v/>
      </c>
      <c r="C1477" s="14">
        <f>IF('04_路径网络'!A477&lt;&gt;"","04_路径网络","")</f>
        <v/>
      </c>
      <c r="D1477" s="14">
        <f>IF('04_路径网络'!A477&lt;&gt;"",'04_路径网络'!A477,"")</f>
        <v/>
      </c>
      <c r="E1477" s="14">
        <f>IF(F1477&lt;&gt;"","综合校验","")</f>
        <v/>
      </c>
      <c r="F1477" s="14">
        <f>IF('04_路径网络'!A477&lt;&gt;"",IF('04_路径网络'!A477="","缺少路径ID；","")&amp;IF('04_路径网络'!C477="","缺少路径类型；","")&amp;IF('04_路径网络'!D477="","缺少起点对象ID；","")&amp;IF('04_路径网络'!E477="","缺少终点对象ID；","")&amp;IF(AND('04_路径网络'!D477&lt;&gt;"",'04_路径网络'!D477='04_路径网络'!E477),"起点与终点相同；","")&amp;IF(AND('04_路径网络'!D477&lt;&gt;"",COUNTIF('02_固定地理'!$A$2:$A$501,'04_路径网络'!D477)+COUNTIF('03_地点锚点'!$A$2:$A$501,'04_路径网络'!D477)+COUNTIF('06_建筑锚点'!$A$2:$A$501,'04_路径网络'!D477)=0),"起点引用对象不存在；","")&amp;IF(AND('04_路径网络'!E477&lt;&gt;"",COUNTIF('02_固定地理'!$A$2:$A$501,'04_路径网络'!E477)+COUNTIF('03_地点锚点'!$A$2:$A$501,'04_路径网络'!E477)+COUNTIF('06_建筑锚点'!$A$2:$A$501,'04_路径网络'!E477)=0),"终点引用对象不存在；","")&amp;IF(AND('04_路径网络'!F477&lt;&gt;"",COUNTIF('04_路径网络'!$A$2:$A$501,'04_路径网络'!F477)=0),"父级路径不存在；","")&amp;IF(AND('04_路径网络'!A477&lt;&gt;"",COUNTIF('04_路径网络'!$A$2:$A$501,'04_路径网络'!A477)&gt;1),"ID重复；",""),"")</f>
        <v/>
      </c>
      <c r="G1477" s="14">
        <f>IF(F1477&lt;&gt;"","按字段批注、数据字典和来源记录修正后复核","")</f>
        <v/>
      </c>
      <c r="H1477" s="14">
        <f>IF(F1477&lt;&gt;"","待处理","")</f>
        <v/>
      </c>
    </row>
    <row r="1478">
      <c r="A1478" s="14">
        <f>IF(F1478&lt;&gt;"","ISSUE-"&amp;TEXT(ROW()-1,"00000"),"")</f>
        <v/>
      </c>
      <c r="B1478" s="14">
        <f>IF(F1478&lt;&gt;"","错误","")</f>
        <v/>
      </c>
      <c r="C1478" s="14">
        <f>IF('04_路径网络'!A478&lt;&gt;"","04_路径网络","")</f>
        <v/>
      </c>
      <c r="D1478" s="14">
        <f>IF('04_路径网络'!A478&lt;&gt;"",'04_路径网络'!A478,"")</f>
        <v/>
      </c>
      <c r="E1478" s="14">
        <f>IF(F1478&lt;&gt;"","综合校验","")</f>
        <v/>
      </c>
      <c r="F1478" s="14">
        <f>IF('04_路径网络'!A478&lt;&gt;"",IF('04_路径网络'!A478="","缺少路径ID；","")&amp;IF('04_路径网络'!C478="","缺少路径类型；","")&amp;IF('04_路径网络'!D478="","缺少起点对象ID；","")&amp;IF('04_路径网络'!E478="","缺少终点对象ID；","")&amp;IF(AND('04_路径网络'!D478&lt;&gt;"",'04_路径网络'!D478='04_路径网络'!E478),"起点与终点相同；","")&amp;IF(AND('04_路径网络'!D478&lt;&gt;"",COUNTIF('02_固定地理'!$A$2:$A$501,'04_路径网络'!D478)+COUNTIF('03_地点锚点'!$A$2:$A$501,'04_路径网络'!D478)+COUNTIF('06_建筑锚点'!$A$2:$A$501,'04_路径网络'!D478)=0),"起点引用对象不存在；","")&amp;IF(AND('04_路径网络'!E478&lt;&gt;"",COUNTIF('02_固定地理'!$A$2:$A$501,'04_路径网络'!E478)+COUNTIF('03_地点锚点'!$A$2:$A$501,'04_路径网络'!E478)+COUNTIF('06_建筑锚点'!$A$2:$A$501,'04_路径网络'!E478)=0),"终点引用对象不存在；","")&amp;IF(AND('04_路径网络'!F478&lt;&gt;"",COUNTIF('04_路径网络'!$A$2:$A$501,'04_路径网络'!F478)=0),"父级路径不存在；","")&amp;IF(AND('04_路径网络'!A478&lt;&gt;"",COUNTIF('04_路径网络'!$A$2:$A$501,'04_路径网络'!A478)&gt;1),"ID重复；",""),"")</f>
        <v/>
      </c>
      <c r="G1478" s="14">
        <f>IF(F1478&lt;&gt;"","按字段批注、数据字典和来源记录修正后复核","")</f>
        <v/>
      </c>
      <c r="H1478" s="14">
        <f>IF(F1478&lt;&gt;"","待处理","")</f>
        <v/>
      </c>
    </row>
    <row r="1479">
      <c r="A1479" s="14">
        <f>IF(F1479&lt;&gt;"","ISSUE-"&amp;TEXT(ROW()-1,"00000"),"")</f>
        <v/>
      </c>
      <c r="B1479" s="14">
        <f>IF(F1479&lt;&gt;"","错误","")</f>
        <v/>
      </c>
      <c r="C1479" s="14">
        <f>IF('04_路径网络'!A479&lt;&gt;"","04_路径网络","")</f>
        <v/>
      </c>
      <c r="D1479" s="14">
        <f>IF('04_路径网络'!A479&lt;&gt;"",'04_路径网络'!A479,"")</f>
        <v/>
      </c>
      <c r="E1479" s="14">
        <f>IF(F1479&lt;&gt;"","综合校验","")</f>
        <v/>
      </c>
      <c r="F1479" s="14">
        <f>IF('04_路径网络'!A479&lt;&gt;"",IF('04_路径网络'!A479="","缺少路径ID；","")&amp;IF('04_路径网络'!C479="","缺少路径类型；","")&amp;IF('04_路径网络'!D479="","缺少起点对象ID；","")&amp;IF('04_路径网络'!E479="","缺少终点对象ID；","")&amp;IF(AND('04_路径网络'!D479&lt;&gt;"",'04_路径网络'!D479='04_路径网络'!E479),"起点与终点相同；","")&amp;IF(AND('04_路径网络'!D479&lt;&gt;"",COUNTIF('02_固定地理'!$A$2:$A$501,'04_路径网络'!D479)+COUNTIF('03_地点锚点'!$A$2:$A$501,'04_路径网络'!D479)+COUNTIF('06_建筑锚点'!$A$2:$A$501,'04_路径网络'!D479)=0),"起点引用对象不存在；","")&amp;IF(AND('04_路径网络'!E479&lt;&gt;"",COUNTIF('02_固定地理'!$A$2:$A$501,'04_路径网络'!E479)+COUNTIF('03_地点锚点'!$A$2:$A$501,'04_路径网络'!E479)+COUNTIF('06_建筑锚点'!$A$2:$A$501,'04_路径网络'!E479)=0),"终点引用对象不存在；","")&amp;IF(AND('04_路径网络'!F479&lt;&gt;"",COUNTIF('04_路径网络'!$A$2:$A$501,'04_路径网络'!F479)=0),"父级路径不存在；","")&amp;IF(AND('04_路径网络'!A479&lt;&gt;"",COUNTIF('04_路径网络'!$A$2:$A$501,'04_路径网络'!A479)&gt;1),"ID重复；",""),"")</f>
        <v/>
      </c>
      <c r="G1479" s="14">
        <f>IF(F1479&lt;&gt;"","按字段批注、数据字典和来源记录修正后复核","")</f>
        <v/>
      </c>
      <c r="H1479" s="14">
        <f>IF(F1479&lt;&gt;"","待处理","")</f>
        <v/>
      </c>
    </row>
    <row r="1480">
      <c r="A1480" s="14">
        <f>IF(F1480&lt;&gt;"","ISSUE-"&amp;TEXT(ROW()-1,"00000"),"")</f>
        <v/>
      </c>
      <c r="B1480" s="14">
        <f>IF(F1480&lt;&gt;"","错误","")</f>
        <v/>
      </c>
      <c r="C1480" s="14">
        <f>IF('04_路径网络'!A480&lt;&gt;"","04_路径网络","")</f>
        <v/>
      </c>
      <c r="D1480" s="14">
        <f>IF('04_路径网络'!A480&lt;&gt;"",'04_路径网络'!A480,"")</f>
        <v/>
      </c>
      <c r="E1480" s="14">
        <f>IF(F1480&lt;&gt;"","综合校验","")</f>
        <v/>
      </c>
      <c r="F1480" s="14">
        <f>IF('04_路径网络'!A480&lt;&gt;"",IF('04_路径网络'!A480="","缺少路径ID；","")&amp;IF('04_路径网络'!C480="","缺少路径类型；","")&amp;IF('04_路径网络'!D480="","缺少起点对象ID；","")&amp;IF('04_路径网络'!E480="","缺少终点对象ID；","")&amp;IF(AND('04_路径网络'!D480&lt;&gt;"",'04_路径网络'!D480='04_路径网络'!E480),"起点与终点相同；","")&amp;IF(AND('04_路径网络'!D480&lt;&gt;"",COUNTIF('02_固定地理'!$A$2:$A$501,'04_路径网络'!D480)+COUNTIF('03_地点锚点'!$A$2:$A$501,'04_路径网络'!D480)+COUNTIF('06_建筑锚点'!$A$2:$A$501,'04_路径网络'!D480)=0),"起点引用对象不存在；","")&amp;IF(AND('04_路径网络'!E480&lt;&gt;"",COUNTIF('02_固定地理'!$A$2:$A$501,'04_路径网络'!E480)+COUNTIF('03_地点锚点'!$A$2:$A$501,'04_路径网络'!E480)+COUNTIF('06_建筑锚点'!$A$2:$A$501,'04_路径网络'!E480)=0),"终点引用对象不存在；","")&amp;IF(AND('04_路径网络'!F480&lt;&gt;"",COUNTIF('04_路径网络'!$A$2:$A$501,'04_路径网络'!F480)=0),"父级路径不存在；","")&amp;IF(AND('04_路径网络'!A480&lt;&gt;"",COUNTIF('04_路径网络'!$A$2:$A$501,'04_路径网络'!A480)&gt;1),"ID重复；",""),"")</f>
        <v/>
      </c>
      <c r="G1480" s="14">
        <f>IF(F1480&lt;&gt;"","按字段批注、数据字典和来源记录修正后复核","")</f>
        <v/>
      </c>
      <c r="H1480" s="14">
        <f>IF(F1480&lt;&gt;"","待处理","")</f>
        <v/>
      </c>
    </row>
    <row r="1481">
      <c r="A1481" s="14">
        <f>IF(F1481&lt;&gt;"","ISSUE-"&amp;TEXT(ROW()-1,"00000"),"")</f>
        <v/>
      </c>
      <c r="B1481" s="14">
        <f>IF(F1481&lt;&gt;"","错误","")</f>
        <v/>
      </c>
      <c r="C1481" s="14">
        <f>IF('04_路径网络'!A481&lt;&gt;"","04_路径网络","")</f>
        <v/>
      </c>
      <c r="D1481" s="14">
        <f>IF('04_路径网络'!A481&lt;&gt;"",'04_路径网络'!A481,"")</f>
        <v/>
      </c>
      <c r="E1481" s="14">
        <f>IF(F1481&lt;&gt;"","综合校验","")</f>
        <v/>
      </c>
      <c r="F1481" s="14">
        <f>IF('04_路径网络'!A481&lt;&gt;"",IF('04_路径网络'!A481="","缺少路径ID；","")&amp;IF('04_路径网络'!C481="","缺少路径类型；","")&amp;IF('04_路径网络'!D481="","缺少起点对象ID；","")&amp;IF('04_路径网络'!E481="","缺少终点对象ID；","")&amp;IF(AND('04_路径网络'!D481&lt;&gt;"",'04_路径网络'!D481='04_路径网络'!E481),"起点与终点相同；","")&amp;IF(AND('04_路径网络'!D481&lt;&gt;"",COUNTIF('02_固定地理'!$A$2:$A$501,'04_路径网络'!D481)+COUNTIF('03_地点锚点'!$A$2:$A$501,'04_路径网络'!D481)+COUNTIF('06_建筑锚点'!$A$2:$A$501,'04_路径网络'!D481)=0),"起点引用对象不存在；","")&amp;IF(AND('04_路径网络'!E481&lt;&gt;"",COUNTIF('02_固定地理'!$A$2:$A$501,'04_路径网络'!E481)+COUNTIF('03_地点锚点'!$A$2:$A$501,'04_路径网络'!E481)+COUNTIF('06_建筑锚点'!$A$2:$A$501,'04_路径网络'!E481)=0),"终点引用对象不存在；","")&amp;IF(AND('04_路径网络'!F481&lt;&gt;"",COUNTIF('04_路径网络'!$A$2:$A$501,'04_路径网络'!F481)=0),"父级路径不存在；","")&amp;IF(AND('04_路径网络'!A481&lt;&gt;"",COUNTIF('04_路径网络'!$A$2:$A$501,'04_路径网络'!A481)&gt;1),"ID重复；",""),"")</f>
        <v/>
      </c>
      <c r="G1481" s="14">
        <f>IF(F1481&lt;&gt;"","按字段批注、数据字典和来源记录修正后复核","")</f>
        <v/>
      </c>
      <c r="H1481" s="14">
        <f>IF(F1481&lt;&gt;"","待处理","")</f>
        <v/>
      </c>
    </row>
    <row r="1482">
      <c r="A1482" s="14">
        <f>IF(F1482&lt;&gt;"","ISSUE-"&amp;TEXT(ROW()-1,"00000"),"")</f>
        <v/>
      </c>
      <c r="B1482" s="14">
        <f>IF(F1482&lt;&gt;"","错误","")</f>
        <v/>
      </c>
      <c r="C1482" s="14">
        <f>IF('04_路径网络'!A482&lt;&gt;"","04_路径网络","")</f>
        <v/>
      </c>
      <c r="D1482" s="14">
        <f>IF('04_路径网络'!A482&lt;&gt;"",'04_路径网络'!A482,"")</f>
        <v/>
      </c>
      <c r="E1482" s="14">
        <f>IF(F1482&lt;&gt;"","综合校验","")</f>
        <v/>
      </c>
      <c r="F1482" s="14">
        <f>IF('04_路径网络'!A482&lt;&gt;"",IF('04_路径网络'!A482="","缺少路径ID；","")&amp;IF('04_路径网络'!C482="","缺少路径类型；","")&amp;IF('04_路径网络'!D482="","缺少起点对象ID；","")&amp;IF('04_路径网络'!E482="","缺少终点对象ID；","")&amp;IF(AND('04_路径网络'!D482&lt;&gt;"",'04_路径网络'!D482='04_路径网络'!E482),"起点与终点相同；","")&amp;IF(AND('04_路径网络'!D482&lt;&gt;"",COUNTIF('02_固定地理'!$A$2:$A$501,'04_路径网络'!D482)+COUNTIF('03_地点锚点'!$A$2:$A$501,'04_路径网络'!D482)+COUNTIF('06_建筑锚点'!$A$2:$A$501,'04_路径网络'!D482)=0),"起点引用对象不存在；","")&amp;IF(AND('04_路径网络'!E482&lt;&gt;"",COUNTIF('02_固定地理'!$A$2:$A$501,'04_路径网络'!E482)+COUNTIF('03_地点锚点'!$A$2:$A$501,'04_路径网络'!E482)+COUNTIF('06_建筑锚点'!$A$2:$A$501,'04_路径网络'!E482)=0),"终点引用对象不存在；","")&amp;IF(AND('04_路径网络'!F482&lt;&gt;"",COUNTIF('04_路径网络'!$A$2:$A$501,'04_路径网络'!F482)=0),"父级路径不存在；","")&amp;IF(AND('04_路径网络'!A482&lt;&gt;"",COUNTIF('04_路径网络'!$A$2:$A$501,'04_路径网络'!A482)&gt;1),"ID重复；",""),"")</f>
        <v/>
      </c>
      <c r="G1482" s="14">
        <f>IF(F1482&lt;&gt;"","按字段批注、数据字典和来源记录修正后复核","")</f>
        <v/>
      </c>
      <c r="H1482" s="14">
        <f>IF(F1482&lt;&gt;"","待处理","")</f>
        <v/>
      </c>
    </row>
    <row r="1483">
      <c r="A1483" s="14">
        <f>IF(F1483&lt;&gt;"","ISSUE-"&amp;TEXT(ROW()-1,"00000"),"")</f>
        <v/>
      </c>
      <c r="B1483" s="14">
        <f>IF(F1483&lt;&gt;"","错误","")</f>
        <v/>
      </c>
      <c r="C1483" s="14">
        <f>IF('04_路径网络'!A483&lt;&gt;"","04_路径网络","")</f>
        <v/>
      </c>
      <c r="D1483" s="14">
        <f>IF('04_路径网络'!A483&lt;&gt;"",'04_路径网络'!A483,"")</f>
        <v/>
      </c>
      <c r="E1483" s="14">
        <f>IF(F1483&lt;&gt;"","综合校验","")</f>
        <v/>
      </c>
      <c r="F1483" s="14">
        <f>IF('04_路径网络'!A483&lt;&gt;"",IF('04_路径网络'!A483="","缺少路径ID；","")&amp;IF('04_路径网络'!C483="","缺少路径类型；","")&amp;IF('04_路径网络'!D483="","缺少起点对象ID；","")&amp;IF('04_路径网络'!E483="","缺少终点对象ID；","")&amp;IF(AND('04_路径网络'!D483&lt;&gt;"",'04_路径网络'!D483='04_路径网络'!E483),"起点与终点相同；","")&amp;IF(AND('04_路径网络'!D483&lt;&gt;"",COUNTIF('02_固定地理'!$A$2:$A$501,'04_路径网络'!D483)+COUNTIF('03_地点锚点'!$A$2:$A$501,'04_路径网络'!D483)+COUNTIF('06_建筑锚点'!$A$2:$A$501,'04_路径网络'!D483)=0),"起点引用对象不存在；","")&amp;IF(AND('04_路径网络'!E483&lt;&gt;"",COUNTIF('02_固定地理'!$A$2:$A$501,'04_路径网络'!E483)+COUNTIF('03_地点锚点'!$A$2:$A$501,'04_路径网络'!E483)+COUNTIF('06_建筑锚点'!$A$2:$A$501,'04_路径网络'!E483)=0),"终点引用对象不存在；","")&amp;IF(AND('04_路径网络'!F483&lt;&gt;"",COUNTIF('04_路径网络'!$A$2:$A$501,'04_路径网络'!F483)=0),"父级路径不存在；","")&amp;IF(AND('04_路径网络'!A483&lt;&gt;"",COUNTIF('04_路径网络'!$A$2:$A$501,'04_路径网络'!A483)&gt;1),"ID重复；",""),"")</f>
        <v/>
      </c>
      <c r="G1483" s="14">
        <f>IF(F1483&lt;&gt;"","按字段批注、数据字典和来源记录修正后复核","")</f>
        <v/>
      </c>
      <c r="H1483" s="14">
        <f>IF(F1483&lt;&gt;"","待处理","")</f>
        <v/>
      </c>
    </row>
    <row r="1484">
      <c r="A1484" s="14">
        <f>IF(F1484&lt;&gt;"","ISSUE-"&amp;TEXT(ROW()-1,"00000"),"")</f>
        <v/>
      </c>
      <c r="B1484" s="14">
        <f>IF(F1484&lt;&gt;"","错误","")</f>
        <v/>
      </c>
      <c r="C1484" s="14">
        <f>IF('04_路径网络'!A484&lt;&gt;"","04_路径网络","")</f>
        <v/>
      </c>
      <c r="D1484" s="14">
        <f>IF('04_路径网络'!A484&lt;&gt;"",'04_路径网络'!A484,"")</f>
        <v/>
      </c>
      <c r="E1484" s="14">
        <f>IF(F1484&lt;&gt;"","综合校验","")</f>
        <v/>
      </c>
      <c r="F1484" s="14">
        <f>IF('04_路径网络'!A484&lt;&gt;"",IF('04_路径网络'!A484="","缺少路径ID；","")&amp;IF('04_路径网络'!C484="","缺少路径类型；","")&amp;IF('04_路径网络'!D484="","缺少起点对象ID；","")&amp;IF('04_路径网络'!E484="","缺少终点对象ID；","")&amp;IF(AND('04_路径网络'!D484&lt;&gt;"",'04_路径网络'!D484='04_路径网络'!E484),"起点与终点相同；","")&amp;IF(AND('04_路径网络'!D484&lt;&gt;"",COUNTIF('02_固定地理'!$A$2:$A$501,'04_路径网络'!D484)+COUNTIF('03_地点锚点'!$A$2:$A$501,'04_路径网络'!D484)+COUNTIF('06_建筑锚点'!$A$2:$A$501,'04_路径网络'!D484)=0),"起点引用对象不存在；","")&amp;IF(AND('04_路径网络'!E484&lt;&gt;"",COUNTIF('02_固定地理'!$A$2:$A$501,'04_路径网络'!E484)+COUNTIF('03_地点锚点'!$A$2:$A$501,'04_路径网络'!E484)+COUNTIF('06_建筑锚点'!$A$2:$A$501,'04_路径网络'!E484)=0),"终点引用对象不存在；","")&amp;IF(AND('04_路径网络'!F484&lt;&gt;"",COUNTIF('04_路径网络'!$A$2:$A$501,'04_路径网络'!F484)=0),"父级路径不存在；","")&amp;IF(AND('04_路径网络'!A484&lt;&gt;"",COUNTIF('04_路径网络'!$A$2:$A$501,'04_路径网络'!A484)&gt;1),"ID重复；",""),"")</f>
        <v/>
      </c>
      <c r="G1484" s="14">
        <f>IF(F1484&lt;&gt;"","按字段批注、数据字典和来源记录修正后复核","")</f>
        <v/>
      </c>
      <c r="H1484" s="14">
        <f>IF(F1484&lt;&gt;"","待处理","")</f>
        <v/>
      </c>
    </row>
    <row r="1485">
      <c r="A1485" s="14">
        <f>IF(F1485&lt;&gt;"","ISSUE-"&amp;TEXT(ROW()-1,"00000"),"")</f>
        <v/>
      </c>
      <c r="B1485" s="14">
        <f>IF(F1485&lt;&gt;"","错误","")</f>
        <v/>
      </c>
      <c r="C1485" s="14">
        <f>IF('04_路径网络'!A485&lt;&gt;"","04_路径网络","")</f>
        <v/>
      </c>
      <c r="D1485" s="14">
        <f>IF('04_路径网络'!A485&lt;&gt;"",'04_路径网络'!A485,"")</f>
        <v/>
      </c>
      <c r="E1485" s="14">
        <f>IF(F1485&lt;&gt;"","综合校验","")</f>
        <v/>
      </c>
      <c r="F1485" s="14">
        <f>IF('04_路径网络'!A485&lt;&gt;"",IF('04_路径网络'!A485="","缺少路径ID；","")&amp;IF('04_路径网络'!C485="","缺少路径类型；","")&amp;IF('04_路径网络'!D485="","缺少起点对象ID；","")&amp;IF('04_路径网络'!E485="","缺少终点对象ID；","")&amp;IF(AND('04_路径网络'!D485&lt;&gt;"",'04_路径网络'!D485='04_路径网络'!E485),"起点与终点相同；","")&amp;IF(AND('04_路径网络'!D485&lt;&gt;"",COUNTIF('02_固定地理'!$A$2:$A$501,'04_路径网络'!D485)+COUNTIF('03_地点锚点'!$A$2:$A$501,'04_路径网络'!D485)+COUNTIF('06_建筑锚点'!$A$2:$A$501,'04_路径网络'!D485)=0),"起点引用对象不存在；","")&amp;IF(AND('04_路径网络'!E485&lt;&gt;"",COUNTIF('02_固定地理'!$A$2:$A$501,'04_路径网络'!E485)+COUNTIF('03_地点锚点'!$A$2:$A$501,'04_路径网络'!E485)+COUNTIF('06_建筑锚点'!$A$2:$A$501,'04_路径网络'!E485)=0),"终点引用对象不存在；","")&amp;IF(AND('04_路径网络'!F485&lt;&gt;"",COUNTIF('04_路径网络'!$A$2:$A$501,'04_路径网络'!F485)=0),"父级路径不存在；","")&amp;IF(AND('04_路径网络'!A485&lt;&gt;"",COUNTIF('04_路径网络'!$A$2:$A$501,'04_路径网络'!A485)&gt;1),"ID重复；",""),"")</f>
        <v/>
      </c>
      <c r="G1485" s="14">
        <f>IF(F1485&lt;&gt;"","按字段批注、数据字典和来源记录修正后复核","")</f>
        <v/>
      </c>
      <c r="H1485" s="14">
        <f>IF(F1485&lt;&gt;"","待处理","")</f>
        <v/>
      </c>
    </row>
    <row r="1486">
      <c r="A1486" s="14">
        <f>IF(F1486&lt;&gt;"","ISSUE-"&amp;TEXT(ROW()-1,"00000"),"")</f>
        <v/>
      </c>
      <c r="B1486" s="14">
        <f>IF(F1486&lt;&gt;"","错误","")</f>
        <v/>
      </c>
      <c r="C1486" s="14">
        <f>IF('04_路径网络'!A486&lt;&gt;"","04_路径网络","")</f>
        <v/>
      </c>
      <c r="D1486" s="14">
        <f>IF('04_路径网络'!A486&lt;&gt;"",'04_路径网络'!A486,"")</f>
        <v/>
      </c>
      <c r="E1486" s="14">
        <f>IF(F1486&lt;&gt;"","综合校验","")</f>
        <v/>
      </c>
      <c r="F1486" s="14">
        <f>IF('04_路径网络'!A486&lt;&gt;"",IF('04_路径网络'!A486="","缺少路径ID；","")&amp;IF('04_路径网络'!C486="","缺少路径类型；","")&amp;IF('04_路径网络'!D486="","缺少起点对象ID；","")&amp;IF('04_路径网络'!E486="","缺少终点对象ID；","")&amp;IF(AND('04_路径网络'!D486&lt;&gt;"",'04_路径网络'!D486='04_路径网络'!E486),"起点与终点相同；","")&amp;IF(AND('04_路径网络'!D486&lt;&gt;"",COUNTIF('02_固定地理'!$A$2:$A$501,'04_路径网络'!D486)+COUNTIF('03_地点锚点'!$A$2:$A$501,'04_路径网络'!D486)+COUNTIF('06_建筑锚点'!$A$2:$A$501,'04_路径网络'!D486)=0),"起点引用对象不存在；","")&amp;IF(AND('04_路径网络'!E486&lt;&gt;"",COUNTIF('02_固定地理'!$A$2:$A$501,'04_路径网络'!E486)+COUNTIF('03_地点锚点'!$A$2:$A$501,'04_路径网络'!E486)+COUNTIF('06_建筑锚点'!$A$2:$A$501,'04_路径网络'!E486)=0),"终点引用对象不存在；","")&amp;IF(AND('04_路径网络'!F486&lt;&gt;"",COUNTIF('04_路径网络'!$A$2:$A$501,'04_路径网络'!F486)=0),"父级路径不存在；","")&amp;IF(AND('04_路径网络'!A486&lt;&gt;"",COUNTIF('04_路径网络'!$A$2:$A$501,'04_路径网络'!A486)&gt;1),"ID重复；",""),"")</f>
        <v/>
      </c>
      <c r="G1486" s="14">
        <f>IF(F1486&lt;&gt;"","按字段批注、数据字典和来源记录修正后复核","")</f>
        <v/>
      </c>
      <c r="H1486" s="14">
        <f>IF(F1486&lt;&gt;"","待处理","")</f>
        <v/>
      </c>
    </row>
    <row r="1487">
      <c r="A1487" s="14">
        <f>IF(F1487&lt;&gt;"","ISSUE-"&amp;TEXT(ROW()-1,"00000"),"")</f>
        <v/>
      </c>
      <c r="B1487" s="14">
        <f>IF(F1487&lt;&gt;"","错误","")</f>
        <v/>
      </c>
      <c r="C1487" s="14">
        <f>IF('04_路径网络'!A487&lt;&gt;"","04_路径网络","")</f>
        <v/>
      </c>
      <c r="D1487" s="14">
        <f>IF('04_路径网络'!A487&lt;&gt;"",'04_路径网络'!A487,"")</f>
        <v/>
      </c>
      <c r="E1487" s="14">
        <f>IF(F1487&lt;&gt;"","综合校验","")</f>
        <v/>
      </c>
      <c r="F1487" s="14">
        <f>IF('04_路径网络'!A487&lt;&gt;"",IF('04_路径网络'!A487="","缺少路径ID；","")&amp;IF('04_路径网络'!C487="","缺少路径类型；","")&amp;IF('04_路径网络'!D487="","缺少起点对象ID；","")&amp;IF('04_路径网络'!E487="","缺少终点对象ID；","")&amp;IF(AND('04_路径网络'!D487&lt;&gt;"",'04_路径网络'!D487='04_路径网络'!E487),"起点与终点相同；","")&amp;IF(AND('04_路径网络'!D487&lt;&gt;"",COUNTIF('02_固定地理'!$A$2:$A$501,'04_路径网络'!D487)+COUNTIF('03_地点锚点'!$A$2:$A$501,'04_路径网络'!D487)+COUNTIF('06_建筑锚点'!$A$2:$A$501,'04_路径网络'!D487)=0),"起点引用对象不存在；","")&amp;IF(AND('04_路径网络'!E487&lt;&gt;"",COUNTIF('02_固定地理'!$A$2:$A$501,'04_路径网络'!E487)+COUNTIF('03_地点锚点'!$A$2:$A$501,'04_路径网络'!E487)+COUNTIF('06_建筑锚点'!$A$2:$A$501,'04_路径网络'!E487)=0),"终点引用对象不存在；","")&amp;IF(AND('04_路径网络'!F487&lt;&gt;"",COUNTIF('04_路径网络'!$A$2:$A$501,'04_路径网络'!F487)=0),"父级路径不存在；","")&amp;IF(AND('04_路径网络'!A487&lt;&gt;"",COUNTIF('04_路径网络'!$A$2:$A$501,'04_路径网络'!A487)&gt;1),"ID重复；",""),"")</f>
        <v/>
      </c>
      <c r="G1487" s="14">
        <f>IF(F1487&lt;&gt;"","按字段批注、数据字典和来源记录修正后复核","")</f>
        <v/>
      </c>
      <c r="H1487" s="14">
        <f>IF(F1487&lt;&gt;"","待处理","")</f>
        <v/>
      </c>
    </row>
    <row r="1488">
      <c r="A1488" s="14">
        <f>IF(F1488&lt;&gt;"","ISSUE-"&amp;TEXT(ROW()-1,"00000"),"")</f>
        <v/>
      </c>
      <c r="B1488" s="14">
        <f>IF(F1488&lt;&gt;"","错误","")</f>
        <v/>
      </c>
      <c r="C1488" s="14">
        <f>IF('04_路径网络'!A488&lt;&gt;"","04_路径网络","")</f>
        <v/>
      </c>
      <c r="D1488" s="14">
        <f>IF('04_路径网络'!A488&lt;&gt;"",'04_路径网络'!A488,"")</f>
        <v/>
      </c>
      <c r="E1488" s="14">
        <f>IF(F1488&lt;&gt;"","综合校验","")</f>
        <v/>
      </c>
      <c r="F1488" s="14">
        <f>IF('04_路径网络'!A488&lt;&gt;"",IF('04_路径网络'!A488="","缺少路径ID；","")&amp;IF('04_路径网络'!C488="","缺少路径类型；","")&amp;IF('04_路径网络'!D488="","缺少起点对象ID；","")&amp;IF('04_路径网络'!E488="","缺少终点对象ID；","")&amp;IF(AND('04_路径网络'!D488&lt;&gt;"",'04_路径网络'!D488='04_路径网络'!E488),"起点与终点相同；","")&amp;IF(AND('04_路径网络'!D488&lt;&gt;"",COUNTIF('02_固定地理'!$A$2:$A$501,'04_路径网络'!D488)+COUNTIF('03_地点锚点'!$A$2:$A$501,'04_路径网络'!D488)+COUNTIF('06_建筑锚点'!$A$2:$A$501,'04_路径网络'!D488)=0),"起点引用对象不存在；","")&amp;IF(AND('04_路径网络'!E488&lt;&gt;"",COUNTIF('02_固定地理'!$A$2:$A$501,'04_路径网络'!E488)+COUNTIF('03_地点锚点'!$A$2:$A$501,'04_路径网络'!E488)+COUNTIF('06_建筑锚点'!$A$2:$A$501,'04_路径网络'!E488)=0),"终点引用对象不存在；","")&amp;IF(AND('04_路径网络'!F488&lt;&gt;"",COUNTIF('04_路径网络'!$A$2:$A$501,'04_路径网络'!F488)=0),"父级路径不存在；","")&amp;IF(AND('04_路径网络'!A488&lt;&gt;"",COUNTIF('04_路径网络'!$A$2:$A$501,'04_路径网络'!A488)&gt;1),"ID重复；",""),"")</f>
        <v/>
      </c>
      <c r="G1488" s="14">
        <f>IF(F1488&lt;&gt;"","按字段批注、数据字典和来源记录修正后复核","")</f>
        <v/>
      </c>
      <c r="H1488" s="14">
        <f>IF(F1488&lt;&gt;"","待处理","")</f>
        <v/>
      </c>
    </row>
    <row r="1489">
      <c r="A1489" s="14">
        <f>IF(F1489&lt;&gt;"","ISSUE-"&amp;TEXT(ROW()-1,"00000"),"")</f>
        <v/>
      </c>
      <c r="B1489" s="14">
        <f>IF(F1489&lt;&gt;"","错误","")</f>
        <v/>
      </c>
      <c r="C1489" s="14">
        <f>IF('04_路径网络'!A489&lt;&gt;"","04_路径网络","")</f>
        <v/>
      </c>
      <c r="D1489" s="14">
        <f>IF('04_路径网络'!A489&lt;&gt;"",'04_路径网络'!A489,"")</f>
        <v/>
      </c>
      <c r="E1489" s="14">
        <f>IF(F1489&lt;&gt;"","综合校验","")</f>
        <v/>
      </c>
      <c r="F1489" s="14">
        <f>IF('04_路径网络'!A489&lt;&gt;"",IF('04_路径网络'!A489="","缺少路径ID；","")&amp;IF('04_路径网络'!C489="","缺少路径类型；","")&amp;IF('04_路径网络'!D489="","缺少起点对象ID；","")&amp;IF('04_路径网络'!E489="","缺少终点对象ID；","")&amp;IF(AND('04_路径网络'!D489&lt;&gt;"",'04_路径网络'!D489='04_路径网络'!E489),"起点与终点相同；","")&amp;IF(AND('04_路径网络'!D489&lt;&gt;"",COUNTIF('02_固定地理'!$A$2:$A$501,'04_路径网络'!D489)+COUNTIF('03_地点锚点'!$A$2:$A$501,'04_路径网络'!D489)+COUNTIF('06_建筑锚点'!$A$2:$A$501,'04_路径网络'!D489)=0),"起点引用对象不存在；","")&amp;IF(AND('04_路径网络'!E489&lt;&gt;"",COUNTIF('02_固定地理'!$A$2:$A$501,'04_路径网络'!E489)+COUNTIF('03_地点锚点'!$A$2:$A$501,'04_路径网络'!E489)+COUNTIF('06_建筑锚点'!$A$2:$A$501,'04_路径网络'!E489)=0),"终点引用对象不存在；","")&amp;IF(AND('04_路径网络'!F489&lt;&gt;"",COUNTIF('04_路径网络'!$A$2:$A$501,'04_路径网络'!F489)=0),"父级路径不存在；","")&amp;IF(AND('04_路径网络'!A489&lt;&gt;"",COUNTIF('04_路径网络'!$A$2:$A$501,'04_路径网络'!A489)&gt;1),"ID重复；",""),"")</f>
        <v/>
      </c>
      <c r="G1489" s="14">
        <f>IF(F1489&lt;&gt;"","按字段批注、数据字典和来源记录修正后复核","")</f>
        <v/>
      </c>
      <c r="H1489" s="14">
        <f>IF(F1489&lt;&gt;"","待处理","")</f>
        <v/>
      </c>
    </row>
    <row r="1490">
      <c r="A1490" s="14">
        <f>IF(F1490&lt;&gt;"","ISSUE-"&amp;TEXT(ROW()-1,"00000"),"")</f>
        <v/>
      </c>
      <c r="B1490" s="14">
        <f>IF(F1490&lt;&gt;"","错误","")</f>
        <v/>
      </c>
      <c r="C1490" s="14">
        <f>IF('04_路径网络'!A490&lt;&gt;"","04_路径网络","")</f>
        <v/>
      </c>
      <c r="D1490" s="14">
        <f>IF('04_路径网络'!A490&lt;&gt;"",'04_路径网络'!A490,"")</f>
        <v/>
      </c>
      <c r="E1490" s="14">
        <f>IF(F1490&lt;&gt;"","综合校验","")</f>
        <v/>
      </c>
      <c r="F1490" s="14">
        <f>IF('04_路径网络'!A490&lt;&gt;"",IF('04_路径网络'!A490="","缺少路径ID；","")&amp;IF('04_路径网络'!C490="","缺少路径类型；","")&amp;IF('04_路径网络'!D490="","缺少起点对象ID；","")&amp;IF('04_路径网络'!E490="","缺少终点对象ID；","")&amp;IF(AND('04_路径网络'!D490&lt;&gt;"",'04_路径网络'!D490='04_路径网络'!E490),"起点与终点相同；","")&amp;IF(AND('04_路径网络'!D490&lt;&gt;"",COUNTIF('02_固定地理'!$A$2:$A$501,'04_路径网络'!D490)+COUNTIF('03_地点锚点'!$A$2:$A$501,'04_路径网络'!D490)+COUNTIF('06_建筑锚点'!$A$2:$A$501,'04_路径网络'!D490)=0),"起点引用对象不存在；","")&amp;IF(AND('04_路径网络'!E490&lt;&gt;"",COUNTIF('02_固定地理'!$A$2:$A$501,'04_路径网络'!E490)+COUNTIF('03_地点锚点'!$A$2:$A$501,'04_路径网络'!E490)+COUNTIF('06_建筑锚点'!$A$2:$A$501,'04_路径网络'!E490)=0),"终点引用对象不存在；","")&amp;IF(AND('04_路径网络'!F490&lt;&gt;"",COUNTIF('04_路径网络'!$A$2:$A$501,'04_路径网络'!F490)=0),"父级路径不存在；","")&amp;IF(AND('04_路径网络'!A490&lt;&gt;"",COUNTIF('04_路径网络'!$A$2:$A$501,'04_路径网络'!A490)&gt;1),"ID重复；",""),"")</f>
        <v/>
      </c>
      <c r="G1490" s="14">
        <f>IF(F1490&lt;&gt;"","按字段批注、数据字典和来源记录修正后复核","")</f>
        <v/>
      </c>
      <c r="H1490" s="14">
        <f>IF(F1490&lt;&gt;"","待处理","")</f>
        <v/>
      </c>
    </row>
    <row r="1491">
      <c r="A1491" s="14">
        <f>IF(F1491&lt;&gt;"","ISSUE-"&amp;TEXT(ROW()-1,"00000"),"")</f>
        <v/>
      </c>
      <c r="B1491" s="14">
        <f>IF(F1491&lt;&gt;"","错误","")</f>
        <v/>
      </c>
      <c r="C1491" s="14">
        <f>IF('04_路径网络'!A491&lt;&gt;"","04_路径网络","")</f>
        <v/>
      </c>
      <c r="D1491" s="14">
        <f>IF('04_路径网络'!A491&lt;&gt;"",'04_路径网络'!A491,"")</f>
        <v/>
      </c>
      <c r="E1491" s="14">
        <f>IF(F1491&lt;&gt;"","综合校验","")</f>
        <v/>
      </c>
      <c r="F1491" s="14">
        <f>IF('04_路径网络'!A491&lt;&gt;"",IF('04_路径网络'!A491="","缺少路径ID；","")&amp;IF('04_路径网络'!C491="","缺少路径类型；","")&amp;IF('04_路径网络'!D491="","缺少起点对象ID；","")&amp;IF('04_路径网络'!E491="","缺少终点对象ID；","")&amp;IF(AND('04_路径网络'!D491&lt;&gt;"",'04_路径网络'!D491='04_路径网络'!E491),"起点与终点相同；","")&amp;IF(AND('04_路径网络'!D491&lt;&gt;"",COUNTIF('02_固定地理'!$A$2:$A$501,'04_路径网络'!D491)+COUNTIF('03_地点锚点'!$A$2:$A$501,'04_路径网络'!D491)+COUNTIF('06_建筑锚点'!$A$2:$A$501,'04_路径网络'!D491)=0),"起点引用对象不存在；","")&amp;IF(AND('04_路径网络'!E491&lt;&gt;"",COUNTIF('02_固定地理'!$A$2:$A$501,'04_路径网络'!E491)+COUNTIF('03_地点锚点'!$A$2:$A$501,'04_路径网络'!E491)+COUNTIF('06_建筑锚点'!$A$2:$A$501,'04_路径网络'!E491)=0),"终点引用对象不存在；","")&amp;IF(AND('04_路径网络'!F491&lt;&gt;"",COUNTIF('04_路径网络'!$A$2:$A$501,'04_路径网络'!F491)=0),"父级路径不存在；","")&amp;IF(AND('04_路径网络'!A491&lt;&gt;"",COUNTIF('04_路径网络'!$A$2:$A$501,'04_路径网络'!A491)&gt;1),"ID重复；",""),"")</f>
        <v/>
      </c>
      <c r="G1491" s="14">
        <f>IF(F1491&lt;&gt;"","按字段批注、数据字典和来源记录修正后复核","")</f>
        <v/>
      </c>
      <c r="H1491" s="14">
        <f>IF(F1491&lt;&gt;"","待处理","")</f>
        <v/>
      </c>
    </row>
    <row r="1492">
      <c r="A1492" s="14">
        <f>IF(F1492&lt;&gt;"","ISSUE-"&amp;TEXT(ROW()-1,"00000"),"")</f>
        <v/>
      </c>
      <c r="B1492" s="14">
        <f>IF(F1492&lt;&gt;"","错误","")</f>
        <v/>
      </c>
      <c r="C1492" s="14">
        <f>IF('04_路径网络'!A492&lt;&gt;"","04_路径网络","")</f>
        <v/>
      </c>
      <c r="D1492" s="14">
        <f>IF('04_路径网络'!A492&lt;&gt;"",'04_路径网络'!A492,"")</f>
        <v/>
      </c>
      <c r="E1492" s="14">
        <f>IF(F1492&lt;&gt;"","综合校验","")</f>
        <v/>
      </c>
      <c r="F1492" s="14">
        <f>IF('04_路径网络'!A492&lt;&gt;"",IF('04_路径网络'!A492="","缺少路径ID；","")&amp;IF('04_路径网络'!C492="","缺少路径类型；","")&amp;IF('04_路径网络'!D492="","缺少起点对象ID；","")&amp;IF('04_路径网络'!E492="","缺少终点对象ID；","")&amp;IF(AND('04_路径网络'!D492&lt;&gt;"",'04_路径网络'!D492='04_路径网络'!E492),"起点与终点相同；","")&amp;IF(AND('04_路径网络'!D492&lt;&gt;"",COUNTIF('02_固定地理'!$A$2:$A$501,'04_路径网络'!D492)+COUNTIF('03_地点锚点'!$A$2:$A$501,'04_路径网络'!D492)+COUNTIF('06_建筑锚点'!$A$2:$A$501,'04_路径网络'!D492)=0),"起点引用对象不存在；","")&amp;IF(AND('04_路径网络'!E492&lt;&gt;"",COUNTIF('02_固定地理'!$A$2:$A$501,'04_路径网络'!E492)+COUNTIF('03_地点锚点'!$A$2:$A$501,'04_路径网络'!E492)+COUNTIF('06_建筑锚点'!$A$2:$A$501,'04_路径网络'!E492)=0),"终点引用对象不存在；","")&amp;IF(AND('04_路径网络'!F492&lt;&gt;"",COUNTIF('04_路径网络'!$A$2:$A$501,'04_路径网络'!F492)=0),"父级路径不存在；","")&amp;IF(AND('04_路径网络'!A492&lt;&gt;"",COUNTIF('04_路径网络'!$A$2:$A$501,'04_路径网络'!A492)&gt;1),"ID重复；",""),"")</f>
        <v/>
      </c>
      <c r="G1492" s="14">
        <f>IF(F1492&lt;&gt;"","按字段批注、数据字典和来源记录修正后复核","")</f>
        <v/>
      </c>
      <c r="H1492" s="14">
        <f>IF(F1492&lt;&gt;"","待处理","")</f>
        <v/>
      </c>
    </row>
    <row r="1493">
      <c r="A1493" s="14">
        <f>IF(F1493&lt;&gt;"","ISSUE-"&amp;TEXT(ROW()-1,"00000"),"")</f>
        <v/>
      </c>
      <c r="B1493" s="14">
        <f>IF(F1493&lt;&gt;"","错误","")</f>
        <v/>
      </c>
      <c r="C1493" s="14">
        <f>IF('04_路径网络'!A493&lt;&gt;"","04_路径网络","")</f>
        <v/>
      </c>
      <c r="D1493" s="14">
        <f>IF('04_路径网络'!A493&lt;&gt;"",'04_路径网络'!A493,"")</f>
        <v/>
      </c>
      <c r="E1493" s="14">
        <f>IF(F1493&lt;&gt;"","综合校验","")</f>
        <v/>
      </c>
      <c r="F1493" s="14">
        <f>IF('04_路径网络'!A493&lt;&gt;"",IF('04_路径网络'!A493="","缺少路径ID；","")&amp;IF('04_路径网络'!C493="","缺少路径类型；","")&amp;IF('04_路径网络'!D493="","缺少起点对象ID；","")&amp;IF('04_路径网络'!E493="","缺少终点对象ID；","")&amp;IF(AND('04_路径网络'!D493&lt;&gt;"",'04_路径网络'!D493='04_路径网络'!E493),"起点与终点相同；","")&amp;IF(AND('04_路径网络'!D493&lt;&gt;"",COUNTIF('02_固定地理'!$A$2:$A$501,'04_路径网络'!D493)+COUNTIF('03_地点锚点'!$A$2:$A$501,'04_路径网络'!D493)+COUNTIF('06_建筑锚点'!$A$2:$A$501,'04_路径网络'!D493)=0),"起点引用对象不存在；","")&amp;IF(AND('04_路径网络'!E493&lt;&gt;"",COUNTIF('02_固定地理'!$A$2:$A$501,'04_路径网络'!E493)+COUNTIF('03_地点锚点'!$A$2:$A$501,'04_路径网络'!E493)+COUNTIF('06_建筑锚点'!$A$2:$A$501,'04_路径网络'!E493)=0),"终点引用对象不存在；","")&amp;IF(AND('04_路径网络'!F493&lt;&gt;"",COUNTIF('04_路径网络'!$A$2:$A$501,'04_路径网络'!F493)=0),"父级路径不存在；","")&amp;IF(AND('04_路径网络'!A493&lt;&gt;"",COUNTIF('04_路径网络'!$A$2:$A$501,'04_路径网络'!A493)&gt;1),"ID重复；",""),"")</f>
        <v/>
      </c>
      <c r="G1493" s="14">
        <f>IF(F1493&lt;&gt;"","按字段批注、数据字典和来源记录修正后复核","")</f>
        <v/>
      </c>
      <c r="H1493" s="14">
        <f>IF(F1493&lt;&gt;"","待处理","")</f>
        <v/>
      </c>
    </row>
    <row r="1494">
      <c r="A1494" s="14">
        <f>IF(F1494&lt;&gt;"","ISSUE-"&amp;TEXT(ROW()-1,"00000"),"")</f>
        <v/>
      </c>
      <c r="B1494" s="14">
        <f>IF(F1494&lt;&gt;"","错误","")</f>
        <v/>
      </c>
      <c r="C1494" s="14">
        <f>IF('04_路径网络'!A494&lt;&gt;"","04_路径网络","")</f>
        <v/>
      </c>
      <c r="D1494" s="14">
        <f>IF('04_路径网络'!A494&lt;&gt;"",'04_路径网络'!A494,"")</f>
        <v/>
      </c>
      <c r="E1494" s="14">
        <f>IF(F1494&lt;&gt;"","综合校验","")</f>
        <v/>
      </c>
      <c r="F1494" s="14">
        <f>IF('04_路径网络'!A494&lt;&gt;"",IF('04_路径网络'!A494="","缺少路径ID；","")&amp;IF('04_路径网络'!C494="","缺少路径类型；","")&amp;IF('04_路径网络'!D494="","缺少起点对象ID；","")&amp;IF('04_路径网络'!E494="","缺少终点对象ID；","")&amp;IF(AND('04_路径网络'!D494&lt;&gt;"",'04_路径网络'!D494='04_路径网络'!E494),"起点与终点相同；","")&amp;IF(AND('04_路径网络'!D494&lt;&gt;"",COUNTIF('02_固定地理'!$A$2:$A$501,'04_路径网络'!D494)+COUNTIF('03_地点锚点'!$A$2:$A$501,'04_路径网络'!D494)+COUNTIF('06_建筑锚点'!$A$2:$A$501,'04_路径网络'!D494)=0),"起点引用对象不存在；","")&amp;IF(AND('04_路径网络'!E494&lt;&gt;"",COUNTIF('02_固定地理'!$A$2:$A$501,'04_路径网络'!E494)+COUNTIF('03_地点锚点'!$A$2:$A$501,'04_路径网络'!E494)+COUNTIF('06_建筑锚点'!$A$2:$A$501,'04_路径网络'!E494)=0),"终点引用对象不存在；","")&amp;IF(AND('04_路径网络'!F494&lt;&gt;"",COUNTIF('04_路径网络'!$A$2:$A$501,'04_路径网络'!F494)=0),"父级路径不存在；","")&amp;IF(AND('04_路径网络'!A494&lt;&gt;"",COUNTIF('04_路径网络'!$A$2:$A$501,'04_路径网络'!A494)&gt;1),"ID重复；",""),"")</f>
        <v/>
      </c>
      <c r="G1494" s="14">
        <f>IF(F1494&lt;&gt;"","按字段批注、数据字典和来源记录修正后复核","")</f>
        <v/>
      </c>
      <c r="H1494" s="14">
        <f>IF(F1494&lt;&gt;"","待处理","")</f>
        <v/>
      </c>
    </row>
    <row r="1495">
      <c r="A1495" s="14">
        <f>IF(F1495&lt;&gt;"","ISSUE-"&amp;TEXT(ROW()-1,"00000"),"")</f>
        <v/>
      </c>
      <c r="B1495" s="14">
        <f>IF(F1495&lt;&gt;"","错误","")</f>
        <v/>
      </c>
      <c r="C1495" s="14">
        <f>IF('04_路径网络'!A495&lt;&gt;"","04_路径网络","")</f>
        <v/>
      </c>
      <c r="D1495" s="14">
        <f>IF('04_路径网络'!A495&lt;&gt;"",'04_路径网络'!A495,"")</f>
        <v/>
      </c>
      <c r="E1495" s="14">
        <f>IF(F1495&lt;&gt;"","综合校验","")</f>
        <v/>
      </c>
      <c r="F1495" s="14">
        <f>IF('04_路径网络'!A495&lt;&gt;"",IF('04_路径网络'!A495="","缺少路径ID；","")&amp;IF('04_路径网络'!C495="","缺少路径类型；","")&amp;IF('04_路径网络'!D495="","缺少起点对象ID；","")&amp;IF('04_路径网络'!E495="","缺少终点对象ID；","")&amp;IF(AND('04_路径网络'!D495&lt;&gt;"",'04_路径网络'!D495='04_路径网络'!E495),"起点与终点相同；","")&amp;IF(AND('04_路径网络'!D495&lt;&gt;"",COUNTIF('02_固定地理'!$A$2:$A$501,'04_路径网络'!D495)+COUNTIF('03_地点锚点'!$A$2:$A$501,'04_路径网络'!D495)+COUNTIF('06_建筑锚点'!$A$2:$A$501,'04_路径网络'!D495)=0),"起点引用对象不存在；","")&amp;IF(AND('04_路径网络'!E495&lt;&gt;"",COUNTIF('02_固定地理'!$A$2:$A$501,'04_路径网络'!E495)+COUNTIF('03_地点锚点'!$A$2:$A$501,'04_路径网络'!E495)+COUNTIF('06_建筑锚点'!$A$2:$A$501,'04_路径网络'!E495)=0),"终点引用对象不存在；","")&amp;IF(AND('04_路径网络'!F495&lt;&gt;"",COUNTIF('04_路径网络'!$A$2:$A$501,'04_路径网络'!F495)=0),"父级路径不存在；","")&amp;IF(AND('04_路径网络'!A495&lt;&gt;"",COUNTIF('04_路径网络'!$A$2:$A$501,'04_路径网络'!A495)&gt;1),"ID重复；",""),"")</f>
        <v/>
      </c>
      <c r="G1495" s="14">
        <f>IF(F1495&lt;&gt;"","按字段批注、数据字典和来源记录修正后复核","")</f>
        <v/>
      </c>
      <c r="H1495" s="14">
        <f>IF(F1495&lt;&gt;"","待处理","")</f>
        <v/>
      </c>
    </row>
    <row r="1496">
      <c r="A1496" s="14">
        <f>IF(F1496&lt;&gt;"","ISSUE-"&amp;TEXT(ROW()-1,"00000"),"")</f>
        <v/>
      </c>
      <c r="B1496" s="14">
        <f>IF(F1496&lt;&gt;"","错误","")</f>
        <v/>
      </c>
      <c r="C1496" s="14">
        <f>IF('04_路径网络'!A496&lt;&gt;"","04_路径网络","")</f>
        <v/>
      </c>
      <c r="D1496" s="14">
        <f>IF('04_路径网络'!A496&lt;&gt;"",'04_路径网络'!A496,"")</f>
        <v/>
      </c>
      <c r="E1496" s="14">
        <f>IF(F1496&lt;&gt;"","综合校验","")</f>
        <v/>
      </c>
      <c r="F1496" s="14">
        <f>IF('04_路径网络'!A496&lt;&gt;"",IF('04_路径网络'!A496="","缺少路径ID；","")&amp;IF('04_路径网络'!C496="","缺少路径类型；","")&amp;IF('04_路径网络'!D496="","缺少起点对象ID；","")&amp;IF('04_路径网络'!E496="","缺少终点对象ID；","")&amp;IF(AND('04_路径网络'!D496&lt;&gt;"",'04_路径网络'!D496='04_路径网络'!E496),"起点与终点相同；","")&amp;IF(AND('04_路径网络'!D496&lt;&gt;"",COUNTIF('02_固定地理'!$A$2:$A$501,'04_路径网络'!D496)+COUNTIF('03_地点锚点'!$A$2:$A$501,'04_路径网络'!D496)+COUNTIF('06_建筑锚点'!$A$2:$A$501,'04_路径网络'!D496)=0),"起点引用对象不存在；","")&amp;IF(AND('04_路径网络'!E496&lt;&gt;"",COUNTIF('02_固定地理'!$A$2:$A$501,'04_路径网络'!E496)+COUNTIF('03_地点锚点'!$A$2:$A$501,'04_路径网络'!E496)+COUNTIF('06_建筑锚点'!$A$2:$A$501,'04_路径网络'!E496)=0),"终点引用对象不存在；","")&amp;IF(AND('04_路径网络'!F496&lt;&gt;"",COUNTIF('04_路径网络'!$A$2:$A$501,'04_路径网络'!F496)=0),"父级路径不存在；","")&amp;IF(AND('04_路径网络'!A496&lt;&gt;"",COUNTIF('04_路径网络'!$A$2:$A$501,'04_路径网络'!A496)&gt;1),"ID重复；",""),"")</f>
        <v/>
      </c>
      <c r="G1496" s="14">
        <f>IF(F1496&lt;&gt;"","按字段批注、数据字典和来源记录修正后复核","")</f>
        <v/>
      </c>
      <c r="H1496" s="14">
        <f>IF(F1496&lt;&gt;"","待处理","")</f>
        <v/>
      </c>
    </row>
    <row r="1497">
      <c r="A1497" s="14">
        <f>IF(F1497&lt;&gt;"","ISSUE-"&amp;TEXT(ROW()-1,"00000"),"")</f>
        <v/>
      </c>
      <c r="B1497" s="14">
        <f>IF(F1497&lt;&gt;"","错误","")</f>
        <v/>
      </c>
      <c r="C1497" s="14">
        <f>IF('04_路径网络'!A497&lt;&gt;"","04_路径网络","")</f>
        <v/>
      </c>
      <c r="D1497" s="14">
        <f>IF('04_路径网络'!A497&lt;&gt;"",'04_路径网络'!A497,"")</f>
        <v/>
      </c>
      <c r="E1497" s="14">
        <f>IF(F1497&lt;&gt;"","综合校验","")</f>
        <v/>
      </c>
      <c r="F1497" s="14">
        <f>IF('04_路径网络'!A497&lt;&gt;"",IF('04_路径网络'!A497="","缺少路径ID；","")&amp;IF('04_路径网络'!C497="","缺少路径类型；","")&amp;IF('04_路径网络'!D497="","缺少起点对象ID；","")&amp;IF('04_路径网络'!E497="","缺少终点对象ID；","")&amp;IF(AND('04_路径网络'!D497&lt;&gt;"",'04_路径网络'!D497='04_路径网络'!E497),"起点与终点相同；","")&amp;IF(AND('04_路径网络'!D497&lt;&gt;"",COUNTIF('02_固定地理'!$A$2:$A$501,'04_路径网络'!D497)+COUNTIF('03_地点锚点'!$A$2:$A$501,'04_路径网络'!D497)+COUNTIF('06_建筑锚点'!$A$2:$A$501,'04_路径网络'!D497)=0),"起点引用对象不存在；","")&amp;IF(AND('04_路径网络'!E497&lt;&gt;"",COUNTIF('02_固定地理'!$A$2:$A$501,'04_路径网络'!E497)+COUNTIF('03_地点锚点'!$A$2:$A$501,'04_路径网络'!E497)+COUNTIF('06_建筑锚点'!$A$2:$A$501,'04_路径网络'!E497)=0),"终点引用对象不存在；","")&amp;IF(AND('04_路径网络'!F497&lt;&gt;"",COUNTIF('04_路径网络'!$A$2:$A$501,'04_路径网络'!F497)=0),"父级路径不存在；","")&amp;IF(AND('04_路径网络'!A497&lt;&gt;"",COUNTIF('04_路径网络'!$A$2:$A$501,'04_路径网络'!A497)&gt;1),"ID重复；",""),"")</f>
        <v/>
      </c>
      <c r="G1497" s="14">
        <f>IF(F1497&lt;&gt;"","按字段批注、数据字典和来源记录修正后复核","")</f>
        <v/>
      </c>
      <c r="H1497" s="14">
        <f>IF(F1497&lt;&gt;"","待处理","")</f>
        <v/>
      </c>
    </row>
    <row r="1498">
      <c r="A1498" s="14">
        <f>IF(F1498&lt;&gt;"","ISSUE-"&amp;TEXT(ROW()-1,"00000"),"")</f>
        <v/>
      </c>
      <c r="B1498" s="14">
        <f>IF(F1498&lt;&gt;"","错误","")</f>
        <v/>
      </c>
      <c r="C1498" s="14">
        <f>IF('04_路径网络'!A498&lt;&gt;"","04_路径网络","")</f>
        <v/>
      </c>
      <c r="D1498" s="14">
        <f>IF('04_路径网络'!A498&lt;&gt;"",'04_路径网络'!A498,"")</f>
        <v/>
      </c>
      <c r="E1498" s="14">
        <f>IF(F1498&lt;&gt;"","综合校验","")</f>
        <v/>
      </c>
      <c r="F1498" s="14">
        <f>IF('04_路径网络'!A498&lt;&gt;"",IF('04_路径网络'!A498="","缺少路径ID；","")&amp;IF('04_路径网络'!C498="","缺少路径类型；","")&amp;IF('04_路径网络'!D498="","缺少起点对象ID；","")&amp;IF('04_路径网络'!E498="","缺少终点对象ID；","")&amp;IF(AND('04_路径网络'!D498&lt;&gt;"",'04_路径网络'!D498='04_路径网络'!E498),"起点与终点相同；","")&amp;IF(AND('04_路径网络'!D498&lt;&gt;"",COUNTIF('02_固定地理'!$A$2:$A$501,'04_路径网络'!D498)+COUNTIF('03_地点锚点'!$A$2:$A$501,'04_路径网络'!D498)+COUNTIF('06_建筑锚点'!$A$2:$A$501,'04_路径网络'!D498)=0),"起点引用对象不存在；","")&amp;IF(AND('04_路径网络'!E498&lt;&gt;"",COUNTIF('02_固定地理'!$A$2:$A$501,'04_路径网络'!E498)+COUNTIF('03_地点锚点'!$A$2:$A$501,'04_路径网络'!E498)+COUNTIF('06_建筑锚点'!$A$2:$A$501,'04_路径网络'!E498)=0),"终点引用对象不存在；","")&amp;IF(AND('04_路径网络'!F498&lt;&gt;"",COUNTIF('04_路径网络'!$A$2:$A$501,'04_路径网络'!F498)=0),"父级路径不存在；","")&amp;IF(AND('04_路径网络'!A498&lt;&gt;"",COUNTIF('04_路径网络'!$A$2:$A$501,'04_路径网络'!A498)&gt;1),"ID重复；",""),"")</f>
        <v/>
      </c>
      <c r="G1498" s="14">
        <f>IF(F1498&lt;&gt;"","按字段批注、数据字典和来源记录修正后复核","")</f>
        <v/>
      </c>
      <c r="H1498" s="14">
        <f>IF(F1498&lt;&gt;"","待处理","")</f>
        <v/>
      </c>
    </row>
    <row r="1499">
      <c r="A1499" s="14">
        <f>IF(F1499&lt;&gt;"","ISSUE-"&amp;TEXT(ROW()-1,"00000"),"")</f>
        <v/>
      </c>
      <c r="B1499" s="14">
        <f>IF(F1499&lt;&gt;"","错误","")</f>
        <v/>
      </c>
      <c r="C1499" s="14">
        <f>IF('04_路径网络'!A499&lt;&gt;"","04_路径网络","")</f>
        <v/>
      </c>
      <c r="D1499" s="14">
        <f>IF('04_路径网络'!A499&lt;&gt;"",'04_路径网络'!A499,"")</f>
        <v/>
      </c>
      <c r="E1499" s="14">
        <f>IF(F1499&lt;&gt;"","综合校验","")</f>
        <v/>
      </c>
      <c r="F1499" s="14">
        <f>IF('04_路径网络'!A499&lt;&gt;"",IF('04_路径网络'!A499="","缺少路径ID；","")&amp;IF('04_路径网络'!C499="","缺少路径类型；","")&amp;IF('04_路径网络'!D499="","缺少起点对象ID；","")&amp;IF('04_路径网络'!E499="","缺少终点对象ID；","")&amp;IF(AND('04_路径网络'!D499&lt;&gt;"",'04_路径网络'!D499='04_路径网络'!E499),"起点与终点相同；","")&amp;IF(AND('04_路径网络'!D499&lt;&gt;"",COUNTIF('02_固定地理'!$A$2:$A$501,'04_路径网络'!D499)+COUNTIF('03_地点锚点'!$A$2:$A$501,'04_路径网络'!D499)+COUNTIF('06_建筑锚点'!$A$2:$A$501,'04_路径网络'!D499)=0),"起点引用对象不存在；","")&amp;IF(AND('04_路径网络'!E499&lt;&gt;"",COUNTIF('02_固定地理'!$A$2:$A$501,'04_路径网络'!E499)+COUNTIF('03_地点锚点'!$A$2:$A$501,'04_路径网络'!E499)+COUNTIF('06_建筑锚点'!$A$2:$A$501,'04_路径网络'!E499)=0),"终点引用对象不存在；","")&amp;IF(AND('04_路径网络'!F499&lt;&gt;"",COUNTIF('04_路径网络'!$A$2:$A$501,'04_路径网络'!F499)=0),"父级路径不存在；","")&amp;IF(AND('04_路径网络'!A499&lt;&gt;"",COUNTIF('04_路径网络'!$A$2:$A$501,'04_路径网络'!A499)&gt;1),"ID重复；",""),"")</f>
        <v/>
      </c>
      <c r="G1499" s="14">
        <f>IF(F1499&lt;&gt;"","按字段批注、数据字典和来源记录修正后复核","")</f>
        <v/>
      </c>
      <c r="H1499" s="14">
        <f>IF(F1499&lt;&gt;"","待处理","")</f>
        <v/>
      </c>
    </row>
    <row r="1500">
      <c r="A1500" s="14">
        <f>IF(F1500&lt;&gt;"","ISSUE-"&amp;TEXT(ROW()-1,"00000"),"")</f>
        <v/>
      </c>
      <c r="B1500" s="14">
        <f>IF(F1500&lt;&gt;"","错误","")</f>
        <v/>
      </c>
      <c r="C1500" s="14">
        <f>IF('04_路径网络'!A500&lt;&gt;"","04_路径网络","")</f>
        <v/>
      </c>
      <c r="D1500" s="14">
        <f>IF('04_路径网络'!A500&lt;&gt;"",'04_路径网络'!A500,"")</f>
        <v/>
      </c>
      <c r="E1500" s="14">
        <f>IF(F1500&lt;&gt;"","综合校验","")</f>
        <v/>
      </c>
      <c r="F1500" s="14">
        <f>IF('04_路径网络'!A500&lt;&gt;"",IF('04_路径网络'!A500="","缺少路径ID；","")&amp;IF('04_路径网络'!C500="","缺少路径类型；","")&amp;IF('04_路径网络'!D500="","缺少起点对象ID；","")&amp;IF('04_路径网络'!E500="","缺少终点对象ID；","")&amp;IF(AND('04_路径网络'!D500&lt;&gt;"",'04_路径网络'!D500='04_路径网络'!E500),"起点与终点相同；","")&amp;IF(AND('04_路径网络'!D500&lt;&gt;"",COUNTIF('02_固定地理'!$A$2:$A$501,'04_路径网络'!D500)+COUNTIF('03_地点锚点'!$A$2:$A$501,'04_路径网络'!D500)+COUNTIF('06_建筑锚点'!$A$2:$A$501,'04_路径网络'!D500)=0),"起点引用对象不存在；","")&amp;IF(AND('04_路径网络'!E500&lt;&gt;"",COUNTIF('02_固定地理'!$A$2:$A$501,'04_路径网络'!E500)+COUNTIF('03_地点锚点'!$A$2:$A$501,'04_路径网络'!E500)+COUNTIF('06_建筑锚点'!$A$2:$A$501,'04_路径网络'!E500)=0),"终点引用对象不存在；","")&amp;IF(AND('04_路径网络'!F500&lt;&gt;"",COUNTIF('04_路径网络'!$A$2:$A$501,'04_路径网络'!F500)=0),"父级路径不存在；","")&amp;IF(AND('04_路径网络'!A500&lt;&gt;"",COUNTIF('04_路径网络'!$A$2:$A$501,'04_路径网络'!A500)&gt;1),"ID重复；",""),"")</f>
        <v/>
      </c>
      <c r="G1500" s="14">
        <f>IF(F1500&lt;&gt;"","按字段批注、数据字典和来源记录修正后复核","")</f>
        <v/>
      </c>
      <c r="H1500" s="14">
        <f>IF(F1500&lt;&gt;"","待处理","")</f>
        <v/>
      </c>
    </row>
    <row r="1501">
      <c r="A1501" s="14">
        <f>IF(F1501&lt;&gt;"","ISSUE-"&amp;TEXT(ROW()-1,"00000"),"")</f>
        <v/>
      </c>
      <c r="B1501" s="14">
        <f>IF(F1501&lt;&gt;"","错误","")</f>
        <v/>
      </c>
      <c r="C1501" s="14">
        <f>IF('04_路径网络'!A501&lt;&gt;"","04_路径网络","")</f>
        <v/>
      </c>
      <c r="D1501" s="14">
        <f>IF('04_路径网络'!A501&lt;&gt;"",'04_路径网络'!A501,"")</f>
        <v/>
      </c>
      <c r="E1501" s="14">
        <f>IF(F1501&lt;&gt;"","综合校验","")</f>
        <v/>
      </c>
      <c r="F1501" s="14">
        <f>IF('04_路径网络'!A501&lt;&gt;"",IF('04_路径网络'!A501="","缺少路径ID；","")&amp;IF('04_路径网络'!C501="","缺少路径类型；","")&amp;IF('04_路径网络'!D501="","缺少起点对象ID；","")&amp;IF('04_路径网络'!E501="","缺少终点对象ID；","")&amp;IF(AND('04_路径网络'!D501&lt;&gt;"",'04_路径网络'!D501='04_路径网络'!E501),"起点与终点相同；","")&amp;IF(AND('04_路径网络'!D501&lt;&gt;"",COUNTIF('02_固定地理'!$A$2:$A$501,'04_路径网络'!D501)+COUNTIF('03_地点锚点'!$A$2:$A$501,'04_路径网络'!D501)+COUNTIF('06_建筑锚点'!$A$2:$A$501,'04_路径网络'!D501)=0),"起点引用对象不存在；","")&amp;IF(AND('04_路径网络'!E501&lt;&gt;"",COUNTIF('02_固定地理'!$A$2:$A$501,'04_路径网络'!E501)+COUNTIF('03_地点锚点'!$A$2:$A$501,'04_路径网络'!E501)+COUNTIF('06_建筑锚点'!$A$2:$A$501,'04_路径网络'!E501)=0),"终点引用对象不存在；","")&amp;IF(AND('04_路径网络'!F501&lt;&gt;"",COUNTIF('04_路径网络'!$A$2:$A$501,'04_路径网络'!F501)=0),"父级路径不存在；","")&amp;IF(AND('04_路径网络'!A501&lt;&gt;"",COUNTIF('04_路径网络'!$A$2:$A$501,'04_路径网络'!A501)&gt;1),"ID重复；",""),"")</f>
        <v/>
      </c>
      <c r="G1501" s="14">
        <f>IF(F1501&lt;&gt;"","按字段批注、数据字典和来源记录修正后复核","")</f>
        <v/>
      </c>
      <c r="H1501" s="14">
        <f>IF(F1501&lt;&gt;"","待处理","")</f>
        <v/>
      </c>
    </row>
    <row r="1502">
      <c r="A1502" s="14">
        <f>IF(F1502&lt;&gt;"","ISSUE-"&amp;TEXT(ROW()-1,"00000"),"")</f>
        <v/>
      </c>
      <c r="B1502" s="14">
        <f>IF(F1502&lt;&gt;"","错误","")</f>
        <v/>
      </c>
      <c r="C1502" s="14">
        <f>IF('05_层级表现LOD'!A2&lt;&gt;"","05_层级表现LOD","")</f>
        <v/>
      </c>
      <c r="D1502" s="14">
        <f>IF('05_层级表现LOD'!A2&lt;&gt;"",'05_层级表现LOD'!A2,"")</f>
        <v/>
      </c>
      <c r="E1502" s="14">
        <f>IF(F1502&lt;&gt;"","综合校验","")</f>
        <v/>
      </c>
      <c r="F1502" s="14">
        <f>IF('05_层级表现LOD'!A2&lt;&gt;"",IF('05_层级表现LOD'!A2="","缺少对象ID；","")&amp;IF('05_层级表现LOD'!B2="","缺少对象类别；","")&amp;IF(AND('05_层级表现LOD'!A2&lt;&gt;"",COUNTIF('02_固定地理'!$A$2:$A$501,'05_层级表现LOD'!A2)+COUNTIF('03_地点锚点'!$A$2:$A$501,'05_层级表现LOD'!A2)+COUNTIF('04_路径网络'!$A$2:$A$501,'05_层级表现LOD'!A2)+COUNTIF('06_建筑锚点'!$A$2:$A$501,'05_层级表现LOD'!A2)=0),"LOD引用对象不存在；","")&amp;IF(AND('05_层级表现LOD'!A2&lt;&gt;"",COUNTIF('05_层级表现LOD'!$A$2:$A$501,'05_层级表现LOD'!A2)&gt;1),"ID重复；",""),"")</f>
        <v/>
      </c>
      <c r="G1502" s="14">
        <f>IF(F1502&lt;&gt;"","按字段批注、数据字典和来源记录修正后复核","")</f>
        <v/>
      </c>
      <c r="H1502" s="14">
        <f>IF(F1502&lt;&gt;"","待处理","")</f>
        <v/>
      </c>
    </row>
    <row r="1503">
      <c r="A1503" s="14">
        <f>IF(F1503&lt;&gt;"","ISSUE-"&amp;TEXT(ROW()-1,"00000"),"")</f>
        <v/>
      </c>
      <c r="B1503" s="14">
        <f>IF(F1503&lt;&gt;"","错误","")</f>
        <v/>
      </c>
      <c r="C1503" s="14">
        <f>IF('05_层级表现LOD'!A3&lt;&gt;"","05_层级表现LOD","")</f>
        <v/>
      </c>
      <c r="D1503" s="14">
        <f>IF('05_层级表现LOD'!A3&lt;&gt;"",'05_层级表现LOD'!A3,"")</f>
        <v/>
      </c>
      <c r="E1503" s="14">
        <f>IF(F1503&lt;&gt;"","综合校验","")</f>
        <v/>
      </c>
      <c r="F1503" s="14">
        <f>IF('05_层级表现LOD'!A3&lt;&gt;"",IF('05_层级表现LOD'!A3="","缺少对象ID；","")&amp;IF('05_层级表现LOD'!B3="","缺少对象类别；","")&amp;IF(AND('05_层级表现LOD'!A3&lt;&gt;"",COUNTIF('02_固定地理'!$A$2:$A$501,'05_层级表现LOD'!A3)+COUNTIF('03_地点锚点'!$A$2:$A$501,'05_层级表现LOD'!A3)+COUNTIF('04_路径网络'!$A$2:$A$501,'05_层级表现LOD'!A3)+COUNTIF('06_建筑锚点'!$A$2:$A$501,'05_层级表现LOD'!A3)=0),"LOD引用对象不存在；","")&amp;IF(AND('05_层级表现LOD'!A3&lt;&gt;"",COUNTIF('05_层级表现LOD'!$A$2:$A$501,'05_层级表现LOD'!A3)&gt;1),"ID重复；",""),"")</f>
        <v/>
      </c>
      <c r="G1503" s="14">
        <f>IF(F1503&lt;&gt;"","按字段批注、数据字典和来源记录修正后复核","")</f>
        <v/>
      </c>
      <c r="H1503" s="14">
        <f>IF(F1503&lt;&gt;"","待处理","")</f>
        <v/>
      </c>
    </row>
    <row r="1504">
      <c r="A1504" s="14">
        <f>IF(F1504&lt;&gt;"","ISSUE-"&amp;TEXT(ROW()-1,"00000"),"")</f>
        <v/>
      </c>
      <c r="B1504" s="14">
        <f>IF(F1504&lt;&gt;"","错误","")</f>
        <v/>
      </c>
      <c r="C1504" s="14">
        <f>IF('05_层级表现LOD'!A4&lt;&gt;"","05_层级表现LOD","")</f>
        <v/>
      </c>
      <c r="D1504" s="14">
        <f>IF('05_层级表现LOD'!A4&lt;&gt;"",'05_层级表现LOD'!A4,"")</f>
        <v/>
      </c>
      <c r="E1504" s="14">
        <f>IF(F1504&lt;&gt;"","综合校验","")</f>
        <v/>
      </c>
      <c r="F1504" s="14">
        <f>IF('05_层级表现LOD'!A4&lt;&gt;"",IF('05_层级表现LOD'!A4="","缺少对象ID；","")&amp;IF('05_层级表现LOD'!B4="","缺少对象类别；","")&amp;IF(AND('05_层级表现LOD'!A4&lt;&gt;"",COUNTIF('02_固定地理'!$A$2:$A$501,'05_层级表现LOD'!A4)+COUNTIF('03_地点锚点'!$A$2:$A$501,'05_层级表现LOD'!A4)+COUNTIF('04_路径网络'!$A$2:$A$501,'05_层级表现LOD'!A4)+COUNTIF('06_建筑锚点'!$A$2:$A$501,'05_层级表现LOD'!A4)=0),"LOD引用对象不存在；","")&amp;IF(AND('05_层级表现LOD'!A4&lt;&gt;"",COUNTIF('05_层级表现LOD'!$A$2:$A$501,'05_层级表现LOD'!A4)&gt;1),"ID重复；",""),"")</f>
        <v/>
      </c>
      <c r="G1504" s="14">
        <f>IF(F1504&lt;&gt;"","按字段批注、数据字典和来源记录修正后复核","")</f>
        <v/>
      </c>
      <c r="H1504" s="14">
        <f>IF(F1504&lt;&gt;"","待处理","")</f>
        <v/>
      </c>
    </row>
    <row r="1505">
      <c r="A1505" s="14">
        <f>IF(F1505&lt;&gt;"","ISSUE-"&amp;TEXT(ROW()-1,"00000"),"")</f>
        <v/>
      </c>
      <c r="B1505" s="14">
        <f>IF(F1505&lt;&gt;"","错误","")</f>
        <v/>
      </c>
      <c r="C1505" s="14">
        <f>IF('05_层级表现LOD'!A5&lt;&gt;"","05_层级表现LOD","")</f>
        <v/>
      </c>
      <c r="D1505" s="14">
        <f>IF('05_层级表现LOD'!A5&lt;&gt;"",'05_层级表现LOD'!A5,"")</f>
        <v/>
      </c>
      <c r="E1505" s="14">
        <f>IF(F1505&lt;&gt;"","综合校验","")</f>
        <v/>
      </c>
      <c r="F1505" s="14">
        <f>IF('05_层级表现LOD'!A5&lt;&gt;"",IF('05_层级表现LOD'!A5="","缺少对象ID；","")&amp;IF('05_层级表现LOD'!B5="","缺少对象类别；","")&amp;IF(AND('05_层级表现LOD'!A5&lt;&gt;"",COUNTIF('02_固定地理'!$A$2:$A$501,'05_层级表现LOD'!A5)+COUNTIF('03_地点锚点'!$A$2:$A$501,'05_层级表现LOD'!A5)+COUNTIF('04_路径网络'!$A$2:$A$501,'05_层级表现LOD'!A5)+COUNTIF('06_建筑锚点'!$A$2:$A$501,'05_层级表现LOD'!A5)=0),"LOD引用对象不存在；","")&amp;IF(AND('05_层级表现LOD'!A5&lt;&gt;"",COUNTIF('05_层级表现LOD'!$A$2:$A$501,'05_层级表现LOD'!A5)&gt;1),"ID重复；",""),"")</f>
        <v/>
      </c>
      <c r="G1505" s="14">
        <f>IF(F1505&lt;&gt;"","按字段批注、数据字典和来源记录修正后复核","")</f>
        <v/>
      </c>
      <c r="H1505" s="14">
        <f>IF(F1505&lt;&gt;"","待处理","")</f>
        <v/>
      </c>
    </row>
    <row r="1506">
      <c r="A1506" s="14">
        <f>IF(F1506&lt;&gt;"","ISSUE-"&amp;TEXT(ROW()-1,"00000"),"")</f>
        <v/>
      </c>
      <c r="B1506" s="14">
        <f>IF(F1506&lt;&gt;"","错误","")</f>
        <v/>
      </c>
      <c r="C1506" s="14">
        <f>IF('05_层级表现LOD'!A6&lt;&gt;"","05_层级表现LOD","")</f>
        <v/>
      </c>
      <c r="D1506" s="14">
        <f>IF('05_层级表现LOD'!A6&lt;&gt;"",'05_层级表现LOD'!A6,"")</f>
        <v/>
      </c>
      <c r="E1506" s="14">
        <f>IF(F1506&lt;&gt;"","综合校验","")</f>
        <v/>
      </c>
      <c r="F1506" s="14">
        <f>IF('05_层级表现LOD'!A6&lt;&gt;"",IF('05_层级表现LOD'!A6="","缺少对象ID；","")&amp;IF('05_层级表现LOD'!B6="","缺少对象类别；","")&amp;IF(AND('05_层级表现LOD'!A6&lt;&gt;"",COUNTIF('02_固定地理'!$A$2:$A$501,'05_层级表现LOD'!A6)+COUNTIF('03_地点锚点'!$A$2:$A$501,'05_层级表现LOD'!A6)+COUNTIF('04_路径网络'!$A$2:$A$501,'05_层级表现LOD'!A6)+COUNTIF('06_建筑锚点'!$A$2:$A$501,'05_层级表现LOD'!A6)=0),"LOD引用对象不存在；","")&amp;IF(AND('05_层级表现LOD'!A6&lt;&gt;"",COUNTIF('05_层级表现LOD'!$A$2:$A$501,'05_层级表现LOD'!A6)&gt;1),"ID重复；",""),"")</f>
        <v/>
      </c>
      <c r="G1506" s="14">
        <f>IF(F1506&lt;&gt;"","按字段批注、数据字典和来源记录修正后复核","")</f>
        <v/>
      </c>
      <c r="H1506" s="14">
        <f>IF(F1506&lt;&gt;"","待处理","")</f>
        <v/>
      </c>
    </row>
    <row r="1507">
      <c r="A1507" s="14">
        <f>IF(F1507&lt;&gt;"","ISSUE-"&amp;TEXT(ROW()-1,"00000"),"")</f>
        <v/>
      </c>
      <c r="B1507" s="14">
        <f>IF(F1507&lt;&gt;"","错误","")</f>
        <v/>
      </c>
      <c r="C1507" s="14">
        <f>IF('05_层级表现LOD'!A7&lt;&gt;"","05_层级表现LOD","")</f>
        <v/>
      </c>
      <c r="D1507" s="14">
        <f>IF('05_层级表现LOD'!A7&lt;&gt;"",'05_层级表现LOD'!A7,"")</f>
        <v/>
      </c>
      <c r="E1507" s="14">
        <f>IF(F1507&lt;&gt;"","综合校验","")</f>
        <v/>
      </c>
      <c r="F1507" s="14">
        <f>IF('05_层级表现LOD'!A7&lt;&gt;"",IF('05_层级表现LOD'!A7="","缺少对象ID；","")&amp;IF('05_层级表现LOD'!B7="","缺少对象类别；","")&amp;IF(AND('05_层级表现LOD'!A7&lt;&gt;"",COUNTIF('02_固定地理'!$A$2:$A$501,'05_层级表现LOD'!A7)+COUNTIF('03_地点锚点'!$A$2:$A$501,'05_层级表现LOD'!A7)+COUNTIF('04_路径网络'!$A$2:$A$501,'05_层级表现LOD'!A7)+COUNTIF('06_建筑锚点'!$A$2:$A$501,'05_层级表现LOD'!A7)=0),"LOD引用对象不存在；","")&amp;IF(AND('05_层级表现LOD'!A7&lt;&gt;"",COUNTIF('05_层级表现LOD'!$A$2:$A$501,'05_层级表现LOD'!A7)&gt;1),"ID重复；",""),"")</f>
        <v/>
      </c>
      <c r="G1507" s="14">
        <f>IF(F1507&lt;&gt;"","按字段批注、数据字典和来源记录修正后复核","")</f>
        <v/>
      </c>
      <c r="H1507" s="14">
        <f>IF(F1507&lt;&gt;"","待处理","")</f>
        <v/>
      </c>
    </row>
    <row r="1508">
      <c r="A1508" s="14">
        <f>IF(F1508&lt;&gt;"","ISSUE-"&amp;TEXT(ROW()-1,"00000"),"")</f>
        <v/>
      </c>
      <c r="B1508" s="14">
        <f>IF(F1508&lt;&gt;"","错误","")</f>
        <v/>
      </c>
      <c r="C1508" s="14">
        <f>IF('05_层级表现LOD'!A8&lt;&gt;"","05_层级表现LOD","")</f>
        <v/>
      </c>
      <c r="D1508" s="14">
        <f>IF('05_层级表现LOD'!A8&lt;&gt;"",'05_层级表现LOD'!A8,"")</f>
        <v/>
      </c>
      <c r="E1508" s="14">
        <f>IF(F1508&lt;&gt;"","综合校验","")</f>
        <v/>
      </c>
      <c r="F1508" s="14">
        <f>IF('05_层级表现LOD'!A8&lt;&gt;"",IF('05_层级表现LOD'!A8="","缺少对象ID；","")&amp;IF('05_层级表现LOD'!B8="","缺少对象类别；","")&amp;IF(AND('05_层级表现LOD'!A8&lt;&gt;"",COUNTIF('02_固定地理'!$A$2:$A$501,'05_层级表现LOD'!A8)+COUNTIF('03_地点锚点'!$A$2:$A$501,'05_层级表现LOD'!A8)+COUNTIF('04_路径网络'!$A$2:$A$501,'05_层级表现LOD'!A8)+COUNTIF('06_建筑锚点'!$A$2:$A$501,'05_层级表现LOD'!A8)=0),"LOD引用对象不存在；","")&amp;IF(AND('05_层级表现LOD'!A8&lt;&gt;"",COUNTIF('05_层级表现LOD'!$A$2:$A$501,'05_层级表现LOD'!A8)&gt;1),"ID重复；",""),"")</f>
        <v/>
      </c>
      <c r="G1508" s="14">
        <f>IF(F1508&lt;&gt;"","按字段批注、数据字典和来源记录修正后复核","")</f>
        <v/>
      </c>
      <c r="H1508" s="14">
        <f>IF(F1508&lt;&gt;"","待处理","")</f>
        <v/>
      </c>
    </row>
    <row r="1509">
      <c r="A1509" s="14">
        <f>IF(F1509&lt;&gt;"","ISSUE-"&amp;TEXT(ROW()-1,"00000"),"")</f>
        <v/>
      </c>
      <c r="B1509" s="14">
        <f>IF(F1509&lt;&gt;"","错误","")</f>
        <v/>
      </c>
      <c r="C1509" s="14">
        <f>IF('05_层级表现LOD'!A9&lt;&gt;"","05_层级表现LOD","")</f>
        <v/>
      </c>
      <c r="D1509" s="14">
        <f>IF('05_层级表现LOD'!A9&lt;&gt;"",'05_层级表现LOD'!A9,"")</f>
        <v/>
      </c>
      <c r="E1509" s="14">
        <f>IF(F1509&lt;&gt;"","综合校验","")</f>
        <v/>
      </c>
      <c r="F1509" s="14">
        <f>IF('05_层级表现LOD'!A9&lt;&gt;"",IF('05_层级表现LOD'!A9="","缺少对象ID；","")&amp;IF('05_层级表现LOD'!B9="","缺少对象类别；","")&amp;IF(AND('05_层级表现LOD'!A9&lt;&gt;"",COUNTIF('02_固定地理'!$A$2:$A$501,'05_层级表现LOD'!A9)+COUNTIF('03_地点锚点'!$A$2:$A$501,'05_层级表现LOD'!A9)+COUNTIF('04_路径网络'!$A$2:$A$501,'05_层级表现LOD'!A9)+COUNTIF('06_建筑锚点'!$A$2:$A$501,'05_层级表现LOD'!A9)=0),"LOD引用对象不存在；","")&amp;IF(AND('05_层级表现LOD'!A9&lt;&gt;"",COUNTIF('05_层级表现LOD'!$A$2:$A$501,'05_层级表现LOD'!A9)&gt;1),"ID重复；",""),"")</f>
        <v/>
      </c>
      <c r="G1509" s="14">
        <f>IF(F1509&lt;&gt;"","按字段批注、数据字典和来源记录修正后复核","")</f>
        <v/>
      </c>
      <c r="H1509" s="14">
        <f>IF(F1509&lt;&gt;"","待处理","")</f>
        <v/>
      </c>
    </row>
    <row r="1510">
      <c r="A1510" s="14">
        <f>IF(F1510&lt;&gt;"","ISSUE-"&amp;TEXT(ROW()-1,"00000"),"")</f>
        <v/>
      </c>
      <c r="B1510" s="14">
        <f>IF(F1510&lt;&gt;"","错误","")</f>
        <v/>
      </c>
      <c r="C1510" s="14">
        <f>IF('05_层级表现LOD'!A10&lt;&gt;"","05_层级表现LOD","")</f>
        <v/>
      </c>
      <c r="D1510" s="14">
        <f>IF('05_层级表现LOD'!A10&lt;&gt;"",'05_层级表现LOD'!A10,"")</f>
        <v/>
      </c>
      <c r="E1510" s="14">
        <f>IF(F1510&lt;&gt;"","综合校验","")</f>
        <v/>
      </c>
      <c r="F1510" s="14">
        <f>IF('05_层级表现LOD'!A10&lt;&gt;"",IF('05_层级表现LOD'!A10="","缺少对象ID；","")&amp;IF('05_层级表现LOD'!B10="","缺少对象类别；","")&amp;IF(AND('05_层级表现LOD'!A10&lt;&gt;"",COUNTIF('02_固定地理'!$A$2:$A$501,'05_层级表现LOD'!A10)+COUNTIF('03_地点锚点'!$A$2:$A$501,'05_层级表现LOD'!A10)+COUNTIF('04_路径网络'!$A$2:$A$501,'05_层级表现LOD'!A10)+COUNTIF('06_建筑锚点'!$A$2:$A$501,'05_层级表现LOD'!A10)=0),"LOD引用对象不存在；","")&amp;IF(AND('05_层级表现LOD'!A10&lt;&gt;"",COUNTIF('05_层级表现LOD'!$A$2:$A$501,'05_层级表现LOD'!A10)&gt;1),"ID重复；",""),"")</f>
        <v/>
      </c>
      <c r="G1510" s="14">
        <f>IF(F1510&lt;&gt;"","按字段批注、数据字典和来源记录修正后复核","")</f>
        <v/>
      </c>
      <c r="H1510" s="14">
        <f>IF(F1510&lt;&gt;"","待处理","")</f>
        <v/>
      </c>
    </row>
    <row r="1511">
      <c r="A1511" s="14">
        <f>IF(F1511&lt;&gt;"","ISSUE-"&amp;TEXT(ROW()-1,"00000"),"")</f>
        <v/>
      </c>
      <c r="B1511" s="14">
        <f>IF(F1511&lt;&gt;"","错误","")</f>
        <v/>
      </c>
      <c r="C1511" s="14">
        <f>IF('05_层级表现LOD'!A11&lt;&gt;"","05_层级表现LOD","")</f>
        <v/>
      </c>
      <c r="D1511" s="14">
        <f>IF('05_层级表现LOD'!A11&lt;&gt;"",'05_层级表现LOD'!A11,"")</f>
        <v/>
      </c>
      <c r="E1511" s="14">
        <f>IF(F1511&lt;&gt;"","综合校验","")</f>
        <v/>
      </c>
      <c r="F1511" s="14">
        <f>IF('05_层级表现LOD'!A11&lt;&gt;"",IF('05_层级表现LOD'!A11="","缺少对象ID；","")&amp;IF('05_层级表现LOD'!B11="","缺少对象类别；","")&amp;IF(AND('05_层级表现LOD'!A11&lt;&gt;"",COUNTIF('02_固定地理'!$A$2:$A$501,'05_层级表现LOD'!A11)+COUNTIF('03_地点锚点'!$A$2:$A$501,'05_层级表现LOD'!A11)+COUNTIF('04_路径网络'!$A$2:$A$501,'05_层级表现LOD'!A11)+COUNTIF('06_建筑锚点'!$A$2:$A$501,'05_层级表现LOD'!A11)=0),"LOD引用对象不存在；","")&amp;IF(AND('05_层级表现LOD'!A11&lt;&gt;"",COUNTIF('05_层级表现LOD'!$A$2:$A$501,'05_层级表现LOD'!A11)&gt;1),"ID重复；",""),"")</f>
        <v/>
      </c>
      <c r="G1511" s="14">
        <f>IF(F1511&lt;&gt;"","按字段批注、数据字典和来源记录修正后复核","")</f>
        <v/>
      </c>
      <c r="H1511" s="14">
        <f>IF(F1511&lt;&gt;"","待处理","")</f>
        <v/>
      </c>
    </row>
    <row r="1512">
      <c r="A1512" s="14">
        <f>IF(F1512&lt;&gt;"","ISSUE-"&amp;TEXT(ROW()-1,"00000"),"")</f>
        <v/>
      </c>
      <c r="B1512" s="14">
        <f>IF(F1512&lt;&gt;"","错误","")</f>
        <v/>
      </c>
      <c r="C1512" s="14">
        <f>IF('05_层级表现LOD'!A12&lt;&gt;"","05_层级表现LOD","")</f>
        <v/>
      </c>
      <c r="D1512" s="14">
        <f>IF('05_层级表现LOD'!A12&lt;&gt;"",'05_层级表现LOD'!A12,"")</f>
        <v/>
      </c>
      <c r="E1512" s="14">
        <f>IF(F1512&lt;&gt;"","综合校验","")</f>
        <v/>
      </c>
      <c r="F1512" s="14">
        <f>IF('05_层级表现LOD'!A12&lt;&gt;"",IF('05_层级表现LOD'!A12="","缺少对象ID；","")&amp;IF('05_层级表现LOD'!B12="","缺少对象类别；","")&amp;IF(AND('05_层级表现LOD'!A12&lt;&gt;"",COUNTIF('02_固定地理'!$A$2:$A$501,'05_层级表现LOD'!A12)+COUNTIF('03_地点锚点'!$A$2:$A$501,'05_层级表现LOD'!A12)+COUNTIF('04_路径网络'!$A$2:$A$501,'05_层级表现LOD'!A12)+COUNTIF('06_建筑锚点'!$A$2:$A$501,'05_层级表现LOD'!A12)=0),"LOD引用对象不存在；","")&amp;IF(AND('05_层级表现LOD'!A12&lt;&gt;"",COUNTIF('05_层级表现LOD'!$A$2:$A$501,'05_层级表现LOD'!A12)&gt;1),"ID重复；",""),"")</f>
        <v/>
      </c>
      <c r="G1512" s="14">
        <f>IF(F1512&lt;&gt;"","按字段批注、数据字典和来源记录修正后复核","")</f>
        <v/>
      </c>
      <c r="H1512" s="14">
        <f>IF(F1512&lt;&gt;"","待处理","")</f>
        <v/>
      </c>
    </row>
    <row r="1513">
      <c r="A1513" s="14">
        <f>IF(F1513&lt;&gt;"","ISSUE-"&amp;TEXT(ROW()-1,"00000"),"")</f>
        <v/>
      </c>
      <c r="B1513" s="14">
        <f>IF(F1513&lt;&gt;"","错误","")</f>
        <v/>
      </c>
      <c r="C1513" s="14">
        <f>IF('05_层级表现LOD'!A13&lt;&gt;"","05_层级表现LOD","")</f>
        <v/>
      </c>
      <c r="D1513" s="14">
        <f>IF('05_层级表现LOD'!A13&lt;&gt;"",'05_层级表现LOD'!A13,"")</f>
        <v/>
      </c>
      <c r="E1513" s="14">
        <f>IF(F1513&lt;&gt;"","综合校验","")</f>
        <v/>
      </c>
      <c r="F1513" s="14">
        <f>IF('05_层级表现LOD'!A13&lt;&gt;"",IF('05_层级表现LOD'!A13="","缺少对象ID；","")&amp;IF('05_层级表现LOD'!B13="","缺少对象类别；","")&amp;IF(AND('05_层级表现LOD'!A13&lt;&gt;"",COUNTIF('02_固定地理'!$A$2:$A$501,'05_层级表现LOD'!A13)+COUNTIF('03_地点锚点'!$A$2:$A$501,'05_层级表现LOD'!A13)+COUNTIF('04_路径网络'!$A$2:$A$501,'05_层级表现LOD'!A13)+COUNTIF('06_建筑锚点'!$A$2:$A$501,'05_层级表现LOD'!A13)=0),"LOD引用对象不存在；","")&amp;IF(AND('05_层级表现LOD'!A13&lt;&gt;"",COUNTIF('05_层级表现LOD'!$A$2:$A$501,'05_层级表现LOD'!A13)&gt;1),"ID重复；",""),"")</f>
        <v/>
      </c>
      <c r="G1513" s="14">
        <f>IF(F1513&lt;&gt;"","按字段批注、数据字典和来源记录修正后复核","")</f>
        <v/>
      </c>
      <c r="H1513" s="14">
        <f>IF(F1513&lt;&gt;"","待处理","")</f>
        <v/>
      </c>
    </row>
    <row r="1514">
      <c r="A1514" s="14">
        <f>IF(F1514&lt;&gt;"","ISSUE-"&amp;TEXT(ROW()-1,"00000"),"")</f>
        <v/>
      </c>
      <c r="B1514" s="14">
        <f>IF(F1514&lt;&gt;"","错误","")</f>
        <v/>
      </c>
      <c r="C1514" s="14">
        <f>IF('05_层级表现LOD'!A14&lt;&gt;"","05_层级表现LOD","")</f>
        <v/>
      </c>
      <c r="D1514" s="14">
        <f>IF('05_层级表现LOD'!A14&lt;&gt;"",'05_层级表现LOD'!A14,"")</f>
        <v/>
      </c>
      <c r="E1514" s="14">
        <f>IF(F1514&lt;&gt;"","综合校验","")</f>
        <v/>
      </c>
      <c r="F1514" s="14">
        <f>IF('05_层级表现LOD'!A14&lt;&gt;"",IF('05_层级表现LOD'!A14="","缺少对象ID；","")&amp;IF('05_层级表现LOD'!B14="","缺少对象类别；","")&amp;IF(AND('05_层级表现LOD'!A14&lt;&gt;"",COUNTIF('02_固定地理'!$A$2:$A$501,'05_层级表现LOD'!A14)+COUNTIF('03_地点锚点'!$A$2:$A$501,'05_层级表现LOD'!A14)+COUNTIF('04_路径网络'!$A$2:$A$501,'05_层级表现LOD'!A14)+COUNTIF('06_建筑锚点'!$A$2:$A$501,'05_层级表现LOD'!A14)=0),"LOD引用对象不存在；","")&amp;IF(AND('05_层级表现LOD'!A14&lt;&gt;"",COUNTIF('05_层级表现LOD'!$A$2:$A$501,'05_层级表现LOD'!A14)&gt;1),"ID重复；",""),"")</f>
        <v/>
      </c>
      <c r="G1514" s="14">
        <f>IF(F1514&lt;&gt;"","按字段批注、数据字典和来源记录修正后复核","")</f>
        <v/>
      </c>
      <c r="H1514" s="14">
        <f>IF(F1514&lt;&gt;"","待处理","")</f>
        <v/>
      </c>
    </row>
    <row r="1515">
      <c r="A1515" s="14">
        <f>IF(F1515&lt;&gt;"","ISSUE-"&amp;TEXT(ROW()-1,"00000"),"")</f>
        <v/>
      </c>
      <c r="B1515" s="14">
        <f>IF(F1515&lt;&gt;"","错误","")</f>
        <v/>
      </c>
      <c r="C1515" s="14">
        <f>IF('05_层级表现LOD'!A15&lt;&gt;"","05_层级表现LOD","")</f>
        <v/>
      </c>
      <c r="D1515" s="14">
        <f>IF('05_层级表现LOD'!A15&lt;&gt;"",'05_层级表现LOD'!A15,"")</f>
        <v/>
      </c>
      <c r="E1515" s="14">
        <f>IF(F1515&lt;&gt;"","综合校验","")</f>
        <v/>
      </c>
      <c r="F1515" s="14">
        <f>IF('05_层级表现LOD'!A15&lt;&gt;"",IF('05_层级表现LOD'!A15="","缺少对象ID；","")&amp;IF('05_层级表现LOD'!B15="","缺少对象类别；","")&amp;IF(AND('05_层级表现LOD'!A15&lt;&gt;"",COUNTIF('02_固定地理'!$A$2:$A$501,'05_层级表现LOD'!A15)+COUNTIF('03_地点锚点'!$A$2:$A$501,'05_层级表现LOD'!A15)+COUNTIF('04_路径网络'!$A$2:$A$501,'05_层级表现LOD'!A15)+COUNTIF('06_建筑锚点'!$A$2:$A$501,'05_层级表现LOD'!A15)=0),"LOD引用对象不存在；","")&amp;IF(AND('05_层级表现LOD'!A15&lt;&gt;"",COUNTIF('05_层级表现LOD'!$A$2:$A$501,'05_层级表现LOD'!A15)&gt;1),"ID重复；",""),"")</f>
        <v/>
      </c>
      <c r="G1515" s="14">
        <f>IF(F1515&lt;&gt;"","按字段批注、数据字典和来源记录修正后复核","")</f>
        <v/>
      </c>
      <c r="H1515" s="14">
        <f>IF(F1515&lt;&gt;"","待处理","")</f>
        <v/>
      </c>
    </row>
    <row r="1516">
      <c r="A1516" s="14">
        <f>IF(F1516&lt;&gt;"","ISSUE-"&amp;TEXT(ROW()-1,"00000"),"")</f>
        <v/>
      </c>
      <c r="B1516" s="14">
        <f>IF(F1516&lt;&gt;"","错误","")</f>
        <v/>
      </c>
      <c r="C1516" s="14">
        <f>IF('05_层级表现LOD'!A16&lt;&gt;"","05_层级表现LOD","")</f>
        <v/>
      </c>
      <c r="D1516" s="14">
        <f>IF('05_层级表现LOD'!A16&lt;&gt;"",'05_层级表现LOD'!A16,"")</f>
        <v/>
      </c>
      <c r="E1516" s="14">
        <f>IF(F1516&lt;&gt;"","综合校验","")</f>
        <v/>
      </c>
      <c r="F1516" s="14">
        <f>IF('05_层级表现LOD'!A16&lt;&gt;"",IF('05_层级表现LOD'!A16="","缺少对象ID；","")&amp;IF('05_层级表现LOD'!B16="","缺少对象类别；","")&amp;IF(AND('05_层级表现LOD'!A16&lt;&gt;"",COUNTIF('02_固定地理'!$A$2:$A$501,'05_层级表现LOD'!A16)+COUNTIF('03_地点锚点'!$A$2:$A$501,'05_层级表现LOD'!A16)+COUNTIF('04_路径网络'!$A$2:$A$501,'05_层级表现LOD'!A16)+COUNTIF('06_建筑锚点'!$A$2:$A$501,'05_层级表现LOD'!A16)=0),"LOD引用对象不存在；","")&amp;IF(AND('05_层级表现LOD'!A16&lt;&gt;"",COUNTIF('05_层级表现LOD'!$A$2:$A$501,'05_层级表现LOD'!A16)&gt;1),"ID重复；",""),"")</f>
        <v/>
      </c>
      <c r="G1516" s="14">
        <f>IF(F1516&lt;&gt;"","按字段批注、数据字典和来源记录修正后复核","")</f>
        <v/>
      </c>
      <c r="H1516" s="14">
        <f>IF(F1516&lt;&gt;"","待处理","")</f>
        <v/>
      </c>
    </row>
    <row r="1517">
      <c r="A1517" s="14">
        <f>IF(F1517&lt;&gt;"","ISSUE-"&amp;TEXT(ROW()-1,"00000"),"")</f>
        <v/>
      </c>
      <c r="B1517" s="14">
        <f>IF(F1517&lt;&gt;"","错误","")</f>
        <v/>
      </c>
      <c r="C1517" s="14">
        <f>IF('05_层级表现LOD'!A17&lt;&gt;"","05_层级表现LOD","")</f>
        <v/>
      </c>
      <c r="D1517" s="14">
        <f>IF('05_层级表现LOD'!A17&lt;&gt;"",'05_层级表现LOD'!A17,"")</f>
        <v/>
      </c>
      <c r="E1517" s="14">
        <f>IF(F1517&lt;&gt;"","综合校验","")</f>
        <v/>
      </c>
      <c r="F1517" s="14">
        <f>IF('05_层级表现LOD'!A17&lt;&gt;"",IF('05_层级表现LOD'!A17="","缺少对象ID；","")&amp;IF('05_层级表现LOD'!B17="","缺少对象类别；","")&amp;IF(AND('05_层级表现LOD'!A17&lt;&gt;"",COUNTIF('02_固定地理'!$A$2:$A$501,'05_层级表现LOD'!A17)+COUNTIF('03_地点锚点'!$A$2:$A$501,'05_层级表现LOD'!A17)+COUNTIF('04_路径网络'!$A$2:$A$501,'05_层级表现LOD'!A17)+COUNTIF('06_建筑锚点'!$A$2:$A$501,'05_层级表现LOD'!A17)=0),"LOD引用对象不存在；","")&amp;IF(AND('05_层级表现LOD'!A17&lt;&gt;"",COUNTIF('05_层级表现LOD'!$A$2:$A$501,'05_层级表现LOD'!A17)&gt;1),"ID重复；",""),"")</f>
        <v/>
      </c>
      <c r="G1517" s="14">
        <f>IF(F1517&lt;&gt;"","按字段批注、数据字典和来源记录修正后复核","")</f>
        <v/>
      </c>
      <c r="H1517" s="14">
        <f>IF(F1517&lt;&gt;"","待处理","")</f>
        <v/>
      </c>
    </row>
    <row r="1518">
      <c r="A1518" s="14">
        <f>IF(F1518&lt;&gt;"","ISSUE-"&amp;TEXT(ROW()-1,"00000"),"")</f>
        <v/>
      </c>
      <c r="B1518" s="14">
        <f>IF(F1518&lt;&gt;"","错误","")</f>
        <v/>
      </c>
      <c r="C1518" s="14">
        <f>IF('05_层级表现LOD'!A18&lt;&gt;"","05_层级表现LOD","")</f>
        <v/>
      </c>
      <c r="D1518" s="14">
        <f>IF('05_层级表现LOD'!A18&lt;&gt;"",'05_层级表现LOD'!A18,"")</f>
        <v/>
      </c>
      <c r="E1518" s="14">
        <f>IF(F1518&lt;&gt;"","综合校验","")</f>
        <v/>
      </c>
      <c r="F1518" s="14">
        <f>IF('05_层级表现LOD'!A18&lt;&gt;"",IF('05_层级表现LOD'!A18="","缺少对象ID；","")&amp;IF('05_层级表现LOD'!B18="","缺少对象类别；","")&amp;IF(AND('05_层级表现LOD'!A18&lt;&gt;"",COUNTIF('02_固定地理'!$A$2:$A$501,'05_层级表现LOD'!A18)+COUNTIF('03_地点锚点'!$A$2:$A$501,'05_层级表现LOD'!A18)+COUNTIF('04_路径网络'!$A$2:$A$501,'05_层级表现LOD'!A18)+COUNTIF('06_建筑锚点'!$A$2:$A$501,'05_层级表现LOD'!A18)=0),"LOD引用对象不存在；","")&amp;IF(AND('05_层级表现LOD'!A18&lt;&gt;"",COUNTIF('05_层级表现LOD'!$A$2:$A$501,'05_层级表现LOD'!A18)&gt;1),"ID重复；",""),"")</f>
        <v/>
      </c>
      <c r="G1518" s="14">
        <f>IF(F1518&lt;&gt;"","按字段批注、数据字典和来源记录修正后复核","")</f>
        <v/>
      </c>
      <c r="H1518" s="14">
        <f>IF(F1518&lt;&gt;"","待处理","")</f>
        <v/>
      </c>
    </row>
    <row r="1519">
      <c r="A1519" s="14">
        <f>IF(F1519&lt;&gt;"","ISSUE-"&amp;TEXT(ROW()-1,"00000"),"")</f>
        <v/>
      </c>
      <c r="B1519" s="14">
        <f>IF(F1519&lt;&gt;"","错误","")</f>
        <v/>
      </c>
      <c r="C1519" s="14">
        <f>IF('05_层级表现LOD'!A19&lt;&gt;"","05_层级表现LOD","")</f>
        <v/>
      </c>
      <c r="D1519" s="14">
        <f>IF('05_层级表现LOD'!A19&lt;&gt;"",'05_层级表现LOD'!A19,"")</f>
        <v/>
      </c>
      <c r="E1519" s="14">
        <f>IF(F1519&lt;&gt;"","综合校验","")</f>
        <v/>
      </c>
      <c r="F1519" s="14">
        <f>IF('05_层级表现LOD'!A19&lt;&gt;"",IF('05_层级表现LOD'!A19="","缺少对象ID；","")&amp;IF('05_层级表现LOD'!B19="","缺少对象类别；","")&amp;IF(AND('05_层级表现LOD'!A19&lt;&gt;"",COUNTIF('02_固定地理'!$A$2:$A$501,'05_层级表现LOD'!A19)+COUNTIF('03_地点锚点'!$A$2:$A$501,'05_层级表现LOD'!A19)+COUNTIF('04_路径网络'!$A$2:$A$501,'05_层级表现LOD'!A19)+COUNTIF('06_建筑锚点'!$A$2:$A$501,'05_层级表现LOD'!A19)=0),"LOD引用对象不存在；","")&amp;IF(AND('05_层级表现LOD'!A19&lt;&gt;"",COUNTIF('05_层级表现LOD'!$A$2:$A$501,'05_层级表现LOD'!A19)&gt;1),"ID重复；",""),"")</f>
        <v/>
      </c>
      <c r="G1519" s="14">
        <f>IF(F1519&lt;&gt;"","按字段批注、数据字典和来源记录修正后复核","")</f>
        <v/>
      </c>
      <c r="H1519" s="14">
        <f>IF(F1519&lt;&gt;"","待处理","")</f>
        <v/>
      </c>
    </row>
    <row r="1520">
      <c r="A1520" s="14">
        <f>IF(F1520&lt;&gt;"","ISSUE-"&amp;TEXT(ROW()-1,"00000"),"")</f>
        <v/>
      </c>
      <c r="B1520" s="14">
        <f>IF(F1520&lt;&gt;"","错误","")</f>
        <v/>
      </c>
      <c r="C1520" s="14">
        <f>IF('05_层级表现LOD'!A20&lt;&gt;"","05_层级表现LOD","")</f>
        <v/>
      </c>
      <c r="D1520" s="14">
        <f>IF('05_层级表现LOD'!A20&lt;&gt;"",'05_层级表现LOD'!A20,"")</f>
        <v/>
      </c>
      <c r="E1520" s="14">
        <f>IF(F1520&lt;&gt;"","综合校验","")</f>
        <v/>
      </c>
      <c r="F1520" s="14">
        <f>IF('05_层级表现LOD'!A20&lt;&gt;"",IF('05_层级表现LOD'!A20="","缺少对象ID；","")&amp;IF('05_层级表现LOD'!B20="","缺少对象类别；","")&amp;IF(AND('05_层级表现LOD'!A20&lt;&gt;"",COUNTIF('02_固定地理'!$A$2:$A$501,'05_层级表现LOD'!A20)+COUNTIF('03_地点锚点'!$A$2:$A$501,'05_层级表现LOD'!A20)+COUNTIF('04_路径网络'!$A$2:$A$501,'05_层级表现LOD'!A20)+COUNTIF('06_建筑锚点'!$A$2:$A$501,'05_层级表现LOD'!A20)=0),"LOD引用对象不存在；","")&amp;IF(AND('05_层级表现LOD'!A20&lt;&gt;"",COUNTIF('05_层级表现LOD'!$A$2:$A$501,'05_层级表现LOD'!A20)&gt;1),"ID重复；",""),"")</f>
        <v/>
      </c>
      <c r="G1520" s="14">
        <f>IF(F1520&lt;&gt;"","按字段批注、数据字典和来源记录修正后复核","")</f>
        <v/>
      </c>
      <c r="H1520" s="14">
        <f>IF(F1520&lt;&gt;"","待处理","")</f>
        <v/>
      </c>
    </row>
    <row r="1521">
      <c r="A1521" s="14">
        <f>IF(F1521&lt;&gt;"","ISSUE-"&amp;TEXT(ROW()-1,"00000"),"")</f>
        <v/>
      </c>
      <c r="B1521" s="14">
        <f>IF(F1521&lt;&gt;"","错误","")</f>
        <v/>
      </c>
      <c r="C1521" s="14">
        <f>IF('05_层级表现LOD'!A21&lt;&gt;"","05_层级表现LOD","")</f>
        <v/>
      </c>
      <c r="D1521" s="14">
        <f>IF('05_层级表现LOD'!A21&lt;&gt;"",'05_层级表现LOD'!A21,"")</f>
        <v/>
      </c>
      <c r="E1521" s="14">
        <f>IF(F1521&lt;&gt;"","综合校验","")</f>
        <v/>
      </c>
      <c r="F1521" s="14">
        <f>IF('05_层级表现LOD'!A21&lt;&gt;"",IF('05_层级表现LOD'!A21="","缺少对象ID；","")&amp;IF('05_层级表现LOD'!B21="","缺少对象类别；","")&amp;IF(AND('05_层级表现LOD'!A21&lt;&gt;"",COUNTIF('02_固定地理'!$A$2:$A$501,'05_层级表现LOD'!A21)+COUNTIF('03_地点锚点'!$A$2:$A$501,'05_层级表现LOD'!A21)+COUNTIF('04_路径网络'!$A$2:$A$501,'05_层级表现LOD'!A21)+COUNTIF('06_建筑锚点'!$A$2:$A$501,'05_层级表现LOD'!A21)=0),"LOD引用对象不存在；","")&amp;IF(AND('05_层级表现LOD'!A21&lt;&gt;"",COUNTIF('05_层级表现LOD'!$A$2:$A$501,'05_层级表现LOD'!A21)&gt;1),"ID重复；",""),"")</f>
        <v/>
      </c>
      <c r="G1521" s="14">
        <f>IF(F1521&lt;&gt;"","按字段批注、数据字典和来源记录修正后复核","")</f>
        <v/>
      </c>
      <c r="H1521" s="14">
        <f>IF(F1521&lt;&gt;"","待处理","")</f>
        <v/>
      </c>
    </row>
    <row r="1522">
      <c r="A1522" s="14">
        <f>IF(F1522&lt;&gt;"","ISSUE-"&amp;TEXT(ROW()-1,"00000"),"")</f>
        <v/>
      </c>
      <c r="B1522" s="14">
        <f>IF(F1522&lt;&gt;"","错误","")</f>
        <v/>
      </c>
      <c r="C1522" s="14">
        <f>IF('05_层级表现LOD'!A22&lt;&gt;"","05_层级表现LOD","")</f>
        <v/>
      </c>
      <c r="D1522" s="14">
        <f>IF('05_层级表现LOD'!A22&lt;&gt;"",'05_层级表现LOD'!A22,"")</f>
        <v/>
      </c>
      <c r="E1522" s="14">
        <f>IF(F1522&lt;&gt;"","综合校验","")</f>
        <v/>
      </c>
      <c r="F1522" s="14">
        <f>IF('05_层级表现LOD'!A22&lt;&gt;"",IF('05_层级表现LOD'!A22="","缺少对象ID；","")&amp;IF('05_层级表现LOD'!B22="","缺少对象类别；","")&amp;IF(AND('05_层级表现LOD'!A22&lt;&gt;"",COUNTIF('02_固定地理'!$A$2:$A$501,'05_层级表现LOD'!A22)+COUNTIF('03_地点锚点'!$A$2:$A$501,'05_层级表现LOD'!A22)+COUNTIF('04_路径网络'!$A$2:$A$501,'05_层级表现LOD'!A22)+COUNTIF('06_建筑锚点'!$A$2:$A$501,'05_层级表现LOD'!A22)=0),"LOD引用对象不存在；","")&amp;IF(AND('05_层级表现LOD'!A22&lt;&gt;"",COUNTIF('05_层级表现LOD'!$A$2:$A$501,'05_层级表现LOD'!A22)&gt;1),"ID重复；",""),"")</f>
        <v/>
      </c>
      <c r="G1522" s="14">
        <f>IF(F1522&lt;&gt;"","按字段批注、数据字典和来源记录修正后复核","")</f>
        <v/>
      </c>
      <c r="H1522" s="14">
        <f>IF(F1522&lt;&gt;"","待处理","")</f>
        <v/>
      </c>
    </row>
    <row r="1523">
      <c r="A1523" s="14">
        <f>IF(F1523&lt;&gt;"","ISSUE-"&amp;TEXT(ROW()-1,"00000"),"")</f>
        <v/>
      </c>
      <c r="B1523" s="14">
        <f>IF(F1523&lt;&gt;"","错误","")</f>
        <v/>
      </c>
      <c r="C1523" s="14">
        <f>IF('05_层级表现LOD'!A23&lt;&gt;"","05_层级表现LOD","")</f>
        <v/>
      </c>
      <c r="D1523" s="14">
        <f>IF('05_层级表现LOD'!A23&lt;&gt;"",'05_层级表现LOD'!A23,"")</f>
        <v/>
      </c>
      <c r="E1523" s="14">
        <f>IF(F1523&lt;&gt;"","综合校验","")</f>
        <v/>
      </c>
      <c r="F1523" s="14">
        <f>IF('05_层级表现LOD'!A23&lt;&gt;"",IF('05_层级表现LOD'!A23="","缺少对象ID；","")&amp;IF('05_层级表现LOD'!B23="","缺少对象类别；","")&amp;IF(AND('05_层级表现LOD'!A23&lt;&gt;"",COUNTIF('02_固定地理'!$A$2:$A$501,'05_层级表现LOD'!A23)+COUNTIF('03_地点锚点'!$A$2:$A$501,'05_层级表现LOD'!A23)+COUNTIF('04_路径网络'!$A$2:$A$501,'05_层级表现LOD'!A23)+COUNTIF('06_建筑锚点'!$A$2:$A$501,'05_层级表现LOD'!A23)=0),"LOD引用对象不存在；","")&amp;IF(AND('05_层级表现LOD'!A23&lt;&gt;"",COUNTIF('05_层级表现LOD'!$A$2:$A$501,'05_层级表现LOD'!A23)&gt;1),"ID重复；",""),"")</f>
        <v/>
      </c>
      <c r="G1523" s="14">
        <f>IF(F1523&lt;&gt;"","按字段批注、数据字典和来源记录修正后复核","")</f>
        <v/>
      </c>
      <c r="H1523" s="14">
        <f>IF(F1523&lt;&gt;"","待处理","")</f>
        <v/>
      </c>
    </row>
    <row r="1524">
      <c r="A1524" s="14">
        <f>IF(F1524&lt;&gt;"","ISSUE-"&amp;TEXT(ROW()-1,"00000"),"")</f>
        <v/>
      </c>
      <c r="B1524" s="14">
        <f>IF(F1524&lt;&gt;"","错误","")</f>
        <v/>
      </c>
      <c r="C1524" s="14">
        <f>IF('05_层级表现LOD'!A24&lt;&gt;"","05_层级表现LOD","")</f>
        <v/>
      </c>
      <c r="D1524" s="14">
        <f>IF('05_层级表现LOD'!A24&lt;&gt;"",'05_层级表现LOD'!A24,"")</f>
        <v/>
      </c>
      <c r="E1524" s="14">
        <f>IF(F1524&lt;&gt;"","综合校验","")</f>
        <v/>
      </c>
      <c r="F1524" s="14">
        <f>IF('05_层级表现LOD'!A24&lt;&gt;"",IF('05_层级表现LOD'!A24="","缺少对象ID；","")&amp;IF('05_层级表现LOD'!B24="","缺少对象类别；","")&amp;IF(AND('05_层级表现LOD'!A24&lt;&gt;"",COUNTIF('02_固定地理'!$A$2:$A$501,'05_层级表现LOD'!A24)+COUNTIF('03_地点锚点'!$A$2:$A$501,'05_层级表现LOD'!A24)+COUNTIF('04_路径网络'!$A$2:$A$501,'05_层级表现LOD'!A24)+COUNTIF('06_建筑锚点'!$A$2:$A$501,'05_层级表现LOD'!A24)=0),"LOD引用对象不存在；","")&amp;IF(AND('05_层级表现LOD'!A24&lt;&gt;"",COUNTIF('05_层级表现LOD'!$A$2:$A$501,'05_层级表现LOD'!A24)&gt;1),"ID重复；",""),"")</f>
        <v/>
      </c>
      <c r="G1524" s="14">
        <f>IF(F1524&lt;&gt;"","按字段批注、数据字典和来源记录修正后复核","")</f>
        <v/>
      </c>
      <c r="H1524" s="14">
        <f>IF(F1524&lt;&gt;"","待处理","")</f>
        <v/>
      </c>
    </row>
    <row r="1525">
      <c r="A1525" s="14">
        <f>IF(F1525&lt;&gt;"","ISSUE-"&amp;TEXT(ROW()-1,"00000"),"")</f>
        <v/>
      </c>
      <c r="B1525" s="14">
        <f>IF(F1525&lt;&gt;"","错误","")</f>
        <v/>
      </c>
      <c r="C1525" s="14">
        <f>IF('05_层级表现LOD'!A25&lt;&gt;"","05_层级表现LOD","")</f>
        <v/>
      </c>
      <c r="D1525" s="14">
        <f>IF('05_层级表现LOD'!A25&lt;&gt;"",'05_层级表现LOD'!A25,"")</f>
        <v/>
      </c>
      <c r="E1525" s="14">
        <f>IF(F1525&lt;&gt;"","综合校验","")</f>
        <v/>
      </c>
      <c r="F1525" s="14">
        <f>IF('05_层级表现LOD'!A25&lt;&gt;"",IF('05_层级表现LOD'!A25="","缺少对象ID；","")&amp;IF('05_层级表现LOD'!B25="","缺少对象类别；","")&amp;IF(AND('05_层级表现LOD'!A25&lt;&gt;"",COUNTIF('02_固定地理'!$A$2:$A$501,'05_层级表现LOD'!A25)+COUNTIF('03_地点锚点'!$A$2:$A$501,'05_层级表现LOD'!A25)+COUNTIF('04_路径网络'!$A$2:$A$501,'05_层级表现LOD'!A25)+COUNTIF('06_建筑锚点'!$A$2:$A$501,'05_层级表现LOD'!A25)=0),"LOD引用对象不存在；","")&amp;IF(AND('05_层级表现LOD'!A25&lt;&gt;"",COUNTIF('05_层级表现LOD'!$A$2:$A$501,'05_层级表现LOD'!A25)&gt;1),"ID重复；",""),"")</f>
        <v/>
      </c>
      <c r="G1525" s="14">
        <f>IF(F1525&lt;&gt;"","按字段批注、数据字典和来源记录修正后复核","")</f>
        <v/>
      </c>
      <c r="H1525" s="14">
        <f>IF(F1525&lt;&gt;"","待处理","")</f>
        <v/>
      </c>
    </row>
    <row r="1526">
      <c r="A1526" s="14">
        <f>IF(F1526&lt;&gt;"","ISSUE-"&amp;TEXT(ROW()-1,"00000"),"")</f>
        <v/>
      </c>
      <c r="B1526" s="14">
        <f>IF(F1526&lt;&gt;"","错误","")</f>
        <v/>
      </c>
      <c r="C1526" s="14">
        <f>IF('05_层级表现LOD'!A26&lt;&gt;"","05_层级表现LOD","")</f>
        <v/>
      </c>
      <c r="D1526" s="14">
        <f>IF('05_层级表现LOD'!A26&lt;&gt;"",'05_层级表现LOD'!A26,"")</f>
        <v/>
      </c>
      <c r="E1526" s="14">
        <f>IF(F1526&lt;&gt;"","综合校验","")</f>
        <v/>
      </c>
      <c r="F1526" s="14">
        <f>IF('05_层级表现LOD'!A26&lt;&gt;"",IF('05_层级表现LOD'!A26="","缺少对象ID；","")&amp;IF('05_层级表现LOD'!B26="","缺少对象类别；","")&amp;IF(AND('05_层级表现LOD'!A26&lt;&gt;"",COUNTIF('02_固定地理'!$A$2:$A$501,'05_层级表现LOD'!A26)+COUNTIF('03_地点锚点'!$A$2:$A$501,'05_层级表现LOD'!A26)+COUNTIF('04_路径网络'!$A$2:$A$501,'05_层级表现LOD'!A26)+COUNTIF('06_建筑锚点'!$A$2:$A$501,'05_层级表现LOD'!A26)=0),"LOD引用对象不存在；","")&amp;IF(AND('05_层级表现LOD'!A26&lt;&gt;"",COUNTIF('05_层级表现LOD'!$A$2:$A$501,'05_层级表现LOD'!A26)&gt;1),"ID重复；",""),"")</f>
        <v/>
      </c>
      <c r="G1526" s="14">
        <f>IF(F1526&lt;&gt;"","按字段批注、数据字典和来源记录修正后复核","")</f>
        <v/>
      </c>
      <c r="H1526" s="14">
        <f>IF(F1526&lt;&gt;"","待处理","")</f>
        <v/>
      </c>
    </row>
    <row r="1527">
      <c r="A1527" s="14">
        <f>IF(F1527&lt;&gt;"","ISSUE-"&amp;TEXT(ROW()-1,"00000"),"")</f>
        <v/>
      </c>
      <c r="B1527" s="14">
        <f>IF(F1527&lt;&gt;"","错误","")</f>
        <v/>
      </c>
      <c r="C1527" s="14">
        <f>IF('05_层级表现LOD'!A27&lt;&gt;"","05_层级表现LOD","")</f>
        <v/>
      </c>
      <c r="D1527" s="14">
        <f>IF('05_层级表现LOD'!A27&lt;&gt;"",'05_层级表现LOD'!A27,"")</f>
        <v/>
      </c>
      <c r="E1527" s="14">
        <f>IF(F1527&lt;&gt;"","综合校验","")</f>
        <v/>
      </c>
      <c r="F1527" s="14">
        <f>IF('05_层级表现LOD'!A27&lt;&gt;"",IF('05_层级表现LOD'!A27="","缺少对象ID；","")&amp;IF('05_层级表现LOD'!B27="","缺少对象类别；","")&amp;IF(AND('05_层级表现LOD'!A27&lt;&gt;"",COUNTIF('02_固定地理'!$A$2:$A$501,'05_层级表现LOD'!A27)+COUNTIF('03_地点锚点'!$A$2:$A$501,'05_层级表现LOD'!A27)+COUNTIF('04_路径网络'!$A$2:$A$501,'05_层级表现LOD'!A27)+COUNTIF('06_建筑锚点'!$A$2:$A$501,'05_层级表现LOD'!A27)=0),"LOD引用对象不存在；","")&amp;IF(AND('05_层级表现LOD'!A27&lt;&gt;"",COUNTIF('05_层级表现LOD'!$A$2:$A$501,'05_层级表现LOD'!A27)&gt;1),"ID重复；",""),"")</f>
        <v/>
      </c>
      <c r="G1527" s="14">
        <f>IF(F1527&lt;&gt;"","按字段批注、数据字典和来源记录修正后复核","")</f>
        <v/>
      </c>
      <c r="H1527" s="14">
        <f>IF(F1527&lt;&gt;"","待处理","")</f>
        <v/>
      </c>
    </row>
    <row r="1528">
      <c r="A1528" s="14">
        <f>IF(F1528&lt;&gt;"","ISSUE-"&amp;TEXT(ROW()-1,"00000"),"")</f>
        <v/>
      </c>
      <c r="B1528" s="14">
        <f>IF(F1528&lt;&gt;"","错误","")</f>
        <v/>
      </c>
      <c r="C1528" s="14">
        <f>IF('05_层级表现LOD'!A28&lt;&gt;"","05_层级表现LOD","")</f>
        <v/>
      </c>
      <c r="D1528" s="14">
        <f>IF('05_层级表现LOD'!A28&lt;&gt;"",'05_层级表现LOD'!A28,"")</f>
        <v/>
      </c>
      <c r="E1528" s="14">
        <f>IF(F1528&lt;&gt;"","综合校验","")</f>
        <v/>
      </c>
      <c r="F1528" s="14">
        <f>IF('05_层级表现LOD'!A28&lt;&gt;"",IF('05_层级表现LOD'!A28="","缺少对象ID；","")&amp;IF('05_层级表现LOD'!B28="","缺少对象类别；","")&amp;IF(AND('05_层级表现LOD'!A28&lt;&gt;"",COUNTIF('02_固定地理'!$A$2:$A$501,'05_层级表现LOD'!A28)+COUNTIF('03_地点锚点'!$A$2:$A$501,'05_层级表现LOD'!A28)+COUNTIF('04_路径网络'!$A$2:$A$501,'05_层级表现LOD'!A28)+COUNTIF('06_建筑锚点'!$A$2:$A$501,'05_层级表现LOD'!A28)=0),"LOD引用对象不存在；","")&amp;IF(AND('05_层级表现LOD'!A28&lt;&gt;"",COUNTIF('05_层级表现LOD'!$A$2:$A$501,'05_层级表现LOD'!A28)&gt;1),"ID重复；",""),"")</f>
        <v/>
      </c>
      <c r="G1528" s="14">
        <f>IF(F1528&lt;&gt;"","按字段批注、数据字典和来源记录修正后复核","")</f>
        <v/>
      </c>
      <c r="H1528" s="14">
        <f>IF(F1528&lt;&gt;"","待处理","")</f>
        <v/>
      </c>
    </row>
    <row r="1529">
      <c r="A1529" s="14">
        <f>IF(F1529&lt;&gt;"","ISSUE-"&amp;TEXT(ROW()-1,"00000"),"")</f>
        <v/>
      </c>
      <c r="B1529" s="14">
        <f>IF(F1529&lt;&gt;"","错误","")</f>
        <v/>
      </c>
      <c r="C1529" s="14">
        <f>IF('05_层级表现LOD'!A29&lt;&gt;"","05_层级表现LOD","")</f>
        <v/>
      </c>
      <c r="D1529" s="14">
        <f>IF('05_层级表现LOD'!A29&lt;&gt;"",'05_层级表现LOD'!A29,"")</f>
        <v/>
      </c>
      <c r="E1529" s="14">
        <f>IF(F1529&lt;&gt;"","综合校验","")</f>
        <v/>
      </c>
      <c r="F1529" s="14">
        <f>IF('05_层级表现LOD'!A29&lt;&gt;"",IF('05_层级表现LOD'!A29="","缺少对象ID；","")&amp;IF('05_层级表现LOD'!B29="","缺少对象类别；","")&amp;IF(AND('05_层级表现LOD'!A29&lt;&gt;"",COUNTIF('02_固定地理'!$A$2:$A$501,'05_层级表现LOD'!A29)+COUNTIF('03_地点锚点'!$A$2:$A$501,'05_层级表现LOD'!A29)+COUNTIF('04_路径网络'!$A$2:$A$501,'05_层级表现LOD'!A29)+COUNTIF('06_建筑锚点'!$A$2:$A$501,'05_层级表现LOD'!A29)=0),"LOD引用对象不存在；","")&amp;IF(AND('05_层级表现LOD'!A29&lt;&gt;"",COUNTIF('05_层级表现LOD'!$A$2:$A$501,'05_层级表现LOD'!A29)&gt;1),"ID重复；",""),"")</f>
        <v/>
      </c>
      <c r="G1529" s="14">
        <f>IF(F1529&lt;&gt;"","按字段批注、数据字典和来源记录修正后复核","")</f>
        <v/>
      </c>
      <c r="H1529" s="14">
        <f>IF(F1529&lt;&gt;"","待处理","")</f>
        <v/>
      </c>
    </row>
    <row r="1530">
      <c r="A1530" s="14">
        <f>IF(F1530&lt;&gt;"","ISSUE-"&amp;TEXT(ROW()-1,"00000"),"")</f>
        <v/>
      </c>
      <c r="B1530" s="14">
        <f>IF(F1530&lt;&gt;"","错误","")</f>
        <v/>
      </c>
      <c r="C1530" s="14">
        <f>IF('05_层级表现LOD'!A30&lt;&gt;"","05_层级表现LOD","")</f>
        <v/>
      </c>
      <c r="D1530" s="14">
        <f>IF('05_层级表现LOD'!A30&lt;&gt;"",'05_层级表现LOD'!A30,"")</f>
        <v/>
      </c>
      <c r="E1530" s="14">
        <f>IF(F1530&lt;&gt;"","综合校验","")</f>
        <v/>
      </c>
      <c r="F1530" s="14">
        <f>IF('05_层级表现LOD'!A30&lt;&gt;"",IF('05_层级表现LOD'!A30="","缺少对象ID；","")&amp;IF('05_层级表现LOD'!B30="","缺少对象类别；","")&amp;IF(AND('05_层级表现LOD'!A30&lt;&gt;"",COUNTIF('02_固定地理'!$A$2:$A$501,'05_层级表现LOD'!A30)+COUNTIF('03_地点锚点'!$A$2:$A$501,'05_层级表现LOD'!A30)+COUNTIF('04_路径网络'!$A$2:$A$501,'05_层级表现LOD'!A30)+COUNTIF('06_建筑锚点'!$A$2:$A$501,'05_层级表现LOD'!A30)=0),"LOD引用对象不存在；","")&amp;IF(AND('05_层级表现LOD'!A30&lt;&gt;"",COUNTIF('05_层级表现LOD'!$A$2:$A$501,'05_层级表现LOD'!A30)&gt;1),"ID重复；",""),"")</f>
        <v/>
      </c>
      <c r="G1530" s="14">
        <f>IF(F1530&lt;&gt;"","按字段批注、数据字典和来源记录修正后复核","")</f>
        <v/>
      </c>
      <c r="H1530" s="14">
        <f>IF(F1530&lt;&gt;"","待处理","")</f>
        <v/>
      </c>
    </row>
    <row r="1531">
      <c r="A1531" s="14">
        <f>IF(F1531&lt;&gt;"","ISSUE-"&amp;TEXT(ROW()-1,"00000"),"")</f>
        <v/>
      </c>
      <c r="B1531" s="14">
        <f>IF(F1531&lt;&gt;"","错误","")</f>
        <v/>
      </c>
      <c r="C1531" s="14">
        <f>IF('05_层级表现LOD'!A31&lt;&gt;"","05_层级表现LOD","")</f>
        <v/>
      </c>
      <c r="D1531" s="14">
        <f>IF('05_层级表现LOD'!A31&lt;&gt;"",'05_层级表现LOD'!A31,"")</f>
        <v/>
      </c>
      <c r="E1531" s="14">
        <f>IF(F1531&lt;&gt;"","综合校验","")</f>
        <v/>
      </c>
      <c r="F1531" s="14">
        <f>IF('05_层级表现LOD'!A31&lt;&gt;"",IF('05_层级表现LOD'!A31="","缺少对象ID；","")&amp;IF('05_层级表现LOD'!B31="","缺少对象类别；","")&amp;IF(AND('05_层级表现LOD'!A31&lt;&gt;"",COUNTIF('02_固定地理'!$A$2:$A$501,'05_层级表现LOD'!A31)+COUNTIF('03_地点锚点'!$A$2:$A$501,'05_层级表现LOD'!A31)+COUNTIF('04_路径网络'!$A$2:$A$501,'05_层级表现LOD'!A31)+COUNTIF('06_建筑锚点'!$A$2:$A$501,'05_层级表现LOD'!A31)=0),"LOD引用对象不存在；","")&amp;IF(AND('05_层级表现LOD'!A31&lt;&gt;"",COUNTIF('05_层级表现LOD'!$A$2:$A$501,'05_层级表现LOD'!A31)&gt;1),"ID重复；",""),"")</f>
        <v/>
      </c>
      <c r="G1531" s="14">
        <f>IF(F1531&lt;&gt;"","按字段批注、数据字典和来源记录修正后复核","")</f>
        <v/>
      </c>
      <c r="H1531" s="14">
        <f>IF(F1531&lt;&gt;"","待处理","")</f>
        <v/>
      </c>
    </row>
    <row r="1532">
      <c r="A1532" s="14">
        <f>IF(F1532&lt;&gt;"","ISSUE-"&amp;TEXT(ROW()-1,"00000"),"")</f>
        <v/>
      </c>
      <c r="B1532" s="14">
        <f>IF(F1532&lt;&gt;"","错误","")</f>
        <v/>
      </c>
      <c r="C1532" s="14">
        <f>IF('05_层级表现LOD'!A32&lt;&gt;"","05_层级表现LOD","")</f>
        <v/>
      </c>
      <c r="D1532" s="14">
        <f>IF('05_层级表现LOD'!A32&lt;&gt;"",'05_层级表现LOD'!A32,"")</f>
        <v/>
      </c>
      <c r="E1532" s="14">
        <f>IF(F1532&lt;&gt;"","综合校验","")</f>
        <v/>
      </c>
      <c r="F1532" s="14">
        <f>IF('05_层级表现LOD'!A32&lt;&gt;"",IF('05_层级表现LOD'!A32="","缺少对象ID；","")&amp;IF('05_层级表现LOD'!B32="","缺少对象类别；","")&amp;IF(AND('05_层级表现LOD'!A32&lt;&gt;"",COUNTIF('02_固定地理'!$A$2:$A$501,'05_层级表现LOD'!A32)+COUNTIF('03_地点锚点'!$A$2:$A$501,'05_层级表现LOD'!A32)+COUNTIF('04_路径网络'!$A$2:$A$501,'05_层级表现LOD'!A32)+COUNTIF('06_建筑锚点'!$A$2:$A$501,'05_层级表现LOD'!A32)=0),"LOD引用对象不存在；","")&amp;IF(AND('05_层级表现LOD'!A32&lt;&gt;"",COUNTIF('05_层级表现LOD'!$A$2:$A$501,'05_层级表现LOD'!A32)&gt;1),"ID重复；",""),"")</f>
        <v/>
      </c>
      <c r="G1532" s="14">
        <f>IF(F1532&lt;&gt;"","按字段批注、数据字典和来源记录修正后复核","")</f>
        <v/>
      </c>
      <c r="H1532" s="14">
        <f>IF(F1532&lt;&gt;"","待处理","")</f>
        <v/>
      </c>
    </row>
    <row r="1533">
      <c r="A1533" s="14">
        <f>IF(F1533&lt;&gt;"","ISSUE-"&amp;TEXT(ROW()-1,"00000"),"")</f>
        <v/>
      </c>
      <c r="B1533" s="14">
        <f>IF(F1533&lt;&gt;"","错误","")</f>
        <v/>
      </c>
      <c r="C1533" s="14">
        <f>IF('05_层级表现LOD'!A33&lt;&gt;"","05_层级表现LOD","")</f>
        <v/>
      </c>
      <c r="D1533" s="14">
        <f>IF('05_层级表现LOD'!A33&lt;&gt;"",'05_层级表现LOD'!A33,"")</f>
        <v/>
      </c>
      <c r="E1533" s="14">
        <f>IF(F1533&lt;&gt;"","综合校验","")</f>
        <v/>
      </c>
      <c r="F1533" s="14">
        <f>IF('05_层级表现LOD'!A33&lt;&gt;"",IF('05_层级表现LOD'!A33="","缺少对象ID；","")&amp;IF('05_层级表现LOD'!B33="","缺少对象类别；","")&amp;IF(AND('05_层级表现LOD'!A33&lt;&gt;"",COUNTIF('02_固定地理'!$A$2:$A$501,'05_层级表现LOD'!A33)+COUNTIF('03_地点锚点'!$A$2:$A$501,'05_层级表现LOD'!A33)+COUNTIF('04_路径网络'!$A$2:$A$501,'05_层级表现LOD'!A33)+COUNTIF('06_建筑锚点'!$A$2:$A$501,'05_层级表现LOD'!A33)=0),"LOD引用对象不存在；","")&amp;IF(AND('05_层级表现LOD'!A33&lt;&gt;"",COUNTIF('05_层级表现LOD'!$A$2:$A$501,'05_层级表现LOD'!A33)&gt;1),"ID重复；",""),"")</f>
        <v/>
      </c>
      <c r="G1533" s="14">
        <f>IF(F1533&lt;&gt;"","按字段批注、数据字典和来源记录修正后复核","")</f>
        <v/>
      </c>
      <c r="H1533" s="14">
        <f>IF(F1533&lt;&gt;"","待处理","")</f>
        <v/>
      </c>
    </row>
    <row r="1534">
      <c r="A1534" s="14">
        <f>IF(F1534&lt;&gt;"","ISSUE-"&amp;TEXT(ROW()-1,"00000"),"")</f>
        <v/>
      </c>
      <c r="B1534" s="14">
        <f>IF(F1534&lt;&gt;"","错误","")</f>
        <v/>
      </c>
      <c r="C1534" s="14">
        <f>IF('05_层级表现LOD'!A34&lt;&gt;"","05_层级表现LOD","")</f>
        <v/>
      </c>
      <c r="D1534" s="14">
        <f>IF('05_层级表现LOD'!A34&lt;&gt;"",'05_层级表现LOD'!A34,"")</f>
        <v/>
      </c>
      <c r="E1534" s="14">
        <f>IF(F1534&lt;&gt;"","综合校验","")</f>
        <v/>
      </c>
      <c r="F1534" s="14">
        <f>IF('05_层级表现LOD'!A34&lt;&gt;"",IF('05_层级表现LOD'!A34="","缺少对象ID；","")&amp;IF('05_层级表现LOD'!B34="","缺少对象类别；","")&amp;IF(AND('05_层级表现LOD'!A34&lt;&gt;"",COUNTIF('02_固定地理'!$A$2:$A$501,'05_层级表现LOD'!A34)+COUNTIF('03_地点锚点'!$A$2:$A$501,'05_层级表现LOD'!A34)+COUNTIF('04_路径网络'!$A$2:$A$501,'05_层级表现LOD'!A34)+COUNTIF('06_建筑锚点'!$A$2:$A$501,'05_层级表现LOD'!A34)=0),"LOD引用对象不存在；","")&amp;IF(AND('05_层级表现LOD'!A34&lt;&gt;"",COUNTIF('05_层级表现LOD'!$A$2:$A$501,'05_层级表现LOD'!A34)&gt;1),"ID重复；",""),"")</f>
        <v/>
      </c>
      <c r="G1534" s="14">
        <f>IF(F1534&lt;&gt;"","按字段批注、数据字典和来源记录修正后复核","")</f>
        <v/>
      </c>
      <c r="H1534" s="14">
        <f>IF(F1534&lt;&gt;"","待处理","")</f>
        <v/>
      </c>
    </row>
    <row r="1535">
      <c r="A1535" s="14">
        <f>IF(F1535&lt;&gt;"","ISSUE-"&amp;TEXT(ROW()-1,"00000"),"")</f>
        <v/>
      </c>
      <c r="B1535" s="14">
        <f>IF(F1535&lt;&gt;"","错误","")</f>
        <v/>
      </c>
      <c r="C1535" s="14">
        <f>IF('05_层级表现LOD'!A35&lt;&gt;"","05_层级表现LOD","")</f>
        <v/>
      </c>
      <c r="D1535" s="14">
        <f>IF('05_层级表现LOD'!A35&lt;&gt;"",'05_层级表现LOD'!A35,"")</f>
        <v/>
      </c>
      <c r="E1535" s="14">
        <f>IF(F1535&lt;&gt;"","综合校验","")</f>
        <v/>
      </c>
      <c r="F1535" s="14">
        <f>IF('05_层级表现LOD'!A35&lt;&gt;"",IF('05_层级表现LOD'!A35="","缺少对象ID；","")&amp;IF('05_层级表现LOD'!B35="","缺少对象类别；","")&amp;IF(AND('05_层级表现LOD'!A35&lt;&gt;"",COUNTIF('02_固定地理'!$A$2:$A$501,'05_层级表现LOD'!A35)+COUNTIF('03_地点锚点'!$A$2:$A$501,'05_层级表现LOD'!A35)+COUNTIF('04_路径网络'!$A$2:$A$501,'05_层级表现LOD'!A35)+COUNTIF('06_建筑锚点'!$A$2:$A$501,'05_层级表现LOD'!A35)=0),"LOD引用对象不存在；","")&amp;IF(AND('05_层级表现LOD'!A35&lt;&gt;"",COUNTIF('05_层级表现LOD'!$A$2:$A$501,'05_层级表现LOD'!A35)&gt;1),"ID重复；",""),"")</f>
        <v/>
      </c>
      <c r="G1535" s="14">
        <f>IF(F1535&lt;&gt;"","按字段批注、数据字典和来源记录修正后复核","")</f>
        <v/>
      </c>
      <c r="H1535" s="14">
        <f>IF(F1535&lt;&gt;"","待处理","")</f>
        <v/>
      </c>
    </row>
    <row r="1536">
      <c r="A1536" s="14">
        <f>IF(F1536&lt;&gt;"","ISSUE-"&amp;TEXT(ROW()-1,"00000"),"")</f>
        <v/>
      </c>
      <c r="B1536" s="14">
        <f>IF(F1536&lt;&gt;"","错误","")</f>
        <v/>
      </c>
      <c r="C1536" s="14">
        <f>IF('05_层级表现LOD'!A36&lt;&gt;"","05_层级表现LOD","")</f>
        <v/>
      </c>
      <c r="D1536" s="14">
        <f>IF('05_层级表现LOD'!A36&lt;&gt;"",'05_层级表现LOD'!A36,"")</f>
        <v/>
      </c>
      <c r="E1536" s="14">
        <f>IF(F1536&lt;&gt;"","综合校验","")</f>
        <v/>
      </c>
      <c r="F1536" s="14">
        <f>IF('05_层级表现LOD'!A36&lt;&gt;"",IF('05_层级表现LOD'!A36="","缺少对象ID；","")&amp;IF('05_层级表现LOD'!B36="","缺少对象类别；","")&amp;IF(AND('05_层级表现LOD'!A36&lt;&gt;"",COUNTIF('02_固定地理'!$A$2:$A$501,'05_层级表现LOD'!A36)+COUNTIF('03_地点锚点'!$A$2:$A$501,'05_层级表现LOD'!A36)+COUNTIF('04_路径网络'!$A$2:$A$501,'05_层级表现LOD'!A36)+COUNTIF('06_建筑锚点'!$A$2:$A$501,'05_层级表现LOD'!A36)=0),"LOD引用对象不存在；","")&amp;IF(AND('05_层级表现LOD'!A36&lt;&gt;"",COUNTIF('05_层级表现LOD'!$A$2:$A$501,'05_层级表现LOD'!A36)&gt;1),"ID重复；",""),"")</f>
        <v/>
      </c>
      <c r="G1536" s="14">
        <f>IF(F1536&lt;&gt;"","按字段批注、数据字典和来源记录修正后复核","")</f>
        <v/>
      </c>
      <c r="H1536" s="14">
        <f>IF(F1536&lt;&gt;"","待处理","")</f>
        <v/>
      </c>
    </row>
    <row r="1537">
      <c r="A1537" s="14">
        <f>IF(F1537&lt;&gt;"","ISSUE-"&amp;TEXT(ROW()-1,"00000"),"")</f>
        <v/>
      </c>
      <c r="B1537" s="14">
        <f>IF(F1537&lt;&gt;"","错误","")</f>
        <v/>
      </c>
      <c r="C1537" s="14">
        <f>IF('05_层级表现LOD'!A37&lt;&gt;"","05_层级表现LOD","")</f>
        <v/>
      </c>
      <c r="D1537" s="14">
        <f>IF('05_层级表现LOD'!A37&lt;&gt;"",'05_层级表现LOD'!A37,"")</f>
        <v/>
      </c>
      <c r="E1537" s="14">
        <f>IF(F1537&lt;&gt;"","综合校验","")</f>
        <v/>
      </c>
      <c r="F1537" s="14">
        <f>IF('05_层级表现LOD'!A37&lt;&gt;"",IF('05_层级表现LOD'!A37="","缺少对象ID；","")&amp;IF('05_层级表现LOD'!B37="","缺少对象类别；","")&amp;IF(AND('05_层级表现LOD'!A37&lt;&gt;"",COUNTIF('02_固定地理'!$A$2:$A$501,'05_层级表现LOD'!A37)+COUNTIF('03_地点锚点'!$A$2:$A$501,'05_层级表现LOD'!A37)+COUNTIF('04_路径网络'!$A$2:$A$501,'05_层级表现LOD'!A37)+COUNTIF('06_建筑锚点'!$A$2:$A$501,'05_层级表现LOD'!A37)=0),"LOD引用对象不存在；","")&amp;IF(AND('05_层级表现LOD'!A37&lt;&gt;"",COUNTIF('05_层级表现LOD'!$A$2:$A$501,'05_层级表现LOD'!A37)&gt;1),"ID重复；",""),"")</f>
        <v/>
      </c>
      <c r="G1537" s="14">
        <f>IF(F1537&lt;&gt;"","按字段批注、数据字典和来源记录修正后复核","")</f>
        <v/>
      </c>
      <c r="H1537" s="14">
        <f>IF(F1537&lt;&gt;"","待处理","")</f>
        <v/>
      </c>
    </row>
    <row r="1538">
      <c r="A1538" s="14">
        <f>IF(F1538&lt;&gt;"","ISSUE-"&amp;TEXT(ROW()-1,"00000"),"")</f>
        <v/>
      </c>
      <c r="B1538" s="14">
        <f>IF(F1538&lt;&gt;"","错误","")</f>
        <v/>
      </c>
      <c r="C1538" s="14">
        <f>IF('05_层级表现LOD'!A38&lt;&gt;"","05_层级表现LOD","")</f>
        <v/>
      </c>
      <c r="D1538" s="14">
        <f>IF('05_层级表现LOD'!A38&lt;&gt;"",'05_层级表现LOD'!A38,"")</f>
        <v/>
      </c>
      <c r="E1538" s="14">
        <f>IF(F1538&lt;&gt;"","综合校验","")</f>
        <v/>
      </c>
      <c r="F1538" s="14">
        <f>IF('05_层级表现LOD'!A38&lt;&gt;"",IF('05_层级表现LOD'!A38="","缺少对象ID；","")&amp;IF('05_层级表现LOD'!B38="","缺少对象类别；","")&amp;IF(AND('05_层级表现LOD'!A38&lt;&gt;"",COUNTIF('02_固定地理'!$A$2:$A$501,'05_层级表现LOD'!A38)+COUNTIF('03_地点锚点'!$A$2:$A$501,'05_层级表现LOD'!A38)+COUNTIF('04_路径网络'!$A$2:$A$501,'05_层级表现LOD'!A38)+COUNTIF('06_建筑锚点'!$A$2:$A$501,'05_层级表现LOD'!A38)=0),"LOD引用对象不存在；","")&amp;IF(AND('05_层级表现LOD'!A38&lt;&gt;"",COUNTIF('05_层级表现LOD'!$A$2:$A$501,'05_层级表现LOD'!A38)&gt;1),"ID重复；",""),"")</f>
        <v/>
      </c>
      <c r="G1538" s="14">
        <f>IF(F1538&lt;&gt;"","按字段批注、数据字典和来源记录修正后复核","")</f>
        <v/>
      </c>
      <c r="H1538" s="14">
        <f>IF(F1538&lt;&gt;"","待处理","")</f>
        <v/>
      </c>
    </row>
    <row r="1539">
      <c r="A1539" s="14">
        <f>IF(F1539&lt;&gt;"","ISSUE-"&amp;TEXT(ROW()-1,"00000"),"")</f>
        <v/>
      </c>
      <c r="B1539" s="14">
        <f>IF(F1539&lt;&gt;"","错误","")</f>
        <v/>
      </c>
      <c r="C1539" s="14">
        <f>IF('05_层级表现LOD'!A39&lt;&gt;"","05_层级表现LOD","")</f>
        <v/>
      </c>
      <c r="D1539" s="14">
        <f>IF('05_层级表现LOD'!A39&lt;&gt;"",'05_层级表现LOD'!A39,"")</f>
        <v/>
      </c>
      <c r="E1539" s="14">
        <f>IF(F1539&lt;&gt;"","综合校验","")</f>
        <v/>
      </c>
      <c r="F1539" s="14">
        <f>IF('05_层级表现LOD'!A39&lt;&gt;"",IF('05_层级表现LOD'!A39="","缺少对象ID；","")&amp;IF('05_层级表现LOD'!B39="","缺少对象类别；","")&amp;IF(AND('05_层级表现LOD'!A39&lt;&gt;"",COUNTIF('02_固定地理'!$A$2:$A$501,'05_层级表现LOD'!A39)+COUNTIF('03_地点锚点'!$A$2:$A$501,'05_层级表现LOD'!A39)+COUNTIF('04_路径网络'!$A$2:$A$501,'05_层级表现LOD'!A39)+COUNTIF('06_建筑锚点'!$A$2:$A$501,'05_层级表现LOD'!A39)=0),"LOD引用对象不存在；","")&amp;IF(AND('05_层级表现LOD'!A39&lt;&gt;"",COUNTIF('05_层级表现LOD'!$A$2:$A$501,'05_层级表现LOD'!A39)&gt;1),"ID重复；",""),"")</f>
        <v/>
      </c>
      <c r="G1539" s="14">
        <f>IF(F1539&lt;&gt;"","按字段批注、数据字典和来源记录修正后复核","")</f>
        <v/>
      </c>
      <c r="H1539" s="14">
        <f>IF(F1539&lt;&gt;"","待处理","")</f>
        <v/>
      </c>
    </row>
    <row r="1540">
      <c r="A1540" s="14">
        <f>IF(F1540&lt;&gt;"","ISSUE-"&amp;TEXT(ROW()-1,"00000"),"")</f>
        <v/>
      </c>
      <c r="B1540" s="14">
        <f>IF(F1540&lt;&gt;"","错误","")</f>
        <v/>
      </c>
      <c r="C1540" s="14">
        <f>IF('05_层级表现LOD'!A40&lt;&gt;"","05_层级表现LOD","")</f>
        <v/>
      </c>
      <c r="D1540" s="14">
        <f>IF('05_层级表现LOD'!A40&lt;&gt;"",'05_层级表现LOD'!A40,"")</f>
        <v/>
      </c>
      <c r="E1540" s="14">
        <f>IF(F1540&lt;&gt;"","综合校验","")</f>
        <v/>
      </c>
      <c r="F1540" s="14">
        <f>IF('05_层级表现LOD'!A40&lt;&gt;"",IF('05_层级表现LOD'!A40="","缺少对象ID；","")&amp;IF('05_层级表现LOD'!B40="","缺少对象类别；","")&amp;IF(AND('05_层级表现LOD'!A40&lt;&gt;"",COUNTIF('02_固定地理'!$A$2:$A$501,'05_层级表现LOD'!A40)+COUNTIF('03_地点锚点'!$A$2:$A$501,'05_层级表现LOD'!A40)+COUNTIF('04_路径网络'!$A$2:$A$501,'05_层级表现LOD'!A40)+COUNTIF('06_建筑锚点'!$A$2:$A$501,'05_层级表现LOD'!A40)=0),"LOD引用对象不存在；","")&amp;IF(AND('05_层级表现LOD'!A40&lt;&gt;"",COUNTIF('05_层级表现LOD'!$A$2:$A$501,'05_层级表现LOD'!A40)&gt;1),"ID重复；",""),"")</f>
        <v/>
      </c>
      <c r="G1540" s="14">
        <f>IF(F1540&lt;&gt;"","按字段批注、数据字典和来源记录修正后复核","")</f>
        <v/>
      </c>
      <c r="H1540" s="14">
        <f>IF(F1540&lt;&gt;"","待处理","")</f>
        <v/>
      </c>
    </row>
    <row r="1541">
      <c r="A1541" s="14">
        <f>IF(F1541&lt;&gt;"","ISSUE-"&amp;TEXT(ROW()-1,"00000"),"")</f>
        <v/>
      </c>
      <c r="B1541" s="14">
        <f>IF(F1541&lt;&gt;"","错误","")</f>
        <v/>
      </c>
      <c r="C1541" s="14">
        <f>IF('05_层级表现LOD'!A41&lt;&gt;"","05_层级表现LOD","")</f>
        <v/>
      </c>
      <c r="D1541" s="14">
        <f>IF('05_层级表现LOD'!A41&lt;&gt;"",'05_层级表现LOD'!A41,"")</f>
        <v/>
      </c>
      <c r="E1541" s="14">
        <f>IF(F1541&lt;&gt;"","综合校验","")</f>
        <v/>
      </c>
      <c r="F1541" s="14">
        <f>IF('05_层级表现LOD'!A41&lt;&gt;"",IF('05_层级表现LOD'!A41="","缺少对象ID；","")&amp;IF('05_层级表现LOD'!B41="","缺少对象类别；","")&amp;IF(AND('05_层级表现LOD'!A41&lt;&gt;"",COUNTIF('02_固定地理'!$A$2:$A$501,'05_层级表现LOD'!A41)+COUNTIF('03_地点锚点'!$A$2:$A$501,'05_层级表现LOD'!A41)+COUNTIF('04_路径网络'!$A$2:$A$501,'05_层级表现LOD'!A41)+COUNTIF('06_建筑锚点'!$A$2:$A$501,'05_层级表现LOD'!A41)=0),"LOD引用对象不存在；","")&amp;IF(AND('05_层级表现LOD'!A41&lt;&gt;"",COUNTIF('05_层级表现LOD'!$A$2:$A$501,'05_层级表现LOD'!A41)&gt;1),"ID重复；",""),"")</f>
        <v/>
      </c>
      <c r="G1541" s="14">
        <f>IF(F1541&lt;&gt;"","按字段批注、数据字典和来源记录修正后复核","")</f>
        <v/>
      </c>
      <c r="H1541" s="14">
        <f>IF(F1541&lt;&gt;"","待处理","")</f>
        <v/>
      </c>
    </row>
    <row r="1542">
      <c r="A1542" s="14">
        <f>IF(F1542&lt;&gt;"","ISSUE-"&amp;TEXT(ROW()-1,"00000"),"")</f>
        <v/>
      </c>
      <c r="B1542" s="14">
        <f>IF(F1542&lt;&gt;"","错误","")</f>
        <v/>
      </c>
      <c r="C1542" s="14">
        <f>IF('05_层级表现LOD'!A42&lt;&gt;"","05_层级表现LOD","")</f>
        <v/>
      </c>
      <c r="D1542" s="14">
        <f>IF('05_层级表现LOD'!A42&lt;&gt;"",'05_层级表现LOD'!A42,"")</f>
        <v/>
      </c>
      <c r="E1542" s="14">
        <f>IF(F1542&lt;&gt;"","综合校验","")</f>
        <v/>
      </c>
      <c r="F1542" s="14">
        <f>IF('05_层级表现LOD'!A42&lt;&gt;"",IF('05_层级表现LOD'!A42="","缺少对象ID；","")&amp;IF('05_层级表现LOD'!B42="","缺少对象类别；","")&amp;IF(AND('05_层级表现LOD'!A42&lt;&gt;"",COUNTIF('02_固定地理'!$A$2:$A$501,'05_层级表现LOD'!A42)+COUNTIF('03_地点锚点'!$A$2:$A$501,'05_层级表现LOD'!A42)+COUNTIF('04_路径网络'!$A$2:$A$501,'05_层级表现LOD'!A42)+COUNTIF('06_建筑锚点'!$A$2:$A$501,'05_层级表现LOD'!A42)=0),"LOD引用对象不存在；","")&amp;IF(AND('05_层级表现LOD'!A42&lt;&gt;"",COUNTIF('05_层级表现LOD'!$A$2:$A$501,'05_层级表现LOD'!A42)&gt;1),"ID重复；",""),"")</f>
        <v/>
      </c>
      <c r="G1542" s="14">
        <f>IF(F1542&lt;&gt;"","按字段批注、数据字典和来源记录修正后复核","")</f>
        <v/>
      </c>
      <c r="H1542" s="14">
        <f>IF(F1542&lt;&gt;"","待处理","")</f>
        <v/>
      </c>
    </row>
    <row r="1543">
      <c r="A1543" s="14">
        <f>IF(F1543&lt;&gt;"","ISSUE-"&amp;TEXT(ROW()-1,"00000"),"")</f>
        <v/>
      </c>
      <c r="B1543" s="14">
        <f>IF(F1543&lt;&gt;"","错误","")</f>
        <v/>
      </c>
      <c r="C1543" s="14">
        <f>IF('05_层级表现LOD'!A43&lt;&gt;"","05_层级表现LOD","")</f>
        <v/>
      </c>
      <c r="D1543" s="14">
        <f>IF('05_层级表现LOD'!A43&lt;&gt;"",'05_层级表现LOD'!A43,"")</f>
        <v/>
      </c>
      <c r="E1543" s="14">
        <f>IF(F1543&lt;&gt;"","综合校验","")</f>
        <v/>
      </c>
      <c r="F1543" s="14">
        <f>IF('05_层级表现LOD'!A43&lt;&gt;"",IF('05_层级表现LOD'!A43="","缺少对象ID；","")&amp;IF('05_层级表现LOD'!B43="","缺少对象类别；","")&amp;IF(AND('05_层级表现LOD'!A43&lt;&gt;"",COUNTIF('02_固定地理'!$A$2:$A$501,'05_层级表现LOD'!A43)+COUNTIF('03_地点锚点'!$A$2:$A$501,'05_层级表现LOD'!A43)+COUNTIF('04_路径网络'!$A$2:$A$501,'05_层级表现LOD'!A43)+COUNTIF('06_建筑锚点'!$A$2:$A$501,'05_层级表现LOD'!A43)=0),"LOD引用对象不存在；","")&amp;IF(AND('05_层级表现LOD'!A43&lt;&gt;"",COUNTIF('05_层级表现LOD'!$A$2:$A$501,'05_层级表现LOD'!A43)&gt;1),"ID重复；",""),"")</f>
        <v/>
      </c>
      <c r="G1543" s="14">
        <f>IF(F1543&lt;&gt;"","按字段批注、数据字典和来源记录修正后复核","")</f>
        <v/>
      </c>
      <c r="H1543" s="14">
        <f>IF(F1543&lt;&gt;"","待处理","")</f>
        <v/>
      </c>
    </row>
    <row r="1544">
      <c r="A1544" s="14">
        <f>IF(F1544&lt;&gt;"","ISSUE-"&amp;TEXT(ROW()-1,"00000"),"")</f>
        <v/>
      </c>
      <c r="B1544" s="14">
        <f>IF(F1544&lt;&gt;"","错误","")</f>
        <v/>
      </c>
      <c r="C1544" s="14">
        <f>IF('05_层级表现LOD'!A44&lt;&gt;"","05_层级表现LOD","")</f>
        <v/>
      </c>
      <c r="D1544" s="14">
        <f>IF('05_层级表现LOD'!A44&lt;&gt;"",'05_层级表现LOD'!A44,"")</f>
        <v/>
      </c>
      <c r="E1544" s="14">
        <f>IF(F1544&lt;&gt;"","综合校验","")</f>
        <v/>
      </c>
      <c r="F1544" s="14">
        <f>IF('05_层级表现LOD'!A44&lt;&gt;"",IF('05_层级表现LOD'!A44="","缺少对象ID；","")&amp;IF('05_层级表现LOD'!B44="","缺少对象类别；","")&amp;IF(AND('05_层级表现LOD'!A44&lt;&gt;"",COUNTIF('02_固定地理'!$A$2:$A$501,'05_层级表现LOD'!A44)+COUNTIF('03_地点锚点'!$A$2:$A$501,'05_层级表现LOD'!A44)+COUNTIF('04_路径网络'!$A$2:$A$501,'05_层级表现LOD'!A44)+COUNTIF('06_建筑锚点'!$A$2:$A$501,'05_层级表现LOD'!A44)=0),"LOD引用对象不存在；","")&amp;IF(AND('05_层级表现LOD'!A44&lt;&gt;"",COUNTIF('05_层级表现LOD'!$A$2:$A$501,'05_层级表现LOD'!A44)&gt;1),"ID重复；",""),"")</f>
        <v/>
      </c>
      <c r="G1544" s="14">
        <f>IF(F1544&lt;&gt;"","按字段批注、数据字典和来源记录修正后复核","")</f>
        <v/>
      </c>
      <c r="H1544" s="14">
        <f>IF(F1544&lt;&gt;"","待处理","")</f>
        <v/>
      </c>
    </row>
    <row r="1545">
      <c r="A1545" s="14">
        <f>IF(F1545&lt;&gt;"","ISSUE-"&amp;TEXT(ROW()-1,"00000"),"")</f>
        <v/>
      </c>
      <c r="B1545" s="14">
        <f>IF(F1545&lt;&gt;"","错误","")</f>
        <v/>
      </c>
      <c r="C1545" s="14">
        <f>IF('05_层级表现LOD'!A45&lt;&gt;"","05_层级表现LOD","")</f>
        <v/>
      </c>
      <c r="D1545" s="14">
        <f>IF('05_层级表现LOD'!A45&lt;&gt;"",'05_层级表现LOD'!A45,"")</f>
        <v/>
      </c>
      <c r="E1545" s="14">
        <f>IF(F1545&lt;&gt;"","综合校验","")</f>
        <v/>
      </c>
      <c r="F1545" s="14">
        <f>IF('05_层级表现LOD'!A45&lt;&gt;"",IF('05_层级表现LOD'!A45="","缺少对象ID；","")&amp;IF('05_层级表现LOD'!B45="","缺少对象类别；","")&amp;IF(AND('05_层级表现LOD'!A45&lt;&gt;"",COUNTIF('02_固定地理'!$A$2:$A$501,'05_层级表现LOD'!A45)+COUNTIF('03_地点锚点'!$A$2:$A$501,'05_层级表现LOD'!A45)+COUNTIF('04_路径网络'!$A$2:$A$501,'05_层级表现LOD'!A45)+COUNTIF('06_建筑锚点'!$A$2:$A$501,'05_层级表现LOD'!A45)=0),"LOD引用对象不存在；","")&amp;IF(AND('05_层级表现LOD'!A45&lt;&gt;"",COUNTIF('05_层级表现LOD'!$A$2:$A$501,'05_层级表现LOD'!A45)&gt;1),"ID重复；",""),"")</f>
        <v/>
      </c>
      <c r="G1545" s="14">
        <f>IF(F1545&lt;&gt;"","按字段批注、数据字典和来源记录修正后复核","")</f>
        <v/>
      </c>
      <c r="H1545" s="14">
        <f>IF(F1545&lt;&gt;"","待处理","")</f>
        <v/>
      </c>
    </row>
    <row r="1546">
      <c r="A1546" s="14">
        <f>IF(F1546&lt;&gt;"","ISSUE-"&amp;TEXT(ROW()-1,"00000"),"")</f>
        <v/>
      </c>
      <c r="B1546" s="14">
        <f>IF(F1546&lt;&gt;"","错误","")</f>
        <v/>
      </c>
      <c r="C1546" s="14">
        <f>IF('05_层级表现LOD'!A46&lt;&gt;"","05_层级表现LOD","")</f>
        <v/>
      </c>
      <c r="D1546" s="14">
        <f>IF('05_层级表现LOD'!A46&lt;&gt;"",'05_层级表现LOD'!A46,"")</f>
        <v/>
      </c>
      <c r="E1546" s="14">
        <f>IF(F1546&lt;&gt;"","综合校验","")</f>
        <v/>
      </c>
      <c r="F1546" s="14">
        <f>IF('05_层级表现LOD'!A46&lt;&gt;"",IF('05_层级表现LOD'!A46="","缺少对象ID；","")&amp;IF('05_层级表现LOD'!B46="","缺少对象类别；","")&amp;IF(AND('05_层级表现LOD'!A46&lt;&gt;"",COUNTIF('02_固定地理'!$A$2:$A$501,'05_层级表现LOD'!A46)+COUNTIF('03_地点锚点'!$A$2:$A$501,'05_层级表现LOD'!A46)+COUNTIF('04_路径网络'!$A$2:$A$501,'05_层级表现LOD'!A46)+COUNTIF('06_建筑锚点'!$A$2:$A$501,'05_层级表现LOD'!A46)=0),"LOD引用对象不存在；","")&amp;IF(AND('05_层级表现LOD'!A46&lt;&gt;"",COUNTIF('05_层级表现LOD'!$A$2:$A$501,'05_层级表现LOD'!A46)&gt;1),"ID重复；",""),"")</f>
        <v/>
      </c>
      <c r="G1546" s="14">
        <f>IF(F1546&lt;&gt;"","按字段批注、数据字典和来源记录修正后复核","")</f>
        <v/>
      </c>
      <c r="H1546" s="14">
        <f>IF(F1546&lt;&gt;"","待处理","")</f>
        <v/>
      </c>
    </row>
    <row r="1547">
      <c r="A1547" s="14">
        <f>IF(F1547&lt;&gt;"","ISSUE-"&amp;TEXT(ROW()-1,"00000"),"")</f>
        <v/>
      </c>
      <c r="B1547" s="14">
        <f>IF(F1547&lt;&gt;"","错误","")</f>
        <v/>
      </c>
      <c r="C1547" s="14">
        <f>IF('05_层级表现LOD'!A47&lt;&gt;"","05_层级表现LOD","")</f>
        <v/>
      </c>
      <c r="D1547" s="14">
        <f>IF('05_层级表现LOD'!A47&lt;&gt;"",'05_层级表现LOD'!A47,"")</f>
        <v/>
      </c>
      <c r="E1547" s="14">
        <f>IF(F1547&lt;&gt;"","综合校验","")</f>
        <v/>
      </c>
      <c r="F1547" s="14">
        <f>IF('05_层级表现LOD'!A47&lt;&gt;"",IF('05_层级表现LOD'!A47="","缺少对象ID；","")&amp;IF('05_层级表现LOD'!B47="","缺少对象类别；","")&amp;IF(AND('05_层级表现LOD'!A47&lt;&gt;"",COUNTIF('02_固定地理'!$A$2:$A$501,'05_层级表现LOD'!A47)+COUNTIF('03_地点锚点'!$A$2:$A$501,'05_层级表现LOD'!A47)+COUNTIF('04_路径网络'!$A$2:$A$501,'05_层级表现LOD'!A47)+COUNTIF('06_建筑锚点'!$A$2:$A$501,'05_层级表现LOD'!A47)=0),"LOD引用对象不存在；","")&amp;IF(AND('05_层级表现LOD'!A47&lt;&gt;"",COUNTIF('05_层级表现LOD'!$A$2:$A$501,'05_层级表现LOD'!A47)&gt;1),"ID重复；",""),"")</f>
        <v/>
      </c>
      <c r="G1547" s="14">
        <f>IF(F1547&lt;&gt;"","按字段批注、数据字典和来源记录修正后复核","")</f>
        <v/>
      </c>
      <c r="H1547" s="14">
        <f>IF(F1547&lt;&gt;"","待处理","")</f>
        <v/>
      </c>
    </row>
    <row r="1548">
      <c r="A1548" s="14">
        <f>IF(F1548&lt;&gt;"","ISSUE-"&amp;TEXT(ROW()-1,"00000"),"")</f>
        <v/>
      </c>
      <c r="B1548" s="14">
        <f>IF(F1548&lt;&gt;"","错误","")</f>
        <v/>
      </c>
      <c r="C1548" s="14">
        <f>IF('05_层级表现LOD'!A48&lt;&gt;"","05_层级表现LOD","")</f>
        <v/>
      </c>
      <c r="D1548" s="14">
        <f>IF('05_层级表现LOD'!A48&lt;&gt;"",'05_层级表现LOD'!A48,"")</f>
        <v/>
      </c>
      <c r="E1548" s="14">
        <f>IF(F1548&lt;&gt;"","综合校验","")</f>
        <v/>
      </c>
      <c r="F1548" s="14">
        <f>IF('05_层级表现LOD'!A48&lt;&gt;"",IF('05_层级表现LOD'!A48="","缺少对象ID；","")&amp;IF('05_层级表现LOD'!B48="","缺少对象类别；","")&amp;IF(AND('05_层级表现LOD'!A48&lt;&gt;"",COUNTIF('02_固定地理'!$A$2:$A$501,'05_层级表现LOD'!A48)+COUNTIF('03_地点锚点'!$A$2:$A$501,'05_层级表现LOD'!A48)+COUNTIF('04_路径网络'!$A$2:$A$501,'05_层级表现LOD'!A48)+COUNTIF('06_建筑锚点'!$A$2:$A$501,'05_层级表现LOD'!A48)=0),"LOD引用对象不存在；","")&amp;IF(AND('05_层级表现LOD'!A48&lt;&gt;"",COUNTIF('05_层级表现LOD'!$A$2:$A$501,'05_层级表现LOD'!A48)&gt;1),"ID重复；",""),"")</f>
        <v/>
      </c>
      <c r="G1548" s="14">
        <f>IF(F1548&lt;&gt;"","按字段批注、数据字典和来源记录修正后复核","")</f>
        <v/>
      </c>
      <c r="H1548" s="14">
        <f>IF(F1548&lt;&gt;"","待处理","")</f>
        <v/>
      </c>
    </row>
    <row r="1549">
      <c r="A1549" s="14">
        <f>IF(F1549&lt;&gt;"","ISSUE-"&amp;TEXT(ROW()-1,"00000"),"")</f>
        <v/>
      </c>
      <c r="B1549" s="14">
        <f>IF(F1549&lt;&gt;"","错误","")</f>
        <v/>
      </c>
      <c r="C1549" s="14">
        <f>IF('05_层级表现LOD'!A49&lt;&gt;"","05_层级表现LOD","")</f>
        <v/>
      </c>
      <c r="D1549" s="14">
        <f>IF('05_层级表现LOD'!A49&lt;&gt;"",'05_层级表现LOD'!A49,"")</f>
        <v/>
      </c>
      <c r="E1549" s="14">
        <f>IF(F1549&lt;&gt;"","综合校验","")</f>
        <v/>
      </c>
      <c r="F1549" s="14">
        <f>IF('05_层级表现LOD'!A49&lt;&gt;"",IF('05_层级表现LOD'!A49="","缺少对象ID；","")&amp;IF('05_层级表现LOD'!B49="","缺少对象类别；","")&amp;IF(AND('05_层级表现LOD'!A49&lt;&gt;"",COUNTIF('02_固定地理'!$A$2:$A$501,'05_层级表现LOD'!A49)+COUNTIF('03_地点锚点'!$A$2:$A$501,'05_层级表现LOD'!A49)+COUNTIF('04_路径网络'!$A$2:$A$501,'05_层级表现LOD'!A49)+COUNTIF('06_建筑锚点'!$A$2:$A$501,'05_层级表现LOD'!A49)=0),"LOD引用对象不存在；","")&amp;IF(AND('05_层级表现LOD'!A49&lt;&gt;"",COUNTIF('05_层级表现LOD'!$A$2:$A$501,'05_层级表现LOD'!A49)&gt;1),"ID重复；",""),"")</f>
        <v/>
      </c>
      <c r="G1549" s="14">
        <f>IF(F1549&lt;&gt;"","按字段批注、数据字典和来源记录修正后复核","")</f>
        <v/>
      </c>
      <c r="H1549" s="14">
        <f>IF(F1549&lt;&gt;"","待处理","")</f>
        <v/>
      </c>
    </row>
    <row r="1550">
      <c r="A1550" s="14">
        <f>IF(F1550&lt;&gt;"","ISSUE-"&amp;TEXT(ROW()-1,"00000"),"")</f>
        <v/>
      </c>
      <c r="B1550" s="14">
        <f>IF(F1550&lt;&gt;"","错误","")</f>
        <v/>
      </c>
      <c r="C1550" s="14">
        <f>IF('05_层级表现LOD'!A50&lt;&gt;"","05_层级表现LOD","")</f>
        <v/>
      </c>
      <c r="D1550" s="14">
        <f>IF('05_层级表现LOD'!A50&lt;&gt;"",'05_层级表现LOD'!A50,"")</f>
        <v/>
      </c>
      <c r="E1550" s="14">
        <f>IF(F1550&lt;&gt;"","综合校验","")</f>
        <v/>
      </c>
      <c r="F1550" s="14">
        <f>IF('05_层级表现LOD'!A50&lt;&gt;"",IF('05_层级表现LOD'!A50="","缺少对象ID；","")&amp;IF('05_层级表现LOD'!B50="","缺少对象类别；","")&amp;IF(AND('05_层级表现LOD'!A50&lt;&gt;"",COUNTIF('02_固定地理'!$A$2:$A$501,'05_层级表现LOD'!A50)+COUNTIF('03_地点锚点'!$A$2:$A$501,'05_层级表现LOD'!A50)+COUNTIF('04_路径网络'!$A$2:$A$501,'05_层级表现LOD'!A50)+COUNTIF('06_建筑锚点'!$A$2:$A$501,'05_层级表现LOD'!A50)=0),"LOD引用对象不存在；","")&amp;IF(AND('05_层级表现LOD'!A50&lt;&gt;"",COUNTIF('05_层级表现LOD'!$A$2:$A$501,'05_层级表现LOD'!A50)&gt;1),"ID重复；",""),"")</f>
        <v/>
      </c>
      <c r="G1550" s="14">
        <f>IF(F1550&lt;&gt;"","按字段批注、数据字典和来源记录修正后复核","")</f>
        <v/>
      </c>
      <c r="H1550" s="14">
        <f>IF(F1550&lt;&gt;"","待处理","")</f>
        <v/>
      </c>
    </row>
    <row r="1551">
      <c r="A1551" s="14">
        <f>IF(F1551&lt;&gt;"","ISSUE-"&amp;TEXT(ROW()-1,"00000"),"")</f>
        <v/>
      </c>
      <c r="B1551" s="14">
        <f>IF(F1551&lt;&gt;"","错误","")</f>
        <v/>
      </c>
      <c r="C1551" s="14">
        <f>IF('05_层级表现LOD'!A51&lt;&gt;"","05_层级表现LOD","")</f>
        <v/>
      </c>
      <c r="D1551" s="14">
        <f>IF('05_层级表现LOD'!A51&lt;&gt;"",'05_层级表现LOD'!A51,"")</f>
        <v/>
      </c>
      <c r="E1551" s="14">
        <f>IF(F1551&lt;&gt;"","综合校验","")</f>
        <v/>
      </c>
      <c r="F1551" s="14">
        <f>IF('05_层级表现LOD'!A51&lt;&gt;"",IF('05_层级表现LOD'!A51="","缺少对象ID；","")&amp;IF('05_层级表现LOD'!B51="","缺少对象类别；","")&amp;IF(AND('05_层级表现LOD'!A51&lt;&gt;"",COUNTIF('02_固定地理'!$A$2:$A$501,'05_层级表现LOD'!A51)+COUNTIF('03_地点锚点'!$A$2:$A$501,'05_层级表现LOD'!A51)+COUNTIF('04_路径网络'!$A$2:$A$501,'05_层级表现LOD'!A51)+COUNTIF('06_建筑锚点'!$A$2:$A$501,'05_层级表现LOD'!A51)=0),"LOD引用对象不存在；","")&amp;IF(AND('05_层级表现LOD'!A51&lt;&gt;"",COUNTIF('05_层级表现LOD'!$A$2:$A$501,'05_层级表现LOD'!A51)&gt;1),"ID重复；",""),"")</f>
        <v/>
      </c>
      <c r="G1551" s="14">
        <f>IF(F1551&lt;&gt;"","按字段批注、数据字典和来源记录修正后复核","")</f>
        <v/>
      </c>
      <c r="H1551" s="14">
        <f>IF(F1551&lt;&gt;"","待处理","")</f>
        <v/>
      </c>
    </row>
    <row r="1552">
      <c r="A1552" s="14">
        <f>IF(F1552&lt;&gt;"","ISSUE-"&amp;TEXT(ROW()-1,"00000"),"")</f>
        <v/>
      </c>
      <c r="B1552" s="14">
        <f>IF(F1552&lt;&gt;"","错误","")</f>
        <v/>
      </c>
      <c r="C1552" s="14">
        <f>IF('05_层级表现LOD'!A52&lt;&gt;"","05_层级表现LOD","")</f>
        <v/>
      </c>
      <c r="D1552" s="14">
        <f>IF('05_层级表现LOD'!A52&lt;&gt;"",'05_层级表现LOD'!A52,"")</f>
        <v/>
      </c>
      <c r="E1552" s="14">
        <f>IF(F1552&lt;&gt;"","综合校验","")</f>
        <v/>
      </c>
      <c r="F1552" s="14">
        <f>IF('05_层级表现LOD'!A52&lt;&gt;"",IF('05_层级表现LOD'!A52="","缺少对象ID；","")&amp;IF('05_层级表现LOD'!B52="","缺少对象类别；","")&amp;IF(AND('05_层级表现LOD'!A52&lt;&gt;"",COUNTIF('02_固定地理'!$A$2:$A$501,'05_层级表现LOD'!A52)+COUNTIF('03_地点锚点'!$A$2:$A$501,'05_层级表现LOD'!A52)+COUNTIF('04_路径网络'!$A$2:$A$501,'05_层级表现LOD'!A52)+COUNTIF('06_建筑锚点'!$A$2:$A$501,'05_层级表现LOD'!A52)=0),"LOD引用对象不存在；","")&amp;IF(AND('05_层级表现LOD'!A52&lt;&gt;"",COUNTIF('05_层级表现LOD'!$A$2:$A$501,'05_层级表现LOD'!A52)&gt;1),"ID重复；",""),"")</f>
        <v/>
      </c>
      <c r="G1552" s="14">
        <f>IF(F1552&lt;&gt;"","按字段批注、数据字典和来源记录修正后复核","")</f>
        <v/>
      </c>
      <c r="H1552" s="14">
        <f>IF(F1552&lt;&gt;"","待处理","")</f>
        <v/>
      </c>
    </row>
    <row r="1553">
      <c r="A1553" s="14">
        <f>IF(F1553&lt;&gt;"","ISSUE-"&amp;TEXT(ROW()-1,"00000"),"")</f>
        <v/>
      </c>
      <c r="B1553" s="14">
        <f>IF(F1553&lt;&gt;"","错误","")</f>
        <v/>
      </c>
      <c r="C1553" s="14">
        <f>IF('05_层级表现LOD'!A53&lt;&gt;"","05_层级表现LOD","")</f>
        <v/>
      </c>
      <c r="D1553" s="14">
        <f>IF('05_层级表现LOD'!A53&lt;&gt;"",'05_层级表现LOD'!A53,"")</f>
        <v/>
      </c>
      <c r="E1553" s="14">
        <f>IF(F1553&lt;&gt;"","综合校验","")</f>
        <v/>
      </c>
      <c r="F1553" s="14">
        <f>IF('05_层级表现LOD'!A53&lt;&gt;"",IF('05_层级表现LOD'!A53="","缺少对象ID；","")&amp;IF('05_层级表现LOD'!B53="","缺少对象类别；","")&amp;IF(AND('05_层级表现LOD'!A53&lt;&gt;"",COUNTIF('02_固定地理'!$A$2:$A$501,'05_层级表现LOD'!A53)+COUNTIF('03_地点锚点'!$A$2:$A$501,'05_层级表现LOD'!A53)+COUNTIF('04_路径网络'!$A$2:$A$501,'05_层级表现LOD'!A53)+COUNTIF('06_建筑锚点'!$A$2:$A$501,'05_层级表现LOD'!A53)=0),"LOD引用对象不存在；","")&amp;IF(AND('05_层级表现LOD'!A53&lt;&gt;"",COUNTIF('05_层级表现LOD'!$A$2:$A$501,'05_层级表现LOD'!A53)&gt;1),"ID重复；",""),"")</f>
        <v/>
      </c>
      <c r="G1553" s="14">
        <f>IF(F1553&lt;&gt;"","按字段批注、数据字典和来源记录修正后复核","")</f>
        <v/>
      </c>
      <c r="H1553" s="14">
        <f>IF(F1553&lt;&gt;"","待处理","")</f>
        <v/>
      </c>
    </row>
    <row r="1554">
      <c r="A1554" s="14">
        <f>IF(F1554&lt;&gt;"","ISSUE-"&amp;TEXT(ROW()-1,"00000"),"")</f>
        <v/>
      </c>
      <c r="B1554" s="14">
        <f>IF(F1554&lt;&gt;"","错误","")</f>
        <v/>
      </c>
      <c r="C1554" s="14">
        <f>IF('05_层级表现LOD'!A54&lt;&gt;"","05_层级表现LOD","")</f>
        <v/>
      </c>
      <c r="D1554" s="14">
        <f>IF('05_层级表现LOD'!A54&lt;&gt;"",'05_层级表现LOD'!A54,"")</f>
        <v/>
      </c>
      <c r="E1554" s="14">
        <f>IF(F1554&lt;&gt;"","综合校验","")</f>
        <v/>
      </c>
      <c r="F1554" s="14">
        <f>IF('05_层级表现LOD'!A54&lt;&gt;"",IF('05_层级表现LOD'!A54="","缺少对象ID；","")&amp;IF('05_层级表现LOD'!B54="","缺少对象类别；","")&amp;IF(AND('05_层级表现LOD'!A54&lt;&gt;"",COUNTIF('02_固定地理'!$A$2:$A$501,'05_层级表现LOD'!A54)+COUNTIF('03_地点锚点'!$A$2:$A$501,'05_层级表现LOD'!A54)+COUNTIF('04_路径网络'!$A$2:$A$501,'05_层级表现LOD'!A54)+COUNTIF('06_建筑锚点'!$A$2:$A$501,'05_层级表现LOD'!A54)=0),"LOD引用对象不存在；","")&amp;IF(AND('05_层级表现LOD'!A54&lt;&gt;"",COUNTIF('05_层级表现LOD'!$A$2:$A$501,'05_层级表现LOD'!A54)&gt;1),"ID重复；",""),"")</f>
        <v/>
      </c>
      <c r="G1554" s="14">
        <f>IF(F1554&lt;&gt;"","按字段批注、数据字典和来源记录修正后复核","")</f>
        <v/>
      </c>
      <c r="H1554" s="14">
        <f>IF(F1554&lt;&gt;"","待处理","")</f>
        <v/>
      </c>
    </row>
    <row r="1555">
      <c r="A1555" s="14">
        <f>IF(F1555&lt;&gt;"","ISSUE-"&amp;TEXT(ROW()-1,"00000"),"")</f>
        <v/>
      </c>
      <c r="B1555" s="14">
        <f>IF(F1555&lt;&gt;"","错误","")</f>
        <v/>
      </c>
      <c r="C1555" s="14">
        <f>IF('05_层级表现LOD'!A55&lt;&gt;"","05_层级表现LOD","")</f>
        <v/>
      </c>
      <c r="D1555" s="14">
        <f>IF('05_层级表现LOD'!A55&lt;&gt;"",'05_层级表现LOD'!A55,"")</f>
        <v/>
      </c>
      <c r="E1555" s="14">
        <f>IF(F1555&lt;&gt;"","综合校验","")</f>
        <v/>
      </c>
      <c r="F1555" s="14">
        <f>IF('05_层级表现LOD'!A55&lt;&gt;"",IF('05_层级表现LOD'!A55="","缺少对象ID；","")&amp;IF('05_层级表现LOD'!B55="","缺少对象类别；","")&amp;IF(AND('05_层级表现LOD'!A55&lt;&gt;"",COUNTIF('02_固定地理'!$A$2:$A$501,'05_层级表现LOD'!A55)+COUNTIF('03_地点锚点'!$A$2:$A$501,'05_层级表现LOD'!A55)+COUNTIF('04_路径网络'!$A$2:$A$501,'05_层级表现LOD'!A55)+COUNTIF('06_建筑锚点'!$A$2:$A$501,'05_层级表现LOD'!A55)=0),"LOD引用对象不存在；","")&amp;IF(AND('05_层级表现LOD'!A55&lt;&gt;"",COUNTIF('05_层级表现LOD'!$A$2:$A$501,'05_层级表现LOD'!A55)&gt;1),"ID重复；",""),"")</f>
        <v/>
      </c>
      <c r="G1555" s="14">
        <f>IF(F1555&lt;&gt;"","按字段批注、数据字典和来源记录修正后复核","")</f>
        <v/>
      </c>
      <c r="H1555" s="14">
        <f>IF(F1555&lt;&gt;"","待处理","")</f>
        <v/>
      </c>
    </row>
    <row r="1556">
      <c r="A1556" s="14">
        <f>IF(F1556&lt;&gt;"","ISSUE-"&amp;TEXT(ROW()-1,"00000"),"")</f>
        <v/>
      </c>
      <c r="B1556" s="14">
        <f>IF(F1556&lt;&gt;"","错误","")</f>
        <v/>
      </c>
      <c r="C1556" s="14">
        <f>IF('05_层级表现LOD'!A56&lt;&gt;"","05_层级表现LOD","")</f>
        <v/>
      </c>
      <c r="D1556" s="14">
        <f>IF('05_层级表现LOD'!A56&lt;&gt;"",'05_层级表现LOD'!A56,"")</f>
        <v/>
      </c>
      <c r="E1556" s="14">
        <f>IF(F1556&lt;&gt;"","综合校验","")</f>
        <v/>
      </c>
      <c r="F1556" s="14">
        <f>IF('05_层级表现LOD'!A56&lt;&gt;"",IF('05_层级表现LOD'!A56="","缺少对象ID；","")&amp;IF('05_层级表现LOD'!B56="","缺少对象类别；","")&amp;IF(AND('05_层级表现LOD'!A56&lt;&gt;"",COUNTIF('02_固定地理'!$A$2:$A$501,'05_层级表现LOD'!A56)+COUNTIF('03_地点锚点'!$A$2:$A$501,'05_层级表现LOD'!A56)+COUNTIF('04_路径网络'!$A$2:$A$501,'05_层级表现LOD'!A56)+COUNTIF('06_建筑锚点'!$A$2:$A$501,'05_层级表现LOD'!A56)=0),"LOD引用对象不存在；","")&amp;IF(AND('05_层级表现LOD'!A56&lt;&gt;"",COUNTIF('05_层级表现LOD'!$A$2:$A$501,'05_层级表现LOD'!A56)&gt;1),"ID重复；",""),"")</f>
        <v/>
      </c>
      <c r="G1556" s="14">
        <f>IF(F1556&lt;&gt;"","按字段批注、数据字典和来源记录修正后复核","")</f>
        <v/>
      </c>
      <c r="H1556" s="14">
        <f>IF(F1556&lt;&gt;"","待处理","")</f>
        <v/>
      </c>
    </row>
    <row r="1557">
      <c r="A1557" s="14">
        <f>IF(F1557&lt;&gt;"","ISSUE-"&amp;TEXT(ROW()-1,"00000"),"")</f>
        <v/>
      </c>
      <c r="B1557" s="14">
        <f>IF(F1557&lt;&gt;"","错误","")</f>
        <v/>
      </c>
      <c r="C1557" s="14">
        <f>IF('05_层级表现LOD'!A57&lt;&gt;"","05_层级表现LOD","")</f>
        <v/>
      </c>
      <c r="D1557" s="14">
        <f>IF('05_层级表现LOD'!A57&lt;&gt;"",'05_层级表现LOD'!A57,"")</f>
        <v/>
      </c>
      <c r="E1557" s="14">
        <f>IF(F1557&lt;&gt;"","综合校验","")</f>
        <v/>
      </c>
      <c r="F1557" s="14">
        <f>IF('05_层级表现LOD'!A57&lt;&gt;"",IF('05_层级表现LOD'!A57="","缺少对象ID；","")&amp;IF('05_层级表现LOD'!B57="","缺少对象类别；","")&amp;IF(AND('05_层级表现LOD'!A57&lt;&gt;"",COUNTIF('02_固定地理'!$A$2:$A$501,'05_层级表现LOD'!A57)+COUNTIF('03_地点锚点'!$A$2:$A$501,'05_层级表现LOD'!A57)+COUNTIF('04_路径网络'!$A$2:$A$501,'05_层级表现LOD'!A57)+COUNTIF('06_建筑锚点'!$A$2:$A$501,'05_层级表现LOD'!A57)=0),"LOD引用对象不存在；","")&amp;IF(AND('05_层级表现LOD'!A57&lt;&gt;"",COUNTIF('05_层级表现LOD'!$A$2:$A$501,'05_层级表现LOD'!A57)&gt;1),"ID重复；",""),"")</f>
        <v/>
      </c>
      <c r="G1557" s="14">
        <f>IF(F1557&lt;&gt;"","按字段批注、数据字典和来源记录修正后复核","")</f>
        <v/>
      </c>
      <c r="H1557" s="14">
        <f>IF(F1557&lt;&gt;"","待处理","")</f>
        <v/>
      </c>
    </row>
    <row r="1558">
      <c r="A1558" s="14">
        <f>IF(F1558&lt;&gt;"","ISSUE-"&amp;TEXT(ROW()-1,"00000"),"")</f>
        <v/>
      </c>
      <c r="B1558" s="14">
        <f>IF(F1558&lt;&gt;"","错误","")</f>
        <v/>
      </c>
      <c r="C1558" s="14">
        <f>IF('05_层级表现LOD'!A58&lt;&gt;"","05_层级表现LOD","")</f>
        <v/>
      </c>
      <c r="D1558" s="14">
        <f>IF('05_层级表现LOD'!A58&lt;&gt;"",'05_层级表现LOD'!A58,"")</f>
        <v/>
      </c>
      <c r="E1558" s="14">
        <f>IF(F1558&lt;&gt;"","综合校验","")</f>
        <v/>
      </c>
      <c r="F1558" s="14">
        <f>IF('05_层级表现LOD'!A58&lt;&gt;"",IF('05_层级表现LOD'!A58="","缺少对象ID；","")&amp;IF('05_层级表现LOD'!B58="","缺少对象类别；","")&amp;IF(AND('05_层级表现LOD'!A58&lt;&gt;"",COUNTIF('02_固定地理'!$A$2:$A$501,'05_层级表现LOD'!A58)+COUNTIF('03_地点锚点'!$A$2:$A$501,'05_层级表现LOD'!A58)+COUNTIF('04_路径网络'!$A$2:$A$501,'05_层级表现LOD'!A58)+COUNTIF('06_建筑锚点'!$A$2:$A$501,'05_层级表现LOD'!A58)=0),"LOD引用对象不存在；","")&amp;IF(AND('05_层级表现LOD'!A58&lt;&gt;"",COUNTIF('05_层级表现LOD'!$A$2:$A$501,'05_层级表现LOD'!A58)&gt;1),"ID重复；",""),"")</f>
        <v/>
      </c>
      <c r="G1558" s="14">
        <f>IF(F1558&lt;&gt;"","按字段批注、数据字典和来源记录修正后复核","")</f>
        <v/>
      </c>
      <c r="H1558" s="14">
        <f>IF(F1558&lt;&gt;"","待处理","")</f>
        <v/>
      </c>
    </row>
    <row r="1559">
      <c r="A1559" s="14">
        <f>IF(F1559&lt;&gt;"","ISSUE-"&amp;TEXT(ROW()-1,"00000"),"")</f>
        <v/>
      </c>
      <c r="B1559" s="14">
        <f>IF(F1559&lt;&gt;"","错误","")</f>
        <v/>
      </c>
      <c r="C1559" s="14">
        <f>IF('05_层级表现LOD'!A59&lt;&gt;"","05_层级表现LOD","")</f>
        <v/>
      </c>
      <c r="D1559" s="14">
        <f>IF('05_层级表现LOD'!A59&lt;&gt;"",'05_层级表现LOD'!A59,"")</f>
        <v/>
      </c>
      <c r="E1559" s="14">
        <f>IF(F1559&lt;&gt;"","综合校验","")</f>
        <v/>
      </c>
      <c r="F1559" s="14">
        <f>IF('05_层级表现LOD'!A59&lt;&gt;"",IF('05_层级表现LOD'!A59="","缺少对象ID；","")&amp;IF('05_层级表现LOD'!B59="","缺少对象类别；","")&amp;IF(AND('05_层级表现LOD'!A59&lt;&gt;"",COUNTIF('02_固定地理'!$A$2:$A$501,'05_层级表现LOD'!A59)+COUNTIF('03_地点锚点'!$A$2:$A$501,'05_层级表现LOD'!A59)+COUNTIF('04_路径网络'!$A$2:$A$501,'05_层级表现LOD'!A59)+COUNTIF('06_建筑锚点'!$A$2:$A$501,'05_层级表现LOD'!A59)=0),"LOD引用对象不存在；","")&amp;IF(AND('05_层级表现LOD'!A59&lt;&gt;"",COUNTIF('05_层级表现LOD'!$A$2:$A$501,'05_层级表现LOD'!A59)&gt;1),"ID重复；",""),"")</f>
        <v/>
      </c>
      <c r="G1559" s="14">
        <f>IF(F1559&lt;&gt;"","按字段批注、数据字典和来源记录修正后复核","")</f>
        <v/>
      </c>
      <c r="H1559" s="14">
        <f>IF(F1559&lt;&gt;"","待处理","")</f>
        <v/>
      </c>
    </row>
    <row r="1560">
      <c r="A1560" s="14">
        <f>IF(F1560&lt;&gt;"","ISSUE-"&amp;TEXT(ROW()-1,"00000"),"")</f>
        <v/>
      </c>
      <c r="B1560" s="14">
        <f>IF(F1560&lt;&gt;"","错误","")</f>
        <v/>
      </c>
      <c r="C1560" s="14">
        <f>IF('05_层级表现LOD'!A60&lt;&gt;"","05_层级表现LOD","")</f>
        <v/>
      </c>
      <c r="D1560" s="14">
        <f>IF('05_层级表现LOD'!A60&lt;&gt;"",'05_层级表现LOD'!A60,"")</f>
        <v/>
      </c>
      <c r="E1560" s="14">
        <f>IF(F1560&lt;&gt;"","综合校验","")</f>
        <v/>
      </c>
      <c r="F1560" s="14">
        <f>IF('05_层级表现LOD'!A60&lt;&gt;"",IF('05_层级表现LOD'!A60="","缺少对象ID；","")&amp;IF('05_层级表现LOD'!B60="","缺少对象类别；","")&amp;IF(AND('05_层级表现LOD'!A60&lt;&gt;"",COUNTIF('02_固定地理'!$A$2:$A$501,'05_层级表现LOD'!A60)+COUNTIF('03_地点锚点'!$A$2:$A$501,'05_层级表现LOD'!A60)+COUNTIF('04_路径网络'!$A$2:$A$501,'05_层级表现LOD'!A60)+COUNTIF('06_建筑锚点'!$A$2:$A$501,'05_层级表现LOD'!A60)=0),"LOD引用对象不存在；","")&amp;IF(AND('05_层级表现LOD'!A60&lt;&gt;"",COUNTIF('05_层级表现LOD'!$A$2:$A$501,'05_层级表现LOD'!A60)&gt;1),"ID重复；",""),"")</f>
        <v/>
      </c>
      <c r="G1560" s="14">
        <f>IF(F1560&lt;&gt;"","按字段批注、数据字典和来源记录修正后复核","")</f>
        <v/>
      </c>
      <c r="H1560" s="14">
        <f>IF(F1560&lt;&gt;"","待处理","")</f>
        <v/>
      </c>
    </row>
    <row r="1561">
      <c r="A1561" s="14">
        <f>IF(F1561&lt;&gt;"","ISSUE-"&amp;TEXT(ROW()-1,"00000"),"")</f>
        <v/>
      </c>
      <c r="B1561" s="14">
        <f>IF(F1561&lt;&gt;"","错误","")</f>
        <v/>
      </c>
      <c r="C1561" s="14">
        <f>IF('05_层级表现LOD'!A61&lt;&gt;"","05_层级表现LOD","")</f>
        <v/>
      </c>
      <c r="D1561" s="14">
        <f>IF('05_层级表现LOD'!A61&lt;&gt;"",'05_层级表现LOD'!A61,"")</f>
        <v/>
      </c>
      <c r="E1561" s="14">
        <f>IF(F1561&lt;&gt;"","综合校验","")</f>
        <v/>
      </c>
      <c r="F1561" s="14">
        <f>IF('05_层级表现LOD'!A61&lt;&gt;"",IF('05_层级表现LOD'!A61="","缺少对象ID；","")&amp;IF('05_层级表现LOD'!B61="","缺少对象类别；","")&amp;IF(AND('05_层级表现LOD'!A61&lt;&gt;"",COUNTIF('02_固定地理'!$A$2:$A$501,'05_层级表现LOD'!A61)+COUNTIF('03_地点锚点'!$A$2:$A$501,'05_层级表现LOD'!A61)+COUNTIF('04_路径网络'!$A$2:$A$501,'05_层级表现LOD'!A61)+COUNTIF('06_建筑锚点'!$A$2:$A$501,'05_层级表现LOD'!A61)=0),"LOD引用对象不存在；","")&amp;IF(AND('05_层级表现LOD'!A61&lt;&gt;"",COUNTIF('05_层级表现LOD'!$A$2:$A$501,'05_层级表现LOD'!A61)&gt;1),"ID重复；",""),"")</f>
        <v/>
      </c>
      <c r="G1561" s="14">
        <f>IF(F1561&lt;&gt;"","按字段批注、数据字典和来源记录修正后复核","")</f>
        <v/>
      </c>
      <c r="H1561" s="14">
        <f>IF(F1561&lt;&gt;"","待处理","")</f>
        <v/>
      </c>
    </row>
    <row r="1562">
      <c r="A1562" s="14">
        <f>IF(F1562&lt;&gt;"","ISSUE-"&amp;TEXT(ROW()-1,"00000"),"")</f>
        <v/>
      </c>
      <c r="B1562" s="14">
        <f>IF(F1562&lt;&gt;"","错误","")</f>
        <v/>
      </c>
      <c r="C1562" s="14">
        <f>IF('05_层级表现LOD'!A62&lt;&gt;"","05_层级表现LOD","")</f>
        <v/>
      </c>
      <c r="D1562" s="14">
        <f>IF('05_层级表现LOD'!A62&lt;&gt;"",'05_层级表现LOD'!A62,"")</f>
        <v/>
      </c>
      <c r="E1562" s="14">
        <f>IF(F1562&lt;&gt;"","综合校验","")</f>
        <v/>
      </c>
      <c r="F1562" s="14">
        <f>IF('05_层级表现LOD'!A62&lt;&gt;"",IF('05_层级表现LOD'!A62="","缺少对象ID；","")&amp;IF('05_层级表现LOD'!B62="","缺少对象类别；","")&amp;IF(AND('05_层级表现LOD'!A62&lt;&gt;"",COUNTIF('02_固定地理'!$A$2:$A$501,'05_层级表现LOD'!A62)+COUNTIF('03_地点锚点'!$A$2:$A$501,'05_层级表现LOD'!A62)+COUNTIF('04_路径网络'!$A$2:$A$501,'05_层级表现LOD'!A62)+COUNTIF('06_建筑锚点'!$A$2:$A$501,'05_层级表现LOD'!A62)=0),"LOD引用对象不存在；","")&amp;IF(AND('05_层级表现LOD'!A62&lt;&gt;"",COUNTIF('05_层级表现LOD'!$A$2:$A$501,'05_层级表现LOD'!A62)&gt;1),"ID重复；",""),"")</f>
        <v/>
      </c>
      <c r="G1562" s="14">
        <f>IF(F1562&lt;&gt;"","按字段批注、数据字典和来源记录修正后复核","")</f>
        <v/>
      </c>
      <c r="H1562" s="14">
        <f>IF(F1562&lt;&gt;"","待处理","")</f>
        <v/>
      </c>
    </row>
    <row r="1563">
      <c r="A1563" s="14">
        <f>IF(F1563&lt;&gt;"","ISSUE-"&amp;TEXT(ROW()-1,"00000"),"")</f>
        <v/>
      </c>
      <c r="B1563" s="14">
        <f>IF(F1563&lt;&gt;"","错误","")</f>
        <v/>
      </c>
      <c r="C1563" s="14">
        <f>IF('05_层级表现LOD'!A63&lt;&gt;"","05_层级表现LOD","")</f>
        <v/>
      </c>
      <c r="D1563" s="14">
        <f>IF('05_层级表现LOD'!A63&lt;&gt;"",'05_层级表现LOD'!A63,"")</f>
        <v/>
      </c>
      <c r="E1563" s="14">
        <f>IF(F1563&lt;&gt;"","综合校验","")</f>
        <v/>
      </c>
      <c r="F1563" s="14">
        <f>IF('05_层级表现LOD'!A63&lt;&gt;"",IF('05_层级表现LOD'!A63="","缺少对象ID；","")&amp;IF('05_层级表现LOD'!B63="","缺少对象类别；","")&amp;IF(AND('05_层级表现LOD'!A63&lt;&gt;"",COUNTIF('02_固定地理'!$A$2:$A$501,'05_层级表现LOD'!A63)+COUNTIF('03_地点锚点'!$A$2:$A$501,'05_层级表现LOD'!A63)+COUNTIF('04_路径网络'!$A$2:$A$501,'05_层级表现LOD'!A63)+COUNTIF('06_建筑锚点'!$A$2:$A$501,'05_层级表现LOD'!A63)=0),"LOD引用对象不存在；","")&amp;IF(AND('05_层级表现LOD'!A63&lt;&gt;"",COUNTIF('05_层级表现LOD'!$A$2:$A$501,'05_层级表现LOD'!A63)&gt;1),"ID重复；",""),"")</f>
        <v/>
      </c>
      <c r="G1563" s="14">
        <f>IF(F1563&lt;&gt;"","按字段批注、数据字典和来源记录修正后复核","")</f>
        <v/>
      </c>
      <c r="H1563" s="14">
        <f>IF(F1563&lt;&gt;"","待处理","")</f>
        <v/>
      </c>
    </row>
    <row r="1564">
      <c r="A1564" s="14">
        <f>IF(F1564&lt;&gt;"","ISSUE-"&amp;TEXT(ROW()-1,"00000"),"")</f>
        <v/>
      </c>
      <c r="B1564" s="14">
        <f>IF(F1564&lt;&gt;"","错误","")</f>
        <v/>
      </c>
      <c r="C1564" s="14">
        <f>IF('05_层级表现LOD'!A64&lt;&gt;"","05_层级表现LOD","")</f>
        <v/>
      </c>
      <c r="D1564" s="14">
        <f>IF('05_层级表现LOD'!A64&lt;&gt;"",'05_层级表现LOD'!A64,"")</f>
        <v/>
      </c>
      <c r="E1564" s="14">
        <f>IF(F1564&lt;&gt;"","综合校验","")</f>
        <v/>
      </c>
      <c r="F1564" s="14">
        <f>IF('05_层级表现LOD'!A64&lt;&gt;"",IF('05_层级表现LOD'!A64="","缺少对象ID；","")&amp;IF('05_层级表现LOD'!B64="","缺少对象类别；","")&amp;IF(AND('05_层级表现LOD'!A64&lt;&gt;"",COUNTIF('02_固定地理'!$A$2:$A$501,'05_层级表现LOD'!A64)+COUNTIF('03_地点锚点'!$A$2:$A$501,'05_层级表现LOD'!A64)+COUNTIF('04_路径网络'!$A$2:$A$501,'05_层级表现LOD'!A64)+COUNTIF('06_建筑锚点'!$A$2:$A$501,'05_层级表现LOD'!A64)=0),"LOD引用对象不存在；","")&amp;IF(AND('05_层级表现LOD'!A64&lt;&gt;"",COUNTIF('05_层级表现LOD'!$A$2:$A$501,'05_层级表现LOD'!A64)&gt;1),"ID重复；",""),"")</f>
        <v/>
      </c>
      <c r="G1564" s="14">
        <f>IF(F1564&lt;&gt;"","按字段批注、数据字典和来源记录修正后复核","")</f>
        <v/>
      </c>
      <c r="H1564" s="14">
        <f>IF(F1564&lt;&gt;"","待处理","")</f>
        <v/>
      </c>
    </row>
    <row r="1565">
      <c r="A1565" s="14">
        <f>IF(F1565&lt;&gt;"","ISSUE-"&amp;TEXT(ROW()-1,"00000"),"")</f>
        <v/>
      </c>
      <c r="B1565" s="14">
        <f>IF(F1565&lt;&gt;"","错误","")</f>
        <v/>
      </c>
      <c r="C1565" s="14">
        <f>IF('05_层级表现LOD'!A65&lt;&gt;"","05_层级表现LOD","")</f>
        <v/>
      </c>
      <c r="D1565" s="14">
        <f>IF('05_层级表现LOD'!A65&lt;&gt;"",'05_层级表现LOD'!A65,"")</f>
        <v/>
      </c>
      <c r="E1565" s="14">
        <f>IF(F1565&lt;&gt;"","综合校验","")</f>
        <v/>
      </c>
      <c r="F1565" s="14">
        <f>IF('05_层级表现LOD'!A65&lt;&gt;"",IF('05_层级表现LOD'!A65="","缺少对象ID；","")&amp;IF('05_层级表现LOD'!B65="","缺少对象类别；","")&amp;IF(AND('05_层级表现LOD'!A65&lt;&gt;"",COUNTIF('02_固定地理'!$A$2:$A$501,'05_层级表现LOD'!A65)+COUNTIF('03_地点锚点'!$A$2:$A$501,'05_层级表现LOD'!A65)+COUNTIF('04_路径网络'!$A$2:$A$501,'05_层级表现LOD'!A65)+COUNTIF('06_建筑锚点'!$A$2:$A$501,'05_层级表现LOD'!A65)=0),"LOD引用对象不存在；","")&amp;IF(AND('05_层级表现LOD'!A65&lt;&gt;"",COUNTIF('05_层级表现LOD'!$A$2:$A$501,'05_层级表现LOD'!A65)&gt;1),"ID重复；",""),"")</f>
        <v/>
      </c>
      <c r="G1565" s="14">
        <f>IF(F1565&lt;&gt;"","按字段批注、数据字典和来源记录修正后复核","")</f>
        <v/>
      </c>
      <c r="H1565" s="14">
        <f>IF(F1565&lt;&gt;"","待处理","")</f>
        <v/>
      </c>
    </row>
    <row r="1566">
      <c r="A1566" s="14">
        <f>IF(F1566&lt;&gt;"","ISSUE-"&amp;TEXT(ROW()-1,"00000"),"")</f>
        <v/>
      </c>
      <c r="B1566" s="14">
        <f>IF(F1566&lt;&gt;"","错误","")</f>
        <v/>
      </c>
      <c r="C1566" s="14">
        <f>IF('05_层级表现LOD'!A66&lt;&gt;"","05_层级表现LOD","")</f>
        <v/>
      </c>
      <c r="D1566" s="14">
        <f>IF('05_层级表现LOD'!A66&lt;&gt;"",'05_层级表现LOD'!A66,"")</f>
        <v/>
      </c>
      <c r="E1566" s="14">
        <f>IF(F1566&lt;&gt;"","综合校验","")</f>
        <v/>
      </c>
      <c r="F1566" s="14">
        <f>IF('05_层级表现LOD'!A66&lt;&gt;"",IF('05_层级表现LOD'!A66="","缺少对象ID；","")&amp;IF('05_层级表现LOD'!B66="","缺少对象类别；","")&amp;IF(AND('05_层级表现LOD'!A66&lt;&gt;"",COUNTIF('02_固定地理'!$A$2:$A$501,'05_层级表现LOD'!A66)+COUNTIF('03_地点锚点'!$A$2:$A$501,'05_层级表现LOD'!A66)+COUNTIF('04_路径网络'!$A$2:$A$501,'05_层级表现LOD'!A66)+COUNTIF('06_建筑锚点'!$A$2:$A$501,'05_层级表现LOD'!A66)=0),"LOD引用对象不存在；","")&amp;IF(AND('05_层级表现LOD'!A66&lt;&gt;"",COUNTIF('05_层级表现LOD'!$A$2:$A$501,'05_层级表现LOD'!A66)&gt;1),"ID重复；",""),"")</f>
        <v/>
      </c>
      <c r="G1566" s="14">
        <f>IF(F1566&lt;&gt;"","按字段批注、数据字典和来源记录修正后复核","")</f>
        <v/>
      </c>
      <c r="H1566" s="14">
        <f>IF(F1566&lt;&gt;"","待处理","")</f>
        <v/>
      </c>
    </row>
    <row r="1567">
      <c r="A1567" s="14">
        <f>IF(F1567&lt;&gt;"","ISSUE-"&amp;TEXT(ROW()-1,"00000"),"")</f>
        <v/>
      </c>
      <c r="B1567" s="14">
        <f>IF(F1567&lt;&gt;"","错误","")</f>
        <v/>
      </c>
      <c r="C1567" s="14">
        <f>IF('05_层级表现LOD'!A67&lt;&gt;"","05_层级表现LOD","")</f>
        <v/>
      </c>
      <c r="D1567" s="14">
        <f>IF('05_层级表现LOD'!A67&lt;&gt;"",'05_层级表现LOD'!A67,"")</f>
        <v/>
      </c>
      <c r="E1567" s="14">
        <f>IF(F1567&lt;&gt;"","综合校验","")</f>
        <v/>
      </c>
      <c r="F1567" s="14">
        <f>IF('05_层级表现LOD'!A67&lt;&gt;"",IF('05_层级表现LOD'!A67="","缺少对象ID；","")&amp;IF('05_层级表现LOD'!B67="","缺少对象类别；","")&amp;IF(AND('05_层级表现LOD'!A67&lt;&gt;"",COUNTIF('02_固定地理'!$A$2:$A$501,'05_层级表现LOD'!A67)+COUNTIF('03_地点锚点'!$A$2:$A$501,'05_层级表现LOD'!A67)+COUNTIF('04_路径网络'!$A$2:$A$501,'05_层级表现LOD'!A67)+COUNTIF('06_建筑锚点'!$A$2:$A$501,'05_层级表现LOD'!A67)=0),"LOD引用对象不存在；","")&amp;IF(AND('05_层级表现LOD'!A67&lt;&gt;"",COUNTIF('05_层级表现LOD'!$A$2:$A$501,'05_层级表现LOD'!A67)&gt;1),"ID重复；",""),"")</f>
        <v/>
      </c>
      <c r="G1567" s="14">
        <f>IF(F1567&lt;&gt;"","按字段批注、数据字典和来源记录修正后复核","")</f>
        <v/>
      </c>
      <c r="H1567" s="14">
        <f>IF(F1567&lt;&gt;"","待处理","")</f>
        <v/>
      </c>
    </row>
    <row r="1568">
      <c r="A1568" s="14">
        <f>IF(F1568&lt;&gt;"","ISSUE-"&amp;TEXT(ROW()-1,"00000"),"")</f>
        <v/>
      </c>
      <c r="B1568" s="14">
        <f>IF(F1568&lt;&gt;"","错误","")</f>
        <v/>
      </c>
      <c r="C1568" s="14">
        <f>IF('05_层级表现LOD'!A68&lt;&gt;"","05_层级表现LOD","")</f>
        <v/>
      </c>
      <c r="D1568" s="14">
        <f>IF('05_层级表现LOD'!A68&lt;&gt;"",'05_层级表现LOD'!A68,"")</f>
        <v/>
      </c>
      <c r="E1568" s="14">
        <f>IF(F1568&lt;&gt;"","综合校验","")</f>
        <v/>
      </c>
      <c r="F1568" s="14">
        <f>IF('05_层级表现LOD'!A68&lt;&gt;"",IF('05_层级表现LOD'!A68="","缺少对象ID；","")&amp;IF('05_层级表现LOD'!B68="","缺少对象类别；","")&amp;IF(AND('05_层级表现LOD'!A68&lt;&gt;"",COUNTIF('02_固定地理'!$A$2:$A$501,'05_层级表现LOD'!A68)+COUNTIF('03_地点锚点'!$A$2:$A$501,'05_层级表现LOD'!A68)+COUNTIF('04_路径网络'!$A$2:$A$501,'05_层级表现LOD'!A68)+COUNTIF('06_建筑锚点'!$A$2:$A$501,'05_层级表现LOD'!A68)=0),"LOD引用对象不存在；","")&amp;IF(AND('05_层级表现LOD'!A68&lt;&gt;"",COUNTIF('05_层级表现LOD'!$A$2:$A$501,'05_层级表现LOD'!A68)&gt;1),"ID重复；",""),"")</f>
        <v/>
      </c>
      <c r="G1568" s="14">
        <f>IF(F1568&lt;&gt;"","按字段批注、数据字典和来源记录修正后复核","")</f>
        <v/>
      </c>
      <c r="H1568" s="14">
        <f>IF(F1568&lt;&gt;"","待处理","")</f>
        <v/>
      </c>
    </row>
    <row r="1569">
      <c r="A1569" s="14">
        <f>IF(F1569&lt;&gt;"","ISSUE-"&amp;TEXT(ROW()-1,"00000"),"")</f>
        <v/>
      </c>
      <c r="B1569" s="14">
        <f>IF(F1569&lt;&gt;"","错误","")</f>
        <v/>
      </c>
      <c r="C1569" s="14">
        <f>IF('05_层级表现LOD'!A69&lt;&gt;"","05_层级表现LOD","")</f>
        <v/>
      </c>
      <c r="D1569" s="14">
        <f>IF('05_层级表现LOD'!A69&lt;&gt;"",'05_层级表现LOD'!A69,"")</f>
        <v/>
      </c>
      <c r="E1569" s="14">
        <f>IF(F1569&lt;&gt;"","综合校验","")</f>
        <v/>
      </c>
      <c r="F1569" s="14">
        <f>IF('05_层级表现LOD'!A69&lt;&gt;"",IF('05_层级表现LOD'!A69="","缺少对象ID；","")&amp;IF('05_层级表现LOD'!B69="","缺少对象类别；","")&amp;IF(AND('05_层级表现LOD'!A69&lt;&gt;"",COUNTIF('02_固定地理'!$A$2:$A$501,'05_层级表现LOD'!A69)+COUNTIF('03_地点锚点'!$A$2:$A$501,'05_层级表现LOD'!A69)+COUNTIF('04_路径网络'!$A$2:$A$501,'05_层级表现LOD'!A69)+COUNTIF('06_建筑锚点'!$A$2:$A$501,'05_层级表现LOD'!A69)=0),"LOD引用对象不存在；","")&amp;IF(AND('05_层级表现LOD'!A69&lt;&gt;"",COUNTIF('05_层级表现LOD'!$A$2:$A$501,'05_层级表现LOD'!A69)&gt;1),"ID重复；",""),"")</f>
        <v/>
      </c>
      <c r="G1569" s="14">
        <f>IF(F1569&lt;&gt;"","按字段批注、数据字典和来源记录修正后复核","")</f>
        <v/>
      </c>
      <c r="H1569" s="14">
        <f>IF(F1569&lt;&gt;"","待处理","")</f>
        <v/>
      </c>
    </row>
    <row r="1570">
      <c r="A1570" s="14">
        <f>IF(F1570&lt;&gt;"","ISSUE-"&amp;TEXT(ROW()-1,"00000"),"")</f>
        <v/>
      </c>
      <c r="B1570" s="14">
        <f>IF(F1570&lt;&gt;"","错误","")</f>
        <v/>
      </c>
      <c r="C1570" s="14">
        <f>IF('05_层级表现LOD'!A70&lt;&gt;"","05_层级表现LOD","")</f>
        <v/>
      </c>
      <c r="D1570" s="14">
        <f>IF('05_层级表现LOD'!A70&lt;&gt;"",'05_层级表现LOD'!A70,"")</f>
        <v/>
      </c>
      <c r="E1570" s="14">
        <f>IF(F1570&lt;&gt;"","综合校验","")</f>
        <v/>
      </c>
      <c r="F1570" s="14">
        <f>IF('05_层级表现LOD'!A70&lt;&gt;"",IF('05_层级表现LOD'!A70="","缺少对象ID；","")&amp;IF('05_层级表现LOD'!B70="","缺少对象类别；","")&amp;IF(AND('05_层级表现LOD'!A70&lt;&gt;"",COUNTIF('02_固定地理'!$A$2:$A$501,'05_层级表现LOD'!A70)+COUNTIF('03_地点锚点'!$A$2:$A$501,'05_层级表现LOD'!A70)+COUNTIF('04_路径网络'!$A$2:$A$501,'05_层级表现LOD'!A70)+COUNTIF('06_建筑锚点'!$A$2:$A$501,'05_层级表现LOD'!A70)=0),"LOD引用对象不存在；","")&amp;IF(AND('05_层级表现LOD'!A70&lt;&gt;"",COUNTIF('05_层级表现LOD'!$A$2:$A$501,'05_层级表现LOD'!A70)&gt;1),"ID重复；",""),"")</f>
        <v/>
      </c>
      <c r="G1570" s="14">
        <f>IF(F1570&lt;&gt;"","按字段批注、数据字典和来源记录修正后复核","")</f>
        <v/>
      </c>
      <c r="H1570" s="14">
        <f>IF(F1570&lt;&gt;"","待处理","")</f>
        <v/>
      </c>
    </row>
    <row r="1571">
      <c r="A1571" s="14">
        <f>IF(F1571&lt;&gt;"","ISSUE-"&amp;TEXT(ROW()-1,"00000"),"")</f>
        <v/>
      </c>
      <c r="B1571" s="14">
        <f>IF(F1571&lt;&gt;"","错误","")</f>
        <v/>
      </c>
      <c r="C1571" s="14">
        <f>IF('05_层级表现LOD'!A71&lt;&gt;"","05_层级表现LOD","")</f>
        <v/>
      </c>
      <c r="D1571" s="14">
        <f>IF('05_层级表现LOD'!A71&lt;&gt;"",'05_层级表现LOD'!A71,"")</f>
        <v/>
      </c>
      <c r="E1571" s="14">
        <f>IF(F1571&lt;&gt;"","综合校验","")</f>
        <v/>
      </c>
      <c r="F1571" s="14">
        <f>IF('05_层级表现LOD'!A71&lt;&gt;"",IF('05_层级表现LOD'!A71="","缺少对象ID；","")&amp;IF('05_层级表现LOD'!B71="","缺少对象类别；","")&amp;IF(AND('05_层级表现LOD'!A71&lt;&gt;"",COUNTIF('02_固定地理'!$A$2:$A$501,'05_层级表现LOD'!A71)+COUNTIF('03_地点锚点'!$A$2:$A$501,'05_层级表现LOD'!A71)+COUNTIF('04_路径网络'!$A$2:$A$501,'05_层级表现LOD'!A71)+COUNTIF('06_建筑锚点'!$A$2:$A$501,'05_层级表现LOD'!A71)=0),"LOD引用对象不存在；","")&amp;IF(AND('05_层级表现LOD'!A71&lt;&gt;"",COUNTIF('05_层级表现LOD'!$A$2:$A$501,'05_层级表现LOD'!A71)&gt;1),"ID重复；",""),"")</f>
        <v/>
      </c>
      <c r="G1571" s="14">
        <f>IF(F1571&lt;&gt;"","按字段批注、数据字典和来源记录修正后复核","")</f>
        <v/>
      </c>
      <c r="H1571" s="14">
        <f>IF(F1571&lt;&gt;"","待处理","")</f>
        <v/>
      </c>
    </row>
    <row r="1572">
      <c r="A1572" s="14">
        <f>IF(F1572&lt;&gt;"","ISSUE-"&amp;TEXT(ROW()-1,"00000"),"")</f>
        <v/>
      </c>
      <c r="B1572" s="14">
        <f>IF(F1572&lt;&gt;"","错误","")</f>
        <v/>
      </c>
      <c r="C1572" s="14">
        <f>IF('05_层级表现LOD'!A72&lt;&gt;"","05_层级表现LOD","")</f>
        <v/>
      </c>
      <c r="D1572" s="14">
        <f>IF('05_层级表现LOD'!A72&lt;&gt;"",'05_层级表现LOD'!A72,"")</f>
        <v/>
      </c>
      <c r="E1572" s="14">
        <f>IF(F1572&lt;&gt;"","综合校验","")</f>
        <v/>
      </c>
      <c r="F1572" s="14">
        <f>IF('05_层级表现LOD'!A72&lt;&gt;"",IF('05_层级表现LOD'!A72="","缺少对象ID；","")&amp;IF('05_层级表现LOD'!B72="","缺少对象类别；","")&amp;IF(AND('05_层级表现LOD'!A72&lt;&gt;"",COUNTIF('02_固定地理'!$A$2:$A$501,'05_层级表现LOD'!A72)+COUNTIF('03_地点锚点'!$A$2:$A$501,'05_层级表现LOD'!A72)+COUNTIF('04_路径网络'!$A$2:$A$501,'05_层级表现LOD'!A72)+COUNTIF('06_建筑锚点'!$A$2:$A$501,'05_层级表现LOD'!A72)=0),"LOD引用对象不存在；","")&amp;IF(AND('05_层级表现LOD'!A72&lt;&gt;"",COUNTIF('05_层级表现LOD'!$A$2:$A$501,'05_层级表现LOD'!A72)&gt;1),"ID重复；",""),"")</f>
        <v/>
      </c>
      <c r="G1572" s="14">
        <f>IF(F1572&lt;&gt;"","按字段批注、数据字典和来源记录修正后复核","")</f>
        <v/>
      </c>
      <c r="H1572" s="14">
        <f>IF(F1572&lt;&gt;"","待处理","")</f>
        <v/>
      </c>
    </row>
    <row r="1573">
      <c r="A1573" s="14">
        <f>IF(F1573&lt;&gt;"","ISSUE-"&amp;TEXT(ROW()-1,"00000"),"")</f>
        <v/>
      </c>
      <c r="B1573" s="14">
        <f>IF(F1573&lt;&gt;"","错误","")</f>
        <v/>
      </c>
      <c r="C1573" s="14">
        <f>IF('05_层级表现LOD'!A73&lt;&gt;"","05_层级表现LOD","")</f>
        <v/>
      </c>
      <c r="D1573" s="14">
        <f>IF('05_层级表现LOD'!A73&lt;&gt;"",'05_层级表现LOD'!A73,"")</f>
        <v/>
      </c>
      <c r="E1573" s="14">
        <f>IF(F1573&lt;&gt;"","综合校验","")</f>
        <v/>
      </c>
      <c r="F1573" s="14">
        <f>IF('05_层级表现LOD'!A73&lt;&gt;"",IF('05_层级表现LOD'!A73="","缺少对象ID；","")&amp;IF('05_层级表现LOD'!B73="","缺少对象类别；","")&amp;IF(AND('05_层级表现LOD'!A73&lt;&gt;"",COUNTIF('02_固定地理'!$A$2:$A$501,'05_层级表现LOD'!A73)+COUNTIF('03_地点锚点'!$A$2:$A$501,'05_层级表现LOD'!A73)+COUNTIF('04_路径网络'!$A$2:$A$501,'05_层级表现LOD'!A73)+COUNTIF('06_建筑锚点'!$A$2:$A$501,'05_层级表现LOD'!A73)=0),"LOD引用对象不存在；","")&amp;IF(AND('05_层级表现LOD'!A73&lt;&gt;"",COUNTIF('05_层级表现LOD'!$A$2:$A$501,'05_层级表现LOD'!A73)&gt;1),"ID重复；",""),"")</f>
        <v/>
      </c>
      <c r="G1573" s="14">
        <f>IF(F1573&lt;&gt;"","按字段批注、数据字典和来源记录修正后复核","")</f>
        <v/>
      </c>
      <c r="H1573" s="14">
        <f>IF(F1573&lt;&gt;"","待处理","")</f>
        <v/>
      </c>
    </row>
    <row r="1574">
      <c r="A1574" s="14">
        <f>IF(F1574&lt;&gt;"","ISSUE-"&amp;TEXT(ROW()-1,"00000"),"")</f>
        <v/>
      </c>
      <c r="B1574" s="14">
        <f>IF(F1574&lt;&gt;"","错误","")</f>
        <v/>
      </c>
      <c r="C1574" s="14">
        <f>IF('05_层级表现LOD'!A74&lt;&gt;"","05_层级表现LOD","")</f>
        <v/>
      </c>
      <c r="D1574" s="14">
        <f>IF('05_层级表现LOD'!A74&lt;&gt;"",'05_层级表现LOD'!A74,"")</f>
        <v/>
      </c>
      <c r="E1574" s="14">
        <f>IF(F1574&lt;&gt;"","综合校验","")</f>
        <v/>
      </c>
      <c r="F1574" s="14">
        <f>IF('05_层级表现LOD'!A74&lt;&gt;"",IF('05_层级表现LOD'!A74="","缺少对象ID；","")&amp;IF('05_层级表现LOD'!B74="","缺少对象类别；","")&amp;IF(AND('05_层级表现LOD'!A74&lt;&gt;"",COUNTIF('02_固定地理'!$A$2:$A$501,'05_层级表现LOD'!A74)+COUNTIF('03_地点锚点'!$A$2:$A$501,'05_层级表现LOD'!A74)+COUNTIF('04_路径网络'!$A$2:$A$501,'05_层级表现LOD'!A74)+COUNTIF('06_建筑锚点'!$A$2:$A$501,'05_层级表现LOD'!A74)=0),"LOD引用对象不存在；","")&amp;IF(AND('05_层级表现LOD'!A74&lt;&gt;"",COUNTIF('05_层级表现LOD'!$A$2:$A$501,'05_层级表现LOD'!A74)&gt;1),"ID重复；",""),"")</f>
        <v/>
      </c>
      <c r="G1574" s="14">
        <f>IF(F1574&lt;&gt;"","按字段批注、数据字典和来源记录修正后复核","")</f>
        <v/>
      </c>
      <c r="H1574" s="14">
        <f>IF(F1574&lt;&gt;"","待处理","")</f>
        <v/>
      </c>
    </row>
    <row r="1575">
      <c r="A1575" s="14">
        <f>IF(F1575&lt;&gt;"","ISSUE-"&amp;TEXT(ROW()-1,"00000"),"")</f>
        <v/>
      </c>
      <c r="B1575" s="14">
        <f>IF(F1575&lt;&gt;"","错误","")</f>
        <v/>
      </c>
      <c r="C1575" s="14">
        <f>IF('05_层级表现LOD'!A75&lt;&gt;"","05_层级表现LOD","")</f>
        <v/>
      </c>
      <c r="D1575" s="14">
        <f>IF('05_层级表现LOD'!A75&lt;&gt;"",'05_层级表现LOD'!A75,"")</f>
        <v/>
      </c>
      <c r="E1575" s="14">
        <f>IF(F1575&lt;&gt;"","综合校验","")</f>
        <v/>
      </c>
      <c r="F1575" s="14">
        <f>IF('05_层级表现LOD'!A75&lt;&gt;"",IF('05_层级表现LOD'!A75="","缺少对象ID；","")&amp;IF('05_层级表现LOD'!B75="","缺少对象类别；","")&amp;IF(AND('05_层级表现LOD'!A75&lt;&gt;"",COUNTIF('02_固定地理'!$A$2:$A$501,'05_层级表现LOD'!A75)+COUNTIF('03_地点锚点'!$A$2:$A$501,'05_层级表现LOD'!A75)+COUNTIF('04_路径网络'!$A$2:$A$501,'05_层级表现LOD'!A75)+COUNTIF('06_建筑锚点'!$A$2:$A$501,'05_层级表现LOD'!A75)=0),"LOD引用对象不存在；","")&amp;IF(AND('05_层级表现LOD'!A75&lt;&gt;"",COUNTIF('05_层级表现LOD'!$A$2:$A$501,'05_层级表现LOD'!A75)&gt;1),"ID重复；",""),"")</f>
        <v/>
      </c>
      <c r="G1575" s="14">
        <f>IF(F1575&lt;&gt;"","按字段批注、数据字典和来源记录修正后复核","")</f>
        <v/>
      </c>
      <c r="H1575" s="14">
        <f>IF(F1575&lt;&gt;"","待处理","")</f>
        <v/>
      </c>
    </row>
    <row r="1576">
      <c r="A1576" s="14">
        <f>IF(F1576&lt;&gt;"","ISSUE-"&amp;TEXT(ROW()-1,"00000"),"")</f>
        <v/>
      </c>
      <c r="B1576" s="14">
        <f>IF(F1576&lt;&gt;"","错误","")</f>
        <v/>
      </c>
      <c r="C1576" s="14">
        <f>IF('05_层级表现LOD'!A76&lt;&gt;"","05_层级表现LOD","")</f>
        <v/>
      </c>
      <c r="D1576" s="14">
        <f>IF('05_层级表现LOD'!A76&lt;&gt;"",'05_层级表现LOD'!A76,"")</f>
        <v/>
      </c>
      <c r="E1576" s="14">
        <f>IF(F1576&lt;&gt;"","综合校验","")</f>
        <v/>
      </c>
      <c r="F1576" s="14">
        <f>IF('05_层级表现LOD'!A76&lt;&gt;"",IF('05_层级表现LOD'!A76="","缺少对象ID；","")&amp;IF('05_层级表现LOD'!B76="","缺少对象类别；","")&amp;IF(AND('05_层级表现LOD'!A76&lt;&gt;"",COUNTIF('02_固定地理'!$A$2:$A$501,'05_层级表现LOD'!A76)+COUNTIF('03_地点锚点'!$A$2:$A$501,'05_层级表现LOD'!A76)+COUNTIF('04_路径网络'!$A$2:$A$501,'05_层级表现LOD'!A76)+COUNTIF('06_建筑锚点'!$A$2:$A$501,'05_层级表现LOD'!A76)=0),"LOD引用对象不存在；","")&amp;IF(AND('05_层级表现LOD'!A76&lt;&gt;"",COUNTIF('05_层级表现LOD'!$A$2:$A$501,'05_层级表现LOD'!A76)&gt;1),"ID重复；",""),"")</f>
        <v/>
      </c>
      <c r="G1576" s="14">
        <f>IF(F1576&lt;&gt;"","按字段批注、数据字典和来源记录修正后复核","")</f>
        <v/>
      </c>
      <c r="H1576" s="14">
        <f>IF(F1576&lt;&gt;"","待处理","")</f>
        <v/>
      </c>
    </row>
    <row r="1577">
      <c r="A1577" s="14">
        <f>IF(F1577&lt;&gt;"","ISSUE-"&amp;TEXT(ROW()-1,"00000"),"")</f>
        <v/>
      </c>
      <c r="B1577" s="14">
        <f>IF(F1577&lt;&gt;"","错误","")</f>
        <v/>
      </c>
      <c r="C1577" s="14">
        <f>IF('05_层级表现LOD'!A77&lt;&gt;"","05_层级表现LOD","")</f>
        <v/>
      </c>
      <c r="D1577" s="14">
        <f>IF('05_层级表现LOD'!A77&lt;&gt;"",'05_层级表现LOD'!A77,"")</f>
        <v/>
      </c>
      <c r="E1577" s="14">
        <f>IF(F1577&lt;&gt;"","综合校验","")</f>
        <v/>
      </c>
      <c r="F1577" s="14">
        <f>IF('05_层级表现LOD'!A77&lt;&gt;"",IF('05_层级表现LOD'!A77="","缺少对象ID；","")&amp;IF('05_层级表现LOD'!B77="","缺少对象类别；","")&amp;IF(AND('05_层级表现LOD'!A77&lt;&gt;"",COUNTIF('02_固定地理'!$A$2:$A$501,'05_层级表现LOD'!A77)+COUNTIF('03_地点锚点'!$A$2:$A$501,'05_层级表现LOD'!A77)+COUNTIF('04_路径网络'!$A$2:$A$501,'05_层级表现LOD'!A77)+COUNTIF('06_建筑锚点'!$A$2:$A$501,'05_层级表现LOD'!A77)=0),"LOD引用对象不存在；","")&amp;IF(AND('05_层级表现LOD'!A77&lt;&gt;"",COUNTIF('05_层级表现LOD'!$A$2:$A$501,'05_层级表现LOD'!A77)&gt;1),"ID重复；",""),"")</f>
        <v/>
      </c>
      <c r="G1577" s="14">
        <f>IF(F1577&lt;&gt;"","按字段批注、数据字典和来源记录修正后复核","")</f>
        <v/>
      </c>
      <c r="H1577" s="14">
        <f>IF(F1577&lt;&gt;"","待处理","")</f>
        <v/>
      </c>
    </row>
    <row r="1578">
      <c r="A1578" s="14">
        <f>IF(F1578&lt;&gt;"","ISSUE-"&amp;TEXT(ROW()-1,"00000"),"")</f>
        <v/>
      </c>
      <c r="B1578" s="14">
        <f>IF(F1578&lt;&gt;"","错误","")</f>
        <v/>
      </c>
      <c r="C1578" s="14">
        <f>IF('05_层级表现LOD'!A78&lt;&gt;"","05_层级表现LOD","")</f>
        <v/>
      </c>
      <c r="D1578" s="14">
        <f>IF('05_层级表现LOD'!A78&lt;&gt;"",'05_层级表现LOD'!A78,"")</f>
        <v/>
      </c>
      <c r="E1578" s="14">
        <f>IF(F1578&lt;&gt;"","综合校验","")</f>
        <v/>
      </c>
      <c r="F1578" s="14">
        <f>IF('05_层级表现LOD'!A78&lt;&gt;"",IF('05_层级表现LOD'!A78="","缺少对象ID；","")&amp;IF('05_层级表现LOD'!B78="","缺少对象类别；","")&amp;IF(AND('05_层级表现LOD'!A78&lt;&gt;"",COUNTIF('02_固定地理'!$A$2:$A$501,'05_层级表现LOD'!A78)+COUNTIF('03_地点锚点'!$A$2:$A$501,'05_层级表现LOD'!A78)+COUNTIF('04_路径网络'!$A$2:$A$501,'05_层级表现LOD'!A78)+COUNTIF('06_建筑锚点'!$A$2:$A$501,'05_层级表现LOD'!A78)=0),"LOD引用对象不存在；","")&amp;IF(AND('05_层级表现LOD'!A78&lt;&gt;"",COUNTIF('05_层级表现LOD'!$A$2:$A$501,'05_层级表现LOD'!A78)&gt;1),"ID重复；",""),"")</f>
        <v/>
      </c>
      <c r="G1578" s="14">
        <f>IF(F1578&lt;&gt;"","按字段批注、数据字典和来源记录修正后复核","")</f>
        <v/>
      </c>
      <c r="H1578" s="14">
        <f>IF(F1578&lt;&gt;"","待处理","")</f>
        <v/>
      </c>
    </row>
    <row r="1579">
      <c r="A1579" s="14">
        <f>IF(F1579&lt;&gt;"","ISSUE-"&amp;TEXT(ROW()-1,"00000"),"")</f>
        <v/>
      </c>
      <c r="B1579" s="14">
        <f>IF(F1579&lt;&gt;"","错误","")</f>
        <v/>
      </c>
      <c r="C1579" s="14">
        <f>IF('05_层级表现LOD'!A79&lt;&gt;"","05_层级表现LOD","")</f>
        <v/>
      </c>
      <c r="D1579" s="14">
        <f>IF('05_层级表现LOD'!A79&lt;&gt;"",'05_层级表现LOD'!A79,"")</f>
        <v/>
      </c>
      <c r="E1579" s="14">
        <f>IF(F1579&lt;&gt;"","综合校验","")</f>
        <v/>
      </c>
      <c r="F1579" s="14">
        <f>IF('05_层级表现LOD'!A79&lt;&gt;"",IF('05_层级表现LOD'!A79="","缺少对象ID；","")&amp;IF('05_层级表现LOD'!B79="","缺少对象类别；","")&amp;IF(AND('05_层级表现LOD'!A79&lt;&gt;"",COUNTIF('02_固定地理'!$A$2:$A$501,'05_层级表现LOD'!A79)+COUNTIF('03_地点锚点'!$A$2:$A$501,'05_层级表现LOD'!A79)+COUNTIF('04_路径网络'!$A$2:$A$501,'05_层级表现LOD'!A79)+COUNTIF('06_建筑锚点'!$A$2:$A$501,'05_层级表现LOD'!A79)=0),"LOD引用对象不存在；","")&amp;IF(AND('05_层级表现LOD'!A79&lt;&gt;"",COUNTIF('05_层级表现LOD'!$A$2:$A$501,'05_层级表现LOD'!A79)&gt;1),"ID重复；",""),"")</f>
        <v/>
      </c>
      <c r="G1579" s="14">
        <f>IF(F1579&lt;&gt;"","按字段批注、数据字典和来源记录修正后复核","")</f>
        <v/>
      </c>
      <c r="H1579" s="14">
        <f>IF(F1579&lt;&gt;"","待处理","")</f>
        <v/>
      </c>
    </row>
    <row r="1580">
      <c r="A1580" s="14">
        <f>IF(F1580&lt;&gt;"","ISSUE-"&amp;TEXT(ROW()-1,"00000"),"")</f>
        <v/>
      </c>
      <c r="B1580" s="14">
        <f>IF(F1580&lt;&gt;"","错误","")</f>
        <v/>
      </c>
      <c r="C1580" s="14">
        <f>IF('05_层级表现LOD'!A80&lt;&gt;"","05_层级表现LOD","")</f>
        <v/>
      </c>
      <c r="D1580" s="14">
        <f>IF('05_层级表现LOD'!A80&lt;&gt;"",'05_层级表现LOD'!A80,"")</f>
        <v/>
      </c>
      <c r="E1580" s="14">
        <f>IF(F1580&lt;&gt;"","综合校验","")</f>
        <v/>
      </c>
      <c r="F1580" s="14">
        <f>IF('05_层级表现LOD'!A80&lt;&gt;"",IF('05_层级表现LOD'!A80="","缺少对象ID；","")&amp;IF('05_层级表现LOD'!B80="","缺少对象类别；","")&amp;IF(AND('05_层级表现LOD'!A80&lt;&gt;"",COUNTIF('02_固定地理'!$A$2:$A$501,'05_层级表现LOD'!A80)+COUNTIF('03_地点锚点'!$A$2:$A$501,'05_层级表现LOD'!A80)+COUNTIF('04_路径网络'!$A$2:$A$501,'05_层级表现LOD'!A80)+COUNTIF('06_建筑锚点'!$A$2:$A$501,'05_层级表现LOD'!A80)=0),"LOD引用对象不存在；","")&amp;IF(AND('05_层级表现LOD'!A80&lt;&gt;"",COUNTIF('05_层级表现LOD'!$A$2:$A$501,'05_层级表现LOD'!A80)&gt;1),"ID重复；",""),"")</f>
        <v/>
      </c>
      <c r="G1580" s="14">
        <f>IF(F1580&lt;&gt;"","按字段批注、数据字典和来源记录修正后复核","")</f>
        <v/>
      </c>
      <c r="H1580" s="14">
        <f>IF(F1580&lt;&gt;"","待处理","")</f>
        <v/>
      </c>
    </row>
    <row r="1581">
      <c r="A1581" s="14">
        <f>IF(F1581&lt;&gt;"","ISSUE-"&amp;TEXT(ROW()-1,"00000"),"")</f>
        <v/>
      </c>
      <c r="B1581" s="14">
        <f>IF(F1581&lt;&gt;"","错误","")</f>
        <v/>
      </c>
      <c r="C1581" s="14">
        <f>IF('05_层级表现LOD'!A81&lt;&gt;"","05_层级表现LOD","")</f>
        <v/>
      </c>
      <c r="D1581" s="14">
        <f>IF('05_层级表现LOD'!A81&lt;&gt;"",'05_层级表现LOD'!A81,"")</f>
        <v/>
      </c>
      <c r="E1581" s="14">
        <f>IF(F1581&lt;&gt;"","综合校验","")</f>
        <v/>
      </c>
      <c r="F1581" s="14">
        <f>IF('05_层级表现LOD'!A81&lt;&gt;"",IF('05_层级表现LOD'!A81="","缺少对象ID；","")&amp;IF('05_层级表现LOD'!B81="","缺少对象类别；","")&amp;IF(AND('05_层级表现LOD'!A81&lt;&gt;"",COUNTIF('02_固定地理'!$A$2:$A$501,'05_层级表现LOD'!A81)+COUNTIF('03_地点锚点'!$A$2:$A$501,'05_层级表现LOD'!A81)+COUNTIF('04_路径网络'!$A$2:$A$501,'05_层级表现LOD'!A81)+COUNTIF('06_建筑锚点'!$A$2:$A$501,'05_层级表现LOD'!A81)=0),"LOD引用对象不存在；","")&amp;IF(AND('05_层级表现LOD'!A81&lt;&gt;"",COUNTIF('05_层级表现LOD'!$A$2:$A$501,'05_层级表现LOD'!A81)&gt;1),"ID重复；",""),"")</f>
        <v/>
      </c>
      <c r="G1581" s="14">
        <f>IF(F1581&lt;&gt;"","按字段批注、数据字典和来源记录修正后复核","")</f>
        <v/>
      </c>
      <c r="H1581" s="14">
        <f>IF(F1581&lt;&gt;"","待处理","")</f>
        <v/>
      </c>
    </row>
    <row r="1582">
      <c r="A1582" s="14">
        <f>IF(F1582&lt;&gt;"","ISSUE-"&amp;TEXT(ROW()-1,"00000"),"")</f>
        <v/>
      </c>
      <c r="B1582" s="14">
        <f>IF(F1582&lt;&gt;"","错误","")</f>
        <v/>
      </c>
      <c r="C1582" s="14">
        <f>IF('05_层级表现LOD'!A82&lt;&gt;"","05_层级表现LOD","")</f>
        <v/>
      </c>
      <c r="D1582" s="14">
        <f>IF('05_层级表现LOD'!A82&lt;&gt;"",'05_层级表现LOD'!A82,"")</f>
        <v/>
      </c>
      <c r="E1582" s="14">
        <f>IF(F1582&lt;&gt;"","综合校验","")</f>
        <v/>
      </c>
      <c r="F1582" s="14">
        <f>IF('05_层级表现LOD'!A82&lt;&gt;"",IF('05_层级表现LOD'!A82="","缺少对象ID；","")&amp;IF('05_层级表现LOD'!B82="","缺少对象类别；","")&amp;IF(AND('05_层级表现LOD'!A82&lt;&gt;"",COUNTIF('02_固定地理'!$A$2:$A$501,'05_层级表现LOD'!A82)+COUNTIF('03_地点锚点'!$A$2:$A$501,'05_层级表现LOD'!A82)+COUNTIF('04_路径网络'!$A$2:$A$501,'05_层级表现LOD'!A82)+COUNTIF('06_建筑锚点'!$A$2:$A$501,'05_层级表现LOD'!A82)=0),"LOD引用对象不存在；","")&amp;IF(AND('05_层级表现LOD'!A82&lt;&gt;"",COUNTIF('05_层级表现LOD'!$A$2:$A$501,'05_层级表现LOD'!A82)&gt;1),"ID重复；",""),"")</f>
        <v/>
      </c>
      <c r="G1582" s="14">
        <f>IF(F1582&lt;&gt;"","按字段批注、数据字典和来源记录修正后复核","")</f>
        <v/>
      </c>
      <c r="H1582" s="14">
        <f>IF(F1582&lt;&gt;"","待处理","")</f>
        <v/>
      </c>
    </row>
    <row r="1583">
      <c r="A1583" s="14">
        <f>IF(F1583&lt;&gt;"","ISSUE-"&amp;TEXT(ROW()-1,"00000"),"")</f>
        <v/>
      </c>
      <c r="B1583" s="14">
        <f>IF(F1583&lt;&gt;"","错误","")</f>
        <v/>
      </c>
      <c r="C1583" s="14">
        <f>IF('05_层级表现LOD'!A83&lt;&gt;"","05_层级表现LOD","")</f>
        <v/>
      </c>
      <c r="D1583" s="14">
        <f>IF('05_层级表现LOD'!A83&lt;&gt;"",'05_层级表现LOD'!A83,"")</f>
        <v/>
      </c>
      <c r="E1583" s="14">
        <f>IF(F1583&lt;&gt;"","综合校验","")</f>
        <v/>
      </c>
      <c r="F1583" s="14">
        <f>IF('05_层级表现LOD'!A83&lt;&gt;"",IF('05_层级表现LOD'!A83="","缺少对象ID；","")&amp;IF('05_层级表现LOD'!B83="","缺少对象类别；","")&amp;IF(AND('05_层级表现LOD'!A83&lt;&gt;"",COUNTIF('02_固定地理'!$A$2:$A$501,'05_层级表现LOD'!A83)+COUNTIF('03_地点锚点'!$A$2:$A$501,'05_层级表现LOD'!A83)+COUNTIF('04_路径网络'!$A$2:$A$501,'05_层级表现LOD'!A83)+COUNTIF('06_建筑锚点'!$A$2:$A$501,'05_层级表现LOD'!A83)=0),"LOD引用对象不存在；","")&amp;IF(AND('05_层级表现LOD'!A83&lt;&gt;"",COUNTIF('05_层级表现LOD'!$A$2:$A$501,'05_层级表现LOD'!A83)&gt;1),"ID重复；",""),"")</f>
        <v/>
      </c>
      <c r="G1583" s="14">
        <f>IF(F1583&lt;&gt;"","按字段批注、数据字典和来源记录修正后复核","")</f>
        <v/>
      </c>
      <c r="H1583" s="14">
        <f>IF(F1583&lt;&gt;"","待处理","")</f>
        <v/>
      </c>
    </row>
    <row r="1584">
      <c r="A1584" s="14">
        <f>IF(F1584&lt;&gt;"","ISSUE-"&amp;TEXT(ROW()-1,"00000"),"")</f>
        <v/>
      </c>
      <c r="B1584" s="14">
        <f>IF(F1584&lt;&gt;"","错误","")</f>
        <v/>
      </c>
      <c r="C1584" s="14">
        <f>IF('05_层级表现LOD'!A84&lt;&gt;"","05_层级表现LOD","")</f>
        <v/>
      </c>
      <c r="D1584" s="14">
        <f>IF('05_层级表现LOD'!A84&lt;&gt;"",'05_层级表现LOD'!A84,"")</f>
        <v/>
      </c>
      <c r="E1584" s="14">
        <f>IF(F1584&lt;&gt;"","综合校验","")</f>
        <v/>
      </c>
      <c r="F1584" s="14">
        <f>IF('05_层级表现LOD'!A84&lt;&gt;"",IF('05_层级表现LOD'!A84="","缺少对象ID；","")&amp;IF('05_层级表现LOD'!B84="","缺少对象类别；","")&amp;IF(AND('05_层级表现LOD'!A84&lt;&gt;"",COUNTIF('02_固定地理'!$A$2:$A$501,'05_层级表现LOD'!A84)+COUNTIF('03_地点锚点'!$A$2:$A$501,'05_层级表现LOD'!A84)+COUNTIF('04_路径网络'!$A$2:$A$501,'05_层级表现LOD'!A84)+COUNTIF('06_建筑锚点'!$A$2:$A$501,'05_层级表现LOD'!A84)=0),"LOD引用对象不存在；","")&amp;IF(AND('05_层级表现LOD'!A84&lt;&gt;"",COUNTIF('05_层级表现LOD'!$A$2:$A$501,'05_层级表现LOD'!A84)&gt;1),"ID重复；",""),"")</f>
        <v/>
      </c>
      <c r="G1584" s="14">
        <f>IF(F1584&lt;&gt;"","按字段批注、数据字典和来源记录修正后复核","")</f>
        <v/>
      </c>
      <c r="H1584" s="14">
        <f>IF(F1584&lt;&gt;"","待处理","")</f>
        <v/>
      </c>
    </row>
    <row r="1585">
      <c r="A1585" s="14">
        <f>IF(F1585&lt;&gt;"","ISSUE-"&amp;TEXT(ROW()-1,"00000"),"")</f>
        <v/>
      </c>
      <c r="B1585" s="14">
        <f>IF(F1585&lt;&gt;"","错误","")</f>
        <v/>
      </c>
      <c r="C1585" s="14">
        <f>IF('05_层级表现LOD'!A85&lt;&gt;"","05_层级表现LOD","")</f>
        <v/>
      </c>
      <c r="D1585" s="14">
        <f>IF('05_层级表现LOD'!A85&lt;&gt;"",'05_层级表现LOD'!A85,"")</f>
        <v/>
      </c>
      <c r="E1585" s="14">
        <f>IF(F1585&lt;&gt;"","综合校验","")</f>
        <v/>
      </c>
      <c r="F1585" s="14">
        <f>IF('05_层级表现LOD'!A85&lt;&gt;"",IF('05_层级表现LOD'!A85="","缺少对象ID；","")&amp;IF('05_层级表现LOD'!B85="","缺少对象类别；","")&amp;IF(AND('05_层级表现LOD'!A85&lt;&gt;"",COUNTIF('02_固定地理'!$A$2:$A$501,'05_层级表现LOD'!A85)+COUNTIF('03_地点锚点'!$A$2:$A$501,'05_层级表现LOD'!A85)+COUNTIF('04_路径网络'!$A$2:$A$501,'05_层级表现LOD'!A85)+COUNTIF('06_建筑锚点'!$A$2:$A$501,'05_层级表现LOD'!A85)=0),"LOD引用对象不存在；","")&amp;IF(AND('05_层级表现LOD'!A85&lt;&gt;"",COUNTIF('05_层级表现LOD'!$A$2:$A$501,'05_层级表现LOD'!A85)&gt;1),"ID重复；",""),"")</f>
        <v/>
      </c>
      <c r="G1585" s="14">
        <f>IF(F1585&lt;&gt;"","按字段批注、数据字典和来源记录修正后复核","")</f>
        <v/>
      </c>
      <c r="H1585" s="14">
        <f>IF(F1585&lt;&gt;"","待处理","")</f>
        <v/>
      </c>
    </row>
    <row r="1586">
      <c r="A1586" s="14">
        <f>IF(F1586&lt;&gt;"","ISSUE-"&amp;TEXT(ROW()-1,"00000"),"")</f>
        <v/>
      </c>
      <c r="B1586" s="14">
        <f>IF(F1586&lt;&gt;"","错误","")</f>
        <v/>
      </c>
      <c r="C1586" s="14">
        <f>IF('05_层级表现LOD'!A86&lt;&gt;"","05_层级表现LOD","")</f>
        <v/>
      </c>
      <c r="D1586" s="14">
        <f>IF('05_层级表现LOD'!A86&lt;&gt;"",'05_层级表现LOD'!A86,"")</f>
        <v/>
      </c>
      <c r="E1586" s="14">
        <f>IF(F1586&lt;&gt;"","综合校验","")</f>
        <v/>
      </c>
      <c r="F1586" s="14">
        <f>IF('05_层级表现LOD'!A86&lt;&gt;"",IF('05_层级表现LOD'!A86="","缺少对象ID；","")&amp;IF('05_层级表现LOD'!B86="","缺少对象类别；","")&amp;IF(AND('05_层级表现LOD'!A86&lt;&gt;"",COUNTIF('02_固定地理'!$A$2:$A$501,'05_层级表现LOD'!A86)+COUNTIF('03_地点锚点'!$A$2:$A$501,'05_层级表现LOD'!A86)+COUNTIF('04_路径网络'!$A$2:$A$501,'05_层级表现LOD'!A86)+COUNTIF('06_建筑锚点'!$A$2:$A$501,'05_层级表现LOD'!A86)=0),"LOD引用对象不存在；","")&amp;IF(AND('05_层级表现LOD'!A86&lt;&gt;"",COUNTIF('05_层级表现LOD'!$A$2:$A$501,'05_层级表现LOD'!A86)&gt;1),"ID重复；",""),"")</f>
        <v/>
      </c>
      <c r="G1586" s="14">
        <f>IF(F1586&lt;&gt;"","按字段批注、数据字典和来源记录修正后复核","")</f>
        <v/>
      </c>
      <c r="H1586" s="14">
        <f>IF(F1586&lt;&gt;"","待处理","")</f>
        <v/>
      </c>
    </row>
    <row r="1587">
      <c r="A1587" s="14">
        <f>IF(F1587&lt;&gt;"","ISSUE-"&amp;TEXT(ROW()-1,"00000"),"")</f>
        <v/>
      </c>
      <c r="B1587" s="14">
        <f>IF(F1587&lt;&gt;"","错误","")</f>
        <v/>
      </c>
      <c r="C1587" s="14">
        <f>IF('05_层级表现LOD'!A87&lt;&gt;"","05_层级表现LOD","")</f>
        <v/>
      </c>
      <c r="D1587" s="14">
        <f>IF('05_层级表现LOD'!A87&lt;&gt;"",'05_层级表现LOD'!A87,"")</f>
        <v/>
      </c>
      <c r="E1587" s="14">
        <f>IF(F1587&lt;&gt;"","综合校验","")</f>
        <v/>
      </c>
      <c r="F1587" s="14">
        <f>IF('05_层级表现LOD'!A87&lt;&gt;"",IF('05_层级表现LOD'!A87="","缺少对象ID；","")&amp;IF('05_层级表现LOD'!B87="","缺少对象类别；","")&amp;IF(AND('05_层级表现LOD'!A87&lt;&gt;"",COUNTIF('02_固定地理'!$A$2:$A$501,'05_层级表现LOD'!A87)+COUNTIF('03_地点锚点'!$A$2:$A$501,'05_层级表现LOD'!A87)+COUNTIF('04_路径网络'!$A$2:$A$501,'05_层级表现LOD'!A87)+COUNTIF('06_建筑锚点'!$A$2:$A$501,'05_层级表现LOD'!A87)=0),"LOD引用对象不存在；","")&amp;IF(AND('05_层级表现LOD'!A87&lt;&gt;"",COUNTIF('05_层级表现LOD'!$A$2:$A$501,'05_层级表现LOD'!A87)&gt;1),"ID重复；",""),"")</f>
        <v/>
      </c>
      <c r="G1587" s="14">
        <f>IF(F1587&lt;&gt;"","按字段批注、数据字典和来源记录修正后复核","")</f>
        <v/>
      </c>
      <c r="H1587" s="14">
        <f>IF(F1587&lt;&gt;"","待处理","")</f>
        <v/>
      </c>
    </row>
    <row r="1588">
      <c r="A1588" s="14">
        <f>IF(F1588&lt;&gt;"","ISSUE-"&amp;TEXT(ROW()-1,"00000"),"")</f>
        <v/>
      </c>
      <c r="B1588" s="14">
        <f>IF(F1588&lt;&gt;"","错误","")</f>
        <v/>
      </c>
      <c r="C1588" s="14">
        <f>IF('05_层级表现LOD'!A88&lt;&gt;"","05_层级表现LOD","")</f>
        <v/>
      </c>
      <c r="D1588" s="14">
        <f>IF('05_层级表现LOD'!A88&lt;&gt;"",'05_层级表现LOD'!A88,"")</f>
        <v/>
      </c>
      <c r="E1588" s="14">
        <f>IF(F1588&lt;&gt;"","综合校验","")</f>
        <v/>
      </c>
      <c r="F1588" s="14">
        <f>IF('05_层级表现LOD'!A88&lt;&gt;"",IF('05_层级表现LOD'!A88="","缺少对象ID；","")&amp;IF('05_层级表现LOD'!B88="","缺少对象类别；","")&amp;IF(AND('05_层级表现LOD'!A88&lt;&gt;"",COUNTIF('02_固定地理'!$A$2:$A$501,'05_层级表现LOD'!A88)+COUNTIF('03_地点锚点'!$A$2:$A$501,'05_层级表现LOD'!A88)+COUNTIF('04_路径网络'!$A$2:$A$501,'05_层级表现LOD'!A88)+COUNTIF('06_建筑锚点'!$A$2:$A$501,'05_层级表现LOD'!A88)=0),"LOD引用对象不存在；","")&amp;IF(AND('05_层级表现LOD'!A88&lt;&gt;"",COUNTIF('05_层级表现LOD'!$A$2:$A$501,'05_层级表现LOD'!A88)&gt;1),"ID重复；",""),"")</f>
        <v/>
      </c>
      <c r="G1588" s="14">
        <f>IF(F1588&lt;&gt;"","按字段批注、数据字典和来源记录修正后复核","")</f>
        <v/>
      </c>
      <c r="H1588" s="14">
        <f>IF(F1588&lt;&gt;"","待处理","")</f>
        <v/>
      </c>
    </row>
    <row r="1589">
      <c r="A1589" s="14">
        <f>IF(F1589&lt;&gt;"","ISSUE-"&amp;TEXT(ROW()-1,"00000"),"")</f>
        <v/>
      </c>
      <c r="B1589" s="14">
        <f>IF(F1589&lt;&gt;"","错误","")</f>
        <v/>
      </c>
      <c r="C1589" s="14">
        <f>IF('05_层级表现LOD'!A89&lt;&gt;"","05_层级表现LOD","")</f>
        <v/>
      </c>
      <c r="D1589" s="14">
        <f>IF('05_层级表现LOD'!A89&lt;&gt;"",'05_层级表现LOD'!A89,"")</f>
        <v/>
      </c>
      <c r="E1589" s="14">
        <f>IF(F1589&lt;&gt;"","综合校验","")</f>
        <v/>
      </c>
      <c r="F1589" s="14">
        <f>IF('05_层级表现LOD'!A89&lt;&gt;"",IF('05_层级表现LOD'!A89="","缺少对象ID；","")&amp;IF('05_层级表现LOD'!B89="","缺少对象类别；","")&amp;IF(AND('05_层级表现LOD'!A89&lt;&gt;"",COUNTIF('02_固定地理'!$A$2:$A$501,'05_层级表现LOD'!A89)+COUNTIF('03_地点锚点'!$A$2:$A$501,'05_层级表现LOD'!A89)+COUNTIF('04_路径网络'!$A$2:$A$501,'05_层级表现LOD'!A89)+COUNTIF('06_建筑锚点'!$A$2:$A$501,'05_层级表现LOD'!A89)=0),"LOD引用对象不存在；","")&amp;IF(AND('05_层级表现LOD'!A89&lt;&gt;"",COUNTIF('05_层级表现LOD'!$A$2:$A$501,'05_层级表现LOD'!A89)&gt;1),"ID重复；",""),"")</f>
        <v/>
      </c>
      <c r="G1589" s="14">
        <f>IF(F1589&lt;&gt;"","按字段批注、数据字典和来源记录修正后复核","")</f>
        <v/>
      </c>
      <c r="H1589" s="14">
        <f>IF(F1589&lt;&gt;"","待处理","")</f>
        <v/>
      </c>
    </row>
    <row r="1590">
      <c r="A1590" s="14">
        <f>IF(F1590&lt;&gt;"","ISSUE-"&amp;TEXT(ROW()-1,"00000"),"")</f>
        <v/>
      </c>
      <c r="B1590" s="14">
        <f>IF(F1590&lt;&gt;"","错误","")</f>
        <v/>
      </c>
      <c r="C1590" s="14">
        <f>IF('05_层级表现LOD'!A90&lt;&gt;"","05_层级表现LOD","")</f>
        <v/>
      </c>
      <c r="D1590" s="14">
        <f>IF('05_层级表现LOD'!A90&lt;&gt;"",'05_层级表现LOD'!A90,"")</f>
        <v/>
      </c>
      <c r="E1590" s="14">
        <f>IF(F1590&lt;&gt;"","综合校验","")</f>
        <v/>
      </c>
      <c r="F1590" s="14">
        <f>IF('05_层级表现LOD'!A90&lt;&gt;"",IF('05_层级表现LOD'!A90="","缺少对象ID；","")&amp;IF('05_层级表现LOD'!B90="","缺少对象类别；","")&amp;IF(AND('05_层级表现LOD'!A90&lt;&gt;"",COUNTIF('02_固定地理'!$A$2:$A$501,'05_层级表现LOD'!A90)+COUNTIF('03_地点锚点'!$A$2:$A$501,'05_层级表现LOD'!A90)+COUNTIF('04_路径网络'!$A$2:$A$501,'05_层级表现LOD'!A90)+COUNTIF('06_建筑锚点'!$A$2:$A$501,'05_层级表现LOD'!A90)=0),"LOD引用对象不存在；","")&amp;IF(AND('05_层级表现LOD'!A90&lt;&gt;"",COUNTIF('05_层级表现LOD'!$A$2:$A$501,'05_层级表现LOD'!A90)&gt;1),"ID重复；",""),"")</f>
        <v/>
      </c>
      <c r="G1590" s="14">
        <f>IF(F1590&lt;&gt;"","按字段批注、数据字典和来源记录修正后复核","")</f>
        <v/>
      </c>
      <c r="H1590" s="14">
        <f>IF(F1590&lt;&gt;"","待处理","")</f>
        <v/>
      </c>
    </row>
    <row r="1591">
      <c r="A1591" s="14">
        <f>IF(F1591&lt;&gt;"","ISSUE-"&amp;TEXT(ROW()-1,"00000"),"")</f>
        <v/>
      </c>
      <c r="B1591" s="14">
        <f>IF(F1591&lt;&gt;"","错误","")</f>
        <v/>
      </c>
      <c r="C1591" s="14">
        <f>IF('05_层级表现LOD'!A91&lt;&gt;"","05_层级表现LOD","")</f>
        <v/>
      </c>
      <c r="D1591" s="14">
        <f>IF('05_层级表现LOD'!A91&lt;&gt;"",'05_层级表现LOD'!A91,"")</f>
        <v/>
      </c>
      <c r="E1591" s="14">
        <f>IF(F1591&lt;&gt;"","综合校验","")</f>
        <v/>
      </c>
      <c r="F1591" s="14">
        <f>IF('05_层级表现LOD'!A91&lt;&gt;"",IF('05_层级表现LOD'!A91="","缺少对象ID；","")&amp;IF('05_层级表现LOD'!B91="","缺少对象类别；","")&amp;IF(AND('05_层级表现LOD'!A91&lt;&gt;"",COUNTIF('02_固定地理'!$A$2:$A$501,'05_层级表现LOD'!A91)+COUNTIF('03_地点锚点'!$A$2:$A$501,'05_层级表现LOD'!A91)+COUNTIF('04_路径网络'!$A$2:$A$501,'05_层级表现LOD'!A91)+COUNTIF('06_建筑锚点'!$A$2:$A$501,'05_层级表现LOD'!A91)=0),"LOD引用对象不存在；","")&amp;IF(AND('05_层级表现LOD'!A91&lt;&gt;"",COUNTIF('05_层级表现LOD'!$A$2:$A$501,'05_层级表现LOD'!A91)&gt;1),"ID重复；",""),"")</f>
        <v/>
      </c>
      <c r="G1591" s="14">
        <f>IF(F1591&lt;&gt;"","按字段批注、数据字典和来源记录修正后复核","")</f>
        <v/>
      </c>
      <c r="H1591" s="14">
        <f>IF(F1591&lt;&gt;"","待处理","")</f>
        <v/>
      </c>
    </row>
    <row r="1592">
      <c r="A1592" s="14">
        <f>IF(F1592&lt;&gt;"","ISSUE-"&amp;TEXT(ROW()-1,"00000"),"")</f>
        <v/>
      </c>
      <c r="B1592" s="14">
        <f>IF(F1592&lt;&gt;"","错误","")</f>
        <v/>
      </c>
      <c r="C1592" s="14">
        <f>IF('05_层级表现LOD'!A92&lt;&gt;"","05_层级表现LOD","")</f>
        <v/>
      </c>
      <c r="D1592" s="14">
        <f>IF('05_层级表现LOD'!A92&lt;&gt;"",'05_层级表现LOD'!A92,"")</f>
        <v/>
      </c>
      <c r="E1592" s="14">
        <f>IF(F1592&lt;&gt;"","综合校验","")</f>
        <v/>
      </c>
      <c r="F1592" s="14">
        <f>IF('05_层级表现LOD'!A92&lt;&gt;"",IF('05_层级表现LOD'!A92="","缺少对象ID；","")&amp;IF('05_层级表现LOD'!B92="","缺少对象类别；","")&amp;IF(AND('05_层级表现LOD'!A92&lt;&gt;"",COUNTIF('02_固定地理'!$A$2:$A$501,'05_层级表现LOD'!A92)+COUNTIF('03_地点锚点'!$A$2:$A$501,'05_层级表现LOD'!A92)+COUNTIF('04_路径网络'!$A$2:$A$501,'05_层级表现LOD'!A92)+COUNTIF('06_建筑锚点'!$A$2:$A$501,'05_层级表现LOD'!A92)=0),"LOD引用对象不存在；","")&amp;IF(AND('05_层级表现LOD'!A92&lt;&gt;"",COUNTIF('05_层级表现LOD'!$A$2:$A$501,'05_层级表现LOD'!A92)&gt;1),"ID重复；",""),"")</f>
        <v/>
      </c>
      <c r="G1592" s="14">
        <f>IF(F1592&lt;&gt;"","按字段批注、数据字典和来源记录修正后复核","")</f>
        <v/>
      </c>
      <c r="H1592" s="14">
        <f>IF(F1592&lt;&gt;"","待处理","")</f>
        <v/>
      </c>
    </row>
    <row r="1593">
      <c r="A1593" s="14">
        <f>IF(F1593&lt;&gt;"","ISSUE-"&amp;TEXT(ROW()-1,"00000"),"")</f>
        <v/>
      </c>
      <c r="B1593" s="14">
        <f>IF(F1593&lt;&gt;"","错误","")</f>
        <v/>
      </c>
      <c r="C1593" s="14">
        <f>IF('05_层级表现LOD'!A93&lt;&gt;"","05_层级表现LOD","")</f>
        <v/>
      </c>
      <c r="D1593" s="14">
        <f>IF('05_层级表现LOD'!A93&lt;&gt;"",'05_层级表现LOD'!A93,"")</f>
        <v/>
      </c>
      <c r="E1593" s="14">
        <f>IF(F1593&lt;&gt;"","综合校验","")</f>
        <v/>
      </c>
      <c r="F1593" s="14">
        <f>IF('05_层级表现LOD'!A93&lt;&gt;"",IF('05_层级表现LOD'!A93="","缺少对象ID；","")&amp;IF('05_层级表现LOD'!B93="","缺少对象类别；","")&amp;IF(AND('05_层级表现LOD'!A93&lt;&gt;"",COUNTIF('02_固定地理'!$A$2:$A$501,'05_层级表现LOD'!A93)+COUNTIF('03_地点锚点'!$A$2:$A$501,'05_层级表现LOD'!A93)+COUNTIF('04_路径网络'!$A$2:$A$501,'05_层级表现LOD'!A93)+COUNTIF('06_建筑锚点'!$A$2:$A$501,'05_层级表现LOD'!A93)=0),"LOD引用对象不存在；","")&amp;IF(AND('05_层级表现LOD'!A93&lt;&gt;"",COUNTIF('05_层级表现LOD'!$A$2:$A$501,'05_层级表现LOD'!A93)&gt;1),"ID重复；",""),"")</f>
        <v/>
      </c>
      <c r="G1593" s="14">
        <f>IF(F1593&lt;&gt;"","按字段批注、数据字典和来源记录修正后复核","")</f>
        <v/>
      </c>
      <c r="H1593" s="14">
        <f>IF(F1593&lt;&gt;"","待处理","")</f>
        <v/>
      </c>
    </row>
    <row r="1594">
      <c r="A1594" s="14">
        <f>IF(F1594&lt;&gt;"","ISSUE-"&amp;TEXT(ROW()-1,"00000"),"")</f>
        <v/>
      </c>
      <c r="B1594" s="14">
        <f>IF(F1594&lt;&gt;"","错误","")</f>
        <v/>
      </c>
      <c r="C1594" s="14">
        <f>IF('05_层级表现LOD'!A94&lt;&gt;"","05_层级表现LOD","")</f>
        <v/>
      </c>
      <c r="D1594" s="14">
        <f>IF('05_层级表现LOD'!A94&lt;&gt;"",'05_层级表现LOD'!A94,"")</f>
        <v/>
      </c>
      <c r="E1594" s="14">
        <f>IF(F1594&lt;&gt;"","综合校验","")</f>
        <v/>
      </c>
      <c r="F1594" s="14">
        <f>IF('05_层级表现LOD'!A94&lt;&gt;"",IF('05_层级表现LOD'!A94="","缺少对象ID；","")&amp;IF('05_层级表现LOD'!B94="","缺少对象类别；","")&amp;IF(AND('05_层级表现LOD'!A94&lt;&gt;"",COUNTIF('02_固定地理'!$A$2:$A$501,'05_层级表现LOD'!A94)+COUNTIF('03_地点锚点'!$A$2:$A$501,'05_层级表现LOD'!A94)+COUNTIF('04_路径网络'!$A$2:$A$501,'05_层级表现LOD'!A94)+COUNTIF('06_建筑锚点'!$A$2:$A$501,'05_层级表现LOD'!A94)=0),"LOD引用对象不存在；","")&amp;IF(AND('05_层级表现LOD'!A94&lt;&gt;"",COUNTIF('05_层级表现LOD'!$A$2:$A$501,'05_层级表现LOD'!A94)&gt;1),"ID重复；",""),"")</f>
        <v/>
      </c>
      <c r="G1594" s="14">
        <f>IF(F1594&lt;&gt;"","按字段批注、数据字典和来源记录修正后复核","")</f>
        <v/>
      </c>
      <c r="H1594" s="14">
        <f>IF(F1594&lt;&gt;"","待处理","")</f>
        <v/>
      </c>
    </row>
    <row r="1595">
      <c r="A1595" s="14">
        <f>IF(F1595&lt;&gt;"","ISSUE-"&amp;TEXT(ROW()-1,"00000"),"")</f>
        <v/>
      </c>
      <c r="B1595" s="14">
        <f>IF(F1595&lt;&gt;"","错误","")</f>
        <v/>
      </c>
      <c r="C1595" s="14">
        <f>IF('05_层级表现LOD'!A95&lt;&gt;"","05_层级表现LOD","")</f>
        <v/>
      </c>
      <c r="D1595" s="14">
        <f>IF('05_层级表现LOD'!A95&lt;&gt;"",'05_层级表现LOD'!A95,"")</f>
        <v/>
      </c>
      <c r="E1595" s="14">
        <f>IF(F1595&lt;&gt;"","综合校验","")</f>
        <v/>
      </c>
      <c r="F1595" s="14">
        <f>IF('05_层级表现LOD'!A95&lt;&gt;"",IF('05_层级表现LOD'!A95="","缺少对象ID；","")&amp;IF('05_层级表现LOD'!B95="","缺少对象类别；","")&amp;IF(AND('05_层级表现LOD'!A95&lt;&gt;"",COUNTIF('02_固定地理'!$A$2:$A$501,'05_层级表现LOD'!A95)+COUNTIF('03_地点锚点'!$A$2:$A$501,'05_层级表现LOD'!A95)+COUNTIF('04_路径网络'!$A$2:$A$501,'05_层级表现LOD'!A95)+COUNTIF('06_建筑锚点'!$A$2:$A$501,'05_层级表现LOD'!A95)=0),"LOD引用对象不存在；","")&amp;IF(AND('05_层级表现LOD'!A95&lt;&gt;"",COUNTIF('05_层级表现LOD'!$A$2:$A$501,'05_层级表现LOD'!A95)&gt;1),"ID重复；",""),"")</f>
        <v/>
      </c>
      <c r="G1595" s="14">
        <f>IF(F1595&lt;&gt;"","按字段批注、数据字典和来源记录修正后复核","")</f>
        <v/>
      </c>
      <c r="H1595" s="14">
        <f>IF(F1595&lt;&gt;"","待处理","")</f>
        <v/>
      </c>
    </row>
    <row r="1596">
      <c r="A1596" s="14">
        <f>IF(F1596&lt;&gt;"","ISSUE-"&amp;TEXT(ROW()-1,"00000"),"")</f>
        <v/>
      </c>
      <c r="B1596" s="14">
        <f>IF(F1596&lt;&gt;"","错误","")</f>
        <v/>
      </c>
      <c r="C1596" s="14">
        <f>IF('05_层级表现LOD'!A96&lt;&gt;"","05_层级表现LOD","")</f>
        <v/>
      </c>
      <c r="D1596" s="14">
        <f>IF('05_层级表现LOD'!A96&lt;&gt;"",'05_层级表现LOD'!A96,"")</f>
        <v/>
      </c>
      <c r="E1596" s="14">
        <f>IF(F1596&lt;&gt;"","综合校验","")</f>
        <v/>
      </c>
      <c r="F1596" s="14">
        <f>IF('05_层级表现LOD'!A96&lt;&gt;"",IF('05_层级表现LOD'!A96="","缺少对象ID；","")&amp;IF('05_层级表现LOD'!B96="","缺少对象类别；","")&amp;IF(AND('05_层级表现LOD'!A96&lt;&gt;"",COUNTIF('02_固定地理'!$A$2:$A$501,'05_层级表现LOD'!A96)+COUNTIF('03_地点锚点'!$A$2:$A$501,'05_层级表现LOD'!A96)+COUNTIF('04_路径网络'!$A$2:$A$501,'05_层级表现LOD'!A96)+COUNTIF('06_建筑锚点'!$A$2:$A$501,'05_层级表现LOD'!A96)=0),"LOD引用对象不存在；","")&amp;IF(AND('05_层级表现LOD'!A96&lt;&gt;"",COUNTIF('05_层级表现LOD'!$A$2:$A$501,'05_层级表现LOD'!A96)&gt;1),"ID重复；",""),"")</f>
        <v/>
      </c>
      <c r="G1596" s="14">
        <f>IF(F1596&lt;&gt;"","按字段批注、数据字典和来源记录修正后复核","")</f>
        <v/>
      </c>
      <c r="H1596" s="14">
        <f>IF(F1596&lt;&gt;"","待处理","")</f>
        <v/>
      </c>
    </row>
    <row r="1597">
      <c r="A1597" s="14">
        <f>IF(F1597&lt;&gt;"","ISSUE-"&amp;TEXT(ROW()-1,"00000"),"")</f>
        <v/>
      </c>
      <c r="B1597" s="14">
        <f>IF(F1597&lt;&gt;"","错误","")</f>
        <v/>
      </c>
      <c r="C1597" s="14">
        <f>IF('05_层级表现LOD'!A97&lt;&gt;"","05_层级表现LOD","")</f>
        <v/>
      </c>
      <c r="D1597" s="14">
        <f>IF('05_层级表现LOD'!A97&lt;&gt;"",'05_层级表现LOD'!A97,"")</f>
        <v/>
      </c>
      <c r="E1597" s="14">
        <f>IF(F1597&lt;&gt;"","综合校验","")</f>
        <v/>
      </c>
      <c r="F1597" s="14">
        <f>IF('05_层级表现LOD'!A97&lt;&gt;"",IF('05_层级表现LOD'!A97="","缺少对象ID；","")&amp;IF('05_层级表现LOD'!B97="","缺少对象类别；","")&amp;IF(AND('05_层级表现LOD'!A97&lt;&gt;"",COUNTIF('02_固定地理'!$A$2:$A$501,'05_层级表现LOD'!A97)+COUNTIF('03_地点锚点'!$A$2:$A$501,'05_层级表现LOD'!A97)+COUNTIF('04_路径网络'!$A$2:$A$501,'05_层级表现LOD'!A97)+COUNTIF('06_建筑锚点'!$A$2:$A$501,'05_层级表现LOD'!A97)=0),"LOD引用对象不存在；","")&amp;IF(AND('05_层级表现LOD'!A97&lt;&gt;"",COUNTIF('05_层级表现LOD'!$A$2:$A$501,'05_层级表现LOD'!A97)&gt;1),"ID重复；",""),"")</f>
        <v/>
      </c>
      <c r="G1597" s="14">
        <f>IF(F1597&lt;&gt;"","按字段批注、数据字典和来源记录修正后复核","")</f>
        <v/>
      </c>
      <c r="H1597" s="14">
        <f>IF(F1597&lt;&gt;"","待处理","")</f>
        <v/>
      </c>
    </row>
    <row r="1598">
      <c r="A1598" s="14">
        <f>IF(F1598&lt;&gt;"","ISSUE-"&amp;TEXT(ROW()-1,"00000"),"")</f>
        <v/>
      </c>
      <c r="B1598" s="14">
        <f>IF(F1598&lt;&gt;"","错误","")</f>
        <v/>
      </c>
      <c r="C1598" s="14">
        <f>IF('05_层级表现LOD'!A98&lt;&gt;"","05_层级表现LOD","")</f>
        <v/>
      </c>
      <c r="D1598" s="14">
        <f>IF('05_层级表现LOD'!A98&lt;&gt;"",'05_层级表现LOD'!A98,"")</f>
        <v/>
      </c>
      <c r="E1598" s="14">
        <f>IF(F1598&lt;&gt;"","综合校验","")</f>
        <v/>
      </c>
      <c r="F1598" s="14">
        <f>IF('05_层级表现LOD'!A98&lt;&gt;"",IF('05_层级表现LOD'!A98="","缺少对象ID；","")&amp;IF('05_层级表现LOD'!B98="","缺少对象类别；","")&amp;IF(AND('05_层级表现LOD'!A98&lt;&gt;"",COUNTIF('02_固定地理'!$A$2:$A$501,'05_层级表现LOD'!A98)+COUNTIF('03_地点锚点'!$A$2:$A$501,'05_层级表现LOD'!A98)+COUNTIF('04_路径网络'!$A$2:$A$501,'05_层级表现LOD'!A98)+COUNTIF('06_建筑锚点'!$A$2:$A$501,'05_层级表现LOD'!A98)=0),"LOD引用对象不存在；","")&amp;IF(AND('05_层级表现LOD'!A98&lt;&gt;"",COUNTIF('05_层级表现LOD'!$A$2:$A$501,'05_层级表现LOD'!A98)&gt;1),"ID重复；",""),"")</f>
        <v/>
      </c>
      <c r="G1598" s="14">
        <f>IF(F1598&lt;&gt;"","按字段批注、数据字典和来源记录修正后复核","")</f>
        <v/>
      </c>
      <c r="H1598" s="14">
        <f>IF(F1598&lt;&gt;"","待处理","")</f>
        <v/>
      </c>
    </row>
    <row r="1599">
      <c r="A1599" s="14">
        <f>IF(F1599&lt;&gt;"","ISSUE-"&amp;TEXT(ROW()-1,"00000"),"")</f>
        <v/>
      </c>
      <c r="B1599" s="14">
        <f>IF(F1599&lt;&gt;"","错误","")</f>
        <v/>
      </c>
      <c r="C1599" s="14">
        <f>IF('05_层级表现LOD'!A99&lt;&gt;"","05_层级表现LOD","")</f>
        <v/>
      </c>
      <c r="D1599" s="14">
        <f>IF('05_层级表现LOD'!A99&lt;&gt;"",'05_层级表现LOD'!A99,"")</f>
        <v/>
      </c>
      <c r="E1599" s="14">
        <f>IF(F1599&lt;&gt;"","综合校验","")</f>
        <v/>
      </c>
      <c r="F1599" s="14">
        <f>IF('05_层级表现LOD'!A99&lt;&gt;"",IF('05_层级表现LOD'!A99="","缺少对象ID；","")&amp;IF('05_层级表现LOD'!B99="","缺少对象类别；","")&amp;IF(AND('05_层级表现LOD'!A99&lt;&gt;"",COUNTIF('02_固定地理'!$A$2:$A$501,'05_层级表现LOD'!A99)+COUNTIF('03_地点锚点'!$A$2:$A$501,'05_层级表现LOD'!A99)+COUNTIF('04_路径网络'!$A$2:$A$501,'05_层级表现LOD'!A99)+COUNTIF('06_建筑锚点'!$A$2:$A$501,'05_层级表现LOD'!A99)=0),"LOD引用对象不存在；","")&amp;IF(AND('05_层级表现LOD'!A99&lt;&gt;"",COUNTIF('05_层级表现LOD'!$A$2:$A$501,'05_层级表现LOD'!A99)&gt;1),"ID重复；",""),"")</f>
        <v/>
      </c>
      <c r="G1599" s="14">
        <f>IF(F1599&lt;&gt;"","按字段批注、数据字典和来源记录修正后复核","")</f>
        <v/>
      </c>
      <c r="H1599" s="14">
        <f>IF(F1599&lt;&gt;"","待处理","")</f>
        <v/>
      </c>
    </row>
    <row r="1600">
      <c r="A1600" s="14">
        <f>IF(F1600&lt;&gt;"","ISSUE-"&amp;TEXT(ROW()-1,"00000"),"")</f>
        <v/>
      </c>
      <c r="B1600" s="14">
        <f>IF(F1600&lt;&gt;"","错误","")</f>
        <v/>
      </c>
      <c r="C1600" s="14">
        <f>IF('05_层级表现LOD'!A100&lt;&gt;"","05_层级表现LOD","")</f>
        <v/>
      </c>
      <c r="D1600" s="14">
        <f>IF('05_层级表现LOD'!A100&lt;&gt;"",'05_层级表现LOD'!A100,"")</f>
        <v/>
      </c>
      <c r="E1600" s="14">
        <f>IF(F1600&lt;&gt;"","综合校验","")</f>
        <v/>
      </c>
      <c r="F1600" s="14">
        <f>IF('05_层级表现LOD'!A100&lt;&gt;"",IF('05_层级表现LOD'!A100="","缺少对象ID；","")&amp;IF('05_层级表现LOD'!B100="","缺少对象类别；","")&amp;IF(AND('05_层级表现LOD'!A100&lt;&gt;"",COUNTIF('02_固定地理'!$A$2:$A$501,'05_层级表现LOD'!A100)+COUNTIF('03_地点锚点'!$A$2:$A$501,'05_层级表现LOD'!A100)+COUNTIF('04_路径网络'!$A$2:$A$501,'05_层级表现LOD'!A100)+COUNTIF('06_建筑锚点'!$A$2:$A$501,'05_层级表现LOD'!A100)=0),"LOD引用对象不存在；","")&amp;IF(AND('05_层级表现LOD'!A100&lt;&gt;"",COUNTIF('05_层级表现LOD'!$A$2:$A$501,'05_层级表现LOD'!A100)&gt;1),"ID重复；",""),"")</f>
        <v/>
      </c>
      <c r="G1600" s="14">
        <f>IF(F1600&lt;&gt;"","按字段批注、数据字典和来源记录修正后复核","")</f>
        <v/>
      </c>
      <c r="H1600" s="14">
        <f>IF(F1600&lt;&gt;"","待处理","")</f>
        <v/>
      </c>
    </row>
    <row r="1601">
      <c r="A1601" s="14">
        <f>IF(F1601&lt;&gt;"","ISSUE-"&amp;TEXT(ROW()-1,"00000"),"")</f>
        <v/>
      </c>
      <c r="B1601" s="14">
        <f>IF(F1601&lt;&gt;"","错误","")</f>
        <v/>
      </c>
      <c r="C1601" s="14">
        <f>IF('05_层级表现LOD'!A101&lt;&gt;"","05_层级表现LOD","")</f>
        <v/>
      </c>
      <c r="D1601" s="14">
        <f>IF('05_层级表现LOD'!A101&lt;&gt;"",'05_层级表现LOD'!A101,"")</f>
        <v/>
      </c>
      <c r="E1601" s="14">
        <f>IF(F1601&lt;&gt;"","综合校验","")</f>
        <v/>
      </c>
      <c r="F1601" s="14">
        <f>IF('05_层级表现LOD'!A101&lt;&gt;"",IF('05_层级表现LOD'!A101="","缺少对象ID；","")&amp;IF('05_层级表现LOD'!B101="","缺少对象类别；","")&amp;IF(AND('05_层级表现LOD'!A101&lt;&gt;"",COUNTIF('02_固定地理'!$A$2:$A$501,'05_层级表现LOD'!A101)+COUNTIF('03_地点锚点'!$A$2:$A$501,'05_层级表现LOD'!A101)+COUNTIF('04_路径网络'!$A$2:$A$501,'05_层级表现LOD'!A101)+COUNTIF('06_建筑锚点'!$A$2:$A$501,'05_层级表现LOD'!A101)=0),"LOD引用对象不存在；","")&amp;IF(AND('05_层级表现LOD'!A101&lt;&gt;"",COUNTIF('05_层级表现LOD'!$A$2:$A$501,'05_层级表现LOD'!A101)&gt;1),"ID重复；",""),"")</f>
        <v/>
      </c>
      <c r="G1601" s="14">
        <f>IF(F1601&lt;&gt;"","按字段批注、数据字典和来源记录修正后复核","")</f>
        <v/>
      </c>
      <c r="H1601" s="14">
        <f>IF(F1601&lt;&gt;"","待处理","")</f>
        <v/>
      </c>
    </row>
    <row r="1602">
      <c r="A1602" s="14">
        <f>IF(F1602&lt;&gt;"","ISSUE-"&amp;TEXT(ROW()-1,"00000"),"")</f>
        <v/>
      </c>
      <c r="B1602" s="14">
        <f>IF(F1602&lt;&gt;"","错误","")</f>
        <v/>
      </c>
      <c r="C1602" s="14">
        <f>IF('05_层级表现LOD'!A102&lt;&gt;"","05_层级表现LOD","")</f>
        <v/>
      </c>
      <c r="D1602" s="14">
        <f>IF('05_层级表现LOD'!A102&lt;&gt;"",'05_层级表现LOD'!A102,"")</f>
        <v/>
      </c>
      <c r="E1602" s="14">
        <f>IF(F1602&lt;&gt;"","综合校验","")</f>
        <v/>
      </c>
      <c r="F1602" s="14">
        <f>IF('05_层级表现LOD'!A102&lt;&gt;"",IF('05_层级表现LOD'!A102="","缺少对象ID；","")&amp;IF('05_层级表现LOD'!B102="","缺少对象类别；","")&amp;IF(AND('05_层级表现LOD'!A102&lt;&gt;"",COUNTIF('02_固定地理'!$A$2:$A$501,'05_层级表现LOD'!A102)+COUNTIF('03_地点锚点'!$A$2:$A$501,'05_层级表现LOD'!A102)+COUNTIF('04_路径网络'!$A$2:$A$501,'05_层级表现LOD'!A102)+COUNTIF('06_建筑锚点'!$A$2:$A$501,'05_层级表现LOD'!A102)=0),"LOD引用对象不存在；","")&amp;IF(AND('05_层级表现LOD'!A102&lt;&gt;"",COUNTIF('05_层级表现LOD'!$A$2:$A$501,'05_层级表现LOD'!A102)&gt;1),"ID重复；",""),"")</f>
        <v/>
      </c>
      <c r="G1602" s="14">
        <f>IF(F1602&lt;&gt;"","按字段批注、数据字典和来源记录修正后复核","")</f>
        <v/>
      </c>
      <c r="H1602" s="14">
        <f>IF(F1602&lt;&gt;"","待处理","")</f>
        <v/>
      </c>
    </row>
    <row r="1603">
      <c r="A1603" s="14">
        <f>IF(F1603&lt;&gt;"","ISSUE-"&amp;TEXT(ROW()-1,"00000"),"")</f>
        <v/>
      </c>
      <c r="B1603" s="14">
        <f>IF(F1603&lt;&gt;"","错误","")</f>
        <v/>
      </c>
      <c r="C1603" s="14">
        <f>IF('05_层级表现LOD'!A103&lt;&gt;"","05_层级表现LOD","")</f>
        <v/>
      </c>
      <c r="D1603" s="14">
        <f>IF('05_层级表现LOD'!A103&lt;&gt;"",'05_层级表现LOD'!A103,"")</f>
        <v/>
      </c>
      <c r="E1603" s="14">
        <f>IF(F1603&lt;&gt;"","综合校验","")</f>
        <v/>
      </c>
      <c r="F1603" s="14">
        <f>IF('05_层级表现LOD'!A103&lt;&gt;"",IF('05_层级表现LOD'!A103="","缺少对象ID；","")&amp;IF('05_层级表现LOD'!B103="","缺少对象类别；","")&amp;IF(AND('05_层级表现LOD'!A103&lt;&gt;"",COUNTIF('02_固定地理'!$A$2:$A$501,'05_层级表现LOD'!A103)+COUNTIF('03_地点锚点'!$A$2:$A$501,'05_层级表现LOD'!A103)+COUNTIF('04_路径网络'!$A$2:$A$501,'05_层级表现LOD'!A103)+COUNTIF('06_建筑锚点'!$A$2:$A$501,'05_层级表现LOD'!A103)=0),"LOD引用对象不存在；","")&amp;IF(AND('05_层级表现LOD'!A103&lt;&gt;"",COUNTIF('05_层级表现LOD'!$A$2:$A$501,'05_层级表现LOD'!A103)&gt;1),"ID重复；",""),"")</f>
        <v/>
      </c>
      <c r="G1603" s="14">
        <f>IF(F1603&lt;&gt;"","按字段批注、数据字典和来源记录修正后复核","")</f>
        <v/>
      </c>
      <c r="H1603" s="14">
        <f>IF(F1603&lt;&gt;"","待处理","")</f>
        <v/>
      </c>
    </row>
    <row r="1604">
      <c r="A1604" s="14">
        <f>IF(F1604&lt;&gt;"","ISSUE-"&amp;TEXT(ROW()-1,"00000"),"")</f>
        <v/>
      </c>
      <c r="B1604" s="14">
        <f>IF(F1604&lt;&gt;"","错误","")</f>
        <v/>
      </c>
      <c r="C1604" s="14">
        <f>IF('05_层级表现LOD'!A104&lt;&gt;"","05_层级表现LOD","")</f>
        <v/>
      </c>
      <c r="D1604" s="14">
        <f>IF('05_层级表现LOD'!A104&lt;&gt;"",'05_层级表现LOD'!A104,"")</f>
        <v/>
      </c>
      <c r="E1604" s="14">
        <f>IF(F1604&lt;&gt;"","综合校验","")</f>
        <v/>
      </c>
      <c r="F1604" s="14">
        <f>IF('05_层级表现LOD'!A104&lt;&gt;"",IF('05_层级表现LOD'!A104="","缺少对象ID；","")&amp;IF('05_层级表现LOD'!B104="","缺少对象类别；","")&amp;IF(AND('05_层级表现LOD'!A104&lt;&gt;"",COUNTIF('02_固定地理'!$A$2:$A$501,'05_层级表现LOD'!A104)+COUNTIF('03_地点锚点'!$A$2:$A$501,'05_层级表现LOD'!A104)+COUNTIF('04_路径网络'!$A$2:$A$501,'05_层级表现LOD'!A104)+COUNTIF('06_建筑锚点'!$A$2:$A$501,'05_层级表现LOD'!A104)=0),"LOD引用对象不存在；","")&amp;IF(AND('05_层级表现LOD'!A104&lt;&gt;"",COUNTIF('05_层级表现LOD'!$A$2:$A$501,'05_层级表现LOD'!A104)&gt;1),"ID重复；",""),"")</f>
        <v/>
      </c>
      <c r="G1604" s="14">
        <f>IF(F1604&lt;&gt;"","按字段批注、数据字典和来源记录修正后复核","")</f>
        <v/>
      </c>
      <c r="H1604" s="14">
        <f>IF(F1604&lt;&gt;"","待处理","")</f>
        <v/>
      </c>
    </row>
    <row r="1605">
      <c r="A1605" s="14">
        <f>IF(F1605&lt;&gt;"","ISSUE-"&amp;TEXT(ROW()-1,"00000"),"")</f>
        <v/>
      </c>
      <c r="B1605" s="14">
        <f>IF(F1605&lt;&gt;"","错误","")</f>
        <v/>
      </c>
      <c r="C1605" s="14">
        <f>IF('05_层级表现LOD'!A105&lt;&gt;"","05_层级表现LOD","")</f>
        <v/>
      </c>
      <c r="D1605" s="14">
        <f>IF('05_层级表现LOD'!A105&lt;&gt;"",'05_层级表现LOD'!A105,"")</f>
        <v/>
      </c>
      <c r="E1605" s="14">
        <f>IF(F1605&lt;&gt;"","综合校验","")</f>
        <v/>
      </c>
      <c r="F1605" s="14">
        <f>IF('05_层级表现LOD'!A105&lt;&gt;"",IF('05_层级表现LOD'!A105="","缺少对象ID；","")&amp;IF('05_层级表现LOD'!B105="","缺少对象类别；","")&amp;IF(AND('05_层级表现LOD'!A105&lt;&gt;"",COUNTIF('02_固定地理'!$A$2:$A$501,'05_层级表现LOD'!A105)+COUNTIF('03_地点锚点'!$A$2:$A$501,'05_层级表现LOD'!A105)+COUNTIF('04_路径网络'!$A$2:$A$501,'05_层级表现LOD'!A105)+COUNTIF('06_建筑锚点'!$A$2:$A$501,'05_层级表现LOD'!A105)=0),"LOD引用对象不存在；","")&amp;IF(AND('05_层级表现LOD'!A105&lt;&gt;"",COUNTIF('05_层级表现LOD'!$A$2:$A$501,'05_层级表现LOD'!A105)&gt;1),"ID重复；",""),"")</f>
        <v/>
      </c>
      <c r="G1605" s="14">
        <f>IF(F1605&lt;&gt;"","按字段批注、数据字典和来源记录修正后复核","")</f>
        <v/>
      </c>
      <c r="H1605" s="14">
        <f>IF(F1605&lt;&gt;"","待处理","")</f>
        <v/>
      </c>
    </row>
    <row r="1606">
      <c r="A1606" s="14">
        <f>IF(F1606&lt;&gt;"","ISSUE-"&amp;TEXT(ROW()-1,"00000"),"")</f>
        <v/>
      </c>
      <c r="B1606" s="14">
        <f>IF(F1606&lt;&gt;"","错误","")</f>
        <v/>
      </c>
      <c r="C1606" s="14">
        <f>IF('05_层级表现LOD'!A106&lt;&gt;"","05_层级表现LOD","")</f>
        <v/>
      </c>
      <c r="D1606" s="14">
        <f>IF('05_层级表现LOD'!A106&lt;&gt;"",'05_层级表现LOD'!A106,"")</f>
        <v/>
      </c>
      <c r="E1606" s="14">
        <f>IF(F1606&lt;&gt;"","综合校验","")</f>
        <v/>
      </c>
      <c r="F1606" s="14">
        <f>IF('05_层级表现LOD'!A106&lt;&gt;"",IF('05_层级表现LOD'!A106="","缺少对象ID；","")&amp;IF('05_层级表现LOD'!B106="","缺少对象类别；","")&amp;IF(AND('05_层级表现LOD'!A106&lt;&gt;"",COUNTIF('02_固定地理'!$A$2:$A$501,'05_层级表现LOD'!A106)+COUNTIF('03_地点锚点'!$A$2:$A$501,'05_层级表现LOD'!A106)+COUNTIF('04_路径网络'!$A$2:$A$501,'05_层级表现LOD'!A106)+COUNTIF('06_建筑锚点'!$A$2:$A$501,'05_层级表现LOD'!A106)=0),"LOD引用对象不存在；","")&amp;IF(AND('05_层级表现LOD'!A106&lt;&gt;"",COUNTIF('05_层级表现LOD'!$A$2:$A$501,'05_层级表现LOD'!A106)&gt;1),"ID重复；",""),"")</f>
        <v/>
      </c>
      <c r="G1606" s="14">
        <f>IF(F1606&lt;&gt;"","按字段批注、数据字典和来源记录修正后复核","")</f>
        <v/>
      </c>
      <c r="H1606" s="14">
        <f>IF(F1606&lt;&gt;"","待处理","")</f>
        <v/>
      </c>
    </row>
    <row r="1607">
      <c r="A1607" s="14">
        <f>IF(F1607&lt;&gt;"","ISSUE-"&amp;TEXT(ROW()-1,"00000"),"")</f>
        <v/>
      </c>
      <c r="B1607" s="14">
        <f>IF(F1607&lt;&gt;"","错误","")</f>
        <v/>
      </c>
      <c r="C1607" s="14">
        <f>IF('05_层级表现LOD'!A107&lt;&gt;"","05_层级表现LOD","")</f>
        <v/>
      </c>
      <c r="D1607" s="14">
        <f>IF('05_层级表现LOD'!A107&lt;&gt;"",'05_层级表现LOD'!A107,"")</f>
        <v/>
      </c>
      <c r="E1607" s="14">
        <f>IF(F1607&lt;&gt;"","综合校验","")</f>
        <v/>
      </c>
      <c r="F1607" s="14">
        <f>IF('05_层级表现LOD'!A107&lt;&gt;"",IF('05_层级表现LOD'!A107="","缺少对象ID；","")&amp;IF('05_层级表现LOD'!B107="","缺少对象类别；","")&amp;IF(AND('05_层级表现LOD'!A107&lt;&gt;"",COUNTIF('02_固定地理'!$A$2:$A$501,'05_层级表现LOD'!A107)+COUNTIF('03_地点锚点'!$A$2:$A$501,'05_层级表现LOD'!A107)+COUNTIF('04_路径网络'!$A$2:$A$501,'05_层级表现LOD'!A107)+COUNTIF('06_建筑锚点'!$A$2:$A$501,'05_层级表现LOD'!A107)=0),"LOD引用对象不存在；","")&amp;IF(AND('05_层级表现LOD'!A107&lt;&gt;"",COUNTIF('05_层级表现LOD'!$A$2:$A$501,'05_层级表现LOD'!A107)&gt;1),"ID重复；",""),"")</f>
        <v/>
      </c>
      <c r="G1607" s="14">
        <f>IF(F1607&lt;&gt;"","按字段批注、数据字典和来源记录修正后复核","")</f>
        <v/>
      </c>
      <c r="H1607" s="14">
        <f>IF(F1607&lt;&gt;"","待处理","")</f>
        <v/>
      </c>
    </row>
    <row r="1608">
      <c r="A1608" s="14">
        <f>IF(F1608&lt;&gt;"","ISSUE-"&amp;TEXT(ROW()-1,"00000"),"")</f>
        <v/>
      </c>
      <c r="B1608" s="14">
        <f>IF(F1608&lt;&gt;"","错误","")</f>
        <v/>
      </c>
      <c r="C1608" s="14">
        <f>IF('05_层级表现LOD'!A108&lt;&gt;"","05_层级表现LOD","")</f>
        <v/>
      </c>
      <c r="D1608" s="14">
        <f>IF('05_层级表现LOD'!A108&lt;&gt;"",'05_层级表现LOD'!A108,"")</f>
        <v/>
      </c>
      <c r="E1608" s="14">
        <f>IF(F1608&lt;&gt;"","综合校验","")</f>
        <v/>
      </c>
      <c r="F1608" s="14">
        <f>IF('05_层级表现LOD'!A108&lt;&gt;"",IF('05_层级表现LOD'!A108="","缺少对象ID；","")&amp;IF('05_层级表现LOD'!B108="","缺少对象类别；","")&amp;IF(AND('05_层级表现LOD'!A108&lt;&gt;"",COUNTIF('02_固定地理'!$A$2:$A$501,'05_层级表现LOD'!A108)+COUNTIF('03_地点锚点'!$A$2:$A$501,'05_层级表现LOD'!A108)+COUNTIF('04_路径网络'!$A$2:$A$501,'05_层级表现LOD'!A108)+COUNTIF('06_建筑锚点'!$A$2:$A$501,'05_层级表现LOD'!A108)=0),"LOD引用对象不存在；","")&amp;IF(AND('05_层级表现LOD'!A108&lt;&gt;"",COUNTIF('05_层级表现LOD'!$A$2:$A$501,'05_层级表现LOD'!A108)&gt;1),"ID重复；",""),"")</f>
        <v/>
      </c>
      <c r="G1608" s="14">
        <f>IF(F1608&lt;&gt;"","按字段批注、数据字典和来源记录修正后复核","")</f>
        <v/>
      </c>
      <c r="H1608" s="14">
        <f>IF(F1608&lt;&gt;"","待处理","")</f>
        <v/>
      </c>
    </row>
    <row r="1609">
      <c r="A1609" s="14">
        <f>IF(F1609&lt;&gt;"","ISSUE-"&amp;TEXT(ROW()-1,"00000"),"")</f>
        <v/>
      </c>
      <c r="B1609" s="14">
        <f>IF(F1609&lt;&gt;"","错误","")</f>
        <v/>
      </c>
      <c r="C1609" s="14">
        <f>IF('05_层级表现LOD'!A109&lt;&gt;"","05_层级表现LOD","")</f>
        <v/>
      </c>
      <c r="D1609" s="14">
        <f>IF('05_层级表现LOD'!A109&lt;&gt;"",'05_层级表现LOD'!A109,"")</f>
        <v/>
      </c>
      <c r="E1609" s="14">
        <f>IF(F1609&lt;&gt;"","综合校验","")</f>
        <v/>
      </c>
      <c r="F1609" s="14">
        <f>IF('05_层级表现LOD'!A109&lt;&gt;"",IF('05_层级表现LOD'!A109="","缺少对象ID；","")&amp;IF('05_层级表现LOD'!B109="","缺少对象类别；","")&amp;IF(AND('05_层级表现LOD'!A109&lt;&gt;"",COUNTIF('02_固定地理'!$A$2:$A$501,'05_层级表现LOD'!A109)+COUNTIF('03_地点锚点'!$A$2:$A$501,'05_层级表现LOD'!A109)+COUNTIF('04_路径网络'!$A$2:$A$501,'05_层级表现LOD'!A109)+COUNTIF('06_建筑锚点'!$A$2:$A$501,'05_层级表现LOD'!A109)=0),"LOD引用对象不存在；","")&amp;IF(AND('05_层级表现LOD'!A109&lt;&gt;"",COUNTIF('05_层级表现LOD'!$A$2:$A$501,'05_层级表现LOD'!A109)&gt;1),"ID重复；",""),"")</f>
        <v/>
      </c>
      <c r="G1609" s="14">
        <f>IF(F1609&lt;&gt;"","按字段批注、数据字典和来源记录修正后复核","")</f>
        <v/>
      </c>
      <c r="H1609" s="14">
        <f>IF(F1609&lt;&gt;"","待处理","")</f>
        <v/>
      </c>
    </row>
    <row r="1610">
      <c r="A1610" s="14">
        <f>IF(F1610&lt;&gt;"","ISSUE-"&amp;TEXT(ROW()-1,"00000"),"")</f>
        <v/>
      </c>
      <c r="B1610" s="14">
        <f>IF(F1610&lt;&gt;"","错误","")</f>
        <v/>
      </c>
      <c r="C1610" s="14">
        <f>IF('05_层级表现LOD'!A110&lt;&gt;"","05_层级表现LOD","")</f>
        <v/>
      </c>
      <c r="D1610" s="14">
        <f>IF('05_层级表现LOD'!A110&lt;&gt;"",'05_层级表现LOD'!A110,"")</f>
        <v/>
      </c>
      <c r="E1610" s="14">
        <f>IF(F1610&lt;&gt;"","综合校验","")</f>
        <v/>
      </c>
      <c r="F1610" s="14">
        <f>IF('05_层级表现LOD'!A110&lt;&gt;"",IF('05_层级表现LOD'!A110="","缺少对象ID；","")&amp;IF('05_层级表现LOD'!B110="","缺少对象类别；","")&amp;IF(AND('05_层级表现LOD'!A110&lt;&gt;"",COUNTIF('02_固定地理'!$A$2:$A$501,'05_层级表现LOD'!A110)+COUNTIF('03_地点锚点'!$A$2:$A$501,'05_层级表现LOD'!A110)+COUNTIF('04_路径网络'!$A$2:$A$501,'05_层级表现LOD'!A110)+COUNTIF('06_建筑锚点'!$A$2:$A$501,'05_层级表现LOD'!A110)=0),"LOD引用对象不存在；","")&amp;IF(AND('05_层级表现LOD'!A110&lt;&gt;"",COUNTIF('05_层级表现LOD'!$A$2:$A$501,'05_层级表现LOD'!A110)&gt;1),"ID重复；",""),"")</f>
        <v/>
      </c>
      <c r="G1610" s="14">
        <f>IF(F1610&lt;&gt;"","按字段批注、数据字典和来源记录修正后复核","")</f>
        <v/>
      </c>
      <c r="H1610" s="14">
        <f>IF(F1610&lt;&gt;"","待处理","")</f>
        <v/>
      </c>
    </row>
    <row r="1611">
      <c r="A1611" s="14">
        <f>IF(F1611&lt;&gt;"","ISSUE-"&amp;TEXT(ROW()-1,"00000"),"")</f>
        <v/>
      </c>
      <c r="B1611" s="14">
        <f>IF(F1611&lt;&gt;"","错误","")</f>
        <v/>
      </c>
      <c r="C1611" s="14">
        <f>IF('05_层级表现LOD'!A111&lt;&gt;"","05_层级表现LOD","")</f>
        <v/>
      </c>
      <c r="D1611" s="14">
        <f>IF('05_层级表现LOD'!A111&lt;&gt;"",'05_层级表现LOD'!A111,"")</f>
        <v/>
      </c>
      <c r="E1611" s="14">
        <f>IF(F1611&lt;&gt;"","综合校验","")</f>
        <v/>
      </c>
      <c r="F1611" s="14">
        <f>IF('05_层级表现LOD'!A111&lt;&gt;"",IF('05_层级表现LOD'!A111="","缺少对象ID；","")&amp;IF('05_层级表现LOD'!B111="","缺少对象类别；","")&amp;IF(AND('05_层级表现LOD'!A111&lt;&gt;"",COUNTIF('02_固定地理'!$A$2:$A$501,'05_层级表现LOD'!A111)+COUNTIF('03_地点锚点'!$A$2:$A$501,'05_层级表现LOD'!A111)+COUNTIF('04_路径网络'!$A$2:$A$501,'05_层级表现LOD'!A111)+COUNTIF('06_建筑锚点'!$A$2:$A$501,'05_层级表现LOD'!A111)=0),"LOD引用对象不存在；","")&amp;IF(AND('05_层级表现LOD'!A111&lt;&gt;"",COUNTIF('05_层级表现LOD'!$A$2:$A$501,'05_层级表现LOD'!A111)&gt;1),"ID重复；",""),"")</f>
        <v/>
      </c>
      <c r="G1611" s="14">
        <f>IF(F1611&lt;&gt;"","按字段批注、数据字典和来源记录修正后复核","")</f>
        <v/>
      </c>
      <c r="H1611" s="14">
        <f>IF(F1611&lt;&gt;"","待处理","")</f>
        <v/>
      </c>
    </row>
    <row r="1612">
      <c r="A1612" s="14">
        <f>IF(F1612&lt;&gt;"","ISSUE-"&amp;TEXT(ROW()-1,"00000"),"")</f>
        <v/>
      </c>
      <c r="B1612" s="14">
        <f>IF(F1612&lt;&gt;"","错误","")</f>
        <v/>
      </c>
      <c r="C1612" s="14">
        <f>IF('05_层级表现LOD'!A112&lt;&gt;"","05_层级表现LOD","")</f>
        <v/>
      </c>
      <c r="D1612" s="14">
        <f>IF('05_层级表现LOD'!A112&lt;&gt;"",'05_层级表现LOD'!A112,"")</f>
        <v/>
      </c>
      <c r="E1612" s="14">
        <f>IF(F1612&lt;&gt;"","综合校验","")</f>
        <v/>
      </c>
      <c r="F1612" s="14">
        <f>IF('05_层级表现LOD'!A112&lt;&gt;"",IF('05_层级表现LOD'!A112="","缺少对象ID；","")&amp;IF('05_层级表现LOD'!B112="","缺少对象类别；","")&amp;IF(AND('05_层级表现LOD'!A112&lt;&gt;"",COUNTIF('02_固定地理'!$A$2:$A$501,'05_层级表现LOD'!A112)+COUNTIF('03_地点锚点'!$A$2:$A$501,'05_层级表现LOD'!A112)+COUNTIF('04_路径网络'!$A$2:$A$501,'05_层级表现LOD'!A112)+COUNTIF('06_建筑锚点'!$A$2:$A$501,'05_层级表现LOD'!A112)=0),"LOD引用对象不存在；","")&amp;IF(AND('05_层级表现LOD'!A112&lt;&gt;"",COUNTIF('05_层级表现LOD'!$A$2:$A$501,'05_层级表现LOD'!A112)&gt;1),"ID重复；",""),"")</f>
        <v/>
      </c>
      <c r="G1612" s="14">
        <f>IF(F1612&lt;&gt;"","按字段批注、数据字典和来源记录修正后复核","")</f>
        <v/>
      </c>
      <c r="H1612" s="14">
        <f>IF(F1612&lt;&gt;"","待处理","")</f>
        <v/>
      </c>
    </row>
    <row r="1613">
      <c r="A1613" s="14">
        <f>IF(F1613&lt;&gt;"","ISSUE-"&amp;TEXT(ROW()-1,"00000"),"")</f>
        <v/>
      </c>
      <c r="B1613" s="14">
        <f>IF(F1613&lt;&gt;"","错误","")</f>
        <v/>
      </c>
      <c r="C1613" s="14">
        <f>IF('05_层级表现LOD'!A113&lt;&gt;"","05_层级表现LOD","")</f>
        <v/>
      </c>
      <c r="D1613" s="14">
        <f>IF('05_层级表现LOD'!A113&lt;&gt;"",'05_层级表现LOD'!A113,"")</f>
        <v/>
      </c>
      <c r="E1613" s="14">
        <f>IF(F1613&lt;&gt;"","综合校验","")</f>
        <v/>
      </c>
      <c r="F1613" s="14">
        <f>IF('05_层级表现LOD'!A113&lt;&gt;"",IF('05_层级表现LOD'!A113="","缺少对象ID；","")&amp;IF('05_层级表现LOD'!B113="","缺少对象类别；","")&amp;IF(AND('05_层级表现LOD'!A113&lt;&gt;"",COUNTIF('02_固定地理'!$A$2:$A$501,'05_层级表现LOD'!A113)+COUNTIF('03_地点锚点'!$A$2:$A$501,'05_层级表现LOD'!A113)+COUNTIF('04_路径网络'!$A$2:$A$501,'05_层级表现LOD'!A113)+COUNTIF('06_建筑锚点'!$A$2:$A$501,'05_层级表现LOD'!A113)=0),"LOD引用对象不存在；","")&amp;IF(AND('05_层级表现LOD'!A113&lt;&gt;"",COUNTIF('05_层级表现LOD'!$A$2:$A$501,'05_层级表现LOD'!A113)&gt;1),"ID重复；",""),"")</f>
        <v/>
      </c>
      <c r="G1613" s="14">
        <f>IF(F1613&lt;&gt;"","按字段批注、数据字典和来源记录修正后复核","")</f>
        <v/>
      </c>
      <c r="H1613" s="14">
        <f>IF(F1613&lt;&gt;"","待处理","")</f>
        <v/>
      </c>
    </row>
    <row r="1614">
      <c r="A1614" s="14">
        <f>IF(F1614&lt;&gt;"","ISSUE-"&amp;TEXT(ROW()-1,"00000"),"")</f>
        <v/>
      </c>
      <c r="B1614" s="14">
        <f>IF(F1614&lt;&gt;"","错误","")</f>
        <v/>
      </c>
      <c r="C1614" s="14">
        <f>IF('05_层级表现LOD'!A114&lt;&gt;"","05_层级表现LOD","")</f>
        <v/>
      </c>
      <c r="D1614" s="14">
        <f>IF('05_层级表现LOD'!A114&lt;&gt;"",'05_层级表现LOD'!A114,"")</f>
        <v/>
      </c>
      <c r="E1614" s="14">
        <f>IF(F1614&lt;&gt;"","综合校验","")</f>
        <v/>
      </c>
      <c r="F1614" s="14">
        <f>IF('05_层级表现LOD'!A114&lt;&gt;"",IF('05_层级表现LOD'!A114="","缺少对象ID；","")&amp;IF('05_层级表现LOD'!B114="","缺少对象类别；","")&amp;IF(AND('05_层级表现LOD'!A114&lt;&gt;"",COUNTIF('02_固定地理'!$A$2:$A$501,'05_层级表现LOD'!A114)+COUNTIF('03_地点锚点'!$A$2:$A$501,'05_层级表现LOD'!A114)+COUNTIF('04_路径网络'!$A$2:$A$501,'05_层级表现LOD'!A114)+COUNTIF('06_建筑锚点'!$A$2:$A$501,'05_层级表现LOD'!A114)=0),"LOD引用对象不存在；","")&amp;IF(AND('05_层级表现LOD'!A114&lt;&gt;"",COUNTIF('05_层级表现LOD'!$A$2:$A$501,'05_层级表现LOD'!A114)&gt;1),"ID重复；",""),"")</f>
        <v/>
      </c>
      <c r="G1614" s="14">
        <f>IF(F1614&lt;&gt;"","按字段批注、数据字典和来源记录修正后复核","")</f>
        <v/>
      </c>
      <c r="H1614" s="14">
        <f>IF(F1614&lt;&gt;"","待处理","")</f>
        <v/>
      </c>
    </row>
    <row r="1615">
      <c r="A1615" s="14">
        <f>IF(F1615&lt;&gt;"","ISSUE-"&amp;TEXT(ROW()-1,"00000"),"")</f>
        <v/>
      </c>
      <c r="B1615" s="14">
        <f>IF(F1615&lt;&gt;"","错误","")</f>
        <v/>
      </c>
      <c r="C1615" s="14">
        <f>IF('05_层级表现LOD'!A115&lt;&gt;"","05_层级表现LOD","")</f>
        <v/>
      </c>
      <c r="D1615" s="14">
        <f>IF('05_层级表现LOD'!A115&lt;&gt;"",'05_层级表现LOD'!A115,"")</f>
        <v/>
      </c>
      <c r="E1615" s="14">
        <f>IF(F1615&lt;&gt;"","综合校验","")</f>
        <v/>
      </c>
      <c r="F1615" s="14">
        <f>IF('05_层级表现LOD'!A115&lt;&gt;"",IF('05_层级表现LOD'!A115="","缺少对象ID；","")&amp;IF('05_层级表现LOD'!B115="","缺少对象类别；","")&amp;IF(AND('05_层级表现LOD'!A115&lt;&gt;"",COUNTIF('02_固定地理'!$A$2:$A$501,'05_层级表现LOD'!A115)+COUNTIF('03_地点锚点'!$A$2:$A$501,'05_层级表现LOD'!A115)+COUNTIF('04_路径网络'!$A$2:$A$501,'05_层级表现LOD'!A115)+COUNTIF('06_建筑锚点'!$A$2:$A$501,'05_层级表现LOD'!A115)=0),"LOD引用对象不存在；","")&amp;IF(AND('05_层级表现LOD'!A115&lt;&gt;"",COUNTIF('05_层级表现LOD'!$A$2:$A$501,'05_层级表现LOD'!A115)&gt;1),"ID重复；",""),"")</f>
        <v/>
      </c>
      <c r="G1615" s="14">
        <f>IF(F1615&lt;&gt;"","按字段批注、数据字典和来源记录修正后复核","")</f>
        <v/>
      </c>
      <c r="H1615" s="14">
        <f>IF(F1615&lt;&gt;"","待处理","")</f>
        <v/>
      </c>
    </row>
    <row r="1616">
      <c r="A1616" s="14">
        <f>IF(F1616&lt;&gt;"","ISSUE-"&amp;TEXT(ROW()-1,"00000"),"")</f>
        <v/>
      </c>
      <c r="B1616" s="14">
        <f>IF(F1616&lt;&gt;"","错误","")</f>
        <v/>
      </c>
      <c r="C1616" s="14">
        <f>IF('05_层级表现LOD'!A116&lt;&gt;"","05_层级表现LOD","")</f>
        <v/>
      </c>
      <c r="D1616" s="14">
        <f>IF('05_层级表现LOD'!A116&lt;&gt;"",'05_层级表现LOD'!A116,"")</f>
        <v/>
      </c>
      <c r="E1616" s="14">
        <f>IF(F1616&lt;&gt;"","综合校验","")</f>
        <v/>
      </c>
      <c r="F1616" s="14">
        <f>IF('05_层级表现LOD'!A116&lt;&gt;"",IF('05_层级表现LOD'!A116="","缺少对象ID；","")&amp;IF('05_层级表现LOD'!B116="","缺少对象类别；","")&amp;IF(AND('05_层级表现LOD'!A116&lt;&gt;"",COUNTIF('02_固定地理'!$A$2:$A$501,'05_层级表现LOD'!A116)+COUNTIF('03_地点锚点'!$A$2:$A$501,'05_层级表现LOD'!A116)+COUNTIF('04_路径网络'!$A$2:$A$501,'05_层级表现LOD'!A116)+COUNTIF('06_建筑锚点'!$A$2:$A$501,'05_层级表现LOD'!A116)=0),"LOD引用对象不存在；","")&amp;IF(AND('05_层级表现LOD'!A116&lt;&gt;"",COUNTIF('05_层级表现LOD'!$A$2:$A$501,'05_层级表现LOD'!A116)&gt;1),"ID重复；",""),"")</f>
        <v/>
      </c>
      <c r="G1616" s="14">
        <f>IF(F1616&lt;&gt;"","按字段批注、数据字典和来源记录修正后复核","")</f>
        <v/>
      </c>
      <c r="H1616" s="14">
        <f>IF(F1616&lt;&gt;"","待处理","")</f>
        <v/>
      </c>
    </row>
    <row r="1617">
      <c r="A1617" s="14">
        <f>IF(F1617&lt;&gt;"","ISSUE-"&amp;TEXT(ROW()-1,"00000"),"")</f>
        <v/>
      </c>
      <c r="B1617" s="14">
        <f>IF(F1617&lt;&gt;"","错误","")</f>
        <v/>
      </c>
      <c r="C1617" s="14">
        <f>IF('05_层级表现LOD'!A117&lt;&gt;"","05_层级表现LOD","")</f>
        <v/>
      </c>
      <c r="D1617" s="14">
        <f>IF('05_层级表现LOD'!A117&lt;&gt;"",'05_层级表现LOD'!A117,"")</f>
        <v/>
      </c>
      <c r="E1617" s="14">
        <f>IF(F1617&lt;&gt;"","综合校验","")</f>
        <v/>
      </c>
      <c r="F1617" s="14">
        <f>IF('05_层级表现LOD'!A117&lt;&gt;"",IF('05_层级表现LOD'!A117="","缺少对象ID；","")&amp;IF('05_层级表现LOD'!B117="","缺少对象类别；","")&amp;IF(AND('05_层级表现LOD'!A117&lt;&gt;"",COUNTIF('02_固定地理'!$A$2:$A$501,'05_层级表现LOD'!A117)+COUNTIF('03_地点锚点'!$A$2:$A$501,'05_层级表现LOD'!A117)+COUNTIF('04_路径网络'!$A$2:$A$501,'05_层级表现LOD'!A117)+COUNTIF('06_建筑锚点'!$A$2:$A$501,'05_层级表现LOD'!A117)=0),"LOD引用对象不存在；","")&amp;IF(AND('05_层级表现LOD'!A117&lt;&gt;"",COUNTIF('05_层级表现LOD'!$A$2:$A$501,'05_层级表现LOD'!A117)&gt;1),"ID重复；",""),"")</f>
        <v/>
      </c>
      <c r="G1617" s="14">
        <f>IF(F1617&lt;&gt;"","按字段批注、数据字典和来源记录修正后复核","")</f>
        <v/>
      </c>
      <c r="H1617" s="14">
        <f>IF(F1617&lt;&gt;"","待处理","")</f>
        <v/>
      </c>
    </row>
    <row r="1618">
      <c r="A1618" s="14">
        <f>IF(F1618&lt;&gt;"","ISSUE-"&amp;TEXT(ROW()-1,"00000"),"")</f>
        <v/>
      </c>
      <c r="B1618" s="14">
        <f>IF(F1618&lt;&gt;"","错误","")</f>
        <v/>
      </c>
      <c r="C1618" s="14">
        <f>IF('05_层级表现LOD'!A118&lt;&gt;"","05_层级表现LOD","")</f>
        <v/>
      </c>
      <c r="D1618" s="14">
        <f>IF('05_层级表现LOD'!A118&lt;&gt;"",'05_层级表现LOD'!A118,"")</f>
        <v/>
      </c>
      <c r="E1618" s="14">
        <f>IF(F1618&lt;&gt;"","综合校验","")</f>
        <v/>
      </c>
      <c r="F1618" s="14">
        <f>IF('05_层级表现LOD'!A118&lt;&gt;"",IF('05_层级表现LOD'!A118="","缺少对象ID；","")&amp;IF('05_层级表现LOD'!B118="","缺少对象类别；","")&amp;IF(AND('05_层级表现LOD'!A118&lt;&gt;"",COUNTIF('02_固定地理'!$A$2:$A$501,'05_层级表现LOD'!A118)+COUNTIF('03_地点锚点'!$A$2:$A$501,'05_层级表现LOD'!A118)+COUNTIF('04_路径网络'!$A$2:$A$501,'05_层级表现LOD'!A118)+COUNTIF('06_建筑锚点'!$A$2:$A$501,'05_层级表现LOD'!A118)=0),"LOD引用对象不存在；","")&amp;IF(AND('05_层级表现LOD'!A118&lt;&gt;"",COUNTIF('05_层级表现LOD'!$A$2:$A$501,'05_层级表现LOD'!A118)&gt;1),"ID重复；",""),"")</f>
        <v/>
      </c>
      <c r="G1618" s="14">
        <f>IF(F1618&lt;&gt;"","按字段批注、数据字典和来源记录修正后复核","")</f>
        <v/>
      </c>
      <c r="H1618" s="14">
        <f>IF(F1618&lt;&gt;"","待处理","")</f>
        <v/>
      </c>
    </row>
    <row r="1619">
      <c r="A1619" s="14">
        <f>IF(F1619&lt;&gt;"","ISSUE-"&amp;TEXT(ROW()-1,"00000"),"")</f>
        <v/>
      </c>
      <c r="B1619" s="14">
        <f>IF(F1619&lt;&gt;"","错误","")</f>
        <v/>
      </c>
      <c r="C1619" s="14">
        <f>IF('05_层级表现LOD'!A119&lt;&gt;"","05_层级表现LOD","")</f>
        <v/>
      </c>
      <c r="D1619" s="14">
        <f>IF('05_层级表现LOD'!A119&lt;&gt;"",'05_层级表现LOD'!A119,"")</f>
        <v/>
      </c>
      <c r="E1619" s="14">
        <f>IF(F1619&lt;&gt;"","综合校验","")</f>
        <v/>
      </c>
      <c r="F1619" s="14">
        <f>IF('05_层级表现LOD'!A119&lt;&gt;"",IF('05_层级表现LOD'!A119="","缺少对象ID；","")&amp;IF('05_层级表现LOD'!B119="","缺少对象类别；","")&amp;IF(AND('05_层级表现LOD'!A119&lt;&gt;"",COUNTIF('02_固定地理'!$A$2:$A$501,'05_层级表现LOD'!A119)+COUNTIF('03_地点锚点'!$A$2:$A$501,'05_层级表现LOD'!A119)+COUNTIF('04_路径网络'!$A$2:$A$501,'05_层级表现LOD'!A119)+COUNTIF('06_建筑锚点'!$A$2:$A$501,'05_层级表现LOD'!A119)=0),"LOD引用对象不存在；","")&amp;IF(AND('05_层级表现LOD'!A119&lt;&gt;"",COUNTIF('05_层级表现LOD'!$A$2:$A$501,'05_层级表现LOD'!A119)&gt;1),"ID重复；",""),"")</f>
        <v/>
      </c>
      <c r="G1619" s="14">
        <f>IF(F1619&lt;&gt;"","按字段批注、数据字典和来源记录修正后复核","")</f>
        <v/>
      </c>
      <c r="H1619" s="14">
        <f>IF(F1619&lt;&gt;"","待处理","")</f>
        <v/>
      </c>
    </row>
    <row r="1620">
      <c r="A1620" s="14">
        <f>IF(F1620&lt;&gt;"","ISSUE-"&amp;TEXT(ROW()-1,"00000"),"")</f>
        <v/>
      </c>
      <c r="B1620" s="14">
        <f>IF(F1620&lt;&gt;"","错误","")</f>
        <v/>
      </c>
      <c r="C1620" s="14">
        <f>IF('05_层级表现LOD'!A120&lt;&gt;"","05_层级表现LOD","")</f>
        <v/>
      </c>
      <c r="D1620" s="14">
        <f>IF('05_层级表现LOD'!A120&lt;&gt;"",'05_层级表现LOD'!A120,"")</f>
        <v/>
      </c>
      <c r="E1620" s="14">
        <f>IF(F1620&lt;&gt;"","综合校验","")</f>
        <v/>
      </c>
      <c r="F1620" s="14">
        <f>IF('05_层级表现LOD'!A120&lt;&gt;"",IF('05_层级表现LOD'!A120="","缺少对象ID；","")&amp;IF('05_层级表现LOD'!B120="","缺少对象类别；","")&amp;IF(AND('05_层级表现LOD'!A120&lt;&gt;"",COUNTIF('02_固定地理'!$A$2:$A$501,'05_层级表现LOD'!A120)+COUNTIF('03_地点锚点'!$A$2:$A$501,'05_层级表现LOD'!A120)+COUNTIF('04_路径网络'!$A$2:$A$501,'05_层级表现LOD'!A120)+COUNTIF('06_建筑锚点'!$A$2:$A$501,'05_层级表现LOD'!A120)=0),"LOD引用对象不存在；","")&amp;IF(AND('05_层级表现LOD'!A120&lt;&gt;"",COUNTIF('05_层级表现LOD'!$A$2:$A$501,'05_层级表现LOD'!A120)&gt;1),"ID重复；",""),"")</f>
        <v/>
      </c>
      <c r="G1620" s="14">
        <f>IF(F1620&lt;&gt;"","按字段批注、数据字典和来源记录修正后复核","")</f>
        <v/>
      </c>
      <c r="H1620" s="14">
        <f>IF(F1620&lt;&gt;"","待处理","")</f>
        <v/>
      </c>
    </row>
    <row r="1621">
      <c r="A1621" s="14">
        <f>IF(F1621&lt;&gt;"","ISSUE-"&amp;TEXT(ROW()-1,"00000"),"")</f>
        <v/>
      </c>
      <c r="B1621" s="14">
        <f>IF(F1621&lt;&gt;"","错误","")</f>
        <v/>
      </c>
      <c r="C1621" s="14">
        <f>IF('05_层级表现LOD'!A121&lt;&gt;"","05_层级表现LOD","")</f>
        <v/>
      </c>
      <c r="D1621" s="14">
        <f>IF('05_层级表现LOD'!A121&lt;&gt;"",'05_层级表现LOD'!A121,"")</f>
        <v/>
      </c>
      <c r="E1621" s="14">
        <f>IF(F1621&lt;&gt;"","综合校验","")</f>
        <v/>
      </c>
      <c r="F1621" s="14">
        <f>IF('05_层级表现LOD'!A121&lt;&gt;"",IF('05_层级表现LOD'!A121="","缺少对象ID；","")&amp;IF('05_层级表现LOD'!B121="","缺少对象类别；","")&amp;IF(AND('05_层级表现LOD'!A121&lt;&gt;"",COUNTIF('02_固定地理'!$A$2:$A$501,'05_层级表现LOD'!A121)+COUNTIF('03_地点锚点'!$A$2:$A$501,'05_层级表现LOD'!A121)+COUNTIF('04_路径网络'!$A$2:$A$501,'05_层级表现LOD'!A121)+COUNTIF('06_建筑锚点'!$A$2:$A$501,'05_层级表现LOD'!A121)=0),"LOD引用对象不存在；","")&amp;IF(AND('05_层级表现LOD'!A121&lt;&gt;"",COUNTIF('05_层级表现LOD'!$A$2:$A$501,'05_层级表现LOD'!A121)&gt;1),"ID重复；",""),"")</f>
        <v/>
      </c>
      <c r="G1621" s="14">
        <f>IF(F1621&lt;&gt;"","按字段批注、数据字典和来源记录修正后复核","")</f>
        <v/>
      </c>
      <c r="H1621" s="14">
        <f>IF(F1621&lt;&gt;"","待处理","")</f>
        <v/>
      </c>
    </row>
    <row r="1622">
      <c r="A1622" s="14">
        <f>IF(F1622&lt;&gt;"","ISSUE-"&amp;TEXT(ROW()-1,"00000"),"")</f>
        <v/>
      </c>
      <c r="B1622" s="14">
        <f>IF(F1622&lt;&gt;"","错误","")</f>
        <v/>
      </c>
      <c r="C1622" s="14">
        <f>IF('05_层级表现LOD'!A122&lt;&gt;"","05_层级表现LOD","")</f>
        <v/>
      </c>
      <c r="D1622" s="14">
        <f>IF('05_层级表现LOD'!A122&lt;&gt;"",'05_层级表现LOD'!A122,"")</f>
        <v/>
      </c>
      <c r="E1622" s="14">
        <f>IF(F1622&lt;&gt;"","综合校验","")</f>
        <v/>
      </c>
      <c r="F1622" s="14">
        <f>IF('05_层级表现LOD'!A122&lt;&gt;"",IF('05_层级表现LOD'!A122="","缺少对象ID；","")&amp;IF('05_层级表现LOD'!B122="","缺少对象类别；","")&amp;IF(AND('05_层级表现LOD'!A122&lt;&gt;"",COUNTIF('02_固定地理'!$A$2:$A$501,'05_层级表现LOD'!A122)+COUNTIF('03_地点锚点'!$A$2:$A$501,'05_层级表现LOD'!A122)+COUNTIF('04_路径网络'!$A$2:$A$501,'05_层级表现LOD'!A122)+COUNTIF('06_建筑锚点'!$A$2:$A$501,'05_层级表现LOD'!A122)=0),"LOD引用对象不存在；","")&amp;IF(AND('05_层级表现LOD'!A122&lt;&gt;"",COUNTIF('05_层级表现LOD'!$A$2:$A$501,'05_层级表现LOD'!A122)&gt;1),"ID重复；",""),"")</f>
        <v/>
      </c>
      <c r="G1622" s="14">
        <f>IF(F1622&lt;&gt;"","按字段批注、数据字典和来源记录修正后复核","")</f>
        <v/>
      </c>
      <c r="H1622" s="14">
        <f>IF(F1622&lt;&gt;"","待处理","")</f>
        <v/>
      </c>
    </row>
    <row r="1623">
      <c r="A1623" s="14">
        <f>IF(F1623&lt;&gt;"","ISSUE-"&amp;TEXT(ROW()-1,"00000"),"")</f>
        <v/>
      </c>
      <c r="B1623" s="14">
        <f>IF(F1623&lt;&gt;"","错误","")</f>
        <v/>
      </c>
      <c r="C1623" s="14">
        <f>IF('05_层级表现LOD'!A123&lt;&gt;"","05_层级表现LOD","")</f>
        <v/>
      </c>
      <c r="D1623" s="14">
        <f>IF('05_层级表现LOD'!A123&lt;&gt;"",'05_层级表现LOD'!A123,"")</f>
        <v/>
      </c>
      <c r="E1623" s="14">
        <f>IF(F1623&lt;&gt;"","综合校验","")</f>
        <v/>
      </c>
      <c r="F1623" s="14">
        <f>IF('05_层级表现LOD'!A123&lt;&gt;"",IF('05_层级表现LOD'!A123="","缺少对象ID；","")&amp;IF('05_层级表现LOD'!B123="","缺少对象类别；","")&amp;IF(AND('05_层级表现LOD'!A123&lt;&gt;"",COUNTIF('02_固定地理'!$A$2:$A$501,'05_层级表现LOD'!A123)+COUNTIF('03_地点锚点'!$A$2:$A$501,'05_层级表现LOD'!A123)+COUNTIF('04_路径网络'!$A$2:$A$501,'05_层级表现LOD'!A123)+COUNTIF('06_建筑锚点'!$A$2:$A$501,'05_层级表现LOD'!A123)=0),"LOD引用对象不存在；","")&amp;IF(AND('05_层级表现LOD'!A123&lt;&gt;"",COUNTIF('05_层级表现LOD'!$A$2:$A$501,'05_层级表现LOD'!A123)&gt;1),"ID重复；",""),"")</f>
        <v/>
      </c>
      <c r="G1623" s="14">
        <f>IF(F1623&lt;&gt;"","按字段批注、数据字典和来源记录修正后复核","")</f>
        <v/>
      </c>
      <c r="H1623" s="14">
        <f>IF(F1623&lt;&gt;"","待处理","")</f>
        <v/>
      </c>
    </row>
    <row r="1624">
      <c r="A1624" s="14">
        <f>IF(F1624&lt;&gt;"","ISSUE-"&amp;TEXT(ROW()-1,"00000"),"")</f>
        <v/>
      </c>
      <c r="B1624" s="14">
        <f>IF(F1624&lt;&gt;"","错误","")</f>
        <v/>
      </c>
      <c r="C1624" s="14">
        <f>IF('05_层级表现LOD'!A124&lt;&gt;"","05_层级表现LOD","")</f>
        <v/>
      </c>
      <c r="D1624" s="14">
        <f>IF('05_层级表现LOD'!A124&lt;&gt;"",'05_层级表现LOD'!A124,"")</f>
        <v/>
      </c>
      <c r="E1624" s="14">
        <f>IF(F1624&lt;&gt;"","综合校验","")</f>
        <v/>
      </c>
      <c r="F1624" s="14">
        <f>IF('05_层级表现LOD'!A124&lt;&gt;"",IF('05_层级表现LOD'!A124="","缺少对象ID；","")&amp;IF('05_层级表现LOD'!B124="","缺少对象类别；","")&amp;IF(AND('05_层级表现LOD'!A124&lt;&gt;"",COUNTIF('02_固定地理'!$A$2:$A$501,'05_层级表现LOD'!A124)+COUNTIF('03_地点锚点'!$A$2:$A$501,'05_层级表现LOD'!A124)+COUNTIF('04_路径网络'!$A$2:$A$501,'05_层级表现LOD'!A124)+COUNTIF('06_建筑锚点'!$A$2:$A$501,'05_层级表现LOD'!A124)=0),"LOD引用对象不存在；","")&amp;IF(AND('05_层级表现LOD'!A124&lt;&gt;"",COUNTIF('05_层级表现LOD'!$A$2:$A$501,'05_层级表现LOD'!A124)&gt;1),"ID重复；",""),"")</f>
        <v/>
      </c>
      <c r="G1624" s="14">
        <f>IF(F1624&lt;&gt;"","按字段批注、数据字典和来源记录修正后复核","")</f>
        <v/>
      </c>
      <c r="H1624" s="14">
        <f>IF(F1624&lt;&gt;"","待处理","")</f>
        <v/>
      </c>
    </row>
    <row r="1625">
      <c r="A1625" s="14">
        <f>IF(F1625&lt;&gt;"","ISSUE-"&amp;TEXT(ROW()-1,"00000"),"")</f>
        <v/>
      </c>
      <c r="B1625" s="14">
        <f>IF(F1625&lt;&gt;"","错误","")</f>
        <v/>
      </c>
      <c r="C1625" s="14">
        <f>IF('05_层级表现LOD'!A125&lt;&gt;"","05_层级表现LOD","")</f>
        <v/>
      </c>
      <c r="D1625" s="14">
        <f>IF('05_层级表现LOD'!A125&lt;&gt;"",'05_层级表现LOD'!A125,"")</f>
        <v/>
      </c>
      <c r="E1625" s="14">
        <f>IF(F1625&lt;&gt;"","综合校验","")</f>
        <v/>
      </c>
      <c r="F1625" s="14">
        <f>IF('05_层级表现LOD'!A125&lt;&gt;"",IF('05_层级表现LOD'!A125="","缺少对象ID；","")&amp;IF('05_层级表现LOD'!B125="","缺少对象类别；","")&amp;IF(AND('05_层级表现LOD'!A125&lt;&gt;"",COUNTIF('02_固定地理'!$A$2:$A$501,'05_层级表现LOD'!A125)+COUNTIF('03_地点锚点'!$A$2:$A$501,'05_层级表现LOD'!A125)+COUNTIF('04_路径网络'!$A$2:$A$501,'05_层级表现LOD'!A125)+COUNTIF('06_建筑锚点'!$A$2:$A$501,'05_层级表现LOD'!A125)=0),"LOD引用对象不存在；","")&amp;IF(AND('05_层级表现LOD'!A125&lt;&gt;"",COUNTIF('05_层级表现LOD'!$A$2:$A$501,'05_层级表现LOD'!A125)&gt;1),"ID重复；",""),"")</f>
        <v/>
      </c>
      <c r="G1625" s="14">
        <f>IF(F1625&lt;&gt;"","按字段批注、数据字典和来源记录修正后复核","")</f>
        <v/>
      </c>
      <c r="H1625" s="14">
        <f>IF(F1625&lt;&gt;"","待处理","")</f>
        <v/>
      </c>
    </row>
    <row r="1626">
      <c r="A1626" s="14">
        <f>IF(F1626&lt;&gt;"","ISSUE-"&amp;TEXT(ROW()-1,"00000"),"")</f>
        <v/>
      </c>
      <c r="B1626" s="14">
        <f>IF(F1626&lt;&gt;"","错误","")</f>
        <v/>
      </c>
      <c r="C1626" s="14">
        <f>IF('05_层级表现LOD'!A126&lt;&gt;"","05_层级表现LOD","")</f>
        <v/>
      </c>
      <c r="D1626" s="14">
        <f>IF('05_层级表现LOD'!A126&lt;&gt;"",'05_层级表现LOD'!A126,"")</f>
        <v/>
      </c>
      <c r="E1626" s="14">
        <f>IF(F1626&lt;&gt;"","综合校验","")</f>
        <v/>
      </c>
      <c r="F1626" s="14">
        <f>IF('05_层级表现LOD'!A126&lt;&gt;"",IF('05_层级表现LOD'!A126="","缺少对象ID；","")&amp;IF('05_层级表现LOD'!B126="","缺少对象类别；","")&amp;IF(AND('05_层级表现LOD'!A126&lt;&gt;"",COUNTIF('02_固定地理'!$A$2:$A$501,'05_层级表现LOD'!A126)+COUNTIF('03_地点锚点'!$A$2:$A$501,'05_层级表现LOD'!A126)+COUNTIF('04_路径网络'!$A$2:$A$501,'05_层级表现LOD'!A126)+COUNTIF('06_建筑锚点'!$A$2:$A$501,'05_层级表现LOD'!A126)=0),"LOD引用对象不存在；","")&amp;IF(AND('05_层级表现LOD'!A126&lt;&gt;"",COUNTIF('05_层级表现LOD'!$A$2:$A$501,'05_层级表现LOD'!A126)&gt;1),"ID重复；",""),"")</f>
        <v/>
      </c>
      <c r="G1626" s="14">
        <f>IF(F1626&lt;&gt;"","按字段批注、数据字典和来源记录修正后复核","")</f>
        <v/>
      </c>
      <c r="H1626" s="14">
        <f>IF(F1626&lt;&gt;"","待处理","")</f>
        <v/>
      </c>
    </row>
    <row r="1627">
      <c r="A1627" s="14">
        <f>IF(F1627&lt;&gt;"","ISSUE-"&amp;TEXT(ROW()-1,"00000"),"")</f>
        <v/>
      </c>
      <c r="B1627" s="14">
        <f>IF(F1627&lt;&gt;"","错误","")</f>
        <v/>
      </c>
      <c r="C1627" s="14">
        <f>IF('05_层级表现LOD'!A127&lt;&gt;"","05_层级表现LOD","")</f>
        <v/>
      </c>
      <c r="D1627" s="14">
        <f>IF('05_层级表现LOD'!A127&lt;&gt;"",'05_层级表现LOD'!A127,"")</f>
        <v/>
      </c>
      <c r="E1627" s="14">
        <f>IF(F1627&lt;&gt;"","综合校验","")</f>
        <v/>
      </c>
      <c r="F1627" s="14">
        <f>IF('05_层级表现LOD'!A127&lt;&gt;"",IF('05_层级表现LOD'!A127="","缺少对象ID；","")&amp;IF('05_层级表现LOD'!B127="","缺少对象类别；","")&amp;IF(AND('05_层级表现LOD'!A127&lt;&gt;"",COUNTIF('02_固定地理'!$A$2:$A$501,'05_层级表现LOD'!A127)+COUNTIF('03_地点锚点'!$A$2:$A$501,'05_层级表现LOD'!A127)+COUNTIF('04_路径网络'!$A$2:$A$501,'05_层级表现LOD'!A127)+COUNTIF('06_建筑锚点'!$A$2:$A$501,'05_层级表现LOD'!A127)=0),"LOD引用对象不存在；","")&amp;IF(AND('05_层级表现LOD'!A127&lt;&gt;"",COUNTIF('05_层级表现LOD'!$A$2:$A$501,'05_层级表现LOD'!A127)&gt;1),"ID重复；",""),"")</f>
        <v/>
      </c>
      <c r="G1627" s="14">
        <f>IF(F1627&lt;&gt;"","按字段批注、数据字典和来源记录修正后复核","")</f>
        <v/>
      </c>
      <c r="H1627" s="14">
        <f>IF(F1627&lt;&gt;"","待处理","")</f>
        <v/>
      </c>
    </row>
    <row r="1628">
      <c r="A1628" s="14">
        <f>IF(F1628&lt;&gt;"","ISSUE-"&amp;TEXT(ROW()-1,"00000"),"")</f>
        <v/>
      </c>
      <c r="B1628" s="14">
        <f>IF(F1628&lt;&gt;"","错误","")</f>
        <v/>
      </c>
      <c r="C1628" s="14">
        <f>IF('05_层级表现LOD'!A128&lt;&gt;"","05_层级表现LOD","")</f>
        <v/>
      </c>
      <c r="D1628" s="14">
        <f>IF('05_层级表现LOD'!A128&lt;&gt;"",'05_层级表现LOD'!A128,"")</f>
        <v/>
      </c>
      <c r="E1628" s="14">
        <f>IF(F1628&lt;&gt;"","综合校验","")</f>
        <v/>
      </c>
      <c r="F1628" s="14">
        <f>IF('05_层级表现LOD'!A128&lt;&gt;"",IF('05_层级表现LOD'!A128="","缺少对象ID；","")&amp;IF('05_层级表现LOD'!B128="","缺少对象类别；","")&amp;IF(AND('05_层级表现LOD'!A128&lt;&gt;"",COUNTIF('02_固定地理'!$A$2:$A$501,'05_层级表现LOD'!A128)+COUNTIF('03_地点锚点'!$A$2:$A$501,'05_层级表现LOD'!A128)+COUNTIF('04_路径网络'!$A$2:$A$501,'05_层级表现LOD'!A128)+COUNTIF('06_建筑锚点'!$A$2:$A$501,'05_层级表现LOD'!A128)=0),"LOD引用对象不存在；","")&amp;IF(AND('05_层级表现LOD'!A128&lt;&gt;"",COUNTIF('05_层级表现LOD'!$A$2:$A$501,'05_层级表现LOD'!A128)&gt;1),"ID重复；",""),"")</f>
        <v/>
      </c>
      <c r="G1628" s="14">
        <f>IF(F1628&lt;&gt;"","按字段批注、数据字典和来源记录修正后复核","")</f>
        <v/>
      </c>
      <c r="H1628" s="14">
        <f>IF(F1628&lt;&gt;"","待处理","")</f>
        <v/>
      </c>
    </row>
    <row r="1629">
      <c r="A1629" s="14">
        <f>IF(F1629&lt;&gt;"","ISSUE-"&amp;TEXT(ROW()-1,"00000"),"")</f>
        <v/>
      </c>
      <c r="B1629" s="14">
        <f>IF(F1629&lt;&gt;"","错误","")</f>
        <v/>
      </c>
      <c r="C1629" s="14">
        <f>IF('05_层级表现LOD'!A129&lt;&gt;"","05_层级表现LOD","")</f>
        <v/>
      </c>
      <c r="D1629" s="14">
        <f>IF('05_层级表现LOD'!A129&lt;&gt;"",'05_层级表现LOD'!A129,"")</f>
        <v/>
      </c>
      <c r="E1629" s="14">
        <f>IF(F1629&lt;&gt;"","综合校验","")</f>
        <v/>
      </c>
      <c r="F1629" s="14">
        <f>IF('05_层级表现LOD'!A129&lt;&gt;"",IF('05_层级表现LOD'!A129="","缺少对象ID；","")&amp;IF('05_层级表现LOD'!B129="","缺少对象类别；","")&amp;IF(AND('05_层级表现LOD'!A129&lt;&gt;"",COUNTIF('02_固定地理'!$A$2:$A$501,'05_层级表现LOD'!A129)+COUNTIF('03_地点锚点'!$A$2:$A$501,'05_层级表现LOD'!A129)+COUNTIF('04_路径网络'!$A$2:$A$501,'05_层级表现LOD'!A129)+COUNTIF('06_建筑锚点'!$A$2:$A$501,'05_层级表现LOD'!A129)=0),"LOD引用对象不存在；","")&amp;IF(AND('05_层级表现LOD'!A129&lt;&gt;"",COUNTIF('05_层级表现LOD'!$A$2:$A$501,'05_层级表现LOD'!A129)&gt;1),"ID重复；",""),"")</f>
        <v/>
      </c>
      <c r="G1629" s="14">
        <f>IF(F1629&lt;&gt;"","按字段批注、数据字典和来源记录修正后复核","")</f>
        <v/>
      </c>
      <c r="H1629" s="14">
        <f>IF(F1629&lt;&gt;"","待处理","")</f>
        <v/>
      </c>
    </row>
    <row r="1630">
      <c r="A1630" s="14">
        <f>IF(F1630&lt;&gt;"","ISSUE-"&amp;TEXT(ROW()-1,"00000"),"")</f>
        <v/>
      </c>
      <c r="B1630" s="14">
        <f>IF(F1630&lt;&gt;"","错误","")</f>
        <v/>
      </c>
      <c r="C1630" s="14">
        <f>IF('05_层级表现LOD'!A130&lt;&gt;"","05_层级表现LOD","")</f>
        <v/>
      </c>
      <c r="D1630" s="14">
        <f>IF('05_层级表现LOD'!A130&lt;&gt;"",'05_层级表现LOD'!A130,"")</f>
        <v/>
      </c>
      <c r="E1630" s="14">
        <f>IF(F1630&lt;&gt;"","综合校验","")</f>
        <v/>
      </c>
      <c r="F1630" s="14">
        <f>IF('05_层级表现LOD'!A130&lt;&gt;"",IF('05_层级表现LOD'!A130="","缺少对象ID；","")&amp;IF('05_层级表现LOD'!B130="","缺少对象类别；","")&amp;IF(AND('05_层级表现LOD'!A130&lt;&gt;"",COUNTIF('02_固定地理'!$A$2:$A$501,'05_层级表现LOD'!A130)+COUNTIF('03_地点锚点'!$A$2:$A$501,'05_层级表现LOD'!A130)+COUNTIF('04_路径网络'!$A$2:$A$501,'05_层级表现LOD'!A130)+COUNTIF('06_建筑锚点'!$A$2:$A$501,'05_层级表现LOD'!A130)=0),"LOD引用对象不存在；","")&amp;IF(AND('05_层级表现LOD'!A130&lt;&gt;"",COUNTIF('05_层级表现LOD'!$A$2:$A$501,'05_层级表现LOD'!A130)&gt;1),"ID重复；",""),"")</f>
        <v/>
      </c>
      <c r="G1630" s="14">
        <f>IF(F1630&lt;&gt;"","按字段批注、数据字典和来源记录修正后复核","")</f>
        <v/>
      </c>
      <c r="H1630" s="14">
        <f>IF(F1630&lt;&gt;"","待处理","")</f>
        <v/>
      </c>
    </row>
    <row r="1631">
      <c r="A1631" s="14">
        <f>IF(F1631&lt;&gt;"","ISSUE-"&amp;TEXT(ROW()-1,"00000"),"")</f>
        <v/>
      </c>
      <c r="B1631" s="14">
        <f>IF(F1631&lt;&gt;"","错误","")</f>
        <v/>
      </c>
      <c r="C1631" s="14">
        <f>IF('05_层级表现LOD'!A131&lt;&gt;"","05_层级表现LOD","")</f>
        <v/>
      </c>
      <c r="D1631" s="14">
        <f>IF('05_层级表现LOD'!A131&lt;&gt;"",'05_层级表现LOD'!A131,"")</f>
        <v/>
      </c>
      <c r="E1631" s="14">
        <f>IF(F1631&lt;&gt;"","综合校验","")</f>
        <v/>
      </c>
      <c r="F1631" s="14">
        <f>IF('05_层级表现LOD'!A131&lt;&gt;"",IF('05_层级表现LOD'!A131="","缺少对象ID；","")&amp;IF('05_层级表现LOD'!B131="","缺少对象类别；","")&amp;IF(AND('05_层级表现LOD'!A131&lt;&gt;"",COUNTIF('02_固定地理'!$A$2:$A$501,'05_层级表现LOD'!A131)+COUNTIF('03_地点锚点'!$A$2:$A$501,'05_层级表现LOD'!A131)+COUNTIF('04_路径网络'!$A$2:$A$501,'05_层级表现LOD'!A131)+COUNTIF('06_建筑锚点'!$A$2:$A$501,'05_层级表现LOD'!A131)=0),"LOD引用对象不存在；","")&amp;IF(AND('05_层级表现LOD'!A131&lt;&gt;"",COUNTIF('05_层级表现LOD'!$A$2:$A$501,'05_层级表现LOD'!A131)&gt;1),"ID重复；",""),"")</f>
        <v/>
      </c>
      <c r="G1631" s="14">
        <f>IF(F1631&lt;&gt;"","按字段批注、数据字典和来源记录修正后复核","")</f>
        <v/>
      </c>
      <c r="H1631" s="14">
        <f>IF(F1631&lt;&gt;"","待处理","")</f>
        <v/>
      </c>
    </row>
    <row r="1632">
      <c r="A1632" s="14">
        <f>IF(F1632&lt;&gt;"","ISSUE-"&amp;TEXT(ROW()-1,"00000"),"")</f>
        <v/>
      </c>
      <c r="B1632" s="14">
        <f>IF(F1632&lt;&gt;"","错误","")</f>
        <v/>
      </c>
      <c r="C1632" s="14">
        <f>IF('05_层级表现LOD'!A132&lt;&gt;"","05_层级表现LOD","")</f>
        <v/>
      </c>
      <c r="D1632" s="14">
        <f>IF('05_层级表现LOD'!A132&lt;&gt;"",'05_层级表现LOD'!A132,"")</f>
        <v/>
      </c>
      <c r="E1632" s="14">
        <f>IF(F1632&lt;&gt;"","综合校验","")</f>
        <v/>
      </c>
      <c r="F1632" s="14">
        <f>IF('05_层级表现LOD'!A132&lt;&gt;"",IF('05_层级表现LOD'!A132="","缺少对象ID；","")&amp;IF('05_层级表现LOD'!B132="","缺少对象类别；","")&amp;IF(AND('05_层级表现LOD'!A132&lt;&gt;"",COUNTIF('02_固定地理'!$A$2:$A$501,'05_层级表现LOD'!A132)+COUNTIF('03_地点锚点'!$A$2:$A$501,'05_层级表现LOD'!A132)+COUNTIF('04_路径网络'!$A$2:$A$501,'05_层级表现LOD'!A132)+COUNTIF('06_建筑锚点'!$A$2:$A$501,'05_层级表现LOD'!A132)=0),"LOD引用对象不存在；","")&amp;IF(AND('05_层级表现LOD'!A132&lt;&gt;"",COUNTIF('05_层级表现LOD'!$A$2:$A$501,'05_层级表现LOD'!A132)&gt;1),"ID重复；",""),"")</f>
        <v/>
      </c>
      <c r="G1632" s="14">
        <f>IF(F1632&lt;&gt;"","按字段批注、数据字典和来源记录修正后复核","")</f>
        <v/>
      </c>
      <c r="H1632" s="14">
        <f>IF(F1632&lt;&gt;"","待处理","")</f>
        <v/>
      </c>
    </row>
    <row r="1633">
      <c r="A1633" s="14">
        <f>IF(F1633&lt;&gt;"","ISSUE-"&amp;TEXT(ROW()-1,"00000"),"")</f>
        <v/>
      </c>
      <c r="B1633" s="14">
        <f>IF(F1633&lt;&gt;"","错误","")</f>
        <v/>
      </c>
      <c r="C1633" s="14">
        <f>IF('05_层级表现LOD'!A133&lt;&gt;"","05_层级表现LOD","")</f>
        <v/>
      </c>
      <c r="D1633" s="14">
        <f>IF('05_层级表现LOD'!A133&lt;&gt;"",'05_层级表现LOD'!A133,"")</f>
        <v/>
      </c>
      <c r="E1633" s="14">
        <f>IF(F1633&lt;&gt;"","综合校验","")</f>
        <v/>
      </c>
      <c r="F1633" s="14">
        <f>IF('05_层级表现LOD'!A133&lt;&gt;"",IF('05_层级表现LOD'!A133="","缺少对象ID；","")&amp;IF('05_层级表现LOD'!B133="","缺少对象类别；","")&amp;IF(AND('05_层级表现LOD'!A133&lt;&gt;"",COUNTIF('02_固定地理'!$A$2:$A$501,'05_层级表现LOD'!A133)+COUNTIF('03_地点锚点'!$A$2:$A$501,'05_层级表现LOD'!A133)+COUNTIF('04_路径网络'!$A$2:$A$501,'05_层级表现LOD'!A133)+COUNTIF('06_建筑锚点'!$A$2:$A$501,'05_层级表现LOD'!A133)=0),"LOD引用对象不存在；","")&amp;IF(AND('05_层级表现LOD'!A133&lt;&gt;"",COUNTIF('05_层级表现LOD'!$A$2:$A$501,'05_层级表现LOD'!A133)&gt;1),"ID重复；",""),"")</f>
        <v/>
      </c>
      <c r="G1633" s="14">
        <f>IF(F1633&lt;&gt;"","按字段批注、数据字典和来源记录修正后复核","")</f>
        <v/>
      </c>
      <c r="H1633" s="14">
        <f>IF(F1633&lt;&gt;"","待处理","")</f>
        <v/>
      </c>
    </row>
    <row r="1634">
      <c r="A1634" s="14">
        <f>IF(F1634&lt;&gt;"","ISSUE-"&amp;TEXT(ROW()-1,"00000"),"")</f>
        <v/>
      </c>
      <c r="B1634" s="14">
        <f>IF(F1634&lt;&gt;"","错误","")</f>
        <v/>
      </c>
      <c r="C1634" s="14">
        <f>IF('05_层级表现LOD'!A134&lt;&gt;"","05_层级表现LOD","")</f>
        <v/>
      </c>
      <c r="D1634" s="14">
        <f>IF('05_层级表现LOD'!A134&lt;&gt;"",'05_层级表现LOD'!A134,"")</f>
        <v/>
      </c>
      <c r="E1634" s="14">
        <f>IF(F1634&lt;&gt;"","综合校验","")</f>
        <v/>
      </c>
      <c r="F1634" s="14">
        <f>IF('05_层级表现LOD'!A134&lt;&gt;"",IF('05_层级表现LOD'!A134="","缺少对象ID；","")&amp;IF('05_层级表现LOD'!B134="","缺少对象类别；","")&amp;IF(AND('05_层级表现LOD'!A134&lt;&gt;"",COUNTIF('02_固定地理'!$A$2:$A$501,'05_层级表现LOD'!A134)+COUNTIF('03_地点锚点'!$A$2:$A$501,'05_层级表现LOD'!A134)+COUNTIF('04_路径网络'!$A$2:$A$501,'05_层级表现LOD'!A134)+COUNTIF('06_建筑锚点'!$A$2:$A$501,'05_层级表现LOD'!A134)=0),"LOD引用对象不存在；","")&amp;IF(AND('05_层级表现LOD'!A134&lt;&gt;"",COUNTIF('05_层级表现LOD'!$A$2:$A$501,'05_层级表现LOD'!A134)&gt;1),"ID重复；",""),"")</f>
        <v/>
      </c>
      <c r="G1634" s="14">
        <f>IF(F1634&lt;&gt;"","按字段批注、数据字典和来源记录修正后复核","")</f>
        <v/>
      </c>
      <c r="H1634" s="14">
        <f>IF(F1634&lt;&gt;"","待处理","")</f>
        <v/>
      </c>
    </row>
    <row r="1635">
      <c r="A1635" s="14">
        <f>IF(F1635&lt;&gt;"","ISSUE-"&amp;TEXT(ROW()-1,"00000"),"")</f>
        <v/>
      </c>
      <c r="B1635" s="14">
        <f>IF(F1635&lt;&gt;"","错误","")</f>
        <v/>
      </c>
      <c r="C1635" s="14">
        <f>IF('05_层级表现LOD'!A135&lt;&gt;"","05_层级表现LOD","")</f>
        <v/>
      </c>
      <c r="D1635" s="14">
        <f>IF('05_层级表现LOD'!A135&lt;&gt;"",'05_层级表现LOD'!A135,"")</f>
        <v/>
      </c>
      <c r="E1635" s="14">
        <f>IF(F1635&lt;&gt;"","综合校验","")</f>
        <v/>
      </c>
      <c r="F1635" s="14">
        <f>IF('05_层级表现LOD'!A135&lt;&gt;"",IF('05_层级表现LOD'!A135="","缺少对象ID；","")&amp;IF('05_层级表现LOD'!B135="","缺少对象类别；","")&amp;IF(AND('05_层级表现LOD'!A135&lt;&gt;"",COUNTIF('02_固定地理'!$A$2:$A$501,'05_层级表现LOD'!A135)+COUNTIF('03_地点锚点'!$A$2:$A$501,'05_层级表现LOD'!A135)+COUNTIF('04_路径网络'!$A$2:$A$501,'05_层级表现LOD'!A135)+COUNTIF('06_建筑锚点'!$A$2:$A$501,'05_层级表现LOD'!A135)=0),"LOD引用对象不存在；","")&amp;IF(AND('05_层级表现LOD'!A135&lt;&gt;"",COUNTIF('05_层级表现LOD'!$A$2:$A$501,'05_层级表现LOD'!A135)&gt;1),"ID重复；",""),"")</f>
        <v/>
      </c>
      <c r="G1635" s="14">
        <f>IF(F1635&lt;&gt;"","按字段批注、数据字典和来源记录修正后复核","")</f>
        <v/>
      </c>
      <c r="H1635" s="14">
        <f>IF(F1635&lt;&gt;"","待处理","")</f>
        <v/>
      </c>
    </row>
    <row r="1636">
      <c r="A1636" s="14">
        <f>IF(F1636&lt;&gt;"","ISSUE-"&amp;TEXT(ROW()-1,"00000"),"")</f>
        <v/>
      </c>
      <c r="B1636" s="14">
        <f>IF(F1636&lt;&gt;"","错误","")</f>
        <v/>
      </c>
      <c r="C1636" s="14">
        <f>IF('05_层级表现LOD'!A136&lt;&gt;"","05_层级表现LOD","")</f>
        <v/>
      </c>
      <c r="D1636" s="14">
        <f>IF('05_层级表现LOD'!A136&lt;&gt;"",'05_层级表现LOD'!A136,"")</f>
        <v/>
      </c>
      <c r="E1636" s="14">
        <f>IF(F1636&lt;&gt;"","综合校验","")</f>
        <v/>
      </c>
      <c r="F1636" s="14">
        <f>IF('05_层级表现LOD'!A136&lt;&gt;"",IF('05_层级表现LOD'!A136="","缺少对象ID；","")&amp;IF('05_层级表现LOD'!B136="","缺少对象类别；","")&amp;IF(AND('05_层级表现LOD'!A136&lt;&gt;"",COUNTIF('02_固定地理'!$A$2:$A$501,'05_层级表现LOD'!A136)+COUNTIF('03_地点锚点'!$A$2:$A$501,'05_层级表现LOD'!A136)+COUNTIF('04_路径网络'!$A$2:$A$501,'05_层级表现LOD'!A136)+COUNTIF('06_建筑锚点'!$A$2:$A$501,'05_层级表现LOD'!A136)=0),"LOD引用对象不存在；","")&amp;IF(AND('05_层级表现LOD'!A136&lt;&gt;"",COUNTIF('05_层级表现LOD'!$A$2:$A$501,'05_层级表现LOD'!A136)&gt;1),"ID重复；",""),"")</f>
        <v/>
      </c>
      <c r="G1636" s="14">
        <f>IF(F1636&lt;&gt;"","按字段批注、数据字典和来源记录修正后复核","")</f>
        <v/>
      </c>
      <c r="H1636" s="14">
        <f>IF(F1636&lt;&gt;"","待处理","")</f>
        <v/>
      </c>
    </row>
    <row r="1637">
      <c r="A1637" s="14">
        <f>IF(F1637&lt;&gt;"","ISSUE-"&amp;TEXT(ROW()-1,"00000"),"")</f>
        <v/>
      </c>
      <c r="B1637" s="14">
        <f>IF(F1637&lt;&gt;"","错误","")</f>
        <v/>
      </c>
      <c r="C1637" s="14">
        <f>IF('05_层级表现LOD'!A137&lt;&gt;"","05_层级表现LOD","")</f>
        <v/>
      </c>
      <c r="D1637" s="14">
        <f>IF('05_层级表现LOD'!A137&lt;&gt;"",'05_层级表现LOD'!A137,"")</f>
        <v/>
      </c>
      <c r="E1637" s="14">
        <f>IF(F1637&lt;&gt;"","综合校验","")</f>
        <v/>
      </c>
      <c r="F1637" s="14">
        <f>IF('05_层级表现LOD'!A137&lt;&gt;"",IF('05_层级表现LOD'!A137="","缺少对象ID；","")&amp;IF('05_层级表现LOD'!B137="","缺少对象类别；","")&amp;IF(AND('05_层级表现LOD'!A137&lt;&gt;"",COUNTIF('02_固定地理'!$A$2:$A$501,'05_层级表现LOD'!A137)+COUNTIF('03_地点锚点'!$A$2:$A$501,'05_层级表现LOD'!A137)+COUNTIF('04_路径网络'!$A$2:$A$501,'05_层级表现LOD'!A137)+COUNTIF('06_建筑锚点'!$A$2:$A$501,'05_层级表现LOD'!A137)=0),"LOD引用对象不存在；","")&amp;IF(AND('05_层级表现LOD'!A137&lt;&gt;"",COUNTIF('05_层级表现LOD'!$A$2:$A$501,'05_层级表现LOD'!A137)&gt;1),"ID重复；",""),"")</f>
        <v/>
      </c>
      <c r="G1637" s="14">
        <f>IF(F1637&lt;&gt;"","按字段批注、数据字典和来源记录修正后复核","")</f>
        <v/>
      </c>
      <c r="H1637" s="14">
        <f>IF(F1637&lt;&gt;"","待处理","")</f>
        <v/>
      </c>
    </row>
    <row r="1638">
      <c r="A1638" s="14">
        <f>IF(F1638&lt;&gt;"","ISSUE-"&amp;TEXT(ROW()-1,"00000"),"")</f>
        <v/>
      </c>
      <c r="B1638" s="14">
        <f>IF(F1638&lt;&gt;"","错误","")</f>
        <v/>
      </c>
      <c r="C1638" s="14">
        <f>IF('05_层级表现LOD'!A138&lt;&gt;"","05_层级表现LOD","")</f>
        <v/>
      </c>
      <c r="D1638" s="14">
        <f>IF('05_层级表现LOD'!A138&lt;&gt;"",'05_层级表现LOD'!A138,"")</f>
        <v/>
      </c>
      <c r="E1638" s="14">
        <f>IF(F1638&lt;&gt;"","综合校验","")</f>
        <v/>
      </c>
      <c r="F1638" s="14">
        <f>IF('05_层级表现LOD'!A138&lt;&gt;"",IF('05_层级表现LOD'!A138="","缺少对象ID；","")&amp;IF('05_层级表现LOD'!B138="","缺少对象类别；","")&amp;IF(AND('05_层级表现LOD'!A138&lt;&gt;"",COUNTIF('02_固定地理'!$A$2:$A$501,'05_层级表现LOD'!A138)+COUNTIF('03_地点锚点'!$A$2:$A$501,'05_层级表现LOD'!A138)+COUNTIF('04_路径网络'!$A$2:$A$501,'05_层级表现LOD'!A138)+COUNTIF('06_建筑锚点'!$A$2:$A$501,'05_层级表现LOD'!A138)=0),"LOD引用对象不存在；","")&amp;IF(AND('05_层级表现LOD'!A138&lt;&gt;"",COUNTIF('05_层级表现LOD'!$A$2:$A$501,'05_层级表现LOD'!A138)&gt;1),"ID重复；",""),"")</f>
        <v/>
      </c>
      <c r="G1638" s="14">
        <f>IF(F1638&lt;&gt;"","按字段批注、数据字典和来源记录修正后复核","")</f>
        <v/>
      </c>
      <c r="H1638" s="14">
        <f>IF(F1638&lt;&gt;"","待处理","")</f>
        <v/>
      </c>
    </row>
    <row r="1639">
      <c r="A1639" s="14">
        <f>IF(F1639&lt;&gt;"","ISSUE-"&amp;TEXT(ROW()-1,"00000"),"")</f>
        <v/>
      </c>
      <c r="B1639" s="14">
        <f>IF(F1639&lt;&gt;"","错误","")</f>
        <v/>
      </c>
      <c r="C1639" s="14">
        <f>IF('05_层级表现LOD'!A139&lt;&gt;"","05_层级表现LOD","")</f>
        <v/>
      </c>
      <c r="D1639" s="14">
        <f>IF('05_层级表现LOD'!A139&lt;&gt;"",'05_层级表现LOD'!A139,"")</f>
        <v/>
      </c>
      <c r="E1639" s="14">
        <f>IF(F1639&lt;&gt;"","综合校验","")</f>
        <v/>
      </c>
      <c r="F1639" s="14">
        <f>IF('05_层级表现LOD'!A139&lt;&gt;"",IF('05_层级表现LOD'!A139="","缺少对象ID；","")&amp;IF('05_层级表现LOD'!B139="","缺少对象类别；","")&amp;IF(AND('05_层级表现LOD'!A139&lt;&gt;"",COUNTIF('02_固定地理'!$A$2:$A$501,'05_层级表现LOD'!A139)+COUNTIF('03_地点锚点'!$A$2:$A$501,'05_层级表现LOD'!A139)+COUNTIF('04_路径网络'!$A$2:$A$501,'05_层级表现LOD'!A139)+COUNTIF('06_建筑锚点'!$A$2:$A$501,'05_层级表现LOD'!A139)=0),"LOD引用对象不存在；","")&amp;IF(AND('05_层级表现LOD'!A139&lt;&gt;"",COUNTIF('05_层级表现LOD'!$A$2:$A$501,'05_层级表现LOD'!A139)&gt;1),"ID重复；",""),"")</f>
        <v/>
      </c>
      <c r="G1639" s="14">
        <f>IF(F1639&lt;&gt;"","按字段批注、数据字典和来源记录修正后复核","")</f>
        <v/>
      </c>
      <c r="H1639" s="14">
        <f>IF(F1639&lt;&gt;"","待处理","")</f>
        <v/>
      </c>
    </row>
    <row r="1640">
      <c r="A1640" s="14">
        <f>IF(F1640&lt;&gt;"","ISSUE-"&amp;TEXT(ROW()-1,"00000"),"")</f>
        <v/>
      </c>
      <c r="B1640" s="14">
        <f>IF(F1640&lt;&gt;"","错误","")</f>
        <v/>
      </c>
      <c r="C1640" s="14">
        <f>IF('05_层级表现LOD'!A140&lt;&gt;"","05_层级表现LOD","")</f>
        <v/>
      </c>
      <c r="D1640" s="14">
        <f>IF('05_层级表现LOD'!A140&lt;&gt;"",'05_层级表现LOD'!A140,"")</f>
        <v/>
      </c>
      <c r="E1640" s="14">
        <f>IF(F1640&lt;&gt;"","综合校验","")</f>
        <v/>
      </c>
      <c r="F1640" s="14">
        <f>IF('05_层级表现LOD'!A140&lt;&gt;"",IF('05_层级表现LOD'!A140="","缺少对象ID；","")&amp;IF('05_层级表现LOD'!B140="","缺少对象类别；","")&amp;IF(AND('05_层级表现LOD'!A140&lt;&gt;"",COUNTIF('02_固定地理'!$A$2:$A$501,'05_层级表现LOD'!A140)+COUNTIF('03_地点锚点'!$A$2:$A$501,'05_层级表现LOD'!A140)+COUNTIF('04_路径网络'!$A$2:$A$501,'05_层级表现LOD'!A140)+COUNTIF('06_建筑锚点'!$A$2:$A$501,'05_层级表现LOD'!A140)=0),"LOD引用对象不存在；","")&amp;IF(AND('05_层级表现LOD'!A140&lt;&gt;"",COUNTIF('05_层级表现LOD'!$A$2:$A$501,'05_层级表现LOD'!A140)&gt;1),"ID重复；",""),"")</f>
        <v/>
      </c>
      <c r="G1640" s="14">
        <f>IF(F1640&lt;&gt;"","按字段批注、数据字典和来源记录修正后复核","")</f>
        <v/>
      </c>
      <c r="H1640" s="14">
        <f>IF(F1640&lt;&gt;"","待处理","")</f>
        <v/>
      </c>
    </row>
    <row r="1641">
      <c r="A1641" s="14">
        <f>IF(F1641&lt;&gt;"","ISSUE-"&amp;TEXT(ROW()-1,"00000"),"")</f>
        <v/>
      </c>
      <c r="B1641" s="14">
        <f>IF(F1641&lt;&gt;"","错误","")</f>
        <v/>
      </c>
      <c r="C1641" s="14">
        <f>IF('05_层级表现LOD'!A141&lt;&gt;"","05_层级表现LOD","")</f>
        <v/>
      </c>
      <c r="D1641" s="14">
        <f>IF('05_层级表现LOD'!A141&lt;&gt;"",'05_层级表现LOD'!A141,"")</f>
        <v/>
      </c>
      <c r="E1641" s="14">
        <f>IF(F1641&lt;&gt;"","综合校验","")</f>
        <v/>
      </c>
      <c r="F1641" s="14">
        <f>IF('05_层级表现LOD'!A141&lt;&gt;"",IF('05_层级表现LOD'!A141="","缺少对象ID；","")&amp;IF('05_层级表现LOD'!B141="","缺少对象类别；","")&amp;IF(AND('05_层级表现LOD'!A141&lt;&gt;"",COUNTIF('02_固定地理'!$A$2:$A$501,'05_层级表现LOD'!A141)+COUNTIF('03_地点锚点'!$A$2:$A$501,'05_层级表现LOD'!A141)+COUNTIF('04_路径网络'!$A$2:$A$501,'05_层级表现LOD'!A141)+COUNTIF('06_建筑锚点'!$A$2:$A$501,'05_层级表现LOD'!A141)=0),"LOD引用对象不存在；","")&amp;IF(AND('05_层级表现LOD'!A141&lt;&gt;"",COUNTIF('05_层级表现LOD'!$A$2:$A$501,'05_层级表现LOD'!A141)&gt;1),"ID重复；",""),"")</f>
        <v/>
      </c>
      <c r="G1641" s="14">
        <f>IF(F1641&lt;&gt;"","按字段批注、数据字典和来源记录修正后复核","")</f>
        <v/>
      </c>
      <c r="H1641" s="14">
        <f>IF(F1641&lt;&gt;"","待处理","")</f>
        <v/>
      </c>
    </row>
    <row r="1642">
      <c r="A1642" s="14">
        <f>IF(F1642&lt;&gt;"","ISSUE-"&amp;TEXT(ROW()-1,"00000"),"")</f>
        <v/>
      </c>
      <c r="B1642" s="14">
        <f>IF(F1642&lt;&gt;"","错误","")</f>
        <v/>
      </c>
      <c r="C1642" s="14">
        <f>IF('05_层级表现LOD'!A142&lt;&gt;"","05_层级表现LOD","")</f>
        <v/>
      </c>
      <c r="D1642" s="14">
        <f>IF('05_层级表现LOD'!A142&lt;&gt;"",'05_层级表现LOD'!A142,"")</f>
        <v/>
      </c>
      <c r="E1642" s="14">
        <f>IF(F1642&lt;&gt;"","综合校验","")</f>
        <v/>
      </c>
      <c r="F1642" s="14">
        <f>IF('05_层级表现LOD'!A142&lt;&gt;"",IF('05_层级表现LOD'!A142="","缺少对象ID；","")&amp;IF('05_层级表现LOD'!B142="","缺少对象类别；","")&amp;IF(AND('05_层级表现LOD'!A142&lt;&gt;"",COUNTIF('02_固定地理'!$A$2:$A$501,'05_层级表现LOD'!A142)+COUNTIF('03_地点锚点'!$A$2:$A$501,'05_层级表现LOD'!A142)+COUNTIF('04_路径网络'!$A$2:$A$501,'05_层级表现LOD'!A142)+COUNTIF('06_建筑锚点'!$A$2:$A$501,'05_层级表现LOD'!A142)=0),"LOD引用对象不存在；","")&amp;IF(AND('05_层级表现LOD'!A142&lt;&gt;"",COUNTIF('05_层级表现LOD'!$A$2:$A$501,'05_层级表现LOD'!A142)&gt;1),"ID重复；",""),"")</f>
        <v/>
      </c>
      <c r="G1642" s="14">
        <f>IF(F1642&lt;&gt;"","按字段批注、数据字典和来源记录修正后复核","")</f>
        <v/>
      </c>
      <c r="H1642" s="14">
        <f>IF(F1642&lt;&gt;"","待处理","")</f>
        <v/>
      </c>
    </row>
    <row r="1643">
      <c r="A1643" s="14">
        <f>IF(F1643&lt;&gt;"","ISSUE-"&amp;TEXT(ROW()-1,"00000"),"")</f>
        <v/>
      </c>
      <c r="B1643" s="14">
        <f>IF(F1643&lt;&gt;"","错误","")</f>
        <v/>
      </c>
      <c r="C1643" s="14">
        <f>IF('05_层级表现LOD'!A143&lt;&gt;"","05_层级表现LOD","")</f>
        <v/>
      </c>
      <c r="D1643" s="14">
        <f>IF('05_层级表现LOD'!A143&lt;&gt;"",'05_层级表现LOD'!A143,"")</f>
        <v/>
      </c>
      <c r="E1643" s="14">
        <f>IF(F1643&lt;&gt;"","综合校验","")</f>
        <v/>
      </c>
      <c r="F1643" s="14">
        <f>IF('05_层级表现LOD'!A143&lt;&gt;"",IF('05_层级表现LOD'!A143="","缺少对象ID；","")&amp;IF('05_层级表现LOD'!B143="","缺少对象类别；","")&amp;IF(AND('05_层级表现LOD'!A143&lt;&gt;"",COUNTIF('02_固定地理'!$A$2:$A$501,'05_层级表现LOD'!A143)+COUNTIF('03_地点锚点'!$A$2:$A$501,'05_层级表现LOD'!A143)+COUNTIF('04_路径网络'!$A$2:$A$501,'05_层级表现LOD'!A143)+COUNTIF('06_建筑锚点'!$A$2:$A$501,'05_层级表现LOD'!A143)=0),"LOD引用对象不存在；","")&amp;IF(AND('05_层级表现LOD'!A143&lt;&gt;"",COUNTIF('05_层级表现LOD'!$A$2:$A$501,'05_层级表现LOD'!A143)&gt;1),"ID重复；",""),"")</f>
        <v/>
      </c>
      <c r="G1643" s="14">
        <f>IF(F1643&lt;&gt;"","按字段批注、数据字典和来源记录修正后复核","")</f>
        <v/>
      </c>
      <c r="H1643" s="14">
        <f>IF(F1643&lt;&gt;"","待处理","")</f>
        <v/>
      </c>
    </row>
    <row r="1644">
      <c r="A1644" s="14">
        <f>IF(F1644&lt;&gt;"","ISSUE-"&amp;TEXT(ROW()-1,"00000"),"")</f>
        <v/>
      </c>
      <c r="B1644" s="14">
        <f>IF(F1644&lt;&gt;"","错误","")</f>
        <v/>
      </c>
      <c r="C1644" s="14">
        <f>IF('05_层级表现LOD'!A144&lt;&gt;"","05_层级表现LOD","")</f>
        <v/>
      </c>
      <c r="D1644" s="14">
        <f>IF('05_层级表现LOD'!A144&lt;&gt;"",'05_层级表现LOD'!A144,"")</f>
        <v/>
      </c>
      <c r="E1644" s="14">
        <f>IF(F1644&lt;&gt;"","综合校验","")</f>
        <v/>
      </c>
      <c r="F1644" s="14">
        <f>IF('05_层级表现LOD'!A144&lt;&gt;"",IF('05_层级表现LOD'!A144="","缺少对象ID；","")&amp;IF('05_层级表现LOD'!B144="","缺少对象类别；","")&amp;IF(AND('05_层级表现LOD'!A144&lt;&gt;"",COUNTIF('02_固定地理'!$A$2:$A$501,'05_层级表现LOD'!A144)+COUNTIF('03_地点锚点'!$A$2:$A$501,'05_层级表现LOD'!A144)+COUNTIF('04_路径网络'!$A$2:$A$501,'05_层级表现LOD'!A144)+COUNTIF('06_建筑锚点'!$A$2:$A$501,'05_层级表现LOD'!A144)=0),"LOD引用对象不存在；","")&amp;IF(AND('05_层级表现LOD'!A144&lt;&gt;"",COUNTIF('05_层级表现LOD'!$A$2:$A$501,'05_层级表现LOD'!A144)&gt;1),"ID重复；",""),"")</f>
        <v/>
      </c>
      <c r="G1644" s="14">
        <f>IF(F1644&lt;&gt;"","按字段批注、数据字典和来源记录修正后复核","")</f>
        <v/>
      </c>
      <c r="H1644" s="14">
        <f>IF(F1644&lt;&gt;"","待处理","")</f>
        <v/>
      </c>
    </row>
    <row r="1645">
      <c r="A1645" s="14">
        <f>IF(F1645&lt;&gt;"","ISSUE-"&amp;TEXT(ROW()-1,"00000"),"")</f>
        <v/>
      </c>
      <c r="B1645" s="14">
        <f>IF(F1645&lt;&gt;"","错误","")</f>
        <v/>
      </c>
      <c r="C1645" s="14">
        <f>IF('05_层级表现LOD'!A145&lt;&gt;"","05_层级表现LOD","")</f>
        <v/>
      </c>
      <c r="D1645" s="14">
        <f>IF('05_层级表现LOD'!A145&lt;&gt;"",'05_层级表现LOD'!A145,"")</f>
        <v/>
      </c>
      <c r="E1645" s="14">
        <f>IF(F1645&lt;&gt;"","综合校验","")</f>
        <v/>
      </c>
      <c r="F1645" s="14">
        <f>IF('05_层级表现LOD'!A145&lt;&gt;"",IF('05_层级表现LOD'!A145="","缺少对象ID；","")&amp;IF('05_层级表现LOD'!B145="","缺少对象类别；","")&amp;IF(AND('05_层级表现LOD'!A145&lt;&gt;"",COUNTIF('02_固定地理'!$A$2:$A$501,'05_层级表现LOD'!A145)+COUNTIF('03_地点锚点'!$A$2:$A$501,'05_层级表现LOD'!A145)+COUNTIF('04_路径网络'!$A$2:$A$501,'05_层级表现LOD'!A145)+COUNTIF('06_建筑锚点'!$A$2:$A$501,'05_层级表现LOD'!A145)=0),"LOD引用对象不存在；","")&amp;IF(AND('05_层级表现LOD'!A145&lt;&gt;"",COUNTIF('05_层级表现LOD'!$A$2:$A$501,'05_层级表现LOD'!A145)&gt;1),"ID重复；",""),"")</f>
        <v/>
      </c>
      <c r="G1645" s="14">
        <f>IF(F1645&lt;&gt;"","按字段批注、数据字典和来源记录修正后复核","")</f>
        <v/>
      </c>
      <c r="H1645" s="14">
        <f>IF(F1645&lt;&gt;"","待处理","")</f>
        <v/>
      </c>
    </row>
    <row r="1646">
      <c r="A1646" s="14">
        <f>IF(F1646&lt;&gt;"","ISSUE-"&amp;TEXT(ROW()-1,"00000"),"")</f>
        <v/>
      </c>
      <c r="B1646" s="14">
        <f>IF(F1646&lt;&gt;"","错误","")</f>
        <v/>
      </c>
      <c r="C1646" s="14">
        <f>IF('05_层级表现LOD'!A146&lt;&gt;"","05_层级表现LOD","")</f>
        <v/>
      </c>
      <c r="D1646" s="14">
        <f>IF('05_层级表现LOD'!A146&lt;&gt;"",'05_层级表现LOD'!A146,"")</f>
        <v/>
      </c>
      <c r="E1646" s="14">
        <f>IF(F1646&lt;&gt;"","综合校验","")</f>
        <v/>
      </c>
      <c r="F1646" s="14">
        <f>IF('05_层级表现LOD'!A146&lt;&gt;"",IF('05_层级表现LOD'!A146="","缺少对象ID；","")&amp;IF('05_层级表现LOD'!B146="","缺少对象类别；","")&amp;IF(AND('05_层级表现LOD'!A146&lt;&gt;"",COUNTIF('02_固定地理'!$A$2:$A$501,'05_层级表现LOD'!A146)+COUNTIF('03_地点锚点'!$A$2:$A$501,'05_层级表现LOD'!A146)+COUNTIF('04_路径网络'!$A$2:$A$501,'05_层级表现LOD'!A146)+COUNTIF('06_建筑锚点'!$A$2:$A$501,'05_层级表现LOD'!A146)=0),"LOD引用对象不存在；","")&amp;IF(AND('05_层级表现LOD'!A146&lt;&gt;"",COUNTIF('05_层级表现LOD'!$A$2:$A$501,'05_层级表现LOD'!A146)&gt;1),"ID重复；",""),"")</f>
        <v/>
      </c>
      <c r="G1646" s="14">
        <f>IF(F1646&lt;&gt;"","按字段批注、数据字典和来源记录修正后复核","")</f>
        <v/>
      </c>
      <c r="H1646" s="14">
        <f>IF(F1646&lt;&gt;"","待处理","")</f>
        <v/>
      </c>
    </row>
    <row r="1647">
      <c r="A1647" s="14">
        <f>IF(F1647&lt;&gt;"","ISSUE-"&amp;TEXT(ROW()-1,"00000"),"")</f>
        <v/>
      </c>
      <c r="B1647" s="14">
        <f>IF(F1647&lt;&gt;"","错误","")</f>
        <v/>
      </c>
      <c r="C1647" s="14">
        <f>IF('05_层级表现LOD'!A147&lt;&gt;"","05_层级表现LOD","")</f>
        <v/>
      </c>
      <c r="D1647" s="14">
        <f>IF('05_层级表现LOD'!A147&lt;&gt;"",'05_层级表现LOD'!A147,"")</f>
        <v/>
      </c>
      <c r="E1647" s="14">
        <f>IF(F1647&lt;&gt;"","综合校验","")</f>
        <v/>
      </c>
      <c r="F1647" s="14">
        <f>IF('05_层级表现LOD'!A147&lt;&gt;"",IF('05_层级表现LOD'!A147="","缺少对象ID；","")&amp;IF('05_层级表现LOD'!B147="","缺少对象类别；","")&amp;IF(AND('05_层级表现LOD'!A147&lt;&gt;"",COUNTIF('02_固定地理'!$A$2:$A$501,'05_层级表现LOD'!A147)+COUNTIF('03_地点锚点'!$A$2:$A$501,'05_层级表现LOD'!A147)+COUNTIF('04_路径网络'!$A$2:$A$501,'05_层级表现LOD'!A147)+COUNTIF('06_建筑锚点'!$A$2:$A$501,'05_层级表现LOD'!A147)=0),"LOD引用对象不存在；","")&amp;IF(AND('05_层级表现LOD'!A147&lt;&gt;"",COUNTIF('05_层级表现LOD'!$A$2:$A$501,'05_层级表现LOD'!A147)&gt;1),"ID重复；",""),"")</f>
        <v/>
      </c>
      <c r="G1647" s="14">
        <f>IF(F1647&lt;&gt;"","按字段批注、数据字典和来源记录修正后复核","")</f>
        <v/>
      </c>
      <c r="H1647" s="14">
        <f>IF(F1647&lt;&gt;"","待处理","")</f>
        <v/>
      </c>
    </row>
    <row r="1648">
      <c r="A1648" s="14">
        <f>IF(F1648&lt;&gt;"","ISSUE-"&amp;TEXT(ROW()-1,"00000"),"")</f>
        <v/>
      </c>
      <c r="B1648" s="14">
        <f>IF(F1648&lt;&gt;"","错误","")</f>
        <v/>
      </c>
      <c r="C1648" s="14">
        <f>IF('05_层级表现LOD'!A148&lt;&gt;"","05_层级表现LOD","")</f>
        <v/>
      </c>
      <c r="D1648" s="14">
        <f>IF('05_层级表现LOD'!A148&lt;&gt;"",'05_层级表现LOD'!A148,"")</f>
        <v/>
      </c>
      <c r="E1648" s="14">
        <f>IF(F1648&lt;&gt;"","综合校验","")</f>
        <v/>
      </c>
      <c r="F1648" s="14">
        <f>IF('05_层级表现LOD'!A148&lt;&gt;"",IF('05_层级表现LOD'!A148="","缺少对象ID；","")&amp;IF('05_层级表现LOD'!B148="","缺少对象类别；","")&amp;IF(AND('05_层级表现LOD'!A148&lt;&gt;"",COUNTIF('02_固定地理'!$A$2:$A$501,'05_层级表现LOD'!A148)+COUNTIF('03_地点锚点'!$A$2:$A$501,'05_层级表现LOD'!A148)+COUNTIF('04_路径网络'!$A$2:$A$501,'05_层级表现LOD'!A148)+COUNTIF('06_建筑锚点'!$A$2:$A$501,'05_层级表现LOD'!A148)=0),"LOD引用对象不存在；","")&amp;IF(AND('05_层级表现LOD'!A148&lt;&gt;"",COUNTIF('05_层级表现LOD'!$A$2:$A$501,'05_层级表现LOD'!A148)&gt;1),"ID重复；",""),"")</f>
        <v/>
      </c>
      <c r="G1648" s="14">
        <f>IF(F1648&lt;&gt;"","按字段批注、数据字典和来源记录修正后复核","")</f>
        <v/>
      </c>
      <c r="H1648" s="14">
        <f>IF(F1648&lt;&gt;"","待处理","")</f>
        <v/>
      </c>
    </row>
    <row r="1649">
      <c r="A1649" s="14">
        <f>IF(F1649&lt;&gt;"","ISSUE-"&amp;TEXT(ROW()-1,"00000"),"")</f>
        <v/>
      </c>
      <c r="B1649" s="14">
        <f>IF(F1649&lt;&gt;"","错误","")</f>
        <v/>
      </c>
      <c r="C1649" s="14">
        <f>IF('05_层级表现LOD'!A149&lt;&gt;"","05_层级表现LOD","")</f>
        <v/>
      </c>
      <c r="D1649" s="14">
        <f>IF('05_层级表现LOD'!A149&lt;&gt;"",'05_层级表现LOD'!A149,"")</f>
        <v/>
      </c>
      <c r="E1649" s="14">
        <f>IF(F1649&lt;&gt;"","综合校验","")</f>
        <v/>
      </c>
      <c r="F1649" s="14">
        <f>IF('05_层级表现LOD'!A149&lt;&gt;"",IF('05_层级表现LOD'!A149="","缺少对象ID；","")&amp;IF('05_层级表现LOD'!B149="","缺少对象类别；","")&amp;IF(AND('05_层级表现LOD'!A149&lt;&gt;"",COUNTIF('02_固定地理'!$A$2:$A$501,'05_层级表现LOD'!A149)+COUNTIF('03_地点锚点'!$A$2:$A$501,'05_层级表现LOD'!A149)+COUNTIF('04_路径网络'!$A$2:$A$501,'05_层级表现LOD'!A149)+COUNTIF('06_建筑锚点'!$A$2:$A$501,'05_层级表现LOD'!A149)=0),"LOD引用对象不存在；","")&amp;IF(AND('05_层级表现LOD'!A149&lt;&gt;"",COUNTIF('05_层级表现LOD'!$A$2:$A$501,'05_层级表现LOD'!A149)&gt;1),"ID重复；",""),"")</f>
        <v/>
      </c>
      <c r="G1649" s="14">
        <f>IF(F1649&lt;&gt;"","按字段批注、数据字典和来源记录修正后复核","")</f>
        <v/>
      </c>
      <c r="H1649" s="14">
        <f>IF(F1649&lt;&gt;"","待处理","")</f>
        <v/>
      </c>
    </row>
    <row r="1650">
      <c r="A1650" s="14">
        <f>IF(F1650&lt;&gt;"","ISSUE-"&amp;TEXT(ROW()-1,"00000"),"")</f>
        <v/>
      </c>
      <c r="B1650" s="14">
        <f>IF(F1650&lt;&gt;"","错误","")</f>
        <v/>
      </c>
      <c r="C1650" s="14">
        <f>IF('05_层级表现LOD'!A150&lt;&gt;"","05_层级表现LOD","")</f>
        <v/>
      </c>
      <c r="D1650" s="14">
        <f>IF('05_层级表现LOD'!A150&lt;&gt;"",'05_层级表现LOD'!A150,"")</f>
        <v/>
      </c>
      <c r="E1650" s="14">
        <f>IF(F1650&lt;&gt;"","综合校验","")</f>
        <v/>
      </c>
      <c r="F1650" s="14">
        <f>IF('05_层级表现LOD'!A150&lt;&gt;"",IF('05_层级表现LOD'!A150="","缺少对象ID；","")&amp;IF('05_层级表现LOD'!B150="","缺少对象类别；","")&amp;IF(AND('05_层级表现LOD'!A150&lt;&gt;"",COUNTIF('02_固定地理'!$A$2:$A$501,'05_层级表现LOD'!A150)+COUNTIF('03_地点锚点'!$A$2:$A$501,'05_层级表现LOD'!A150)+COUNTIF('04_路径网络'!$A$2:$A$501,'05_层级表现LOD'!A150)+COUNTIF('06_建筑锚点'!$A$2:$A$501,'05_层级表现LOD'!A150)=0),"LOD引用对象不存在；","")&amp;IF(AND('05_层级表现LOD'!A150&lt;&gt;"",COUNTIF('05_层级表现LOD'!$A$2:$A$501,'05_层级表现LOD'!A150)&gt;1),"ID重复；",""),"")</f>
        <v/>
      </c>
      <c r="G1650" s="14">
        <f>IF(F1650&lt;&gt;"","按字段批注、数据字典和来源记录修正后复核","")</f>
        <v/>
      </c>
      <c r="H1650" s="14">
        <f>IF(F1650&lt;&gt;"","待处理","")</f>
        <v/>
      </c>
    </row>
    <row r="1651">
      <c r="A1651" s="14">
        <f>IF(F1651&lt;&gt;"","ISSUE-"&amp;TEXT(ROW()-1,"00000"),"")</f>
        <v/>
      </c>
      <c r="B1651" s="14">
        <f>IF(F1651&lt;&gt;"","错误","")</f>
        <v/>
      </c>
      <c r="C1651" s="14">
        <f>IF('05_层级表现LOD'!A151&lt;&gt;"","05_层级表现LOD","")</f>
        <v/>
      </c>
      <c r="D1651" s="14">
        <f>IF('05_层级表现LOD'!A151&lt;&gt;"",'05_层级表现LOD'!A151,"")</f>
        <v/>
      </c>
      <c r="E1651" s="14">
        <f>IF(F1651&lt;&gt;"","综合校验","")</f>
        <v/>
      </c>
      <c r="F1651" s="14">
        <f>IF('05_层级表现LOD'!A151&lt;&gt;"",IF('05_层级表现LOD'!A151="","缺少对象ID；","")&amp;IF('05_层级表现LOD'!B151="","缺少对象类别；","")&amp;IF(AND('05_层级表现LOD'!A151&lt;&gt;"",COUNTIF('02_固定地理'!$A$2:$A$501,'05_层级表现LOD'!A151)+COUNTIF('03_地点锚点'!$A$2:$A$501,'05_层级表现LOD'!A151)+COUNTIF('04_路径网络'!$A$2:$A$501,'05_层级表现LOD'!A151)+COUNTIF('06_建筑锚点'!$A$2:$A$501,'05_层级表现LOD'!A151)=0),"LOD引用对象不存在；","")&amp;IF(AND('05_层级表现LOD'!A151&lt;&gt;"",COUNTIF('05_层级表现LOD'!$A$2:$A$501,'05_层级表现LOD'!A151)&gt;1),"ID重复；",""),"")</f>
        <v/>
      </c>
      <c r="G1651" s="14">
        <f>IF(F1651&lt;&gt;"","按字段批注、数据字典和来源记录修正后复核","")</f>
        <v/>
      </c>
      <c r="H1651" s="14">
        <f>IF(F1651&lt;&gt;"","待处理","")</f>
        <v/>
      </c>
    </row>
    <row r="1652">
      <c r="A1652" s="14">
        <f>IF(F1652&lt;&gt;"","ISSUE-"&amp;TEXT(ROW()-1,"00000"),"")</f>
        <v/>
      </c>
      <c r="B1652" s="14">
        <f>IF(F1652&lt;&gt;"","错误","")</f>
        <v/>
      </c>
      <c r="C1652" s="14">
        <f>IF('05_层级表现LOD'!A152&lt;&gt;"","05_层级表现LOD","")</f>
        <v/>
      </c>
      <c r="D1652" s="14">
        <f>IF('05_层级表现LOD'!A152&lt;&gt;"",'05_层级表现LOD'!A152,"")</f>
        <v/>
      </c>
      <c r="E1652" s="14">
        <f>IF(F1652&lt;&gt;"","综合校验","")</f>
        <v/>
      </c>
      <c r="F1652" s="14">
        <f>IF('05_层级表现LOD'!A152&lt;&gt;"",IF('05_层级表现LOD'!A152="","缺少对象ID；","")&amp;IF('05_层级表现LOD'!B152="","缺少对象类别；","")&amp;IF(AND('05_层级表现LOD'!A152&lt;&gt;"",COUNTIF('02_固定地理'!$A$2:$A$501,'05_层级表现LOD'!A152)+COUNTIF('03_地点锚点'!$A$2:$A$501,'05_层级表现LOD'!A152)+COUNTIF('04_路径网络'!$A$2:$A$501,'05_层级表现LOD'!A152)+COUNTIF('06_建筑锚点'!$A$2:$A$501,'05_层级表现LOD'!A152)=0),"LOD引用对象不存在；","")&amp;IF(AND('05_层级表现LOD'!A152&lt;&gt;"",COUNTIF('05_层级表现LOD'!$A$2:$A$501,'05_层级表现LOD'!A152)&gt;1),"ID重复；",""),"")</f>
        <v/>
      </c>
      <c r="G1652" s="14">
        <f>IF(F1652&lt;&gt;"","按字段批注、数据字典和来源记录修正后复核","")</f>
        <v/>
      </c>
      <c r="H1652" s="14">
        <f>IF(F1652&lt;&gt;"","待处理","")</f>
        <v/>
      </c>
    </row>
    <row r="1653">
      <c r="A1653" s="14">
        <f>IF(F1653&lt;&gt;"","ISSUE-"&amp;TEXT(ROW()-1,"00000"),"")</f>
        <v/>
      </c>
      <c r="B1653" s="14">
        <f>IF(F1653&lt;&gt;"","错误","")</f>
        <v/>
      </c>
      <c r="C1653" s="14">
        <f>IF('05_层级表现LOD'!A153&lt;&gt;"","05_层级表现LOD","")</f>
        <v/>
      </c>
      <c r="D1653" s="14">
        <f>IF('05_层级表现LOD'!A153&lt;&gt;"",'05_层级表现LOD'!A153,"")</f>
        <v/>
      </c>
      <c r="E1653" s="14">
        <f>IF(F1653&lt;&gt;"","综合校验","")</f>
        <v/>
      </c>
      <c r="F1653" s="14">
        <f>IF('05_层级表现LOD'!A153&lt;&gt;"",IF('05_层级表现LOD'!A153="","缺少对象ID；","")&amp;IF('05_层级表现LOD'!B153="","缺少对象类别；","")&amp;IF(AND('05_层级表现LOD'!A153&lt;&gt;"",COUNTIF('02_固定地理'!$A$2:$A$501,'05_层级表现LOD'!A153)+COUNTIF('03_地点锚点'!$A$2:$A$501,'05_层级表现LOD'!A153)+COUNTIF('04_路径网络'!$A$2:$A$501,'05_层级表现LOD'!A153)+COUNTIF('06_建筑锚点'!$A$2:$A$501,'05_层级表现LOD'!A153)=0),"LOD引用对象不存在；","")&amp;IF(AND('05_层级表现LOD'!A153&lt;&gt;"",COUNTIF('05_层级表现LOD'!$A$2:$A$501,'05_层级表现LOD'!A153)&gt;1),"ID重复；",""),"")</f>
        <v/>
      </c>
      <c r="G1653" s="14">
        <f>IF(F1653&lt;&gt;"","按字段批注、数据字典和来源记录修正后复核","")</f>
        <v/>
      </c>
      <c r="H1653" s="14">
        <f>IF(F1653&lt;&gt;"","待处理","")</f>
        <v/>
      </c>
    </row>
    <row r="1654">
      <c r="A1654" s="14">
        <f>IF(F1654&lt;&gt;"","ISSUE-"&amp;TEXT(ROW()-1,"00000"),"")</f>
        <v/>
      </c>
      <c r="B1654" s="14">
        <f>IF(F1654&lt;&gt;"","错误","")</f>
        <v/>
      </c>
      <c r="C1654" s="14">
        <f>IF('05_层级表现LOD'!A154&lt;&gt;"","05_层级表现LOD","")</f>
        <v/>
      </c>
      <c r="D1654" s="14">
        <f>IF('05_层级表现LOD'!A154&lt;&gt;"",'05_层级表现LOD'!A154,"")</f>
        <v/>
      </c>
      <c r="E1654" s="14">
        <f>IF(F1654&lt;&gt;"","综合校验","")</f>
        <v/>
      </c>
      <c r="F1654" s="14">
        <f>IF('05_层级表现LOD'!A154&lt;&gt;"",IF('05_层级表现LOD'!A154="","缺少对象ID；","")&amp;IF('05_层级表现LOD'!B154="","缺少对象类别；","")&amp;IF(AND('05_层级表现LOD'!A154&lt;&gt;"",COUNTIF('02_固定地理'!$A$2:$A$501,'05_层级表现LOD'!A154)+COUNTIF('03_地点锚点'!$A$2:$A$501,'05_层级表现LOD'!A154)+COUNTIF('04_路径网络'!$A$2:$A$501,'05_层级表现LOD'!A154)+COUNTIF('06_建筑锚点'!$A$2:$A$501,'05_层级表现LOD'!A154)=0),"LOD引用对象不存在；","")&amp;IF(AND('05_层级表现LOD'!A154&lt;&gt;"",COUNTIF('05_层级表现LOD'!$A$2:$A$501,'05_层级表现LOD'!A154)&gt;1),"ID重复；",""),"")</f>
        <v/>
      </c>
      <c r="G1654" s="14">
        <f>IF(F1654&lt;&gt;"","按字段批注、数据字典和来源记录修正后复核","")</f>
        <v/>
      </c>
      <c r="H1654" s="14">
        <f>IF(F1654&lt;&gt;"","待处理","")</f>
        <v/>
      </c>
    </row>
    <row r="1655">
      <c r="A1655" s="14">
        <f>IF(F1655&lt;&gt;"","ISSUE-"&amp;TEXT(ROW()-1,"00000"),"")</f>
        <v/>
      </c>
      <c r="B1655" s="14">
        <f>IF(F1655&lt;&gt;"","错误","")</f>
        <v/>
      </c>
      <c r="C1655" s="14">
        <f>IF('05_层级表现LOD'!A155&lt;&gt;"","05_层级表现LOD","")</f>
        <v/>
      </c>
      <c r="D1655" s="14">
        <f>IF('05_层级表现LOD'!A155&lt;&gt;"",'05_层级表现LOD'!A155,"")</f>
        <v/>
      </c>
      <c r="E1655" s="14">
        <f>IF(F1655&lt;&gt;"","综合校验","")</f>
        <v/>
      </c>
      <c r="F1655" s="14">
        <f>IF('05_层级表现LOD'!A155&lt;&gt;"",IF('05_层级表现LOD'!A155="","缺少对象ID；","")&amp;IF('05_层级表现LOD'!B155="","缺少对象类别；","")&amp;IF(AND('05_层级表现LOD'!A155&lt;&gt;"",COUNTIF('02_固定地理'!$A$2:$A$501,'05_层级表现LOD'!A155)+COUNTIF('03_地点锚点'!$A$2:$A$501,'05_层级表现LOD'!A155)+COUNTIF('04_路径网络'!$A$2:$A$501,'05_层级表现LOD'!A155)+COUNTIF('06_建筑锚点'!$A$2:$A$501,'05_层级表现LOD'!A155)=0),"LOD引用对象不存在；","")&amp;IF(AND('05_层级表现LOD'!A155&lt;&gt;"",COUNTIF('05_层级表现LOD'!$A$2:$A$501,'05_层级表现LOD'!A155)&gt;1),"ID重复；",""),"")</f>
        <v/>
      </c>
      <c r="G1655" s="14">
        <f>IF(F1655&lt;&gt;"","按字段批注、数据字典和来源记录修正后复核","")</f>
        <v/>
      </c>
      <c r="H1655" s="14">
        <f>IF(F1655&lt;&gt;"","待处理","")</f>
        <v/>
      </c>
    </row>
    <row r="1656">
      <c r="A1656" s="14">
        <f>IF(F1656&lt;&gt;"","ISSUE-"&amp;TEXT(ROW()-1,"00000"),"")</f>
        <v/>
      </c>
      <c r="B1656" s="14">
        <f>IF(F1656&lt;&gt;"","错误","")</f>
        <v/>
      </c>
      <c r="C1656" s="14">
        <f>IF('05_层级表现LOD'!A156&lt;&gt;"","05_层级表现LOD","")</f>
        <v/>
      </c>
      <c r="D1656" s="14">
        <f>IF('05_层级表现LOD'!A156&lt;&gt;"",'05_层级表现LOD'!A156,"")</f>
        <v/>
      </c>
      <c r="E1656" s="14">
        <f>IF(F1656&lt;&gt;"","综合校验","")</f>
        <v/>
      </c>
      <c r="F1656" s="14">
        <f>IF('05_层级表现LOD'!A156&lt;&gt;"",IF('05_层级表现LOD'!A156="","缺少对象ID；","")&amp;IF('05_层级表现LOD'!B156="","缺少对象类别；","")&amp;IF(AND('05_层级表现LOD'!A156&lt;&gt;"",COUNTIF('02_固定地理'!$A$2:$A$501,'05_层级表现LOD'!A156)+COUNTIF('03_地点锚点'!$A$2:$A$501,'05_层级表现LOD'!A156)+COUNTIF('04_路径网络'!$A$2:$A$501,'05_层级表现LOD'!A156)+COUNTIF('06_建筑锚点'!$A$2:$A$501,'05_层级表现LOD'!A156)=0),"LOD引用对象不存在；","")&amp;IF(AND('05_层级表现LOD'!A156&lt;&gt;"",COUNTIF('05_层级表现LOD'!$A$2:$A$501,'05_层级表现LOD'!A156)&gt;1),"ID重复；",""),"")</f>
        <v/>
      </c>
      <c r="G1656" s="14">
        <f>IF(F1656&lt;&gt;"","按字段批注、数据字典和来源记录修正后复核","")</f>
        <v/>
      </c>
      <c r="H1656" s="14">
        <f>IF(F1656&lt;&gt;"","待处理","")</f>
        <v/>
      </c>
    </row>
    <row r="1657">
      <c r="A1657" s="14">
        <f>IF(F1657&lt;&gt;"","ISSUE-"&amp;TEXT(ROW()-1,"00000"),"")</f>
        <v/>
      </c>
      <c r="B1657" s="14">
        <f>IF(F1657&lt;&gt;"","错误","")</f>
        <v/>
      </c>
      <c r="C1657" s="14">
        <f>IF('05_层级表现LOD'!A157&lt;&gt;"","05_层级表现LOD","")</f>
        <v/>
      </c>
      <c r="D1657" s="14">
        <f>IF('05_层级表现LOD'!A157&lt;&gt;"",'05_层级表现LOD'!A157,"")</f>
        <v/>
      </c>
      <c r="E1657" s="14">
        <f>IF(F1657&lt;&gt;"","综合校验","")</f>
        <v/>
      </c>
      <c r="F1657" s="14">
        <f>IF('05_层级表现LOD'!A157&lt;&gt;"",IF('05_层级表现LOD'!A157="","缺少对象ID；","")&amp;IF('05_层级表现LOD'!B157="","缺少对象类别；","")&amp;IF(AND('05_层级表现LOD'!A157&lt;&gt;"",COUNTIF('02_固定地理'!$A$2:$A$501,'05_层级表现LOD'!A157)+COUNTIF('03_地点锚点'!$A$2:$A$501,'05_层级表现LOD'!A157)+COUNTIF('04_路径网络'!$A$2:$A$501,'05_层级表现LOD'!A157)+COUNTIF('06_建筑锚点'!$A$2:$A$501,'05_层级表现LOD'!A157)=0),"LOD引用对象不存在；","")&amp;IF(AND('05_层级表现LOD'!A157&lt;&gt;"",COUNTIF('05_层级表现LOD'!$A$2:$A$501,'05_层级表现LOD'!A157)&gt;1),"ID重复；",""),"")</f>
        <v/>
      </c>
      <c r="G1657" s="14">
        <f>IF(F1657&lt;&gt;"","按字段批注、数据字典和来源记录修正后复核","")</f>
        <v/>
      </c>
      <c r="H1657" s="14">
        <f>IF(F1657&lt;&gt;"","待处理","")</f>
        <v/>
      </c>
    </row>
    <row r="1658">
      <c r="A1658" s="14">
        <f>IF(F1658&lt;&gt;"","ISSUE-"&amp;TEXT(ROW()-1,"00000"),"")</f>
        <v/>
      </c>
      <c r="B1658" s="14">
        <f>IF(F1658&lt;&gt;"","错误","")</f>
        <v/>
      </c>
      <c r="C1658" s="14">
        <f>IF('05_层级表现LOD'!A158&lt;&gt;"","05_层级表现LOD","")</f>
        <v/>
      </c>
      <c r="D1658" s="14">
        <f>IF('05_层级表现LOD'!A158&lt;&gt;"",'05_层级表现LOD'!A158,"")</f>
        <v/>
      </c>
      <c r="E1658" s="14">
        <f>IF(F1658&lt;&gt;"","综合校验","")</f>
        <v/>
      </c>
      <c r="F1658" s="14">
        <f>IF('05_层级表现LOD'!A158&lt;&gt;"",IF('05_层级表现LOD'!A158="","缺少对象ID；","")&amp;IF('05_层级表现LOD'!B158="","缺少对象类别；","")&amp;IF(AND('05_层级表现LOD'!A158&lt;&gt;"",COUNTIF('02_固定地理'!$A$2:$A$501,'05_层级表现LOD'!A158)+COUNTIF('03_地点锚点'!$A$2:$A$501,'05_层级表现LOD'!A158)+COUNTIF('04_路径网络'!$A$2:$A$501,'05_层级表现LOD'!A158)+COUNTIF('06_建筑锚点'!$A$2:$A$501,'05_层级表现LOD'!A158)=0),"LOD引用对象不存在；","")&amp;IF(AND('05_层级表现LOD'!A158&lt;&gt;"",COUNTIF('05_层级表现LOD'!$A$2:$A$501,'05_层级表现LOD'!A158)&gt;1),"ID重复；",""),"")</f>
        <v/>
      </c>
      <c r="G1658" s="14">
        <f>IF(F1658&lt;&gt;"","按字段批注、数据字典和来源记录修正后复核","")</f>
        <v/>
      </c>
      <c r="H1658" s="14">
        <f>IF(F1658&lt;&gt;"","待处理","")</f>
        <v/>
      </c>
    </row>
    <row r="1659">
      <c r="A1659" s="14">
        <f>IF(F1659&lt;&gt;"","ISSUE-"&amp;TEXT(ROW()-1,"00000"),"")</f>
        <v/>
      </c>
      <c r="B1659" s="14">
        <f>IF(F1659&lt;&gt;"","错误","")</f>
        <v/>
      </c>
      <c r="C1659" s="14">
        <f>IF('05_层级表现LOD'!A159&lt;&gt;"","05_层级表现LOD","")</f>
        <v/>
      </c>
      <c r="D1659" s="14">
        <f>IF('05_层级表现LOD'!A159&lt;&gt;"",'05_层级表现LOD'!A159,"")</f>
        <v/>
      </c>
      <c r="E1659" s="14">
        <f>IF(F1659&lt;&gt;"","综合校验","")</f>
        <v/>
      </c>
      <c r="F1659" s="14">
        <f>IF('05_层级表现LOD'!A159&lt;&gt;"",IF('05_层级表现LOD'!A159="","缺少对象ID；","")&amp;IF('05_层级表现LOD'!B159="","缺少对象类别；","")&amp;IF(AND('05_层级表现LOD'!A159&lt;&gt;"",COUNTIF('02_固定地理'!$A$2:$A$501,'05_层级表现LOD'!A159)+COUNTIF('03_地点锚点'!$A$2:$A$501,'05_层级表现LOD'!A159)+COUNTIF('04_路径网络'!$A$2:$A$501,'05_层级表现LOD'!A159)+COUNTIF('06_建筑锚点'!$A$2:$A$501,'05_层级表现LOD'!A159)=0),"LOD引用对象不存在；","")&amp;IF(AND('05_层级表现LOD'!A159&lt;&gt;"",COUNTIF('05_层级表现LOD'!$A$2:$A$501,'05_层级表现LOD'!A159)&gt;1),"ID重复；",""),"")</f>
        <v/>
      </c>
      <c r="G1659" s="14">
        <f>IF(F1659&lt;&gt;"","按字段批注、数据字典和来源记录修正后复核","")</f>
        <v/>
      </c>
      <c r="H1659" s="14">
        <f>IF(F1659&lt;&gt;"","待处理","")</f>
        <v/>
      </c>
    </row>
    <row r="1660">
      <c r="A1660" s="14">
        <f>IF(F1660&lt;&gt;"","ISSUE-"&amp;TEXT(ROW()-1,"00000"),"")</f>
        <v/>
      </c>
      <c r="B1660" s="14">
        <f>IF(F1660&lt;&gt;"","错误","")</f>
        <v/>
      </c>
      <c r="C1660" s="14">
        <f>IF('05_层级表现LOD'!A160&lt;&gt;"","05_层级表现LOD","")</f>
        <v/>
      </c>
      <c r="D1660" s="14">
        <f>IF('05_层级表现LOD'!A160&lt;&gt;"",'05_层级表现LOD'!A160,"")</f>
        <v/>
      </c>
      <c r="E1660" s="14">
        <f>IF(F1660&lt;&gt;"","综合校验","")</f>
        <v/>
      </c>
      <c r="F1660" s="14">
        <f>IF('05_层级表现LOD'!A160&lt;&gt;"",IF('05_层级表现LOD'!A160="","缺少对象ID；","")&amp;IF('05_层级表现LOD'!B160="","缺少对象类别；","")&amp;IF(AND('05_层级表现LOD'!A160&lt;&gt;"",COUNTIF('02_固定地理'!$A$2:$A$501,'05_层级表现LOD'!A160)+COUNTIF('03_地点锚点'!$A$2:$A$501,'05_层级表现LOD'!A160)+COUNTIF('04_路径网络'!$A$2:$A$501,'05_层级表现LOD'!A160)+COUNTIF('06_建筑锚点'!$A$2:$A$501,'05_层级表现LOD'!A160)=0),"LOD引用对象不存在；","")&amp;IF(AND('05_层级表现LOD'!A160&lt;&gt;"",COUNTIF('05_层级表现LOD'!$A$2:$A$501,'05_层级表现LOD'!A160)&gt;1),"ID重复；",""),"")</f>
        <v/>
      </c>
      <c r="G1660" s="14">
        <f>IF(F1660&lt;&gt;"","按字段批注、数据字典和来源记录修正后复核","")</f>
        <v/>
      </c>
      <c r="H1660" s="14">
        <f>IF(F1660&lt;&gt;"","待处理","")</f>
        <v/>
      </c>
    </row>
    <row r="1661">
      <c r="A1661" s="14">
        <f>IF(F1661&lt;&gt;"","ISSUE-"&amp;TEXT(ROW()-1,"00000"),"")</f>
        <v/>
      </c>
      <c r="B1661" s="14">
        <f>IF(F1661&lt;&gt;"","错误","")</f>
        <v/>
      </c>
      <c r="C1661" s="14">
        <f>IF('05_层级表现LOD'!A161&lt;&gt;"","05_层级表现LOD","")</f>
        <v/>
      </c>
      <c r="D1661" s="14">
        <f>IF('05_层级表现LOD'!A161&lt;&gt;"",'05_层级表现LOD'!A161,"")</f>
        <v/>
      </c>
      <c r="E1661" s="14">
        <f>IF(F1661&lt;&gt;"","综合校验","")</f>
        <v/>
      </c>
      <c r="F1661" s="14">
        <f>IF('05_层级表现LOD'!A161&lt;&gt;"",IF('05_层级表现LOD'!A161="","缺少对象ID；","")&amp;IF('05_层级表现LOD'!B161="","缺少对象类别；","")&amp;IF(AND('05_层级表现LOD'!A161&lt;&gt;"",COUNTIF('02_固定地理'!$A$2:$A$501,'05_层级表现LOD'!A161)+COUNTIF('03_地点锚点'!$A$2:$A$501,'05_层级表现LOD'!A161)+COUNTIF('04_路径网络'!$A$2:$A$501,'05_层级表现LOD'!A161)+COUNTIF('06_建筑锚点'!$A$2:$A$501,'05_层级表现LOD'!A161)=0),"LOD引用对象不存在；","")&amp;IF(AND('05_层级表现LOD'!A161&lt;&gt;"",COUNTIF('05_层级表现LOD'!$A$2:$A$501,'05_层级表现LOD'!A161)&gt;1),"ID重复；",""),"")</f>
        <v/>
      </c>
      <c r="G1661" s="14">
        <f>IF(F1661&lt;&gt;"","按字段批注、数据字典和来源记录修正后复核","")</f>
        <v/>
      </c>
      <c r="H1661" s="14">
        <f>IF(F1661&lt;&gt;"","待处理","")</f>
        <v/>
      </c>
    </row>
    <row r="1662">
      <c r="A1662" s="14">
        <f>IF(F1662&lt;&gt;"","ISSUE-"&amp;TEXT(ROW()-1,"00000"),"")</f>
        <v/>
      </c>
      <c r="B1662" s="14">
        <f>IF(F1662&lt;&gt;"","错误","")</f>
        <v/>
      </c>
      <c r="C1662" s="14">
        <f>IF('05_层级表现LOD'!A162&lt;&gt;"","05_层级表现LOD","")</f>
        <v/>
      </c>
      <c r="D1662" s="14">
        <f>IF('05_层级表现LOD'!A162&lt;&gt;"",'05_层级表现LOD'!A162,"")</f>
        <v/>
      </c>
      <c r="E1662" s="14">
        <f>IF(F1662&lt;&gt;"","综合校验","")</f>
        <v/>
      </c>
      <c r="F1662" s="14">
        <f>IF('05_层级表现LOD'!A162&lt;&gt;"",IF('05_层级表现LOD'!A162="","缺少对象ID；","")&amp;IF('05_层级表现LOD'!B162="","缺少对象类别；","")&amp;IF(AND('05_层级表现LOD'!A162&lt;&gt;"",COUNTIF('02_固定地理'!$A$2:$A$501,'05_层级表现LOD'!A162)+COUNTIF('03_地点锚点'!$A$2:$A$501,'05_层级表现LOD'!A162)+COUNTIF('04_路径网络'!$A$2:$A$501,'05_层级表现LOD'!A162)+COUNTIF('06_建筑锚点'!$A$2:$A$501,'05_层级表现LOD'!A162)=0),"LOD引用对象不存在；","")&amp;IF(AND('05_层级表现LOD'!A162&lt;&gt;"",COUNTIF('05_层级表现LOD'!$A$2:$A$501,'05_层级表现LOD'!A162)&gt;1),"ID重复；",""),"")</f>
        <v/>
      </c>
      <c r="G1662" s="14">
        <f>IF(F1662&lt;&gt;"","按字段批注、数据字典和来源记录修正后复核","")</f>
        <v/>
      </c>
      <c r="H1662" s="14">
        <f>IF(F1662&lt;&gt;"","待处理","")</f>
        <v/>
      </c>
    </row>
    <row r="1663">
      <c r="A1663" s="14">
        <f>IF(F1663&lt;&gt;"","ISSUE-"&amp;TEXT(ROW()-1,"00000"),"")</f>
        <v/>
      </c>
      <c r="B1663" s="14">
        <f>IF(F1663&lt;&gt;"","错误","")</f>
        <v/>
      </c>
      <c r="C1663" s="14">
        <f>IF('05_层级表现LOD'!A163&lt;&gt;"","05_层级表现LOD","")</f>
        <v/>
      </c>
      <c r="D1663" s="14">
        <f>IF('05_层级表现LOD'!A163&lt;&gt;"",'05_层级表现LOD'!A163,"")</f>
        <v/>
      </c>
      <c r="E1663" s="14">
        <f>IF(F1663&lt;&gt;"","综合校验","")</f>
        <v/>
      </c>
      <c r="F1663" s="14">
        <f>IF('05_层级表现LOD'!A163&lt;&gt;"",IF('05_层级表现LOD'!A163="","缺少对象ID；","")&amp;IF('05_层级表现LOD'!B163="","缺少对象类别；","")&amp;IF(AND('05_层级表现LOD'!A163&lt;&gt;"",COUNTIF('02_固定地理'!$A$2:$A$501,'05_层级表现LOD'!A163)+COUNTIF('03_地点锚点'!$A$2:$A$501,'05_层级表现LOD'!A163)+COUNTIF('04_路径网络'!$A$2:$A$501,'05_层级表现LOD'!A163)+COUNTIF('06_建筑锚点'!$A$2:$A$501,'05_层级表现LOD'!A163)=0),"LOD引用对象不存在；","")&amp;IF(AND('05_层级表现LOD'!A163&lt;&gt;"",COUNTIF('05_层级表现LOD'!$A$2:$A$501,'05_层级表现LOD'!A163)&gt;1),"ID重复；",""),"")</f>
        <v/>
      </c>
      <c r="G1663" s="14">
        <f>IF(F1663&lt;&gt;"","按字段批注、数据字典和来源记录修正后复核","")</f>
        <v/>
      </c>
      <c r="H1663" s="14">
        <f>IF(F1663&lt;&gt;"","待处理","")</f>
        <v/>
      </c>
    </row>
    <row r="1664">
      <c r="A1664" s="14">
        <f>IF(F1664&lt;&gt;"","ISSUE-"&amp;TEXT(ROW()-1,"00000"),"")</f>
        <v/>
      </c>
      <c r="B1664" s="14">
        <f>IF(F1664&lt;&gt;"","错误","")</f>
        <v/>
      </c>
      <c r="C1664" s="14">
        <f>IF('05_层级表现LOD'!A164&lt;&gt;"","05_层级表现LOD","")</f>
        <v/>
      </c>
      <c r="D1664" s="14">
        <f>IF('05_层级表现LOD'!A164&lt;&gt;"",'05_层级表现LOD'!A164,"")</f>
        <v/>
      </c>
      <c r="E1664" s="14">
        <f>IF(F1664&lt;&gt;"","综合校验","")</f>
        <v/>
      </c>
      <c r="F1664" s="14">
        <f>IF('05_层级表现LOD'!A164&lt;&gt;"",IF('05_层级表现LOD'!A164="","缺少对象ID；","")&amp;IF('05_层级表现LOD'!B164="","缺少对象类别；","")&amp;IF(AND('05_层级表现LOD'!A164&lt;&gt;"",COUNTIF('02_固定地理'!$A$2:$A$501,'05_层级表现LOD'!A164)+COUNTIF('03_地点锚点'!$A$2:$A$501,'05_层级表现LOD'!A164)+COUNTIF('04_路径网络'!$A$2:$A$501,'05_层级表现LOD'!A164)+COUNTIF('06_建筑锚点'!$A$2:$A$501,'05_层级表现LOD'!A164)=0),"LOD引用对象不存在；","")&amp;IF(AND('05_层级表现LOD'!A164&lt;&gt;"",COUNTIF('05_层级表现LOD'!$A$2:$A$501,'05_层级表现LOD'!A164)&gt;1),"ID重复；",""),"")</f>
        <v/>
      </c>
      <c r="G1664" s="14">
        <f>IF(F1664&lt;&gt;"","按字段批注、数据字典和来源记录修正后复核","")</f>
        <v/>
      </c>
      <c r="H1664" s="14">
        <f>IF(F1664&lt;&gt;"","待处理","")</f>
        <v/>
      </c>
    </row>
    <row r="1665">
      <c r="A1665" s="14">
        <f>IF(F1665&lt;&gt;"","ISSUE-"&amp;TEXT(ROW()-1,"00000"),"")</f>
        <v/>
      </c>
      <c r="B1665" s="14">
        <f>IF(F1665&lt;&gt;"","错误","")</f>
        <v/>
      </c>
      <c r="C1665" s="14">
        <f>IF('05_层级表现LOD'!A165&lt;&gt;"","05_层级表现LOD","")</f>
        <v/>
      </c>
      <c r="D1665" s="14">
        <f>IF('05_层级表现LOD'!A165&lt;&gt;"",'05_层级表现LOD'!A165,"")</f>
        <v/>
      </c>
      <c r="E1665" s="14">
        <f>IF(F1665&lt;&gt;"","综合校验","")</f>
        <v/>
      </c>
      <c r="F1665" s="14">
        <f>IF('05_层级表现LOD'!A165&lt;&gt;"",IF('05_层级表现LOD'!A165="","缺少对象ID；","")&amp;IF('05_层级表现LOD'!B165="","缺少对象类别；","")&amp;IF(AND('05_层级表现LOD'!A165&lt;&gt;"",COUNTIF('02_固定地理'!$A$2:$A$501,'05_层级表现LOD'!A165)+COUNTIF('03_地点锚点'!$A$2:$A$501,'05_层级表现LOD'!A165)+COUNTIF('04_路径网络'!$A$2:$A$501,'05_层级表现LOD'!A165)+COUNTIF('06_建筑锚点'!$A$2:$A$501,'05_层级表现LOD'!A165)=0),"LOD引用对象不存在；","")&amp;IF(AND('05_层级表现LOD'!A165&lt;&gt;"",COUNTIF('05_层级表现LOD'!$A$2:$A$501,'05_层级表现LOD'!A165)&gt;1),"ID重复；",""),"")</f>
        <v/>
      </c>
      <c r="G1665" s="14">
        <f>IF(F1665&lt;&gt;"","按字段批注、数据字典和来源记录修正后复核","")</f>
        <v/>
      </c>
      <c r="H1665" s="14">
        <f>IF(F1665&lt;&gt;"","待处理","")</f>
        <v/>
      </c>
    </row>
    <row r="1666">
      <c r="A1666" s="14">
        <f>IF(F1666&lt;&gt;"","ISSUE-"&amp;TEXT(ROW()-1,"00000"),"")</f>
        <v/>
      </c>
      <c r="B1666" s="14">
        <f>IF(F1666&lt;&gt;"","错误","")</f>
        <v/>
      </c>
      <c r="C1666" s="14">
        <f>IF('05_层级表现LOD'!A166&lt;&gt;"","05_层级表现LOD","")</f>
        <v/>
      </c>
      <c r="D1666" s="14">
        <f>IF('05_层级表现LOD'!A166&lt;&gt;"",'05_层级表现LOD'!A166,"")</f>
        <v/>
      </c>
      <c r="E1666" s="14">
        <f>IF(F1666&lt;&gt;"","综合校验","")</f>
        <v/>
      </c>
      <c r="F1666" s="14">
        <f>IF('05_层级表现LOD'!A166&lt;&gt;"",IF('05_层级表现LOD'!A166="","缺少对象ID；","")&amp;IF('05_层级表现LOD'!B166="","缺少对象类别；","")&amp;IF(AND('05_层级表现LOD'!A166&lt;&gt;"",COUNTIF('02_固定地理'!$A$2:$A$501,'05_层级表现LOD'!A166)+COUNTIF('03_地点锚点'!$A$2:$A$501,'05_层级表现LOD'!A166)+COUNTIF('04_路径网络'!$A$2:$A$501,'05_层级表现LOD'!A166)+COUNTIF('06_建筑锚点'!$A$2:$A$501,'05_层级表现LOD'!A166)=0),"LOD引用对象不存在；","")&amp;IF(AND('05_层级表现LOD'!A166&lt;&gt;"",COUNTIF('05_层级表现LOD'!$A$2:$A$501,'05_层级表现LOD'!A166)&gt;1),"ID重复；",""),"")</f>
        <v/>
      </c>
      <c r="G1666" s="14">
        <f>IF(F1666&lt;&gt;"","按字段批注、数据字典和来源记录修正后复核","")</f>
        <v/>
      </c>
      <c r="H1666" s="14">
        <f>IF(F1666&lt;&gt;"","待处理","")</f>
        <v/>
      </c>
    </row>
    <row r="1667">
      <c r="A1667" s="14">
        <f>IF(F1667&lt;&gt;"","ISSUE-"&amp;TEXT(ROW()-1,"00000"),"")</f>
        <v/>
      </c>
      <c r="B1667" s="14">
        <f>IF(F1667&lt;&gt;"","错误","")</f>
        <v/>
      </c>
      <c r="C1667" s="14">
        <f>IF('05_层级表现LOD'!A167&lt;&gt;"","05_层级表现LOD","")</f>
        <v/>
      </c>
      <c r="D1667" s="14">
        <f>IF('05_层级表现LOD'!A167&lt;&gt;"",'05_层级表现LOD'!A167,"")</f>
        <v/>
      </c>
      <c r="E1667" s="14">
        <f>IF(F1667&lt;&gt;"","综合校验","")</f>
        <v/>
      </c>
      <c r="F1667" s="14">
        <f>IF('05_层级表现LOD'!A167&lt;&gt;"",IF('05_层级表现LOD'!A167="","缺少对象ID；","")&amp;IF('05_层级表现LOD'!B167="","缺少对象类别；","")&amp;IF(AND('05_层级表现LOD'!A167&lt;&gt;"",COUNTIF('02_固定地理'!$A$2:$A$501,'05_层级表现LOD'!A167)+COUNTIF('03_地点锚点'!$A$2:$A$501,'05_层级表现LOD'!A167)+COUNTIF('04_路径网络'!$A$2:$A$501,'05_层级表现LOD'!A167)+COUNTIF('06_建筑锚点'!$A$2:$A$501,'05_层级表现LOD'!A167)=0),"LOD引用对象不存在；","")&amp;IF(AND('05_层级表现LOD'!A167&lt;&gt;"",COUNTIF('05_层级表现LOD'!$A$2:$A$501,'05_层级表现LOD'!A167)&gt;1),"ID重复；",""),"")</f>
        <v/>
      </c>
      <c r="G1667" s="14">
        <f>IF(F1667&lt;&gt;"","按字段批注、数据字典和来源记录修正后复核","")</f>
        <v/>
      </c>
      <c r="H1667" s="14">
        <f>IF(F1667&lt;&gt;"","待处理","")</f>
        <v/>
      </c>
    </row>
    <row r="1668">
      <c r="A1668" s="14">
        <f>IF(F1668&lt;&gt;"","ISSUE-"&amp;TEXT(ROW()-1,"00000"),"")</f>
        <v/>
      </c>
      <c r="B1668" s="14">
        <f>IF(F1668&lt;&gt;"","错误","")</f>
        <v/>
      </c>
      <c r="C1668" s="14">
        <f>IF('05_层级表现LOD'!A168&lt;&gt;"","05_层级表现LOD","")</f>
        <v/>
      </c>
      <c r="D1668" s="14">
        <f>IF('05_层级表现LOD'!A168&lt;&gt;"",'05_层级表现LOD'!A168,"")</f>
        <v/>
      </c>
      <c r="E1668" s="14">
        <f>IF(F1668&lt;&gt;"","综合校验","")</f>
        <v/>
      </c>
      <c r="F1668" s="14">
        <f>IF('05_层级表现LOD'!A168&lt;&gt;"",IF('05_层级表现LOD'!A168="","缺少对象ID；","")&amp;IF('05_层级表现LOD'!B168="","缺少对象类别；","")&amp;IF(AND('05_层级表现LOD'!A168&lt;&gt;"",COUNTIF('02_固定地理'!$A$2:$A$501,'05_层级表现LOD'!A168)+COUNTIF('03_地点锚点'!$A$2:$A$501,'05_层级表现LOD'!A168)+COUNTIF('04_路径网络'!$A$2:$A$501,'05_层级表现LOD'!A168)+COUNTIF('06_建筑锚点'!$A$2:$A$501,'05_层级表现LOD'!A168)=0),"LOD引用对象不存在；","")&amp;IF(AND('05_层级表现LOD'!A168&lt;&gt;"",COUNTIF('05_层级表现LOD'!$A$2:$A$501,'05_层级表现LOD'!A168)&gt;1),"ID重复；",""),"")</f>
        <v/>
      </c>
      <c r="G1668" s="14">
        <f>IF(F1668&lt;&gt;"","按字段批注、数据字典和来源记录修正后复核","")</f>
        <v/>
      </c>
      <c r="H1668" s="14">
        <f>IF(F1668&lt;&gt;"","待处理","")</f>
        <v/>
      </c>
    </row>
    <row r="1669">
      <c r="A1669" s="14">
        <f>IF(F1669&lt;&gt;"","ISSUE-"&amp;TEXT(ROW()-1,"00000"),"")</f>
        <v/>
      </c>
      <c r="B1669" s="14">
        <f>IF(F1669&lt;&gt;"","错误","")</f>
        <v/>
      </c>
      <c r="C1669" s="14">
        <f>IF('05_层级表现LOD'!A169&lt;&gt;"","05_层级表现LOD","")</f>
        <v/>
      </c>
      <c r="D1669" s="14">
        <f>IF('05_层级表现LOD'!A169&lt;&gt;"",'05_层级表现LOD'!A169,"")</f>
        <v/>
      </c>
      <c r="E1669" s="14">
        <f>IF(F1669&lt;&gt;"","综合校验","")</f>
        <v/>
      </c>
      <c r="F1669" s="14">
        <f>IF('05_层级表现LOD'!A169&lt;&gt;"",IF('05_层级表现LOD'!A169="","缺少对象ID；","")&amp;IF('05_层级表现LOD'!B169="","缺少对象类别；","")&amp;IF(AND('05_层级表现LOD'!A169&lt;&gt;"",COUNTIF('02_固定地理'!$A$2:$A$501,'05_层级表现LOD'!A169)+COUNTIF('03_地点锚点'!$A$2:$A$501,'05_层级表现LOD'!A169)+COUNTIF('04_路径网络'!$A$2:$A$501,'05_层级表现LOD'!A169)+COUNTIF('06_建筑锚点'!$A$2:$A$501,'05_层级表现LOD'!A169)=0),"LOD引用对象不存在；","")&amp;IF(AND('05_层级表现LOD'!A169&lt;&gt;"",COUNTIF('05_层级表现LOD'!$A$2:$A$501,'05_层级表现LOD'!A169)&gt;1),"ID重复；",""),"")</f>
        <v/>
      </c>
      <c r="G1669" s="14">
        <f>IF(F1669&lt;&gt;"","按字段批注、数据字典和来源记录修正后复核","")</f>
        <v/>
      </c>
      <c r="H1669" s="14">
        <f>IF(F1669&lt;&gt;"","待处理","")</f>
        <v/>
      </c>
    </row>
    <row r="1670">
      <c r="A1670" s="14">
        <f>IF(F1670&lt;&gt;"","ISSUE-"&amp;TEXT(ROW()-1,"00000"),"")</f>
        <v/>
      </c>
      <c r="B1670" s="14">
        <f>IF(F1670&lt;&gt;"","错误","")</f>
        <v/>
      </c>
      <c r="C1670" s="14">
        <f>IF('05_层级表现LOD'!A170&lt;&gt;"","05_层级表现LOD","")</f>
        <v/>
      </c>
      <c r="D1670" s="14">
        <f>IF('05_层级表现LOD'!A170&lt;&gt;"",'05_层级表现LOD'!A170,"")</f>
        <v/>
      </c>
      <c r="E1670" s="14">
        <f>IF(F1670&lt;&gt;"","综合校验","")</f>
        <v/>
      </c>
      <c r="F1670" s="14">
        <f>IF('05_层级表现LOD'!A170&lt;&gt;"",IF('05_层级表现LOD'!A170="","缺少对象ID；","")&amp;IF('05_层级表现LOD'!B170="","缺少对象类别；","")&amp;IF(AND('05_层级表现LOD'!A170&lt;&gt;"",COUNTIF('02_固定地理'!$A$2:$A$501,'05_层级表现LOD'!A170)+COUNTIF('03_地点锚点'!$A$2:$A$501,'05_层级表现LOD'!A170)+COUNTIF('04_路径网络'!$A$2:$A$501,'05_层级表现LOD'!A170)+COUNTIF('06_建筑锚点'!$A$2:$A$501,'05_层级表现LOD'!A170)=0),"LOD引用对象不存在；","")&amp;IF(AND('05_层级表现LOD'!A170&lt;&gt;"",COUNTIF('05_层级表现LOD'!$A$2:$A$501,'05_层级表现LOD'!A170)&gt;1),"ID重复；",""),"")</f>
        <v/>
      </c>
      <c r="G1670" s="14">
        <f>IF(F1670&lt;&gt;"","按字段批注、数据字典和来源记录修正后复核","")</f>
        <v/>
      </c>
      <c r="H1670" s="14">
        <f>IF(F1670&lt;&gt;"","待处理","")</f>
        <v/>
      </c>
    </row>
    <row r="1671">
      <c r="A1671" s="14">
        <f>IF(F1671&lt;&gt;"","ISSUE-"&amp;TEXT(ROW()-1,"00000"),"")</f>
        <v/>
      </c>
      <c r="B1671" s="14">
        <f>IF(F1671&lt;&gt;"","错误","")</f>
        <v/>
      </c>
      <c r="C1671" s="14">
        <f>IF('05_层级表现LOD'!A171&lt;&gt;"","05_层级表现LOD","")</f>
        <v/>
      </c>
      <c r="D1671" s="14">
        <f>IF('05_层级表现LOD'!A171&lt;&gt;"",'05_层级表现LOD'!A171,"")</f>
        <v/>
      </c>
      <c r="E1671" s="14">
        <f>IF(F1671&lt;&gt;"","综合校验","")</f>
        <v/>
      </c>
      <c r="F1671" s="14">
        <f>IF('05_层级表现LOD'!A171&lt;&gt;"",IF('05_层级表现LOD'!A171="","缺少对象ID；","")&amp;IF('05_层级表现LOD'!B171="","缺少对象类别；","")&amp;IF(AND('05_层级表现LOD'!A171&lt;&gt;"",COUNTIF('02_固定地理'!$A$2:$A$501,'05_层级表现LOD'!A171)+COUNTIF('03_地点锚点'!$A$2:$A$501,'05_层级表现LOD'!A171)+COUNTIF('04_路径网络'!$A$2:$A$501,'05_层级表现LOD'!A171)+COUNTIF('06_建筑锚点'!$A$2:$A$501,'05_层级表现LOD'!A171)=0),"LOD引用对象不存在；","")&amp;IF(AND('05_层级表现LOD'!A171&lt;&gt;"",COUNTIF('05_层级表现LOD'!$A$2:$A$501,'05_层级表现LOD'!A171)&gt;1),"ID重复；",""),"")</f>
        <v/>
      </c>
      <c r="G1671" s="14">
        <f>IF(F1671&lt;&gt;"","按字段批注、数据字典和来源记录修正后复核","")</f>
        <v/>
      </c>
      <c r="H1671" s="14">
        <f>IF(F1671&lt;&gt;"","待处理","")</f>
        <v/>
      </c>
    </row>
    <row r="1672">
      <c r="A1672" s="14">
        <f>IF(F1672&lt;&gt;"","ISSUE-"&amp;TEXT(ROW()-1,"00000"),"")</f>
        <v/>
      </c>
      <c r="B1672" s="14">
        <f>IF(F1672&lt;&gt;"","错误","")</f>
        <v/>
      </c>
      <c r="C1672" s="14">
        <f>IF('05_层级表现LOD'!A172&lt;&gt;"","05_层级表现LOD","")</f>
        <v/>
      </c>
      <c r="D1672" s="14">
        <f>IF('05_层级表现LOD'!A172&lt;&gt;"",'05_层级表现LOD'!A172,"")</f>
        <v/>
      </c>
      <c r="E1672" s="14">
        <f>IF(F1672&lt;&gt;"","综合校验","")</f>
        <v/>
      </c>
      <c r="F1672" s="14">
        <f>IF('05_层级表现LOD'!A172&lt;&gt;"",IF('05_层级表现LOD'!A172="","缺少对象ID；","")&amp;IF('05_层级表现LOD'!B172="","缺少对象类别；","")&amp;IF(AND('05_层级表现LOD'!A172&lt;&gt;"",COUNTIF('02_固定地理'!$A$2:$A$501,'05_层级表现LOD'!A172)+COUNTIF('03_地点锚点'!$A$2:$A$501,'05_层级表现LOD'!A172)+COUNTIF('04_路径网络'!$A$2:$A$501,'05_层级表现LOD'!A172)+COUNTIF('06_建筑锚点'!$A$2:$A$501,'05_层级表现LOD'!A172)=0),"LOD引用对象不存在；","")&amp;IF(AND('05_层级表现LOD'!A172&lt;&gt;"",COUNTIF('05_层级表现LOD'!$A$2:$A$501,'05_层级表现LOD'!A172)&gt;1),"ID重复；",""),"")</f>
        <v/>
      </c>
      <c r="G1672" s="14">
        <f>IF(F1672&lt;&gt;"","按字段批注、数据字典和来源记录修正后复核","")</f>
        <v/>
      </c>
      <c r="H1672" s="14">
        <f>IF(F1672&lt;&gt;"","待处理","")</f>
        <v/>
      </c>
    </row>
    <row r="1673">
      <c r="A1673" s="14">
        <f>IF(F1673&lt;&gt;"","ISSUE-"&amp;TEXT(ROW()-1,"00000"),"")</f>
        <v/>
      </c>
      <c r="B1673" s="14">
        <f>IF(F1673&lt;&gt;"","错误","")</f>
        <v/>
      </c>
      <c r="C1673" s="14">
        <f>IF('05_层级表现LOD'!A173&lt;&gt;"","05_层级表现LOD","")</f>
        <v/>
      </c>
      <c r="D1673" s="14">
        <f>IF('05_层级表现LOD'!A173&lt;&gt;"",'05_层级表现LOD'!A173,"")</f>
        <v/>
      </c>
      <c r="E1673" s="14">
        <f>IF(F1673&lt;&gt;"","综合校验","")</f>
        <v/>
      </c>
      <c r="F1673" s="14">
        <f>IF('05_层级表现LOD'!A173&lt;&gt;"",IF('05_层级表现LOD'!A173="","缺少对象ID；","")&amp;IF('05_层级表现LOD'!B173="","缺少对象类别；","")&amp;IF(AND('05_层级表现LOD'!A173&lt;&gt;"",COUNTIF('02_固定地理'!$A$2:$A$501,'05_层级表现LOD'!A173)+COUNTIF('03_地点锚点'!$A$2:$A$501,'05_层级表现LOD'!A173)+COUNTIF('04_路径网络'!$A$2:$A$501,'05_层级表现LOD'!A173)+COUNTIF('06_建筑锚点'!$A$2:$A$501,'05_层级表现LOD'!A173)=0),"LOD引用对象不存在；","")&amp;IF(AND('05_层级表现LOD'!A173&lt;&gt;"",COUNTIF('05_层级表现LOD'!$A$2:$A$501,'05_层级表现LOD'!A173)&gt;1),"ID重复；",""),"")</f>
        <v/>
      </c>
      <c r="G1673" s="14">
        <f>IF(F1673&lt;&gt;"","按字段批注、数据字典和来源记录修正后复核","")</f>
        <v/>
      </c>
      <c r="H1673" s="14">
        <f>IF(F1673&lt;&gt;"","待处理","")</f>
        <v/>
      </c>
    </row>
    <row r="1674">
      <c r="A1674" s="14">
        <f>IF(F1674&lt;&gt;"","ISSUE-"&amp;TEXT(ROW()-1,"00000"),"")</f>
        <v/>
      </c>
      <c r="B1674" s="14">
        <f>IF(F1674&lt;&gt;"","错误","")</f>
        <v/>
      </c>
      <c r="C1674" s="14">
        <f>IF('05_层级表现LOD'!A174&lt;&gt;"","05_层级表现LOD","")</f>
        <v/>
      </c>
      <c r="D1674" s="14">
        <f>IF('05_层级表现LOD'!A174&lt;&gt;"",'05_层级表现LOD'!A174,"")</f>
        <v/>
      </c>
      <c r="E1674" s="14">
        <f>IF(F1674&lt;&gt;"","综合校验","")</f>
        <v/>
      </c>
      <c r="F1674" s="14">
        <f>IF('05_层级表现LOD'!A174&lt;&gt;"",IF('05_层级表现LOD'!A174="","缺少对象ID；","")&amp;IF('05_层级表现LOD'!B174="","缺少对象类别；","")&amp;IF(AND('05_层级表现LOD'!A174&lt;&gt;"",COUNTIF('02_固定地理'!$A$2:$A$501,'05_层级表现LOD'!A174)+COUNTIF('03_地点锚点'!$A$2:$A$501,'05_层级表现LOD'!A174)+COUNTIF('04_路径网络'!$A$2:$A$501,'05_层级表现LOD'!A174)+COUNTIF('06_建筑锚点'!$A$2:$A$501,'05_层级表现LOD'!A174)=0),"LOD引用对象不存在；","")&amp;IF(AND('05_层级表现LOD'!A174&lt;&gt;"",COUNTIF('05_层级表现LOD'!$A$2:$A$501,'05_层级表现LOD'!A174)&gt;1),"ID重复；",""),"")</f>
        <v/>
      </c>
      <c r="G1674" s="14">
        <f>IF(F1674&lt;&gt;"","按字段批注、数据字典和来源记录修正后复核","")</f>
        <v/>
      </c>
      <c r="H1674" s="14">
        <f>IF(F1674&lt;&gt;"","待处理","")</f>
        <v/>
      </c>
    </row>
    <row r="1675">
      <c r="A1675" s="14">
        <f>IF(F1675&lt;&gt;"","ISSUE-"&amp;TEXT(ROW()-1,"00000"),"")</f>
        <v/>
      </c>
      <c r="B1675" s="14">
        <f>IF(F1675&lt;&gt;"","错误","")</f>
        <v/>
      </c>
      <c r="C1675" s="14">
        <f>IF('05_层级表现LOD'!A175&lt;&gt;"","05_层级表现LOD","")</f>
        <v/>
      </c>
      <c r="D1675" s="14">
        <f>IF('05_层级表现LOD'!A175&lt;&gt;"",'05_层级表现LOD'!A175,"")</f>
        <v/>
      </c>
      <c r="E1675" s="14">
        <f>IF(F1675&lt;&gt;"","综合校验","")</f>
        <v/>
      </c>
      <c r="F1675" s="14">
        <f>IF('05_层级表现LOD'!A175&lt;&gt;"",IF('05_层级表现LOD'!A175="","缺少对象ID；","")&amp;IF('05_层级表现LOD'!B175="","缺少对象类别；","")&amp;IF(AND('05_层级表现LOD'!A175&lt;&gt;"",COUNTIF('02_固定地理'!$A$2:$A$501,'05_层级表现LOD'!A175)+COUNTIF('03_地点锚点'!$A$2:$A$501,'05_层级表现LOD'!A175)+COUNTIF('04_路径网络'!$A$2:$A$501,'05_层级表现LOD'!A175)+COUNTIF('06_建筑锚点'!$A$2:$A$501,'05_层级表现LOD'!A175)=0),"LOD引用对象不存在；","")&amp;IF(AND('05_层级表现LOD'!A175&lt;&gt;"",COUNTIF('05_层级表现LOD'!$A$2:$A$501,'05_层级表现LOD'!A175)&gt;1),"ID重复；",""),"")</f>
        <v/>
      </c>
      <c r="G1675" s="14">
        <f>IF(F1675&lt;&gt;"","按字段批注、数据字典和来源记录修正后复核","")</f>
        <v/>
      </c>
      <c r="H1675" s="14">
        <f>IF(F1675&lt;&gt;"","待处理","")</f>
        <v/>
      </c>
    </row>
    <row r="1676">
      <c r="A1676" s="14">
        <f>IF(F1676&lt;&gt;"","ISSUE-"&amp;TEXT(ROW()-1,"00000"),"")</f>
        <v/>
      </c>
      <c r="B1676" s="14">
        <f>IF(F1676&lt;&gt;"","错误","")</f>
        <v/>
      </c>
      <c r="C1676" s="14">
        <f>IF('05_层级表现LOD'!A176&lt;&gt;"","05_层级表现LOD","")</f>
        <v/>
      </c>
      <c r="D1676" s="14">
        <f>IF('05_层级表现LOD'!A176&lt;&gt;"",'05_层级表现LOD'!A176,"")</f>
        <v/>
      </c>
      <c r="E1676" s="14">
        <f>IF(F1676&lt;&gt;"","综合校验","")</f>
        <v/>
      </c>
      <c r="F1676" s="14">
        <f>IF('05_层级表现LOD'!A176&lt;&gt;"",IF('05_层级表现LOD'!A176="","缺少对象ID；","")&amp;IF('05_层级表现LOD'!B176="","缺少对象类别；","")&amp;IF(AND('05_层级表现LOD'!A176&lt;&gt;"",COUNTIF('02_固定地理'!$A$2:$A$501,'05_层级表现LOD'!A176)+COUNTIF('03_地点锚点'!$A$2:$A$501,'05_层级表现LOD'!A176)+COUNTIF('04_路径网络'!$A$2:$A$501,'05_层级表现LOD'!A176)+COUNTIF('06_建筑锚点'!$A$2:$A$501,'05_层级表现LOD'!A176)=0),"LOD引用对象不存在；","")&amp;IF(AND('05_层级表现LOD'!A176&lt;&gt;"",COUNTIF('05_层级表现LOD'!$A$2:$A$501,'05_层级表现LOD'!A176)&gt;1),"ID重复；",""),"")</f>
        <v/>
      </c>
      <c r="G1676" s="14">
        <f>IF(F1676&lt;&gt;"","按字段批注、数据字典和来源记录修正后复核","")</f>
        <v/>
      </c>
      <c r="H1676" s="14">
        <f>IF(F1676&lt;&gt;"","待处理","")</f>
        <v/>
      </c>
    </row>
    <row r="1677">
      <c r="A1677" s="14">
        <f>IF(F1677&lt;&gt;"","ISSUE-"&amp;TEXT(ROW()-1,"00000"),"")</f>
        <v/>
      </c>
      <c r="B1677" s="14">
        <f>IF(F1677&lt;&gt;"","错误","")</f>
        <v/>
      </c>
      <c r="C1677" s="14">
        <f>IF('05_层级表现LOD'!A177&lt;&gt;"","05_层级表现LOD","")</f>
        <v/>
      </c>
      <c r="D1677" s="14">
        <f>IF('05_层级表现LOD'!A177&lt;&gt;"",'05_层级表现LOD'!A177,"")</f>
        <v/>
      </c>
      <c r="E1677" s="14">
        <f>IF(F1677&lt;&gt;"","综合校验","")</f>
        <v/>
      </c>
      <c r="F1677" s="14">
        <f>IF('05_层级表现LOD'!A177&lt;&gt;"",IF('05_层级表现LOD'!A177="","缺少对象ID；","")&amp;IF('05_层级表现LOD'!B177="","缺少对象类别；","")&amp;IF(AND('05_层级表现LOD'!A177&lt;&gt;"",COUNTIF('02_固定地理'!$A$2:$A$501,'05_层级表现LOD'!A177)+COUNTIF('03_地点锚点'!$A$2:$A$501,'05_层级表现LOD'!A177)+COUNTIF('04_路径网络'!$A$2:$A$501,'05_层级表现LOD'!A177)+COUNTIF('06_建筑锚点'!$A$2:$A$501,'05_层级表现LOD'!A177)=0),"LOD引用对象不存在；","")&amp;IF(AND('05_层级表现LOD'!A177&lt;&gt;"",COUNTIF('05_层级表现LOD'!$A$2:$A$501,'05_层级表现LOD'!A177)&gt;1),"ID重复；",""),"")</f>
        <v/>
      </c>
      <c r="G1677" s="14">
        <f>IF(F1677&lt;&gt;"","按字段批注、数据字典和来源记录修正后复核","")</f>
        <v/>
      </c>
      <c r="H1677" s="14">
        <f>IF(F1677&lt;&gt;"","待处理","")</f>
        <v/>
      </c>
    </row>
    <row r="1678">
      <c r="A1678" s="14">
        <f>IF(F1678&lt;&gt;"","ISSUE-"&amp;TEXT(ROW()-1,"00000"),"")</f>
        <v/>
      </c>
      <c r="B1678" s="14">
        <f>IF(F1678&lt;&gt;"","错误","")</f>
        <v/>
      </c>
      <c r="C1678" s="14">
        <f>IF('05_层级表现LOD'!A178&lt;&gt;"","05_层级表现LOD","")</f>
        <v/>
      </c>
      <c r="D1678" s="14">
        <f>IF('05_层级表现LOD'!A178&lt;&gt;"",'05_层级表现LOD'!A178,"")</f>
        <v/>
      </c>
      <c r="E1678" s="14">
        <f>IF(F1678&lt;&gt;"","综合校验","")</f>
        <v/>
      </c>
      <c r="F1678" s="14">
        <f>IF('05_层级表现LOD'!A178&lt;&gt;"",IF('05_层级表现LOD'!A178="","缺少对象ID；","")&amp;IF('05_层级表现LOD'!B178="","缺少对象类别；","")&amp;IF(AND('05_层级表现LOD'!A178&lt;&gt;"",COUNTIF('02_固定地理'!$A$2:$A$501,'05_层级表现LOD'!A178)+COUNTIF('03_地点锚点'!$A$2:$A$501,'05_层级表现LOD'!A178)+COUNTIF('04_路径网络'!$A$2:$A$501,'05_层级表现LOD'!A178)+COUNTIF('06_建筑锚点'!$A$2:$A$501,'05_层级表现LOD'!A178)=0),"LOD引用对象不存在；","")&amp;IF(AND('05_层级表现LOD'!A178&lt;&gt;"",COUNTIF('05_层级表现LOD'!$A$2:$A$501,'05_层级表现LOD'!A178)&gt;1),"ID重复；",""),"")</f>
        <v/>
      </c>
      <c r="G1678" s="14">
        <f>IF(F1678&lt;&gt;"","按字段批注、数据字典和来源记录修正后复核","")</f>
        <v/>
      </c>
      <c r="H1678" s="14">
        <f>IF(F1678&lt;&gt;"","待处理","")</f>
        <v/>
      </c>
    </row>
    <row r="1679">
      <c r="A1679" s="14">
        <f>IF(F1679&lt;&gt;"","ISSUE-"&amp;TEXT(ROW()-1,"00000"),"")</f>
        <v/>
      </c>
      <c r="B1679" s="14">
        <f>IF(F1679&lt;&gt;"","错误","")</f>
        <v/>
      </c>
      <c r="C1679" s="14">
        <f>IF('05_层级表现LOD'!A179&lt;&gt;"","05_层级表现LOD","")</f>
        <v/>
      </c>
      <c r="D1679" s="14">
        <f>IF('05_层级表现LOD'!A179&lt;&gt;"",'05_层级表现LOD'!A179,"")</f>
        <v/>
      </c>
      <c r="E1679" s="14">
        <f>IF(F1679&lt;&gt;"","综合校验","")</f>
        <v/>
      </c>
      <c r="F1679" s="14">
        <f>IF('05_层级表现LOD'!A179&lt;&gt;"",IF('05_层级表现LOD'!A179="","缺少对象ID；","")&amp;IF('05_层级表现LOD'!B179="","缺少对象类别；","")&amp;IF(AND('05_层级表现LOD'!A179&lt;&gt;"",COUNTIF('02_固定地理'!$A$2:$A$501,'05_层级表现LOD'!A179)+COUNTIF('03_地点锚点'!$A$2:$A$501,'05_层级表现LOD'!A179)+COUNTIF('04_路径网络'!$A$2:$A$501,'05_层级表现LOD'!A179)+COUNTIF('06_建筑锚点'!$A$2:$A$501,'05_层级表现LOD'!A179)=0),"LOD引用对象不存在；","")&amp;IF(AND('05_层级表现LOD'!A179&lt;&gt;"",COUNTIF('05_层级表现LOD'!$A$2:$A$501,'05_层级表现LOD'!A179)&gt;1),"ID重复；",""),"")</f>
        <v/>
      </c>
      <c r="G1679" s="14">
        <f>IF(F1679&lt;&gt;"","按字段批注、数据字典和来源记录修正后复核","")</f>
        <v/>
      </c>
      <c r="H1679" s="14">
        <f>IF(F1679&lt;&gt;"","待处理","")</f>
        <v/>
      </c>
    </row>
    <row r="1680">
      <c r="A1680" s="14">
        <f>IF(F1680&lt;&gt;"","ISSUE-"&amp;TEXT(ROW()-1,"00000"),"")</f>
        <v/>
      </c>
      <c r="B1680" s="14">
        <f>IF(F1680&lt;&gt;"","错误","")</f>
        <v/>
      </c>
      <c r="C1680" s="14">
        <f>IF('05_层级表现LOD'!A180&lt;&gt;"","05_层级表现LOD","")</f>
        <v/>
      </c>
      <c r="D1680" s="14">
        <f>IF('05_层级表现LOD'!A180&lt;&gt;"",'05_层级表现LOD'!A180,"")</f>
        <v/>
      </c>
      <c r="E1680" s="14">
        <f>IF(F1680&lt;&gt;"","综合校验","")</f>
        <v/>
      </c>
      <c r="F1680" s="14">
        <f>IF('05_层级表现LOD'!A180&lt;&gt;"",IF('05_层级表现LOD'!A180="","缺少对象ID；","")&amp;IF('05_层级表现LOD'!B180="","缺少对象类别；","")&amp;IF(AND('05_层级表现LOD'!A180&lt;&gt;"",COUNTIF('02_固定地理'!$A$2:$A$501,'05_层级表现LOD'!A180)+COUNTIF('03_地点锚点'!$A$2:$A$501,'05_层级表现LOD'!A180)+COUNTIF('04_路径网络'!$A$2:$A$501,'05_层级表现LOD'!A180)+COUNTIF('06_建筑锚点'!$A$2:$A$501,'05_层级表现LOD'!A180)=0),"LOD引用对象不存在；","")&amp;IF(AND('05_层级表现LOD'!A180&lt;&gt;"",COUNTIF('05_层级表现LOD'!$A$2:$A$501,'05_层级表现LOD'!A180)&gt;1),"ID重复；",""),"")</f>
        <v/>
      </c>
      <c r="G1680" s="14">
        <f>IF(F1680&lt;&gt;"","按字段批注、数据字典和来源记录修正后复核","")</f>
        <v/>
      </c>
      <c r="H1680" s="14">
        <f>IF(F1680&lt;&gt;"","待处理","")</f>
        <v/>
      </c>
    </row>
    <row r="1681">
      <c r="A1681" s="14">
        <f>IF(F1681&lt;&gt;"","ISSUE-"&amp;TEXT(ROW()-1,"00000"),"")</f>
        <v/>
      </c>
      <c r="B1681" s="14">
        <f>IF(F1681&lt;&gt;"","错误","")</f>
        <v/>
      </c>
      <c r="C1681" s="14">
        <f>IF('05_层级表现LOD'!A181&lt;&gt;"","05_层级表现LOD","")</f>
        <v/>
      </c>
      <c r="D1681" s="14">
        <f>IF('05_层级表现LOD'!A181&lt;&gt;"",'05_层级表现LOD'!A181,"")</f>
        <v/>
      </c>
      <c r="E1681" s="14">
        <f>IF(F1681&lt;&gt;"","综合校验","")</f>
        <v/>
      </c>
      <c r="F1681" s="14">
        <f>IF('05_层级表现LOD'!A181&lt;&gt;"",IF('05_层级表现LOD'!A181="","缺少对象ID；","")&amp;IF('05_层级表现LOD'!B181="","缺少对象类别；","")&amp;IF(AND('05_层级表现LOD'!A181&lt;&gt;"",COUNTIF('02_固定地理'!$A$2:$A$501,'05_层级表现LOD'!A181)+COUNTIF('03_地点锚点'!$A$2:$A$501,'05_层级表现LOD'!A181)+COUNTIF('04_路径网络'!$A$2:$A$501,'05_层级表现LOD'!A181)+COUNTIF('06_建筑锚点'!$A$2:$A$501,'05_层级表现LOD'!A181)=0),"LOD引用对象不存在；","")&amp;IF(AND('05_层级表现LOD'!A181&lt;&gt;"",COUNTIF('05_层级表现LOD'!$A$2:$A$501,'05_层级表现LOD'!A181)&gt;1),"ID重复；",""),"")</f>
        <v/>
      </c>
      <c r="G1681" s="14">
        <f>IF(F1681&lt;&gt;"","按字段批注、数据字典和来源记录修正后复核","")</f>
        <v/>
      </c>
      <c r="H1681" s="14">
        <f>IF(F1681&lt;&gt;"","待处理","")</f>
        <v/>
      </c>
    </row>
    <row r="1682">
      <c r="A1682" s="14">
        <f>IF(F1682&lt;&gt;"","ISSUE-"&amp;TEXT(ROW()-1,"00000"),"")</f>
        <v/>
      </c>
      <c r="B1682" s="14">
        <f>IF(F1682&lt;&gt;"","错误","")</f>
        <v/>
      </c>
      <c r="C1682" s="14">
        <f>IF('05_层级表现LOD'!A182&lt;&gt;"","05_层级表现LOD","")</f>
        <v/>
      </c>
      <c r="D1682" s="14">
        <f>IF('05_层级表现LOD'!A182&lt;&gt;"",'05_层级表现LOD'!A182,"")</f>
        <v/>
      </c>
      <c r="E1682" s="14">
        <f>IF(F1682&lt;&gt;"","综合校验","")</f>
        <v/>
      </c>
      <c r="F1682" s="14">
        <f>IF('05_层级表现LOD'!A182&lt;&gt;"",IF('05_层级表现LOD'!A182="","缺少对象ID；","")&amp;IF('05_层级表现LOD'!B182="","缺少对象类别；","")&amp;IF(AND('05_层级表现LOD'!A182&lt;&gt;"",COUNTIF('02_固定地理'!$A$2:$A$501,'05_层级表现LOD'!A182)+COUNTIF('03_地点锚点'!$A$2:$A$501,'05_层级表现LOD'!A182)+COUNTIF('04_路径网络'!$A$2:$A$501,'05_层级表现LOD'!A182)+COUNTIF('06_建筑锚点'!$A$2:$A$501,'05_层级表现LOD'!A182)=0),"LOD引用对象不存在；","")&amp;IF(AND('05_层级表现LOD'!A182&lt;&gt;"",COUNTIF('05_层级表现LOD'!$A$2:$A$501,'05_层级表现LOD'!A182)&gt;1),"ID重复；",""),"")</f>
        <v/>
      </c>
      <c r="G1682" s="14">
        <f>IF(F1682&lt;&gt;"","按字段批注、数据字典和来源记录修正后复核","")</f>
        <v/>
      </c>
      <c r="H1682" s="14">
        <f>IF(F1682&lt;&gt;"","待处理","")</f>
        <v/>
      </c>
    </row>
    <row r="1683">
      <c r="A1683" s="14">
        <f>IF(F1683&lt;&gt;"","ISSUE-"&amp;TEXT(ROW()-1,"00000"),"")</f>
        <v/>
      </c>
      <c r="B1683" s="14">
        <f>IF(F1683&lt;&gt;"","错误","")</f>
        <v/>
      </c>
      <c r="C1683" s="14">
        <f>IF('05_层级表现LOD'!A183&lt;&gt;"","05_层级表现LOD","")</f>
        <v/>
      </c>
      <c r="D1683" s="14">
        <f>IF('05_层级表现LOD'!A183&lt;&gt;"",'05_层级表现LOD'!A183,"")</f>
        <v/>
      </c>
      <c r="E1683" s="14">
        <f>IF(F1683&lt;&gt;"","综合校验","")</f>
        <v/>
      </c>
      <c r="F1683" s="14">
        <f>IF('05_层级表现LOD'!A183&lt;&gt;"",IF('05_层级表现LOD'!A183="","缺少对象ID；","")&amp;IF('05_层级表现LOD'!B183="","缺少对象类别；","")&amp;IF(AND('05_层级表现LOD'!A183&lt;&gt;"",COUNTIF('02_固定地理'!$A$2:$A$501,'05_层级表现LOD'!A183)+COUNTIF('03_地点锚点'!$A$2:$A$501,'05_层级表现LOD'!A183)+COUNTIF('04_路径网络'!$A$2:$A$501,'05_层级表现LOD'!A183)+COUNTIF('06_建筑锚点'!$A$2:$A$501,'05_层级表现LOD'!A183)=0),"LOD引用对象不存在；","")&amp;IF(AND('05_层级表现LOD'!A183&lt;&gt;"",COUNTIF('05_层级表现LOD'!$A$2:$A$501,'05_层级表现LOD'!A183)&gt;1),"ID重复；",""),"")</f>
        <v/>
      </c>
      <c r="G1683" s="14">
        <f>IF(F1683&lt;&gt;"","按字段批注、数据字典和来源记录修正后复核","")</f>
        <v/>
      </c>
      <c r="H1683" s="14">
        <f>IF(F1683&lt;&gt;"","待处理","")</f>
        <v/>
      </c>
    </row>
    <row r="1684">
      <c r="A1684" s="14">
        <f>IF(F1684&lt;&gt;"","ISSUE-"&amp;TEXT(ROW()-1,"00000"),"")</f>
        <v/>
      </c>
      <c r="B1684" s="14">
        <f>IF(F1684&lt;&gt;"","错误","")</f>
        <v/>
      </c>
      <c r="C1684" s="14">
        <f>IF('05_层级表现LOD'!A184&lt;&gt;"","05_层级表现LOD","")</f>
        <v/>
      </c>
      <c r="D1684" s="14">
        <f>IF('05_层级表现LOD'!A184&lt;&gt;"",'05_层级表现LOD'!A184,"")</f>
        <v/>
      </c>
      <c r="E1684" s="14">
        <f>IF(F1684&lt;&gt;"","综合校验","")</f>
        <v/>
      </c>
      <c r="F1684" s="14">
        <f>IF('05_层级表现LOD'!A184&lt;&gt;"",IF('05_层级表现LOD'!A184="","缺少对象ID；","")&amp;IF('05_层级表现LOD'!B184="","缺少对象类别；","")&amp;IF(AND('05_层级表现LOD'!A184&lt;&gt;"",COUNTIF('02_固定地理'!$A$2:$A$501,'05_层级表现LOD'!A184)+COUNTIF('03_地点锚点'!$A$2:$A$501,'05_层级表现LOD'!A184)+COUNTIF('04_路径网络'!$A$2:$A$501,'05_层级表现LOD'!A184)+COUNTIF('06_建筑锚点'!$A$2:$A$501,'05_层级表现LOD'!A184)=0),"LOD引用对象不存在；","")&amp;IF(AND('05_层级表现LOD'!A184&lt;&gt;"",COUNTIF('05_层级表现LOD'!$A$2:$A$501,'05_层级表现LOD'!A184)&gt;1),"ID重复；",""),"")</f>
        <v/>
      </c>
      <c r="G1684" s="14">
        <f>IF(F1684&lt;&gt;"","按字段批注、数据字典和来源记录修正后复核","")</f>
        <v/>
      </c>
      <c r="H1684" s="14">
        <f>IF(F1684&lt;&gt;"","待处理","")</f>
        <v/>
      </c>
    </row>
    <row r="1685">
      <c r="A1685" s="14">
        <f>IF(F1685&lt;&gt;"","ISSUE-"&amp;TEXT(ROW()-1,"00000"),"")</f>
        <v/>
      </c>
      <c r="B1685" s="14">
        <f>IF(F1685&lt;&gt;"","错误","")</f>
        <v/>
      </c>
      <c r="C1685" s="14">
        <f>IF('05_层级表现LOD'!A185&lt;&gt;"","05_层级表现LOD","")</f>
        <v/>
      </c>
      <c r="D1685" s="14">
        <f>IF('05_层级表现LOD'!A185&lt;&gt;"",'05_层级表现LOD'!A185,"")</f>
        <v/>
      </c>
      <c r="E1685" s="14">
        <f>IF(F1685&lt;&gt;"","综合校验","")</f>
        <v/>
      </c>
      <c r="F1685" s="14">
        <f>IF('05_层级表现LOD'!A185&lt;&gt;"",IF('05_层级表现LOD'!A185="","缺少对象ID；","")&amp;IF('05_层级表现LOD'!B185="","缺少对象类别；","")&amp;IF(AND('05_层级表现LOD'!A185&lt;&gt;"",COUNTIF('02_固定地理'!$A$2:$A$501,'05_层级表现LOD'!A185)+COUNTIF('03_地点锚点'!$A$2:$A$501,'05_层级表现LOD'!A185)+COUNTIF('04_路径网络'!$A$2:$A$501,'05_层级表现LOD'!A185)+COUNTIF('06_建筑锚点'!$A$2:$A$501,'05_层级表现LOD'!A185)=0),"LOD引用对象不存在；","")&amp;IF(AND('05_层级表现LOD'!A185&lt;&gt;"",COUNTIF('05_层级表现LOD'!$A$2:$A$501,'05_层级表现LOD'!A185)&gt;1),"ID重复；",""),"")</f>
        <v/>
      </c>
      <c r="G1685" s="14">
        <f>IF(F1685&lt;&gt;"","按字段批注、数据字典和来源记录修正后复核","")</f>
        <v/>
      </c>
      <c r="H1685" s="14">
        <f>IF(F1685&lt;&gt;"","待处理","")</f>
        <v/>
      </c>
    </row>
    <row r="1686">
      <c r="A1686" s="14">
        <f>IF(F1686&lt;&gt;"","ISSUE-"&amp;TEXT(ROW()-1,"00000"),"")</f>
        <v/>
      </c>
      <c r="B1686" s="14">
        <f>IF(F1686&lt;&gt;"","错误","")</f>
        <v/>
      </c>
      <c r="C1686" s="14">
        <f>IF('05_层级表现LOD'!A186&lt;&gt;"","05_层级表现LOD","")</f>
        <v/>
      </c>
      <c r="D1686" s="14">
        <f>IF('05_层级表现LOD'!A186&lt;&gt;"",'05_层级表现LOD'!A186,"")</f>
        <v/>
      </c>
      <c r="E1686" s="14">
        <f>IF(F1686&lt;&gt;"","综合校验","")</f>
        <v/>
      </c>
      <c r="F1686" s="14">
        <f>IF('05_层级表现LOD'!A186&lt;&gt;"",IF('05_层级表现LOD'!A186="","缺少对象ID；","")&amp;IF('05_层级表现LOD'!B186="","缺少对象类别；","")&amp;IF(AND('05_层级表现LOD'!A186&lt;&gt;"",COUNTIF('02_固定地理'!$A$2:$A$501,'05_层级表现LOD'!A186)+COUNTIF('03_地点锚点'!$A$2:$A$501,'05_层级表现LOD'!A186)+COUNTIF('04_路径网络'!$A$2:$A$501,'05_层级表现LOD'!A186)+COUNTIF('06_建筑锚点'!$A$2:$A$501,'05_层级表现LOD'!A186)=0),"LOD引用对象不存在；","")&amp;IF(AND('05_层级表现LOD'!A186&lt;&gt;"",COUNTIF('05_层级表现LOD'!$A$2:$A$501,'05_层级表现LOD'!A186)&gt;1),"ID重复；",""),"")</f>
        <v/>
      </c>
      <c r="G1686" s="14">
        <f>IF(F1686&lt;&gt;"","按字段批注、数据字典和来源记录修正后复核","")</f>
        <v/>
      </c>
      <c r="H1686" s="14">
        <f>IF(F1686&lt;&gt;"","待处理","")</f>
        <v/>
      </c>
    </row>
    <row r="1687">
      <c r="A1687" s="14">
        <f>IF(F1687&lt;&gt;"","ISSUE-"&amp;TEXT(ROW()-1,"00000"),"")</f>
        <v/>
      </c>
      <c r="B1687" s="14">
        <f>IF(F1687&lt;&gt;"","错误","")</f>
        <v/>
      </c>
      <c r="C1687" s="14">
        <f>IF('05_层级表现LOD'!A187&lt;&gt;"","05_层级表现LOD","")</f>
        <v/>
      </c>
      <c r="D1687" s="14">
        <f>IF('05_层级表现LOD'!A187&lt;&gt;"",'05_层级表现LOD'!A187,"")</f>
        <v/>
      </c>
      <c r="E1687" s="14">
        <f>IF(F1687&lt;&gt;"","综合校验","")</f>
        <v/>
      </c>
      <c r="F1687" s="14">
        <f>IF('05_层级表现LOD'!A187&lt;&gt;"",IF('05_层级表现LOD'!A187="","缺少对象ID；","")&amp;IF('05_层级表现LOD'!B187="","缺少对象类别；","")&amp;IF(AND('05_层级表现LOD'!A187&lt;&gt;"",COUNTIF('02_固定地理'!$A$2:$A$501,'05_层级表现LOD'!A187)+COUNTIF('03_地点锚点'!$A$2:$A$501,'05_层级表现LOD'!A187)+COUNTIF('04_路径网络'!$A$2:$A$501,'05_层级表现LOD'!A187)+COUNTIF('06_建筑锚点'!$A$2:$A$501,'05_层级表现LOD'!A187)=0),"LOD引用对象不存在；","")&amp;IF(AND('05_层级表现LOD'!A187&lt;&gt;"",COUNTIF('05_层级表现LOD'!$A$2:$A$501,'05_层级表现LOD'!A187)&gt;1),"ID重复；",""),"")</f>
        <v/>
      </c>
      <c r="G1687" s="14">
        <f>IF(F1687&lt;&gt;"","按字段批注、数据字典和来源记录修正后复核","")</f>
        <v/>
      </c>
      <c r="H1687" s="14">
        <f>IF(F1687&lt;&gt;"","待处理","")</f>
        <v/>
      </c>
    </row>
    <row r="1688">
      <c r="A1688" s="14">
        <f>IF(F1688&lt;&gt;"","ISSUE-"&amp;TEXT(ROW()-1,"00000"),"")</f>
        <v/>
      </c>
      <c r="B1688" s="14">
        <f>IF(F1688&lt;&gt;"","错误","")</f>
        <v/>
      </c>
      <c r="C1688" s="14">
        <f>IF('05_层级表现LOD'!A188&lt;&gt;"","05_层级表现LOD","")</f>
        <v/>
      </c>
      <c r="D1688" s="14">
        <f>IF('05_层级表现LOD'!A188&lt;&gt;"",'05_层级表现LOD'!A188,"")</f>
        <v/>
      </c>
      <c r="E1688" s="14">
        <f>IF(F1688&lt;&gt;"","综合校验","")</f>
        <v/>
      </c>
      <c r="F1688" s="14">
        <f>IF('05_层级表现LOD'!A188&lt;&gt;"",IF('05_层级表现LOD'!A188="","缺少对象ID；","")&amp;IF('05_层级表现LOD'!B188="","缺少对象类别；","")&amp;IF(AND('05_层级表现LOD'!A188&lt;&gt;"",COUNTIF('02_固定地理'!$A$2:$A$501,'05_层级表现LOD'!A188)+COUNTIF('03_地点锚点'!$A$2:$A$501,'05_层级表现LOD'!A188)+COUNTIF('04_路径网络'!$A$2:$A$501,'05_层级表现LOD'!A188)+COUNTIF('06_建筑锚点'!$A$2:$A$501,'05_层级表现LOD'!A188)=0),"LOD引用对象不存在；","")&amp;IF(AND('05_层级表现LOD'!A188&lt;&gt;"",COUNTIF('05_层级表现LOD'!$A$2:$A$501,'05_层级表现LOD'!A188)&gt;1),"ID重复；",""),"")</f>
        <v/>
      </c>
      <c r="G1688" s="14">
        <f>IF(F1688&lt;&gt;"","按字段批注、数据字典和来源记录修正后复核","")</f>
        <v/>
      </c>
      <c r="H1688" s="14">
        <f>IF(F1688&lt;&gt;"","待处理","")</f>
        <v/>
      </c>
    </row>
    <row r="1689">
      <c r="A1689" s="14">
        <f>IF(F1689&lt;&gt;"","ISSUE-"&amp;TEXT(ROW()-1,"00000"),"")</f>
        <v/>
      </c>
      <c r="B1689" s="14">
        <f>IF(F1689&lt;&gt;"","错误","")</f>
        <v/>
      </c>
      <c r="C1689" s="14">
        <f>IF('05_层级表现LOD'!A189&lt;&gt;"","05_层级表现LOD","")</f>
        <v/>
      </c>
      <c r="D1689" s="14">
        <f>IF('05_层级表现LOD'!A189&lt;&gt;"",'05_层级表现LOD'!A189,"")</f>
        <v/>
      </c>
      <c r="E1689" s="14">
        <f>IF(F1689&lt;&gt;"","综合校验","")</f>
        <v/>
      </c>
      <c r="F1689" s="14">
        <f>IF('05_层级表现LOD'!A189&lt;&gt;"",IF('05_层级表现LOD'!A189="","缺少对象ID；","")&amp;IF('05_层级表现LOD'!B189="","缺少对象类别；","")&amp;IF(AND('05_层级表现LOD'!A189&lt;&gt;"",COUNTIF('02_固定地理'!$A$2:$A$501,'05_层级表现LOD'!A189)+COUNTIF('03_地点锚点'!$A$2:$A$501,'05_层级表现LOD'!A189)+COUNTIF('04_路径网络'!$A$2:$A$501,'05_层级表现LOD'!A189)+COUNTIF('06_建筑锚点'!$A$2:$A$501,'05_层级表现LOD'!A189)=0),"LOD引用对象不存在；","")&amp;IF(AND('05_层级表现LOD'!A189&lt;&gt;"",COUNTIF('05_层级表现LOD'!$A$2:$A$501,'05_层级表现LOD'!A189)&gt;1),"ID重复；",""),"")</f>
        <v/>
      </c>
      <c r="G1689" s="14">
        <f>IF(F1689&lt;&gt;"","按字段批注、数据字典和来源记录修正后复核","")</f>
        <v/>
      </c>
      <c r="H1689" s="14">
        <f>IF(F1689&lt;&gt;"","待处理","")</f>
        <v/>
      </c>
    </row>
    <row r="1690">
      <c r="A1690" s="14">
        <f>IF(F1690&lt;&gt;"","ISSUE-"&amp;TEXT(ROW()-1,"00000"),"")</f>
        <v/>
      </c>
      <c r="B1690" s="14">
        <f>IF(F1690&lt;&gt;"","错误","")</f>
        <v/>
      </c>
      <c r="C1690" s="14">
        <f>IF('05_层级表现LOD'!A190&lt;&gt;"","05_层级表现LOD","")</f>
        <v/>
      </c>
      <c r="D1690" s="14">
        <f>IF('05_层级表现LOD'!A190&lt;&gt;"",'05_层级表现LOD'!A190,"")</f>
        <v/>
      </c>
      <c r="E1690" s="14">
        <f>IF(F1690&lt;&gt;"","综合校验","")</f>
        <v/>
      </c>
      <c r="F1690" s="14">
        <f>IF('05_层级表现LOD'!A190&lt;&gt;"",IF('05_层级表现LOD'!A190="","缺少对象ID；","")&amp;IF('05_层级表现LOD'!B190="","缺少对象类别；","")&amp;IF(AND('05_层级表现LOD'!A190&lt;&gt;"",COUNTIF('02_固定地理'!$A$2:$A$501,'05_层级表现LOD'!A190)+COUNTIF('03_地点锚点'!$A$2:$A$501,'05_层级表现LOD'!A190)+COUNTIF('04_路径网络'!$A$2:$A$501,'05_层级表现LOD'!A190)+COUNTIF('06_建筑锚点'!$A$2:$A$501,'05_层级表现LOD'!A190)=0),"LOD引用对象不存在；","")&amp;IF(AND('05_层级表现LOD'!A190&lt;&gt;"",COUNTIF('05_层级表现LOD'!$A$2:$A$501,'05_层级表现LOD'!A190)&gt;1),"ID重复；",""),"")</f>
        <v/>
      </c>
      <c r="G1690" s="14">
        <f>IF(F1690&lt;&gt;"","按字段批注、数据字典和来源记录修正后复核","")</f>
        <v/>
      </c>
      <c r="H1690" s="14">
        <f>IF(F1690&lt;&gt;"","待处理","")</f>
        <v/>
      </c>
    </row>
    <row r="1691">
      <c r="A1691" s="14">
        <f>IF(F1691&lt;&gt;"","ISSUE-"&amp;TEXT(ROW()-1,"00000"),"")</f>
        <v/>
      </c>
      <c r="B1691" s="14">
        <f>IF(F1691&lt;&gt;"","错误","")</f>
        <v/>
      </c>
      <c r="C1691" s="14">
        <f>IF('05_层级表现LOD'!A191&lt;&gt;"","05_层级表现LOD","")</f>
        <v/>
      </c>
      <c r="D1691" s="14">
        <f>IF('05_层级表现LOD'!A191&lt;&gt;"",'05_层级表现LOD'!A191,"")</f>
        <v/>
      </c>
      <c r="E1691" s="14">
        <f>IF(F1691&lt;&gt;"","综合校验","")</f>
        <v/>
      </c>
      <c r="F1691" s="14">
        <f>IF('05_层级表现LOD'!A191&lt;&gt;"",IF('05_层级表现LOD'!A191="","缺少对象ID；","")&amp;IF('05_层级表现LOD'!B191="","缺少对象类别；","")&amp;IF(AND('05_层级表现LOD'!A191&lt;&gt;"",COUNTIF('02_固定地理'!$A$2:$A$501,'05_层级表现LOD'!A191)+COUNTIF('03_地点锚点'!$A$2:$A$501,'05_层级表现LOD'!A191)+COUNTIF('04_路径网络'!$A$2:$A$501,'05_层级表现LOD'!A191)+COUNTIF('06_建筑锚点'!$A$2:$A$501,'05_层级表现LOD'!A191)=0),"LOD引用对象不存在；","")&amp;IF(AND('05_层级表现LOD'!A191&lt;&gt;"",COUNTIF('05_层级表现LOD'!$A$2:$A$501,'05_层级表现LOD'!A191)&gt;1),"ID重复；",""),"")</f>
        <v/>
      </c>
      <c r="G1691" s="14">
        <f>IF(F1691&lt;&gt;"","按字段批注、数据字典和来源记录修正后复核","")</f>
        <v/>
      </c>
      <c r="H1691" s="14">
        <f>IF(F1691&lt;&gt;"","待处理","")</f>
        <v/>
      </c>
    </row>
    <row r="1692">
      <c r="A1692" s="14">
        <f>IF(F1692&lt;&gt;"","ISSUE-"&amp;TEXT(ROW()-1,"00000"),"")</f>
        <v/>
      </c>
      <c r="B1692" s="14">
        <f>IF(F1692&lt;&gt;"","错误","")</f>
        <v/>
      </c>
      <c r="C1692" s="14">
        <f>IF('05_层级表现LOD'!A192&lt;&gt;"","05_层级表现LOD","")</f>
        <v/>
      </c>
      <c r="D1692" s="14">
        <f>IF('05_层级表现LOD'!A192&lt;&gt;"",'05_层级表现LOD'!A192,"")</f>
        <v/>
      </c>
      <c r="E1692" s="14">
        <f>IF(F1692&lt;&gt;"","综合校验","")</f>
        <v/>
      </c>
      <c r="F1692" s="14">
        <f>IF('05_层级表现LOD'!A192&lt;&gt;"",IF('05_层级表现LOD'!A192="","缺少对象ID；","")&amp;IF('05_层级表现LOD'!B192="","缺少对象类别；","")&amp;IF(AND('05_层级表现LOD'!A192&lt;&gt;"",COUNTIF('02_固定地理'!$A$2:$A$501,'05_层级表现LOD'!A192)+COUNTIF('03_地点锚点'!$A$2:$A$501,'05_层级表现LOD'!A192)+COUNTIF('04_路径网络'!$A$2:$A$501,'05_层级表现LOD'!A192)+COUNTIF('06_建筑锚点'!$A$2:$A$501,'05_层级表现LOD'!A192)=0),"LOD引用对象不存在；","")&amp;IF(AND('05_层级表现LOD'!A192&lt;&gt;"",COUNTIF('05_层级表现LOD'!$A$2:$A$501,'05_层级表现LOD'!A192)&gt;1),"ID重复；",""),"")</f>
        <v/>
      </c>
      <c r="G1692" s="14">
        <f>IF(F1692&lt;&gt;"","按字段批注、数据字典和来源记录修正后复核","")</f>
        <v/>
      </c>
      <c r="H1692" s="14">
        <f>IF(F1692&lt;&gt;"","待处理","")</f>
        <v/>
      </c>
    </row>
    <row r="1693">
      <c r="A1693" s="14">
        <f>IF(F1693&lt;&gt;"","ISSUE-"&amp;TEXT(ROW()-1,"00000"),"")</f>
        <v/>
      </c>
      <c r="B1693" s="14">
        <f>IF(F1693&lt;&gt;"","错误","")</f>
        <v/>
      </c>
      <c r="C1693" s="14">
        <f>IF('05_层级表现LOD'!A193&lt;&gt;"","05_层级表现LOD","")</f>
        <v/>
      </c>
      <c r="D1693" s="14">
        <f>IF('05_层级表现LOD'!A193&lt;&gt;"",'05_层级表现LOD'!A193,"")</f>
        <v/>
      </c>
      <c r="E1693" s="14">
        <f>IF(F1693&lt;&gt;"","综合校验","")</f>
        <v/>
      </c>
      <c r="F1693" s="14">
        <f>IF('05_层级表现LOD'!A193&lt;&gt;"",IF('05_层级表现LOD'!A193="","缺少对象ID；","")&amp;IF('05_层级表现LOD'!B193="","缺少对象类别；","")&amp;IF(AND('05_层级表现LOD'!A193&lt;&gt;"",COUNTIF('02_固定地理'!$A$2:$A$501,'05_层级表现LOD'!A193)+COUNTIF('03_地点锚点'!$A$2:$A$501,'05_层级表现LOD'!A193)+COUNTIF('04_路径网络'!$A$2:$A$501,'05_层级表现LOD'!A193)+COUNTIF('06_建筑锚点'!$A$2:$A$501,'05_层级表现LOD'!A193)=0),"LOD引用对象不存在；","")&amp;IF(AND('05_层级表现LOD'!A193&lt;&gt;"",COUNTIF('05_层级表现LOD'!$A$2:$A$501,'05_层级表现LOD'!A193)&gt;1),"ID重复；",""),"")</f>
        <v/>
      </c>
      <c r="G1693" s="14">
        <f>IF(F1693&lt;&gt;"","按字段批注、数据字典和来源记录修正后复核","")</f>
        <v/>
      </c>
      <c r="H1693" s="14">
        <f>IF(F1693&lt;&gt;"","待处理","")</f>
        <v/>
      </c>
    </row>
    <row r="1694">
      <c r="A1694" s="14">
        <f>IF(F1694&lt;&gt;"","ISSUE-"&amp;TEXT(ROW()-1,"00000"),"")</f>
        <v/>
      </c>
      <c r="B1694" s="14">
        <f>IF(F1694&lt;&gt;"","错误","")</f>
        <v/>
      </c>
      <c r="C1694" s="14">
        <f>IF('05_层级表现LOD'!A194&lt;&gt;"","05_层级表现LOD","")</f>
        <v/>
      </c>
      <c r="D1694" s="14">
        <f>IF('05_层级表现LOD'!A194&lt;&gt;"",'05_层级表现LOD'!A194,"")</f>
        <v/>
      </c>
      <c r="E1694" s="14">
        <f>IF(F1694&lt;&gt;"","综合校验","")</f>
        <v/>
      </c>
      <c r="F1694" s="14">
        <f>IF('05_层级表现LOD'!A194&lt;&gt;"",IF('05_层级表现LOD'!A194="","缺少对象ID；","")&amp;IF('05_层级表现LOD'!B194="","缺少对象类别；","")&amp;IF(AND('05_层级表现LOD'!A194&lt;&gt;"",COUNTIF('02_固定地理'!$A$2:$A$501,'05_层级表现LOD'!A194)+COUNTIF('03_地点锚点'!$A$2:$A$501,'05_层级表现LOD'!A194)+COUNTIF('04_路径网络'!$A$2:$A$501,'05_层级表现LOD'!A194)+COUNTIF('06_建筑锚点'!$A$2:$A$501,'05_层级表现LOD'!A194)=0),"LOD引用对象不存在；","")&amp;IF(AND('05_层级表现LOD'!A194&lt;&gt;"",COUNTIF('05_层级表现LOD'!$A$2:$A$501,'05_层级表现LOD'!A194)&gt;1),"ID重复；",""),"")</f>
        <v/>
      </c>
      <c r="G1694" s="14">
        <f>IF(F1694&lt;&gt;"","按字段批注、数据字典和来源记录修正后复核","")</f>
        <v/>
      </c>
      <c r="H1694" s="14">
        <f>IF(F1694&lt;&gt;"","待处理","")</f>
        <v/>
      </c>
    </row>
    <row r="1695">
      <c r="A1695" s="14">
        <f>IF(F1695&lt;&gt;"","ISSUE-"&amp;TEXT(ROW()-1,"00000"),"")</f>
        <v/>
      </c>
      <c r="B1695" s="14">
        <f>IF(F1695&lt;&gt;"","错误","")</f>
        <v/>
      </c>
      <c r="C1695" s="14">
        <f>IF('05_层级表现LOD'!A195&lt;&gt;"","05_层级表现LOD","")</f>
        <v/>
      </c>
      <c r="D1695" s="14">
        <f>IF('05_层级表现LOD'!A195&lt;&gt;"",'05_层级表现LOD'!A195,"")</f>
        <v/>
      </c>
      <c r="E1695" s="14">
        <f>IF(F1695&lt;&gt;"","综合校验","")</f>
        <v/>
      </c>
      <c r="F1695" s="14">
        <f>IF('05_层级表现LOD'!A195&lt;&gt;"",IF('05_层级表现LOD'!A195="","缺少对象ID；","")&amp;IF('05_层级表现LOD'!B195="","缺少对象类别；","")&amp;IF(AND('05_层级表现LOD'!A195&lt;&gt;"",COUNTIF('02_固定地理'!$A$2:$A$501,'05_层级表现LOD'!A195)+COUNTIF('03_地点锚点'!$A$2:$A$501,'05_层级表现LOD'!A195)+COUNTIF('04_路径网络'!$A$2:$A$501,'05_层级表现LOD'!A195)+COUNTIF('06_建筑锚点'!$A$2:$A$501,'05_层级表现LOD'!A195)=0),"LOD引用对象不存在；","")&amp;IF(AND('05_层级表现LOD'!A195&lt;&gt;"",COUNTIF('05_层级表现LOD'!$A$2:$A$501,'05_层级表现LOD'!A195)&gt;1),"ID重复；",""),"")</f>
        <v/>
      </c>
      <c r="G1695" s="14">
        <f>IF(F1695&lt;&gt;"","按字段批注、数据字典和来源记录修正后复核","")</f>
        <v/>
      </c>
      <c r="H1695" s="14">
        <f>IF(F1695&lt;&gt;"","待处理","")</f>
        <v/>
      </c>
    </row>
    <row r="1696">
      <c r="A1696" s="14">
        <f>IF(F1696&lt;&gt;"","ISSUE-"&amp;TEXT(ROW()-1,"00000"),"")</f>
        <v/>
      </c>
      <c r="B1696" s="14">
        <f>IF(F1696&lt;&gt;"","错误","")</f>
        <v/>
      </c>
      <c r="C1696" s="14">
        <f>IF('05_层级表现LOD'!A196&lt;&gt;"","05_层级表现LOD","")</f>
        <v/>
      </c>
      <c r="D1696" s="14">
        <f>IF('05_层级表现LOD'!A196&lt;&gt;"",'05_层级表现LOD'!A196,"")</f>
        <v/>
      </c>
      <c r="E1696" s="14">
        <f>IF(F1696&lt;&gt;"","综合校验","")</f>
        <v/>
      </c>
      <c r="F1696" s="14">
        <f>IF('05_层级表现LOD'!A196&lt;&gt;"",IF('05_层级表现LOD'!A196="","缺少对象ID；","")&amp;IF('05_层级表现LOD'!B196="","缺少对象类别；","")&amp;IF(AND('05_层级表现LOD'!A196&lt;&gt;"",COUNTIF('02_固定地理'!$A$2:$A$501,'05_层级表现LOD'!A196)+COUNTIF('03_地点锚点'!$A$2:$A$501,'05_层级表现LOD'!A196)+COUNTIF('04_路径网络'!$A$2:$A$501,'05_层级表现LOD'!A196)+COUNTIF('06_建筑锚点'!$A$2:$A$501,'05_层级表现LOD'!A196)=0),"LOD引用对象不存在；","")&amp;IF(AND('05_层级表现LOD'!A196&lt;&gt;"",COUNTIF('05_层级表现LOD'!$A$2:$A$501,'05_层级表现LOD'!A196)&gt;1),"ID重复；",""),"")</f>
        <v/>
      </c>
      <c r="G1696" s="14">
        <f>IF(F1696&lt;&gt;"","按字段批注、数据字典和来源记录修正后复核","")</f>
        <v/>
      </c>
      <c r="H1696" s="14">
        <f>IF(F1696&lt;&gt;"","待处理","")</f>
        <v/>
      </c>
    </row>
    <row r="1697">
      <c r="A1697" s="14">
        <f>IF(F1697&lt;&gt;"","ISSUE-"&amp;TEXT(ROW()-1,"00000"),"")</f>
        <v/>
      </c>
      <c r="B1697" s="14">
        <f>IF(F1697&lt;&gt;"","错误","")</f>
        <v/>
      </c>
      <c r="C1697" s="14">
        <f>IF('05_层级表现LOD'!A197&lt;&gt;"","05_层级表现LOD","")</f>
        <v/>
      </c>
      <c r="D1697" s="14">
        <f>IF('05_层级表现LOD'!A197&lt;&gt;"",'05_层级表现LOD'!A197,"")</f>
        <v/>
      </c>
      <c r="E1697" s="14">
        <f>IF(F1697&lt;&gt;"","综合校验","")</f>
        <v/>
      </c>
      <c r="F1697" s="14">
        <f>IF('05_层级表现LOD'!A197&lt;&gt;"",IF('05_层级表现LOD'!A197="","缺少对象ID；","")&amp;IF('05_层级表现LOD'!B197="","缺少对象类别；","")&amp;IF(AND('05_层级表现LOD'!A197&lt;&gt;"",COUNTIF('02_固定地理'!$A$2:$A$501,'05_层级表现LOD'!A197)+COUNTIF('03_地点锚点'!$A$2:$A$501,'05_层级表现LOD'!A197)+COUNTIF('04_路径网络'!$A$2:$A$501,'05_层级表现LOD'!A197)+COUNTIF('06_建筑锚点'!$A$2:$A$501,'05_层级表现LOD'!A197)=0),"LOD引用对象不存在；","")&amp;IF(AND('05_层级表现LOD'!A197&lt;&gt;"",COUNTIF('05_层级表现LOD'!$A$2:$A$501,'05_层级表现LOD'!A197)&gt;1),"ID重复；",""),"")</f>
        <v/>
      </c>
      <c r="G1697" s="14">
        <f>IF(F1697&lt;&gt;"","按字段批注、数据字典和来源记录修正后复核","")</f>
        <v/>
      </c>
      <c r="H1697" s="14">
        <f>IF(F1697&lt;&gt;"","待处理","")</f>
        <v/>
      </c>
    </row>
    <row r="1698">
      <c r="A1698" s="14">
        <f>IF(F1698&lt;&gt;"","ISSUE-"&amp;TEXT(ROW()-1,"00000"),"")</f>
        <v/>
      </c>
      <c r="B1698" s="14">
        <f>IF(F1698&lt;&gt;"","错误","")</f>
        <v/>
      </c>
      <c r="C1698" s="14">
        <f>IF('05_层级表现LOD'!A198&lt;&gt;"","05_层级表现LOD","")</f>
        <v/>
      </c>
      <c r="D1698" s="14">
        <f>IF('05_层级表现LOD'!A198&lt;&gt;"",'05_层级表现LOD'!A198,"")</f>
        <v/>
      </c>
      <c r="E1698" s="14">
        <f>IF(F1698&lt;&gt;"","综合校验","")</f>
        <v/>
      </c>
      <c r="F1698" s="14">
        <f>IF('05_层级表现LOD'!A198&lt;&gt;"",IF('05_层级表现LOD'!A198="","缺少对象ID；","")&amp;IF('05_层级表现LOD'!B198="","缺少对象类别；","")&amp;IF(AND('05_层级表现LOD'!A198&lt;&gt;"",COUNTIF('02_固定地理'!$A$2:$A$501,'05_层级表现LOD'!A198)+COUNTIF('03_地点锚点'!$A$2:$A$501,'05_层级表现LOD'!A198)+COUNTIF('04_路径网络'!$A$2:$A$501,'05_层级表现LOD'!A198)+COUNTIF('06_建筑锚点'!$A$2:$A$501,'05_层级表现LOD'!A198)=0),"LOD引用对象不存在；","")&amp;IF(AND('05_层级表现LOD'!A198&lt;&gt;"",COUNTIF('05_层级表现LOD'!$A$2:$A$501,'05_层级表现LOD'!A198)&gt;1),"ID重复；",""),"")</f>
        <v/>
      </c>
      <c r="G1698" s="14">
        <f>IF(F1698&lt;&gt;"","按字段批注、数据字典和来源记录修正后复核","")</f>
        <v/>
      </c>
      <c r="H1698" s="14">
        <f>IF(F1698&lt;&gt;"","待处理","")</f>
        <v/>
      </c>
    </row>
    <row r="1699">
      <c r="A1699" s="14">
        <f>IF(F1699&lt;&gt;"","ISSUE-"&amp;TEXT(ROW()-1,"00000"),"")</f>
        <v/>
      </c>
      <c r="B1699" s="14">
        <f>IF(F1699&lt;&gt;"","错误","")</f>
        <v/>
      </c>
      <c r="C1699" s="14">
        <f>IF('05_层级表现LOD'!A199&lt;&gt;"","05_层级表现LOD","")</f>
        <v/>
      </c>
      <c r="D1699" s="14">
        <f>IF('05_层级表现LOD'!A199&lt;&gt;"",'05_层级表现LOD'!A199,"")</f>
        <v/>
      </c>
      <c r="E1699" s="14">
        <f>IF(F1699&lt;&gt;"","综合校验","")</f>
        <v/>
      </c>
      <c r="F1699" s="14">
        <f>IF('05_层级表现LOD'!A199&lt;&gt;"",IF('05_层级表现LOD'!A199="","缺少对象ID；","")&amp;IF('05_层级表现LOD'!B199="","缺少对象类别；","")&amp;IF(AND('05_层级表现LOD'!A199&lt;&gt;"",COUNTIF('02_固定地理'!$A$2:$A$501,'05_层级表现LOD'!A199)+COUNTIF('03_地点锚点'!$A$2:$A$501,'05_层级表现LOD'!A199)+COUNTIF('04_路径网络'!$A$2:$A$501,'05_层级表现LOD'!A199)+COUNTIF('06_建筑锚点'!$A$2:$A$501,'05_层级表现LOD'!A199)=0),"LOD引用对象不存在；","")&amp;IF(AND('05_层级表现LOD'!A199&lt;&gt;"",COUNTIF('05_层级表现LOD'!$A$2:$A$501,'05_层级表现LOD'!A199)&gt;1),"ID重复；",""),"")</f>
        <v/>
      </c>
      <c r="G1699" s="14">
        <f>IF(F1699&lt;&gt;"","按字段批注、数据字典和来源记录修正后复核","")</f>
        <v/>
      </c>
      <c r="H1699" s="14">
        <f>IF(F1699&lt;&gt;"","待处理","")</f>
        <v/>
      </c>
    </row>
    <row r="1700">
      <c r="A1700" s="14">
        <f>IF(F1700&lt;&gt;"","ISSUE-"&amp;TEXT(ROW()-1,"00000"),"")</f>
        <v/>
      </c>
      <c r="B1700" s="14">
        <f>IF(F1700&lt;&gt;"","错误","")</f>
        <v/>
      </c>
      <c r="C1700" s="14">
        <f>IF('05_层级表现LOD'!A200&lt;&gt;"","05_层级表现LOD","")</f>
        <v/>
      </c>
      <c r="D1700" s="14">
        <f>IF('05_层级表现LOD'!A200&lt;&gt;"",'05_层级表现LOD'!A200,"")</f>
        <v/>
      </c>
      <c r="E1700" s="14">
        <f>IF(F1700&lt;&gt;"","综合校验","")</f>
        <v/>
      </c>
      <c r="F1700" s="14">
        <f>IF('05_层级表现LOD'!A200&lt;&gt;"",IF('05_层级表现LOD'!A200="","缺少对象ID；","")&amp;IF('05_层级表现LOD'!B200="","缺少对象类别；","")&amp;IF(AND('05_层级表现LOD'!A200&lt;&gt;"",COUNTIF('02_固定地理'!$A$2:$A$501,'05_层级表现LOD'!A200)+COUNTIF('03_地点锚点'!$A$2:$A$501,'05_层级表现LOD'!A200)+COUNTIF('04_路径网络'!$A$2:$A$501,'05_层级表现LOD'!A200)+COUNTIF('06_建筑锚点'!$A$2:$A$501,'05_层级表现LOD'!A200)=0),"LOD引用对象不存在；","")&amp;IF(AND('05_层级表现LOD'!A200&lt;&gt;"",COUNTIF('05_层级表现LOD'!$A$2:$A$501,'05_层级表现LOD'!A200)&gt;1),"ID重复；",""),"")</f>
        <v/>
      </c>
      <c r="G1700" s="14">
        <f>IF(F1700&lt;&gt;"","按字段批注、数据字典和来源记录修正后复核","")</f>
        <v/>
      </c>
      <c r="H1700" s="14">
        <f>IF(F1700&lt;&gt;"","待处理","")</f>
        <v/>
      </c>
    </row>
    <row r="1701">
      <c r="A1701" s="14">
        <f>IF(F1701&lt;&gt;"","ISSUE-"&amp;TEXT(ROW()-1,"00000"),"")</f>
        <v/>
      </c>
      <c r="B1701" s="14">
        <f>IF(F1701&lt;&gt;"","错误","")</f>
        <v/>
      </c>
      <c r="C1701" s="14">
        <f>IF('05_层级表现LOD'!A201&lt;&gt;"","05_层级表现LOD","")</f>
        <v/>
      </c>
      <c r="D1701" s="14">
        <f>IF('05_层级表现LOD'!A201&lt;&gt;"",'05_层级表现LOD'!A201,"")</f>
        <v/>
      </c>
      <c r="E1701" s="14">
        <f>IF(F1701&lt;&gt;"","综合校验","")</f>
        <v/>
      </c>
      <c r="F1701" s="14">
        <f>IF('05_层级表现LOD'!A201&lt;&gt;"",IF('05_层级表现LOD'!A201="","缺少对象ID；","")&amp;IF('05_层级表现LOD'!B201="","缺少对象类别；","")&amp;IF(AND('05_层级表现LOD'!A201&lt;&gt;"",COUNTIF('02_固定地理'!$A$2:$A$501,'05_层级表现LOD'!A201)+COUNTIF('03_地点锚点'!$A$2:$A$501,'05_层级表现LOD'!A201)+COUNTIF('04_路径网络'!$A$2:$A$501,'05_层级表现LOD'!A201)+COUNTIF('06_建筑锚点'!$A$2:$A$501,'05_层级表现LOD'!A201)=0),"LOD引用对象不存在；","")&amp;IF(AND('05_层级表现LOD'!A201&lt;&gt;"",COUNTIF('05_层级表现LOD'!$A$2:$A$501,'05_层级表现LOD'!A201)&gt;1),"ID重复；",""),"")</f>
        <v/>
      </c>
      <c r="G1701" s="14">
        <f>IF(F1701&lt;&gt;"","按字段批注、数据字典和来源记录修正后复核","")</f>
        <v/>
      </c>
      <c r="H1701" s="14">
        <f>IF(F1701&lt;&gt;"","待处理","")</f>
        <v/>
      </c>
    </row>
    <row r="1702">
      <c r="A1702" s="14">
        <f>IF(F1702&lt;&gt;"","ISSUE-"&amp;TEXT(ROW()-1,"00000"),"")</f>
        <v/>
      </c>
      <c r="B1702" s="14">
        <f>IF(F1702&lt;&gt;"","错误","")</f>
        <v/>
      </c>
      <c r="C1702" s="14">
        <f>IF('05_层级表现LOD'!A202&lt;&gt;"","05_层级表现LOD","")</f>
        <v/>
      </c>
      <c r="D1702" s="14">
        <f>IF('05_层级表现LOD'!A202&lt;&gt;"",'05_层级表现LOD'!A202,"")</f>
        <v/>
      </c>
      <c r="E1702" s="14">
        <f>IF(F1702&lt;&gt;"","综合校验","")</f>
        <v/>
      </c>
      <c r="F1702" s="14">
        <f>IF('05_层级表现LOD'!A202&lt;&gt;"",IF('05_层级表现LOD'!A202="","缺少对象ID；","")&amp;IF('05_层级表现LOD'!B202="","缺少对象类别；","")&amp;IF(AND('05_层级表现LOD'!A202&lt;&gt;"",COUNTIF('02_固定地理'!$A$2:$A$501,'05_层级表现LOD'!A202)+COUNTIF('03_地点锚点'!$A$2:$A$501,'05_层级表现LOD'!A202)+COUNTIF('04_路径网络'!$A$2:$A$501,'05_层级表现LOD'!A202)+COUNTIF('06_建筑锚点'!$A$2:$A$501,'05_层级表现LOD'!A202)=0),"LOD引用对象不存在；","")&amp;IF(AND('05_层级表现LOD'!A202&lt;&gt;"",COUNTIF('05_层级表现LOD'!$A$2:$A$501,'05_层级表现LOD'!A202)&gt;1),"ID重复；",""),"")</f>
        <v/>
      </c>
      <c r="G1702" s="14">
        <f>IF(F1702&lt;&gt;"","按字段批注、数据字典和来源记录修正后复核","")</f>
        <v/>
      </c>
      <c r="H1702" s="14">
        <f>IF(F1702&lt;&gt;"","待处理","")</f>
        <v/>
      </c>
    </row>
    <row r="1703">
      <c r="A1703" s="14">
        <f>IF(F1703&lt;&gt;"","ISSUE-"&amp;TEXT(ROW()-1,"00000"),"")</f>
        <v/>
      </c>
      <c r="B1703" s="14">
        <f>IF(F1703&lt;&gt;"","错误","")</f>
        <v/>
      </c>
      <c r="C1703" s="14">
        <f>IF('05_层级表现LOD'!A203&lt;&gt;"","05_层级表现LOD","")</f>
        <v/>
      </c>
      <c r="D1703" s="14">
        <f>IF('05_层级表现LOD'!A203&lt;&gt;"",'05_层级表现LOD'!A203,"")</f>
        <v/>
      </c>
      <c r="E1703" s="14">
        <f>IF(F1703&lt;&gt;"","综合校验","")</f>
        <v/>
      </c>
      <c r="F1703" s="14">
        <f>IF('05_层级表现LOD'!A203&lt;&gt;"",IF('05_层级表现LOD'!A203="","缺少对象ID；","")&amp;IF('05_层级表现LOD'!B203="","缺少对象类别；","")&amp;IF(AND('05_层级表现LOD'!A203&lt;&gt;"",COUNTIF('02_固定地理'!$A$2:$A$501,'05_层级表现LOD'!A203)+COUNTIF('03_地点锚点'!$A$2:$A$501,'05_层级表现LOD'!A203)+COUNTIF('04_路径网络'!$A$2:$A$501,'05_层级表现LOD'!A203)+COUNTIF('06_建筑锚点'!$A$2:$A$501,'05_层级表现LOD'!A203)=0),"LOD引用对象不存在；","")&amp;IF(AND('05_层级表现LOD'!A203&lt;&gt;"",COUNTIF('05_层级表现LOD'!$A$2:$A$501,'05_层级表现LOD'!A203)&gt;1),"ID重复；",""),"")</f>
        <v/>
      </c>
      <c r="G1703" s="14">
        <f>IF(F1703&lt;&gt;"","按字段批注、数据字典和来源记录修正后复核","")</f>
        <v/>
      </c>
      <c r="H1703" s="14">
        <f>IF(F1703&lt;&gt;"","待处理","")</f>
        <v/>
      </c>
    </row>
    <row r="1704">
      <c r="A1704" s="14">
        <f>IF(F1704&lt;&gt;"","ISSUE-"&amp;TEXT(ROW()-1,"00000"),"")</f>
        <v/>
      </c>
      <c r="B1704" s="14">
        <f>IF(F1704&lt;&gt;"","错误","")</f>
        <v/>
      </c>
      <c r="C1704" s="14">
        <f>IF('05_层级表现LOD'!A204&lt;&gt;"","05_层级表现LOD","")</f>
        <v/>
      </c>
      <c r="D1704" s="14">
        <f>IF('05_层级表现LOD'!A204&lt;&gt;"",'05_层级表现LOD'!A204,"")</f>
        <v/>
      </c>
      <c r="E1704" s="14">
        <f>IF(F1704&lt;&gt;"","综合校验","")</f>
        <v/>
      </c>
      <c r="F1704" s="14">
        <f>IF('05_层级表现LOD'!A204&lt;&gt;"",IF('05_层级表现LOD'!A204="","缺少对象ID；","")&amp;IF('05_层级表现LOD'!B204="","缺少对象类别；","")&amp;IF(AND('05_层级表现LOD'!A204&lt;&gt;"",COUNTIF('02_固定地理'!$A$2:$A$501,'05_层级表现LOD'!A204)+COUNTIF('03_地点锚点'!$A$2:$A$501,'05_层级表现LOD'!A204)+COUNTIF('04_路径网络'!$A$2:$A$501,'05_层级表现LOD'!A204)+COUNTIF('06_建筑锚点'!$A$2:$A$501,'05_层级表现LOD'!A204)=0),"LOD引用对象不存在；","")&amp;IF(AND('05_层级表现LOD'!A204&lt;&gt;"",COUNTIF('05_层级表现LOD'!$A$2:$A$501,'05_层级表现LOD'!A204)&gt;1),"ID重复；",""),"")</f>
        <v/>
      </c>
      <c r="G1704" s="14">
        <f>IF(F1704&lt;&gt;"","按字段批注、数据字典和来源记录修正后复核","")</f>
        <v/>
      </c>
      <c r="H1704" s="14">
        <f>IF(F1704&lt;&gt;"","待处理","")</f>
        <v/>
      </c>
    </row>
    <row r="1705">
      <c r="A1705" s="14">
        <f>IF(F1705&lt;&gt;"","ISSUE-"&amp;TEXT(ROW()-1,"00000"),"")</f>
        <v/>
      </c>
      <c r="B1705" s="14">
        <f>IF(F1705&lt;&gt;"","错误","")</f>
        <v/>
      </c>
      <c r="C1705" s="14">
        <f>IF('05_层级表现LOD'!A205&lt;&gt;"","05_层级表现LOD","")</f>
        <v/>
      </c>
      <c r="D1705" s="14">
        <f>IF('05_层级表现LOD'!A205&lt;&gt;"",'05_层级表现LOD'!A205,"")</f>
        <v/>
      </c>
      <c r="E1705" s="14">
        <f>IF(F1705&lt;&gt;"","综合校验","")</f>
        <v/>
      </c>
      <c r="F1705" s="14">
        <f>IF('05_层级表现LOD'!A205&lt;&gt;"",IF('05_层级表现LOD'!A205="","缺少对象ID；","")&amp;IF('05_层级表现LOD'!B205="","缺少对象类别；","")&amp;IF(AND('05_层级表现LOD'!A205&lt;&gt;"",COUNTIF('02_固定地理'!$A$2:$A$501,'05_层级表现LOD'!A205)+COUNTIF('03_地点锚点'!$A$2:$A$501,'05_层级表现LOD'!A205)+COUNTIF('04_路径网络'!$A$2:$A$501,'05_层级表现LOD'!A205)+COUNTIF('06_建筑锚点'!$A$2:$A$501,'05_层级表现LOD'!A205)=0),"LOD引用对象不存在；","")&amp;IF(AND('05_层级表现LOD'!A205&lt;&gt;"",COUNTIF('05_层级表现LOD'!$A$2:$A$501,'05_层级表现LOD'!A205)&gt;1),"ID重复；",""),"")</f>
        <v/>
      </c>
      <c r="G1705" s="14">
        <f>IF(F1705&lt;&gt;"","按字段批注、数据字典和来源记录修正后复核","")</f>
        <v/>
      </c>
      <c r="H1705" s="14">
        <f>IF(F1705&lt;&gt;"","待处理","")</f>
        <v/>
      </c>
    </row>
    <row r="1706">
      <c r="A1706" s="14">
        <f>IF(F1706&lt;&gt;"","ISSUE-"&amp;TEXT(ROW()-1,"00000"),"")</f>
        <v/>
      </c>
      <c r="B1706" s="14">
        <f>IF(F1706&lt;&gt;"","错误","")</f>
        <v/>
      </c>
      <c r="C1706" s="14">
        <f>IF('05_层级表现LOD'!A206&lt;&gt;"","05_层级表现LOD","")</f>
        <v/>
      </c>
      <c r="D1706" s="14">
        <f>IF('05_层级表现LOD'!A206&lt;&gt;"",'05_层级表现LOD'!A206,"")</f>
        <v/>
      </c>
      <c r="E1706" s="14">
        <f>IF(F1706&lt;&gt;"","综合校验","")</f>
        <v/>
      </c>
      <c r="F1706" s="14">
        <f>IF('05_层级表现LOD'!A206&lt;&gt;"",IF('05_层级表现LOD'!A206="","缺少对象ID；","")&amp;IF('05_层级表现LOD'!B206="","缺少对象类别；","")&amp;IF(AND('05_层级表现LOD'!A206&lt;&gt;"",COUNTIF('02_固定地理'!$A$2:$A$501,'05_层级表现LOD'!A206)+COUNTIF('03_地点锚点'!$A$2:$A$501,'05_层级表现LOD'!A206)+COUNTIF('04_路径网络'!$A$2:$A$501,'05_层级表现LOD'!A206)+COUNTIF('06_建筑锚点'!$A$2:$A$501,'05_层级表现LOD'!A206)=0),"LOD引用对象不存在；","")&amp;IF(AND('05_层级表现LOD'!A206&lt;&gt;"",COUNTIF('05_层级表现LOD'!$A$2:$A$501,'05_层级表现LOD'!A206)&gt;1),"ID重复；",""),"")</f>
        <v/>
      </c>
      <c r="G1706" s="14">
        <f>IF(F1706&lt;&gt;"","按字段批注、数据字典和来源记录修正后复核","")</f>
        <v/>
      </c>
      <c r="H1706" s="14">
        <f>IF(F1706&lt;&gt;"","待处理","")</f>
        <v/>
      </c>
    </row>
    <row r="1707">
      <c r="A1707" s="14">
        <f>IF(F1707&lt;&gt;"","ISSUE-"&amp;TEXT(ROW()-1,"00000"),"")</f>
        <v/>
      </c>
      <c r="B1707" s="14">
        <f>IF(F1707&lt;&gt;"","错误","")</f>
        <v/>
      </c>
      <c r="C1707" s="14">
        <f>IF('05_层级表现LOD'!A207&lt;&gt;"","05_层级表现LOD","")</f>
        <v/>
      </c>
      <c r="D1707" s="14">
        <f>IF('05_层级表现LOD'!A207&lt;&gt;"",'05_层级表现LOD'!A207,"")</f>
        <v/>
      </c>
      <c r="E1707" s="14">
        <f>IF(F1707&lt;&gt;"","综合校验","")</f>
        <v/>
      </c>
      <c r="F1707" s="14">
        <f>IF('05_层级表现LOD'!A207&lt;&gt;"",IF('05_层级表现LOD'!A207="","缺少对象ID；","")&amp;IF('05_层级表现LOD'!B207="","缺少对象类别；","")&amp;IF(AND('05_层级表现LOD'!A207&lt;&gt;"",COUNTIF('02_固定地理'!$A$2:$A$501,'05_层级表现LOD'!A207)+COUNTIF('03_地点锚点'!$A$2:$A$501,'05_层级表现LOD'!A207)+COUNTIF('04_路径网络'!$A$2:$A$501,'05_层级表现LOD'!A207)+COUNTIF('06_建筑锚点'!$A$2:$A$501,'05_层级表现LOD'!A207)=0),"LOD引用对象不存在；","")&amp;IF(AND('05_层级表现LOD'!A207&lt;&gt;"",COUNTIF('05_层级表现LOD'!$A$2:$A$501,'05_层级表现LOD'!A207)&gt;1),"ID重复；",""),"")</f>
        <v/>
      </c>
      <c r="G1707" s="14">
        <f>IF(F1707&lt;&gt;"","按字段批注、数据字典和来源记录修正后复核","")</f>
        <v/>
      </c>
      <c r="H1707" s="14">
        <f>IF(F1707&lt;&gt;"","待处理","")</f>
        <v/>
      </c>
    </row>
    <row r="1708">
      <c r="A1708" s="14">
        <f>IF(F1708&lt;&gt;"","ISSUE-"&amp;TEXT(ROW()-1,"00000"),"")</f>
        <v/>
      </c>
      <c r="B1708" s="14">
        <f>IF(F1708&lt;&gt;"","错误","")</f>
        <v/>
      </c>
      <c r="C1708" s="14">
        <f>IF('05_层级表现LOD'!A208&lt;&gt;"","05_层级表现LOD","")</f>
        <v/>
      </c>
      <c r="D1708" s="14">
        <f>IF('05_层级表现LOD'!A208&lt;&gt;"",'05_层级表现LOD'!A208,"")</f>
        <v/>
      </c>
      <c r="E1708" s="14">
        <f>IF(F1708&lt;&gt;"","综合校验","")</f>
        <v/>
      </c>
      <c r="F1708" s="14">
        <f>IF('05_层级表现LOD'!A208&lt;&gt;"",IF('05_层级表现LOD'!A208="","缺少对象ID；","")&amp;IF('05_层级表现LOD'!B208="","缺少对象类别；","")&amp;IF(AND('05_层级表现LOD'!A208&lt;&gt;"",COUNTIF('02_固定地理'!$A$2:$A$501,'05_层级表现LOD'!A208)+COUNTIF('03_地点锚点'!$A$2:$A$501,'05_层级表现LOD'!A208)+COUNTIF('04_路径网络'!$A$2:$A$501,'05_层级表现LOD'!A208)+COUNTIF('06_建筑锚点'!$A$2:$A$501,'05_层级表现LOD'!A208)=0),"LOD引用对象不存在；","")&amp;IF(AND('05_层级表现LOD'!A208&lt;&gt;"",COUNTIF('05_层级表现LOD'!$A$2:$A$501,'05_层级表现LOD'!A208)&gt;1),"ID重复；",""),"")</f>
        <v/>
      </c>
      <c r="G1708" s="14">
        <f>IF(F1708&lt;&gt;"","按字段批注、数据字典和来源记录修正后复核","")</f>
        <v/>
      </c>
      <c r="H1708" s="14">
        <f>IF(F1708&lt;&gt;"","待处理","")</f>
        <v/>
      </c>
    </row>
    <row r="1709">
      <c r="A1709" s="14">
        <f>IF(F1709&lt;&gt;"","ISSUE-"&amp;TEXT(ROW()-1,"00000"),"")</f>
        <v/>
      </c>
      <c r="B1709" s="14">
        <f>IF(F1709&lt;&gt;"","错误","")</f>
        <v/>
      </c>
      <c r="C1709" s="14">
        <f>IF('05_层级表现LOD'!A209&lt;&gt;"","05_层级表现LOD","")</f>
        <v/>
      </c>
      <c r="D1709" s="14">
        <f>IF('05_层级表现LOD'!A209&lt;&gt;"",'05_层级表现LOD'!A209,"")</f>
        <v/>
      </c>
      <c r="E1709" s="14">
        <f>IF(F1709&lt;&gt;"","综合校验","")</f>
        <v/>
      </c>
      <c r="F1709" s="14">
        <f>IF('05_层级表现LOD'!A209&lt;&gt;"",IF('05_层级表现LOD'!A209="","缺少对象ID；","")&amp;IF('05_层级表现LOD'!B209="","缺少对象类别；","")&amp;IF(AND('05_层级表现LOD'!A209&lt;&gt;"",COUNTIF('02_固定地理'!$A$2:$A$501,'05_层级表现LOD'!A209)+COUNTIF('03_地点锚点'!$A$2:$A$501,'05_层级表现LOD'!A209)+COUNTIF('04_路径网络'!$A$2:$A$501,'05_层级表现LOD'!A209)+COUNTIF('06_建筑锚点'!$A$2:$A$501,'05_层级表现LOD'!A209)=0),"LOD引用对象不存在；","")&amp;IF(AND('05_层级表现LOD'!A209&lt;&gt;"",COUNTIF('05_层级表现LOD'!$A$2:$A$501,'05_层级表现LOD'!A209)&gt;1),"ID重复；",""),"")</f>
        <v/>
      </c>
      <c r="G1709" s="14">
        <f>IF(F1709&lt;&gt;"","按字段批注、数据字典和来源记录修正后复核","")</f>
        <v/>
      </c>
      <c r="H1709" s="14">
        <f>IF(F1709&lt;&gt;"","待处理","")</f>
        <v/>
      </c>
    </row>
    <row r="1710">
      <c r="A1710" s="14">
        <f>IF(F1710&lt;&gt;"","ISSUE-"&amp;TEXT(ROW()-1,"00000"),"")</f>
        <v/>
      </c>
      <c r="B1710" s="14">
        <f>IF(F1710&lt;&gt;"","错误","")</f>
        <v/>
      </c>
      <c r="C1710" s="14">
        <f>IF('05_层级表现LOD'!A210&lt;&gt;"","05_层级表现LOD","")</f>
        <v/>
      </c>
      <c r="D1710" s="14">
        <f>IF('05_层级表现LOD'!A210&lt;&gt;"",'05_层级表现LOD'!A210,"")</f>
        <v/>
      </c>
      <c r="E1710" s="14">
        <f>IF(F1710&lt;&gt;"","综合校验","")</f>
        <v/>
      </c>
      <c r="F1710" s="14">
        <f>IF('05_层级表现LOD'!A210&lt;&gt;"",IF('05_层级表现LOD'!A210="","缺少对象ID；","")&amp;IF('05_层级表现LOD'!B210="","缺少对象类别；","")&amp;IF(AND('05_层级表现LOD'!A210&lt;&gt;"",COUNTIF('02_固定地理'!$A$2:$A$501,'05_层级表现LOD'!A210)+COUNTIF('03_地点锚点'!$A$2:$A$501,'05_层级表现LOD'!A210)+COUNTIF('04_路径网络'!$A$2:$A$501,'05_层级表现LOD'!A210)+COUNTIF('06_建筑锚点'!$A$2:$A$501,'05_层级表现LOD'!A210)=0),"LOD引用对象不存在；","")&amp;IF(AND('05_层级表现LOD'!A210&lt;&gt;"",COUNTIF('05_层级表现LOD'!$A$2:$A$501,'05_层级表现LOD'!A210)&gt;1),"ID重复；",""),"")</f>
        <v/>
      </c>
      <c r="G1710" s="14">
        <f>IF(F1710&lt;&gt;"","按字段批注、数据字典和来源记录修正后复核","")</f>
        <v/>
      </c>
      <c r="H1710" s="14">
        <f>IF(F1710&lt;&gt;"","待处理","")</f>
        <v/>
      </c>
    </row>
    <row r="1711">
      <c r="A1711" s="14">
        <f>IF(F1711&lt;&gt;"","ISSUE-"&amp;TEXT(ROW()-1,"00000"),"")</f>
        <v/>
      </c>
      <c r="B1711" s="14">
        <f>IF(F1711&lt;&gt;"","错误","")</f>
        <v/>
      </c>
      <c r="C1711" s="14">
        <f>IF('05_层级表现LOD'!A211&lt;&gt;"","05_层级表现LOD","")</f>
        <v/>
      </c>
      <c r="D1711" s="14">
        <f>IF('05_层级表现LOD'!A211&lt;&gt;"",'05_层级表现LOD'!A211,"")</f>
        <v/>
      </c>
      <c r="E1711" s="14">
        <f>IF(F1711&lt;&gt;"","综合校验","")</f>
        <v/>
      </c>
      <c r="F1711" s="14">
        <f>IF('05_层级表现LOD'!A211&lt;&gt;"",IF('05_层级表现LOD'!A211="","缺少对象ID；","")&amp;IF('05_层级表现LOD'!B211="","缺少对象类别；","")&amp;IF(AND('05_层级表现LOD'!A211&lt;&gt;"",COUNTIF('02_固定地理'!$A$2:$A$501,'05_层级表现LOD'!A211)+COUNTIF('03_地点锚点'!$A$2:$A$501,'05_层级表现LOD'!A211)+COUNTIF('04_路径网络'!$A$2:$A$501,'05_层级表现LOD'!A211)+COUNTIF('06_建筑锚点'!$A$2:$A$501,'05_层级表现LOD'!A211)=0),"LOD引用对象不存在；","")&amp;IF(AND('05_层级表现LOD'!A211&lt;&gt;"",COUNTIF('05_层级表现LOD'!$A$2:$A$501,'05_层级表现LOD'!A211)&gt;1),"ID重复；",""),"")</f>
        <v/>
      </c>
      <c r="G1711" s="14">
        <f>IF(F1711&lt;&gt;"","按字段批注、数据字典和来源记录修正后复核","")</f>
        <v/>
      </c>
      <c r="H1711" s="14">
        <f>IF(F1711&lt;&gt;"","待处理","")</f>
        <v/>
      </c>
    </row>
    <row r="1712">
      <c r="A1712" s="14">
        <f>IF(F1712&lt;&gt;"","ISSUE-"&amp;TEXT(ROW()-1,"00000"),"")</f>
        <v/>
      </c>
      <c r="B1712" s="14">
        <f>IF(F1712&lt;&gt;"","错误","")</f>
        <v/>
      </c>
      <c r="C1712" s="14">
        <f>IF('05_层级表现LOD'!A212&lt;&gt;"","05_层级表现LOD","")</f>
        <v/>
      </c>
      <c r="D1712" s="14">
        <f>IF('05_层级表现LOD'!A212&lt;&gt;"",'05_层级表现LOD'!A212,"")</f>
        <v/>
      </c>
      <c r="E1712" s="14">
        <f>IF(F1712&lt;&gt;"","综合校验","")</f>
        <v/>
      </c>
      <c r="F1712" s="14">
        <f>IF('05_层级表现LOD'!A212&lt;&gt;"",IF('05_层级表现LOD'!A212="","缺少对象ID；","")&amp;IF('05_层级表现LOD'!B212="","缺少对象类别；","")&amp;IF(AND('05_层级表现LOD'!A212&lt;&gt;"",COUNTIF('02_固定地理'!$A$2:$A$501,'05_层级表现LOD'!A212)+COUNTIF('03_地点锚点'!$A$2:$A$501,'05_层级表现LOD'!A212)+COUNTIF('04_路径网络'!$A$2:$A$501,'05_层级表现LOD'!A212)+COUNTIF('06_建筑锚点'!$A$2:$A$501,'05_层级表现LOD'!A212)=0),"LOD引用对象不存在；","")&amp;IF(AND('05_层级表现LOD'!A212&lt;&gt;"",COUNTIF('05_层级表现LOD'!$A$2:$A$501,'05_层级表现LOD'!A212)&gt;1),"ID重复；",""),"")</f>
        <v/>
      </c>
      <c r="G1712" s="14">
        <f>IF(F1712&lt;&gt;"","按字段批注、数据字典和来源记录修正后复核","")</f>
        <v/>
      </c>
      <c r="H1712" s="14">
        <f>IF(F1712&lt;&gt;"","待处理","")</f>
        <v/>
      </c>
    </row>
    <row r="1713">
      <c r="A1713" s="14">
        <f>IF(F1713&lt;&gt;"","ISSUE-"&amp;TEXT(ROW()-1,"00000"),"")</f>
        <v/>
      </c>
      <c r="B1713" s="14">
        <f>IF(F1713&lt;&gt;"","错误","")</f>
        <v/>
      </c>
      <c r="C1713" s="14">
        <f>IF('05_层级表现LOD'!A213&lt;&gt;"","05_层级表现LOD","")</f>
        <v/>
      </c>
      <c r="D1713" s="14">
        <f>IF('05_层级表现LOD'!A213&lt;&gt;"",'05_层级表现LOD'!A213,"")</f>
        <v/>
      </c>
      <c r="E1713" s="14">
        <f>IF(F1713&lt;&gt;"","综合校验","")</f>
        <v/>
      </c>
      <c r="F1713" s="14">
        <f>IF('05_层级表现LOD'!A213&lt;&gt;"",IF('05_层级表现LOD'!A213="","缺少对象ID；","")&amp;IF('05_层级表现LOD'!B213="","缺少对象类别；","")&amp;IF(AND('05_层级表现LOD'!A213&lt;&gt;"",COUNTIF('02_固定地理'!$A$2:$A$501,'05_层级表现LOD'!A213)+COUNTIF('03_地点锚点'!$A$2:$A$501,'05_层级表现LOD'!A213)+COUNTIF('04_路径网络'!$A$2:$A$501,'05_层级表现LOD'!A213)+COUNTIF('06_建筑锚点'!$A$2:$A$501,'05_层级表现LOD'!A213)=0),"LOD引用对象不存在；","")&amp;IF(AND('05_层级表现LOD'!A213&lt;&gt;"",COUNTIF('05_层级表现LOD'!$A$2:$A$501,'05_层级表现LOD'!A213)&gt;1),"ID重复；",""),"")</f>
        <v/>
      </c>
      <c r="G1713" s="14">
        <f>IF(F1713&lt;&gt;"","按字段批注、数据字典和来源记录修正后复核","")</f>
        <v/>
      </c>
      <c r="H1713" s="14">
        <f>IF(F1713&lt;&gt;"","待处理","")</f>
        <v/>
      </c>
    </row>
    <row r="1714">
      <c r="A1714" s="14">
        <f>IF(F1714&lt;&gt;"","ISSUE-"&amp;TEXT(ROW()-1,"00000"),"")</f>
        <v/>
      </c>
      <c r="B1714" s="14">
        <f>IF(F1714&lt;&gt;"","错误","")</f>
        <v/>
      </c>
      <c r="C1714" s="14">
        <f>IF('05_层级表现LOD'!A214&lt;&gt;"","05_层级表现LOD","")</f>
        <v/>
      </c>
      <c r="D1714" s="14">
        <f>IF('05_层级表现LOD'!A214&lt;&gt;"",'05_层级表现LOD'!A214,"")</f>
        <v/>
      </c>
      <c r="E1714" s="14">
        <f>IF(F1714&lt;&gt;"","综合校验","")</f>
        <v/>
      </c>
      <c r="F1714" s="14">
        <f>IF('05_层级表现LOD'!A214&lt;&gt;"",IF('05_层级表现LOD'!A214="","缺少对象ID；","")&amp;IF('05_层级表现LOD'!B214="","缺少对象类别；","")&amp;IF(AND('05_层级表现LOD'!A214&lt;&gt;"",COUNTIF('02_固定地理'!$A$2:$A$501,'05_层级表现LOD'!A214)+COUNTIF('03_地点锚点'!$A$2:$A$501,'05_层级表现LOD'!A214)+COUNTIF('04_路径网络'!$A$2:$A$501,'05_层级表现LOD'!A214)+COUNTIF('06_建筑锚点'!$A$2:$A$501,'05_层级表现LOD'!A214)=0),"LOD引用对象不存在；","")&amp;IF(AND('05_层级表现LOD'!A214&lt;&gt;"",COUNTIF('05_层级表现LOD'!$A$2:$A$501,'05_层级表现LOD'!A214)&gt;1),"ID重复；",""),"")</f>
        <v/>
      </c>
      <c r="G1714" s="14">
        <f>IF(F1714&lt;&gt;"","按字段批注、数据字典和来源记录修正后复核","")</f>
        <v/>
      </c>
      <c r="H1714" s="14">
        <f>IF(F1714&lt;&gt;"","待处理","")</f>
        <v/>
      </c>
    </row>
    <row r="1715">
      <c r="A1715" s="14">
        <f>IF(F1715&lt;&gt;"","ISSUE-"&amp;TEXT(ROW()-1,"00000"),"")</f>
        <v/>
      </c>
      <c r="B1715" s="14">
        <f>IF(F1715&lt;&gt;"","错误","")</f>
        <v/>
      </c>
      <c r="C1715" s="14">
        <f>IF('05_层级表现LOD'!A215&lt;&gt;"","05_层级表现LOD","")</f>
        <v/>
      </c>
      <c r="D1715" s="14">
        <f>IF('05_层级表现LOD'!A215&lt;&gt;"",'05_层级表现LOD'!A215,"")</f>
        <v/>
      </c>
      <c r="E1715" s="14">
        <f>IF(F1715&lt;&gt;"","综合校验","")</f>
        <v/>
      </c>
      <c r="F1715" s="14">
        <f>IF('05_层级表现LOD'!A215&lt;&gt;"",IF('05_层级表现LOD'!A215="","缺少对象ID；","")&amp;IF('05_层级表现LOD'!B215="","缺少对象类别；","")&amp;IF(AND('05_层级表现LOD'!A215&lt;&gt;"",COUNTIF('02_固定地理'!$A$2:$A$501,'05_层级表现LOD'!A215)+COUNTIF('03_地点锚点'!$A$2:$A$501,'05_层级表现LOD'!A215)+COUNTIF('04_路径网络'!$A$2:$A$501,'05_层级表现LOD'!A215)+COUNTIF('06_建筑锚点'!$A$2:$A$501,'05_层级表现LOD'!A215)=0),"LOD引用对象不存在；","")&amp;IF(AND('05_层级表现LOD'!A215&lt;&gt;"",COUNTIF('05_层级表现LOD'!$A$2:$A$501,'05_层级表现LOD'!A215)&gt;1),"ID重复；",""),"")</f>
        <v/>
      </c>
      <c r="G1715" s="14">
        <f>IF(F1715&lt;&gt;"","按字段批注、数据字典和来源记录修正后复核","")</f>
        <v/>
      </c>
      <c r="H1715" s="14">
        <f>IF(F1715&lt;&gt;"","待处理","")</f>
        <v/>
      </c>
    </row>
    <row r="1716">
      <c r="A1716" s="14">
        <f>IF(F1716&lt;&gt;"","ISSUE-"&amp;TEXT(ROW()-1,"00000"),"")</f>
        <v/>
      </c>
      <c r="B1716" s="14">
        <f>IF(F1716&lt;&gt;"","错误","")</f>
        <v/>
      </c>
      <c r="C1716" s="14">
        <f>IF('05_层级表现LOD'!A216&lt;&gt;"","05_层级表现LOD","")</f>
        <v/>
      </c>
      <c r="D1716" s="14">
        <f>IF('05_层级表现LOD'!A216&lt;&gt;"",'05_层级表现LOD'!A216,"")</f>
        <v/>
      </c>
      <c r="E1716" s="14">
        <f>IF(F1716&lt;&gt;"","综合校验","")</f>
        <v/>
      </c>
      <c r="F1716" s="14">
        <f>IF('05_层级表现LOD'!A216&lt;&gt;"",IF('05_层级表现LOD'!A216="","缺少对象ID；","")&amp;IF('05_层级表现LOD'!B216="","缺少对象类别；","")&amp;IF(AND('05_层级表现LOD'!A216&lt;&gt;"",COUNTIF('02_固定地理'!$A$2:$A$501,'05_层级表现LOD'!A216)+COUNTIF('03_地点锚点'!$A$2:$A$501,'05_层级表现LOD'!A216)+COUNTIF('04_路径网络'!$A$2:$A$501,'05_层级表现LOD'!A216)+COUNTIF('06_建筑锚点'!$A$2:$A$501,'05_层级表现LOD'!A216)=0),"LOD引用对象不存在；","")&amp;IF(AND('05_层级表现LOD'!A216&lt;&gt;"",COUNTIF('05_层级表现LOD'!$A$2:$A$501,'05_层级表现LOD'!A216)&gt;1),"ID重复；",""),"")</f>
        <v/>
      </c>
      <c r="G1716" s="14">
        <f>IF(F1716&lt;&gt;"","按字段批注、数据字典和来源记录修正后复核","")</f>
        <v/>
      </c>
      <c r="H1716" s="14">
        <f>IF(F1716&lt;&gt;"","待处理","")</f>
        <v/>
      </c>
    </row>
    <row r="1717">
      <c r="A1717" s="14">
        <f>IF(F1717&lt;&gt;"","ISSUE-"&amp;TEXT(ROW()-1,"00000"),"")</f>
        <v/>
      </c>
      <c r="B1717" s="14">
        <f>IF(F1717&lt;&gt;"","错误","")</f>
        <v/>
      </c>
      <c r="C1717" s="14">
        <f>IF('05_层级表现LOD'!A217&lt;&gt;"","05_层级表现LOD","")</f>
        <v/>
      </c>
      <c r="D1717" s="14">
        <f>IF('05_层级表现LOD'!A217&lt;&gt;"",'05_层级表现LOD'!A217,"")</f>
        <v/>
      </c>
      <c r="E1717" s="14">
        <f>IF(F1717&lt;&gt;"","综合校验","")</f>
        <v/>
      </c>
      <c r="F1717" s="14">
        <f>IF('05_层级表现LOD'!A217&lt;&gt;"",IF('05_层级表现LOD'!A217="","缺少对象ID；","")&amp;IF('05_层级表现LOD'!B217="","缺少对象类别；","")&amp;IF(AND('05_层级表现LOD'!A217&lt;&gt;"",COUNTIF('02_固定地理'!$A$2:$A$501,'05_层级表现LOD'!A217)+COUNTIF('03_地点锚点'!$A$2:$A$501,'05_层级表现LOD'!A217)+COUNTIF('04_路径网络'!$A$2:$A$501,'05_层级表现LOD'!A217)+COUNTIF('06_建筑锚点'!$A$2:$A$501,'05_层级表现LOD'!A217)=0),"LOD引用对象不存在；","")&amp;IF(AND('05_层级表现LOD'!A217&lt;&gt;"",COUNTIF('05_层级表现LOD'!$A$2:$A$501,'05_层级表现LOD'!A217)&gt;1),"ID重复；",""),"")</f>
        <v/>
      </c>
      <c r="G1717" s="14">
        <f>IF(F1717&lt;&gt;"","按字段批注、数据字典和来源记录修正后复核","")</f>
        <v/>
      </c>
      <c r="H1717" s="14">
        <f>IF(F1717&lt;&gt;"","待处理","")</f>
        <v/>
      </c>
    </row>
    <row r="1718">
      <c r="A1718" s="14">
        <f>IF(F1718&lt;&gt;"","ISSUE-"&amp;TEXT(ROW()-1,"00000"),"")</f>
        <v/>
      </c>
      <c r="B1718" s="14">
        <f>IF(F1718&lt;&gt;"","错误","")</f>
        <v/>
      </c>
      <c r="C1718" s="14">
        <f>IF('05_层级表现LOD'!A218&lt;&gt;"","05_层级表现LOD","")</f>
        <v/>
      </c>
      <c r="D1718" s="14">
        <f>IF('05_层级表现LOD'!A218&lt;&gt;"",'05_层级表现LOD'!A218,"")</f>
        <v/>
      </c>
      <c r="E1718" s="14">
        <f>IF(F1718&lt;&gt;"","综合校验","")</f>
        <v/>
      </c>
      <c r="F1718" s="14">
        <f>IF('05_层级表现LOD'!A218&lt;&gt;"",IF('05_层级表现LOD'!A218="","缺少对象ID；","")&amp;IF('05_层级表现LOD'!B218="","缺少对象类别；","")&amp;IF(AND('05_层级表现LOD'!A218&lt;&gt;"",COUNTIF('02_固定地理'!$A$2:$A$501,'05_层级表现LOD'!A218)+COUNTIF('03_地点锚点'!$A$2:$A$501,'05_层级表现LOD'!A218)+COUNTIF('04_路径网络'!$A$2:$A$501,'05_层级表现LOD'!A218)+COUNTIF('06_建筑锚点'!$A$2:$A$501,'05_层级表现LOD'!A218)=0),"LOD引用对象不存在；","")&amp;IF(AND('05_层级表现LOD'!A218&lt;&gt;"",COUNTIF('05_层级表现LOD'!$A$2:$A$501,'05_层级表现LOD'!A218)&gt;1),"ID重复；",""),"")</f>
        <v/>
      </c>
      <c r="G1718" s="14">
        <f>IF(F1718&lt;&gt;"","按字段批注、数据字典和来源记录修正后复核","")</f>
        <v/>
      </c>
      <c r="H1718" s="14">
        <f>IF(F1718&lt;&gt;"","待处理","")</f>
        <v/>
      </c>
    </row>
    <row r="1719">
      <c r="A1719" s="14">
        <f>IF(F1719&lt;&gt;"","ISSUE-"&amp;TEXT(ROW()-1,"00000"),"")</f>
        <v/>
      </c>
      <c r="B1719" s="14">
        <f>IF(F1719&lt;&gt;"","错误","")</f>
        <v/>
      </c>
      <c r="C1719" s="14">
        <f>IF('05_层级表现LOD'!A219&lt;&gt;"","05_层级表现LOD","")</f>
        <v/>
      </c>
      <c r="D1719" s="14">
        <f>IF('05_层级表现LOD'!A219&lt;&gt;"",'05_层级表现LOD'!A219,"")</f>
        <v/>
      </c>
      <c r="E1719" s="14">
        <f>IF(F1719&lt;&gt;"","综合校验","")</f>
        <v/>
      </c>
      <c r="F1719" s="14">
        <f>IF('05_层级表现LOD'!A219&lt;&gt;"",IF('05_层级表现LOD'!A219="","缺少对象ID；","")&amp;IF('05_层级表现LOD'!B219="","缺少对象类别；","")&amp;IF(AND('05_层级表现LOD'!A219&lt;&gt;"",COUNTIF('02_固定地理'!$A$2:$A$501,'05_层级表现LOD'!A219)+COUNTIF('03_地点锚点'!$A$2:$A$501,'05_层级表现LOD'!A219)+COUNTIF('04_路径网络'!$A$2:$A$501,'05_层级表现LOD'!A219)+COUNTIF('06_建筑锚点'!$A$2:$A$501,'05_层级表现LOD'!A219)=0),"LOD引用对象不存在；","")&amp;IF(AND('05_层级表现LOD'!A219&lt;&gt;"",COUNTIF('05_层级表现LOD'!$A$2:$A$501,'05_层级表现LOD'!A219)&gt;1),"ID重复；",""),"")</f>
        <v/>
      </c>
      <c r="G1719" s="14">
        <f>IF(F1719&lt;&gt;"","按字段批注、数据字典和来源记录修正后复核","")</f>
        <v/>
      </c>
      <c r="H1719" s="14">
        <f>IF(F1719&lt;&gt;"","待处理","")</f>
        <v/>
      </c>
    </row>
    <row r="1720">
      <c r="A1720" s="14">
        <f>IF(F1720&lt;&gt;"","ISSUE-"&amp;TEXT(ROW()-1,"00000"),"")</f>
        <v/>
      </c>
      <c r="B1720" s="14">
        <f>IF(F1720&lt;&gt;"","错误","")</f>
        <v/>
      </c>
      <c r="C1720" s="14">
        <f>IF('05_层级表现LOD'!A220&lt;&gt;"","05_层级表现LOD","")</f>
        <v/>
      </c>
      <c r="D1720" s="14">
        <f>IF('05_层级表现LOD'!A220&lt;&gt;"",'05_层级表现LOD'!A220,"")</f>
        <v/>
      </c>
      <c r="E1720" s="14">
        <f>IF(F1720&lt;&gt;"","综合校验","")</f>
        <v/>
      </c>
      <c r="F1720" s="14">
        <f>IF('05_层级表现LOD'!A220&lt;&gt;"",IF('05_层级表现LOD'!A220="","缺少对象ID；","")&amp;IF('05_层级表现LOD'!B220="","缺少对象类别；","")&amp;IF(AND('05_层级表现LOD'!A220&lt;&gt;"",COUNTIF('02_固定地理'!$A$2:$A$501,'05_层级表现LOD'!A220)+COUNTIF('03_地点锚点'!$A$2:$A$501,'05_层级表现LOD'!A220)+COUNTIF('04_路径网络'!$A$2:$A$501,'05_层级表现LOD'!A220)+COUNTIF('06_建筑锚点'!$A$2:$A$501,'05_层级表现LOD'!A220)=0),"LOD引用对象不存在；","")&amp;IF(AND('05_层级表现LOD'!A220&lt;&gt;"",COUNTIF('05_层级表现LOD'!$A$2:$A$501,'05_层级表现LOD'!A220)&gt;1),"ID重复；",""),"")</f>
        <v/>
      </c>
      <c r="G1720" s="14">
        <f>IF(F1720&lt;&gt;"","按字段批注、数据字典和来源记录修正后复核","")</f>
        <v/>
      </c>
      <c r="H1720" s="14">
        <f>IF(F1720&lt;&gt;"","待处理","")</f>
        <v/>
      </c>
    </row>
    <row r="1721">
      <c r="A1721" s="14">
        <f>IF(F1721&lt;&gt;"","ISSUE-"&amp;TEXT(ROW()-1,"00000"),"")</f>
        <v/>
      </c>
      <c r="B1721" s="14">
        <f>IF(F1721&lt;&gt;"","错误","")</f>
        <v/>
      </c>
      <c r="C1721" s="14">
        <f>IF('05_层级表现LOD'!A221&lt;&gt;"","05_层级表现LOD","")</f>
        <v/>
      </c>
      <c r="D1721" s="14">
        <f>IF('05_层级表现LOD'!A221&lt;&gt;"",'05_层级表现LOD'!A221,"")</f>
        <v/>
      </c>
      <c r="E1721" s="14">
        <f>IF(F1721&lt;&gt;"","综合校验","")</f>
        <v/>
      </c>
      <c r="F1721" s="14">
        <f>IF('05_层级表现LOD'!A221&lt;&gt;"",IF('05_层级表现LOD'!A221="","缺少对象ID；","")&amp;IF('05_层级表现LOD'!B221="","缺少对象类别；","")&amp;IF(AND('05_层级表现LOD'!A221&lt;&gt;"",COUNTIF('02_固定地理'!$A$2:$A$501,'05_层级表现LOD'!A221)+COUNTIF('03_地点锚点'!$A$2:$A$501,'05_层级表现LOD'!A221)+COUNTIF('04_路径网络'!$A$2:$A$501,'05_层级表现LOD'!A221)+COUNTIF('06_建筑锚点'!$A$2:$A$501,'05_层级表现LOD'!A221)=0),"LOD引用对象不存在；","")&amp;IF(AND('05_层级表现LOD'!A221&lt;&gt;"",COUNTIF('05_层级表现LOD'!$A$2:$A$501,'05_层级表现LOD'!A221)&gt;1),"ID重复；",""),"")</f>
        <v/>
      </c>
      <c r="G1721" s="14">
        <f>IF(F1721&lt;&gt;"","按字段批注、数据字典和来源记录修正后复核","")</f>
        <v/>
      </c>
      <c r="H1721" s="14">
        <f>IF(F1721&lt;&gt;"","待处理","")</f>
        <v/>
      </c>
    </row>
    <row r="1722">
      <c r="A1722" s="14">
        <f>IF(F1722&lt;&gt;"","ISSUE-"&amp;TEXT(ROW()-1,"00000"),"")</f>
        <v/>
      </c>
      <c r="B1722" s="14">
        <f>IF(F1722&lt;&gt;"","错误","")</f>
        <v/>
      </c>
      <c r="C1722" s="14">
        <f>IF('05_层级表现LOD'!A222&lt;&gt;"","05_层级表现LOD","")</f>
        <v/>
      </c>
      <c r="D1722" s="14">
        <f>IF('05_层级表现LOD'!A222&lt;&gt;"",'05_层级表现LOD'!A222,"")</f>
        <v/>
      </c>
      <c r="E1722" s="14">
        <f>IF(F1722&lt;&gt;"","综合校验","")</f>
        <v/>
      </c>
      <c r="F1722" s="14">
        <f>IF('05_层级表现LOD'!A222&lt;&gt;"",IF('05_层级表现LOD'!A222="","缺少对象ID；","")&amp;IF('05_层级表现LOD'!B222="","缺少对象类别；","")&amp;IF(AND('05_层级表现LOD'!A222&lt;&gt;"",COUNTIF('02_固定地理'!$A$2:$A$501,'05_层级表现LOD'!A222)+COUNTIF('03_地点锚点'!$A$2:$A$501,'05_层级表现LOD'!A222)+COUNTIF('04_路径网络'!$A$2:$A$501,'05_层级表现LOD'!A222)+COUNTIF('06_建筑锚点'!$A$2:$A$501,'05_层级表现LOD'!A222)=0),"LOD引用对象不存在；","")&amp;IF(AND('05_层级表现LOD'!A222&lt;&gt;"",COUNTIF('05_层级表现LOD'!$A$2:$A$501,'05_层级表现LOD'!A222)&gt;1),"ID重复；",""),"")</f>
        <v/>
      </c>
      <c r="G1722" s="14">
        <f>IF(F1722&lt;&gt;"","按字段批注、数据字典和来源记录修正后复核","")</f>
        <v/>
      </c>
      <c r="H1722" s="14">
        <f>IF(F1722&lt;&gt;"","待处理","")</f>
        <v/>
      </c>
    </row>
    <row r="1723">
      <c r="A1723" s="14">
        <f>IF(F1723&lt;&gt;"","ISSUE-"&amp;TEXT(ROW()-1,"00000"),"")</f>
        <v/>
      </c>
      <c r="B1723" s="14">
        <f>IF(F1723&lt;&gt;"","错误","")</f>
        <v/>
      </c>
      <c r="C1723" s="14">
        <f>IF('05_层级表现LOD'!A223&lt;&gt;"","05_层级表现LOD","")</f>
        <v/>
      </c>
      <c r="D1723" s="14">
        <f>IF('05_层级表现LOD'!A223&lt;&gt;"",'05_层级表现LOD'!A223,"")</f>
        <v/>
      </c>
      <c r="E1723" s="14">
        <f>IF(F1723&lt;&gt;"","综合校验","")</f>
        <v/>
      </c>
      <c r="F1723" s="14">
        <f>IF('05_层级表现LOD'!A223&lt;&gt;"",IF('05_层级表现LOD'!A223="","缺少对象ID；","")&amp;IF('05_层级表现LOD'!B223="","缺少对象类别；","")&amp;IF(AND('05_层级表现LOD'!A223&lt;&gt;"",COUNTIF('02_固定地理'!$A$2:$A$501,'05_层级表现LOD'!A223)+COUNTIF('03_地点锚点'!$A$2:$A$501,'05_层级表现LOD'!A223)+COUNTIF('04_路径网络'!$A$2:$A$501,'05_层级表现LOD'!A223)+COUNTIF('06_建筑锚点'!$A$2:$A$501,'05_层级表现LOD'!A223)=0),"LOD引用对象不存在；","")&amp;IF(AND('05_层级表现LOD'!A223&lt;&gt;"",COUNTIF('05_层级表现LOD'!$A$2:$A$501,'05_层级表现LOD'!A223)&gt;1),"ID重复；",""),"")</f>
        <v/>
      </c>
      <c r="G1723" s="14">
        <f>IF(F1723&lt;&gt;"","按字段批注、数据字典和来源记录修正后复核","")</f>
        <v/>
      </c>
      <c r="H1723" s="14">
        <f>IF(F1723&lt;&gt;"","待处理","")</f>
        <v/>
      </c>
    </row>
    <row r="1724">
      <c r="A1724" s="14">
        <f>IF(F1724&lt;&gt;"","ISSUE-"&amp;TEXT(ROW()-1,"00000"),"")</f>
        <v/>
      </c>
      <c r="B1724" s="14">
        <f>IF(F1724&lt;&gt;"","错误","")</f>
        <v/>
      </c>
      <c r="C1724" s="14">
        <f>IF('05_层级表现LOD'!A224&lt;&gt;"","05_层级表现LOD","")</f>
        <v/>
      </c>
      <c r="D1724" s="14">
        <f>IF('05_层级表现LOD'!A224&lt;&gt;"",'05_层级表现LOD'!A224,"")</f>
        <v/>
      </c>
      <c r="E1724" s="14">
        <f>IF(F1724&lt;&gt;"","综合校验","")</f>
        <v/>
      </c>
      <c r="F1724" s="14">
        <f>IF('05_层级表现LOD'!A224&lt;&gt;"",IF('05_层级表现LOD'!A224="","缺少对象ID；","")&amp;IF('05_层级表现LOD'!B224="","缺少对象类别；","")&amp;IF(AND('05_层级表现LOD'!A224&lt;&gt;"",COUNTIF('02_固定地理'!$A$2:$A$501,'05_层级表现LOD'!A224)+COUNTIF('03_地点锚点'!$A$2:$A$501,'05_层级表现LOD'!A224)+COUNTIF('04_路径网络'!$A$2:$A$501,'05_层级表现LOD'!A224)+COUNTIF('06_建筑锚点'!$A$2:$A$501,'05_层级表现LOD'!A224)=0),"LOD引用对象不存在；","")&amp;IF(AND('05_层级表现LOD'!A224&lt;&gt;"",COUNTIF('05_层级表现LOD'!$A$2:$A$501,'05_层级表现LOD'!A224)&gt;1),"ID重复；",""),"")</f>
        <v/>
      </c>
      <c r="G1724" s="14">
        <f>IF(F1724&lt;&gt;"","按字段批注、数据字典和来源记录修正后复核","")</f>
        <v/>
      </c>
      <c r="H1724" s="14">
        <f>IF(F1724&lt;&gt;"","待处理","")</f>
        <v/>
      </c>
    </row>
    <row r="1725">
      <c r="A1725" s="14">
        <f>IF(F1725&lt;&gt;"","ISSUE-"&amp;TEXT(ROW()-1,"00000"),"")</f>
        <v/>
      </c>
      <c r="B1725" s="14">
        <f>IF(F1725&lt;&gt;"","错误","")</f>
        <v/>
      </c>
      <c r="C1725" s="14">
        <f>IF('05_层级表现LOD'!A225&lt;&gt;"","05_层级表现LOD","")</f>
        <v/>
      </c>
      <c r="D1725" s="14">
        <f>IF('05_层级表现LOD'!A225&lt;&gt;"",'05_层级表现LOD'!A225,"")</f>
        <v/>
      </c>
      <c r="E1725" s="14">
        <f>IF(F1725&lt;&gt;"","综合校验","")</f>
        <v/>
      </c>
      <c r="F1725" s="14">
        <f>IF('05_层级表现LOD'!A225&lt;&gt;"",IF('05_层级表现LOD'!A225="","缺少对象ID；","")&amp;IF('05_层级表现LOD'!B225="","缺少对象类别；","")&amp;IF(AND('05_层级表现LOD'!A225&lt;&gt;"",COUNTIF('02_固定地理'!$A$2:$A$501,'05_层级表现LOD'!A225)+COUNTIF('03_地点锚点'!$A$2:$A$501,'05_层级表现LOD'!A225)+COUNTIF('04_路径网络'!$A$2:$A$501,'05_层级表现LOD'!A225)+COUNTIF('06_建筑锚点'!$A$2:$A$501,'05_层级表现LOD'!A225)=0),"LOD引用对象不存在；","")&amp;IF(AND('05_层级表现LOD'!A225&lt;&gt;"",COUNTIF('05_层级表现LOD'!$A$2:$A$501,'05_层级表现LOD'!A225)&gt;1),"ID重复；",""),"")</f>
        <v/>
      </c>
      <c r="G1725" s="14">
        <f>IF(F1725&lt;&gt;"","按字段批注、数据字典和来源记录修正后复核","")</f>
        <v/>
      </c>
      <c r="H1725" s="14">
        <f>IF(F1725&lt;&gt;"","待处理","")</f>
        <v/>
      </c>
    </row>
    <row r="1726">
      <c r="A1726" s="14">
        <f>IF(F1726&lt;&gt;"","ISSUE-"&amp;TEXT(ROW()-1,"00000"),"")</f>
        <v/>
      </c>
      <c r="B1726" s="14">
        <f>IF(F1726&lt;&gt;"","错误","")</f>
        <v/>
      </c>
      <c r="C1726" s="14">
        <f>IF('05_层级表现LOD'!A226&lt;&gt;"","05_层级表现LOD","")</f>
        <v/>
      </c>
      <c r="D1726" s="14">
        <f>IF('05_层级表现LOD'!A226&lt;&gt;"",'05_层级表现LOD'!A226,"")</f>
        <v/>
      </c>
      <c r="E1726" s="14">
        <f>IF(F1726&lt;&gt;"","综合校验","")</f>
        <v/>
      </c>
      <c r="F1726" s="14">
        <f>IF('05_层级表现LOD'!A226&lt;&gt;"",IF('05_层级表现LOD'!A226="","缺少对象ID；","")&amp;IF('05_层级表现LOD'!B226="","缺少对象类别；","")&amp;IF(AND('05_层级表现LOD'!A226&lt;&gt;"",COUNTIF('02_固定地理'!$A$2:$A$501,'05_层级表现LOD'!A226)+COUNTIF('03_地点锚点'!$A$2:$A$501,'05_层级表现LOD'!A226)+COUNTIF('04_路径网络'!$A$2:$A$501,'05_层级表现LOD'!A226)+COUNTIF('06_建筑锚点'!$A$2:$A$501,'05_层级表现LOD'!A226)=0),"LOD引用对象不存在；","")&amp;IF(AND('05_层级表现LOD'!A226&lt;&gt;"",COUNTIF('05_层级表现LOD'!$A$2:$A$501,'05_层级表现LOD'!A226)&gt;1),"ID重复；",""),"")</f>
        <v/>
      </c>
      <c r="G1726" s="14">
        <f>IF(F1726&lt;&gt;"","按字段批注、数据字典和来源记录修正后复核","")</f>
        <v/>
      </c>
      <c r="H1726" s="14">
        <f>IF(F1726&lt;&gt;"","待处理","")</f>
        <v/>
      </c>
    </row>
    <row r="1727">
      <c r="A1727" s="14">
        <f>IF(F1727&lt;&gt;"","ISSUE-"&amp;TEXT(ROW()-1,"00000"),"")</f>
        <v/>
      </c>
      <c r="B1727" s="14">
        <f>IF(F1727&lt;&gt;"","错误","")</f>
        <v/>
      </c>
      <c r="C1727" s="14">
        <f>IF('05_层级表现LOD'!A227&lt;&gt;"","05_层级表现LOD","")</f>
        <v/>
      </c>
      <c r="D1727" s="14">
        <f>IF('05_层级表现LOD'!A227&lt;&gt;"",'05_层级表现LOD'!A227,"")</f>
        <v/>
      </c>
      <c r="E1727" s="14">
        <f>IF(F1727&lt;&gt;"","综合校验","")</f>
        <v/>
      </c>
      <c r="F1727" s="14">
        <f>IF('05_层级表现LOD'!A227&lt;&gt;"",IF('05_层级表现LOD'!A227="","缺少对象ID；","")&amp;IF('05_层级表现LOD'!B227="","缺少对象类别；","")&amp;IF(AND('05_层级表现LOD'!A227&lt;&gt;"",COUNTIF('02_固定地理'!$A$2:$A$501,'05_层级表现LOD'!A227)+COUNTIF('03_地点锚点'!$A$2:$A$501,'05_层级表现LOD'!A227)+COUNTIF('04_路径网络'!$A$2:$A$501,'05_层级表现LOD'!A227)+COUNTIF('06_建筑锚点'!$A$2:$A$501,'05_层级表现LOD'!A227)=0),"LOD引用对象不存在；","")&amp;IF(AND('05_层级表现LOD'!A227&lt;&gt;"",COUNTIF('05_层级表现LOD'!$A$2:$A$501,'05_层级表现LOD'!A227)&gt;1),"ID重复；",""),"")</f>
        <v/>
      </c>
      <c r="G1727" s="14">
        <f>IF(F1727&lt;&gt;"","按字段批注、数据字典和来源记录修正后复核","")</f>
        <v/>
      </c>
      <c r="H1727" s="14">
        <f>IF(F1727&lt;&gt;"","待处理","")</f>
        <v/>
      </c>
    </row>
    <row r="1728">
      <c r="A1728" s="14">
        <f>IF(F1728&lt;&gt;"","ISSUE-"&amp;TEXT(ROW()-1,"00000"),"")</f>
        <v/>
      </c>
      <c r="B1728" s="14">
        <f>IF(F1728&lt;&gt;"","错误","")</f>
        <v/>
      </c>
      <c r="C1728" s="14">
        <f>IF('05_层级表现LOD'!A228&lt;&gt;"","05_层级表现LOD","")</f>
        <v/>
      </c>
      <c r="D1728" s="14">
        <f>IF('05_层级表现LOD'!A228&lt;&gt;"",'05_层级表现LOD'!A228,"")</f>
        <v/>
      </c>
      <c r="E1728" s="14">
        <f>IF(F1728&lt;&gt;"","综合校验","")</f>
        <v/>
      </c>
      <c r="F1728" s="14">
        <f>IF('05_层级表现LOD'!A228&lt;&gt;"",IF('05_层级表现LOD'!A228="","缺少对象ID；","")&amp;IF('05_层级表现LOD'!B228="","缺少对象类别；","")&amp;IF(AND('05_层级表现LOD'!A228&lt;&gt;"",COUNTIF('02_固定地理'!$A$2:$A$501,'05_层级表现LOD'!A228)+COUNTIF('03_地点锚点'!$A$2:$A$501,'05_层级表现LOD'!A228)+COUNTIF('04_路径网络'!$A$2:$A$501,'05_层级表现LOD'!A228)+COUNTIF('06_建筑锚点'!$A$2:$A$501,'05_层级表现LOD'!A228)=0),"LOD引用对象不存在；","")&amp;IF(AND('05_层级表现LOD'!A228&lt;&gt;"",COUNTIF('05_层级表现LOD'!$A$2:$A$501,'05_层级表现LOD'!A228)&gt;1),"ID重复；",""),"")</f>
        <v/>
      </c>
      <c r="G1728" s="14">
        <f>IF(F1728&lt;&gt;"","按字段批注、数据字典和来源记录修正后复核","")</f>
        <v/>
      </c>
      <c r="H1728" s="14">
        <f>IF(F1728&lt;&gt;"","待处理","")</f>
        <v/>
      </c>
    </row>
    <row r="1729">
      <c r="A1729" s="14">
        <f>IF(F1729&lt;&gt;"","ISSUE-"&amp;TEXT(ROW()-1,"00000"),"")</f>
        <v/>
      </c>
      <c r="B1729" s="14">
        <f>IF(F1729&lt;&gt;"","错误","")</f>
        <v/>
      </c>
      <c r="C1729" s="14">
        <f>IF('05_层级表现LOD'!A229&lt;&gt;"","05_层级表现LOD","")</f>
        <v/>
      </c>
      <c r="D1729" s="14">
        <f>IF('05_层级表现LOD'!A229&lt;&gt;"",'05_层级表现LOD'!A229,"")</f>
        <v/>
      </c>
      <c r="E1729" s="14">
        <f>IF(F1729&lt;&gt;"","综合校验","")</f>
        <v/>
      </c>
      <c r="F1729" s="14">
        <f>IF('05_层级表现LOD'!A229&lt;&gt;"",IF('05_层级表现LOD'!A229="","缺少对象ID；","")&amp;IF('05_层级表现LOD'!B229="","缺少对象类别；","")&amp;IF(AND('05_层级表现LOD'!A229&lt;&gt;"",COUNTIF('02_固定地理'!$A$2:$A$501,'05_层级表现LOD'!A229)+COUNTIF('03_地点锚点'!$A$2:$A$501,'05_层级表现LOD'!A229)+COUNTIF('04_路径网络'!$A$2:$A$501,'05_层级表现LOD'!A229)+COUNTIF('06_建筑锚点'!$A$2:$A$501,'05_层级表现LOD'!A229)=0),"LOD引用对象不存在；","")&amp;IF(AND('05_层级表现LOD'!A229&lt;&gt;"",COUNTIF('05_层级表现LOD'!$A$2:$A$501,'05_层级表现LOD'!A229)&gt;1),"ID重复；",""),"")</f>
        <v/>
      </c>
      <c r="G1729" s="14">
        <f>IF(F1729&lt;&gt;"","按字段批注、数据字典和来源记录修正后复核","")</f>
        <v/>
      </c>
      <c r="H1729" s="14">
        <f>IF(F1729&lt;&gt;"","待处理","")</f>
        <v/>
      </c>
    </row>
    <row r="1730">
      <c r="A1730" s="14">
        <f>IF(F1730&lt;&gt;"","ISSUE-"&amp;TEXT(ROW()-1,"00000"),"")</f>
        <v/>
      </c>
      <c r="B1730" s="14">
        <f>IF(F1730&lt;&gt;"","错误","")</f>
        <v/>
      </c>
      <c r="C1730" s="14">
        <f>IF('05_层级表现LOD'!A230&lt;&gt;"","05_层级表现LOD","")</f>
        <v/>
      </c>
      <c r="D1730" s="14">
        <f>IF('05_层级表现LOD'!A230&lt;&gt;"",'05_层级表现LOD'!A230,"")</f>
        <v/>
      </c>
      <c r="E1730" s="14">
        <f>IF(F1730&lt;&gt;"","综合校验","")</f>
        <v/>
      </c>
      <c r="F1730" s="14">
        <f>IF('05_层级表现LOD'!A230&lt;&gt;"",IF('05_层级表现LOD'!A230="","缺少对象ID；","")&amp;IF('05_层级表现LOD'!B230="","缺少对象类别；","")&amp;IF(AND('05_层级表现LOD'!A230&lt;&gt;"",COUNTIF('02_固定地理'!$A$2:$A$501,'05_层级表现LOD'!A230)+COUNTIF('03_地点锚点'!$A$2:$A$501,'05_层级表现LOD'!A230)+COUNTIF('04_路径网络'!$A$2:$A$501,'05_层级表现LOD'!A230)+COUNTIF('06_建筑锚点'!$A$2:$A$501,'05_层级表现LOD'!A230)=0),"LOD引用对象不存在；","")&amp;IF(AND('05_层级表现LOD'!A230&lt;&gt;"",COUNTIF('05_层级表现LOD'!$A$2:$A$501,'05_层级表现LOD'!A230)&gt;1),"ID重复；",""),"")</f>
        <v/>
      </c>
      <c r="G1730" s="14">
        <f>IF(F1730&lt;&gt;"","按字段批注、数据字典和来源记录修正后复核","")</f>
        <v/>
      </c>
      <c r="H1730" s="14">
        <f>IF(F1730&lt;&gt;"","待处理","")</f>
        <v/>
      </c>
    </row>
    <row r="1731">
      <c r="A1731" s="14">
        <f>IF(F1731&lt;&gt;"","ISSUE-"&amp;TEXT(ROW()-1,"00000"),"")</f>
        <v/>
      </c>
      <c r="B1731" s="14">
        <f>IF(F1731&lt;&gt;"","错误","")</f>
        <v/>
      </c>
      <c r="C1731" s="14">
        <f>IF('05_层级表现LOD'!A231&lt;&gt;"","05_层级表现LOD","")</f>
        <v/>
      </c>
      <c r="D1731" s="14">
        <f>IF('05_层级表现LOD'!A231&lt;&gt;"",'05_层级表现LOD'!A231,"")</f>
        <v/>
      </c>
      <c r="E1731" s="14">
        <f>IF(F1731&lt;&gt;"","综合校验","")</f>
        <v/>
      </c>
      <c r="F1731" s="14">
        <f>IF('05_层级表现LOD'!A231&lt;&gt;"",IF('05_层级表现LOD'!A231="","缺少对象ID；","")&amp;IF('05_层级表现LOD'!B231="","缺少对象类别；","")&amp;IF(AND('05_层级表现LOD'!A231&lt;&gt;"",COUNTIF('02_固定地理'!$A$2:$A$501,'05_层级表现LOD'!A231)+COUNTIF('03_地点锚点'!$A$2:$A$501,'05_层级表现LOD'!A231)+COUNTIF('04_路径网络'!$A$2:$A$501,'05_层级表现LOD'!A231)+COUNTIF('06_建筑锚点'!$A$2:$A$501,'05_层级表现LOD'!A231)=0),"LOD引用对象不存在；","")&amp;IF(AND('05_层级表现LOD'!A231&lt;&gt;"",COUNTIF('05_层级表现LOD'!$A$2:$A$501,'05_层级表现LOD'!A231)&gt;1),"ID重复；",""),"")</f>
        <v/>
      </c>
      <c r="G1731" s="14">
        <f>IF(F1731&lt;&gt;"","按字段批注、数据字典和来源记录修正后复核","")</f>
        <v/>
      </c>
      <c r="H1731" s="14">
        <f>IF(F1731&lt;&gt;"","待处理","")</f>
        <v/>
      </c>
    </row>
    <row r="1732">
      <c r="A1732" s="14">
        <f>IF(F1732&lt;&gt;"","ISSUE-"&amp;TEXT(ROW()-1,"00000"),"")</f>
        <v/>
      </c>
      <c r="B1732" s="14">
        <f>IF(F1732&lt;&gt;"","错误","")</f>
        <v/>
      </c>
      <c r="C1732" s="14">
        <f>IF('05_层级表现LOD'!A232&lt;&gt;"","05_层级表现LOD","")</f>
        <v/>
      </c>
      <c r="D1732" s="14">
        <f>IF('05_层级表现LOD'!A232&lt;&gt;"",'05_层级表现LOD'!A232,"")</f>
        <v/>
      </c>
      <c r="E1732" s="14">
        <f>IF(F1732&lt;&gt;"","综合校验","")</f>
        <v/>
      </c>
      <c r="F1732" s="14">
        <f>IF('05_层级表现LOD'!A232&lt;&gt;"",IF('05_层级表现LOD'!A232="","缺少对象ID；","")&amp;IF('05_层级表现LOD'!B232="","缺少对象类别；","")&amp;IF(AND('05_层级表现LOD'!A232&lt;&gt;"",COUNTIF('02_固定地理'!$A$2:$A$501,'05_层级表现LOD'!A232)+COUNTIF('03_地点锚点'!$A$2:$A$501,'05_层级表现LOD'!A232)+COUNTIF('04_路径网络'!$A$2:$A$501,'05_层级表现LOD'!A232)+COUNTIF('06_建筑锚点'!$A$2:$A$501,'05_层级表现LOD'!A232)=0),"LOD引用对象不存在；","")&amp;IF(AND('05_层级表现LOD'!A232&lt;&gt;"",COUNTIF('05_层级表现LOD'!$A$2:$A$501,'05_层级表现LOD'!A232)&gt;1),"ID重复；",""),"")</f>
        <v/>
      </c>
      <c r="G1732" s="14">
        <f>IF(F1732&lt;&gt;"","按字段批注、数据字典和来源记录修正后复核","")</f>
        <v/>
      </c>
      <c r="H1732" s="14">
        <f>IF(F1732&lt;&gt;"","待处理","")</f>
        <v/>
      </c>
    </row>
    <row r="1733">
      <c r="A1733" s="14">
        <f>IF(F1733&lt;&gt;"","ISSUE-"&amp;TEXT(ROW()-1,"00000"),"")</f>
        <v/>
      </c>
      <c r="B1733" s="14">
        <f>IF(F1733&lt;&gt;"","错误","")</f>
        <v/>
      </c>
      <c r="C1733" s="14">
        <f>IF('05_层级表现LOD'!A233&lt;&gt;"","05_层级表现LOD","")</f>
        <v/>
      </c>
      <c r="D1733" s="14">
        <f>IF('05_层级表现LOD'!A233&lt;&gt;"",'05_层级表现LOD'!A233,"")</f>
        <v/>
      </c>
      <c r="E1733" s="14">
        <f>IF(F1733&lt;&gt;"","综合校验","")</f>
        <v/>
      </c>
      <c r="F1733" s="14">
        <f>IF('05_层级表现LOD'!A233&lt;&gt;"",IF('05_层级表现LOD'!A233="","缺少对象ID；","")&amp;IF('05_层级表现LOD'!B233="","缺少对象类别；","")&amp;IF(AND('05_层级表现LOD'!A233&lt;&gt;"",COUNTIF('02_固定地理'!$A$2:$A$501,'05_层级表现LOD'!A233)+COUNTIF('03_地点锚点'!$A$2:$A$501,'05_层级表现LOD'!A233)+COUNTIF('04_路径网络'!$A$2:$A$501,'05_层级表现LOD'!A233)+COUNTIF('06_建筑锚点'!$A$2:$A$501,'05_层级表现LOD'!A233)=0),"LOD引用对象不存在；","")&amp;IF(AND('05_层级表现LOD'!A233&lt;&gt;"",COUNTIF('05_层级表现LOD'!$A$2:$A$501,'05_层级表现LOD'!A233)&gt;1),"ID重复；",""),"")</f>
        <v/>
      </c>
      <c r="G1733" s="14">
        <f>IF(F1733&lt;&gt;"","按字段批注、数据字典和来源记录修正后复核","")</f>
        <v/>
      </c>
      <c r="H1733" s="14">
        <f>IF(F1733&lt;&gt;"","待处理","")</f>
        <v/>
      </c>
    </row>
    <row r="1734">
      <c r="A1734" s="14">
        <f>IF(F1734&lt;&gt;"","ISSUE-"&amp;TEXT(ROW()-1,"00000"),"")</f>
        <v/>
      </c>
      <c r="B1734" s="14">
        <f>IF(F1734&lt;&gt;"","错误","")</f>
        <v/>
      </c>
      <c r="C1734" s="14">
        <f>IF('05_层级表现LOD'!A234&lt;&gt;"","05_层级表现LOD","")</f>
        <v/>
      </c>
      <c r="D1734" s="14">
        <f>IF('05_层级表现LOD'!A234&lt;&gt;"",'05_层级表现LOD'!A234,"")</f>
        <v/>
      </c>
      <c r="E1734" s="14">
        <f>IF(F1734&lt;&gt;"","综合校验","")</f>
        <v/>
      </c>
      <c r="F1734" s="14">
        <f>IF('05_层级表现LOD'!A234&lt;&gt;"",IF('05_层级表现LOD'!A234="","缺少对象ID；","")&amp;IF('05_层级表现LOD'!B234="","缺少对象类别；","")&amp;IF(AND('05_层级表现LOD'!A234&lt;&gt;"",COUNTIF('02_固定地理'!$A$2:$A$501,'05_层级表现LOD'!A234)+COUNTIF('03_地点锚点'!$A$2:$A$501,'05_层级表现LOD'!A234)+COUNTIF('04_路径网络'!$A$2:$A$501,'05_层级表现LOD'!A234)+COUNTIF('06_建筑锚点'!$A$2:$A$501,'05_层级表现LOD'!A234)=0),"LOD引用对象不存在；","")&amp;IF(AND('05_层级表现LOD'!A234&lt;&gt;"",COUNTIF('05_层级表现LOD'!$A$2:$A$501,'05_层级表现LOD'!A234)&gt;1),"ID重复；",""),"")</f>
        <v/>
      </c>
      <c r="G1734" s="14">
        <f>IF(F1734&lt;&gt;"","按字段批注、数据字典和来源记录修正后复核","")</f>
        <v/>
      </c>
      <c r="H1734" s="14">
        <f>IF(F1734&lt;&gt;"","待处理","")</f>
        <v/>
      </c>
    </row>
    <row r="1735">
      <c r="A1735" s="14">
        <f>IF(F1735&lt;&gt;"","ISSUE-"&amp;TEXT(ROW()-1,"00000"),"")</f>
        <v/>
      </c>
      <c r="B1735" s="14">
        <f>IF(F1735&lt;&gt;"","错误","")</f>
        <v/>
      </c>
      <c r="C1735" s="14">
        <f>IF('05_层级表现LOD'!A235&lt;&gt;"","05_层级表现LOD","")</f>
        <v/>
      </c>
      <c r="D1735" s="14">
        <f>IF('05_层级表现LOD'!A235&lt;&gt;"",'05_层级表现LOD'!A235,"")</f>
        <v/>
      </c>
      <c r="E1735" s="14">
        <f>IF(F1735&lt;&gt;"","综合校验","")</f>
        <v/>
      </c>
      <c r="F1735" s="14">
        <f>IF('05_层级表现LOD'!A235&lt;&gt;"",IF('05_层级表现LOD'!A235="","缺少对象ID；","")&amp;IF('05_层级表现LOD'!B235="","缺少对象类别；","")&amp;IF(AND('05_层级表现LOD'!A235&lt;&gt;"",COUNTIF('02_固定地理'!$A$2:$A$501,'05_层级表现LOD'!A235)+COUNTIF('03_地点锚点'!$A$2:$A$501,'05_层级表现LOD'!A235)+COUNTIF('04_路径网络'!$A$2:$A$501,'05_层级表现LOD'!A235)+COUNTIF('06_建筑锚点'!$A$2:$A$501,'05_层级表现LOD'!A235)=0),"LOD引用对象不存在；","")&amp;IF(AND('05_层级表现LOD'!A235&lt;&gt;"",COUNTIF('05_层级表现LOD'!$A$2:$A$501,'05_层级表现LOD'!A235)&gt;1),"ID重复；",""),"")</f>
        <v/>
      </c>
      <c r="G1735" s="14">
        <f>IF(F1735&lt;&gt;"","按字段批注、数据字典和来源记录修正后复核","")</f>
        <v/>
      </c>
      <c r="H1735" s="14">
        <f>IF(F1735&lt;&gt;"","待处理","")</f>
        <v/>
      </c>
    </row>
    <row r="1736">
      <c r="A1736" s="14">
        <f>IF(F1736&lt;&gt;"","ISSUE-"&amp;TEXT(ROW()-1,"00000"),"")</f>
        <v/>
      </c>
      <c r="B1736" s="14">
        <f>IF(F1736&lt;&gt;"","错误","")</f>
        <v/>
      </c>
      <c r="C1736" s="14">
        <f>IF('05_层级表现LOD'!A236&lt;&gt;"","05_层级表现LOD","")</f>
        <v/>
      </c>
      <c r="D1736" s="14">
        <f>IF('05_层级表现LOD'!A236&lt;&gt;"",'05_层级表现LOD'!A236,"")</f>
        <v/>
      </c>
      <c r="E1736" s="14">
        <f>IF(F1736&lt;&gt;"","综合校验","")</f>
        <v/>
      </c>
      <c r="F1736" s="14">
        <f>IF('05_层级表现LOD'!A236&lt;&gt;"",IF('05_层级表现LOD'!A236="","缺少对象ID；","")&amp;IF('05_层级表现LOD'!B236="","缺少对象类别；","")&amp;IF(AND('05_层级表现LOD'!A236&lt;&gt;"",COUNTIF('02_固定地理'!$A$2:$A$501,'05_层级表现LOD'!A236)+COUNTIF('03_地点锚点'!$A$2:$A$501,'05_层级表现LOD'!A236)+COUNTIF('04_路径网络'!$A$2:$A$501,'05_层级表现LOD'!A236)+COUNTIF('06_建筑锚点'!$A$2:$A$501,'05_层级表现LOD'!A236)=0),"LOD引用对象不存在；","")&amp;IF(AND('05_层级表现LOD'!A236&lt;&gt;"",COUNTIF('05_层级表现LOD'!$A$2:$A$501,'05_层级表现LOD'!A236)&gt;1),"ID重复；",""),"")</f>
        <v/>
      </c>
      <c r="G1736" s="14">
        <f>IF(F1736&lt;&gt;"","按字段批注、数据字典和来源记录修正后复核","")</f>
        <v/>
      </c>
      <c r="H1736" s="14">
        <f>IF(F1736&lt;&gt;"","待处理","")</f>
        <v/>
      </c>
    </row>
    <row r="1737">
      <c r="A1737" s="14">
        <f>IF(F1737&lt;&gt;"","ISSUE-"&amp;TEXT(ROW()-1,"00000"),"")</f>
        <v/>
      </c>
      <c r="B1737" s="14">
        <f>IF(F1737&lt;&gt;"","错误","")</f>
        <v/>
      </c>
      <c r="C1737" s="14">
        <f>IF('05_层级表现LOD'!A237&lt;&gt;"","05_层级表现LOD","")</f>
        <v/>
      </c>
      <c r="D1737" s="14">
        <f>IF('05_层级表现LOD'!A237&lt;&gt;"",'05_层级表现LOD'!A237,"")</f>
        <v/>
      </c>
      <c r="E1737" s="14">
        <f>IF(F1737&lt;&gt;"","综合校验","")</f>
        <v/>
      </c>
      <c r="F1737" s="14">
        <f>IF('05_层级表现LOD'!A237&lt;&gt;"",IF('05_层级表现LOD'!A237="","缺少对象ID；","")&amp;IF('05_层级表现LOD'!B237="","缺少对象类别；","")&amp;IF(AND('05_层级表现LOD'!A237&lt;&gt;"",COUNTIF('02_固定地理'!$A$2:$A$501,'05_层级表现LOD'!A237)+COUNTIF('03_地点锚点'!$A$2:$A$501,'05_层级表现LOD'!A237)+COUNTIF('04_路径网络'!$A$2:$A$501,'05_层级表现LOD'!A237)+COUNTIF('06_建筑锚点'!$A$2:$A$501,'05_层级表现LOD'!A237)=0),"LOD引用对象不存在；","")&amp;IF(AND('05_层级表现LOD'!A237&lt;&gt;"",COUNTIF('05_层级表现LOD'!$A$2:$A$501,'05_层级表现LOD'!A237)&gt;1),"ID重复；",""),"")</f>
        <v/>
      </c>
      <c r="G1737" s="14">
        <f>IF(F1737&lt;&gt;"","按字段批注、数据字典和来源记录修正后复核","")</f>
        <v/>
      </c>
      <c r="H1737" s="14">
        <f>IF(F1737&lt;&gt;"","待处理","")</f>
        <v/>
      </c>
    </row>
    <row r="1738">
      <c r="A1738" s="14">
        <f>IF(F1738&lt;&gt;"","ISSUE-"&amp;TEXT(ROW()-1,"00000"),"")</f>
        <v/>
      </c>
      <c r="B1738" s="14">
        <f>IF(F1738&lt;&gt;"","错误","")</f>
        <v/>
      </c>
      <c r="C1738" s="14">
        <f>IF('05_层级表现LOD'!A238&lt;&gt;"","05_层级表现LOD","")</f>
        <v/>
      </c>
      <c r="D1738" s="14">
        <f>IF('05_层级表现LOD'!A238&lt;&gt;"",'05_层级表现LOD'!A238,"")</f>
        <v/>
      </c>
      <c r="E1738" s="14">
        <f>IF(F1738&lt;&gt;"","综合校验","")</f>
        <v/>
      </c>
      <c r="F1738" s="14">
        <f>IF('05_层级表现LOD'!A238&lt;&gt;"",IF('05_层级表现LOD'!A238="","缺少对象ID；","")&amp;IF('05_层级表现LOD'!B238="","缺少对象类别；","")&amp;IF(AND('05_层级表现LOD'!A238&lt;&gt;"",COUNTIF('02_固定地理'!$A$2:$A$501,'05_层级表现LOD'!A238)+COUNTIF('03_地点锚点'!$A$2:$A$501,'05_层级表现LOD'!A238)+COUNTIF('04_路径网络'!$A$2:$A$501,'05_层级表现LOD'!A238)+COUNTIF('06_建筑锚点'!$A$2:$A$501,'05_层级表现LOD'!A238)=0),"LOD引用对象不存在；","")&amp;IF(AND('05_层级表现LOD'!A238&lt;&gt;"",COUNTIF('05_层级表现LOD'!$A$2:$A$501,'05_层级表现LOD'!A238)&gt;1),"ID重复；",""),"")</f>
        <v/>
      </c>
      <c r="G1738" s="14">
        <f>IF(F1738&lt;&gt;"","按字段批注、数据字典和来源记录修正后复核","")</f>
        <v/>
      </c>
      <c r="H1738" s="14">
        <f>IF(F1738&lt;&gt;"","待处理","")</f>
        <v/>
      </c>
    </row>
    <row r="1739">
      <c r="A1739" s="14">
        <f>IF(F1739&lt;&gt;"","ISSUE-"&amp;TEXT(ROW()-1,"00000"),"")</f>
        <v/>
      </c>
      <c r="B1739" s="14">
        <f>IF(F1739&lt;&gt;"","错误","")</f>
        <v/>
      </c>
      <c r="C1739" s="14">
        <f>IF('05_层级表现LOD'!A239&lt;&gt;"","05_层级表现LOD","")</f>
        <v/>
      </c>
      <c r="D1739" s="14">
        <f>IF('05_层级表现LOD'!A239&lt;&gt;"",'05_层级表现LOD'!A239,"")</f>
        <v/>
      </c>
      <c r="E1739" s="14">
        <f>IF(F1739&lt;&gt;"","综合校验","")</f>
        <v/>
      </c>
      <c r="F1739" s="14">
        <f>IF('05_层级表现LOD'!A239&lt;&gt;"",IF('05_层级表现LOD'!A239="","缺少对象ID；","")&amp;IF('05_层级表现LOD'!B239="","缺少对象类别；","")&amp;IF(AND('05_层级表现LOD'!A239&lt;&gt;"",COUNTIF('02_固定地理'!$A$2:$A$501,'05_层级表现LOD'!A239)+COUNTIF('03_地点锚点'!$A$2:$A$501,'05_层级表现LOD'!A239)+COUNTIF('04_路径网络'!$A$2:$A$501,'05_层级表现LOD'!A239)+COUNTIF('06_建筑锚点'!$A$2:$A$501,'05_层级表现LOD'!A239)=0),"LOD引用对象不存在；","")&amp;IF(AND('05_层级表现LOD'!A239&lt;&gt;"",COUNTIF('05_层级表现LOD'!$A$2:$A$501,'05_层级表现LOD'!A239)&gt;1),"ID重复；",""),"")</f>
        <v/>
      </c>
      <c r="G1739" s="14">
        <f>IF(F1739&lt;&gt;"","按字段批注、数据字典和来源记录修正后复核","")</f>
        <v/>
      </c>
      <c r="H1739" s="14">
        <f>IF(F1739&lt;&gt;"","待处理","")</f>
        <v/>
      </c>
    </row>
    <row r="1740">
      <c r="A1740" s="14">
        <f>IF(F1740&lt;&gt;"","ISSUE-"&amp;TEXT(ROW()-1,"00000"),"")</f>
        <v/>
      </c>
      <c r="B1740" s="14">
        <f>IF(F1740&lt;&gt;"","错误","")</f>
        <v/>
      </c>
      <c r="C1740" s="14">
        <f>IF('05_层级表现LOD'!A240&lt;&gt;"","05_层级表现LOD","")</f>
        <v/>
      </c>
      <c r="D1740" s="14">
        <f>IF('05_层级表现LOD'!A240&lt;&gt;"",'05_层级表现LOD'!A240,"")</f>
        <v/>
      </c>
      <c r="E1740" s="14">
        <f>IF(F1740&lt;&gt;"","综合校验","")</f>
        <v/>
      </c>
      <c r="F1740" s="14">
        <f>IF('05_层级表现LOD'!A240&lt;&gt;"",IF('05_层级表现LOD'!A240="","缺少对象ID；","")&amp;IF('05_层级表现LOD'!B240="","缺少对象类别；","")&amp;IF(AND('05_层级表现LOD'!A240&lt;&gt;"",COUNTIF('02_固定地理'!$A$2:$A$501,'05_层级表现LOD'!A240)+COUNTIF('03_地点锚点'!$A$2:$A$501,'05_层级表现LOD'!A240)+COUNTIF('04_路径网络'!$A$2:$A$501,'05_层级表现LOD'!A240)+COUNTIF('06_建筑锚点'!$A$2:$A$501,'05_层级表现LOD'!A240)=0),"LOD引用对象不存在；","")&amp;IF(AND('05_层级表现LOD'!A240&lt;&gt;"",COUNTIF('05_层级表现LOD'!$A$2:$A$501,'05_层级表现LOD'!A240)&gt;1),"ID重复；",""),"")</f>
        <v/>
      </c>
      <c r="G1740" s="14">
        <f>IF(F1740&lt;&gt;"","按字段批注、数据字典和来源记录修正后复核","")</f>
        <v/>
      </c>
      <c r="H1740" s="14">
        <f>IF(F1740&lt;&gt;"","待处理","")</f>
        <v/>
      </c>
    </row>
    <row r="1741">
      <c r="A1741" s="14">
        <f>IF(F1741&lt;&gt;"","ISSUE-"&amp;TEXT(ROW()-1,"00000"),"")</f>
        <v/>
      </c>
      <c r="B1741" s="14">
        <f>IF(F1741&lt;&gt;"","错误","")</f>
        <v/>
      </c>
      <c r="C1741" s="14">
        <f>IF('05_层级表现LOD'!A241&lt;&gt;"","05_层级表现LOD","")</f>
        <v/>
      </c>
      <c r="D1741" s="14">
        <f>IF('05_层级表现LOD'!A241&lt;&gt;"",'05_层级表现LOD'!A241,"")</f>
        <v/>
      </c>
      <c r="E1741" s="14">
        <f>IF(F1741&lt;&gt;"","综合校验","")</f>
        <v/>
      </c>
      <c r="F1741" s="14">
        <f>IF('05_层级表现LOD'!A241&lt;&gt;"",IF('05_层级表现LOD'!A241="","缺少对象ID；","")&amp;IF('05_层级表现LOD'!B241="","缺少对象类别；","")&amp;IF(AND('05_层级表现LOD'!A241&lt;&gt;"",COUNTIF('02_固定地理'!$A$2:$A$501,'05_层级表现LOD'!A241)+COUNTIF('03_地点锚点'!$A$2:$A$501,'05_层级表现LOD'!A241)+COUNTIF('04_路径网络'!$A$2:$A$501,'05_层级表现LOD'!A241)+COUNTIF('06_建筑锚点'!$A$2:$A$501,'05_层级表现LOD'!A241)=0),"LOD引用对象不存在；","")&amp;IF(AND('05_层级表现LOD'!A241&lt;&gt;"",COUNTIF('05_层级表现LOD'!$A$2:$A$501,'05_层级表现LOD'!A241)&gt;1),"ID重复；",""),"")</f>
        <v/>
      </c>
      <c r="G1741" s="14">
        <f>IF(F1741&lt;&gt;"","按字段批注、数据字典和来源记录修正后复核","")</f>
        <v/>
      </c>
      <c r="H1741" s="14">
        <f>IF(F1741&lt;&gt;"","待处理","")</f>
        <v/>
      </c>
    </row>
    <row r="1742">
      <c r="A1742" s="14">
        <f>IF(F1742&lt;&gt;"","ISSUE-"&amp;TEXT(ROW()-1,"00000"),"")</f>
        <v/>
      </c>
      <c r="B1742" s="14">
        <f>IF(F1742&lt;&gt;"","错误","")</f>
        <v/>
      </c>
      <c r="C1742" s="14">
        <f>IF('05_层级表现LOD'!A242&lt;&gt;"","05_层级表现LOD","")</f>
        <v/>
      </c>
      <c r="D1742" s="14">
        <f>IF('05_层级表现LOD'!A242&lt;&gt;"",'05_层级表现LOD'!A242,"")</f>
        <v/>
      </c>
      <c r="E1742" s="14">
        <f>IF(F1742&lt;&gt;"","综合校验","")</f>
        <v/>
      </c>
      <c r="F1742" s="14">
        <f>IF('05_层级表现LOD'!A242&lt;&gt;"",IF('05_层级表现LOD'!A242="","缺少对象ID；","")&amp;IF('05_层级表现LOD'!B242="","缺少对象类别；","")&amp;IF(AND('05_层级表现LOD'!A242&lt;&gt;"",COUNTIF('02_固定地理'!$A$2:$A$501,'05_层级表现LOD'!A242)+COUNTIF('03_地点锚点'!$A$2:$A$501,'05_层级表现LOD'!A242)+COUNTIF('04_路径网络'!$A$2:$A$501,'05_层级表现LOD'!A242)+COUNTIF('06_建筑锚点'!$A$2:$A$501,'05_层级表现LOD'!A242)=0),"LOD引用对象不存在；","")&amp;IF(AND('05_层级表现LOD'!A242&lt;&gt;"",COUNTIF('05_层级表现LOD'!$A$2:$A$501,'05_层级表现LOD'!A242)&gt;1),"ID重复；",""),"")</f>
        <v/>
      </c>
      <c r="G1742" s="14">
        <f>IF(F1742&lt;&gt;"","按字段批注、数据字典和来源记录修正后复核","")</f>
        <v/>
      </c>
      <c r="H1742" s="14">
        <f>IF(F1742&lt;&gt;"","待处理","")</f>
        <v/>
      </c>
    </row>
    <row r="1743">
      <c r="A1743" s="14">
        <f>IF(F1743&lt;&gt;"","ISSUE-"&amp;TEXT(ROW()-1,"00000"),"")</f>
        <v/>
      </c>
      <c r="B1743" s="14">
        <f>IF(F1743&lt;&gt;"","错误","")</f>
        <v/>
      </c>
      <c r="C1743" s="14">
        <f>IF('05_层级表现LOD'!A243&lt;&gt;"","05_层级表现LOD","")</f>
        <v/>
      </c>
      <c r="D1743" s="14">
        <f>IF('05_层级表现LOD'!A243&lt;&gt;"",'05_层级表现LOD'!A243,"")</f>
        <v/>
      </c>
      <c r="E1743" s="14">
        <f>IF(F1743&lt;&gt;"","综合校验","")</f>
        <v/>
      </c>
      <c r="F1743" s="14">
        <f>IF('05_层级表现LOD'!A243&lt;&gt;"",IF('05_层级表现LOD'!A243="","缺少对象ID；","")&amp;IF('05_层级表现LOD'!B243="","缺少对象类别；","")&amp;IF(AND('05_层级表现LOD'!A243&lt;&gt;"",COUNTIF('02_固定地理'!$A$2:$A$501,'05_层级表现LOD'!A243)+COUNTIF('03_地点锚点'!$A$2:$A$501,'05_层级表现LOD'!A243)+COUNTIF('04_路径网络'!$A$2:$A$501,'05_层级表现LOD'!A243)+COUNTIF('06_建筑锚点'!$A$2:$A$501,'05_层级表现LOD'!A243)=0),"LOD引用对象不存在；","")&amp;IF(AND('05_层级表现LOD'!A243&lt;&gt;"",COUNTIF('05_层级表现LOD'!$A$2:$A$501,'05_层级表现LOD'!A243)&gt;1),"ID重复；",""),"")</f>
        <v/>
      </c>
      <c r="G1743" s="14">
        <f>IF(F1743&lt;&gt;"","按字段批注、数据字典和来源记录修正后复核","")</f>
        <v/>
      </c>
      <c r="H1743" s="14">
        <f>IF(F1743&lt;&gt;"","待处理","")</f>
        <v/>
      </c>
    </row>
    <row r="1744">
      <c r="A1744" s="14">
        <f>IF(F1744&lt;&gt;"","ISSUE-"&amp;TEXT(ROW()-1,"00000"),"")</f>
        <v/>
      </c>
      <c r="B1744" s="14">
        <f>IF(F1744&lt;&gt;"","错误","")</f>
        <v/>
      </c>
      <c r="C1744" s="14">
        <f>IF('05_层级表现LOD'!A244&lt;&gt;"","05_层级表现LOD","")</f>
        <v/>
      </c>
      <c r="D1744" s="14">
        <f>IF('05_层级表现LOD'!A244&lt;&gt;"",'05_层级表现LOD'!A244,"")</f>
        <v/>
      </c>
      <c r="E1744" s="14">
        <f>IF(F1744&lt;&gt;"","综合校验","")</f>
        <v/>
      </c>
      <c r="F1744" s="14">
        <f>IF('05_层级表现LOD'!A244&lt;&gt;"",IF('05_层级表现LOD'!A244="","缺少对象ID；","")&amp;IF('05_层级表现LOD'!B244="","缺少对象类别；","")&amp;IF(AND('05_层级表现LOD'!A244&lt;&gt;"",COUNTIF('02_固定地理'!$A$2:$A$501,'05_层级表现LOD'!A244)+COUNTIF('03_地点锚点'!$A$2:$A$501,'05_层级表现LOD'!A244)+COUNTIF('04_路径网络'!$A$2:$A$501,'05_层级表现LOD'!A244)+COUNTIF('06_建筑锚点'!$A$2:$A$501,'05_层级表现LOD'!A244)=0),"LOD引用对象不存在；","")&amp;IF(AND('05_层级表现LOD'!A244&lt;&gt;"",COUNTIF('05_层级表现LOD'!$A$2:$A$501,'05_层级表现LOD'!A244)&gt;1),"ID重复；",""),"")</f>
        <v/>
      </c>
      <c r="G1744" s="14">
        <f>IF(F1744&lt;&gt;"","按字段批注、数据字典和来源记录修正后复核","")</f>
        <v/>
      </c>
      <c r="H1744" s="14">
        <f>IF(F1744&lt;&gt;"","待处理","")</f>
        <v/>
      </c>
    </row>
    <row r="1745">
      <c r="A1745" s="14">
        <f>IF(F1745&lt;&gt;"","ISSUE-"&amp;TEXT(ROW()-1,"00000"),"")</f>
        <v/>
      </c>
      <c r="B1745" s="14">
        <f>IF(F1745&lt;&gt;"","错误","")</f>
        <v/>
      </c>
      <c r="C1745" s="14">
        <f>IF('05_层级表现LOD'!A245&lt;&gt;"","05_层级表现LOD","")</f>
        <v/>
      </c>
      <c r="D1745" s="14">
        <f>IF('05_层级表现LOD'!A245&lt;&gt;"",'05_层级表现LOD'!A245,"")</f>
        <v/>
      </c>
      <c r="E1745" s="14">
        <f>IF(F1745&lt;&gt;"","综合校验","")</f>
        <v/>
      </c>
      <c r="F1745" s="14">
        <f>IF('05_层级表现LOD'!A245&lt;&gt;"",IF('05_层级表现LOD'!A245="","缺少对象ID；","")&amp;IF('05_层级表现LOD'!B245="","缺少对象类别；","")&amp;IF(AND('05_层级表现LOD'!A245&lt;&gt;"",COUNTIF('02_固定地理'!$A$2:$A$501,'05_层级表现LOD'!A245)+COUNTIF('03_地点锚点'!$A$2:$A$501,'05_层级表现LOD'!A245)+COUNTIF('04_路径网络'!$A$2:$A$501,'05_层级表现LOD'!A245)+COUNTIF('06_建筑锚点'!$A$2:$A$501,'05_层级表现LOD'!A245)=0),"LOD引用对象不存在；","")&amp;IF(AND('05_层级表现LOD'!A245&lt;&gt;"",COUNTIF('05_层级表现LOD'!$A$2:$A$501,'05_层级表现LOD'!A245)&gt;1),"ID重复；",""),"")</f>
        <v/>
      </c>
      <c r="G1745" s="14">
        <f>IF(F1745&lt;&gt;"","按字段批注、数据字典和来源记录修正后复核","")</f>
        <v/>
      </c>
      <c r="H1745" s="14">
        <f>IF(F1745&lt;&gt;"","待处理","")</f>
        <v/>
      </c>
    </row>
    <row r="1746">
      <c r="A1746" s="14">
        <f>IF(F1746&lt;&gt;"","ISSUE-"&amp;TEXT(ROW()-1,"00000"),"")</f>
        <v/>
      </c>
      <c r="B1746" s="14">
        <f>IF(F1746&lt;&gt;"","错误","")</f>
        <v/>
      </c>
      <c r="C1746" s="14">
        <f>IF('05_层级表现LOD'!A246&lt;&gt;"","05_层级表现LOD","")</f>
        <v/>
      </c>
      <c r="D1746" s="14">
        <f>IF('05_层级表现LOD'!A246&lt;&gt;"",'05_层级表现LOD'!A246,"")</f>
        <v/>
      </c>
      <c r="E1746" s="14">
        <f>IF(F1746&lt;&gt;"","综合校验","")</f>
        <v/>
      </c>
      <c r="F1746" s="14">
        <f>IF('05_层级表现LOD'!A246&lt;&gt;"",IF('05_层级表现LOD'!A246="","缺少对象ID；","")&amp;IF('05_层级表现LOD'!B246="","缺少对象类别；","")&amp;IF(AND('05_层级表现LOD'!A246&lt;&gt;"",COUNTIF('02_固定地理'!$A$2:$A$501,'05_层级表现LOD'!A246)+COUNTIF('03_地点锚点'!$A$2:$A$501,'05_层级表现LOD'!A246)+COUNTIF('04_路径网络'!$A$2:$A$501,'05_层级表现LOD'!A246)+COUNTIF('06_建筑锚点'!$A$2:$A$501,'05_层级表现LOD'!A246)=0),"LOD引用对象不存在；","")&amp;IF(AND('05_层级表现LOD'!A246&lt;&gt;"",COUNTIF('05_层级表现LOD'!$A$2:$A$501,'05_层级表现LOD'!A246)&gt;1),"ID重复；",""),"")</f>
        <v/>
      </c>
      <c r="G1746" s="14">
        <f>IF(F1746&lt;&gt;"","按字段批注、数据字典和来源记录修正后复核","")</f>
        <v/>
      </c>
      <c r="H1746" s="14">
        <f>IF(F1746&lt;&gt;"","待处理","")</f>
        <v/>
      </c>
    </row>
    <row r="1747">
      <c r="A1747" s="14">
        <f>IF(F1747&lt;&gt;"","ISSUE-"&amp;TEXT(ROW()-1,"00000"),"")</f>
        <v/>
      </c>
      <c r="B1747" s="14">
        <f>IF(F1747&lt;&gt;"","错误","")</f>
        <v/>
      </c>
      <c r="C1747" s="14">
        <f>IF('05_层级表现LOD'!A247&lt;&gt;"","05_层级表现LOD","")</f>
        <v/>
      </c>
      <c r="D1747" s="14">
        <f>IF('05_层级表现LOD'!A247&lt;&gt;"",'05_层级表现LOD'!A247,"")</f>
        <v/>
      </c>
      <c r="E1747" s="14">
        <f>IF(F1747&lt;&gt;"","综合校验","")</f>
        <v/>
      </c>
      <c r="F1747" s="14">
        <f>IF('05_层级表现LOD'!A247&lt;&gt;"",IF('05_层级表现LOD'!A247="","缺少对象ID；","")&amp;IF('05_层级表现LOD'!B247="","缺少对象类别；","")&amp;IF(AND('05_层级表现LOD'!A247&lt;&gt;"",COUNTIF('02_固定地理'!$A$2:$A$501,'05_层级表现LOD'!A247)+COUNTIF('03_地点锚点'!$A$2:$A$501,'05_层级表现LOD'!A247)+COUNTIF('04_路径网络'!$A$2:$A$501,'05_层级表现LOD'!A247)+COUNTIF('06_建筑锚点'!$A$2:$A$501,'05_层级表现LOD'!A247)=0),"LOD引用对象不存在；","")&amp;IF(AND('05_层级表现LOD'!A247&lt;&gt;"",COUNTIF('05_层级表现LOD'!$A$2:$A$501,'05_层级表现LOD'!A247)&gt;1),"ID重复；",""),"")</f>
        <v/>
      </c>
      <c r="G1747" s="14">
        <f>IF(F1747&lt;&gt;"","按字段批注、数据字典和来源记录修正后复核","")</f>
        <v/>
      </c>
      <c r="H1747" s="14">
        <f>IF(F1747&lt;&gt;"","待处理","")</f>
        <v/>
      </c>
    </row>
    <row r="1748">
      <c r="A1748" s="14">
        <f>IF(F1748&lt;&gt;"","ISSUE-"&amp;TEXT(ROW()-1,"00000"),"")</f>
        <v/>
      </c>
      <c r="B1748" s="14">
        <f>IF(F1748&lt;&gt;"","错误","")</f>
        <v/>
      </c>
      <c r="C1748" s="14">
        <f>IF('05_层级表现LOD'!A248&lt;&gt;"","05_层级表现LOD","")</f>
        <v/>
      </c>
      <c r="D1748" s="14">
        <f>IF('05_层级表现LOD'!A248&lt;&gt;"",'05_层级表现LOD'!A248,"")</f>
        <v/>
      </c>
      <c r="E1748" s="14">
        <f>IF(F1748&lt;&gt;"","综合校验","")</f>
        <v/>
      </c>
      <c r="F1748" s="14">
        <f>IF('05_层级表现LOD'!A248&lt;&gt;"",IF('05_层级表现LOD'!A248="","缺少对象ID；","")&amp;IF('05_层级表现LOD'!B248="","缺少对象类别；","")&amp;IF(AND('05_层级表现LOD'!A248&lt;&gt;"",COUNTIF('02_固定地理'!$A$2:$A$501,'05_层级表现LOD'!A248)+COUNTIF('03_地点锚点'!$A$2:$A$501,'05_层级表现LOD'!A248)+COUNTIF('04_路径网络'!$A$2:$A$501,'05_层级表现LOD'!A248)+COUNTIF('06_建筑锚点'!$A$2:$A$501,'05_层级表现LOD'!A248)=0),"LOD引用对象不存在；","")&amp;IF(AND('05_层级表现LOD'!A248&lt;&gt;"",COUNTIF('05_层级表现LOD'!$A$2:$A$501,'05_层级表现LOD'!A248)&gt;1),"ID重复；",""),"")</f>
        <v/>
      </c>
      <c r="G1748" s="14">
        <f>IF(F1748&lt;&gt;"","按字段批注、数据字典和来源记录修正后复核","")</f>
        <v/>
      </c>
      <c r="H1748" s="14">
        <f>IF(F1748&lt;&gt;"","待处理","")</f>
        <v/>
      </c>
    </row>
    <row r="1749">
      <c r="A1749" s="14">
        <f>IF(F1749&lt;&gt;"","ISSUE-"&amp;TEXT(ROW()-1,"00000"),"")</f>
        <v/>
      </c>
      <c r="B1749" s="14">
        <f>IF(F1749&lt;&gt;"","错误","")</f>
        <v/>
      </c>
      <c r="C1749" s="14">
        <f>IF('05_层级表现LOD'!A249&lt;&gt;"","05_层级表现LOD","")</f>
        <v/>
      </c>
      <c r="D1749" s="14">
        <f>IF('05_层级表现LOD'!A249&lt;&gt;"",'05_层级表现LOD'!A249,"")</f>
        <v/>
      </c>
      <c r="E1749" s="14">
        <f>IF(F1749&lt;&gt;"","综合校验","")</f>
        <v/>
      </c>
      <c r="F1749" s="14">
        <f>IF('05_层级表现LOD'!A249&lt;&gt;"",IF('05_层级表现LOD'!A249="","缺少对象ID；","")&amp;IF('05_层级表现LOD'!B249="","缺少对象类别；","")&amp;IF(AND('05_层级表现LOD'!A249&lt;&gt;"",COUNTIF('02_固定地理'!$A$2:$A$501,'05_层级表现LOD'!A249)+COUNTIF('03_地点锚点'!$A$2:$A$501,'05_层级表现LOD'!A249)+COUNTIF('04_路径网络'!$A$2:$A$501,'05_层级表现LOD'!A249)+COUNTIF('06_建筑锚点'!$A$2:$A$501,'05_层级表现LOD'!A249)=0),"LOD引用对象不存在；","")&amp;IF(AND('05_层级表现LOD'!A249&lt;&gt;"",COUNTIF('05_层级表现LOD'!$A$2:$A$501,'05_层级表现LOD'!A249)&gt;1),"ID重复；",""),"")</f>
        <v/>
      </c>
      <c r="G1749" s="14">
        <f>IF(F1749&lt;&gt;"","按字段批注、数据字典和来源记录修正后复核","")</f>
        <v/>
      </c>
      <c r="H1749" s="14">
        <f>IF(F1749&lt;&gt;"","待处理","")</f>
        <v/>
      </c>
    </row>
    <row r="1750">
      <c r="A1750" s="14">
        <f>IF(F1750&lt;&gt;"","ISSUE-"&amp;TEXT(ROW()-1,"00000"),"")</f>
        <v/>
      </c>
      <c r="B1750" s="14">
        <f>IF(F1750&lt;&gt;"","错误","")</f>
        <v/>
      </c>
      <c r="C1750" s="14">
        <f>IF('05_层级表现LOD'!A250&lt;&gt;"","05_层级表现LOD","")</f>
        <v/>
      </c>
      <c r="D1750" s="14">
        <f>IF('05_层级表现LOD'!A250&lt;&gt;"",'05_层级表现LOD'!A250,"")</f>
        <v/>
      </c>
      <c r="E1750" s="14">
        <f>IF(F1750&lt;&gt;"","综合校验","")</f>
        <v/>
      </c>
      <c r="F1750" s="14">
        <f>IF('05_层级表现LOD'!A250&lt;&gt;"",IF('05_层级表现LOD'!A250="","缺少对象ID；","")&amp;IF('05_层级表现LOD'!B250="","缺少对象类别；","")&amp;IF(AND('05_层级表现LOD'!A250&lt;&gt;"",COUNTIF('02_固定地理'!$A$2:$A$501,'05_层级表现LOD'!A250)+COUNTIF('03_地点锚点'!$A$2:$A$501,'05_层级表现LOD'!A250)+COUNTIF('04_路径网络'!$A$2:$A$501,'05_层级表现LOD'!A250)+COUNTIF('06_建筑锚点'!$A$2:$A$501,'05_层级表现LOD'!A250)=0),"LOD引用对象不存在；","")&amp;IF(AND('05_层级表现LOD'!A250&lt;&gt;"",COUNTIF('05_层级表现LOD'!$A$2:$A$501,'05_层级表现LOD'!A250)&gt;1),"ID重复；",""),"")</f>
        <v/>
      </c>
      <c r="G1750" s="14">
        <f>IF(F1750&lt;&gt;"","按字段批注、数据字典和来源记录修正后复核","")</f>
        <v/>
      </c>
      <c r="H1750" s="14">
        <f>IF(F1750&lt;&gt;"","待处理","")</f>
        <v/>
      </c>
    </row>
    <row r="1751">
      <c r="A1751" s="14">
        <f>IF(F1751&lt;&gt;"","ISSUE-"&amp;TEXT(ROW()-1,"00000"),"")</f>
        <v/>
      </c>
      <c r="B1751" s="14">
        <f>IF(F1751&lt;&gt;"","错误","")</f>
        <v/>
      </c>
      <c r="C1751" s="14">
        <f>IF('05_层级表现LOD'!A251&lt;&gt;"","05_层级表现LOD","")</f>
        <v/>
      </c>
      <c r="D1751" s="14">
        <f>IF('05_层级表现LOD'!A251&lt;&gt;"",'05_层级表现LOD'!A251,"")</f>
        <v/>
      </c>
      <c r="E1751" s="14">
        <f>IF(F1751&lt;&gt;"","综合校验","")</f>
        <v/>
      </c>
      <c r="F1751" s="14">
        <f>IF('05_层级表现LOD'!A251&lt;&gt;"",IF('05_层级表现LOD'!A251="","缺少对象ID；","")&amp;IF('05_层级表现LOD'!B251="","缺少对象类别；","")&amp;IF(AND('05_层级表现LOD'!A251&lt;&gt;"",COUNTIF('02_固定地理'!$A$2:$A$501,'05_层级表现LOD'!A251)+COUNTIF('03_地点锚点'!$A$2:$A$501,'05_层级表现LOD'!A251)+COUNTIF('04_路径网络'!$A$2:$A$501,'05_层级表现LOD'!A251)+COUNTIF('06_建筑锚点'!$A$2:$A$501,'05_层级表现LOD'!A251)=0),"LOD引用对象不存在；","")&amp;IF(AND('05_层级表现LOD'!A251&lt;&gt;"",COUNTIF('05_层级表现LOD'!$A$2:$A$501,'05_层级表现LOD'!A251)&gt;1),"ID重复；",""),"")</f>
        <v/>
      </c>
      <c r="G1751" s="14">
        <f>IF(F1751&lt;&gt;"","按字段批注、数据字典和来源记录修正后复核","")</f>
        <v/>
      </c>
      <c r="H1751" s="14">
        <f>IF(F1751&lt;&gt;"","待处理","")</f>
        <v/>
      </c>
    </row>
    <row r="1752">
      <c r="A1752" s="14">
        <f>IF(F1752&lt;&gt;"","ISSUE-"&amp;TEXT(ROW()-1,"00000"),"")</f>
        <v/>
      </c>
      <c r="B1752" s="14">
        <f>IF(F1752&lt;&gt;"","错误","")</f>
        <v/>
      </c>
      <c r="C1752" s="14">
        <f>IF('05_层级表现LOD'!A252&lt;&gt;"","05_层级表现LOD","")</f>
        <v/>
      </c>
      <c r="D1752" s="14">
        <f>IF('05_层级表现LOD'!A252&lt;&gt;"",'05_层级表现LOD'!A252,"")</f>
        <v/>
      </c>
      <c r="E1752" s="14">
        <f>IF(F1752&lt;&gt;"","综合校验","")</f>
        <v/>
      </c>
      <c r="F1752" s="14">
        <f>IF('05_层级表现LOD'!A252&lt;&gt;"",IF('05_层级表现LOD'!A252="","缺少对象ID；","")&amp;IF('05_层级表现LOD'!B252="","缺少对象类别；","")&amp;IF(AND('05_层级表现LOD'!A252&lt;&gt;"",COUNTIF('02_固定地理'!$A$2:$A$501,'05_层级表现LOD'!A252)+COUNTIF('03_地点锚点'!$A$2:$A$501,'05_层级表现LOD'!A252)+COUNTIF('04_路径网络'!$A$2:$A$501,'05_层级表现LOD'!A252)+COUNTIF('06_建筑锚点'!$A$2:$A$501,'05_层级表现LOD'!A252)=0),"LOD引用对象不存在；","")&amp;IF(AND('05_层级表现LOD'!A252&lt;&gt;"",COUNTIF('05_层级表现LOD'!$A$2:$A$501,'05_层级表现LOD'!A252)&gt;1),"ID重复；",""),"")</f>
        <v/>
      </c>
      <c r="G1752" s="14">
        <f>IF(F1752&lt;&gt;"","按字段批注、数据字典和来源记录修正后复核","")</f>
        <v/>
      </c>
      <c r="H1752" s="14">
        <f>IF(F1752&lt;&gt;"","待处理","")</f>
        <v/>
      </c>
    </row>
    <row r="1753">
      <c r="A1753" s="14">
        <f>IF(F1753&lt;&gt;"","ISSUE-"&amp;TEXT(ROW()-1,"00000"),"")</f>
        <v/>
      </c>
      <c r="B1753" s="14">
        <f>IF(F1753&lt;&gt;"","错误","")</f>
        <v/>
      </c>
      <c r="C1753" s="14">
        <f>IF('05_层级表现LOD'!A253&lt;&gt;"","05_层级表现LOD","")</f>
        <v/>
      </c>
      <c r="D1753" s="14">
        <f>IF('05_层级表现LOD'!A253&lt;&gt;"",'05_层级表现LOD'!A253,"")</f>
        <v/>
      </c>
      <c r="E1753" s="14">
        <f>IF(F1753&lt;&gt;"","综合校验","")</f>
        <v/>
      </c>
      <c r="F1753" s="14">
        <f>IF('05_层级表现LOD'!A253&lt;&gt;"",IF('05_层级表现LOD'!A253="","缺少对象ID；","")&amp;IF('05_层级表现LOD'!B253="","缺少对象类别；","")&amp;IF(AND('05_层级表现LOD'!A253&lt;&gt;"",COUNTIF('02_固定地理'!$A$2:$A$501,'05_层级表现LOD'!A253)+COUNTIF('03_地点锚点'!$A$2:$A$501,'05_层级表现LOD'!A253)+COUNTIF('04_路径网络'!$A$2:$A$501,'05_层级表现LOD'!A253)+COUNTIF('06_建筑锚点'!$A$2:$A$501,'05_层级表现LOD'!A253)=0),"LOD引用对象不存在；","")&amp;IF(AND('05_层级表现LOD'!A253&lt;&gt;"",COUNTIF('05_层级表现LOD'!$A$2:$A$501,'05_层级表现LOD'!A253)&gt;1),"ID重复；",""),"")</f>
        <v/>
      </c>
      <c r="G1753" s="14">
        <f>IF(F1753&lt;&gt;"","按字段批注、数据字典和来源记录修正后复核","")</f>
        <v/>
      </c>
      <c r="H1753" s="14">
        <f>IF(F1753&lt;&gt;"","待处理","")</f>
        <v/>
      </c>
    </row>
    <row r="1754">
      <c r="A1754" s="14">
        <f>IF(F1754&lt;&gt;"","ISSUE-"&amp;TEXT(ROW()-1,"00000"),"")</f>
        <v/>
      </c>
      <c r="B1754" s="14">
        <f>IF(F1754&lt;&gt;"","错误","")</f>
        <v/>
      </c>
      <c r="C1754" s="14">
        <f>IF('05_层级表现LOD'!A254&lt;&gt;"","05_层级表现LOD","")</f>
        <v/>
      </c>
      <c r="D1754" s="14">
        <f>IF('05_层级表现LOD'!A254&lt;&gt;"",'05_层级表现LOD'!A254,"")</f>
        <v/>
      </c>
      <c r="E1754" s="14">
        <f>IF(F1754&lt;&gt;"","综合校验","")</f>
        <v/>
      </c>
      <c r="F1754" s="14">
        <f>IF('05_层级表现LOD'!A254&lt;&gt;"",IF('05_层级表现LOD'!A254="","缺少对象ID；","")&amp;IF('05_层级表现LOD'!B254="","缺少对象类别；","")&amp;IF(AND('05_层级表现LOD'!A254&lt;&gt;"",COUNTIF('02_固定地理'!$A$2:$A$501,'05_层级表现LOD'!A254)+COUNTIF('03_地点锚点'!$A$2:$A$501,'05_层级表现LOD'!A254)+COUNTIF('04_路径网络'!$A$2:$A$501,'05_层级表现LOD'!A254)+COUNTIF('06_建筑锚点'!$A$2:$A$501,'05_层级表现LOD'!A254)=0),"LOD引用对象不存在；","")&amp;IF(AND('05_层级表现LOD'!A254&lt;&gt;"",COUNTIF('05_层级表现LOD'!$A$2:$A$501,'05_层级表现LOD'!A254)&gt;1),"ID重复；",""),"")</f>
        <v/>
      </c>
      <c r="G1754" s="14">
        <f>IF(F1754&lt;&gt;"","按字段批注、数据字典和来源记录修正后复核","")</f>
        <v/>
      </c>
      <c r="H1754" s="14">
        <f>IF(F1754&lt;&gt;"","待处理","")</f>
        <v/>
      </c>
    </row>
    <row r="1755">
      <c r="A1755" s="14">
        <f>IF(F1755&lt;&gt;"","ISSUE-"&amp;TEXT(ROW()-1,"00000"),"")</f>
        <v/>
      </c>
      <c r="B1755" s="14">
        <f>IF(F1755&lt;&gt;"","错误","")</f>
        <v/>
      </c>
      <c r="C1755" s="14">
        <f>IF('05_层级表现LOD'!A255&lt;&gt;"","05_层级表现LOD","")</f>
        <v/>
      </c>
      <c r="D1755" s="14">
        <f>IF('05_层级表现LOD'!A255&lt;&gt;"",'05_层级表现LOD'!A255,"")</f>
        <v/>
      </c>
      <c r="E1755" s="14">
        <f>IF(F1755&lt;&gt;"","综合校验","")</f>
        <v/>
      </c>
      <c r="F1755" s="14">
        <f>IF('05_层级表现LOD'!A255&lt;&gt;"",IF('05_层级表现LOD'!A255="","缺少对象ID；","")&amp;IF('05_层级表现LOD'!B255="","缺少对象类别；","")&amp;IF(AND('05_层级表现LOD'!A255&lt;&gt;"",COUNTIF('02_固定地理'!$A$2:$A$501,'05_层级表现LOD'!A255)+COUNTIF('03_地点锚点'!$A$2:$A$501,'05_层级表现LOD'!A255)+COUNTIF('04_路径网络'!$A$2:$A$501,'05_层级表现LOD'!A255)+COUNTIF('06_建筑锚点'!$A$2:$A$501,'05_层级表现LOD'!A255)=0),"LOD引用对象不存在；","")&amp;IF(AND('05_层级表现LOD'!A255&lt;&gt;"",COUNTIF('05_层级表现LOD'!$A$2:$A$501,'05_层级表现LOD'!A255)&gt;1),"ID重复；",""),"")</f>
        <v/>
      </c>
      <c r="G1755" s="14">
        <f>IF(F1755&lt;&gt;"","按字段批注、数据字典和来源记录修正后复核","")</f>
        <v/>
      </c>
      <c r="H1755" s="14">
        <f>IF(F1755&lt;&gt;"","待处理","")</f>
        <v/>
      </c>
    </row>
    <row r="1756">
      <c r="A1756" s="14">
        <f>IF(F1756&lt;&gt;"","ISSUE-"&amp;TEXT(ROW()-1,"00000"),"")</f>
        <v/>
      </c>
      <c r="B1756" s="14">
        <f>IF(F1756&lt;&gt;"","错误","")</f>
        <v/>
      </c>
      <c r="C1756" s="14">
        <f>IF('05_层级表现LOD'!A256&lt;&gt;"","05_层级表现LOD","")</f>
        <v/>
      </c>
      <c r="D1756" s="14">
        <f>IF('05_层级表现LOD'!A256&lt;&gt;"",'05_层级表现LOD'!A256,"")</f>
        <v/>
      </c>
      <c r="E1756" s="14">
        <f>IF(F1756&lt;&gt;"","综合校验","")</f>
        <v/>
      </c>
      <c r="F1756" s="14">
        <f>IF('05_层级表现LOD'!A256&lt;&gt;"",IF('05_层级表现LOD'!A256="","缺少对象ID；","")&amp;IF('05_层级表现LOD'!B256="","缺少对象类别；","")&amp;IF(AND('05_层级表现LOD'!A256&lt;&gt;"",COUNTIF('02_固定地理'!$A$2:$A$501,'05_层级表现LOD'!A256)+COUNTIF('03_地点锚点'!$A$2:$A$501,'05_层级表现LOD'!A256)+COUNTIF('04_路径网络'!$A$2:$A$501,'05_层级表现LOD'!A256)+COUNTIF('06_建筑锚点'!$A$2:$A$501,'05_层级表现LOD'!A256)=0),"LOD引用对象不存在；","")&amp;IF(AND('05_层级表现LOD'!A256&lt;&gt;"",COUNTIF('05_层级表现LOD'!$A$2:$A$501,'05_层级表现LOD'!A256)&gt;1),"ID重复；",""),"")</f>
        <v/>
      </c>
      <c r="G1756" s="14">
        <f>IF(F1756&lt;&gt;"","按字段批注、数据字典和来源记录修正后复核","")</f>
        <v/>
      </c>
      <c r="H1756" s="14">
        <f>IF(F1756&lt;&gt;"","待处理","")</f>
        <v/>
      </c>
    </row>
    <row r="1757">
      <c r="A1757" s="14">
        <f>IF(F1757&lt;&gt;"","ISSUE-"&amp;TEXT(ROW()-1,"00000"),"")</f>
        <v/>
      </c>
      <c r="B1757" s="14">
        <f>IF(F1757&lt;&gt;"","错误","")</f>
        <v/>
      </c>
      <c r="C1757" s="14">
        <f>IF('05_层级表现LOD'!A257&lt;&gt;"","05_层级表现LOD","")</f>
        <v/>
      </c>
      <c r="D1757" s="14">
        <f>IF('05_层级表现LOD'!A257&lt;&gt;"",'05_层级表现LOD'!A257,"")</f>
        <v/>
      </c>
      <c r="E1757" s="14">
        <f>IF(F1757&lt;&gt;"","综合校验","")</f>
        <v/>
      </c>
      <c r="F1757" s="14">
        <f>IF('05_层级表现LOD'!A257&lt;&gt;"",IF('05_层级表现LOD'!A257="","缺少对象ID；","")&amp;IF('05_层级表现LOD'!B257="","缺少对象类别；","")&amp;IF(AND('05_层级表现LOD'!A257&lt;&gt;"",COUNTIF('02_固定地理'!$A$2:$A$501,'05_层级表现LOD'!A257)+COUNTIF('03_地点锚点'!$A$2:$A$501,'05_层级表现LOD'!A257)+COUNTIF('04_路径网络'!$A$2:$A$501,'05_层级表现LOD'!A257)+COUNTIF('06_建筑锚点'!$A$2:$A$501,'05_层级表现LOD'!A257)=0),"LOD引用对象不存在；","")&amp;IF(AND('05_层级表现LOD'!A257&lt;&gt;"",COUNTIF('05_层级表现LOD'!$A$2:$A$501,'05_层级表现LOD'!A257)&gt;1),"ID重复；",""),"")</f>
        <v/>
      </c>
      <c r="G1757" s="14">
        <f>IF(F1757&lt;&gt;"","按字段批注、数据字典和来源记录修正后复核","")</f>
        <v/>
      </c>
      <c r="H1757" s="14">
        <f>IF(F1757&lt;&gt;"","待处理","")</f>
        <v/>
      </c>
    </row>
    <row r="1758">
      <c r="A1758" s="14">
        <f>IF(F1758&lt;&gt;"","ISSUE-"&amp;TEXT(ROW()-1,"00000"),"")</f>
        <v/>
      </c>
      <c r="B1758" s="14">
        <f>IF(F1758&lt;&gt;"","错误","")</f>
        <v/>
      </c>
      <c r="C1758" s="14">
        <f>IF('05_层级表现LOD'!A258&lt;&gt;"","05_层级表现LOD","")</f>
        <v/>
      </c>
      <c r="D1758" s="14">
        <f>IF('05_层级表现LOD'!A258&lt;&gt;"",'05_层级表现LOD'!A258,"")</f>
        <v/>
      </c>
      <c r="E1758" s="14">
        <f>IF(F1758&lt;&gt;"","综合校验","")</f>
        <v/>
      </c>
      <c r="F1758" s="14">
        <f>IF('05_层级表现LOD'!A258&lt;&gt;"",IF('05_层级表现LOD'!A258="","缺少对象ID；","")&amp;IF('05_层级表现LOD'!B258="","缺少对象类别；","")&amp;IF(AND('05_层级表现LOD'!A258&lt;&gt;"",COUNTIF('02_固定地理'!$A$2:$A$501,'05_层级表现LOD'!A258)+COUNTIF('03_地点锚点'!$A$2:$A$501,'05_层级表现LOD'!A258)+COUNTIF('04_路径网络'!$A$2:$A$501,'05_层级表现LOD'!A258)+COUNTIF('06_建筑锚点'!$A$2:$A$501,'05_层级表现LOD'!A258)=0),"LOD引用对象不存在；","")&amp;IF(AND('05_层级表现LOD'!A258&lt;&gt;"",COUNTIF('05_层级表现LOD'!$A$2:$A$501,'05_层级表现LOD'!A258)&gt;1),"ID重复；",""),"")</f>
        <v/>
      </c>
      <c r="G1758" s="14">
        <f>IF(F1758&lt;&gt;"","按字段批注、数据字典和来源记录修正后复核","")</f>
        <v/>
      </c>
      <c r="H1758" s="14">
        <f>IF(F1758&lt;&gt;"","待处理","")</f>
        <v/>
      </c>
    </row>
    <row r="1759">
      <c r="A1759" s="14">
        <f>IF(F1759&lt;&gt;"","ISSUE-"&amp;TEXT(ROW()-1,"00000"),"")</f>
        <v/>
      </c>
      <c r="B1759" s="14">
        <f>IF(F1759&lt;&gt;"","错误","")</f>
        <v/>
      </c>
      <c r="C1759" s="14">
        <f>IF('05_层级表现LOD'!A259&lt;&gt;"","05_层级表现LOD","")</f>
        <v/>
      </c>
      <c r="D1759" s="14">
        <f>IF('05_层级表现LOD'!A259&lt;&gt;"",'05_层级表现LOD'!A259,"")</f>
        <v/>
      </c>
      <c r="E1759" s="14">
        <f>IF(F1759&lt;&gt;"","综合校验","")</f>
        <v/>
      </c>
      <c r="F1759" s="14">
        <f>IF('05_层级表现LOD'!A259&lt;&gt;"",IF('05_层级表现LOD'!A259="","缺少对象ID；","")&amp;IF('05_层级表现LOD'!B259="","缺少对象类别；","")&amp;IF(AND('05_层级表现LOD'!A259&lt;&gt;"",COUNTIF('02_固定地理'!$A$2:$A$501,'05_层级表现LOD'!A259)+COUNTIF('03_地点锚点'!$A$2:$A$501,'05_层级表现LOD'!A259)+COUNTIF('04_路径网络'!$A$2:$A$501,'05_层级表现LOD'!A259)+COUNTIF('06_建筑锚点'!$A$2:$A$501,'05_层级表现LOD'!A259)=0),"LOD引用对象不存在；","")&amp;IF(AND('05_层级表现LOD'!A259&lt;&gt;"",COUNTIF('05_层级表现LOD'!$A$2:$A$501,'05_层级表现LOD'!A259)&gt;1),"ID重复；",""),"")</f>
        <v/>
      </c>
      <c r="G1759" s="14">
        <f>IF(F1759&lt;&gt;"","按字段批注、数据字典和来源记录修正后复核","")</f>
        <v/>
      </c>
      <c r="H1759" s="14">
        <f>IF(F1759&lt;&gt;"","待处理","")</f>
        <v/>
      </c>
    </row>
    <row r="1760">
      <c r="A1760" s="14">
        <f>IF(F1760&lt;&gt;"","ISSUE-"&amp;TEXT(ROW()-1,"00000"),"")</f>
        <v/>
      </c>
      <c r="B1760" s="14">
        <f>IF(F1760&lt;&gt;"","错误","")</f>
        <v/>
      </c>
      <c r="C1760" s="14">
        <f>IF('05_层级表现LOD'!A260&lt;&gt;"","05_层级表现LOD","")</f>
        <v/>
      </c>
      <c r="D1760" s="14">
        <f>IF('05_层级表现LOD'!A260&lt;&gt;"",'05_层级表现LOD'!A260,"")</f>
        <v/>
      </c>
      <c r="E1760" s="14">
        <f>IF(F1760&lt;&gt;"","综合校验","")</f>
        <v/>
      </c>
      <c r="F1760" s="14">
        <f>IF('05_层级表现LOD'!A260&lt;&gt;"",IF('05_层级表现LOD'!A260="","缺少对象ID；","")&amp;IF('05_层级表现LOD'!B260="","缺少对象类别；","")&amp;IF(AND('05_层级表现LOD'!A260&lt;&gt;"",COUNTIF('02_固定地理'!$A$2:$A$501,'05_层级表现LOD'!A260)+COUNTIF('03_地点锚点'!$A$2:$A$501,'05_层级表现LOD'!A260)+COUNTIF('04_路径网络'!$A$2:$A$501,'05_层级表现LOD'!A260)+COUNTIF('06_建筑锚点'!$A$2:$A$501,'05_层级表现LOD'!A260)=0),"LOD引用对象不存在；","")&amp;IF(AND('05_层级表现LOD'!A260&lt;&gt;"",COUNTIF('05_层级表现LOD'!$A$2:$A$501,'05_层级表现LOD'!A260)&gt;1),"ID重复；",""),"")</f>
        <v/>
      </c>
      <c r="G1760" s="14">
        <f>IF(F1760&lt;&gt;"","按字段批注、数据字典和来源记录修正后复核","")</f>
        <v/>
      </c>
      <c r="H1760" s="14">
        <f>IF(F1760&lt;&gt;"","待处理","")</f>
        <v/>
      </c>
    </row>
    <row r="1761">
      <c r="A1761" s="14">
        <f>IF(F1761&lt;&gt;"","ISSUE-"&amp;TEXT(ROW()-1,"00000"),"")</f>
        <v/>
      </c>
      <c r="B1761" s="14">
        <f>IF(F1761&lt;&gt;"","错误","")</f>
        <v/>
      </c>
      <c r="C1761" s="14">
        <f>IF('05_层级表现LOD'!A261&lt;&gt;"","05_层级表现LOD","")</f>
        <v/>
      </c>
      <c r="D1761" s="14">
        <f>IF('05_层级表现LOD'!A261&lt;&gt;"",'05_层级表现LOD'!A261,"")</f>
        <v/>
      </c>
      <c r="E1761" s="14">
        <f>IF(F1761&lt;&gt;"","综合校验","")</f>
        <v/>
      </c>
      <c r="F1761" s="14">
        <f>IF('05_层级表现LOD'!A261&lt;&gt;"",IF('05_层级表现LOD'!A261="","缺少对象ID；","")&amp;IF('05_层级表现LOD'!B261="","缺少对象类别；","")&amp;IF(AND('05_层级表现LOD'!A261&lt;&gt;"",COUNTIF('02_固定地理'!$A$2:$A$501,'05_层级表现LOD'!A261)+COUNTIF('03_地点锚点'!$A$2:$A$501,'05_层级表现LOD'!A261)+COUNTIF('04_路径网络'!$A$2:$A$501,'05_层级表现LOD'!A261)+COUNTIF('06_建筑锚点'!$A$2:$A$501,'05_层级表现LOD'!A261)=0),"LOD引用对象不存在；","")&amp;IF(AND('05_层级表现LOD'!A261&lt;&gt;"",COUNTIF('05_层级表现LOD'!$A$2:$A$501,'05_层级表现LOD'!A261)&gt;1),"ID重复；",""),"")</f>
        <v/>
      </c>
      <c r="G1761" s="14">
        <f>IF(F1761&lt;&gt;"","按字段批注、数据字典和来源记录修正后复核","")</f>
        <v/>
      </c>
      <c r="H1761" s="14">
        <f>IF(F1761&lt;&gt;"","待处理","")</f>
        <v/>
      </c>
    </row>
    <row r="1762">
      <c r="A1762" s="14">
        <f>IF(F1762&lt;&gt;"","ISSUE-"&amp;TEXT(ROW()-1,"00000"),"")</f>
        <v/>
      </c>
      <c r="B1762" s="14">
        <f>IF(F1762&lt;&gt;"","错误","")</f>
        <v/>
      </c>
      <c r="C1762" s="14">
        <f>IF('05_层级表现LOD'!A262&lt;&gt;"","05_层级表现LOD","")</f>
        <v/>
      </c>
      <c r="D1762" s="14">
        <f>IF('05_层级表现LOD'!A262&lt;&gt;"",'05_层级表现LOD'!A262,"")</f>
        <v/>
      </c>
      <c r="E1762" s="14">
        <f>IF(F1762&lt;&gt;"","综合校验","")</f>
        <v/>
      </c>
      <c r="F1762" s="14">
        <f>IF('05_层级表现LOD'!A262&lt;&gt;"",IF('05_层级表现LOD'!A262="","缺少对象ID；","")&amp;IF('05_层级表现LOD'!B262="","缺少对象类别；","")&amp;IF(AND('05_层级表现LOD'!A262&lt;&gt;"",COUNTIF('02_固定地理'!$A$2:$A$501,'05_层级表现LOD'!A262)+COUNTIF('03_地点锚点'!$A$2:$A$501,'05_层级表现LOD'!A262)+COUNTIF('04_路径网络'!$A$2:$A$501,'05_层级表现LOD'!A262)+COUNTIF('06_建筑锚点'!$A$2:$A$501,'05_层级表现LOD'!A262)=0),"LOD引用对象不存在；","")&amp;IF(AND('05_层级表现LOD'!A262&lt;&gt;"",COUNTIF('05_层级表现LOD'!$A$2:$A$501,'05_层级表现LOD'!A262)&gt;1),"ID重复；",""),"")</f>
        <v/>
      </c>
      <c r="G1762" s="14">
        <f>IF(F1762&lt;&gt;"","按字段批注、数据字典和来源记录修正后复核","")</f>
        <v/>
      </c>
      <c r="H1762" s="14">
        <f>IF(F1762&lt;&gt;"","待处理","")</f>
        <v/>
      </c>
    </row>
    <row r="1763">
      <c r="A1763" s="14">
        <f>IF(F1763&lt;&gt;"","ISSUE-"&amp;TEXT(ROW()-1,"00000"),"")</f>
        <v/>
      </c>
      <c r="B1763" s="14">
        <f>IF(F1763&lt;&gt;"","错误","")</f>
        <v/>
      </c>
      <c r="C1763" s="14">
        <f>IF('05_层级表现LOD'!A263&lt;&gt;"","05_层级表现LOD","")</f>
        <v/>
      </c>
      <c r="D1763" s="14">
        <f>IF('05_层级表现LOD'!A263&lt;&gt;"",'05_层级表现LOD'!A263,"")</f>
        <v/>
      </c>
      <c r="E1763" s="14">
        <f>IF(F1763&lt;&gt;"","综合校验","")</f>
        <v/>
      </c>
      <c r="F1763" s="14">
        <f>IF('05_层级表现LOD'!A263&lt;&gt;"",IF('05_层级表现LOD'!A263="","缺少对象ID；","")&amp;IF('05_层级表现LOD'!B263="","缺少对象类别；","")&amp;IF(AND('05_层级表现LOD'!A263&lt;&gt;"",COUNTIF('02_固定地理'!$A$2:$A$501,'05_层级表现LOD'!A263)+COUNTIF('03_地点锚点'!$A$2:$A$501,'05_层级表现LOD'!A263)+COUNTIF('04_路径网络'!$A$2:$A$501,'05_层级表现LOD'!A263)+COUNTIF('06_建筑锚点'!$A$2:$A$501,'05_层级表现LOD'!A263)=0),"LOD引用对象不存在；","")&amp;IF(AND('05_层级表现LOD'!A263&lt;&gt;"",COUNTIF('05_层级表现LOD'!$A$2:$A$501,'05_层级表现LOD'!A263)&gt;1),"ID重复；",""),"")</f>
        <v/>
      </c>
      <c r="G1763" s="14">
        <f>IF(F1763&lt;&gt;"","按字段批注、数据字典和来源记录修正后复核","")</f>
        <v/>
      </c>
      <c r="H1763" s="14">
        <f>IF(F1763&lt;&gt;"","待处理","")</f>
        <v/>
      </c>
    </row>
    <row r="1764">
      <c r="A1764" s="14">
        <f>IF(F1764&lt;&gt;"","ISSUE-"&amp;TEXT(ROW()-1,"00000"),"")</f>
        <v/>
      </c>
      <c r="B1764" s="14">
        <f>IF(F1764&lt;&gt;"","错误","")</f>
        <v/>
      </c>
      <c r="C1764" s="14">
        <f>IF('05_层级表现LOD'!A264&lt;&gt;"","05_层级表现LOD","")</f>
        <v/>
      </c>
      <c r="D1764" s="14">
        <f>IF('05_层级表现LOD'!A264&lt;&gt;"",'05_层级表现LOD'!A264,"")</f>
        <v/>
      </c>
      <c r="E1764" s="14">
        <f>IF(F1764&lt;&gt;"","综合校验","")</f>
        <v/>
      </c>
      <c r="F1764" s="14">
        <f>IF('05_层级表现LOD'!A264&lt;&gt;"",IF('05_层级表现LOD'!A264="","缺少对象ID；","")&amp;IF('05_层级表现LOD'!B264="","缺少对象类别；","")&amp;IF(AND('05_层级表现LOD'!A264&lt;&gt;"",COUNTIF('02_固定地理'!$A$2:$A$501,'05_层级表现LOD'!A264)+COUNTIF('03_地点锚点'!$A$2:$A$501,'05_层级表现LOD'!A264)+COUNTIF('04_路径网络'!$A$2:$A$501,'05_层级表现LOD'!A264)+COUNTIF('06_建筑锚点'!$A$2:$A$501,'05_层级表现LOD'!A264)=0),"LOD引用对象不存在；","")&amp;IF(AND('05_层级表现LOD'!A264&lt;&gt;"",COUNTIF('05_层级表现LOD'!$A$2:$A$501,'05_层级表现LOD'!A264)&gt;1),"ID重复；",""),"")</f>
        <v/>
      </c>
      <c r="G1764" s="14">
        <f>IF(F1764&lt;&gt;"","按字段批注、数据字典和来源记录修正后复核","")</f>
        <v/>
      </c>
      <c r="H1764" s="14">
        <f>IF(F1764&lt;&gt;"","待处理","")</f>
        <v/>
      </c>
    </row>
    <row r="1765">
      <c r="A1765" s="14">
        <f>IF(F1765&lt;&gt;"","ISSUE-"&amp;TEXT(ROW()-1,"00000"),"")</f>
        <v/>
      </c>
      <c r="B1765" s="14">
        <f>IF(F1765&lt;&gt;"","错误","")</f>
        <v/>
      </c>
      <c r="C1765" s="14">
        <f>IF('05_层级表现LOD'!A265&lt;&gt;"","05_层级表现LOD","")</f>
        <v/>
      </c>
      <c r="D1765" s="14">
        <f>IF('05_层级表现LOD'!A265&lt;&gt;"",'05_层级表现LOD'!A265,"")</f>
        <v/>
      </c>
      <c r="E1765" s="14">
        <f>IF(F1765&lt;&gt;"","综合校验","")</f>
        <v/>
      </c>
      <c r="F1765" s="14">
        <f>IF('05_层级表现LOD'!A265&lt;&gt;"",IF('05_层级表现LOD'!A265="","缺少对象ID；","")&amp;IF('05_层级表现LOD'!B265="","缺少对象类别；","")&amp;IF(AND('05_层级表现LOD'!A265&lt;&gt;"",COUNTIF('02_固定地理'!$A$2:$A$501,'05_层级表现LOD'!A265)+COUNTIF('03_地点锚点'!$A$2:$A$501,'05_层级表现LOD'!A265)+COUNTIF('04_路径网络'!$A$2:$A$501,'05_层级表现LOD'!A265)+COUNTIF('06_建筑锚点'!$A$2:$A$501,'05_层级表现LOD'!A265)=0),"LOD引用对象不存在；","")&amp;IF(AND('05_层级表现LOD'!A265&lt;&gt;"",COUNTIF('05_层级表现LOD'!$A$2:$A$501,'05_层级表现LOD'!A265)&gt;1),"ID重复；",""),"")</f>
        <v/>
      </c>
      <c r="G1765" s="14">
        <f>IF(F1765&lt;&gt;"","按字段批注、数据字典和来源记录修正后复核","")</f>
        <v/>
      </c>
      <c r="H1765" s="14">
        <f>IF(F1765&lt;&gt;"","待处理","")</f>
        <v/>
      </c>
    </row>
    <row r="1766">
      <c r="A1766" s="14">
        <f>IF(F1766&lt;&gt;"","ISSUE-"&amp;TEXT(ROW()-1,"00000"),"")</f>
        <v/>
      </c>
      <c r="B1766" s="14">
        <f>IF(F1766&lt;&gt;"","错误","")</f>
        <v/>
      </c>
      <c r="C1766" s="14">
        <f>IF('05_层级表现LOD'!A266&lt;&gt;"","05_层级表现LOD","")</f>
        <v/>
      </c>
      <c r="D1766" s="14">
        <f>IF('05_层级表现LOD'!A266&lt;&gt;"",'05_层级表现LOD'!A266,"")</f>
        <v/>
      </c>
      <c r="E1766" s="14">
        <f>IF(F1766&lt;&gt;"","综合校验","")</f>
        <v/>
      </c>
      <c r="F1766" s="14">
        <f>IF('05_层级表现LOD'!A266&lt;&gt;"",IF('05_层级表现LOD'!A266="","缺少对象ID；","")&amp;IF('05_层级表现LOD'!B266="","缺少对象类别；","")&amp;IF(AND('05_层级表现LOD'!A266&lt;&gt;"",COUNTIF('02_固定地理'!$A$2:$A$501,'05_层级表现LOD'!A266)+COUNTIF('03_地点锚点'!$A$2:$A$501,'05_层级表现LOD'!A266)+COUNTIF('04_路径网络'!$A$2:$A$501,'05_层级表现LOD'!A266)+COUNTIF('06_建筑锚点'!$A$2:$A$501,'05_层级表现LOD'!A266)=0),"LOD引用对象不存在；","")&amp;IF(AND('05_层级表现LOD'!A266&lt;&gt;"",COUNTIF('05_层级表现LOD'!$A$2:$A$501,'05_层级表现LOD'!A266)&gt;1),"ID重复；",""),"")</f>
        <v/>
      </c>
      <c r="G1766" s="14">
        <f>IF(F1766&lt;&gt;"","按字段批注、数据字典和来源记录修正后复核","")</f>
        <v/>
      </c>
      <c r="H1766" s="14">
        <f>IF(F1766&lt;&gt;"","待处理","")</f>
        <v/>
      </c>
    </row>
    <row r="1767">
      <c r="A1767" s="14">
        <f>IF(F1767&lt;&gt;"","ISSUE-"&amp;TEXT(ROW()-1,"00000"),"")</f>
        <v/>
      </c>
      <c r="B1767" s="14">
        <f>IF(F1767&lt;&gt;"","错误","")</f>
        <v/>
      </c>
      <c r="C1767" s="14">
        <f>IF('05_层级表现LOD'!A267&lt;&gt;"","05_层级表现LOD","")</f>
        <v/>
      </c>
      <c r="D1767" s="14">
        <f>IF('05_层级表现LOD'!A267&lt;&gt;"",'05_层级表现LOD'!A267,"")</f>
        <v/>
      </c>
      <c r="E1767" s="14">
        <f>IF(F1767&lt;&gt;"","综合校验","")</f>
        <v/>
      </c>
      <c r="F1767" s="14">
        <f>IF('05_层级表现LOD'!A267&lt;&gt;"",IF('05_层级表现LOD'!A267="","缺少对象ID；","")&amp;IF('05_层级表现LOD'!B267="","缺少对象类别；","")&amp;IF(AND('05_层级表现LOD'!A267&lt;&gt;"",COUNTIF('02_固定地理'!$A$2:$A$501,'05_层级表现LOD'!A267)+COUNTIF('03_地点锚点'!$A$2:$A$501,'05_层级表现LOD'!A267)+COUNTIF('04_路径网络'!$A$2:$A$501,'05_层级表现LOD'!A267)+COUNTIF('06_建筑锚点'!$A$2:$A$501,'05_层级表现LOD'!A267)=0),"LOD引用对象不存在；","")&amp;IF(AND('05_层级表现LOD'!A267&lt;&gt;"",COUNTIF('05_层级表现LOD'!$A$2:$A$501,'05_层级表现LOD'!A267)&gt;1),"ID重复；",""),"")</f>
        <v/>
      </c>
      <c r="G1767" s="14">
        <f>IF(F1767&lt;&gt;"","按字段批注、数据字典和来源记录修正后复核","")</f>
        <v/>
      </c>
      <c r="H1767" s="14">
        <f>IF(F1767&lt;&gt;"","待处理","")</f>
        <v/>
      </c>
    </row>
    <row r="1768">
      <c r="A1768" s="14">
        <f>IF(F1768&lt;&gt;"","ISSUE-"&amp;TEXT(ROW()-1,"00000"),"")</f>
        <v/>
      </c>
      <c r="B1768" s="14">
        <f>IF(F1768&lt;&gt;"","错误","")</f>
        <v/>
      </c>
      <c r="C1768" s="14">
        <f>IF('05_层级表现LOD'!A268&lt;&gt;"","05_层级表现LOD","")</f>
        <v/>
      </c>
      <c r="D1768" s="14">
        <f>IF('05_层级表现LOD'!A268&lt;&gt;"",'05_层级表现LOD'!A268,"")</f>
        <v/>
      </c>
      <c r="E1768" s="14">
        <f>IF(F1768&lt;&gt;"","综合校验","")</f>
        <v/>
      </c>
      <c r="F1768" s="14">
        <f>IF('05_层级表现LOD'!A268&lt;&gt;"",IF('05_层级表现LOD'!A268="","缺少对象ID；","")&amp;IF('05_层级表现LOD'!B268="","缺少对象类别；","")&amp;IF(AND('05_层级表现LOD'!A268&lt;&gt;"",COUNTIF('02_固定地理'!$A$2:$A$501,'05_层级表现LOD'!A268)+COUNTIF('03_地点锚点'!$A$2:$A$501,'05_层级表现LOD'!A268)+COUNTIF('04_路径网络'!$A$2:$A$501,'05_层级表现LOD'!A268)+COUNTIF('06_建筑锚点'!$A$2:$A$501,'05_层级表现LOD'!A268)=0),"LOD引用对象不存在；","")&amp;IF(AND('05_层级表现LOD'!A268&lt;&gt;"",COUNTIF('05_层级表现LOD'!$A$2:$A$501,'05_层级表现LOD'!A268)&gt;1),"ID重复；",""),"")</f>
        <v/>
      </c>
      <c r="G1768" s="14">
        <f>IF(F1768&lt;&gt;"","按字段批注、数据字典和来源记录修正后复核","")</f>
        <v/>
      </c>
      <c r="H1768" s="14">
        <f>IF(F1768&lt;&gt;"","待处理","")</f>
        <v/>
      </c>
    </row>
    <row r="1769">
      <c r="A1769" s="14">
        <f>IF(F1769&lt;&gt;"","ISSUE-"&amp;TEXT(ROW()-1,"00000"),"")</f>
        <v/>
      </c>
      <c r="B1769" s="14">
        <f>IF(F1769&lt;&gt;"","错误","")</f>
        <v/>
      </c>
      <c r="C1769" s="14">
        <f>IF('05_层级表现LOD'!A269&lt;&gt;"","05_层级表现LOD","")</f>
        <v/>
      </c>
      <c r="D1769" s="14">
        <f>IF('05_层级表现LOD'!A269&lt;&gt;"",'05_层级表现LOD'!A269,"")</f>
        <v/>
      </c>
      <c r="E1769" s="14">
        <f>IF(F1769&lt;&gt;"","综合校验","")</f>
        <v/>
      </c>
      <c r="F1769" s="14">
        <f>IF('05_层级表现LOD'!A269&lt;&gt;"",IF('05_层级表现LOD'!A269="","缺少对象ID；","")&amp;IF('05_层级表现LOD'!B269="","缺少对象类别；","")&amp;IF(AND('05_层级表现LOD'!A269&lt;&gt;"",COUNTIF('02_固定地理'!$A$2:$A$501,'05_层级表现LOD'!A269)+COUNTIF('03_地点锚点'!$A$2:$A$501,'05_层级表现LOD'!A269)+COUNTIF('04_路径网络'!$A$2:$A$501,'05_层级表现LOD'!A269)+COUNTIF('06_建筑锚点'!$A$2:$A$501,'05_层级表现LOD'!A269)=0),"LOD引用对象不存在；","")&amp;IF(AND('05_层级表现LOD'!A269&lt;&gt;"",COUNTIF('05_层级表现LOD'!$A$2:$A$501,'05_层级表现LOD'!A269)&gt;1),"ID重复；",""),"")</f>
        <v/>
      </c>
      <c r="G1769" s="14">
        <f>IF(F1769&lt;&gt;"","按字段批注、数据字典和来源记录修正后复核","")</f>
        <v/>
      </c>
      <c r="H1769" s="14">
        <f>IF(F1769&lt;&gt;"","待处理","")</f>
        <v/>
      </c>
    </row>
    <row r="1770">
      <c r="A1770" s="14">
        <f>IF(F1770&lt;&gt;"","ISSUE-"&amp;TEXT(ROW()-1,"00000"),"")</f>
        <v/>
      </c>
      <c r="B1770" s="14">
        <f>IF(F1770&lt;&gt;"","错误","")</f>
        <v/>
      </c>
      <c r="C1770" s="14">
        <f>IF('05_层级表现LOD'!A270&lt;&gt;"","05_层级表现LOD","")</f>
        <v/>
      </c>
      <c r="D1770" s="14">
        <f>IF('05_层级表现LOD'!A270&lt;&gt;"",'05_层级表现LOD'!A270,"")</f>
        <v/>
      </c>
      <c r="E1770" s="14">
        <f>IF(F1770&lt;&gt;"","综合校验","")</f>
        <v/>
      </c>
      <c r="F1770" s="14">
        <f>IF('05_层级表现LOD'!A270&lt;&gt;"",IF('05_层级表现LOD'!A270="","缺少对象ID；","")&amp;IF('05_层级表现LOD'!B270="","缺少对象类别；","")&amp;IF(AND('05_层级表现LOD'!A270&lt;&gt;"",COUNTIF('02_固定地理'!$A$2:$A$501,'05_层级表现LOD'!A270)+COUNTIF('03_地点锚点'!$A$2:$A$501,'05_层级表现LOD'!A270)+COUNTIF('04_路径网络'!$A$2:$A$501,'05_层级表现LOD'!A270)+COUNTIF('06_建筑锚点'!$A$2:$A$501,'05_层级表现LOD'!A270)=0),"LOD引用对象不存在；","")&amp;IF(AND('05_层级表现LOD'!A270&lt;&gt;"",COUNTIF('05_层级表现LOD'!$A$2:$A$501,'05_层级表现LOD'!A270)&gt;1),"ID重复；",""),"")</f>
        <v/>
      </c>
      <c r="G1770" s="14">
        <f>IF(F1770&lt;&gt;"","按字段批注、数据字典和来源记录修正后复核","")</f>
        <v/>
      </c>
      <c r="H1770" s="14">
        <f>IF(F1770&lt;&gt;"","待处理","")</f>
        <v/>
      </c>
    </row>
    <row r="1771">
      <c r="A1771" s="14">
        <f>IF(F1771&lt;&gt;"","ISSUE-"&amp;TEXT(ROW()-1,"00000"),"")</f>
        <v/>
      </c>
      <c r="B1771" s="14">
        <f>IF(F1771&lt;&gt;"","错误","")</f>
        <v/>
      </c>
      <c r="C1771" s="14">
        <f>IF('05_层级表现LOD'!A271&lt;&gt;"","05_层级表现LOD","")</f>
        <v/>
      </c>
      <c r="D1771" s="14">
        <f>IF('05_层级表现LOD'!A271&lt;&gt;"",'05_层级表现LOD'!A271,"")</f>
        <v/>
      </c>
      <c r="E1771" s="14">
        <f>IF(F1771&lt;&gt;"","综合校验","")</f>
        <v/>
      </c>
      <c r="F1771" s="14">
        <f>IF('05_层级表现LOD'!A271&lt;&gt;"",IF('05_层级表现LOD'!A271="","缺少对象ID；","")&amp;IF('05_层级表现LOD'!B271="","缺少对象类别；","")&amp;IF(AND('05_层级表现LOD'!A271&lt;&gt;"",COUNTIF('02_固定地理'!$A$2:$A$501,'05_层级表现LOD'!A271)+COUNTIF('03_地点锚点'!$A$2:$A$501,'05_层级表现LOD'!A271)+COUNTIF('04_路径网络'!$A$2:$A$501,'05_层级表现LOD'!A271)+COUNTIF('06_建筑锚点'!$A$2:$A$501,'05_层级表现LOD'!A271)=0),"LOD引用对象不存在；","")&amp;IF(AND('05_层级表现LOD'!A271&lt;&gt;"",COUNTIF('05_层级表现LOD'!$A$2:$A$501,'05_层级表现LOD'!A271)&gt;1),"ID重复；",""),"")</f>
        <v/>
      </c>
      <c r="G1771" s="14">
        <f>IF(F1771&lt;&gt;"","按字段批注、数据字典和来源记录修正后复核","")</f>
        <v/>
      </c>
      <c r="H1771" s="14">
        <f>IF(F1771&lt;&gt;"","待处理","")</f>
        <v/>
      </c>
    </row>
    <row r="1772">
      <c r="A1772" s="14">
        <f>IF(F1772&lt;&gt;"","ISSUE-"&amp;TEXT(ROW()-1,"00000"),"")</f>
        <v/>
      </c>
      <c r="B1772" s="14">
        <f>IF(F1772&lt;&gt;"","错误","")</f>
        <v/>
      </c>
      <c r="C1772" s="14">
        <f>IF('05_层级表现LOD'!A272&lt;&gt;"","05_层级表现LOD","")</f>
        <v/>
      </c>
      <c r="D1772" s="14">
        <f>IF('05_层级表现LOD'!A272&lt;&gt;"",'05_层级表现LOD'!A272,"")</f>
        <v/>
      </c>
      <c r="E1772" s="14">
        <f>IF(F1772&lt;&gt;"","综合校验","")</f>
        <v/>
      </c>
      <c r="F1772" s="14">
        <f>IF('05_层级表现LOD'!A272&lt;&gt;"",IF('05_层级表现LOD'!A272="","缺少对象ID；","")&amp;IF('05_层级表现LOD'!B272="","缺少对象类别；","")&amp;IF(AND('05_层级表现LOD'!A272&lt;&gt;"",COUNTIF('02_固定地理'!$A$2:$A$501,'05_层级表现LOD'!A272)+COUNTIF('03_地点锚点'!$A$2:$A$501,'05_层级表现LOD'!A272)+COUNTIF('04_路径网络'!$A$2:$A$501,'05_层级表现LOD'!A272)+COUNTIF('06_建筑锚点'!$A$2:$A$501,'05_层级表现LOD'!A272)=0),"LOD引用对象不存在；","")&amp;IF(AND('05_层级表现LOD'!A272&lt;&gt;"",COUNTIF('05_层级表现LOD'!$A$2:$A$501,'05_层级表现LOD'!A272)&gt;1),"ID重复；",""),"")</f>
        <v/>
      </c>
      <c r="G1772" s="14">
        <f>IF(F1772&lt;&gt;"","按字段批注、数据字典和来源记录修正后复核","")</f>
        <v/>
      </c>
      <c r="H1772" s="14">
        <f>IF(F1772&lt;&gt;"","待处理","")</f>
        <v/>
      </c>
    </row>
    <row r="1773">
      <c r="A1773" s="14">
        <f>IF(F1773&lt;&gt;"","ISSUE-"&amp;TEXT(ROW()-1,"00000"),"")</f>
        <v/>
      </c>
      <c r="B1773" s="14">
        <f>IF(F1773&lt;&gt;"","错误","")</f>
        <v/>
      </c>
      <c r="C1773" s="14">
        <f>IF('05_层级表现LOD'!A273&lt;&gt;"","05_层级表现LOD","")</f>
        <v/>
      </c>
      <c r="D1773" s="14">
        <f>IF('05_层级表现LOD'!A273&lt;&gt;"",'05_层级表现LOD'!A273,"")</f>
        <v/>
      </c>
      <c r="E1773" s="14">
        <f>IF(F1773&lt;&gt;"","综合校验","")</f>
        <v/>
      </c>
      <c r="F1773" s="14">
        <f>IF('05_层级表现LOD'!A273&lt;&gt;"",IF('05_层级表现LOD'!A273="","缺少对象ID；","")&amp;IF('05_层级表现LOD'!B273="","缺少对象类别；","")&amp;IF(AND('05_层级表现LOD'!A273&lt;&gt;"",COUNTIF('02_固定地理'!$A$2:$A$501,'05_层级表现LOD'!A273)+COUNTIF('03_地点锚点'!$A$2:$A$501,'05_层级表现LOD'!A273)+COUNTIF('04_路径网络'!$A$2:$A$501,'05_层级表现LOD'!A273)+COUNTIF('06_建筑锚点'!$A$2:$A$501,'05_层级表现LOD'!A273)=0),"LOD引用对象不存在；","")&amp;IF(AND('05_层级表现LOD'!A273&lt;&gt;"",COUNTIF('05_层级表现LOD'!$A$2:$A$501,'05_层级表现LOD'!A273)&gt;1),"ID重复；",""),"")</f>
        <v/>
      </c>
      <c r="G1773" s="14">
        <f>IF(F1773&lt;&gt;"","按字段批注、数据字典和来源记录修正后复核","")</f>
        <v/>
      </c>
      <c r="H1773" s="14">
        <f>IF(F1773&lt;&gt;"","待处理","")</f>
        <v/>
      </c>
    </row>
    <row r="1774">
      <c r="A1774" s="14">
        <f>IF(F1774&lt;&gt;"","ISSUE-"&amp;TEXT(ROW()-1,"00000"),"")</f>
        <v/>
      </c>
      <c r="B1774" s="14">
        <f>IF(F1774&lt;&gt;"","错误","")</f>
        <v/>
      </c>
      <c r="C1774" s="14">
        <f>IF('05_层级表现LOD'!A274&lt;&gt;"","05_层级表现LOD","")</f>
        <v/>
      </c>
      <c r="D1774" s="14">
        <f>IF('05_层级表现LOD'!A274&lt;&gt;"",'05_层级表现LOD'!A274,"")</f>
        <v/>
      </c>
      <c r="E1774" s="14">
        <f>IF(F1774&lt;&gt;"","综合校验","")</f>
        <v/>
      </c>
      <c r="F1774" s="14">
        <f>IF('05_层级表现LOD'!A274&lt;&gt;"",IF('05_层级表现LOD'!A274="","缺少对象ID；","")&amp;IF('05_层级表现LOD'!B274="","缺少对象类别；","")&amp;IF(AND('05_层级表现LOD'!A274&lt;&gt;"",COUNTIF('02_固定地理'!$A$2:$A$501,'05_层级表现LOD'!A274)+COUNTIF('03_地点锚点'!$A$2:$A$501,'05_层级表现LOD'!A274)+COUNTIF('04_路径网络'!$A$2:$A$501,'05_层级表现LOD'!A274)+COUNTIF('06_建筑锚点'!$A$2:$A$501,'05_层级表现LOD'!A274)=0),"LOD引用对象不存在；","")&amp;IF(AND('05_层级表现LOD'!A274&lt;&gt;"",COUNTIF('05_层级表现LOD'!$A$2:$A$501,'05_层级表现LOD'!A274)&gt;1),"ID重复；",""),"")</f>
        <v/>
      </c>
      <c r="G1774" s="14">
        <f>IF(F1774&lt;&gt;"","按字段批注、数据字典和来源记录修正后复核","")</f>
        <v/>
      </c>
      <c r="H1774" s="14">
        <f>IF(F1774&lt;&gt;"","待处理","")</f>
        <v/>
      </c>
    </row>
    <row r="1775">
      <c r="A1775" s="14">
        <f>IF(F1775&lt;&gt;"","ISSUE-"&amp;TEXT(ROW()-1,"00000"),"")</f>
        <v/>
      </c>
      <c r="B1775" s="14">
        <f>IF(F1775&lt;&gt;"","错误","")</f>
        <v/>
      </c>
      <c r="C1775" s="14">
        <f>IF('05_层级表现LOD'!A275&lt;&gt;"","05_层级表现LOD","")</f>
        <v/>
      </c>
      <c r="D1775" s="14">
        <f>IF('05_层级表现LOD'!A275&lt;&gt;"",'05_层级表现LOD'!A275,"")</f>
        <v/>
      </c>
      <c r="E1775" s="14">
        <f>IF(F1775&lt;&gt;"","综合校验","")</f>
        <v/>
      </c>
      <c r="F1775" s="14">
        <f>IF('05_层级表现LOD'!A275&lt;&gt;"",IF('05_层级表现LOD'!A275="","缺少对象ID；","")&amp;IF('05_层级表现LOD'!B275="","缺少对象类别；","")&amp;IF(AND('05_层级表现LOD'!A275&lt;&gt;"",COUNTIF('02_固定地理'!$A$2:$A$501,'05_层级表现LOD'!A275)+COUNTIF('03_地点锚点'!$A$2:$A$501,'05_层级表现LOD'!A275)+COUNTIF('04_路径网络'!$A$2:$A$501,'05_层级表现LOD'!A275)+COUNTIF('06_建筑锚点'!$A$2:$A$501,'05_层级表现LOD'!A275)=0),"LOD引用对象不存在；","")&amp;IF(AND('05_层级表现LOD'!A275&lt;&gt;"",COUNTIF('05_层级表现LOD'!$A$2:$A$501,'05_层级表现LOD'!A275)&gt;1),"ID重复；",""),"")</f>
        <v/>
      </c>
      <c r="G1775" s="14">
        <f>IF(F1775&lt;&gt;"","按字段批注、数据字典和来源记录修正后复核","")</f>
        <v/>
      </c>
      <c r="H1775" s="14">
        <f>IF(F1775&lt;&gt;"","待处理","")</f>
        <v/>
      </c>
    </row>
    <row r="1776">
      <c r="A1776" s="14">
        <f>IF(F1776&lt;&gt;"","ISSUE-"&amp;TEXT(ROW()-1,"00000"),"")</f>
        <v/>
      </c>
      <c r="B1776" s="14">
        <f>IF(F1776&lt;&gt;"","错误","")</f>
        <v/>
      </c>
      <c r="C1776" s="14">
        <f>IF('05_层级表现LOD'!A276&lt;&gt;"","05_层级表现LOD","")</f>
        <v/>
      </c>
      <c r="D1776" s="14">
        <f>IF('05_层级表现LOD'!A276&lt;&gt;"",'05_层级表现LOD'!A276,"")</f>
        <v/>
      </c>
      <c r="E1776" s="14">
        <f>IF(F1776&lt;&gt;"","综合校验","")</f>
        <v/>
      </c>
      <c r="F1776" s="14">
        <f>IF('05_层级表现LOD'!A276&lt;&gt;"",IF('05_层级表现LOD'!A276="","缺少对象ID；","")&amp;IF('05_层级表现LOD'!B276="","缺少对象类别；","")&amp;IF(AND('05_层级表现LOD'!A276&lt;&gt;"",COUNTIF('02_固定地理'!$A$2:$A$501,'05_层级表现LOD'!A276)+COUNTIF('03_地点锚点'!$A$2:$A$501,'05_层级表现LOD'!A276)+COUNTIF('04_路径网络'!$A$2:$A$501,'05_层级表现LOD'!A276)+COUNTIF('06_建筑锚点'!$A$2:$A$501,'05_层级表现LOD'!A276)=0),"LOD引用对象不存在；","")&amp;IF(AND('05_层级表现LOD'!A276&lt;&gt;"",COUNTIF('05_层级表现LOD'!$A$2:$A$501,'05_层级表现LOD'!A276)&gt;1),"ID重复；",""),"")</f>
        <v/>
      </c>
      <c r="G1776" s="14">
        <f>IF(F1776&lt;&gt;"","按字段批注、数据字典和来源记录修正后复核","")</f>
        <v/>
      </c>
      <c r="H1776" s="14">
        <f>IF(F1776&lt;&gt;"","待处理","")</f>
        <v/>
      </c>
    </row>
    <row r="1777">
      <c r="A1777" s="14">
        <f>IF(F1777&lt;&gt;"","ISSUE-"&amp;TEXT(ROW()-1,"00000"),"")</f>
        <v/>
      </c>
      <c r="B1777" s="14">
        <f>IF(F1777&lt;&gt;"","错误","")</f>
        <v/>
      </c>
      <c r="C1777" s="14">
        <f>IF('05_层级表现LOD'!A277&lt;&gt;"","05_层级表现LOD","")</f>
        <v/>
      </c>
      <c r="D1777" s="14">
        <f>IF('05_层级表现LOD'!A277&lt;&gt;"",'05_层级表现LOD'!A277,"")</f>
        <v/>
      </c>
      <c r="E1777" s="14">
        <f>IF(F1777&lt;&gt;"","综合校验","")</f>
        <v/>
      </c>
      <c r="F1777" s="14">
        <f>IF('05_层级表现LOD'!A277&lt;&gt;"",IF('05_层级表现LOD'!A277="","缺少对象ID；","")&amp;IF('05_层级表现LOD'!B277="","缺少对象类别；","")&amp;IF(AND('05_层级表现LOD'!A277&lt;&gt;"",COUNTIF('02_固定地理'!$A$2:$A$501,'05_层级表现LOD'!A277)+COUNTIF('03_地点锚点'!$A$2:$A$501,'05_层级表现LOD'!A277)+COUNTIF('04_路径网络'!$A$2:$A$501,'05_层级表现LOD'!A277)+COUNTIF('06_建筑锚点'!$A$2:$A$501,'05_层级表现LOD'!A277)=0),"LOD引用对象不存在；","")&amp;IF(AND('05_层级表现LOD'!A277&lt;&gt;"",COUNTIF('05_层级表现LOD'!$A$2:$A$501,'05_层级表现LOD'!A277)&gt;1),"ID重复；",""),"")</f>
        <v/>
      </c>
      <c r="G1777" s="14">
        <f>IF(F1777&lt;&gt;"","按字段批注、数据字典和来源记录修正后复核","")</f>
        <v/>
      </c>
      <c r="H1777" s="14">
        <f>IF(F1777&lt;&gt;"","待处理","")</f>
        <v/>
      </c>
    </row>
    <row r="1778">
      <c r="A1778" s="14">
        <f>IF(F1778&lt;&gt;"","ISSUE-"&amp;TEXT(ROW()-1,"00000"),"")</f>
        <v/>
      </c>
      <c r="B1778" s="14">
        <f>IF(F1778&lt;&gt;"","错误","")</f>
        <v/>
      </c>
      <c r="C1778" s="14">
        <f>IF('05_层级表现LOD'!A278&lt;&gt;"","05_层级表现LOD","")</f>
        <v/>
      </c>
      <c r="D1778" s="14">
        <f>IF('05_层级表现LOD'!A278&lt;&gt;"",'05_层级表现LOD'!A278,"")</f>
        <v/>
      </c>
      <c r="E1778" s="14">
        <f>IF(F1778&lt;&gt;"","综合校验","")</f>
        <v/>
      </c>
      <c r="F1778" s="14">
        <f>IF('05_层级表现LOD'!A278&lt;&gt;"",IF('05_层级表现LOD'!A278="","缺少对象ID；","")&amp;IF('05_层级表现LOD'!B278="","缺少对象类别；","")&amp;IF(AND('05_层级表现LOD'!A278&lt;&gt;"",COUNTIF('02_固定地理'!$A$2:$A$501,'05_层级表现LOD'!A278)+COUNTIF('03_地点锚点'!$A$2:$A$501,'05_层级表现LOD'!A278)+COUNTIF('04_路径网络'!$A$2:$A$501,'05_层级表现LOD'!A278)+COUNTIF('06_建筑锚点'!$A$2:$A$501,'05_层级表现LOD'!A278)=0),"LOD引用对象不存在；","")&amp;IF(AND('05_层级表现LOD'!A278&lt;&gt;"",COUNTIF('05_层级表现LOD'!$A$2:$A$501,'05_层级表现LOD'!A278)&gt;1),"ID重复；",""),"")</f>
        <v/>
      </c>
      <c r="G1778" s="14">
        <f>IF(F1778&lt;&gt;"","按字段批注、数据字典和来源记录修正后复核","")</f>
        <v/>
      </c>
      <c r="H1778" s="14">
        <f>IF(F1778&lt;&gt;"","待处理","")</f>
        <v/>
      </c>
    </row>
    <row r="1779">
      <c r="A1779" s="14">
        <f>IF(F1779&lt;&gt;"","ISSUE-"&amp;TEXT(ROW()-1,"00000"),"")</f>
        <v/>
      </c>
      <c r="B1779" s="14">
        <f>IF(F1779&lt;&gt;"","错误","")</f>
        <v/>
      </c>
      <c r="C1779" s="14">
        <f>IF('05_层级表现LOD'!A279&lt;&gt;"","05_层级表现LOD","")</f>
        <v/>
      </c>
      <c r="D1779" s="14">
        <f>IF('05_层级表现LOD'!A279&lt;&gt;"",'05_层级表现LOD'!A279,"")</f>
        <v/>
      </c>
      <c r="E1779" s="14">
        <f>IF(F1779&lt;&gt;"","综合校验","")</f>
        <v/>
      </c>
      <c r="F1779" s="14">
        <f>IF('05_层级表现LOD'!A279&lt;&gt;"",IF('05_层级表现LOD'!A279="","缺少对象ID；","")&amp;IF('05_层级表现LOD'!B279="","缺少对象类别；","")&amp;IF(AND('05_层级表现LOD'!A279&lt;&gt;"",COUNTIF('02_固定地理'!$A$2:$A$501,'05_层级表现LOD'!A279)+COUNTIF('03_地点锚点'!$A$2:$A$501,'05_层级表现LOD'!A279)+COUNTIF('04_路径网络'!$A$2:$A$501,'05_层级表现LOD'!A279)+COUNTIF('06_建筑锚点'!$A$2:$A$501,'05_层级表现LOD'!A279)=0),"LOD引用对象不存在；","")&amp;IF(AND('05_层级表现LOD'!A279&lt;&gt;"",COUNTIF('05_层级表现LOD'!$A$2:$A$501,'05_层级表现LOD'!A279)&gt;1),"ID重复；",""),"")</f>
        <v/>
      </c>
      <c r="G1779" s="14">
        <f>IF(F1779&lt;&gt;"","按字段批注、数据字典和来源记录修正后复核","")</f>
        <v/>
      </c>
      <c r="H1779" s="14">
        <f>IF(F1779&lt;&gt;"","待处理","")</f>
        <v/>
      </c>
    </row>
    <row r="1780">
      <c r="A1780" s="14">
        <f>IF(F1780&lt;&gt;"","ISSUE-"&amp;TEXT(ROW()-1,"00000"),"")</f>
        <v/>
      </c>
      <c r="B1780" s="14">
        <f>IF(F1780&lt;&gt;"","错误","")</f>
        <v/>
      </c>
      <c r="C1780" s="14">
        <f>IF('05_层级表现LOD'!A280&lt;&gt;"","05_层级表现LOD","")</f>
        <v/>
      </c>
      <c r="D1780" s="14">
        <f>IF('05_层级表现LOD'!A280&lt;&gt;"",'05_层级表现LOD'!A280,"")</f>
        <v/>
      </c>
      <c r="E1780" s="14">
        <f>IF(F1780&lt;&gt;"","综合校验","")</f>
        <v/>
      </c>
      <c r="F1780" s="14">
        <f>IF('05_层级表现LOD'!A280&lt;&gt;"",IF('05_层级表现LOD'!A280="","缺少对象ID；","")&amp;IF('05_层级表现LOD'!B280="","缺少对象类别；","")&amp;IF(AND('05_层级表现LOD'!A280&lt;&gt;"",COUNTIF('02_固定地理'!$A$2:$A$501,'05_层级表现LOD'!A280)+COUNTIF('03_地点锚点'!$A$2:$A$501,'05_层级表现LOD'!A280)+COUNTIF('04_路径网络'!$A$2:$A$501,'05_层级表现LOD'!A280)+COUNTIF('06_建筑锚点'!$A$2:$A$501,'05_层级表现LOD'!A280)=0),"LOD引用对象不存在；","")&amp;IF(AND('05_层级表现LOD'!A280&lt;&gt;"",COUNTIF('05_层级表现LOD'!$A$2:$A$501,'05_层级表现LOD'!A280)&gt;1),"ID重复；",""),"")</f>
        <v/>
      </c>
      <c r="G1780" s="14">
        <f>IF(F1780&lt;&gt;"","按字段批注、数据字典和来源记录修正后复核","")</f>
        <v/>
      </c>
      <c r="H1780" s="14">
        <f>IF(F1780&lt;&gt;"","待处理","")</f>
        <v/>
      </c>
    </row>
    <row r="1781">
      <c r="A1781" s="14">
        <f>IF(F1781&lt;&gt;"","ISSUE-"&amp;TEXT(ROW()-1,"00000"),"")</f>
        <v/>
      </c>
      <c r="B1781" s="14">
        <f>IF(F1781&lt;&gt;"","错误","")</f>
        <v/>
      </c>
      <c r="C1781" s="14">
        <f>IF('05_层级表现LOD'!A281&lt;&gt;"","05_层级表现LOD","")</f>
        <v/>
      </c>
      <c r="D1781" s="14">
        <f>IF('05_层级表现LOD'!A281&lt;&gt;"",'05_层级表现LOD'!A281,"")</f>
        <v/>
      </c>
      <c r="E1781" s="14">
        <f>IF(F1781&lt;&gt;"","综合校验","")</f>
        <v/>
      </c>
      <c r="F1781" s="14">
        <f>IF('05_层级表现LOD'!A281&lt;&gt;"",IF('05_层级表现LOD'!A281="","缺少对象ID；","")&amp;IF('05_层级表现LOD'!B281="","缺少对象类别；","")&amp;IF(AND('05_层级表现LOD'!A281&lt;&gt;"",COUNTIF('02_固定地理'!$A$2:$A$501,'05_层级表现LOD'!A281)+COUNTIF('03_地点锚点'!$A$2:$A$501,'05_层级表现LOD'!A281)+COUNTIF('04_路径网络'!$A$2:$A$501,'05_层级表现LOD'!A281)+COUNTIF('06_建筑锚点'!$A$2:$A$501,'05_层级表现LOD'!A281)=0),"LOD引用对象不存在；","")&amp;IF(AND('05_层级表现LOD'!A281&lt;&gt;"",COUNTIF('05_层级表现LOD'!$A$2:$A$501,'05_层级表现LOD'!A281)&gt;1),"ID重复；",""),"")</f>
        <v/>
      </c>
      <c r="G1781" s="14">
        <f>IF(F1781&lt;&gt;"","按字段批注、数据字典和来源记录修正后复核","")</f>
        <v/>
      </c>
      <c r="H1781" s="14">
        <f>IF(F1781&lt;&gt;"","待处理","")</f>
        <v/>
      </c>
    </row>
    <row r="1782">
      <c r="A1782" s="14">
        <f>IF(F1782&lt;&gt;"","ISSUE-"&amp;TEXT(ROW()-1,"00000"),"")</f>
        <v/>
      </c>
      <c r="B1782" s="14">
        <f>IF(F1782&lt;&gt;"","错误","")</f>
        <v/>
      </c>
      <c r="C1782" s="14">
        <f>IF('05_层级表现LOD'!A282&lt;&gt;"","05_层级表现LOD","")</f>
        <v/>
      </c>
      <c r="D1782" s="14">
        <f>IF('05_层级表现LOD'!A282&lt;&gt;"",'05_层级表现LOD'!A282,"")</f>
        <v/>
      </c>
      <c r="E1782" s="14">
        <f>IF(F1782&lt;&gt;"","综合校验","")</f>
        <v/>
      </c>
      <c r="F1782" s="14">
        <f>IF('05_层级表现LOD'!A282&lt;&gt;"",IF('05_层级表现LOD'!A282="","缺少对象ID；","")&amp;IF('05_层级表现LOD'!B282="","缺少对象类别；","")&amp;IF(AND('05_层级表现LOD'!A282&lt;&gt;"",COUNTIF('02_固定地理'!$A$2:$A$501,'05_层级表现LOD'!A282)+COUNTIF('03_地点锚点'!$A$2:$A$501,'05_层级表现LOD'!A282)+COUNTIF('04_路径网络'!$A$2:$A$501,'05_层级表现LOD'!A282)+COUNTIF('06_建筑锚点'!$A$2:$A$501,'05_层级表现LOD'!A282)=0),"LOD引用对象不存在；","")&amp;IF(AND('05_层级表现LOD'!A282&lt;&gt;"",COUNTIF('05_层级表现LOD'!$A$2:$A$501,'05_层级表现LOD'!A282)&gt;1),"ID重复；",""),"")</f>
        <v/>
      </c>
      <c r="G1782" s="14">
        <f>IF(F1782&lt;&gt;"","按字段批注、数据字典和来源记录修正后复核","")</f>
        <v/>
      </c>
      <c r="H1782" s="14">
        <f>IF(F1782&lt;&gt;"","待处理","")</f>
        <v/>
      </c>
    </row>
    <row r="1783">
      <c r="A1783" s="14">
        <f>IF(F1783&lt;&gt;"","ISSUE-"&amp;TEXT(ROW()-1,"00000"),"")</f>
        <v/>
      </c>
      <c r="B1783" s="14">
        <f>IF(F1783&lt;&gt;"","错误","")</f>
        <v/>
      </c>
      <c r="C1783" s="14">
        <f>IF('05_层级表现LOD'!A283&lt;&gt;"","05_层级表现LOD","")</f>
        <v/>
      </c>
      <c r="D1783" s="14">
        <f>IF('05_层级表现LOD'!A283&lt;&gt;"",'05_层级表现LOD'!A283,"")</f>
        <v/>
      </c>
      <c r="E1783" s="14">
        <f>IF(F1783&lt;&gt;"","综合校验","")</f>
        <v/>
      </c>
      <c r="F1783" s="14">
        <f>IF('05_层级表现LOD'!A283&lt;&gt;"",IF('05_层级表现LOD'!A283="","缺少对象ID；","")&amp;IF('05_层级表现LOD'!B283="","缺少对象类别；","")&amp;IF(AND('05_层级表现LOD'!A283&lt;&gt;"",COUNTIF('02_固定地理'!$A$2:$A$501,'05_层级表现LOD'!A283)+COUNTIF('03_地点锚点'!$A$2:$A$501,'05_层级表现LOD'!A283)+COUNTIF('04_路径网络'!$A$2:$A$501,'05_层级表现LOD'!A283)+COUNTIF('06_建筑锚点'!$A$2:$A$501,'05_层级表现LOD'!A283)=0),"LOD引用对象不存在；","")&amp;IF(AND('05_层级表现LOD'!A283&lt;&gt;"",COUNTIF('05_层级表现LOD'!$A$2:$A$501,'05_层级表现LOD'!A283)&gt;1),"ID重复；",""),"")</f>
        <v/>
      </c>
      <c r="G1783" s="14">
        <f>IF(F1783&lt;&gt;"","按字段批注、数据字典和来源记录修正后复核","")</f>
        <v/>
      </c>
      <c r="H1783" s="14">
        <f>IF(F1783&lt;&gt;"","待处理","")</f>
        <v/>
      </c>
    </row>
    <row r="1784">
      <c r="A1784" s="14">
        <f>IF(F1784&lt;&gt;"","ISSUE-"&amp;TEXT(ROW()-1,"00000"),"")</f>
        <v/>
      </c>
      <c r="B1784" s="14">
        <f>IF(F1784&lt;&gt;"","错误","")</f>
        <v/>
      </c>
      <c r="C1784" s="14">
        <f>IF('05_层级表现LOD'!A284&lt;&gt;"","05_层级表现LOD","")</f>
        <v/>
      </c>
      <c r="D1784" s="14">
        <f>IF('05_层级表现LOD'!A284&lt;&gt;"",'05_层级表现LOD'!A284,"")</f>
        <v/>
      </c>
      <c r="E1784" s="14">
        <f>IF(F1784&lt;&gt;"","综合校验","")</f>
        <v/>
      </c>
      <c r="F1784" s="14">
        <f>IF('05_层级表现LOD'!A284&lt;&gt;"",IF('05_层级表现LOD'!A284="","缺少对象ID；","")&amp;IF('05_层级表现LOD'!B284="","缺少对象类别；","")&amp;IF(AND('05_层级表现LOD'!A284&lt;&gt;"",COUNTIF('02_固定地理'!$A$2:$A$501,'05_层级表现LOD'!A284)+COUNTIF('03_地点锚点'!$A$2:$A$501,'05_层级表现LOD'!A284)+COUNTIF('04_路径网络'!$A$2:$A$501,'05_层级表现LOD'!A284)+COUNTIF('06_建筑锚点'!$A$2:$A$501,'05_层级表现LOD'!A284)=0),"LOD引用对象不存在；","")&amp;IF(AND('05_层级表现LOD'!A284&lt;&gt;"",COUNTIF('05_层级表现LOD'!$A$2:$A$501,'05_层级表现LOD'!A284)&gt;1),"ID重复；",""),"")</f>
        <v/>
      </c>
      <c r="G1784" s="14">
        <f>IF(F1784&lt;&gt;"","按字段批注、数据字典和来源记录修正后复核","")</f>
        <v/>
      </c>
      <c r="H1784" s="14">
        <f>IF(F1784&lt;&gt;"","待处理","")</f>
        <v/>
      </c>
    </row>
    <row r="1785">
      <c r="A1785" s="14">
        <f>IF(F1785&lt;&gt;"","ISSUE-"&amp;TEXT(ROW()-1,"00000"),"")</f>
        <v/>
      </c>
      <c r="B1785" s="14">
        <f>IF(F1785&lt;&gt;"","错误","")</f>
        <v/>
      </c>
      <c r="C1785" s="14">
        <f>IF('05_层级表现LOD'!A285&lt;&gt;"","05_层级表现LOD","")</f>
        <v/>
      </c>
      <c r="D1785" s="14">
        <f>IF('05_层级表现LOD'!A285&lt;&gt;"",'05_层级表现LOD'!A285,"")</f>
        <v/>
      </c>
      <c r="E1785" s="14">
        <f>IF(F1785&lt;&gt;"","综合校验","")</f>
        <v/>
      </c>
      <c r="F1785" s="14">
        <f>IF('05_层级表现LOD'!A285&lt;&gt;"",IF('05_层级表现LOD'!A285="","缺少对象ID；","")&amp;IF('05_层级表现LOD'!B285="","缺少对象类别；","")&amp;IF(AND('05_层级表现LOD'!A285&lt;&gt;"",COUNTIF('02_固定地理'!$A$2:$A$501,'05_层级表现LOD'!A285)+COUNTIF('03_地点锚点'!$A$2:$A$501,'05_层级表现LOD'!A285)+COUNTIF('04_路径网络'!$A$2:$A$501,'05_层级表现LOD'!A285)+COUNTIF('06_建筑锚点'!$A$2:$A$501,'05_层级表现LOD'!A285)=0),"LOD引用对象不存在；","")&amp;IF(AND('05_层级表现LOD'!A285&lt;&gt;"",COUNTIF('05_层级表现LOD'!$A$2:$A$501,'05_层级表现LOD'!A285)&gt;1),"ID重复；",""),"")</f>
        <v/>
      </c>
      <c r="G1785" s="14">
        <f>IF(F1785&lt;&gt;"","按字段批注、数据字典和来源记录修正后复核","")</f>
        <v/>
      </c>
      <c r="H1785" s="14">
        <f>IF(F1785&lt;&gt;"","待处理","")</f>
        <v/>
      </c>
    </row>
    <row r="1786">
      <c r="A1786" s="14">
        <f>IF(F1786&lt;&gt;"","ISSUE-"&amp;TEXT(ROW()-1,"00000"),"")</f>
        <v/>
      </c>
      <c r="B1786" s="14">
        <f>IF(F1786&lt;&gt;"","错误","")</f>
        <v/>
      </c>
      <c r="C1786" s="14">
        <f>IF('05_层级表现LOD'!A286&lt;&gt;"","05_层级表现LOD","")</f>
        <v/>
      </c>
      <c r="D1786" s="14">
        <f>IF('05_层级表现LOD'!A286&lt;&gt;"",'05_层级表现LOD'!A286,"")</f>
        <v/>
      </c>
      <c r="E1786" s="14">
        <f>IF(F1786&lt;&gt;"","综合校验","")</f>
        <v/>
      </c>
      <c r="F1786" s="14">
        <f>IF('05_层级表现LOD'!A286&lt;&gt;"",IF('05_层级表现LOD'!A286="","缺少对象ID；","")&amp;IF('05_层级表现LOD'!B286="","缺少对象类别；","")&amp;IF(AND('05_层级表现LOD'!A286&lt;&gt;"",COUNTIF('02_固定地理'!$A$2:$A$501,'05_层级表现LOD'!A286)+COUNTIF('03_地点锚点'!$A$2:$A$501,'05_层级表现LOD'!A286)+COUNTIF('04_路径网络'!$A$2:$A$501,'05_层级表现LOD'!A286)+COUNTIF('06_建筑锚点'!$A$2:$A$501,'05_层级表现LOD'!A286)=0),"LOD引用对象不存在；","")&amp;IF(AND('05_层级表现LOD'!A286&lt;&gt;"",COUNTIF('05_层级表现LOD'!$A$2:$A$501,'05_层级表现LOD'!A286)&gt;1),"ID重复；",""),"")</f>
        <v/>
      </c>
      <c r="G1786" s="14">
        <f>IF(F1786&lt;&gt;"","按字段批注、数据字典和来源记录修正后复核","")</f>
        <v/>
      </c>
      <c r="H1786" s="14">
        <f>IF(F1786&lt;&gt;"","待处理","")</f>
        <v/>
      </c>
    </row>
    <row r="1787">
      <c r="A1787" s="14">
        <f>IF(F1787&lt;&gt;"","ISSUE-"&amp;TEXT(ROW()-1,"00000"),"")</f>
        <v/>
      </c>
      <c r="B1787" s="14">
        <f>IF(F1787&lt;&gt;"","错误","")</f>
        <v/>
      </c>
      <c r="C1787" s="14">
        <f>IF('05_层级表现LOD'!A287&lt;&gt;"","05_层级表现LOD","")</f>
        <v/>
      </c>
      <c r="D1787" s="14">
        <f>IF('05_层级表现LOD'!A287&lt;&gt;"",'05_层级表现LOD'!A287,"")</f>
        <v/>
      </c>
      <c r="E1787" s="14">
        <f>IF(F1787&lt;&gt;"","综合校验","")</f>
        <v/>
      </c>
      <c r="F1787" s="14">
        <f>IF('05_层级表现LOD'!A287&lt;&gt;"",IF('05_层级表现LOD'!A287="","缺少对象ID；","")&amp;IF('05_层级表现LOD'!B287="","缺少对象类别；","")&amp;IF(AND('05_层级表现LOD'!A287&lt;&gt;"",COUNTIF('02_固定地理'!$A$2:$A$501,'05_层级表现LOD'!A287)+COUNTIF('03_地点锚点'!$A$2:$A$501,'05_层级表现LOD'!A287)+COUNTIF('04_路径网络'!$A$2:$A$501,'05_层级表现LOD'!A287)+COUNTIF('06_建筑锚点'!$A$2:$A$501,'05_层级表现LOD'!A287)=0),"LOD引用对象不存在；","")&amp;IF(AND('05_层级表现LOD'!A287&lt;&gt;"",COUNTIF('05_层级表现LOD'!$A$2:$A$501,'05_层级表现LOD'!A287)&gt;1),"ID重复；",""),"")</f>
        <v/>
      </c>
      <c r="G1787" s="14">
        <f>IF(F1787&lt;&gt;"","按字段批注、数据字典和来源记录修正后复核","")</f>
        <v/>
      </c>
      <c r="H1787" s="14">
        <f>IF(F1787&lt;&gt;"","待处理","")</f>
        <v/>
      </c>
    </row>
    <row r="1788">
      <c r="A1788" s="14">
        <f>IF(F1788&lt;&gt;"","ISSUE-"&amp;TEXT(ROW()-1,"00000"),"")</f>
        <v/>
      </c>
      <c r="B1788" s="14">
        <f>IF(F1788&lt;&gt;"","错误","")</f>
        <v/>
      </c>
      <c r="C1788" s="14">
        <f>IF('05_层级表现LOD'!A288&lt;&gt;"","05_层级表现LOD","")</f>
        <v/>
      </c>
      <c r="D1788" s="14">
        <f>IF('05_层级表现LOD'!A288&lt;&gt;"",'05_层级表现LOD'!A288,"")</f>
        <v/>
      </c>
      <c r="E1788" s="14">
        <f>IF(F1788&lt;&gt;"","综合校验","")</f>
        <v/>
      </c>
      <c r="F1788" s="14">
        <f>IF('05_层级表现LOD'!A288&lt;&gt;"",IF('05_层级表现LOD'!A288="","缺少对象ID；","")&amp;IF('05_层级表现LOD'!B288="","缺少对象类别；","")&amp;IF(AND('05_层级表现LOD'!A288&lt;&gt;"",COUNTIF('02_固定地理'!$A$2:$A$501,'05_层级表现LOD'!A288)+COUNTIF('03_地点锚点'!$A$2:$A$501,'05_层级表现LOD'!A288)+COUNTIF('04_路径网络'!$A$2:$A$501,'05_层级表现LOD'!A288)+COUNTIF('06_建筑锚点'!$A$2:$A$501,'05_层级表现LOD'!A288)=0),"LOD引用对象不存在；","")&amp;IF(AND('05_层级表现LOD'!A288&lt;&gt;"",COUNTIF('05_层级表现LOD'!$A$2:$A$501,'05_层级表现LOD'!A288)&gt;1),"ID重复；",""),"")</f>
        <v/>
      </c>
      <c r="G1788" s="14">
        <f>IF(F1788&lt;&gt;"","按字段批注、数据字典和来源记录修正后复核","")</f>
        <v/>
      </c>
      <c r="H1788" s="14">
        <f>IF(F1788&lt;&gt;"","待处理","")</f>
        <v/>
      </c>
    </row>
    <row r="1789">
      <c r="A1789" s="14">
        <f>IF(F1789&lt;&gt;"","ISSUE-"&amp;TEXT(ROW()-1,"00000"),"")</f>
        <v/>
      </c>
      <c r="B1789" s="14">
        <f>IF(F1789&lt;&gt;"","错误","")</f>
        <v/>
      </c>
      <c r="C1789" s="14">
        <f>IF('05_层级表现LOD'!A289&lt;&gt;"","05_层级表现LOD","")</f>
        <v/>
      </c>
      <c r="D1789" s="14">
        <f>IF('05_层级表现LOD'!A289&lt;&gt;"",'05_层级表现LOD'!A289,"")</f>
        <v/>
      </c>
      <c r="E1789" s="14">
        <f>IF(F1789&lt;&gt;"","综合校验","")</f>
        <v/>
      </c>
      <c r="F1789" s="14">
        <f>IF('05_层级表现LOD'!A289&lt;&gt;"",IF('05_层级表现LOD'!A289="","缺少对象ID；","")&amp;IF('05_层级表现LOD'!B289="","缺少对象类别；","")&amp;IF(AND('05_层级表现LOD'!A289&lt;&gt;"",COUNTIF('02_固定地理'!$A$2:$A$501,'05_层级表现LOD'!A289)+COUNTIF('03_地点锚点'!$A$2:$A$501,'05_层级表现LOD'!A289)+COUNTIF('04_路径网络'!$A$2:$A$501,'05_层级表现LOD'!A289)+COUNTIF('06_建筑锚点'!$A$2:$A$501,'05_层级表现LOD'!A289)=0),"LOD引用对象不存在；","")&amp;IF(AND('05_层级表现LOD'!A289&lt;&gt;"",COUNTIF('05_层级表现LOD'!$A$2:$A$501,'05_层级表现LOD'!A289)&gt;1),"ID重复；",""),"")</f>
        <v/>
      </c>
      <c r="G1789" s="14">
        <f>IF(F1789&lt;&gt;"","按字段批注、数据字典和来源记录修正后复核","")</f>
        <v/>
      </c>
      <c r="H1789" s="14">
        <f>IF(F1789&lt;&gt;"","待处理","")</f>
        <v/>
      </c>
    </row>
    <row r="1790">
      <c r="A1790" s="14">
        <f>IF(F1790&lt;&gt;"","ISSUE-"&amp;TEXT(ROW()-1,"00000"),"")</f>
        <v/>
      </c>
      <c r="B1790" s="14">
        <f>IF(F1790&lt;&gt;"","错误","")</f>
        <v/>
      </c>
      <c r="C1790" s="14">
        <f>IF('05_层级表现LOD'!A290&lt;&gt;"","05_层级表现LOD","")</f>
        <v/>
      </c>
      <c r="D1790" s="14">
        <f>IF('05_层级表现LOD'!A290&lt;&gt;"",'05_层级表现LOD'!A290,"")</f>
        <v/>
      </c>
      <c r="E1790" s="14">
        <f>IF(F1790&lt;&gt;"","综合校验","")</f>
        <v/>
      </c>
      <c r="F1790" s="14">
        <f>IF('05_层级表现LOD'!A290&lt;&gt;"",IF('05_层级表现LOD'!A290="","缺少对象ID；","")&amp;IF('05_层级表现LOD'!B290="","缺少对象类别；","")&amp;IF(AND('05_层级表现LOD'!A290&lt;&gt;"",COUNTIF('02_固定地理'!$A$2:$A$501,'05_层级表现LOD'!A290)+COUNTIF('03_地点锚点'!$A$2:$A$501,'05_层级表现LOD'!A290)+COUNTIF('04_路径网络'!$A$2:$A$501,'05_层级表现LOD'!A290)+COUNTIF('06_建筑锚点'!$A$2:$A$501,'05_层级表现LOD'!A290)=0),"LOD引用对象不存在；","")&amp;IF(AND('05_层级表现LOD'!A290&lt;&gt;"",COUNTIF('05_层级表现LOD'!$A$2:$A$501,'05_层级表现LOD'!A290)&gt;1),"ID重复；",""),"")</f>
        <v/>
      </c>
      <c r="G1790" s="14">
        <f>IF(F1790&lt;&gt;"","按字段批注、数据字典和来源记录修正后复核","")</f>
        <v/>
      </c>
      <c r="H1790" s="14">
        <f>IF(F1790&lt;&gt;"","待处理","")</f>
        <v/>
      </c>
    </row>
    <row r="1791">
      <c r="A1791" s="14">
        <f>IF(F1791&lt;&gt;"","ISSUE-"&amp;TEXT(ROW()-1,"00000"),"")</f>
        <v/>
      </c>
      <c r="B1791" s="14">
        <f>IF(F1791&lt;&gt;"","错误","")</f>
        <v/>
      </c>
      <c r="C1791" s="14">
        <f>IF('05_层级表现LOD'!A291&lt;&gt;"","05_层级表现LOD","")</f>
        <v/>
      </c>
      <c r="D1791" s="14">
        <f>IF('05_层级表现LOD'!A291&lt;&gt;"",'05_层级表现LOD'!A291,"")</f>
        <v/>
      </c>
      <c r="E1791" s="14">
        <f>IF(F1791&lt;&gt;"","综合校验","")</f>
        <v/>
      </c>
      <c r="F1791" s="14">
        <f>IF('05_层级表现LOD'!A291&lt;&gt;"",IF('05_层级表现LOD'!A291="","缺少对象ID；","")&amp;IF('05_层级表现LOD'!B291="","缺少对象类别；","")&amp;IF(AND('05_层级表现LOD'!A291&lt;&gt;"",COUNTIF('02_固定地理'!$A$2:$A$501,'05_层级表现LOD'!A291)+COUNTIF('03_地点锚点'!$A$2:$A$501,'05_层级表现LOD'!A291)+COUNTIF('04_路径网络'!$A$2:$A$501,'05_层级表现LOD'!A291)+COUNTIF('06_建筑锚点'!$A$2:$A$501,'05_层级表现LOD'!A291)=0),"LOD引用对象不存在；","")&amp;IF(AND('05_层级表现LOD'!A291&lt;&gt;"",COUNTIF('05_层级表现LOD'!$A$2:$A$501,'05_层级表现LOD'!A291)&gt;1),"ID重复；",""),"")</f>
        <v/>
      </c>
      <c r="G1791" s="14">
        <f>IF(F1791&lt;&gt;"","按字段批注、数据字典和来源记录修正后复核","")</f>
        <v/>
      </c>
      <c r="H1791" s="14">
        <f>IF(F1791&lt;&gt;"","待处理","")</f>
        <v/>
      </c>
    </row>
    <row r="1792">
      <c r="A1792" s="14">
        <f>IF(F1792&lt;&gt;"","ISSUE-"&amp;TEXT(ROW()-1,"00000"),"")</f>
        <v/>
      </c>
      <c r="B1792" s="14">
        <f>IF(F1792&lt;&gt;"","错误","")</f>
        <v/>
      </c>
      <c r="C1792" s="14">
        <f>IF('05_层级表现LOD'!A292&lt;&gt;"","05_层级表现LOD","")</f>
        <v/>
      </c>
      <c r="D1792" s="14">
        <f>IF('05_层级表现LOD'!A292&lt;&gt;"",'05_层级表现LOD'!A292,"")</f>
        <v/>
      </c>
      <c r="E1792" s="14">
        <f>IF(F1792&lt;&gt;"","综合校验","")</f>
        <v/>
      </c>
      <c r="F1792" s="14">
        <f>IF('05_层级表现LOD'!A292&lt;&gt;"",IF('05_层级表现LOD'!A292="","缺少对象ID；","")&amp;IF('05_层级表现LOD'!B292="","缺少对象类别；","")&amp;IF(AND('05_层级表现LOD'!A292&lt;&gt;"",COUNTIF('02_固定地理'!$A$2:$A$501,'05_层级表现LOD'!A292)+COUNTIF('03_地点锚点'!$A$2:$A$501,'05_层级表现LOD'!A292)+COUNTIF('04_路径网络'!$A$2:$A$501,'05_层级表现LOD'!A292)+COUNTIF('06_建筑锚点'!$A$2:$A$501,'05_层级表现LOD'!A292)=0),"LOD引用对象不存在；","")&amp;IF(AND('05_层级表现LOD'!A292&lt;&gt;"",COUNTIF('05_层级表现LOD'!$A$2:$A$501,'05_层级表现LOD'!A292)&gt;1),"ID重复；",""),"")</f>
        <v/>
      </c>
      <c r="G1792" s="14">
        <f>IF(F1792&lt;&gt;"","按字段批注、数据字典和来源记录修正后复核","")</f>
        <v/>
      </c>
      <c r="H1792" s="14">
        <f>IF(F1792&lt;&gt;"","待处理","")</f>
        <v/>
      </c>
    </row>
    <row r="1793">
      <c r="A1793" s="14">
        <f>IF(F1793&lt;&gt;"","ISSUE-"&amp;TEXT(ROW()-1,"00000"),"")</f>
        <v/>
      </c>
      <c r="B1793" s="14">
        <f>IF(F1793&lt;&gt;"","错误","")</f>
        <v/>
      </c>
      <c r="C1793" s="14">
        <f>IF('05_层级表现LOD'!A293&lt;&gt;"","05_层级表现LOD","")</f>
        <v/>
      </c>
      <c r="D1793" s="14">
        <f>IF('05_层级表现LOD'!A293&lt;&gt;"",'05_层级表现LOD'!A293,"")</f>
        <v/>
      </c>
      <c r="E1793" s="14">
        <f>IF(F1793&lt;&gt;"","综合校验","")</f>
        <v/>
      </c>
      <c r="F1793" s="14">
        <f>IF('05_层级表现LOD'!A293&lt;&gt;"",IF('05_层级表现LOD'!A293="","缺少对象ID；","")&amp;IF('05_层级表现LOD'!B293="","缺少对象类别；","")&amp;IF(AND('05_层级表现LOD'!A293&lt;&gt;"",COUNTIF('02_固定地理'!$A$2:$A$501,'05_层级表现LOD'!A293)+COUNTIF('03_地点锚点'!$A$2:$A$501,'05_层级表现LOD'!A293)+COUNTIF('04_路径网络'!$A$2:$A$501,'05_层级表现LOD'!A293)+COUNTIF('06_建筑锚点'!$A$2:$A$501,'05_层级表现LOD'!A293)=0),"LOD引用对象不存在；","")&amp;IF(AND('05_层级表现LOD'!A293&lt;&gt;"",COUNTIF('05_层级表现LOD'!$A$2:$A$501,'05_层级表现LOD'!A293)&gt;1),"ID重复；",""),"")</f>
        <v/>
      </c>
      <c r="G1793" s="14">
        <f>IF(F1793&lt;&gt;"","按字段批注、数据字典和来源记录修正后复核","")</f>
        <v/>
      </c>
      <c r="H1793" s="14">
        <f>IF(F1793&lt;&gt;"","待处理","")</f>
        <v/>
      </c>
    </row>
    <row r="1794">
      <c r="A1794" s="14">
        <f>IF(F1794&lt;&gt;"","ISSUE-"&amp;TEXT(ROW()-1,"00000"),"")</f>
        <v/>
      </c>
      <c r="B1794" s="14">
        <f>IF(F1794&lt;&gt;"","错误","")</f>
        <v/>
      </c>
      <c r="C1794" s="14">
        <f>IF('05_层级表现LOD'!A294&lt;&gt;"","05_层级表现LOD","")</f>
        <v/>
      </c>
      <c r="D1794" s="14">
        <f>IF('05_层级表现LOD'!A294&lt;&gt;"",'05_层级表现LOD'!A294,"")</f>
        <v/>
      </c>
      <c r="E1794" s="14">
        <f>IF(F1794&lt;&gt;"","综合校验","")</f>
        <v/>
      </c>
      <c r="F1794" s="14">
        <f>IF('05_层级表现LOD'!A294&lt;&gt;"",IF('05_层级表现LOD'!A294="","缺少对象ID；","")&amp;IF('05_层级表现LOD'!B294="","缺少对象类别；","")&amp;IF(AND('05_层级表现LOD'!A294&lt;&gt;"",COUNTIF('02_固定地理'!$A$2:$A$501,'05_层级表现LOD'!A294)+COUNTIF('03_地点锚点'!$A$2:$A$501,'05_层级表现LOD'!A294)+COUNTIF('04_路径网络'!$A$2:$A$501,'05_层级表现LOD'!A294)+COUNTIF('06_建筑锚点'!$A$2:$A$501,'05_层级表现LOD'!A294)=0),"LOD引用对象不存在；","")&amp;IF(AND('05_层级表现LOD'!A294&lt;&gt;"",COUNTIF('05_层级表现LOD'!$A$2:$A$501,'05_层级表现LOD'!A294)&gt;1),"ID重复；",""),"")</f>
        <v/>
      </c>
      <c r="G1794" s="14">
        <f>IF(F1794&lt;&gt;"","按字段批注、数据字典和来源记录修正后复核","")</f>
        <v/>
      </c>
      <c r="H1794" s="14">
        <f>IF(F1794&lt;&gt;"","待处理","")</f>
        <v/>
      </c>
    </row>
    <row r="1795">
      <c r="A1795" s="14">
        <f>IF(F1795&lt;&gt;"","ISSUE-"&amp;TEXT(ROW()-1,"00000"),"")</f>
        <v/>
      </c>
      <c r="B1795" s="14">
        <f>IF(F1795&lt;&gt;"","错误","")</f>
        <v/>
      </c>
      <c r="C1795" s="14">
        <f>IF('05_层级表现LOD'!A295&lt;&gt;"","05_层级表现LOD","")</f>
        <v/>
      </c>
      <c r="D1795" s="14">
        <f>IF('05_层级表现LOD'!A295&lt;&gt;"",'05_层级表现LOD'!A295,"")</f>
        <v/>
      </c>
      <c r="E1795" s="14">
        <f>IF(F1795&lt;&gt;"","综合校验","")</f>
        <v/>
      </c>
      <c r="F1795" s="14">
        <f>IF('05_层级表现LOD'!A295&lt;&gt;"",IF('05_层级表现LOD'!A295="","缺少对象ID；","")&amp;IF('05_层级表现LOD'!B295="","缺少对象类别；","")&amp;IF(AND('05_层级表现LOD'!A295&lt;&gt;"",COUNTIF('02_固定地理'!$A$2:$A$501,'05_层级表现LOD'!A295)+COUNTIF('03_地点锚点'!$A$2:$A$501,'05_层级表现LOD'!A295)+COUNTIF('04_路径网络'!$A$2:$A$501,'05_层级表现LOD'!A295)+COUNTIF('06_建筑锚点'!$A$2:$A$501,'05_层级表现LOD'!A295)=0),"LOD引用对象不存在；","")&amp;IF(AND('05_层级表现LOD'!A295&lt;&gt;"",COUNTIF('05_层级表现LOD'!$A$2:$A$501,'05_层级表现LOD'!A295)&gt;1),"ID重复；",""),"")</f>
        <v/>
      </c>
      <c r="G1795" s="14">
        <f>IF(F1795&lt;&gt;"","按字段批注、数据字典和来源记录修正后复核","")</f>
        <v/>
      </c>
      <c r="H1795" s="14">
        <f>IF(F1795&lt;&gt;"","待处理","")</f>
        <v/>
      </c>
    </row>
    <row r="1796">
      <c r="A1796" s="14">
        <f>IF(F1796&lt;&gt;"","ISSUE-"&amp;TEXT(ROW()-1,"00000"),"")</f>
        <v/>
      </c>
      <c r="B1796" s="14">
        <f>IF(F1796&lt;&gt;"","错误","")</f>
        <v/>
      </c>
      <c r="C1796" s="14">
        <f>IF('05_层级表现LOD'!A296&lt;&gt;"","05_层级表现LOD","")</f>
        <v/>
      </c>
      <c r="D1796" s="14">
        <f>IF('05_层级表现LOD'!A296&lt;&gt;"",'05_层级表现LOD'!A296,"")</f>
        <v/>
      </c>
      <c r="E1796" s="14">
        <f>IF(F1796&lt;&gt;"","综合校验","")</f>
        <v/>
      </c>
      <c r="F1796" s="14">
        <f>IF('05_层级表现LOD'!A296&lt;&gt;"",IF('05_层级表现LOD'!A296="","缺少对象ID；","")&amp;IF('05_层级表现LOD'!B296="","缺少对象类别；","")&amp;IF(AND('05_层级表现LOD'!A296&lt;&gt;"",COUNTIF('02_固定地理'!$A$2:$A$501,'05_层级表现LOD'!A296)+COUNTIF('03_地点锚点'!$A$2:$A$501,'05_层级表现LOD'!A296)+COUNTIF('04_路径网络'!$A$2:$A$501,'05_层级表现LOD'!A296)+COUNTIF('06_建筑锚点'!$A$2:$A$501,'05_层级表现LOD'!A296)=0),"LOD引用对象不存在；","")&amp;IF(AND('05_层级表现LOD'!A296&lt;&gt;"",COUNTIF('05_层级表现LOD'!$A$2:$A$501,'05_层级表现LOD'!A296)&gt;1),"ID重复；",""),"")</f>
        <v/>
      </c>
      <c r="G1796" s="14">
        <f>IF(F1796&lt;&gt;"","按字段批注、数据字典和来源记录修正后复核","")</f>
        <v/>
      </c>
      <c r="H1796" s="14">
        <f>IF(F1796&lt;&gt;"","待处理","")</f>
        <v/>
      </c>
    </row>
    <row r="1797">
      <c r="A1797" s="14">
        <f>IF(F1797&lt;&gt;"","ISSUE-"&amp;TEXT(ROW()-1,"00000"),"")</f>
        <v/>
      </c>
      <c r="B1797" s="14">
        <f>IF(F1797&lt;&gt;"","错误","")</f>
        <v/>
      </c>
      <c r="C1797" s="14">
        <f>IF('05_层级表现LOD'!A297&lt;&gt;"","05_层级表现LOD","")</f>
        <v/>
      </c>
      <c r="D1797" s="14">
        <f>IF('05_层级表现LOD'!A297&lt;&gt;"",'05_层级表现LOD'!A297,"")</f>
        <v/>
      </c>
      <c r="E1797" s="14">
        <f>IF(F1797&lt;&gt;"","综合校验","")</f>
        <v/>
      </c>
      <c r="F1797" s="14">
        <f>IF('05_层级表现LOD'!A297&lt;&gt;"",IF('05_层级表现LOD'!A297="","缺少对象ID；","")&amp;IF('05_层级表现LOD'!B297="","缺少对象类别；","")&amp;IF(AND('05_层级表现LOD'!A297&lt;&gt;"",COUNTIF('02_固定地理'!$A$2:$A$501,'05_层级表现LOD'!A297)+COUNTIF('03_地点锚点'!$A$2:$A$501,'05_层级表现LOD'!A297)+COUNTIF('04_路径网络'!$A$2:$A$501,'05_层级表现LOD'!A297)+COUNTIF('06_建筑锚点'!$A$2:$A$501,'05_层级表现LOD'!A297)=0),"LOD引用对象不存在；","")&amp;IF(AND('05_层级表现LOD'!A297&lt;&gt;"",COUNTIF('05_层级表现LOD'!$A$2:$A$501,'05_层级表现LOD'!A297)&gt;1),"ID重复；",""),"")</f>
        <v/>
      </c>
      <c r="G1797" s="14">
        <f>IF(F1797&lt;&gt;"","按字段批注、数据字典和来源记录修正后复核","")</f>
        <v/>
      </c>
      <c r="H1797" s="14">
        <f>IF(F1797&lt;&gt;"","待处理","")</f>
        <v/>
      </c>
    </row>
    <row r="1798">
      <c r="A1798" s="14">
        <f>IF(F1798&lt;&gt;"","ISSUE-"&amp;TEXT(ROW()-1,"00000"),"")</f>
        <v/>
      </c>
      <c r="B1798" s="14">
        <f>IF(F1798&lt;&gt;"","错误","")</f>
        <v/>
      </c>
      <c r="C1798" s="14">
        <f>IF('05_层级表现LOD'!A298&lt;&gt;"","05_层级表现LOD","")</f>
        <v/>
      </c>
      <c r="D1798" s="14">
        <f>IF('05_层级表现LOD'!A298&lt;&gt;"",'05_层级表现LOD'!A298,"")</f>
        <v/>
      </c>
      <c r="E1798" s="14">
        <f>IF(F1798&lt;&gt;"","综合校验","")</f>
        <v/>
      </c>
      <c r="F1798" s="14">
        <f>IF('05_层级表现LOD'!A298&lt;&gt;"",IF('05_层级表现LOD'!A298="","缺少对象ID；","")&amp;IF('05_层级表现LOD'!B298="","缺少对象类别；","")&amp;IF(AND('05_层级表现LOD'!A298&lt;&gt;"",COUNTIF('02_固定地理'!$A$2:$A$501,'05_层级表现LOD'!A298)+COUNTIF('03_地点锚点'!$A$2:$A$501,'05_层级表现LOD'!A298)+COUNTIF('04_路径网络'!$A$2:$A$501,'05_层级表现LOD'!A298)+COUNTIF('06_建筑锚点'!$A$2:$A$501,'05_层级表现LOD'!A298)=0),"LOD引用对象不存在；","")&amp;IF(AND('05_层级表现LOD'!A298&lt;&gt;"",COUNTIF('05_层级表现LOD'!$A$2:$A$501,'05_层级表现LOD'!A298)&gt;1),"ID重复；",""),"")</f>
        <v/>
      </c>
      <c r="G1798" s="14">
        <f>IF(F1798&lt;&gt;"","按字段批注、数据字典和来源记录修正后复核","")</f>
        <v/>
      </c>
      <c r="H1798" s="14">
        <f>IF(F1798&lt;&gt;"","待处理","")</f>
        <v/>
      </c>
    </row>
    <row r="1799">
      <c r="A1799" s="14">
        <f>IF(F1799&lt;&gt;"","ISSUE-"&amp;TEXT(ROW()-1,"00000"),"")</f>
        <v/>
      </c>
      <c r="B1799" s="14">
        <f>IF(F1799&lt;&gt;"","错误","")</f>
        <v/>
      </c>
      <c r="C1799" s="14">
        <f>IF('05_层级表现LOD'!A299&lt;&gt;"","05_层级表现LOD","")</f>
        <v/>
      </c>
      <c r="D1799" s="14">
        <f>IF('05_层级表现LOD'!A299&lt;&gt;"",'05_层级表现LOD'!A299,"")</f>
        <v/>
      </c>
      <c r="E1799" s="14">
        <f>IF(F1799&lt;&gt;"","综合校验","")</f>
        <v/>
      </c>
      <c r="F1799" s="14">
        <f>IF('05_层级表现LOD'!A299&lt;&gt;"",IF('05_层级表现LOD'!A299="","缺少对象ID；","")&amp;IF('05_层级表现LOD'!B299="","缺少对象类别；","")&amp;IF(AND('05_层级表现LOD'!A299&lt;&gt;"",COUNTIF('02_固定地理'!$A$2:$A$501,'05_层级表现LOD'!A299)+COUNTIF('03_地点锚点'!$A$2:$A$501,'05_层级表现LOD'!A299)+COUNTIF('04_路径网络'!$A$2:$A$501,'05_层级表现LOD'!A299)+COUNTIF('06_建筑锚点'!$A$2:$A$501,'05_层级表现LOD'!A299)=0),"LOD引用对象不存在；","")&amp;IF(AND('05_层级表现LOD'!A299&lt;&gt;"",COUNTIF('05_层级表现LOD'!$A$2:$A$501,'05_层级表现LOD'!A299)&gt;1),"ID重复；",""),"")</f>
        <v/>
      </c>
      <c r="G1799" s="14">
        <f>IF(F1799&lt;&gt;"","按字段批注、数据字典和来源记录修正后复核","")</f>
        <v/>
      </c>
      <c r="H1799" s="14">
        <f>IF(F1799&lt;&gt;"","待处理","")</f>
        <v/>
      </c>
    </row>
    <row r="1800">
      <c r="A1800" s="14">
        <f>IF(F1800&lt;&gt;"","ISSUE-"&amp;TEXT(ROW()-1,"00000"),"")</f>
        <v/>
      </c>
      <c r="B1800" s="14">
        <f>IF(F1800&lt;&gt;"","错误","")</f>
        <v/>
      </c>
      <c r="C1800" s="14">
        <f>IF('05_层级表现LOD'!A300&lt;&gt;"","05_层级表现LOD","")</f>
        <v/>
      </c>
      <c r="D1800" s="14">
        <f>IF('05_层级表现LOD'!A300&lt;&gt;"",'05_层级表现LOD'!A300,"")</f>
        <v/>
      </c>
      <c r="E1800" s="14">
        <f>IF(F1800&lt;&gt;"","综合校验","")</f>
        <v/>
      </c>
      <c r="F1800" s="14">
        <f>IF('05_层级表现LOD'!A300&lt;&gt;"",IF('05_层级表现LOD'!A300="","缺少对象ID；","")&amp;IF('05_层级表现LOD'!B300="","缺少对象类别；","")&amp;IF(AND('05_层级表现LOD'!A300&lt;&gt;"",COUNTIF('02_固定地理'!$A$2:$A$501,'05_层级表现LOD'!A300)+COUNTIF('03_地点锚点'!$A$2:$A$501,'05_层级表现LOD'!A300)+COUNTIF('04_路径网络'!$A$2:$A$501,'05_层级表现LOD'!A300)+COUNTIF('06_建筑锚点'!$A$2:$A$501,'05_层级表现LOD'!A300)=0),"LOD引用对象不存在；","")&amp;IF(AND('05_层级表现LOD'!A300&lt;&gt;"",COUNTIF('05_层级表现LOD'!$A$2:$A$501,'05_层级表现LOD'!A300)&gt;1),"ID重复；",""),"")</f>
        <v/>
      </c>
      <c r="G1800" s="14">
        <f>IF(F1800&lt;&gt;"","按字段批注、数据字典和来源记录修正后复核","")</f>
        <v/>
      </c>
      <c r="H1800" s="14">
        <f>IF(F1800&lt;&gt;"","待处理","")</f>
        <v/>
      </c>
    </row>
    <row r="1801">
      <c r="A1801" s="14">
        <f>IF(F1801&lt;&gt;"","ISSUE-"&amp;TEXT(ROW()-1,"00000"),"")</f>
        <v/>
      </c>
      <c r="B1801" s="14">
        <f>IF(F1801&lt;&gt;"","错误","")</f>
        <v/>
      </c>
      <c r="C1801" s="14">
        <f>IF('05_层级表现LOD'!A301&lt;&gt;"","05_层级表现LOD","")</f>
        <v/>
      </c>
      <c r="D1801" s="14">
        <f>IF('05_层级表现LOD'!A301&lt;&gt;"",'05_层级表现LOD'!A301,"")</f>
        <v/>
      </c>
      <c r="E1801" s="14">
        <f>IF(F1801&lt;&gt;"","综合校验","")</f>
        <v/>
      </c>
      <c r="F1801" s="14">
        <f>IF('05_层级表现LOD'!A301&lt;&gt;"",IF('05_层级表现LOD'!A301="","缺少对象ID；","")&amp;IF('05_层级表现LOD'!B301="","缺少对象类别；","")&amp;IF(AND('05_层级表现LOD'!A301&lt;&gt;"",COUNTIF('02_固定地理'!$A$2:$A$501,'05_层级表现LOD'!A301)+COUNTIF('03_地点锚点'!$A$2:$A$501,'05_层级表现LOD'!A301)+COUNTIF('04_路径网络'!$A$2:$A$501,'05_层级表现LOD'!A301)+COUNTIF('06_建筑锚点'!$A$2:$A$501,'05_层级表现LOD'!A301)=0),"LOD引用对象不存在；","")&amp;IF(AND('05_层级表现LOD'!A301&lt;&gt;"",COUNTIF('05_层级表现LOD'!$A$2:$A$501,'05_层级表现LOD'!A301)&gt;1),"ID重复；",""),"")</f>
        <v/>
      </c>
      <c r="G1801" s="14">
        <f>IF(F1801&lt;&gt;"","按字段批注、数据字典和来源记录修正后复核","")</f>
        <v/>
      </c>
      <c r="H1801" s="14">
        <f>IF(F1801&lt;&gt;"","待处理","")</f>
        <v/>
      </c>
    </row>
    <row r="1802">
      <c r="A1802" s="14">
        <f>IF(F1802&lt;&gt;"","ISSUE-"&amp;TEXT(ROW()-1,"00000"),"")</f>
        <v/>
      </c>
      <c r="B1802" s="14">
        <f>IF(F1802&lt;&gt;"","错误","")</f>
        <v/>
      </c>
      <c r="C1802" s="14">
        <f>IF('05_层级表现LOD'!A302&lt;&gt;"","05_层级表现LOD","")</f>
        <v/>
      </c>
      <c r="D1802" s="14">
        <f>IF('05_层级表现LOD'!A302&lt;&gt;"",'05_层级表现LOD'!A302,"")</f>
        <v/>
      </c>
      <c r="E1802" s="14">
        <f>IF(F1802&lt;&gt;"","综合校验","")</f>
        <v/>
      </c>
      <c r="F1802" s="14">
        <f>IF('05_层级表现LOD'!A302&lt;&gt;"",IF('05_层级表现LOD'!A302="","缺少对象ID；","")&amp;IF('05_层级表现LOD'!B302="","缺少对象类别；","")&amp;IF(AND('05_层级表现LOD'!A302&lt;&gt;"",COUNTIF('02_固定地理'!$A$2:$A$501,'05_层级表现LOD'!A302)+COUNTIF('03_地点锚点'!$A$2:$A$501,'05_层级表现LOD'!A302)+COUNTIF('04_路径网络'!$A$2:$A$501,'05_层级表现LOD'!A302)+COUNTIF('06_建筑锚点'!$A$2:$A$501,'05_层级表现LOD'!A302)=0),"LOD引用对象不存在；","")&amp;IF(AND('05_层级表现LOD'!A302&lt;&gt;"",COUNTIF('05_层级表现LOD'!$A$2:$A$501,'05_层级表现LOD'!A302)&gt;1),"ID重复；",""),"")</f>
        <v/>
      </c>
      <c r="G1802" s="14">
        <f>IF(F1802&lt;&gt;"","按字段批注、数据字典和来源记录修正后复核","")</f>
        <v/>
      </c>
      <c r="H1802" s="14">
        <f>IF(F1802&lt;&gt;"","待处理","")</f>
        <v/>
      </c>
    </row>
    <row r="1803">
      <c r="A1803" s="14">
        <f>IF(F1803&lt;&gt;"","ISSUE-"&amp;TEXT(ROW()-1,"00000"),"")</f>
        <v/>
      </c>
      <c r="B1803" s="14">
        <f>IF(F1803&lt;&gt;"","错误","")</f>
        <v/>
      </c>
      <c r="C1803" s="14">
        <f>IF('05_层级表现LOD'!A303&lt;&gt;"","05_层级表现LOD","")</f>
        <v/>
      </c>
      <c r="D1803" s="14">
        <f>IF('05_层级表现LOD'!A303&lt;&gt;"",'05_层级表现LOD'!A303,"")</f>
        <v/>
      </c>
      <c r="E1803" s="14">
        <f>IF(F1803&lt;&gt;"","综合校验","")</f>
        <v/>
      </c>
      <c r="F1803" s="14">
        <f>IF('05_层级表现LOD'!A303&lt;&gt;"",IF('05_层级表现LOD'!A303="","缺少对象ID；","")&amp;IF('05_层级表现LOD'!B303="","缺少对象类别；","")&amp;IF(AND('05_层级表现LOD'!A303&lt;&gt;"",COUNTIF('02_固定地理'!$A$2:$A$501,'05_层级表现LOD'!A303)+COUNTIF('03_地点锚点'!$A$2:$A$501,'05_层级表现LOD'!A303)+COUNTIF('04_路径网络'!$A$2:$A$501,'05_层级表现LOD'!A303)+COUNTIF('06_建筑锚点'!$A$2:$A$501,'05_层级表现LOD'!A303)=0),"LOD引用对象不存在；","")&amp;IF(AND('05_层级表现LOD'!A303&lt;&gt;"",COUNTIF('05_层级表现LOD'!$A$2:$A$501,'05_层级表现LOD'!A303)&gt;1),"ID重复；",""),"")</f>
        <v/>
      </c>
      <c r="G1803" s="14">
        <f>IF(F1803&lt;&gt;"","按字段批注、数据字典和来源记录修正后复核","")</f>
        <v/>
      </c>
      <c r="H1803" s="14">
        <f>IF(F1803&lt;&gt;"","待处理","")</f>
        <v/>
      </c>
    </row>
    <row r="1804">
      <c r="A1804" s="14">
        <f>IF(F1804&lt;&gt;"","ISSUE-"&amp;TEXT(ROW()-1,"00000"),"")</f>
        <v/>
      </c>
      <c r="B1804" s="14">
        <f>IF(F1804&lt;&gt;"","错误","")</f>
        <v/>
      </c>
      <c r="C1804" s="14">
        <f>IF('05_层级表现LOD'!A304&lt;&gt;"","05_层级表现LOD","")</f>
        <v/>
      </c>
      <c r="D1804" s="14">
        <f>IF('05_层级表现LOD'!A304&lt;&gt;"",'05_层级表现LOD'!A304,"")</f>
        <v/>
      </c>
      <c r="E1804" s="14">
        <f>IF(F1804&lt;&gt;"","综合校验","")</f>
        <v/>
      </c>
      <c r="F1804" s="14">
        <f>IF('05_层级表现LOD'!A304&lt;&gt;"",IF('05_层级表现LOD'!A304="","缺少对象ID；","")&amp;IF('05_层级表现LOD'!B304="","缺少对象类别；","")&amp;IF(AND('05_层级表现LOD'!A304&lt;&gt;"",COUNTIF('02_固定地理'!$A$2:$A$501,'05_层级表现LOD'!A304)+COUNTIF('03_地点锚点'!$A$2:$A$501,'05_层级表现LOD'!A304)+COUNTIF('04_路径网络'!$A$2:$A$501,'05_层级表现LOD'!A304)+COUNTIF('06_建筑锚点'!$A$2:$A$501,'05_层级表现LOD'!A304)=0),"LOD引用对象不存在；","")&amp;IF(AND('05_层级表现LOD'!A304&lt;&gt;"",COUNTIF('05_层级表现LOD'!$A$2:$A$501,'05_层级表现LOD'!A304)&gt;1),"ID重复；",""),"")</f>
        <v/>
      </c>
      <c r="G1804" s="14">
        <f>IF(F1804&lt;&gt;"","按字段批注、数据字典和来源记录修正后复核","")</f>
        <v/>
      </c>
      <c r="H1804" s="14">
        <f>IF(F1804&lt;&gt;"","待处理","")</f>
        <v/>
      </c>
    </row>
    <row r="1805">
      <c r="A1805" s="14">
        <f>IF(F1805&lt;&gt;"","ISSUE-"&amp;TEXT(ROW()-1,"00000"),"")</f>
        <v/>
      </c>
      <c r="B1805" s="14">
        <f>IF(F1805&lt;&gt;"","错误","")</f>
        <v/>
      </c>
      <c r="C1805" s="14">
        <f>IF('05_层级表现LOD'!A305&lt;&gt;"","05_层级表现LOD","")</f>
        <v/>
      </c>
      <c r="D1805" s="14">
        <f>IF('05_层级表现LOD'!A305&lt;&gt;"",'05_层级表现LOD'!A305,"")</f>
        <v/>
      </c>
      <c r="E1805" s="14">
        <f>IF(F1805&lt;&gt;"","综合校验","")</f>
        <v/>
      </c>
      <c r="F1805" s="14">
        <f>IF('05_层级表现LOD'!A305&lt;&gt;"",IF('05_层级表现LOD'!A305="","缺少对象ID；","")&amp;IF('05_层级表现LOD'!B305="","缺少对象类别；","")&amp;IF(AND('05_层级表现LOD'!A305&lt;&gt;"",COUNTIF('02_固定地理'!$A$2:$A$501,'05_层级表现LOD'!A305)+COUNTIF('03_地点锚点'!$A$2:$A$501,'05_层级表现LOD'!A305)+COUNTIF('04_路径网络'!$A$2:$A$501,'05_层级表现LOD'!A305)+COUNTIF('06_建筑锚点'!$A$2:$A$501,'05_层级表现LOD'!A305)=0),"LOD引用对象不存在；","")&amp;IF(AND('05_层级表现LOD'!A305&lt;&gt;"",COUNTIF('05_层级表现LOD'!$A$2:$A$501,'05_层级表现LOD'!A305)&gt;1),"ID重复；",""),"")</f>
        <v/>
      </c>
      <c r="G1805" s="14">
        <f>IF(F1805&lt;&gt;"","按字段批注、数据字典和来源记录修正后复核","")</f>
        <v/>
      </c>
      <c r="H1805" s="14">
        <f>IF(F1805&lt;&gt;"","待处理","")</f>
        <v/>
      </c>
    </row>
    <row r="1806">
      <c r="A1806" s="14">
        <f>IF(F1806&lt;&gt;"","ISSUE-"&amp;TEXT(ROW()-1,"00000"),"")</f>
        <v/>
      </c>
      <c r="B1806" s="14">
        <f>IF(F1806&lt;&gt;"","错误","")</f>
        <v/>
      </c>
      <c r="C1806" s="14">
        <f>IF('05_层级表现LOD'!A306&lt;&gt;"","05_层级表现LOD","")</f>
        <v/>
      </c>
      <c r="D1806" s="14">
        <f>IF('05_层级表现LOD'!A306&lt;&gt;"",'05_层级表现LOD'!A306,"")</f>
        <v/>
      </c>
      <c r="E1806" s="14">
        <f>IF(F1806&lt;&gt;"","综合校验","")</f>
        <v/>
      </c>
      <c r="F1806" s="14">
        <f>IF('05_层级表现LOD'!A306&lt;&gt;"",IF('05_层级表现LOD'!A306="","缺少对象ID；","")&amp;IF('05_层级表现LOD'!B306="","缺少对象类别；","")&amp;IF(AND('05_层级表现LOD'!A306&lt;&gt;"",COUNTIF('02_固定地理'!$A$2:$A$501,'05_层级表现LOD'!A306)+COUNTIF('03_地点锚点'!$A$2:$A$501,'05_层级表现LOD'!A306)+COUNTIF('04_路径网络'!$A$2:$A$501,'05_层级表现LOD'!A306)+COUNTIF('06_建筑锚点'!$A$2:$A$501,'05_层级表现LOD'!A306)=0),"LOD引用对象不存在；","")&amp;IF(AND('05_层级表现LOD'!A306&lt;&gt;"",COUNTIF('05_层级表现LOD'!$A$2:$A$501,'05_层级表现LOD'!A306)&gt;1),"ID重复；",""),"")</f>
        <v/>
      </c>
      <c r="G1806" s="14">
        <f>IF(F1806&lt;&gt;"","按字段批注、数据字典和来源记录修正后复核","")</f>
        <v/>
      </c>
      <c r="H1806" s="14">
        <f>IF(F1806&lt;&gt;"","待处理","")</f>
        <v/>
      </c>
    </row>
    <row r="1807">
      <c r="A1807" s="14">
        <f>IF(F1807&lt;&gt;"","ISSUE-"&amp;TEXT(ROW()-1,"00000"),"")</f>
        <v/>
      </c>
      <c r="B1807" s="14">
        <f>IF(F1807&lt;&gt;"","错误","")</f>
        <v/>
      </c>
      <c r="C1807" s="14">
        <f>IF('05_层级表现LOD'!A307&lt;&gt;"","05_层级表现LOD","")</f>
        <v/>
      </c>
      <c r="D1807" s="14">
        <f>IF('05_层级表现LOD'!A307&lt;&gt;"",'05_层级表现LOD'!A307,"")</f>
        <v/>
      </c>
      <c r="E1807" s="14">
        <f>IF(F1807&lt;&gt;"","综合校验","")</f>
        <v/>
      </c>
      <c r="F1807" s="14">
        <f>IF('05_层级表现LOD'!A307&lt;&gt;"",IF('05_层级表现LOD'!A307="","缺少对象ID；","")&amp;IF('05_层级表现LOD'!B307="","缺少对象类别；","")&amp;IF(AND('05_层级表现LOD'!A307&lt;&gt;"",COUNTIF('02_固定地理'!$A$2:$A$501,'05_层级表现LOD'!A307)+COUNTIF('03_地点锚点'!$A$2:$A$501,'05_层级表现LOD'!A307)+COUNTIF('04_路径网络'!$A$2:$A$501,'05_层级表现LOD'!A307)+COUNTIF('06_建筑锚点'!$A$2:$A$501,'05_层级表现LOD'!A307)=0),"LOD引用对象不存在；","")&amp;IF(AND('05_层级表现LOD'!A307&lt;&gt;"",COUNTIF('05_层级表现LOD'!$A$2:$A$501,'05_层级表现LOD'!A307)&gt;1),"ID重复；",""),"")</f>
        <v/>
      </c>
      <c r="G1807" s="14">
        <f>IF(F1807&lt;&gt;"","按字段批注、数据字典和来源记录修正后复核","")</f>
        <v/>
      </c>
      <c r="H1807" s="14">
        <f>IF(F1807&lt;&gt;"","待处理","")</f>
        <v/>
      </c>
    </row>
    <row r="1808">
      <c r="A1808" s="14">
        <f>IF(F1808&lt;&gt;"","ISSUE-"&amp;TEXT(ROW()-1,"00000"),"")</f>
        <v/>
      </c>
      <c r="B1808" s="14">
        <f>IF(F1808&lt;&gt;"","错误","")</f>
        <v/>
      </c>
      <c r="C1808" s="14">
        <f>IF('05_层级表现LOD'!A308&lt;&gt;"","05_层级表现LOD","")</f>
        <v/>
      </c>
      <c r="D1808" s="14">
        <f>IF('05_层级表现LOD'!A308&lt;&gt;"",'05_层级表现LOD'!A308,"")</f>
        <v/>
      </c>
      <c r="E1808" s="14">
        <f>IF(F1808&lt;&gt;"","综合校验","")</f>
        <v/>
      </c>
      <c r="F1808" s="14">
        <f>IF('05_层级表现LOD'!A308&lt;&gt;"",IF('05_层级表现LOD'!A308="","缺少对象ID；","")&amp;IF('05_层级表现LOD'!B308="","缺少对象类别；","")&amp;IF(AND('05_层级表现LOD'!A308&lt;&gt;"",COUNTIF('02_固定地理'!$A$2:$A$501,'05_层级表现LOD'!A308)+COUNTIF('03_地点锚点'!$A$2:$A$501,'05_层级表现LOD'!A308)+COUNTIF('04_路径网络'!$A$2:$A$501,'05_层级表现LOD'!A308)+COUNTIF('06_建筑锚点'!$A$2:$A$501,'05_层级表现LOD'!A308)=0),"LOD引用对象不存在；","")&amp;IF(AND('05_层级表现LOD'!A308&lt;&gt;"",COUNTIF('05_层级表现LOD'!$A$2:$A$501,'05_层级表现LOD'!A308)&gt;1),"ID重复；",""),"")</f>
        <v/>
      </c>
      <c r="G1808" s="14">
        <f>IF(F1808&lt;&gt;"","按字段批注、数据字典和来源记录修正后复核","")</f>
        <v/>
      </c>
      <c r="H1808" s="14">
        <f>IF(F1808&lt;&gt;"","待处理","")</f>
        <v/>
      </c>
    </row>
    <row r="1809">
      <c r="A1809" s="14">
        <f>IF(F1809&lt;&gt;"","ISSUE-"&amp;TEXT(ROW()-1,"00000"),"")</f>
        <v/>
      </c>
      <c r="B1809" s="14">
        <f>IF(F1809&lt;&gt;"","错误","")</f>
        <v/>
      </c>
      <c r="C1809" s="14">
        <f>IF('05_层级表现LOD'!A309&lt;&gt;"","05_层级表现LOD","")</f>
        <v/>
      </c>
      <c r="D1809" s="14">
        <f>IF('05_层级表现LOD'!A309&lt;&gt;"",'05_层级表现LOD'!A309,"")</f>
        <v/>
      </c>
      <c r="E1809" s="14">
        <f>IF(F1809&lt;&gt;"","综合校验","")</f>
        <v/>
      </c>
      <c r="F1809" s="14">
        <f>IF('05_层级表现LOD'!A309&lt;&gt;"",IF('05_层级表现LOD'!A309="","缺少对象ID；","")&amp;IF('05_层级表现LOD'!B309="","缺少对象类别；","")&amp;IF(AND('05_层级表现LOD'!A309&lt;&gt;"",COUNTIF('02_固定地理'!$A$2:$A$501,'05_层级表现LOD'!A309)+COUNTIF('03_地点锚点'!$A$2:$A$501,'05_层级表现LOD'!A309)+COUNTIF('04_路径网络'!$A$2:$A$501,'05_层级表现LOD'!A309)+COUNTIF('06_建筑锚点'!$A$2:$A$501,'05_层级表现LOD'!A309)=0),"LOD引用对象不存在；","")&amp;IF(AND('05_层级表现LOD'!A309&lt;&gt;"",COUNTIF('05_层级表现LOD'!$A$2:$A$501,'05_层级表现LOD'!A309)&gt;1),"ID重复；",""),"")</f>
        <v/>
      </c>
      <c r="G1809" s="14">
        <f>IF(F1809&lt;&gt;"","按字段批注、数据字典和来源记录修正后复核","")</f>
        <v/>
      </c>
      <c r="H1809" s="14">
        <f>IF(F1809&lt;&gt;"","待处理","")</f>
        <v/>
      </c>
    </row>
    <row r="1810">
      <c r="A1810" s="14">
        <f>IF(F1810&lt;&gt;"","ISSUE-"&amp;TEXT(ROW()-1,"00000"),"")</f>
        <v/>
      </c>
      <c r="B1810" s="14">
        <f>IF(F1810&lt;&gt;"","错误","")</f>
        <v/>
      </c>
      <c r="C1810" s="14">
        <f>IF('05_层级表现LOD'!A310&lt;&gt;"","05_层级表现LOD","")</f>
        <v/>
      </c>
      <c r="D1810" s="14">
        <f>IF('05_层级表现LOD'!A310&lt;&gt;"",'05_层级表现LOD'!A310,"")</f>
        <v/>
      </c>
      <c r="E1810" s="14">
        <f>IF(F1810&lt;&gt;"","综合校验","")</f>
        <v/>
      </c>
      <c r="F1810" s="14">
        <f>IF('05_层级表现LOD'!A310&lt;&gt;"",IF('05_层级表现LOD'!A310="","缺少对象ID；","")&amp;IF('05_层级表现LOD'!B310="","缺少对象类别；","")&amp;IF(AND('05_层级表现LOD'!A310&lt;&gt;"",COUNTIF('02_固定地理'!$A$2:$A$501,'05_层级表现LOD'!A310)+COUNTIF('03_地点锚点'!$A$2:$A$501,'05_层级表现LOD'!A310)+COUNTIF('04_路径网络'!$A$2:$A$501,'05_层级表现LOD'!A310)+COUNTIF('06_建筑锚点'!$A$2:$A$501,'05_层级表现LOD'!A310)=0),"LOD引用对象不存在；","")&amp;IF(AND('05_层级表现LOD'!A310&lt;&gt;"",COUNTIF('05_层级表现LOD'!$A$2:$A$501,'05_层级表现LOD'!A310)&gt;1),"ID重复；",""),"")</f>
        <v/>
      </c>
      <c r="G1810" s="14">
        <f>IF(F1810&lt;&gt;"","按字段批注、数据字典和来源记录修正后复核","")</f>
        <v/>
      </c>
      <c r="H1810" s="14">
        <f>IF(F1810&lt;&gt;"","待处理","")</f>
        <v/>
      </c>
    </row>
    <row r="1811">
      <c r="A1811" s="14">
        <f>IF(F1811&lt;&gt;"","ISSUE-"&amp;TEXT(ROW()-1,"00000"),"")</f>
        <v/>
      </c>
      <c r="B1811" s="14">
        <f>IF(F1811&lt;&gt;"","错误","")</f>
        <v/>
      </c>
      <c r="C1811" s="14">
        <f>IF('05_层级表现LOD'!A311&lt;&gt;"","05_层级表现LOD","")</f>
        <v/>
      </c>
      <c r="D1811" s="14">
        <f>IF('05_层级表现LOD'!A311&lt;&gt;"",'05_层级表现LOD'!A311,"")</f>
        <v/>
      </c>
      <c r="E1811" s="14">
        <f>IF(F1811&lt;&gt;"","综合校验","")</f>
        <v/>
      </c>
      <c r="F1811" s="14">
        <f>IF('05_层级表现LOD'!A311&lt;&gt;"",IF('05_层级表现LOD'!A311="","缺少对象ID；","")&amp;IF('05_层级表现LOD'!B311="","缺少对象类别；","")&amp;IF(AND('05_层级表现LOD'!A311&lt;&gt;"",COUNTIF('02_固定地理'!$A$2:$A$501,'05_层级表现LOD'!A311)+COUNTIF('03_地点锚点'!$A$2:$A$501,'05_层级表现LOD'!A311)+COUNTIF('04_路径网络'!$A$2:$A$501,'05_层级表现LOD'!A311)+COUNTIF('06_建筑锚点'!$A$2:$A$501,'05_层级表现LOD'!A311)=0),"LOD引用对象不存在；","")&amp;IF(AND('05_层级表现LOD'!A311&lt;&gt;"",COUNTIF('05_层级表现LOD'!$A$2:$A$501,'05_层级表现LOD'!A311)&gt;1),"ID重复；",""),"")</f>
        <v/>
      </c>
      <c r="G1811" s="14">
        <f>IF(F1811&lt;&gt;"","按字段批注、数据字典和来源记录修正后复核","")</f>
        <v/>
      </c>
      <c r="H1811" s="14">
        <f>IF(F1811&lt;&gt;"","待处理","")</f>
        <v/>
      </c>
    </row>
    <row r="1812">
      <c r="A1812" s="14">
        <f>IF(F1812&lt;&gt;"","ISSUE-"&amp;TEXT(ROW()-1,"00000"),"")</f>
        <v/>
      </c>
      <c r="B1812" s="14">
        <f>IF(F1812&lt;&gt;"","错误","")</f>
        <v/>
      </c>
      <c r="C1812" s="14">
        <f>IF('05_层级表现LOD'!A312&lt;&gt;"","05_层级表现LOD","")</f>
        <v/>
      </c>
      <c r="D1812" s="14">
        <f>IF('05_层级表现LOD'!A312&lt;&gt;"",'05_层级表现LOD'!A312,"")</f>
        <v/>
      </c>
      <c r="E1812" s="14">
        <f>IF(F1812&lt;&gt;"","综合校验","")</f>
        <v/>
      </c>
      <c r="F1812" s="14">
        <f>IF('05_层级表现LOD'!A312&lt;&gt;"",IF('05_层级表现LOD'!A312="","缺少对象ID；","")&amp;IF('05_层级表现LOD'!B312="","缺少对象类别；","")&amp;IF(AND('05_层级表现LOD'!A312&lt;&gt;"",COUNTIF('02_固定地理'!$A$2:$A$501,'05_层级表现LOD'!A312)+COUNTIF('03_地点锚点'!$A$2:$A$501,'05_层级表现LOD'!A312)+COUNTIF('04_路径网络'!$A$2:$A$501,'05_层级表现LOD'!A312)+COUNTIF('06_建筑锚点'!$A$2:$A$501,'05_层级表现LOD'!A312)=0),"LOD引用对象不存在；","")&amp;IF(AND('05_层级表现LOD'!A312&lt;&gt;"",COUNTIF('05_层级表现LOD'!$A$2:$A$501,'05_层级表现LOD'!A312)&gt;1),"ID重复；",""),"")</f>
        <v/>
      </c>
      <c r="G1812" s="14">
        <f>IF(F1812&lt;&gt;"","按字段批注、数据字典和来源记录修正后复核","")</f>
        <v/>
      </c>
      <c r="H1812" s="14">
        <f>IF(F1812&lt;&gt;"","待处理","")</f>
        <v/>
      </c>
    </row>
    <row r="1813">
      <c r="A1813" s="14">
        <f>IF(F1813&lt;&gt;"","ISSUE-"&amp;TEXT(ROW()-1,"00000"),"")</f>
        <v/>
      </c>
      <c r="B1813" s="14">
        <f>IF(F1813&lt;&gt;"","错误","")</f>
        <v/>
      </c>
      <c r="C1813" s="14">
        <f>IF('05_层级表现LOD'!A313&lt;&gt;"","05_层级表现LOD","")</f>
        <v/>
      </c>
      <c r="D1813" s="14">
        <f>IF('05_层级表现LOD'!A313&lt;&gt;"",'05_层级表现LOD'!A313,"")</f>
        <v/>
      </c>
      <c r="E1813" s="14">
        <f>IF(F1813&lt;&gt;"","综合校验","")</f>
        <v/>
      </c>
      <c r="F1813" s="14">
        <f>IF('05_层级表现LOD'!A313&lt;&gt;"",IF('05_层级表现LOD'!A313="","缺少对象ID；","")&amp;IF('05_层级表现LOD'!B313="","缺少对象类别；","")&amp;IF(AND('05_层级表现LOD'!A313&lt;&gt;"",COUNTIF('02_固定地理'!$A$2:$A$501,'05_层级表现LOD'!A313)+COUNTIF('03_地点锚点'!$A$2:$A$501,'05_层级表现LOD'!A313)+COUNTIF('04_路径网络'!$A$2:$A$501,'05_层级表现LOD'!A313)+COUNTIF('06_建筑锚点'!$A$2:$A$501,'05_层级表现LOD'!A313)=0),"LOD引用对象不存在；","")&amp;IF(AND('05_层级表现LOD'!A313&lt;&gt;"",COUNTIF('05_层级表现LOD'!$A$2:$A$501,'05_层级表现LOD'!A313)&gt;1),"ID重复；",""),"")</f>
        <v/>
      </c>
      <c r="G1813" s="14">
        <f>IF(F1813&lt;&gt;"","按字段批注、数据字典和来源记录修正后复核","")</f>
        <v/>
      </c>
      <c r="H1813" s="14">
        <f>IF(F1813&lt;&gt;"","待处理","")</f>
        <v/>
      </c>
    </row>
    <row r="1814">
      <c r="A1814" s="14">
        <f>IF(F1814&lt;&gt;"","ISSUE-"&amp;TEXT(ROW()-1,"00000"),"")</f>
        <v/>
      </c>
      <c r="B1814" s="14">
        <f>IF(F1814&lt;&gt;"","错误","")</f>
        <v/>
      </c>
      <c r="C1814" s="14">
        <f>IF('05_层级表现LOD'!A314&lt;&gt;"","05_层级表现LOD","")</f>
        <v/>
      </c>
      <c r="D1814" s="14">
        <f>IF('05_层级表现LOD'!A314&lt;&gt;"",'05_层级表现LOD'!A314,"")</f>
        <v/>
      </c>
      <c r="E1814" s="14">
        <f>IF(F1814&lt;&gt;"","综合校验","")</f>
        <v/>
      </c>
      <c r="F1814" s="14">
        <f>IF('05_层级表现LOD'!A314&lt;&gt;"",IF('05_层级表现LOD'!A314="","缺少对象ID；","")&amp;IF('05_层级表现LOD'!B314="","缺少对象类别；","")&amp;IF(AND('05_层级表现LOD'!A314&lt;&gt;"",COUNTIF('02_固定地理'!$A$2:$A$501,'05_层级表现LOD'!A314)+COUNTIF('03_地点锚点'!$A$2:$A$501,'05_层级表现LOD'!A314)+COUNTIF('04_路径网络'!$A$2:$A$501,'05_层级表现LOD'!A314)+COUNTIF('06_建筑锚点'!$A$2:$A$501,'05_层级表现LOD'!A314)=0),"LOD引用对象不存在；","")&amp;IF(AND('05_层级表现LOD'!A314&lt;&gt;"",COUNTIF('05_层级表现LOD'!$A$2:$A$501,'05_层级表现LOD'!A314)&gt;1),"ID重复；",""),"")</f>
        <v/>
      </c>
      <c r="G1814" s="14">
        <f>IF(F1814&lt;&gt;"","按字段批注、数据字典和来源记录修正后复核","")</f>
        <v/>
      </c>
      <c r="H1814" s="14">
        <f>IF(F1814&lt;&gt;"","待处理","")</f>
        <v/>
      </c>
    </row>
    <row r="1815">
      <c r="A1815" s="14">
        <f>IF(F1815&lt;&gt;"","ISSUE-"&amp;TEXT(ROW()-1,"00000"),"")</f>
        <v/>
      </c>
      <c r="B1815" s="14">
        <f>IF(F1815&lt;&gt;"","错误","")</f>
        <v/>
      </c>
      <c r="C1815" s="14">
        <f>IF('05_层级表现LOD'!A315&lt;&gt;"","05_层级表现LOD","")</f>
        <v/>
      </c>
      <c r="D1815" s="14">
        <f>IF('05_层级表现LOD'!A315&lt;&gt;"",'05_层级表现LOD'!A315,"")</f>
        <v/>
      </c>
      <c r="E1815" s="14">
        <f>IF(F1815&lt;&gt;"","综合校验","")</f>
        <v/>
      </c>
      <c r="F1815" s="14">
        <f>IF('05_层级表现LOD'!A315&lt;&gt;"",IF('05_层级表现LOD'!A315="","缺少对象ID；","")&amp;IF('05_层级表现LOD'!B315="","缺少对象类别；","")&amp;IF(AND('05_层级表现LOD'!A315&lt;&gt;"",COUNTIF('02_固定地理'!$A$2:$A$501,'05_层级表现LOD'!A315)+COUNTIF('03_地点锚点'!$A$2:$A$501,'05_层级表现LOD'!A315)+COUNTIF('04_路径网络'!$A$2:$A$501,'05_层级表现LOD'!A315)+COUNTIF('06_建筑锚点'!$A$2:$A$501,'05_层级表现LOD'!A315)=0),"LOD引用对象不存在；","")&amp;IF(AND('05_层级表现LOD'!A315&lt;&gt;"",COUNTIF('05_层级表现LOD'!$A$2:$A$501,'05_层级表现LOD'!A315)&gt;1),"ID重复；",""),"")</f>
        <v/>
      </c>
      <c r="G1815" s="14">
        <f>IF(F1815&lt;&gt;"","按字段批注、数据字典和来源记录修正后复核","")</f>
        <v/>
      </c>
      <c r="H1815" s="14">
        <f>IF(F1815&lt;&gt;"","待处理","")</f>
        <v/>
      </c>
    </row>
    <row r="1816">
      <c r="A1816" s="14">
        <f>IF(F1816&lt;&gt;"","ISSUE-"&amp;TEXT(ROW()-1,"00000"),"")</f>
        <v/>
      </c>
      <c r="B1816" s="14">
        <f>IF(F1816&lt;&gt;"","错误","")</f>
        <v/>
      </c>
      <c r="C1816" s="14">
        <f>IF('05_层级表现LOD'!A316&lt;&gt;"","05_层级表现LOD","")</f>
        <v/>
      </c>
      <c r="D1816" s="14">
        <f>IF('05_层级表现LOD'!A316&lt;&gt;"",'05_层级表现LOD'!A316,"")</f>
        <v/>
      </c>
      <c r="E1816" s="14">
        <f>IF(F1816&lt;&gt;"","综合校验","")</f>
        <v/>
      </c>
      <c r="F1816" s="14">
        <f>IF('05_层级表现LOD'!A316&lt;&gt;"",IF('05_层级表现LOD'!A316="","缺少对象ID；","")&amp;IF('05_层级表现LOD'!B316="","缺少对象类别；","")&amp;IF(AND('05_层级表现LOD'!A316&lt;&gt;"",COUNTIF('02_固定地理'!$A$2:$A$501,'05_层级表现LOD'!A316)+COUNTIF('03_地点锚点'!$A$2:$A$501,'05_层级表现LOD'!A316)+COUNTIF('04_路径网络'!$A$2:$A$501,'05_层级表现LOD'!A316)+COUNTIF('06_建筑锚点'!$A$2:$A$501,'05_层级表现LOD'!A316)=0),"LOD引用对象不存在；","")&amp;IF(AND('05_层级表现LOD'!A316&lt;&gt;"",COUNTIF('05_层级表现LOD'!$A$2:$A$501,'05_层级表现LOD'!A316)&gt;1),"ID重复；",""),"")</f>
        <v/>
      </c>
      <c r="G1816" s="14">
        <f>IF(F1816&lt;&gt;"","按字段批注、数据字典和来源记录修正后复核","")</f>
        <v/>
      </c>
      <c r="H1816" s="14">
        <f>IF(F1816&lt;&gt;"","待处理","")</f>
        <v/>
      </c>
    </row>
    <row r="1817">
      <c r="A1817" s="14">
        <f>IF(F1817&lt;&gt;"","ISSUE-"&amp;TEXT(ROW()-1,"00000"),"")</f>
        <v/>
      </c>
      <c r="B1817" s="14">
        <f>IF(F1817&lt;&gt;"","错误","")</f>
        <v/>
      </c>
      <c r="C1817" s="14">
        <f>IF('05_层级表现LOD'!A317&lt;&gt;"","05_层级表现LOD","")</f>
        <v/>
      </c>
      <c r="D1817" s="14">
        <f>IF('05_层级表现LOD'!A317&lt;&gt;"",'05_层级表现LOD'!A317,"")</f>
        <v/>
      </c>
      <c r="E1817" s="14">
        <f>IF(F1817&lt;&gt;"","综合校验","")</f>
        <v/>
      </c>
      <c r="F1817" s="14">
        <f>IF('05_层级表现LOD'!A317&lt;&gt;"",IF('05_层级表现LOD'!A317="","缺少对象ID；","")&amp;IF('05_层级表现LOD'!B317="","缺少对象类别；","")&amp;IF(AND('05_层级表现LOD'!A317&lt;&gt;"",COUNTIF('02_固定地理'!$A$2:$A$501,'05_层级表现LOD'!A317)+COUNTIF('03_地点锚点'!$A$2:$A$501,'05_层级表现LOD'!A317)+COUNTIF('04_路径网络'!$A$2:$A$501,'05_层级表现LOD'!A317)+COUNTIF('06_建筑锚点'!$A$2:$A$501,'05_层级表现LOD'!A317)=0),"LOD引用对象不存在；","")&amp;IF(AND('05_层级表现LOD'!A317&lt;&gt;"",COUNTIF('05_层级表现LOD'!$A$2:$A$501,'05_层级表现LOD'!A317)&gt;1),"ID重复；",""),"")</f>
        <v/>
      </c>
      <c r="G1817" s="14">
        <f>IF(F1817&lt;&gt;"","按字段批注、数据字典和来源记录修正后复核","")</f>
        <v/>
      </c>
      <c r="H1817" s="14">
        <f>IF(F1817&lt;&gt;"","待处理","")</f>
        <v/>
      </c>
    </row>
    <row r="1818">
      <c r="A1818" s="14">
        <f>IF(F1818&lt;&gt;"","ISSUE-"&amp;TEXT(ROW()-1,"00000"),"")</f>
        <v/>
      </c>
      <c r="B1818" s="14">
        <f>IF(F1818&lt;&gt;"","错误","")</f>
        <v/>
      </c>
      <c r="C1818" s="14">
        <f>IF('05_层级表现LOD'!A318&lt;&gt;"","05_层级表现LOD","")</f>
        <v/>
      </c>
      <c r="D1818" s="14">
        <f>IF('05_层级表现LOD'!A318&lt;&gt;"",'05_层级表现LOD'!A318,"")</f>
        <v/>
      </c>
      <c r="E1818" s="14">
        <f>IF(F1818&lt;&gt;"","综合校验","")</f>
        <v/>
      </c>
      <c r="F1818" s="14">
        <f>IF('05_层级表现LOD'!A318&lt;&gt;"",IF('05_层级表现LOD'!A318="","缺少对象ID；","")&amp;IF('05_层级表现LOD'!B318="","缺少对象类别；","")&amp;IF(AND('05_层级表现LOD'!A318&lt;&gt;"",COUNTIF('02_固定地理'!$A$2:$A$501,'05_层级表现LOD'!A318)+COUNTIF('03_地点锚点'!$A$2:$A$501,'05_层级表现LOD'!A318)+COUNTIF('04_路径网络'!$A$2:$A$501,'05_层级表现LOD'!A318)+COUNTIF('06_建筑锚点'!$A$2:$A$501,'05_层级表现LOD'!A318)=0),"LOD引用对象不存在；","")&amp;IF(AND('05_层级表现LOD'!A318&lt;&gt;"",COUNTIF('05_层级表现LOD'!$A$2:$A$501,'05_层级表现LOD'!A318)&gt;1),"ID重复；",""),"")</f>
        <v/>
      </c>
      <c r="G1818" s="14">
        <f>IF(F1818&lt;&gt;"","按字段批注、数据字典和来源记录修正后复核","")</f>
        <v/>
      </c>
      <c r="H1818" s="14">
        <f>IF(F1818&lt;&gt;"","待处理","")</f>
        <v/>
      </c>
    </row>
    <row r="1819">
      <c r="A1819" s="14">
        <f>IF(F1819&lt;&gt;"","ISSUE-"&amp;TEXT(ROW()-1,"00000"),"")</f>
        <v/>
      </c>
      <c r="B1819" s="14">
        <f>IF(F1819&lt;&gt;"","错误","")</f>
        <v/>
      </c>
      <c r="C1819" s="14">
        <f>IF('05_层级表现LOD'!A319&lt;&gt;"","05_层级表现LOD","")</f>
        <v/>
      </c>
      <c r="D1819" s="14">
        <f>IF('05_层级表现LOD'!A319&lt;&gt;"",'05_层级表现LOD'!A319,"")</f>
        <v/>
      </c>
      <c r="E1819" s="14">
        <f>IF(F1819&lt;&gt;"","综合校验","")</f>
        <v/>
      </c>
      <c r="F1819" s="14">
        <f>IF('05_层级表现LOD'!A319&lt;&gt;"",IF('05_层级表现LOD'!A319="","缺少对象ID；","")&amp;IF('05_层级表现LOD'!B319="","缺少对象类别；","")&amp;IF(AND('05_层级表现LOD'!A319&lt;&gt;"",COUNTIF('02_固定地理'!$A$2:$A$501,'05_层级表现LOD'!A319)+COUNTIF('03_地点锚点'!$A$2:$A$501,'05_层级表现LOD'!A319)+COUNTIF('04_路径网络'!$A$2:$A$501,'05_层级表现LOD'!A319)+COUNTIF('06_建筑锚点'!$A$2:$A$501,'05_层级表现LOD'!A319)=0),"LOD引用对象不存在；","")&amp;IF(AND('05_层级表现LOD'!A319&lt;&gt;"",COUNTIF('05_层级表现LOD'!$A$2:$A$501,'05_层级表现LOD'!A319)&gt;1),"ID重复；",""),"")</f>
        <v/>
      </c>
      <c r="G1819" s="14">
        <f>IF(F1819&lt;&gt;"","按字段批注、数据字典和来源记录修正后复核","")</f>
        <v/>
      </c>
      <c r="H1819" s="14">
        <f>IF(F1819&lt;&gt;"","待处理","")</f>
        <v/>
      </c>
    </row>
    <row r="1820">
      <c r="A1820" s="14">
        <f>IF(F1820&lt;&gt;"","ISSUE-"&amp;TEXT(ROW()-1,"00000"),"")</f>
        <v/>
      </c>
      <c r="B1820" s="14">
        <f>IF(F1820&lt;&gt;"","错误","")</f>
        <v/>
      </c>
      <c r="C1820" s="14">
        <f>IF('05_层级表现LOD'!A320&lt;&gt;"","05_层级表现LOD","")</f>
        <v/>
      </c>
      <c r="D1820" s="14">
        <f>IF('05_层级表现LOD'!A320&lt;&gt;"",'05_层级表现LOD'!A320,"")</f>
        <v/>
      </c>
      <c r="E1820" s="14">
        <f>IF(F1820&lt;&gt;"","综合校验","")</f>
        <v/>
      </c>
      <c r="F1820" s="14">
        <f>IF('05_层级表现LOD'!A320&lt;&gt;"",IF('05_层级表现LOD'!A320="","缺少对象ID；","")&amp;IF('05_层级表现LOD'!B320="","缺少对象类别；","")&amp;IF(AND('05_层级表现LOD'!A320&lt;&gt;"",COUNTIF('02_固定地理'!$A$2:$A$501,'05_层级表现LOD'!A320)+COUNTIF('03_地点锚点'!$A$2:$A$501,'05_层级表现LOD'!A320)+COUNTIF('04_路径网络'!$A$2:$A$501,'05_层级表现LOD'!A320)+COUNTIF('06_建筑锚点'!$A$2:$A$501,'05_层级表现LOD'!A320)=0),"LOD引用对象不存在；","")&amp;IF(AND('05_层级表现LOD'!A320&lt;&gt;"",COUNTIF('05_层级表现LOD'!$A$2:$A$501,'05_层级表现LOD'!A320)&gt;1),"ID重复；",""),"")</f>
        <v/>
      </c>
      <c r="G1820" s="14">
        <f>IF(F1820&lt;&gt;"","按字段批注、数据字典和来源记录修正后复核","")</f>
        <v/>
      </c>
      <c r="H1820" s="14">
        <f>IF(F1820&lt;&gt;"","待处理","")</f>
        <v/>
      </c>
    </row>
    <row r="1821">
      <c r="A1821" s="14">
        <f>IF(F1821&lt;&gt;"","ISSUE-"&amp;TEXT(ROW()-1,"00000"),"")</f>
        <v/>
      </c>
      <c r="B1821" s="14">
        <f>IF(F1821&lt;&gt;"","错误","")</f>
        <v/>
      </c>
      <c r="C1821" s="14">
        <f>IF('05_层级表现LOD'!A321&lt;&gt;"","05_层级表现LOD","")</f>
        <v/>
      </c>
      <c r="D1821" s="14">
        <f>IF('05_层级表现LOD'!A321&lt;&gt;"",'05_层级表现LOD'!A321,"")</f>
        <v/>
      </c>
      <c r="E1821" s="14">
        <f>IF(F1821&lt;&gt;"","综合校验","")</f>
        <v/>
      </c>
      <c r="F1821" s="14">
        <f>IF('05_层级表现LOD'!A321&lt;&gt;"",IF('05_层级表现LOD'!A321="","缺少对象ID；","")&amp;IF('05_层级表现LOD'!B321="","缺少对象类别；","")&amp;IF(AND('05_层级表现LOD'!A321&lt;&gt;"",COUNTIF('02_固定地理'!$A$2:$A$501,'05_层级表现LOD'!A321)+COUNTIF('03_地点锚点'!$A$2:$A$501,'05_层级表现LOD'!A321)+COUNTIF('04_路径网络'!$A$2:$A$501,'05_层级表现LOD'!A321)+COUNTIF('06_建筑锚点'!$A$2:$A$501,'05_层级表现LOD'!A321)=0),"LOD引用对象不存在；","")&amp;IF(AND('05_层级表现LOD'!A321&lt;&gt;"",COUNTIF('05_层级表现LOD'!$A$2:$A$501,'05_层级表现LOD'!A321)&gt;1),"ID重复；",""),"")</f>
        <v/>
      </c>
      <c r="G1821" s="14">
        <f>IF(F1821&lt;&gt;"","按字段批注、数据字典和来源记录修正后复核","")</f>
        <v/>
      </c>
      <c r="H1821" s="14">
        <f>IF(F1821&lt;&gt;"","待处理","")</f>
        <v/>
      </c>
    </row>
    <row r="1822">
      <c r="A1822" s="14">
        <f>IF(F1822&lt;&gt;"","ISSUE-"&amp;TEXT(ROW()-1,"00000"),"")</f>
        <v/>
      </c>
      <c r="B1822" s="14">
        <f>IF(F1822&lt;&gt;"","错误","")</f>
        <v/>
      </c>
      <c r="C1822" s="14">
        <f>IF('05_层级表现LOD'!A322&lt;&gt;"","05_层级表现LOD","")</f>
        <v/>
      </c>
      <c r="D1822" s="14">
        <f>IF('05_层级表现LOD'!A322&lt;&gt;"",'05_层级表现LOD'!A322,"")</f>
        <v/>
      </c>
      <c r="E1822" s="14">
        <f>IF(F1822&lt;&gt;"","综合校验","")</f>
        <v/>
      </c>
      <c r="F1822" s="14">
        <f>IF('05_层级表现LOD'!A322&lt;&gt;"",IF('05_层级表现LOD'!A322="","缺少对象ID；","")&amp;IF('05_层级表现LOD'!B322="","缺少对象类别；","")&amp;IF(AND('05_层级表现LOD'!A322&lt;&gt;"",COUNTIF('02_固定地理'!$A$2:$A$501,'05_层级表现LOD'!A322)+COUNTIF('03_地点锚点'!$A$2:$A$501,'05_层级表现LOD'!A322)+COUNTIF('04_路径网络'!$A$2:$A$501,'05_层级表现LOD'!A322)+COUNTIF('06_建筑锚点'!$A$2:$A$501,'05_层级表现LOD'!A322)=0),"LOD引用对象不存在；","")&amp;IF(AND('05_层级表现LOD'!A322&lt;&gt;"",COUNTIF('05_层级表现LOD'!$A$2:$A$501,'05_层级表现LOD'!A322)&gt;1),"ID重复；",""),"")</f>
        <v/>
      </c>
      <c r="G1822" s="14">
        <f>IF(F1822&lt;&gt;"","按字段批注、数据字典和来源记录修正后复核","")</f>
        <v/>
      </c>
      <c r="H1822" s="14">
        <f>IF(F1822&lt;&gt;"","待处理","")</f>
        <v/>
      </c>
    </row>
    <row r="1823">
      <c r="A1823" s="14">
        <f>IF(F1823&lt;&gt;"","ISSUE-"&amp;TEXT(ROW()-1,"00000"),"")</f>
        <v/>
      </c>
      <c r="B1823" s="14">
        <f>IF(F1823&lt;&gt;"","错误","")</f>
        <v/>
      </c>
      <c r="C1823" s="14">
        <f>IF('05_层级表现LOD'!A323&lt;&gt;"","05_层级表现LOD","")</f>
        <v/>
      </c>
      <c r="D1823" s="14">
        <f>IF('05_层级表现LOD'!A323&lt;&gt;"",'05_层级表现LOD'!A323,"")</f>
        <v/>
      </c>
      <c r="E1823" s="14">
        <f>IF(F1823&lt;&gt;"","综合校验","")</f>
        <v/>
      </c>
      <c r="F1823" s="14">
        <f>IF('05_层级表现LOD'!A323&lt;&gt;"",IF('05_层级表现LOD'!A323="","缺少对象ID；","")&amp;IF('05_层级表现LOD'!B323="","缺少对象类别；","")&amp;IF(AND('05_层级表现LOD'!A323&lt;&gt;"",COUNTIF('02_固定地理'!$A$2:$A$501,'05_层级表现LOD'!A323)+COUNTIF('03_地点锚点'!$A$2:$A$501,'05_层级表现LOD'!A323)+COUNTIF('04_路径网络'!$A$2:$A$501,'05_层级表现LOD'!A323)+COUNTIF('06_建筑锚点'!$A$2:$A$501,'05_层级表现LOD'!A323)=0),"LOD引用对象不存在；","")&amp;IF(AND('05_层级表现LOD'!A323&lt;&gt;"",COUNTIF('05_层级表现LOD'!$A$2:$A$501,'05_层级表现LOD'!A323)&gt;1),"ID重复；",""),"")</f>
        <v/>
      </c>
      <c r="G1823" s="14">
        <f>IF(F1823&lt;&gt;"","按字段批注、数据字典和来源记录修正后复核","")</f>
        <v/>
      </c>
      <c r="H1823" s="14">
        <f>IF(F1823&lt;&gt;"","待处理","")</f>
        <v/>
      </c>
    </row>
    <row r="1824">
      <c r="A1824" s="14">
        <f>IF(F1824&lt;&gt;"","ISSUE-"&amp;TEXT(ROW()-1,"00000"),"")</f>
        <v/>
      </c>
      <c r="B1824" s="14">
        <f>IF(F1824&lt;&gt;"","错误","")</f>
        <v/>
      </c>
      <c r="C1824" s="14">
        <f>IF('05_层级表现LOD'!A324&lt;&gt;"","05_层级表现LOD","")</f>
        <v/>
      </c>
      <c r="D1824" s="14">
        <f>IF('05_层级表现LOD'!A324&lt;&gt;"",'05_层级表现LOD'!A324,"")</f>
        <v/>
      </c>
      <c r="E1824" s="14">
        <f>IF(F1824&lt;&gt;"","综合校验","")</f>
        <v/>
      </c>
      <c r="F1824" s="14">
        <f>IF('05_层级表现LOD'!A324&lt;&gt;"",IF('05_层级表现LOD'!A324="","缺少对象ID；","")&amp;IF('05_层级表现LOD'!B324="","缺少对象类别；","")&amp;IF(AND('05_层级表现LOD'!A324&lt;&gt;"",COUNTIF('02_固定地理'!$A$2:$A$501,'05_层级表现LOD'!A324)+COUNTIF('03_地点锚点'!$A$2:$A$501,'05_层级表现LOD'!A324)+COUNTIF('04_路径网络'!$A$2:$A$501,'05_层级表现LOD'!A324)+COUNTIF('06_建筑锚点'!$A$2:$A$501,'05_层级表现LOD'!A324)=0),"LOD引用对象不存在；","")&amp;IF(AND('05_层级表现LOD'!A324&lt;&gt;"",COUNTIF('05_层级表现LOD'!$A$2:$A$501,'05_层级表现LOD'!A324)&gt;1),"ID重复；",""),"")</f>
        <v/>
      </c>
      <c r="G1824" s="14">
        <f>IF(F1824&lt;&gt;"","按字段批注、数据字典和来源记录修正后复核","")</f>
        <v/>
      </c>
      <c r="H1824" s="14">
        <f>IF(F1824&lt;&gt;"","待处理","")</f>
        <v/>
      </c>
    </row>
    <row r="1825">
      <c r="A1825" s="14">
        <f>IF(F1825&lt;&gt;"","ISSUE-"&amp;TEXT(ROW()-1,"00000"),"")</f>
        <v/>
      </c>
      <c r="B1825" s="14">
        <f>IF(F1825&lt;&gt;"","错误","")</f>
        <v/>
      </c>
      <c r="C1825" s="14">
        <f>IF('05_层级表现LOD'!A325&lt;&gt;"","05_层级表现LOD","")</f>
        <v/>
      </c>
      <c r="D1825" s="14">
        <f>IF('05_层级表现LOD'!A325&lt;&gt;"",'05_层级表现LOD'!A325,"")</f>
        <v/>
      </c>
      <c r="E1825" s="14">
        <f>IF(F1825&lt;&gt;"","综合校验","")</f>
        <v/>
      </c>
      <c r="F1825" s="14">
        <f>IF('05_层级表现LOD'!A325&lt;&gt;"",IF('05_层级表现LOD'!A325="","缺少对象ID；","")&amp;IF('05_层级表现LOD'!B325="","缺少对象类别；","")&amp;IF(AND('05_层级表现LOD'!A325&lt;&gt;"",COUNTIF('02_固定地理'!$A$2:$A$501,'05_层级表现LOD'!A325)+COUNTIF('03_地点锚点'!$A$2:$A$501,'05_层级表现LOD'!A325)+COUNTIF('04_路径网络'!$A$2:$A$501,'05_层级表现LOD'!A325)+COUNTIF('06_建筑锚点'!$A$2:$A$501,'05_层级表现LOD'!A325)=0),"LOD引用对象不存在；","")&amp;IF(AND('05_层级表现LOD'!A325&lt;&gt;"",COUNTIF('05_层级表现LOD'!$A$2:$A$501,'05_层级表现LOD'!A325)&gt;1),"ID重复；",""),"")</f>
        <v/>
      </c>
      <c r="G1825" s="14">
        <f>IF(F1825&lt;&gt;"","按字段批注、数据字典和来源记录修正后复核","")</f>
        <v/>
      </c>
      <c r="H1825" s="14">
        <f>IF(F1825&lt;&gt;"","待处理","")</f>
        <v/>
      </c>
    </row>
    <row r="1826">
      <c r="A1826" s="14">
        <f>IF(F1826&lt;&gt;"","ISSUE-"&amp;TEXT(ROW()-1,"00000"),"")</f>
        <v/>
      </c>
      <c r="B1826" s="14">
        <f>IF(F1826&lt;&gt;"","错误","")</f>
        <v/>
      </c>
      <c r="C1826" s="14">
        <f>IF('05_层级表现LOD'!A326&lt;&gt;"","05_层级表现LOD","")</f>
        <v/>
      </c>
      <c r="D1826" s="14">
        <f>IF('05_层级表现LOD'!A326&lt;&gt;"",'05_层级表现LOD'!A326,"")</f>
        <v/>
      </c>
      <c r="E1826" s="14">
        <f>IF(F1826&lt;&gt;"","综合校验","")</f>
        <v/>
      </c>
      <c r="F1826" s="14">
        <f>IF('05_层级表现LOD'!A326&lt;&gt;"",IF('05_层级表现LOD'!A326="","缺少对象ID；","")&amp;IF('05_层级表现LOD'!B326="","缺少对象类别；","")&amp;IF(AND('05_层级表现LOD'!A326&lt;&gt;"",COUNTIF('02_固定地理'!$A$2:$A$501,'05_层级表现LOD'!A326)+COUNTIF('03_地点锚点'!$A$2:$A$501,'05_层级表现LOD'!A326)+COUNTIF('04_路径网络'!$A$2:$A$501,'05_层级表现LOD'!A326)+COUNTIF('06_建筑锚点'!$A$2:$A$501,'05_层级表现LOD'!A326)=0),"LOD引用对象不存在；","")&amp;IF(AND('05_层级表现LOD'!A326&lt;&gt;"",COUNTIF('05_层级表现LOD'!$A$2:$A$501,'05_层级表现LOD'!A326)&gt;1),"ID重复；",""),"")</f>
        <v/>
      </c>
      <c r="G1826" s="14">
        <f>IF(F1826&lt;&gt;"","按字段批注、数据字典和来源记录修正后复核","")</f>
        <v/>
      </c>
      <c r="H1826" s="14">
        <f>IF(F1826&lt;&gt;"","待处理","")</f>
        <v/>
      </c>
    </row>
    <row r="1827">
      <c r="A1827" s="14">
        <f>IF(F1827&lt;&gt;"","ISSUE-"&amp;TEXT(ROW()-1,"00000"),"")</f>
        <v/>
      </c>
      <c r="B1827" s="14">
        <f>IF(F1827&lt;&gt;"","错误","")</f>
        <v/>
      </c>
      <c r="C1827" s="14">
        <f>IF('05_层级表现LOD'!A327&lt;&gt;"","05_层级表现LOD","")</f>
        <v/>
      </c>
      <c r="D1827" s="14">
        <f>IF('05_层级表现LOD'!A327&lt;&gt;"",'05_层级表现LOD'!A327,"")</f>
        <v/>
      </c>
      <c r="E1827" s="14">
        <f>IF(F1827&lt;&gt;"","综合校验","")</f>
        <v/>
      </c>
      <c r="F1827" s="14">
        <f>IF('05_层级表现LOD'!A327&lt;&gt;"",IF('05_层级表现LOD'!A327="","缺少对象ID；","")&amp;IF('05_层级表现LOD'!B327="","缺少对象类别；","")&amp;IF(AND('05_层级表现LOD'!A327&lt;&gt;"",COUNTIF('02_固定地理'!$A$2:$A$501,'05_层级表现LOD'!A327)+COUNTIF('03_地点锚点'!$A$2:$A$501,'05_层级表现LOD'!A327)+COUNTIF('04_路径网络'!$A$2:$A$501,'05_层级表现LOD'!A327)+COUNTIF('06_建筑锚点'!$A$2:$A$501,'05_层级表现LOD'!A327)=0),"LOD引用对象不存在；","")&amp;IF(AND('05_层级表现LOD'!A327&lt;&gt;"",COUNTIF('05_层级表现LOD'!$A$2:$A$501,'05_层级表现LOD'!A327)&gt;1),"ID重复；",""),"")</f>
        <v/>
      </c>
      <c r="G1827" s="14">
        <f>IF(F1827&lt;&gt;"","按字段批注、数据字典和来源记录修正后复核","")</f>
        <v/>
      </c>
      <c r="H1827" s="14">
        <f>IF(F1827&lt;&gt;"","待处理","")</f>
        <v/>
      </c>
    </row>
    <row r="1828">
      <c r="A1828" s="14">
        <f>IF(F1828&lt;&gt;"","ISSUE-"&amp;TEXT(ROW()-1,"00000"),"")</f>
        <v/>
      </c>
      <c r="B1828" s="14">
        <f>IF(F1828&lt;&gt;"","错误","")</f>
        <v/>
      </c>
      <c r="C1828" s="14">
        <f>IF('05_层级表现LOD'!A328&lt;&gt;"","05_层级表现LOD","")</f>
        <v/>
      </c>
      <c r="D1828" s="14">
        <f>IF('05_层级表现LOD'!A328&lt;&gt;"",'05_层级表现LOD'!A328,"")</f>
        <v/>
      </c>
      <c r="E1828" s="14">
        <f>IF(F1828&lt;&gt;"","综合校验","")</f>
        <v/>
      </c>
      <c r="F1828" s="14">
        <f>IF('05_层级表现LOD'!A328&lt;&gt;"",IF('05_层级表现LOD'!A328="","缺少对象ID；","")&amp;IF('05_层级表现LOD'!B328="","缺少对象类别；","")&amp;IF(AND('05_层级表现LOD'!A328&lt;&gt;"",COUNTIF('02_固定地理'!$A$2:$A$501,'05_层级表现LOD'!A328)+COUNTIF('03_地点锚点'!$A$2:$A$501,'05_层级表现LOD'!A328)+COUNTIF('04_路径网络'!$A$2:$A$501,'05_层级表现LOD'!A328)+COUNTIF('06_建筑锚点'!$A$2:$A$501,'05_层级表现LOD'!A328)=0),"LOD引用对象不存在；","")&amp;IF(AND('05_层级表现LOD'!A328&lt;&gt;"",COUNTIF('05_层级表现LOD'!$A$2:$A$501,'05_层级表现LOD'!A328)&gt;1),"ID重复；",""),"")</f>
        <v/>
      </c>
      <c r="G1828" s="14">
        <f>IF(F1828&lt;&gt;"","按字段批注、数据字典和来源记录修正后复核","")</f>
        <v/>
      </c>
      <c r="H1828" s="14">
        <f>IF(F1828&lt;&gt;"","待处理","")</f>
        <v/>
      </c>
    </row>
    <row r="1829">
      <c r="A1829" s="14">
        <f>IF(F1829&lt;&gt;"","ISSUE-"&amp;TEXT(ROW()-1,"00000"),"")</f>
        <v/>
      </c>
      <c r="B1829" s="14">
        <f>IF(F1829&lt;&gt;"","错误","")</f>
        <v/>
      </c>
      <c r="C1829" s="14">
        <f>IF('05_层级表现LOD'!A329&lt;&gt;"","05_层级表现LOD","")</f>
        <v/>
      </c>
      <c r="D1829" s="14">
        <f>IF('05_层级表现LOD'!A329&lt;&gt;"",'05_层级表现LOD'!A329,"")</f>
        <v/>
      </c>
      <c r="E1829" s="14">
        <f>IF(F1829&lt;&gt;"","综合校验","")</f>
        <v/>
      </c>
      <c r="F1829" s="14">
        <f>IF('05_层级表现LOD'!A329&lt;&gt;"",IF('05_层级表现LOD'!A329="","缺少对象ID；","")&amp;IF('05_层级表现LOD'!B329="","缺少对象类别；","")&amp;IF(AND('05_层级表现LOD'!A329&lt;&gt;"",COUNTIF('02_固定地理'!$A$2:$A$501,'05_层级表现LOD'!A329)+COUNTIF('03_地点锚点'!$A$2:$A$501,'05_层级表现LOD'!A329)+COUNTIF('04_路径网络'!$A$2:$A$501,'05_层级表现LOD'!A329)+COUNTIF('06_建筑锚点'!$A$2:$A$501,'05_层级表现LOD'!A329)=0),"LOD引用对象不存在；","")&amp;IF(AND('05_层级表现LOD'!A329&lt;&gt;"",COUNTIF('05_层级表现LOD'!$A$2:$A$501,'05_层级表现LOD'!A329)&gt;1),"ID重复；",""),"")</f>
        <v/>
      </c>
      <c r="G1829" s="14">
        <f>IF(F1829&lt;&gt;"","按字段批注、数据字典和来源记录修正后复核","")</f>
        <v/>
      </c>
      <c r="H1829" s="14">
        <f>IF(F1829&lt;&gt;"","待处理","")</f>
        <v/>
      </c>
    </row>
    <row r="1830">
      <c r="A1830" s="14">
        <f>IF(F1830&lt;&gt;"","ISSUE-"&amp;TEXT(ROW()-1,"00000"),"")</f>
        <v/>
      </c>
      <c r="B1830" s="14">
        <f>IF(F1830&lt;&gt;"","错误","")</f>
        <v/>
      </c>
      <c r="C1830" s="14">
        <f>IF('05_层级表现LOD'!A330&lt;&gt;"","05_层级表现LOD","")</f>
        <v/>
      </c>
      <c r="D1830" s="14">
        <f>IF('05_层级表现LOD'!A330&lt;&gt;"",'05_层级表现LOD'!A330,"")</f>
        <v/>
      </c>
      <c r="E1830" s="14">
        <f>IF(F1830&lt;&gt;"","综合校验","")</f>
        <v/>
      </c>
      <c r="F1830" s="14">
        <f>IF('05_层级表现LOD'!A330&lt;&gt;"",IF('05_层级表现LOD'!A330="","缺少对象ID；","")&amp;IF('05_层级表现LOD'!B330="","缺少对象类别；","")&amp;IF(AND('05_层级表现LOD'!A330&lt;&gt;"",COUNTIF('02_固定地理'!$A$2:$A$501,'05_层级表现LOD'!A330)+COUNTIF('03_地点锚点'!$A$2:$A$501,'05_层级表现LOD'!A330)+COUNTIF('04_路径网络'!$A$2:$A$501,'05_层级表现LOD'!A330)+COUNTIF('06_建筑锚点'!$A$2:$A$501,'05_层级表现LOD'!A330)=0),"LOD引用对象不存在；","")&amp;IF(AND('05_层级表现LOD'!A330&lt;&gt;"",COUNTIF('05_层级表现LOD'!$A$2:$A$501,'05_层级表现LOD'!A330)&gt;1),"ID重复；",""),"")</f>
        <v/>
      </c>
      <c r="G1830" s="14">
        <f>IF(F1830&lt;&gt;"","按字段批注、数据字典和来源记录修正后复核","")</f>
        <v/>
      </c>
      <c r="H1830" s="14">
        <f>IF(F1830&lt;&gt;"","待处理","")</f>
        <v/>
      </c>
    </row>
    <row r="1831">
      <c r="A1831" s="14">
        <f>IF(F1831&lt;&gt;"","ISSUE-"&amp;TEXT(ROW()-1,"00000"),"")</f>
        <v/>
      </c>
      <c r="B1831" s="14">
        <f>IF(F1831&lt;&gt;"","错误","")</f>
        <v/>
      </c>
      <c r="C1831" s="14">
        <f>IF('05_层级表现LOD'!A331&lt;&gt;"","05_层级表现LOD","")</f>
        <v/>
      </c>
      <c r="D1831" s="14">
        <f>IF('05_层级表现LOD'!A331&lt;&gt;"",'05_层级表现LOD'!A331,"")</f>
        <v/>
      </c>
      <c r="E1831" s="14">
        <f>IF(F1831&lt;&gt;"","综合校验","")</f>
        <v/>
      </c>
      <c r="F1831" s="14">
        <f>IF('05_层级表现LOD'!A331&lt;&gt;"",IF('05_层级表现LOD'!A331="","缺少对象ID；","")&amp;IF('05_层级表现LOD'!B331="","缺少对象类别；","")&amp;IF(AND('05_层级表现LOD'!A331&lt;&gt;"",COUNTIF('02_固定地理'!$A$2:$A$501,'05_层级表现LOD'!A331)+COUNTIF('03_地点锚点'!$A$2:$A$501,'05_层级表现LOD'!A331)+COUNTIF('04_路径网络'!$A$2:$A$501,'05_层级表现LOD'!A331)+COUNTIF('06_建筑锚点'!$A$2:$A$501,'05_层级表现LOD'!A331)=0),"LOD引用对象不存在；","")&amp;IF(AND('05_层级表现LOD'!A331&lt;&gt;"",COUNTIF('05_层级表现LOD'!$A$2:$A$501,'05_层级表现LOD'!A331)&gt;1),"ID重复；",""),"")</f>
        <v/>
      </c>
      <c r="G1831" s="14">
        <f>IF(F1831&lt;&gt;"","按字段批注、数据字典和来源记录修正后复核","")</f>
        <v/>
      </c>
      <c r="H1831" s="14">
        <f>IF(F1831&lt;&gt;"","待处理","")</f>
        <v/>
      </c>
    </row>
    <row r="1832">
      <c r="A1832" s="14">
        <f>IF(F1832&lt;&gt;"","ISSUE-"&amp;TEXT(ROW()-1,"00000"),"")</f>
        <v/>
      </c>
      <c r="B1832" s="14">
        <f>IF(F1832&lt;&gt;"","错误","")</f>
        <v/>
      </c>
      <c r="C1832" s="14">
        <f>IF('05_层级表现LOD'!A332&lt;&gt;"","05_层级表现LOD","")</f>
        <v/>
      </c>
      <c r="D1832" s="14">
        <f>IF('05_层级表现LOD'!A332&lt;&gt;"",'05_层级表现LOD'!A332,"")</f>
        <v/>
      </c>
      <c r="E1832" s="14">
        <f>IF(F1832&lt;&gt;"","综合校验","")</f>
        <v/>
      </c>
      <c r="F1832" s="14">
        <f>IF('05_层级表现LOD'!A332&lt;&gt;"",IF('05_层级表现LOD'!A332="","缺少对象ID；","")&amp;IF('05_层级表现LOD'!B332="","缺少对象类别；","")&amp;IF(AND('05_层级表现LOD'!A332&lt;&gt;"",COUNTIF('02_固定地理'!$A$2:$A$501,'05_层级表现LOD'!A332)+COUNTIF('03_地点锚点'!$A$2:$A$501,'05_层级表现LOD'!A332)+COUNTIF('04_路径网络'!$A$2:$A$501,'05_层级表现LOD'!A332)+COUNTIF('06_建筑锚点'!$A$2:$A$501,'05_层级表现LOD'!A332)=0),"LOD引用对象不存在；","")&amp;IF(AND('05_层级表现LOD'!A332&lt;&gt;"",COUNTIF('05_层级表现LOD'!$A$2:$A$501,'05_层级表现LOD'!A332)&gt;1),"ID重复；",""),"")</f>
        <v/>
      </c>
      <c r="G1832" s="14">
        <f>IF(F1832&lt;&gt;"","按字段批注、数据字典和来源记录修正后复核","")</f>
        <v/>
      </c>
      <c r="H1832" s="14">
        <f>IF(F1832&lt;&gt;"","待处理","")</f>
        <v/>
      </c>
    </row>
    <row r="1833">
      <c r="A1833" s="14">
        <f>IF(F1833&lt;&gt;"","ISSUE-"&amp;TEXT(ROW()-1,"00000"),"")</f>
        <v/>
      </c>
      <c r="B1833" s="14">
        <f>IF(F1833&lt;&gt;"","错误","")</f>
        <v/>
      </c>
      <c r="C1833" s="14">
        <f>IF('05_层级表现LOD'!A333&lt;&gt;"","05_层级表现LOD","")</f>
        <v/>
      </c>
      <c r="D1833" s="14">
        <f>IF('05_层级表现LOD'!A333&lt;&gt;"",'05_层级表现LOD'!A333,"")</f>
        <v/>
      </c>
      <c r="E1833" s="14">
        <f>IF(F1833&lt;&gt;"","综合校验","")</f>
        <v/>
      </c>
      <c r="F1833" s="14">
        <f>IF('05_层级表现LOD'!A333&lt;&gt;"",IF('05_层级表现LOD'!A333="","缺少对象ID；","")&amp;IF('05_层级表现LOD'!B333="","缺少对象类别；","")&amp;IF(AND('05_层级表现LOD'!A333&lt;&gt;"",COUNTIF('02_固定地理'!$A$2:$A$501,'05_层级表现LOD'!A333)+COUNTIF('03_地点锚点'!$A$2:$A$501,'05_层级表现LOD'!A333)+COUNTIF('04_路径网络'!$A$2:$A$501,'05_层级表现LOD'!A333)+COUNTIF('06_建筑锚点'!$A$2:$A$501,'05_层级表现LOD'!A333)=0),"LOD引用对象不存在；","")&amp;IF(AND('05_层级表现LOD'!A333&lt;&gt;"",COUNTIF('05_层级表现LOD'!$A$2:$A$501,'05_层级表现LOD'!A333)&gt;1),"ID重复；",""),"")</f>
        <v/>
      </c>
      <c r="G1833" s="14">
        <f>IF(F1833&lt;&gt;"","按字段批注、数据字典和来源记录修正后复核","")</f>
        <v/>
      </c>
      <c r="H1833" s="14">
        <f>IF(F1833&lt;&gt;"","待处理","")</f>
        <v/>
      </c>
    </row>
    <row r="1834">
      <c r="A1834" s="14">
        <f>IF(F1834&lt;&gt;"","ISSUE-"&amp;TEXT(ROW()-1,"00000"),"")</f>
        <v/>
      </c>
      <c r="B1834" s="14">
        <f>IF(F1834&lt;&gt;"","错误","")</f>
        <v/>
      </c>
      <c r="C1834" s="14">
        <f>IF('05_层级表现LOD'!A334&lt;&gt;"","05_层级表现LOD","")</f>
        <v/>
      </c>
      <c r="D1834" s="14">
        <f>IF('05_层级表现LOD'!A334&lt;&gt;"",'05_层级表现LOD'!A334,"")</f>
        <v/>
      </c>
      <c r="E1834" s="14">
        <f>IF(F1834&lt;&gt;"","综合校验","")</f>
        <v/>
      </c>
      <c r="F1834" s="14">
        <f>IF('05_层级表现LOD'!A334&lt;&gt;"",IF('05_层级表现LOD'!A334="","缺少对象ID；","")&amp;IF('05_层级表现LOD'!B334="","缺少对象类别；","")&amp;IF(AND('05_层级表现LOD'!A334&lt;&gt;"",COUNTIF('02_固定地理'!$A$2:$A$501,'05_层级表现LOD'!A334)+COUNTIF('03_地点锚点'!$A$2:$A$501,'05_层级表现LOD'!A334)+COUNTIF('04_路径网络'!$A$2:$A$501,'05_层级表现LOD'!A334)+COUNTIF('06_建筑锚点'!$A$2:$A$501,'05_层级表现LOD'!A334)=0),"LOD引用对象不存在；","")&amp;IF(AND('05_层级表现LOD'!A334&lt;&gt;"",COUNTIF('05_层级表现LOD'!$A$2:$A$501,'05_层级表现LOD'!A334)&gt;1),"ID重复；",""),"")</f>
        <v/>
      </c>
      <c r="G1834" s="14">
        <f>IF(F1834&lt;&gt;"","按字段批注、数据字典和来源记录修正后复核","")</f>
        <v/>
      </c>
      <c r="H1834" s="14">
        <f>IF(F1834&lt;&gt;"","待处理","")</f>
        <v/>
      </c>
    </row>
    <row r="1835">
      <c r="A1835" s="14">
        <f>IF(F1835&lt;&gt;"","ISSUE-"&amp;TEXT(ROW()-1,"00000"),"")</f>
        <v/>
      </c>
      <c r="B1835" s="14">
        <f>IF(F1835&lt;&gt;"","错误","")</f>
        <v/>
      </c>
      <c r="C1835" s="14">
        <f>IF('05_层级表现LOD'!A335&lt;&gt;"","05_层级表现LOD","")</f>
        <v/>
      </c>
      <c r="D1835" s="14">
        <f>IF('05_层级表现LOD'!A335&lt;&gt;"",'05_层级表现LOD'!A335,"")</f>
        <v/>
      </c>
      <c r="E1835" s="14">
        <f>IF(F1835&lt;&gt;"","综合校验","")</f>
        <v/>
      </c>
      <c r="F1835" s="14">
        <f>IF('05_层级表现LOD'!A335&lt;&gt;"",IF('05_层级表现LOD'!A335="","缺少对象ID；","")&amp;IF('05_层级表现LOD'!B335="","缺少对象类别；","")&amp;IF(AND('05_层级表现LOD'!A335&lt;&gt;"",COUNTIF('02_固定地理'!$A$2:$A$501,'05_层级表现LOD'!A335)+COUNTIF('03_地点锚点'!$A$2:$A$501,'05_层级表现LOD'!A335)+COUNTIF('04_路径网络'!$A$2:$A$501,'05_层级表现LOD'!A335)+COUNTIF('06_建筑锚点'!$A$2:$A$501,'05_层级表现LOD'!A335)=0),"LOD引用对象不存在；","")&amp;IF(AND('05_层级表现LOD'!A335&lt;&gt;"",COUNTIF('05_层级表现LOD'!$A$2:$A$501,'05_层级表现LOD'!A335)&gt;1),"ID重复；",""),"")</f>
        <v/>
      </c>
      <c r="G1835" s="14">
        <f>IF(F1835&lt;&gt;"","按字段批注、数据字典和来源记录修正后复核","")</f>
        <v/>
      </c>
      <c r="H1835" s="14">
        <f>IF(F1835&lt;&gt;"","待处理","")</f>
        <v/>
      </c>
    </row>
    <row r="1836">
      <c r="A1836" s="14">
        <f>IF(F1836&lt;&gt;"","ISSUE-"&amp;TEXT(ROW()-1,"00000"),"")</f>
        <v/>
      </c>
      <c r="B1836" s="14">
        <f>IF(F1836&lt;&gt;"","错误","")</f>
        <v/>
      </c>
      <c r="C1836" s="14">
        <f>IF('05_层级表现LOD'!A336&lt;&gt;"","05_层级表现LOD","")</f>
        <v/>
      </c>
      <c r="D1836" s="14">
        <f>IF('05_层级表现LOD'!A336&lt;&gt;"",'05_层级表现LOD'!A336,"")</f>
        <v/>
      </c>
      <c r="E1836" s="14">
        <f>IF(F1836&lt;&gt;"","综合校验","")</f>
        <v/>
      </c>
      <c r="F1836" s="14">
        <f>IF('05_层级表现LOD'!A336&lt;&gt;"",IF('05_层级表现LOD'!A336="","缺少对象ID；","")&amp;IF('05_层级表现LOD'!B336="","缺少对象类别；","")&amp;IF(AND('05_层级表现LOD'!A336&lt;&gt;"",COUNTIF('02_固定地理'!$A$2:$A$501,'05_层级表现LOD'!A336)+COUNTIF('03_地点锚点'!$A$2:$A$501,'05_层级表现LOD'!A336)+COUNTIF('04_路径网络'!$A$2:$A$501,'05_层级表现LOD'!A336)+COUNTIF('06_建筑锚点'!$A$2:$A$501,'05_层级表现LOD'!A336)=0),"LOD引用对象不存在；","")&amp;IF(AND('05_层级表现LOD'!A336&lt;&gt;"",COUNTIF('05_层级表现LOD'!$A$2:$A$501,'05_层级表现LOD'!A336)&gt;1),"ID重复；",""),"")</f>
        <v/>
      </c>
      <c r="G1836" s="14">
        <f>IF(F1836&lt;&gt;"","按字段批注、数据字典和来源记录修正后复核","")</f>
        <v/>
      </c>
      <c r="H1836" s="14">
        <f>IF(F1836&lt;&gt;"","待处理","")</f>
        <v/>
      </c>
    </row>
    <row r="1837">
      <c r="A1837" s="14">
        <f>IF(F1837&lt;&gt;"","ISSUE-"&amp;TEXT(ROW()-1,"00000"),"")</f>
        <v/>
      </c>
      <c r="B1837" s="14">
        <f>IF(F1837&lt;&gt;"","错误","")</f>
        <v/>
      </c>
      <c r="C1837" s="14">
        <f>IF('05_层级表现LOD'!A337&lt;&gt;"","05_层级表现LOD","")</f>
        <v/>
      </c>
      <c r="D1837" s="14">
        <f>IF('05_层级表现LOD'!A337&lt;&gt;"",'05_层级表现LOD'!A337,"")</f>
        <v/>
      </c>
      <c r="E1837" s="14">
        <f>IF(F1837&lt;&gt;"","综合校验","")</f>
        <v/>
      </c>
      <c r="F1837" s="14">
        <f>IF('05_层级表现LOD'!A337&lt;&gt;"",IF('05_层级表现LOD'!A337="","缺少对象ID；","")&amp;IF('05_层级表现LOD'!B337="","缺少对象类别；","")&amp;IF(AND('05_层级表现LOD'!A337&lt;&gt;"",COUNTIF('02_固定地理'!$A$2:$A$501,'05_层级表现LOD'!A337)+COUNTIF('03_地点锚点'!$A$2:$A$501,'05_层级表现LOD'!A337)+COUNTIF('04_路径网络'!$A$2:$A$501,'05_层级表现LOD'!A337)+COUNTIF('06_建筑锚点'!$A$2:$A$501,'05_层级表现LOD'!A337)=0),"LOD引用对象不存在；","")&amp;IF(AND('05_层级表现LOD'!A337&lt;&gt;"",COUNTIF('05_层级表现LOD'!$A$2:$A$501,'05_层级表现LOD'!A337)&gt;1),"ID重复；",""),"")</f>
        <v/>
      </c>
      <c r="G1837" s="14">
        <f>IF(F1837&lt;&gt;"","按字段批注、数据字典和来源记录修正后复核","")</f>
        <v/>
      </c>
      <c r="H1837" s="14">
        <f>IF(F1837&lt;&gt;"","待处理","")</f>
        <v/>
      </c>
    </row>
    <row r="1838">
      <c r="A1838" s="14">
        <f>IF(F1838&lt;&gt;"","ISSUE-"&amp;TEXT(ROW()-1,"00000"),"")</f>
        <v/>
      </c>
      <c r="B1838" s="14">
        <f>IF(F1838&lt;&gt;"","错误","")</f>
        <v/>
      </c>
      <c r="C1838" s="14">
        <f>IF('05_层级表现LOD'!A338&lt;&gt;"","05_层级表现LOD","")</f>
        <v/>
      </c>
      <c r="D1838" s="14">
        <f>IF('05_层级表现LOD'!A338&lt;&gt;"",'05_层级表现LOD'!A338,"")</f>
        <v/>
      </c>
      <c r="E1838" s="14">
        <f>IF(F1838&lt;&gt;"","综合校验","")</f>
        <v/>
      </c>
      <c r="F1838" s="14">
        <f>IF('05_层级表现LOD'!A338&lt;&gt;"",IF('05_层级表现LOD'!A338="","缺少对象ID；","")&amp;IF('05_层级表现LOD'!B338="","缺少对象类别；","")&amp;IF(AND('05_层级表现LOD'!A338&lt;&gt;"",COUNTIF('02_固定地理'!$A$2:$A$501,'05_层级表现LOD'!A338)+COUNTIF('03_地点锚点'!$A$2:$A$501,'05_层级表现LOD'!A338)+COUNTIF('04_路径网络'!$A$2:$A$501,'05_层级表现LOD'!A338)+COUNTIF('06_建筑锚点'!$A$2:$A$501,'05_层级表现LOD'!A338)=0),"LOD引用对象不存在；","")&amp;IF(AND('05_层级表现LOD'!A338&lt;&gt;"",COUNTIF('05_层级表现LOD'!$A$2:$A$501,'05_层级表现LOD'!A338)&gt;1),"ID重复；",""),"")</f>
        <v/>
      </c>
      <c r="G1838" s="14">
        <f>IF(F1838&lt;&gt;"","按字段批注、数据字典和来源记录修正后复核","")</f>
        <v/>
      </c>
      <c r="H1838" s="14">
        <f>IF(F1838&lt;&gt;"","待处理","")</f>
        <v/>
      </c>
    </row>
    <row r="1839">
      <c r="A1839" s="14">
        <f>IF(F1839&lt;&gt;"","ISSUE-"&amp;TEXT(ROW()-1,"00000"),"")</f>
        <v/>
      </c>
      <c r="B1839" s="14">
        <f>IF(F1839&lt;&gt;"","错误","")</f>
        <v/>
      </c>
      <c r="C1839" s="14">
        <f>IF('05_层级表现LOD'!A339&lt;&gt;"","05_层级表现LOD","")</f>
        <v/>
      </c>
      <c r="D1839" s="14">
        <f>IF('05_层级表现LOD'!A339&lt;&gt;"",'05_层级表现LOD'!A339,"")</f>
        <v/>
      </c>
      <c r="E1839" s="14">
        <f>IF(F1839&lt;&gt;"","综合校验","")</f>
        <v/>
      </c>
      <c r="F1839" s="14">
        <f>IF('05_层级表现LOD'!A339&lt;&gt;"",IF('05_层级表现LOD'!A339="","缺少对象ID；","")&amp;IF('05_层级表现LOD'!B339="","缺少对象类别；","")&amp;IF(AND('05_层级表现LOD'!A339&lt;&gt;"",COUNTIF('02_固定地理'!$A$2:$A$501,'05_层级表现LOD'!A339)+COUNTIF('03_地点锚点'!$A$2:$A$501,'05_层级表现LOD'!A339)+COUNTIF('04_路径网络'!$A$2:$A$501,'05_层级表现LOD'!A339)+COUNTIF('06_建筑锚点'!$A$2:$A$501,'05_层级表现LOD'!A339)=0),"LOD引用对象不存在；","")&amp;IF(AND('05_层级表现LOD'!A339&lt;&gt;"",COUNTIF('05_层级表现LOD'!$A$2:$A$501,'05_层级表现LOD'!A339)&gt;1),"ID重复；",""),"")</f>
        <v/>
      </c>
      <c r="G1839" s="14">
        <f>IF(F1839&lt;&gt;"","按字段批注、数据字典和来源记录修正后复核","")</f>
        <v/>
      </c>
      <c r="H1839" s="14">
        <f>IF(F1839&lt;&gt;"","待处理","")</f>
        <v/>
      </c>
    </row>
    <row r="1840">
      <c r="A1840" s="14">
        <f>IF(F1840&lt;&gt;"","ISSUE-"&amp;TEXT(ROW()-1,"00000"),"")</f>
        <v/>
      </c>
      <c r="B1840" s="14">
        <f>IF(F1840&lt;&gt;"","错误","")</f>
        <v/>
      </c>
      <c r="C1840" s="14">
        <f>IF('05_层级表现LOD'!A340&lt;&gt;"","05_层级表现LOD","")</f>
        <v/>
      </c>
      <c r="D1840" s="14">
        <f>IF('05_层级表现LOD'!A340&lt;&gt;"",'05_层级表现LOD'!A340,"")</f>
        <v/>
      </c>
      <c r="E1840" s="14">
        <f>IF(F1840&lt;&gt;"","综合校验","")</f>
        <v/>
      </c>
      <c r="F1840" s="14">
        <f>IF('05_层级表现LOD'!A340&lt;&gt;"",IF('05_层级表现LOD'!A340="","缺少对象ID；","")&amp;IF('05_层级表现LOD'!B340="","缺少对象类别；","")&amp;IF(AND('05_层级表现LOD'!A340&lt;&gt;"",COUNTIF('02_固定地理'!$A$2:$A$501,'05_层级表现LOD'!A340)+COUNTIF('03_地点锚点'!$A$2:$A$501,'05_层级表现LOD'!A340)+COUNTIF('04_路径网络'!$A$2:$A$501,'05_层级表现LOD'!A340)+COUNTIF('06_建筑锚点'!$A$2:$A$501,'05_层级表现LOD'!A340)=0),"LOD引用对象不存在；","")&amp;IF(AND('05_层级表现LOD'!A340&lt;&gt;"",COUNTIF('05_层级表现LOD'!$A$2:$A$501,'05_层级表现LOD'!A340)&gt;1),"ID重复；",""),"")</f>
        <v/>
      </c>
      <c r="G1840" s="14">
        <f>IF(F1840&lt;&gt;"","按字段批注、数据字典和来源记录修正后复核","")</f>
        <v/>
      </c>
      <c r="H1840" s="14">
        <f>IF(F1840&lt;&gt;"","待处理","")</f>
        <v/>
      </c>
    </row>
    <row r="1841">
      <c r="A1841" s="14">
        <f>IF(F1841&lt;&gt;"","ISSUE-"&amp;TEXT(ROW()-1,"00000"),"")</f>
        <v/>
      </c>
      <c r="B1841" s="14">
        <f>IF(F1841&lt;&gt;"","错误","")</f>
        <v/>
      </c>
      <c r="C1841" s="14">
        <f>IF('05_层级表现LOD'!A341&lt;&gt;"","05_层级表现LOD","")</f>
        <v/>
      </c>
      <c r="D1841" s="14">
        <f>IF('05_层级表现LOD'!A341&lt;&gt;"",'05_层级表现LOD'!A341,"")</f>
        <v/>
      </c>
      <c r="E1841" s="14">
        <f>IF(F1841&lt;&gt;"","综合校验","")</f>
        <v/>
      </c>
      <c r="F1841" s="14">
        <f>IF('05_层级表现LOD'!A341&lt;&gt;"",IF('05_层级表现LOD'!A341="","缺少对象ID；","")&amp;IF('05_层级表现LOD'!B341="","缺少对象类别；","")&amp;IF(AND('05_层级表现LOD'!A341&lt;&gt;"",COUNTIF('02_固定地理'!$A$2:$A$501,'05_层级表现LOD'!A341)+COUNTIF('03_地点锚点'!$A$2:$A$501,'05_层级表现LOD'!A341)+COUNTIF('04_路径网络'!$A$2:$A$501,'05_层级表现LOD'!A341)+COUNTIF('06_建筑锚点'!$A$2:$A$501,'05_层级表现LOD'!A341)=0),"LOD引用对象不存在；","")&amp;IF(AND('05_层级表现LOD'!A341&lt;&gt;"",COUNTIF('05_层级表现LOD'!$A$2:$A$501,'05_层级表现LOD'!A341)&gt;1),"ID重复；",""),"")</f>
        <v/>
      </c>
      <c r="G1841" s="14">
        <f>IF(F1841&lt;&gt;"","按字段批注、数据字典和来源记录修正后复核","")</f>
        <v/>
      </c>
      <c r="H1841" s="14">
        <f>IF(F1841&lt;&gt;"","待处理","")</f>
        <v/>
      </c>
    </row>
    <row r="1842">
      <c r="A1842" s="14">
        <f>IF(F1842&lt;&gt;"","ISSUE-"&amp;TEXT(ROW()-1,"00000"),"")</f>
        <v/>
      </c>
      <c r="B1842" s="14">
        <f>IF(F1842&lt;&gt;"","错误","")</f>
        <v/>
      </c>
      <c r="C1842" s="14">
        <f>IF('05_层级表现LOD'!A342&lt;&gt;"","05_层级表现LOD","")</f>
        <v/>
      </c>
      <c r="D1842" s="14">
        <f>IF('05_层级表现LOD'!A342&lt;&gt;"",'05_层级表现LOD'!A342,"")</f>
        <v/>
      </c>
      <c r="E1842" s="14">
        <f>IF(F1842&lt;&gt;"","综合校验","")</f>
        <v/>
      </c>
      <c r="F1842" s="14">
        <f>IF('05_层级表现LOD'!A342&lt;&gt;"",IF('05_层级表现LOD'!A342="","缺少对象ID；","")&amp;IF('05_层级表现LOD'!B342="","缺少对象类别；","")&amp;IF(AND('05_层级表现LOD'!A342&lt;&gt;"",COUNTIF('02_固定地理'!$A$2:$A$501,'05_层级表现LOD'!A342)+COUNTIF('03_地点锚点'!$A$2:$A$501,'05_层级表现LOD'!A342)+COUNTIF('04_路径网络'!$A$2:$A$501,'05_层级表现LOD'!A342)+COUNTIF('06_建筑锚点'!$A$2:$A$501,'05_层级表现LOD'!A342)=0),"LOD引用对象不存在；","")&amp;IF(AND('05_层级表现LOD'!A342&lt;&gt;"",COUNTIF('05_层级表现LOD'!$A$2:$A$501,'05_层级表现LOD'!A342)&gt;1),"ID重复；",""),"")</f>
        <v/>
      </c>
      <c r="G1842" s="14">
        <f>IF(F1842&lt;&gt;"","按字段批注、数据字典和来源记录修正后复核","")</f>
        <v/>
      </c>
      <c r="H1842" s="14">
        <f>IF(F1842&lt;&gt;"","待处理","")</f>
        <v/>
      </c>
    </row>
    <row r="1843">
      <c r="A1843" s="14">
        <f>IF(F1843&lt;&gt;"","ISSUE-"&amp;TEXT(ROW()-1,"00000"),"")</f>
        <v/>
      </c>
      <c r="B1843" s="14">
        <f>IF(F1843&lt;&gt;"","错误","")</f>
        <v/>
      </c>
      <c r="C1843" s="14">
        <f>IF('05_层级表现LOD'!A343&lt;&gt;"","05_层级表现LOD","")</f>
        <v/>
      </c>
      <c r="D1843" s="14">
        <f>IF('05_层级表现LOD'!A343&lt;&gt;"",'05_层级表现LOD'!A343,"")</f>
        <v/>
      </c>
      <c r="E1843" s="14">
        <f>IF(F1843&lt;&gt;"","综合校验","")</f>
        <v/>
      </c>
      <c r="F1843" s="14">
        <f>IF('05_层级表现LOD'!A343&lt;&gt;"",IF('05_层级表现LOD'!A343="","缺少对象ID；","")&amp;IF('05_层级表现LOD'!B343="","缺少对象类别；","")&amp;IF(AND('05_层级表现LOD'!A343&lt;&gt;"",COUNTIF('02_固定地理'!$A$2:$A$501,'05_层级表现LOD'!A343)+COUNTIF('03_地点锚点'!$A$2:$A$501,'05_层级表现LOD'!A343)+COUNTIF('04_路径网络'!$A$2:$A$501,'05_层级表现LOD'!A343)+COUNTIF('06_建筑锚点'!$A$2:$A$501,'05_层级表现LOD'!A343)=0),"LOD引用对象不存在；","")&amp;IF(AND('05_层级表现LOD'!A343&lt;&gt;"",COUNTIF('05_层级表现LOD'!$A$2:$A$501,'05_层级表现LOD'!A343)&gt;1),"ID重复；",""),"")</f>
        <v/>
      </c>
      <c r="G1843" s="14">
        <f>IF(F1843&lt;&gt;"","按字段批注、数据字典和来源记录修正后复核","")</f>
        <v/>
      </c>
      <c r="H1843" s="14">
        <f>IF(F1843&lt;&gt;"","待处理","")</f>
        <v/>
      </c>
    </row>
    <row r="1844">
      <c r="A1844" s="14">
        <f>IF(F1844&lt;&gt;"","ISSUE-"&amp;TEXT(ROW()-1,"00000"),"")</f>
        <v/>
      </c>
      <c r="B1844" s="14">
        <f>IF(F1844&lt;&gt;"","错误","")</f>
        <v/>
      </c>
      <c r="C1844" s="14">
        <f>IF('05_层级表现LOD'!A344&lt;&gt;"","05_层级表现LOD","")</f>
        <v/>
      </c>
      <c r="D1844" s="14">
        <f>IF('05_层级表现LOD'!A344&lt;&gt;"",'05_层级表现LOD'!A344,"")</f>
        <v/>
      </c>
      <c r="E1844" s="14">
        <f>IF(F1844&lt;&gt;"","综合校验","")</f>
        <v/>
      </c>
      <c r="F1844" s="14">
        <f>IF('05_层级表现LOD'!A344&lt;&gt;"",IF('05_层级表现LOD'!A344="","缺少对象ID；","")&amp;IF('05_层级表现LOD'!B344="","缺少对象类别；","")&amp;IF(AND('05_层级表现LOD'!A344&lt;&gt;"",COUNTIF('02_固定地理'!$A$2:$A$501,'05_层级表现LOD'!A344)+COUNTIF('03_地点锚点'!$A$2:$A$501,'05_层级表现LOD'!A344)+COUNTIF('04_路径网络'!$A$2:$A$501,'05_层级表现LOD'!A344)+COUNTIF('06_建筑锚点'!$A$2:$A$501,'05_层级表现LOD'!A344)=0),"LOD引用对象不存在；","")&amp;IF(AND('05_层级表现LOD'!A344&lt;&gt;"",COUNTIF('05_层级表现LOD'!$A$2:$A$501,'05_层级表现LOD'!A344)&gt;1),"ID重复；",""),"")</f>
        <v/>
      </c>
      <c r="G1844" s="14">
        <f>IF(F1844&lt;&gt;"","按字段批注、数据字典和来源记录修正后复核","")</f>
        <v/>
      </c>
      <c r="H1844" s="14">
        <f>IF(F1844&lt;&gt;"","待处理","")</f>
        <v/>
      </c>
    </row>
    <row r="1845">
      <c r="A1845" s="14">
        <f>IF(F1845&lt;&gt;"","ISSUE-"&amp;TEXT(ROW()-1,"00000"),"")</f>
        <v/>
      </c>
      <c r="B1845" s="14">
        <f>IF(F1845&lt;&gt;"","错误","")</f>
        <v/>
      </c>
      <c r="C1845" s="14">
        <f>IF('05_层级表现LOD'!A345&lt;&gt;"","05_层级表现LOD","")</f>
        <v/>
      </c>
      <c r="D1845" s="14">
        <f>IF('05_层级表现LOD'!A345&lt;&gt;"",'05_层级表现LOD'!A345,"")</f>
        <v/>
      </c>
      <c r="E1845" s="14">
        <f>IF(F1845&lt;&gt;"","综合校验","")</f>
        <v/>
      </c>
      <c r="F1845" s="14">
        <f>IF('05_层级表现LOD'!A345&lt;&gt;"",IF('05_层级表现LOD'!A345="","缺少对象ID；","")&amp;IF('05_层级表现LOD'!B345="","缺少对象类别；","")&amp;IF(AND('05_层级表现LOD'!A345&lt;&gt;"",COUNTIF('02_固定地理'!$A$2:$A$501,'05_层级表现LOD'!A345)+COUNTIF('03_地点锚点'!$A$2:$A$501,'05_层级表现LOD'!A345)+COUNTIF('04_路径网络'!$A$2:$A$501,'05_层级表现LOD'!A345)+COUNTIF('06_建筑锚点'!$A$2:$A$501,'05_层级表现LOD'!A345)=0),"LOD引用对象不存在；","")&amp;IF(AND('05_层级表现LOD'!A345&lt;&gt;"",COUNTIF('05_层级表现LOD'!$A$2:$A$501,'05_层级表现LOD'!A345)&gt;1),"ID重复；",""),"")</f>
        <v/>
      </c>
      <c r="G1845" s="14">
        <f>IF(F1845&lt;&gt;"","按字段批注、数据字典和来源记录修正后复核","")</f>
        <v/>
      </c>
      <c r="H1845" s="14">
        <f>IF(F1845&lt;&gt;"","待处理","")</f>
        <v/>
      </c>
    </row>
    <row r="1846">
      <c r="A1846" s="14">
        <f>IF(F1846&lt;&gt;"","ISSUE-"&amp;TEXT(ROW()-1,"00000"),"")</f>
        <v/>
      </c>
      <c r="B1846" s="14">
        <f>IF(F1846&lt;&gt;"","错误","")</f>
        <v/>
      </c>
      <c r="C1846" s="14">
        <f>IF('05_层级表现LOD'!A346&lt;&gt;"","05_层级表现LOD","")</f>
        <v/>
      </c>
      <c r="D1846" s="14">
        <f>IF('05_层级表现LOD'!A346&lt;&gt;"",'05_层级表现LOD'!A346,"")</f>
        <v/>
      </c>
      <c r="E1846" s="14">
        <f>IF(F1846&lt;&gt;"","综合校验","")</f>
        <v/>
      </c>
      <c r="F1846" s="14">
        <f>IF('05_层级表现LOD'!A346&lt;&gt;"",IF('05_层级表现LOD'!A346="","缺少对象ID；","")&amp;IF('05_层级表现LOD'!B346="","缺少对象类别；","")&amp;IF(AND('05_层级表现LOD'!A346&lt;&gt;"",COUNTIF('02_固定地理'!$A$2:$A$501,'05_层级表现LOD'!A346)+COUNTIF('03_地点锚点'!$A$2:$A$501,'05_层级表现LOD'!A346)+COUNTIF('04_路径网络'!$A$2:$A$501,'05_层级表现LOD'!A346)+COUNTIF('06_建筑锚点'!$A$2:$A$501,'05_层级表现LOD'!A346)=0),"LOD引用对象不存在；","")&amp;IF(AND('05_层级表现LOD'!A346&lt;&gt;"",COUNTIF('05_层级表现LOD'!$A$2:$A$501,'05_层级表现LOD'!A346)&gt;1),"ID重复；",""),"")</f>
        <v/>
      </c>
      <c r="G1846" s="14">
        <f>IF(F1846&lt;&gt;"","按字段批注、数据字典和来源记录修正后复核","")</f>
        <v/>
      </c>
      <c r="H1846" s="14">
        <f>IF(F1846&lt;&gt;"","待处理","")</f>
        <v/>
      </c>
    </row>
    <row r="1847">
      <c r="A1847" s="14">
        <f>IF(F1847&lt;&gt;"","ISSUE-"&amp;TEXT(ROW()-1,"00000"),"")</f>
        <v/>
      </c>
      <c r="B1847" s="14">
        <f>IF(F1847&lt;&gt;"","错误","")</f>
        <v/>
      </c>
      <c r="C1847" s="14">
        <f>IF('05_层级表现LOD'!A347&lt;&gt;"","05_层级表现LOD","")</f>
        <v/>
      </c>
      <c r="D1847" s="14">
        <f>IF('05_层级表现LOD'!A347&lt;&gt;"",'05_层级表现LOD'!A347,"")</f>
        <v/>
      </c>
      <c r="E1847" s="14">
        <f>IF(F1847&lt;&gt;"","综合校验","")</f>
        <v/>
      </c>
      <c r="F1847" s="14">
        <f>IF('05_层级表现LOD'!A347&lt;&gt;"",IF('05_层级表现LOD'!A347="","缺少对象ID；","")&amp;IF('05_层级表现LOD'!B347="","缺少对象类别；","")&amp;IF(AND('05_层级表现LOD'!A347&lt;&gt;"",COUNTIF('02_固定地理'!$A$2:$A$501,'05_层级表现LOD'!A347)+COUNTIF('03_地点锚点'!$A$2:$A$501,'05_层级表现LOD'!A347)+COUNTIF('04_路径网络'!$A$2:$A$501,'05_层级表现LOD'!A347)+COUNTIF('06_建筑锚点'!$A$2:$A$501,'05_层级表现LOD'!A347)=0),"LOD引用对象不存在；","")&amp;IF(AND('05_层级表现LOD'!A347&lt;&gt;"",COUNTIF('05_层级表现LOD'!$A$2:$A$501,'05_层级表现LOD'!A347)&gt;1),"ID重复；",""),"")</f>
        <v/>
      </c>
      <c r="G1847" s="14">
        <f>IF(F1847&lt;&gt;"","按字段批注、数据字典和来源记录修正后复核","")</f>
        <v/>
      </c>
      <c r="H1847" s="14">
        <f>IF(F1847&lt;&gt;"","待处理","")</f>
        <v/>
      </c>
    </row>
    <row r="1848">
      <c r="A1848" s="14">
        <f>IF(F1848&lt;&gt;"","ISSUE-"&amp;TEXT(ROW()-1,"00000"),"")</f>
        <v/>
      </c>
      <c r="B1848" s="14">
        <f>IF(F1848&lt;&gt;"","错误","")</f>
        <v/>
      </c>
      <c r="C1848" s="14">
        <f>IF('05_层级表现LOD'!A348&lt;&gt;"","05_层级表现LOD","")</f>
        <v/>
      </c>
      <c r="D1848" s="14">
        <f>IF('05_层级表现LOD'!A348&lt;&gt;"",'05_层级表现LOD'!A348,"")</f>
        <v/>
      </c>
      <c r="E1848" s="14">
        <f>IF(F1848&lt;&gt;"","综合校验","")</f>
        <v/>
      </c>
      <c r="F1848" s="14">
        <f>IF('05_层级表现LOD'!A348&lt;&gt;"",IF('05_层级表现LOD'!A348="","缺少对象ID；","")&amp;IF('05_层级表现LOD'!B348="","缺少对象类别；","")&amp;IF(AND('05_层级表现LOD'!A348&lt;&gt;"",COUNTIF('02_固定地理'!$A$2:$A$501,'05_层级表现LOD'!A348)+COUNTIF('03_地点锚点'!$A$2:$A$501,'05_层级表现LOD'!A348)+COUNTIF('04_路径网络'!$A$2:$A$501,'05_层级表现LOD'!A348)+COUNTIF('06_建筑锚点'!$A$2:$A$501,'05_层级表现LOD'!A348)=0),"LOD引用对象不存在；","")&amp;IF(AND('05_层级表现LOD'!A348&lt;&gt;"",COUNTIF('05_层级表现LOD'!$A$2:$A$501,'05_层级表现LOD'!A348)&gt;1),"ID重复；",""),"")</f>
        <v/>
      </c>
      <c r="G1848" s="14">
        <f>IF(F1848&lt;&gt;"","按字段批注、数据字典和来源记录修正后复核","")</f>
        <v/>
      </c>
      <c r="H1848" s="14">
        <f>IF(F1848&lt;&gt;"","待处理","")</f>
        <v/>
      </c>
    </row>
    <row r="1849">
      <c r="A1849" s="14">
        <f>IF(F1849&lt;&gt;"","ISSUE-"&amp;TEXT(ROW()-1,"00000"),"")</f>
        <v/>
      </c>
      <c r="B1849" s="14">
        <f>IF(F1849&lt;&gt;"","错误","")</f>
        <v/>
      </c>
      <c r="C1849" s="14">
        <f>IF('05_层级表现LOD'!A349&lt;&gt;"","05_层级表现LOD","")</f>
        <v/>
      </c>
      <c r="D1849" s="14">
        <f>IF('05_层级表现LOD'!A349&lt;&gt;"",'05_层级表现LOD'!A349,"")</f>
        <v/>
      </c>
      <c r="E1849" s="14">
        <f>IF(F1849&lt;&gt;"","综合校验","")</f>
        <v/>
      </c>
      <c r="F1849" s="14">
        <f>IF('05_层级表现LOD'!A349&lt;&gt;"",IF('05_层级表现LOD'!A349="","缺少对象ID；","")&amp;IF('05_层级表现LOD'!B349="","缺少对象类别；","")&amp;IF(AND('05_层级表现LOD'!A349&lt;&gt;"",COUNTIF('02_固定地理'!$A$2:$A$501,'05_层级表现LOD'!A349)+COUNTIF('03_地点锚点'!$A$2:$A$501,'05_层级表现LOD'!A349)+COUNTIF('04_路径网络'!$A$2:$A$501,'05_层级表现LOD'!A349)+COUNTIF('06_建筑锚点'!$A$2:$A$501,'05_层级表现LOD'!A349)=0),"LOD引用对象不存在；","")&amp;IF(AND('05_层级表现LOD'!A349&lt;&gt;"",COUNTIF('05_层级表现LOD'!$A$2:$A$501,'05_层级表现LOD'!A349)&gt;1),"ID重复；",""),"")</f>
        <v/>
      </c>
      <c r="G1849" s="14">
        <f>IF(F1849&lt;&gt;"","按字段批注、数据字典和来源记录修正后复核","")</f>
        <v/>
      </c>
      <c r="H1849" s="14">
        <f>IF(F1849&lt;&gt;"","待处理","")</f>
        <v/>
      </c>
    </row>
    <row r="1850">
      <c r="A1850" s="14">
        <f>IF(F1850&lt;&gt;"","ISSUE-"&amp;TEXT(ROW()-1,"00000"),"")</f>
        <v/>
      </c>
      <c r="B1850" s="14">
        <f>IF(F1850&lt;&gt;"","错误","")</f>
        <v/>
      </c>
      <c r="C1850" s="14">
        <f>IF('05_层级表现LOD'!A350&lt;&gt;"","05_层级表现LOD","")</f>
        <v/>
      </c>
      <c r="D1850" s="14">
        <f>IF('05_层级表现LOD'!A350&lt;&gt;"",'05_层级表现LOD'!A350,"")</f>
        <v/>
      </c>
      <c r="E1850" s="14">
        <f>IF(F1850&lt;&gt;"","综合校验","")</f>
        <v/>
      </c>
      <c r="F1850" s="14">
        <f>IF('05_层级表现LOD'!A350&lt;&gt;"",IF('05_层级表现LOD'!A350="","缺少对象ID；","")&amp;IF('05_层级表现LOD'!B350="","缺少对象类别；","")&amp;IF(AND('05_层级表现LOD'!A350&lt;&gt;"",COUNTIF('02_固定地理'!$A$2:$A$501,'05_层级表现LOD'!A350)+COUNTIF('03_地点锚点'!$A$2:$A$501,'05_层级表现LOD'!A350)+COUNTIF('04_路径网络'!$A$2:$A$501,'05_层级表现LOD'!A350)+COUNTIF('06_建筑锚点'!$A$2:$A$501,'05_层级表现LOD'!A350)=0),"LOD引用对象不存在；","")&amp;IF(AND('05_层级表现LOD'!A350&lt;&gt;"",COUNTIF('05_层级表现LOD'!$A$2:$A$501,'05_层级表现LOD'!A350)&gt;1),"ID重复；",""),"")</f>
        <v/>
      </c>
      <c r="G1850" s="14">
        <f>IF(F1850&lt;&gt;"","按字段批注、数据字典和来源记录修正后复核","")</f>
        <v/>
      </c>
      <c r="H1850" s="14">
        <f>IF(F1850&lt;&gt;"","待处理","")</f>
        <v/>
      </c>
    </row>
    <row r="1851">
      <c r="A1851" s="14">
        <f>IF(F1851&lt;&gt;"","ISSUE-"&amp;TEXT(ROW()-1,"00000"),"")</f>
        <v/>
      </c>
      <c r="B1851" s="14">
        <f>IF(F1851&lt;&gt;"","错误","")</f>
        <v/>
      </c>
      <c r="C1851" s="14">
        <f>IF('05_层级表现LOD'!A351&lt;&gt;"","05_层级表现LOD","")</f>
        <v/>
      </c>
      <c r="D1851" s="14">
        <f>IF('05_层级表现LOD'!A351&lt;&gt;"",'05_层级表现LOD'!A351,"")</f>
        <v/>
      </c>
      <c r="E1851" s="14">
        <f>IF(F1851&lt;&gt;"","综合校验","")</f>
        <v/>
      </c>
      <c r="F1851" s="14">
        <f>IF('05_层级表现LOD'!A351&lt;&gt;"",IF('05_层级表现LOD'!A351="","缺少对象ID；","")&amp;IF('05_层级表现LOD'!B351="","缺少对象类别；","")&amp;IF(AND('05_层级表现LOD'!A351&lt;&gt;"",COUNTIF('02_固定地理'!$A$2:$A$501,'05_层级表现LOD'!A351)+COUNTIF('03_地点锚点'!$A$2:$A$501,'05_层级表现LOD'!A351)+COUNTIF('04_路径网络'!$A$2:$A$501,'05_层级表现LOD'!A351)+COUNTIF('06_建筑锚点'!$A$2:$A$501,'05_层级表现LOD'!A351)=0),"LOD引用对象不存在；","")&amp;IF(AND('05_层级表现LOD'!A351&lt;&gt;"",COUNTIF('05_层级表现LOD'!$A$2:$A$501,'05_层级表现LOD'!A351)&gt;1),"ID重复；",""),"")</f>
        <v/>
      </c>
      <c r="G1851" s="14">
        <f>IF(F1851&lt;&gt;"","按字段批注、数据字典和来源记录修正后复核","")</f>
        <v/>
      </c>
      <c r="H1851" s="14">
        <f>IF(F1851&lt;&gt;"","待处理","")</f>
        <v/>
      </c>
    </row>
    <row r="1852">
      <c r="A1852" s="14">
        <f>IF(F1852&lt;&gt;"","ISSUE-"&amp;TEXT(ROW()-1,"00000"),"")</f>
        <v/>
      </c>
      <c r="B1852" s="14">
        <f>IF(F1852&lt;&gt;"","错误","")</f>
        <v/>
      </c>
      <c r="C1852" s="14">
        <f>IF('05_层级表现LOD'!A352&lt;&gt;"","05_层级表现LOD","")</f>
        <v/>
      </c>
      <c r="D1852" s="14">
        <f>IF('05_层级表现LOD'!A352&lt;&gt;"",'05_层级表现LOD'!A352,"")</f>
        <v/>
      </c>
      <c r="E1852" s="14">
        <f>IF(F1852&lt;&gt;"","综合校验","")</f>
        <v/>
      </c>
      <c r="F1852" s="14">
        <f>IF('05_层级表现LOD'!A352&lt;&gt;"",IF('05_层级表现LOD'!A352="","缺少对象ID；","")&amp;IF('05_层级表现LOD'!B352="","缺少对象类别；","")&amp;IF(AND('05_层级表现LOD'!A352&lt;&gt;"",COUNTIF('02_固定地理'!$A$2:$A$501,'05_层级表现LOD'!A352)+COUNTIF('03_地点锚点'!$A$2:$A$501,'05_层级表现LOD'!A352)+COUNTIF('04_路径网络'!$A$2:$A$501,'05_层级表现LOD'!A352)+COUNTIF('06_建筑锚点'!$A$2:$A$501,'05_层级表现LOD'!A352)=0),"LOD引用对象不存在；","")&amp;IF(AND('05_层级表现LOD'!A352&lt;&gt;"",COUNTIF('05_层级表现LOD'!$A$2:$A$501,'05_层级表现LOD'!A352)&gt;1),"ID重复；",""),"")</f>
        <v/>
      </c>
      <c r="G1852" s="14">
        <f>IF(F1852&lt;&gt;"","按字段批注、数据字典和来源记录修正后复核","")</f>
        <v/>
      </c>
      <c r="H1852" s="14">
        <f>IF(F1852&lt;&gt;"","待处理","")</f>
        <v/>
      </c>
    </row>
    <row r="1853">
      <c r="A1853" s="14">
        <f>IF(F1853&lt;&gt;"","ISSUE-"&amp;TEXT(ROW()-1,"00000"),"")</f>
        <v/>
      </c>
      <c r="B1853" s="14">
        <f>IF(F1853&lt;&gt;"","错误","")</f>
        <v/>
      </c>
      <c r="C1853" s="14">
        <f>IF('05_层级表现LOD'!A353&lt;&gt;"","05_层级表现LOD","")</f>
        <v/>
      </c>
      <c r="D1853" s="14">
        <f>IF('05_层级表现LOD'!A353&lt;&gt;"",'05_层级表现LOD'!A353,"")</f>
        <v/>
      </c>
      <c r="E1853" s="14">
        <f>IF(F1853&lt;&gt;"","综合校验","")</f>
        <v/>
      </c>
      <c r="F1853" s="14">
        <f>IF('05_层级表现LOD'!A353&lt;&gt;"",IF('05_层级表现LOD'!A353="","缺少对象ID；","")&amp;IF('05_层级表现LOD'!B353="","缺少对象类别；","")&amp;IF(AND('05_层级表现LOD'!A353&lt;&gt;"",COUNTIF('02_固定地理'!$A$2:$A$501,'05_层级表现LOD'!A353)+COUNTIF('03_地点锚点'!$A$2:$A$501,'05_层级表现LOD'!A353)+COUNTIF('04_路径网络'!$A$2:$A$501,'05_层级表现LOD'!A353)+COUNTIF('06_建筑锚点'!$A$2:$A$501,'05_层级表现LOD'!A353)=0),"LOD引用对象不存在；","")&amp;IF(AND('05_层级表现LOD'!A353&lt;&gt;"",COUNTIF('05_层级表现LOD'!$A$2:$A$501,'05_层级表现LOD'!A353)&gt;1),"ID重复；",""),"")</f>
        <v/>
      </c>
      <c r="G1853" s="14">
        <f>IF(F1853&lt;&gt;"","按字段批注、数据字典和来源记录修正后复核","")</f>
        <v/>
      </c>
      <c r="H1853" s="14">
        <f>IF(F1853&lt;&gt;"","待处理","")</f>
        <v/>
      </c>
    </row>
    <row r="1854">
      <c r="A1854" s="14">
        <f>IF(F1854&lt;&gt;"","ISSUE-"&amp;TEXT(ROW()-1,"00000"),"")</f>
        <v/>
      </c>
      <c r="B1854" s="14">
        <f>IF(F1854&lt;&gt;"","错误","")</f>
        <v/>
      </c>
      <c r="C1854" s="14">
        <f>IF('05_层级表现LOD'!A354&lt;&gt;"","05_层级表现LOD","")</f>
        <v/>
      </c>
      <c r="D1854" s="14">
        <f>IF('05_层级表现LOD'!A354&lt;&gt;"",'05_层级表现LOD'!A354,"")</f>
        <v/>
      </c>
      <c r="E1854" s="14">
        <f>IF(F1854&lt;&gt;"","综合校验","")</f>
        <v/>
      </c>
      <c r="F1854" s="14">
        <f>IF('05_层级表现LOD'!A354&lt;&gt;"",IF('05_层级表现LOD'!A354="","缺少对象ID；","")&amp;IF('05_层级表现LOD'!B354="","缺少对象类别；","")&amp;IF(AND('05_层级表现LOD'!A354&lt;&gt;"",COUNTIF('02_固定地理'!$A$2:$A$501,'05_层级表现LOD'!A354)+COUNTIF('03_地点锚点'!$A$2:$A$501,'05_层级表现LOD'!A354)+COUNTIF('04_路径网络'!$A$2:$A$501,'05_层级表现LOD'!A354)+COUNTIF('06_建筑锚点'!$A$2:$A$501,'05_层级表现LOD'!A354)=0),"LOD引用对象不存在；","")&amp;IF(AND('05_层级表现LOD'!A354&lt;&gt;"",COUNTIF('05_层级表现LOD'!$A$2:$A$501,'05_层级表现LOD'!A354)&gt;1),"ID重复；",""),"")</f>
        <v/>
      </c>
      <c r="G1854" s="14">
        <f>IF(F1854&lt;&gt;"","按字段批注、数据字典和来源记录修正后复核","")</f>
        <v/>
      </c>
      <c r="H1854" s="14">
        <f>IF(F1854&lt;&gt;"","待处理","")</f>
        <v/>
      </c>
    </row>
    <row r="1855">
      <c r="A1855" s="14">
        <f>IF(F1855&lt;&gt;"","ISSUE-"&amp;TEXT(ROW()-1,"00000"),"")</f>
        <v/>
      </c>
      <c r="B1855" s="14">
        <f>IF(F1855&lt;&gt;"","错误","")</f>
        <v/>
      </c>
      <c r="C1855" s="14">
        <f>IF('05_层级表现LOD'!A355&lt;&gt;"","05_层级表现LOD","")</f>
        <v/>
      </c>
      <c r="D1855" s="14">
        <f>IF('05_层级表现LOD'!A355&lt;&gt;"",'05_层级表现LOD'!A355,"")</f>
        <v/>
      </c>
      <c r="E1855" s="14">
        <f>IF(F1855&lt;&gt;"","综合校验","")</f>
        <v/>
      </c>
      <c r="F1855" s="14">
        <f>IF('05_层级表现LOD'!A355&lt;&gt;"",IF('05_层级表现LOD'!A355="","缺少对象ID；","")&amp;IF('05_层级表现LOD'!B355="","缺少对象类别；","")&amp;IF(AND('05_层级表现LOD'!A355&lt;&gt;"",COUNTIF('02_固定地理'!$A$2:$A$501,'05_层级表现LOD'!A355)+COUNTIF('03_地点锚点'!$A$2:$A$501,'05_层级表现LOD'!A355)+COUNTIF('04_路径网络'!$A$2:$A$501,'05_层级表现LOD'!A355)+COUNTIF('06_建筑锚点'!$A$2:$A$501,'05_层级表现LOD'!A355)=0),"LOD引用对象不存在；","")&amp;IF(AND('05_层级表现LOD'!A355&lt;&gt;"",COUNTIF('05_层级表现LOD'!$A$2:$A$501,'05_层级表现LOD'!A355)&gt;1),"ID重复；",""),"")</f>
        <v/>
      </c>
      <c r="G1855" s="14">
        <f>IF(F1855&lt;&gt;"","按字段批注、数据字典和来源记录修正后复核","")</f>
        <v/>
      </c>
      <c r="H1855" s="14">
        <f>IF(F1855&lt;&gt;"","待处理","")</f>
        <v/>
      </c>
    </row>
    <row r="1856">
      <c r="A1856" s="14">
        <f>IF(F1856&lt;&gt;"","ISSUE-"&amp;TEXT(ROW()-1,"00000"),"")</f>
        <v/>
      </c>
      <c r="B1856" s="14">
        <f>IF(F1856&lt;&gt;"","错误","")</f>
        <v/>
      </c>
      <c r="C1856" s="14">
        <f>IF('05_层级表现LOD'!A356&lt;&gt;"","05_层级表现LOD","")</f>
        <v/>
      </c>
      <c r="D1856" s="14">
        <f>IF('05_层级表现LOD'!A356&lt;&gt;"",'05_层级表现LOD'!A356,"")</f>
        <v/>
      </c>
      <c r="E1856" s="14">
        <f>IF(F1856&lt;&gt;"","综合校验","")</f>
        <v/>
      </c>
      <c r="F1856" s="14">
        <f>IF('05_层级表现LOD'!A356&lt;&gt;"",IF('05_层级表现LOD'!A356="","缺少对象ID；","")&amp;IF('05_层级表现LOD'!B356="","缺少对象类别；","")&amp;IF(AND('05_层级表现LOD'!A356&lt;&gt;"",COUNTIF('02_固定地理'!$A$2:$A$501,'05_层级表现LOD'!A356)+COUNTIF('03_地点锚点'!$A$2:$A$501,'05_层级表现LOD'!A356)+COUNTIF('04_路径网络'!$A$2:$A$501,'05_层级表现LOD'!A356)+COUNTIF('06_建筑锚点'!$A$2:$A$501,'05_层级表现LOD'!A356)=0),"LOD引用对象不存在；","")&amp;IF(AND('05_层级表现LOD'!A356&lt;&gt;"",COUNTIF('05_层级表现LOD'!$A$2:$A$501,'05_层级表现LOD'!A356)&gt;1),"ID重复；",""),"")</f>
        <v/>
      </c>
      <c r="G1856" s="14">
        <f>IF(F1856&lt;&gt;"","按字段批注、数据字典和来源记录修正后复核","")</f>
        <v/>
      </c>
      <c r="H1856" s="14">
        <f>IF(F1856&lt;&gt;"","待处理","")</f>
        <v/>
      </c>
    </row>
    <row r="1857">
      <c r="A1857" s="14">
        <f>IF(F1857&lt;&gt;"","ISSUE-"&amp;TEXT(ROW()-1,"00000"),"")</f>
        <v/>
      </c>
      <c r="B1857" s="14">
        <f>IF(F1857&lt;&gt;"","错误","")</f>
        <v/>
      </c>
      <c r="C1857" s="14">
        <f>IF('05_层级表现LOD'!A357&lt;&gt;"","05_层级表现LOD","")</f>
        <v/>
      </c>
      <c r="D1857" s="14">
        <f>IF('05_层级表现LOD'!A357&lt;&gt;"",'05_层级表现LOD'!A357,"")</f>
        <v/>
      </c>
      <c r="E1857" s="14">
        <f>IF(F1857&lt;&gt;"","综合校验","")</f>
        <v/>
      </c>
      <c r="F1857" s="14">
        <f>IF('05_层级表现LOD'!A357&lt;&gt;"",IF('05_层级表现LOD'!A357="","缺少对象ID；","")&amp;IF('05_层级表现LOD'!B357="","缺少对象类别；","")&amp;IF(AND('05_层级表现LOD'!A357&lt;&gt;"",COUNTIF('02_固定地理'!$A$2:$A$501,'05_层级表现LOD'!A357)+COUNTIF('03_地点锚点'!$A$2:$A$501,'05_层级表现LOD'!A357)+COUNTIF('04_路径网络'!$A$2:$A$501,'05_层级表现LOD'!A357)+COUNTIF('06_建筑锚点'!$A$2:$A$501,'05_层级表现LOD'!A357)=0),"LOD引用对象不存在；","")&amp;IF(AND('05_层级表现LOD'!A357&lt;&gt;"",COUNTIF('05_层级表现LOD'!$A$2:$A$501,'05_层级表现LOD'!A357)&gt;1),"ID重复；",""),"")</f>
        <v/>
      </c>
      <c r="G1857" s="14">
        <f>IF(F1857&lt;&gt;"","按字段批注、数据字典和来源记录修正后复核","")</f>
        <v/>
      </c>
      <c r="H1857" s="14">
        <f>IF(F1857&lt;&gt;"","待处理","")</f>
        <v/>
      </c>
    </row>
    <row r="1858">
      <c r="A1858" s="14">
        <f>IF(F1858&lt;&gt;"","ISSUE-"&amp;TEXT(ROW()-1,"00000"),"")</f>
        <v/>
      </c>
      <c r="B1858" s="14">
        <f>IF(F1858&lt;&gt;"","错误","")</f>
        <v/>
      </c>
      <c r="C1858" s="14">
        <f>IF('05_层级表现LOD'!A358&lt;&gt;"","05_层级表现LOD","")</f>
        <v/>
      </c>
      <c r="D1858" s="14">
        <f>IF('05_层级表现LOD'!A358&lt;&gt;"",'05_层级表现LOD'!A358,"")</f>
        <v/>
      </c>
      <c r="E1858" s="14">
        <f>IF(F1858&lt;&gt;"","综合校验","")</f>
        <v/>
      </c>
      <c r="F1858" s="14">
        <f>IF('05_层级表现LOD'!A358&lt;&gt;"",IF('05_层级表现LOD'!A358="","缺少对象ID；","")&amp;IF('05_层级表现LOD'!B358="","缺少对象类别；","")&amp;IF(AND('05_层级表现LOD'!A358&lt;&gt;"",COUNTIF('02_固定地理'!$A$2:$A$501,'05_层级表现LOD'!A358)+COUNTIF('03_地点锚点'!$A$2:$A$501,'05_层级表现LOD'!A358)+COUNTIF('04_路径网络'!$A$2:$A$501,'05_层级表现LOD'!A358)+COUNTIF('06_建筑锚点'!$A$2:$A$501,'05_层级表现LOD'!A358)=0),"LOD引用对象不存在；","")&amp;IF(AND('05_层级表现LOD'!A358&lt;&gt;"",COUNTIF('05_层级表现LOD'!$A$2:$A$501,'05_层级表现LOD'!A358)&gt;1),"ID重复；",""),"")</f>
        <v/>
      </c>
      <c r="G1858" s="14">
        <f>IF(F1858&lt;&gt;"","按字段批注、数据字典和来源记录修正后复核","")</f>
        <v/>
      </c>
      <c r="H1858" s="14">
        <f>IF(F1858&lt;&gt;"","待处理","")</f>
        <v/>
      </c>
    </row>
    <row r="1859">
      <c r="A1859" s="14">
        <f>IF(F1859&lt;&gt;"","ISSUE-"&amp;TEXT(ROW()-1,"00000"),"")</f>
        <v/>
      </c>
      <c r="B1859" s="14">
        <f>IF(F1859&lt;&gt;"","错误","")</f>
        <v/>
      </c>
      <c r="C1859" s="14">
        <f>IF('05_层级表现LOD'!A359&lt;&gt;"","05_层级表现LOD","")</f>
        <v/>
      </c>
      <c r="D1859" s="14">
        <f>IF('05_层级表现LOD'!A359&lt;&gt;"",'05_层级表现LOD'!A359,"")</f>
        <v/>
      </c>
      <c r="E1859" s="14">
        <f>IF(F1859&lt;&gt;"","综合校验","")</f>
        <v/>
      </c>
      <c r="F1859" s="14">
        <f>IF('05_层级表现LOD'!A359&lt;&gt;"",IF('05_层级表现LOD'!A359="","缺少对象ID；","")&amp;IF('05_层级表现LOD'!B359="","缺少对象类别；","")&amp;IF(AND('05_层级表现LOD'!A359&lt;&gt;"",COUNTIF('02_固定地理'!$A$2:$A$501,'05_层级表现LOD'!A359)+COUNTIF('03_地点锚点'!$A$2:$A$501,'05_层级表现LOD'!A359)+COUNTIF('04_路径网络'!$A$2:$A$501,'05_层级表现LOD'!A359)+COUNTIF('06_建筑锚点'!$A$2:$A$501,'05_层级表现LOD'!A359)=0),"LOD引用对象不存在；","")&amp;IF(AND('05_层级表现LOD'!A359&lt;&gt;"",COUNTIF('05_层级表现LOD'!$A$2:$A$501,'05_层级表现LOD'!A359)&gt;1),"ID重复；",""),"")</f>
        <v/>
      </c>
      <c r="G1859" s="14">
        <f>IF(F1859&lt;&gt;"","按字段批注、数据字典和来源记录修正后复核","")</f>
        <v/>
      </c>
      <c r="H1859" s="14">
        <f>IF(F1859&lt;&gt;"","待处理","")</f>
        <v/>
      </c>
    </row>
    <row r="1860">
      <c r="A1860" s="14">
        <f>IF(F1860&lt;&gt;"","ISSUE-"&amp;TEXT(ROW()-1,"00000"),"")</f>
        <v/>
      </c>
      <c r="B1860" s="14">
        <f>IF(F1860&lt;&gt;"","错误","")</f>
        <v/>
      </c>
      <c r="C1860" s="14">
        <f>IF('05_层级表现LOD'!A360&lt;&gt;"","05_层级表现LOD","")</f>
        <v/>
      </c>
      <c r="D1860" s="14">
        <f>IF('05_层级表现LOD'!A360&lt;&gt;"",'05_层级表现LOD'!A360,"")</f>
        <v/>
      </c>
      <c r="E1860" s="14">
        <f>IF(F1860&lt;&gt;"","综合校验","")</f>
        <v/>
      </c>
      <c r="F1860" s="14">
        <f>IF('05_层级表现LOD'!A360&lt;&gt;"",IF('05_层级表现LOD'!A360="","缺少对象ID；","")&amp;IF('05_层级表现LOD'!B360="","缺少对象类别；","")&amp;IF(AND('05_层级表现LOD'!A360&lt;&gt;"",COUNTIF('02_固定地理'!$A$2:$A$501,'05_层级表现LOD'!A360)+COUNTIF('03_地点锚点'!$A$2:$A$501,'05_层级表现LOD'!A360)+COUNTIF('04_路径网络'!$A$2:$A$501,'05_层级表现LOD'!A360)+COUNTIF('06_建筑锚点'!$A$2:$A$501,'05_层级表现LOD'!A360)=0),"LOD引用对象不存在；","")&amp;IF(AND('05_层级表现LOD'!A360&lt;&gt;"",COUNTIF('05_层级表现LOD'!$A$2:$A$501,'05_层级表现LOD'!A360)&gt;1),"ID重复；",""),"")</f>
        <v/>
      </c>
      <c r="G1860" s="14">
        <f>IF(F1860&lt;&gt;"","按字段批注、数据字典和来源记录修正后复核","")</f>
        <v/>
      </c>
      <c r="H1860" s="14">
        <f>IF(F1860&lt;&gt;"","待处理","")</f>
        <v/>
      </c>
    </row>
    <row r="1861">
      <c r="A1861" s="14">
        <f>IF(F1861&lt;&gt;"","ISSUE-"&amp;TEXT(ROW()-1,"00000"),"")</f>
        <v/>
      </c>
      <c r="B1861" s="14">
        <f>IF(F1861&lt;&gt;"","错误","")</f>
        <v/>
      </c>
      <c r="C1861" s="14">
        <f>IF('05_层级表现LOD'!A361&lt;&gt;"","05_层级表现LOD","")</f>
        <v/>
      </c>
      <c r="D1861" s="14">
        <f>IF('05_层级表现LOD'!A361&lt;&gt;"",'05_层级表现LOD'!A361,"")</f>
        <v/>
      </c>
      <c r="E1861" s="14">
        <f>IF(F1861&lt;&gt;"","综合校验","")</f>
        <v/>
      </c>
      <c r="F1861" s="14">
        <f>IF('05_层级表现LOD'!A361&lt;&gt;"",IF('05_层级表现LOD'!A361="","缺少对象ID；","")&amp;IF('05_层级表现LOD'!B361="","缺少对象类别；","")&amp;IF(AND('05_层级表现LOD'!A361&lt;&gt;"",COUNTIF('02_固定地理'!$A$2:$A$501,'05_层级表现LOD'!A361)+COUNTIF('03_地点锚点'!$A$2:$A$501,'05_层级表现LOD'!A361)+COUNTIF('04_路径网络'!$A$2:$A$501,'05_层级表现LOD'!A361)+COUNTIF('06_建筑锚点'!$A$2:$A$501,'05_层级表现LOD'!A361)=0),"LOD引用对象不存在；","")&amp;IF(AND('05_层级表现LOD'!A361&lt;&gt;"",COUNTIF('05_层级表现LOD'!$A$2:$A$501,'05_层级表现LOD'!A361)&gt;1),"ID重复；",""),"")</f>
        <v/>
      </c>
      <c r="G1861" s="14">
        <f>IF(F1861&lt;&gt;"","按字段批注、数据字典和来源记录修正后复核","")</f>
        <v/>
      </c>
      <c r="H1861" s="14">
        <f>IF(F1861&lt;&gt;"","待处理","")</f>
        <v/>
      </c>
    </row>
    <row r="1862">
      <c r="A1862" s="14">
        <f>IF(F1862&lt;&gt;"","ISSUE-"&amp;TEXT(ROW()-1,"00000"),"")</f>
        <v/>
      </c>
      <c r="B1862" s="14">
        <f>IF(F1862&lt;&gt;"","错误","")</f>
        <v/>
      </c>
      <c r="C1862" s="14">
        <f>IF('05_层级表现LOD'!A362&lt;&gt;"","05_层级表现LOD","")</f>
        <v/>
      </c>
      <c r="D1862" s="14">
        <f>IF('05_层级表现LOD'!A362&lt;&gt;"",'05_层级表现LOD'!A362,"")</f>
        <v/>
      </c>
      <c r="E1862" s="14">
        <f>IF(F1862&lt;&gt;"","综合校验","")</f>
        <v/>
      </c>
      <c r="F1862" s="14">
        <f>IF('05_层级表现LOD'!A362&lt;&gt;"",IF('05_层级表现LOD'!A362="","缺少对象ID；","")&amp;IF('05_层级表现LOD'!B362="","缺少对象类别；","")&amp;IF(AND('05_层级表现LOD'!A362&lt;&gt;"",COUNTIF('02_固定地理'!$A$2:$A$501,'05_层级表现LOD'!A362)+COUNTIF('03_地点锚点'!$A$2:$A$501,'05_层级表现LOD'!A362)+COUNTIF('04_路径网络'!$A$2:$A$501,'05_层级表现LOD'!A362)+COUNTIF('06_建筑锚点'!$A$2:$A$501,'05_层级表现LOD'!A362)=0),"LOD引用对象不存在；","")&amp;IF(AND('05_层级表现LOD'!A362&lt;&gt;"",COUNTIF('05_层级表现LOD'!$A$2:$A$501,'05_层级表现LOD'!A362)&gt;1),"ID重复；",""),"")</f>
        <v/>
      </c>
      <c r="G1862" s="14">
        <f>IF(F1862&lt;&gt;"","按字段批注、数据字典和来源记录修正后复核","")</f>
        <v/>
      </c>
      <c r="H1862" s="14">
        <f>IF(F1862&lt;&gt;"","待处理","")</f>
        <v/>
      </c>
    </row>
    <row r="1863">
      <c r="A1863" s="14">
        <f>IF(F1863&lt;&gt;"","ISSUE-"&amp;TEXT(ROW()-1,"00000"),"")</f>
        <v/>
      </c>
      <c r="B1863" s="14">
        <f>IF(F1863&lt;&gt;"","错误","")</f>
        <v/>
      </c>
      <c r="C1863" s="14">
        <f>IF('05_层级表现LOD'!A363&lt;&gt;"","05_层级表现LOD","")</f>
        <v/>
      </c>
      <c r="D1863" s="14">
        <f>IF('05_层级表现LOD'!A363&lt;&gt;"",'05_层级表现LOD'!A363,"")</f>
        <v/>
      </c>
      <c r="E1863" s="14">
        <f>IF(F1863&lt;&gt;"","综合校验","")</f>
        <v/>
      </c>
      <c r="F1863" s="14">
        <f>IF('05_层级表现LOD'!A363&lt;&gt;"",IF('05_层级表现LOD'!A363="","缺少对象ID；","")&amp;IF('05_层级表现LOD'!B363="","缺少对象类别；","")&amp;IF(AND('05_层级表现LOD'!A363&lt;&gt;"",COUNTIF('02_固定地理'!$A$2:$A$501,'05_层级表现LOD'!A363)+COUNTIF('03_地点锚点'!$A$2:$A$501,'05_层级表现LOD'!A363)+COUNTIF('04_路径网络'!$A$2:$A$501,'05_层级表现LOD'!A363)+COUNTIF('06_建筑锚点'!$A$2:$A$501,'05_层级表现LOD'!A363)=0),"LOD引用对象不存在；","")&amp;IF(AND('05_层级表现LOD'!A363&lt;&gt;"",COUNTIF('05_层级表现LOD'!$A$2:$A$501,'05_层级表现LOD'!A363)&gt;1),"ID重复；",""),"")</f>
        <v/>
      </c>
      <c r="G1863" s="14">
        <f>IF(F1863&lt;&gt;"","按字段批注、数据字典和来源记录修正后复核","")</f>
        <v/>
      </c>
      <c r="H1863" s="14">
        <f>IF(F1863&lt;&gt;"","待处理","")</f>
        <v/>
      </c>
    </row>
    <row r="1864">
      <c r="A1864" s="14">
        <f>IF(F1864&lt;&gt;"","ISSUE-"&amp;TEXT(ROW()-1,"00000"),"")</f>
        <v/>
      </c>
      <c r="B1864" s="14">
        <f>IF(F1864&lt;&gt;"","错误","")</f>
        <v/>
      </c>
      <c r="C1864" s="14">
        <f>IF('05_层级表现LOD'!A364&lt;&gt;"","05_层级表现LOD","")</f>
        <v/>
      </c>
      <c r="D1864" s="14">
        <f>IF('05_层级表现LOD'!A364&lt;&gt;"",'05_层级表现LOD'!A364,"")</f>
        <v/>
      </c>
      <c r="E1864" s="14">
        <f>IF(F1864&lt;&gt;"","综合校验","")</f>
        <v/>
      </c>
      <c r="F1864" s="14">
        <f>IF('05_层级表现LOD'!A364&lt;&gt;"",IF('05_层级表现LOD'!A364="","缺少对象ID；","")&amp;IF('05_层级表现LOD'!B364="","缺少对象类别；","")&amp;IF(AND('05_层级表现LOD'!A364&lt;&gt;"",COUNTIF('02_固定地理'!$A$2:$A$501,'05_层级表现LOD'!A364)+COUNTIF('03_地点锚点'!$A$2:$A$501,'05_层级表现LOD'!A364)+COUNTIF('04_路径网络'!$A$2:$A$501,'05_层级表现LOD'!A364)+COUNTIF('06_建筑锚点'!$A$2:$A$501,'05_层级表现LOD'!A364)=0),"LOD引用对象不存在；","")&amp;IF(AND('05_层级表现LOD'!A364&lt;&gt;"",COUNTIF('05_层级表现LOD'!$A$2:$A$501,'05_层级表现LOD'!A364)&gt;1),"ID重复；",""),"")</f>
        <v/>
      </c>
      <c r="G1864" s="14">
        <f>IF(F1864&lt;&gt;"","按字段批注、数据字典和来源记录修正后复核","")</f>
        <v/>
      </c>
      <c r="H1864" s="14">
        <f>IF(F1864&lt;&gt;"","待处理","")</f>
        <v/>
      </c>
    </row>
    <row r="1865">
      <c r="A1865" s="14">
        <f>IF(F1865&lt;&gt;"","ISSUE-"&amp;TEXT(ROW()-1,"00000"),"")</f>
        <v/>
      </c>
      <c r="B1865" s="14">
        <f>IF(F1865&lt;&gt;"","错误","")</f>
        <v/>
      </c>
      <c r="C1865" s="14">
        <f>IF('05_层级表现LOD'!A365&lt;&gt;"","05_层级表现LOD","")</f>
        <v/>
      </c>
      <c r="D1865" s="14">
        <f>IF('05_层级表现LOD'!A365&lt;&gt;"",'05_层级表现LOD'!A365,"")</f>
        <v/>
      </c>
      <c r="E1865" s="14">
        <f>IF(F1865&lt;&gt;"","综合校验","")</f>
        <v/>
      </c>
      <c r="F1865" s="14">
        <f>IF('05_层级表现LOD'!A365&lt;&gt;"",IF('05_层级表现LOD'!A365="","缺少对象ID；","")&amp;IF('05_层级表现LOD'!B365="","缺少对象类别；","")&amp;IF(AND('05_层级表现LOD'!A365&lt;&gt;"",COUNTIF('02_固定地理'!$A$2:$A$501,'05_层级表现LOD'!A365)+COUNTIF('03_地点锚点'!$A$2:$A$501,'05_层级表现LOD'!A365)+COUNTIF('04_路径网络'!$A$2:$A$501,'05_层级表现LOD'!A365)+COUNTIF('06_建筑锚点'!$A$2:$A$501,'05_层级表现LOD'!A365)=0),"LOD引用对象不存在；","")&amp;IF(AND('05_层级表现LOD'!A365&lt;&gt;"",COUNTIF('05_层级表现LOD'!$A$2:$A$501,'05_层级表现LOD'!A365)&gt;1),"ID重复；",""),"")</f>
        <v/>
      </c>
      <c r="G1865" s="14">
        <f>IF(F1865&lt;&gt;"","按字段批注、数据字典和来源记录修正后复核","")</f>
        <v/>
      </c>
      <c r="H1865" s="14">
        <f>IF(F1865&lt;&gt;"","待处理","")</f>
        <v/>
      </c>
    </row>
    <row r="1866">
      <c r="A1866" s="14">
        <f>IF(F1866&lt;&gt;"","ISSUE-"&amp;TEXT(ROW()-1,"00000"),"")</f>
        <v/>
      </c>
      <c r="B1866" s="14">
        <f>IF(F1866&lt;&gt;"","错误","")</f>
        <v/>
      </c>
      <c r="C1866" s="14">
        <f>IF('05_层级表现LOD'!A366&lt;&gt;"","05_层级表现LOD","")</f>
        <v/>
      </c>
      <c r="D1866" s="14">
        <f>IF('05_层级表现LOD'!A366&lt;&gt;"",'05_层级表现LOD'!A366,"")</f>
        <v/>
      </c>
      <c r="E1866" s="14">
        <f>IF(F1866&lt;&gt;"","综合校验","")</f>
        <v/>
      </c>
      <c r="F1866" s="14">
        <f>IF('05_层级表现LOD'!A366&lt;&gt;"",IF('05_层级表现LOD'!A366="","缺少对象ID；","")&amp;IF('05_层级表现LOD'!B366="","缺少对象类别；","")&amp;IF(AND('05_层级表现LOD'!A366&lt;&gt;"",COUNTIF('02_固定地理'!$A$2:$A$501,'05_层级表现LOD'!A366)+COUNTIF('03_地点锚点'!$A$2:$A$501,'05_层级表现LOD'!A366)+COUNTIF('04_路径网络'!$A$2:$A$501,'05_层级表现LOD'!A366)+COUNTIF('06_建筑锚点'!$A$2:$A$501,'05_层级表现LOD'!A366)=0),"LOD引用对象不存在；","")&amp;IF(AND('05_层级表现LOD'!A366&lt;&gt;"",COUNTIF('05_层级表现LOD'!$A$2:$A$501,'05_层级表现LOD'!A366)&gt;1),"ID重复；",""),"")</f>
        <v/>
      </c>
      <c r="G1866" s="14">
        <f>IF(F1866&lt;&gt;"","按字段批注、数据字典和来源记录修正后复核","")</f>
        <v/>
      </c>
      <c r="H1866" s="14">
        <f>IF(F1866&lt;&gt;"","待处理","")</f>
        <v/>
      </c>
    </row>
    <row r="1867">
      <c r="A1867" s="14">
        <f>IF(F1867&lt;&gt;"","ISSUE-"&amp;TEXT(ROW()-1,"00000"),"")</f>
        <v/>
      </c>
      <c r="B1867" s="14">
        <f>IF(F1867&lt;&gt;"","错误","")</f>
        <v/>
      </c>
      <c r="C1867" s="14">
        <f>IF('05_层级表现LOD'!A367&lt;&gt;"","05_层级表现LOD","")</f>
        <v/>
      </c>
      <c r="D1867" s="14">
        <f>IF('05_层级表现LOD'!A367&lt;&gt;"",'05_层级表现LOD'!A367,"")</f>
        <v/>
      </c>
      <c r="E1867" s="14">
        <f>IF(F1867&lt;&gt;"","综合校验","")</f>
        <v/>
      </c>
      <c r="F1867" s="14">
        <f>IF('05_层级表现LOD'!A367&lt;&gt;"",IF('05_层级表现LOD'!A367="","缺少对象ID；","")&amp;IF('05_层级表现LOD'!B367="","缺少对象类别；","")&amp;IF(AND('05_层级表现LOD'!A367&lt;&gt;"",COUNTIF('02_固定地理'!$A$2:$A$501,'05_层级表现LOD'!A367)+COUNTIF('03_地点锚点'!$A$2:$A$501,'05_层级表现LOD'!A367)+COUNTIF('04_路径网络'!$A$2:$A$501,'05_层级表现LOD'!A367)+COUNTIF('06_建筑锚点'!$A$2:$A$501,'05_层级表现LOD'!A367)=0),"LOD引用对象不存在；","")&amp;IF(AND('05_层级表现LOD'!A367&lt;&gt;"",COUNTIF('05_层级表现LOD'!$A$2:$A$501,'05_层级表现LOD'!A367)&gt;1),"ID重复；",""),"")</f>
        <v/>
      </c>
      <c r="G1867" s="14">
        <f>IF(F1867&lt;&gt;"","按字段批注、数据字典和来源记录修正后复核","")</f>
        <v/>
      </c>
      <c r="H1867" s="14">
        <f>IF(F1867&lt;&gt;"","待处理","")</f>
        <v/>
      </c>
    </row>
    <row r="1868">
      <c r="A1868" s="14">
        <f>IF(F1868&lt;&gt;"","ISSUE-"&amp;TEXT(ROW()-1,"00000"),"")</f>
        <v/>
      </c>
      <c r="B1868" s="14">
        <f>IF(F1868&lt;&gt;"","错误","")</f>
        <v/>
      </c>
      <c r="C1868" s="14">
        <f>IF('05_层级表现LOD'!A368&lt;&gt;"","05_层级表现LOD","")</f>
        <v/>
      </c>
      <c r="D1868" s="14">
        <f>IF('05_层级表现LOD'!A368&lt;&gt;"",'05_层级表现LOD'!A368,"")</f>
        <v/>
      </c>
      <c r="E1868" s="14">
        <f>IF(F1868&lt;&gt;"","综合校验","")</f>
        <v/>
      </c>
      <c r="F1868" s="14">
        <f>IF('05_层级表现LOD'!A368&lt;&gt;"",IF('05_层级表现LOD'!A368="","缺少对象ID；","")&amp;IF('05_层级表现LOD'!B368="","缺少对象类别；","")&amp;IF(AND('05_层级表现LOD'!A368&lt;&gt;"",COUNTIF('02_固定地理'!$A$2:$A$501,'05_层级表现LOD'!A368)+COUNTIF('03_地点锚点'!$A$2:$A$501,'05_层级表现LOD'!A368)+COUNTIF('04_路径网络'!$A$2:$A$501,'05_层级表现LOD'!A368)+COUNTIF('06_建筑锚点'!$A$2:$A$501,'05_层级表现LOD'!A368)=0),"LOD引用对象不存在；","")&amp;IF(AND('05_层级表现LOD'!A368&lt;&gt;"",COUNTIF('05_层级表现LOD'!$A$2:$A$501,'05_层级表现LOD'!A368)&gt;1),"ID重复；",""),"")</f>
        <v/>
      </c>
      <c r="G1868" s="14">
        <f>IF(F1868&lt;&gt;"","按字段批注、数据字典和来源记录修正后复核","")</f>
        <v/>
      </c>
      <c r="H1868" s="14">
        <f>IF(F1868&lt;&gt;"","待处理","")</f>
        <v/>
      </c>
    </row>
    <row r="1869">
      <c r="A1869" s="14">
        <f>IF(F1869&lt;&gt;"","ISSUE-"&amp;TEXT(ROW()-1,"00000"),"")</f>
        <v/>
      </c>
      <c r="B1869" s="14">
        <f>IF(F1869&lt;&gt;"","错误","")</f>
        <v/>
      </c>
      <c r="C1869" s="14">
        <f>IF('05_层级表现LOD'!A369&lt;&gt;"","05_层级表现LOD","")</f>
        <v/>
      </c>
      <c r="D1869" s="14">
        <f>IF('05_层级表现LOD'!A369&lt;&gt;"",'05_层级表现LOD'!A369,"")</f>
        <v/>
      </c>
      <c r="E1869" s="14">
        <f>IF(F1869&lt;&gt;"","综合校验","")</f>
        <v/>
      </c>
      <c r="F1869" s="14">
        <f>IF('05_层级表现LOD'!A369&lt;&gt;"",IF('05_层级表现LOD'!A369="","缺少对象ID；","")&amp;IF('05_层级表现LOD'!B369="","缺少对象类别；","")&amp;IF(AND('05_层级表现LOD'!A369&lt;&gt;"",COUNTIF('02_固定地理'!$A$2:$A$501,'05_层级表现LOD'!A369)+COUNTIF('03_地点锚点'!$A$2:$A$501,'05_层级表现LOD'!A369)+COUNTIF('04_路径网络'!$A$2:$A$501,'05_层级表现LOD'!A369)+COUNTIF('06_建筑锚点'!$A$2:$A$501,'05_层级表现LOD'!A369)=0),"LOD引用对象不存在；","")&amp;IF(AND('05_层级表现LOD'!A369&lt;&gt;"",COUNTIF('05_层级表现LOD'!$A$2:$A$501,'05_层级表现LOD'!A369)&gt;1),"ID重复；",""),"")</f>
        <v/>
      </c>
      <c r="G1869" s="14">
        <f>IF(F1869&lt;&gt;"","按字段批注、数据字典和来源记录修正后复核","")</f>
        <v/>
      </c>
      <c r="H1869" s="14">
        <f>IF(F1869&lt;&gt;"","待处理","")</f>
        <v/>
      </c>
    </row>
    <row r="1870">
      <c r="A1870" s="14">
        <f>IF(F1870&lt;&gt;"","ISSUE-"&amp;TEXT(ROW()-1,"00000"),"")</f>
        <v/>
      </c>
      <c r="B1870" s="14">
        <f>IF(F1870&lt;&gt;"","错误","")</f>
        <v/>
      </c>
      <c r="C1870" s="14">
        <f>IF('05_层级表现LOD'!A370&lt;&gt;"","05_层级表现LOD","")</f>
        <v/>
      </c>
      <c r="D1870" s="14">
        <f>IF('05_层级表现LOD'!A370&lt;&gt;"",'05_层级表现LOD'!A370,"")</f>
        <v/>
      </c>
      <c r="E1870" s="14">
        <f>IF(F1870&lt;&gt;"","综合校验","")</f>
        <v/>
      </c>
      <c r="F1870" s="14">
        <f>IF('05_层级表现LOD'!A370&lt;&gt;"",IF('05_层级表现LOD'!A370="","缺少对象ID；","")&amp;IF('05_层级表现LOD'!B370="","缺少对象类别；","")&amp;IF(AND('05_层级表现LOD'!A370&lt;&gt;"",COUNTIF('02_固定地理'!$A$2:$A$501,'05_层级表现LOD'!A370)+COUNTIF('03_地点锚点'!$A$2:$A$501,'05_层级表现LOD'!A370)+COUNTIF('04_路径网络'!$A$2:$A$501,'05_层级表现LOD'!A370)+COUNTIF('06_建筑锚点'!$A$2:$A$501,'05_层级表现LOD'!A370)=0),"LOD引用对象不存在；","")&amp;IF(AND('05_层级表现LOD'!A370&lt;&gt;"",COUNTIF('05_层级表现LOD'!$A$2:$A$501,'05_层级表现LOD'!A370)&gt;1),"ID重复；",""),"")</f>
        <v/>
      </c>
      <c r="G1870" s="14">
        <f>IF(F1870&lt;&gt;"","按字段批注、数据字典和来源记录修正后复核","")</f>
        <v/>
      </c>
      <c r="H1870" s="14">
        <f>IF(F1870&lt;&gt;"","待处理","")</f>
        <v/>
      </c>
    </row>
    <row r="1871">
      <c r="A1871" s="14">
        <f>IF(F1871&lt;&gt;"","ISSUE-"&amp;TEXT(ROW()-1,"00000"),"")</f>
        <v/>
      </c>
      <c r="B1871" s="14">
        <f>IF(F1871&lt;&gt;"","错误","")</f>
        <v/>
      </c>
      <c r="C1871" s="14">
        <f>IF('05_层级表现LOD'!A371&lt;&gt;"","05_层级表现LOD","")</f>
        <v/>
      </c>
      <c r="D1871" s="14">
        <f>IF('05_层级表现LOD'!A371&lt;&gt;"",'05_层级表现LOD'!A371,"")</f>
        <v/>
      </c>
      <c r="E1871" s="14">
        <f>IF(F1871&lt;&gt;"","综合校验","")</f>
        <v/>
      </c>
      <c r="F1871" s="14">
        <f>IF('05_层级表现LOD'!A371&lt;&gt;"",IF('05_层级表现LOD'!A371="","缺少对象ID；","")&amp;IF('05_层级表现LOD'!B371="","缺少对象类别；","")&amp;IF(AND('05_层级表现LOD'!A371&lt;&gt;"",COUNTIF('02_固定地理'!$A$2:$A$501,'05_层级表现LOD'!A371)+COUNTIF('03_地点锚点'!$A$2:$A$501,'05_层级表现LOD'!A371)+COUNTIF('04_路径网络'!$A$2:$A$501,'05_层级表现LOD'!A371)+COUNTIF('06_建筑锚点'!$A$2:$A$501,'05_层级表现LOD'!A371)=0),"LOD引用对象不存在；","")&amp;IF(AND('05_层级表现LOD'!A371&lt;&gt;"",COUNTIF('05_层级表现LOD'!$A$2:$A$501,'05_层级表现LOD'!A371)&gt;1),"ID重复；",""),"")</f>
        <v/>
      </c>
      <c r="G1871" s="14">
        <f>IF(F1871&lt;&gt;"","按字段批注、数据字典和来源记录修正后复核","")</f>
        <v/>
      </c>
      <c r="H1871" s="14">
        <f>IF(F1871&lt;&gt;"","待处理","")</f>
        <v/>
      </c>
    </row>
    <row r="1872">
      <c r="A1872" s="14">
        <f>IF(F1872&lt;&gt;"","ISSUE-"&amp;TEXT(ROW()-1,"00000"),"")</f>
        <v/>
      </c>
      <c r="B1872" s="14">
        <f>IF(F1872&lt;&gt;"","错误","")</f>
        <v/>
      </c>
      <c r="C1872" s="14">
        <f>IF('05_层级表现LOD'!A372&lt;&gt;"","05_层级表现LOD","")</f>
        <v/>
      </c>
      <c r="D1872" s="14">
        <f>IF('05_层级表现LOD'!A372&lt;&gt;"",'05_层级表现LOD'!A372,"")</f>
        <v/>
      </c>
      <c r="E1872" s="14">
        <f>IF(F1872&lt;&gt;"","综合校验","")</f>
        <v/>
      </c>
      <c r="F1872" s="14">
        <f>IF('05_层级表现LOD'!A372&lt;&gt;"",IF('05_层级表现LOD'!A372="","缺少对象ID；","")&amp;IF('05_层级表现LOD'!B372="","缺少对象类别；","")&amp;IF(AND('05_层级表现LOD'!A372&lt;&gt;"",COUNTIF('02_固定地理'!$A$2:$A$501,'05_层级表现LOD'!A372)+COUNTIF('03_地点锚点'!$A$2:$A$501,'05_层级表现LOD'!A372)+COUNTIF('04_路径网络'!$A$2:$A$501,'05_层级表现LOD'!A372)+COUNTIF('06_建筑锚点'!$A$2:$A$501,'05_层级表现LOD'!A372)=0),"LOD引用对象不存在；","")&amp;IF(AND('05_层级表现LOD'!A372&lt;&gt;"",COUNTIF('05_层级表现LOD'!$A$2:$A$501,'05_层级表现LOD'!A372)&gt;1),"ID重复；",""),"")</f>
        <v/>
      </c>
      <c r="G1872" s="14">
        <f>IF(F1872&lt;&gt;"","按字段批注、数据字典和来源记录修正后复核","")</f>
        <v/>
      </c>
      <c r="H1872" s="14">
        <f>IF(F1872&lt;&gt;"","待处理","")</f>
        <v/>
      </c>
    </row>
    <row r="1873">
      <c r="A1873" s="14">
        <f>IF(F1873&lt;&gt;"","ISSUE-"&amp;TEXT(ROW()-1,"00000"),"")</f>
        <v/>
      </c>
      <c r="B1873" s="14">
        <f>IF(F1873&lt;&gt;"","错误","")</f>
        <v/>
      </c>
      <c r="C1873" s="14">
        <f>IF('05_层级表现LOD'!A373&lt;&gt;"","05_层级表现LOD","")</f>
        <v/>
      </c>
      <c r="D1873" s="14">
        <f>IF('05_层级表现LOD'!A373&lt;&gt;"",'05_层级表现LOD'!A373,"")</f>
        <v/>
      </c>
      <c r="E1873" s="14">
        <f>IF(F1873&lt;&gt;"","综合校验","")</f>
        <v/>
      </c>
      <c r="F1873" s="14">
        <f>IF('05_层级表现LOD'!A373&lt;&gt;"",IF('05_层级表现LOD'!A373="","缺少对象ID；","")&amp;IF('05_层级表现LOD'!B373="","缺少对象类别；","")&amp;IF(AND('05_层级表现LOD'!A373&lt;&gt;"",COUNTIF('02_固定地理'!$A$2:$A$501,'05_层级表现LOD'!A373)+COUNTIF('03_地点锚点'!$A$2:$A$501,'05_层级表现LOD'!A373)+COUNTIF('04_路径网络'!$A$2:$A$501,'05_层级表现LOD'!A373)+COUNTIF('06_建筑锚点'!$A$2:$A$501,'05_层级表现LOD'!A373)=0),"LOD引用对象不存在；","")&amp;IF(AND('05_层级表现LOD'!A373&lt;&gt;"",COUNTIF('05_层级表现LOD'!$A$2:$A$501,'05_层级表现LOD'!A373)&gt;1),"ID重复；",""),"")</f>
        <v/>
      </c>
      <c r="G1873" s="14">
        <f>IF(F1873&lt;&gt;"","按字段批注、数据字典和来源记录修正后复核","")</f>
        <v/>
      </c>
      <c r="H1873" s="14">
        <f>IF(F1873&lt;&gt;"","待处理","")</f>
        <v/>
      </c>
    </row>
    <row r="1874">
      <c r="A1874" s="14">
        <f>IF(F1874&lt;&gt;"","ISSUE-"&amp;TEXT(ROW()-1,"00000"),"")</f>
        <v/>
      </c>
      <c r="B1874" s="14">
        <f>IF(F1874&lt;&gt;"","错误","")</f>
        <v/>
      </c>
      <c r="C1874" s="14">
        <f>IF('05_层级表现LOD'!A374&lt;&gt;"","05_层级表现LOD","")</f>
        <v/>
      </c>
      <c r="D1874" s="14">
        <f>IF('05_层级表现LOD'!A374&lt;&gt;"",'05_层级表现LOD'!A374,"")</f>
        <v/>
      </c>
      <c r="E1874" s="14">
        <f>IF(F1874&lt;&gt;"","综合校验","")</f>
        <v/>
      </c>
      <c r="F1874" s="14">
        <f>IF('05_层级表现LOD'!A374&lt;&gt;"",IF('05_层级表现LOD'!A374="","缺少对象ID；","")&amp;IF('05_层级表现LOD'!B374="","缺少对象类别；","")&amp;IF(AND('05_层级表现LOD'!A374&lt;&gt;"",COUNTIF('02_固定地理'!$A$2:$A$501,'05_层级表现LOD'!A374)+COUNTIF('03_地点锚点'!$A$2:$A$501,'05_层级表现LOD'!A374)+COUNTIF('04_路径网络'!$A$2:$A$501,'05_层级表现LOD'!A374)+COUNTIF('06_建筑锚点'!$A$2:$A$501,'05_层级表现LOD'!A374)=0),"LOD引用对象不存在；","")&amp;IF(AND('05_层级表现LOD'!A374&lt;&gt;"",COUNTIF('05_层级表现LOD'!$A$2:$A$501,'05_层级表现LOD'!A374)&gt;1),"ID重复；",""),"")</f>
        <v/>
      </c>
      <c r="G1874" s="14">
        <f>IF(F1874&lt;&gt;"","按字段批注、数据字典和来源记录修正后复核","")</f>
        <v/>
      </c>
      <c r="H1874" s="14">
        <f>IF(F1874&lt;&gt;"","待处理","")</f>
        <v/>
      </c>
    </row>
    <row r="1875">
      <c r="A1875" s="14">
        <f>IF(F1875&lt;&gt;"","ISSUE-"&amp;TEXT(ROW()-1,"00000"),"")</f>
        <v/>
      </c>
      <c r="B1875" s="14">
        <f>IF(F1875&lt;&gt;"","错误","")</f>
        <v/>
      </c>
      <c r="C1875" s="14">
        <f>IF('05_层级表现LOD'!A375&lt;&gt;"","05_层级表现LOD","")</f>
        <v/>
      </c>
      <c r="D1875" s="14">
        <f>IF('05_层级表现LOD'!A375&lt;&gt;"",'05_层级表现LOD'!A375,"")</f>
        <v/>
      </c>
      <c r="E1875" s="14">
        <f>IF(F1875&lt;&gt;"","综合校验","")</f>
        <v/>
      </c>
      <c r="F1875" s="14">
        <f>IF('05_层级表现LOD'!A375&lt;&gt;"",IF('05_层级表现LOD'!A375="","缺少对象ID；","")&amp;IF('05_层级表现LOD'!B375="","缺少对象类别；","")&amp;IF(AND('05_层级表现LOD'!A375&lt;&gt;"",COUNTIF('02_固定地理'!$A$2:$A$501,'05_层级表现LOD'!A375)+COUNTIF('03_地点锚点'!$A$2:$A$501,'05_层级表现LOD'!A375)+COUNTIF('04_路径网络'!$A$2:$A$501,'05_层级表现LOD'!A375)+COUNTIF('06_建筑锚点'!$A$2:$A$501,'05_层级表现LOD'!A375)=0),"LOD引用对象不存在；","")&amp;IF(AND('05_层级表现LOD'!A375&lt;&gt;"",COUNTIF('05_层级表现LOD'!$A$2:$A$501,'05_层级表现LOD'!A375)&gt;1),"ID重复；",""),"")</f>
        <v/>
      </c>
      <c r="G1875" s="14">
        <f>IF(F1875&lt;&gt;"","按字段批注、数据字典和来源记录修正后复核","")</f>
        <v/>
      </c>
      <c r="H1875" s="14">
        <f>IF(F1875&lt;&gt;"","待处理","")</f>
        <v/>
      </c>
    </row>
    <row r="1876">
      <c r="A1876" s="14">
        <f>IF(F1876&lt;&gt;"","ISSUE-"&amp;TEXT(ROW()-1,"00000"),"")</f>
        <v/>
      </c>
      <c r="B1876" s="14">
        <f>IF(F1876&lt;&gt;"","错误","")</f>
        <v/>
      </c>
      <c r="C1876" s="14">
        <f>IF('05_层级表现LOD'!A376&lt;&gt;"","05_层级表现LOD","")</f>
        <v/>
      </c>
      <c r="D1876" s="14">
        <f>IF('05_层级表现LOD'!A376&lt;&gt;"",'05_层级表现LOD'!A376,"")</f>
        <v/>
      </c>
      <c r="E1876" s="14">
        <f>IF(F1876&lt;&gt;"","综合校验","")</f>
        <v/>
      </c>
      <c r="F1876" s="14">
        <f>IF('05_层级表现LOD'!A376&lt;&gt;"",IF('05_层级表现LOD'!A376="","缺少对象ID；","")&amp;IF('05_层级表现LOD'!B376="","缺少对象类别；","")&amp;IF(AND('05_层级表现LOD'!A376&lt;&gt;"",COUNTIF('02_固定地理'!$A$2:$A$501,'05_层级表现LOD'!A376)+COUNTIF('03_地点锚点'!$A$2:$A$501,'05_层级表现LOD'!A376)+COUNTIF('04_路径网络'!$A$2:$A$501,'05_层级表现LOD'!A376)+COUNTIF('06_建筑锚点'!$A$2:$A$501,'05_层级表现LOD'!A376)=0),"LOD引用对象不存在；","")&amp;IF(AND('05_层级表现LOD'!A376&lt;&gt;"",COUNTIF('05_层级表现LOD'!$A$2:$A$501,'05_层级表现LOD'!A376)&gt;1),"ID重复；",""),"")</f>
        <v/>
      </c>
      <c r="G1876" s="14">
        <f>IF(F1876&lt;&gt;"","按字段批注、数据字典和来源记录修正后复核","")</f>
        <v/>
      </c>
      <c r="H1876" s="14">
        <f>IF(F1876&lt;&gt;"","待处理","")</f>
        <v/>
      </c>
    </row>
    <row r="1877">
      <c r="A1877" s="14">
        <f>IF(F1877&lt;&gt;"","ISSUE-"&amp;TEXT(ROW()-1,"00000"),"")</f>
        <v/>
      </c>
      <c r="B1877" s="14">
        <f>IF(F1877&lt;&gt;"","错误","")</f>
        <v/>
      </c>
      <c r="C1877" s="14">
        <f>IF('05_层级表现LOD'!A377&lt;&gt;"","05_层级表现LOD","")</f>
        <v/>
      </c>
      <c r="D1877" s="14">
        <f>IF('05_层级表现LOD'!A377&lt;&gt;"",'05_层级表现LOD'!A377,"")</f>
        <v/>
      </c>
      <c r="E1877" s="14">
        <f>IF(F1877&lt;&gt;"","综合校验","")</f>
        <v/>
      </c>
      <c r="F1877" s="14">
        <f>IF('05_层级表现LOD'!A377&lt;&gt;"",IF('05_层级表现LOD'!A377="","缺少对象ID；","")&amp;IF('05_层级表现LOD'!B377="","缺少对象类别；","")&amp;IF(AND('05_层级表现LOD'!A377&lt;&gt;"",COUNTIF('02_固定地理'!$A$2:$A$501,'05_层级表现LOD'!A377)+COUNTIF('03_地点锚点'!$A$2:$A$501,'05_层级表现LOD'!A377)+COUNTIF('04_路径网络'!$A$2:$A$501,'05_层级表现LOD'!A377)+COUNTIF('06_建筑锚点'!$A$2:$A$501,'05_层级表现LOD'!A377)=0),"LOD引用对象不存在；","")&amp;IF(AND('05_层级表现LOD'!A377&lt;&gt;"",COUNTIF('05_层级表现LOD'!$A$2:$A$501,'05_层级表现LOD'!A377)&gt;1),"ID重复；",""),"")</f>
        <v/>
      </c>
      <c r="G1877" s="14">
        <f>IF(F1877&lt;&gt;"","按字段批注、数据字典和来源记录修正后复核","")</f>
        <v/>
      </c>
      <c r="H1877" s="14">
        <f>IF(F1877&lt;&gt;"","待处理","")</f>
        <v/>
      </c>
    </row>
    <row r="1878">
      <c r="A1878" s="14">
        <f>IF(F1878&lt;&gt;"","ISSUE-"&amp;TEXT(ROW()-1,"00000"),"")</f>
        <v/>
      </c>
      <c r="B1878" s="14">
        <f>IF(F1878&lt;&gt;"","错误","")</f>
        <v/>
      </c>
      <c r="C1878" s="14">
        <f>IF('05_层级表现LOD'!A378&lt;&gt;"","05_层级表现LOD","")</f>
        <v/>
      </c>
      <c r="D1878" s="14">
        <f>IF('05_层级表现LOD'!A378&lt;&gt;"",'05_层级表现LOD'!A378,"")</f>
        <v/>
      </c>
      <c r="E1878" s="14">
        <f>IF(F1878&lt;&gt;"","综合校验","")</f>
        <v/>
      </c>
      <c r="F1878" s="14">
        <f>IF('05_层级表现LOD'!A378&lt;&gt;"",IF('05_层级表现LOD'!A378="","缺少对象ID；","")&amp;IF('05_层级表现LOD'!B378="","缺少对象类别；","")&amp;IF(AND('05_层级表现LOD'!A378&lt;&gt;"",COUNTIF('02_固定地理'!$A$2:$A$501,'05_层级表现LOD'!A378)+COUNTIF('03_地点锚点'!$A$2:$A$501,'05_层级表现LOD'!A378)+COUNTIF('04_路径网络'!$A$2:$A$501,'05_层级表现LOD'!A378)+COUNTIF('06_建筑锚点'!$A$2:$A$501,'05_层级表现LOD'!A378)=0),"LOD引用对象不存在；","")&amp;IF(AND('05_层级表现LOD'!A378&lt;&gt;"",COUNTIF('05_层级表现LOD'!$A$2:$A$501,'05_层级表现LOD'!A378)&gt;1),"ID重复；",""),"")</f>
        <v/>
      </c>
      <c r="G1878" s="14">
        <f>IF(F1878&lt;&gt;"","按字段批注、数据字典和来源记录修正后复核","")</f>
        <v/>
      </c>
      <c r="H1878" s="14">
        <f>IF(F1878&lt;&gt;"","待处理","")</f>
        <v/>
      </c>
    </row>
    <row r="1879">
      <c r="A1879" s="14">
        <f>IF(F1879&lt;&gt;"","ISSUE-"&amp;TEXT(ROW()-1,"00000"),"")</f>
        <v/>
      </c>
      <c r="B1879" s="14">
        <f>IF(F1879&lt;&gt;"","错误","")</f>
        <v/>
      </c>
      <c r="C1879" s="14">
        <f>IF('05_层级表现LOD'!A379&lt;&gt;"","05_层级表现LOD","")</f>
        <v/>
      </c>
      <c r="D1879" s="14">
        <f>IF('05_层级表现LOD'!A379&lt;&gt;"",'05_层级表现LOD'!A379,"")</f>
        <v/>
      </c>
      <c r="E1879" s="14">
        <f>IF(F1879&lt;&gt;"","综合校验","")</f>
        <v/>
      </c>
      <c r="F1879" s="14">
        <f>IF('05_层级表现LOD'!A379&lt;&gt;"",IF('05_层级表现LOD'!A379="","缺少对象ID；","")&amp;IF('05_层级表现LOD'!B379="","缺少对象类别；","")&amp;IF(AND('05_层级表现LOD'!A379&lt;&gt;"",COUNTIF('02_固定地理'!$A$2:$A$501,'05_层级表现LOD'!A379)+COUNTIF('03_地点锚点'!$A$2:$A$501,'05_层级表现LOD'!A379)+COUNTIF('04_路径网络'!$A$2:$A$501,'05_层级表现LOD'!A379)+COUNTIF('06_建筑锚点'!$A$2:$A$501,'05_层级表现LOD'!A379)=0),"LOD引用对象不存在；","")&amp;IF(AND('05_层级表现LOD'!A379&lt;&gt;"",COUNTIF('05_层级表现LOD'!$A$2:$A$501,'05_层级表现LOD'!A379)&gt;1),"ID重复；",""),"")</f>
        <v/>
      </c>
      <c r="G1879" s="14">
        <f>IF(F1879&lt;&gt;"","按字段批注、数据字典和来源记录修正后复核","")</f>
        <v/>
      </c>
      <c r="H1879" s="14">
        <f>IF(F1879&lt;&gt;"","待处理","")</f>
        <v/>
      </c>
    </row>
    <row r="1880">
      <c r="A1880" s="14">
        <f>IF(F1880&lt;&gt;"","ISSUE-"&amp;TEXT(ROW()-1,"00000"),"")</f>
        <v/>
      </c>
      <c r="B1880" s="14">
        <f>IF(F1880&lt;&gt;"","错误","")</f>
        <v/>
      </c>
      <c r="C1880" s="14">
        <f>IF('05_层级表现LOD'!A380&lt;&gt;"","05_层级表现LOD","")</f>
        <v/>
      </c>
      <c r="D1880" s="14">
        <f>IF('05_层级表现LOD'!A380&lt;&gt;"",'05_层级表现LOD'!A380,"")</f>
        <v/>
      </c>
      <c r="E1880" s="14">
        <f>IF(F1880&lt;&gt;"","综合校验","")</f>
        <v/>
      </c>
      <c r="F1880" s="14">
        <f>IF('05_层级表现LOD'!A380&lt;&gt;"",IF('05_层级表现LOD'!A380="","缺少对象ID；","")&amp;IF('05_层级表现LOD'!B380="","缺少对象类别；","")&amp;IF(AND('05_层级表现LOD'!A380&lt;&gt;"",COUNTIF('02_固定地理'!$A$2:$A$501,'05_层级表现LOD'!A380)+COUNTIF('03_地点锚点'!$A$2:$A$501,'05_层级表现LOD'!A380)+COUNTIF('04_路径网络'!$A$2:$A$501,'05_层级表现LOD'!A380)+COUNTIF('06_建筑锚点'!$A$2:$A$501,'05_层级表现LOD'!A380)=0),"LOD引用对象不存在；","")&amp;IF(AND('05_层级表现LOD'!A380&lt;&gt;"",COUNTIF('05_层级表现LOD'!$A$2:$A$501,'05_层级表现LOD'!A380)&gt;1),"ID重复；",""),"")</f>
        <v/>
      </c>
      <c r="G1880" s="14">
        <f>IF(F1880&lt;&gt;"","按字段批注、数据字典和来源记录修正后复核","")</f>
        <v/>
      </c>
      <c r="H1880" s="14">
        <f>IF(F1880&lt;&gt;"","待处理","")</f>
        <v/>
      </c>
    </row>
    <row r="1881">
      <c r="A1881" s="14">
        <f>IF(F1881&lt;&gt;"","ISSUE-"&amp;TEXT(ROW()-1,"00000"),"")</f>
        <v/>
      </c>
      <c r="B1881" s="14">
        <f>IF(F1881&lt;&gt;"","错误","")</f>
        <v/>
      </c>
      <c r="C1881" s="14">
        <f>IF('05_层级表现LOD'!A381&lt;&gt;"","05_层级表现LOD","")</f>
        <v/>
      </c>
      <c r="D1881" s="14">
        <f>IF('05_层级表现LOD'!A381&lt;&gt;"",'05_层级表现LOD'!A381,"")</f>
        <v/>
      </c>
      <c r="E1881" s="14">
        <f>IF(F1881&lt;&gt;"","综合校验","")</f>
        <v/>
      </c>
      <c r="F1881" s="14">
        <f>IF('05_层级表现LOD'!A381&lt;&gt;"",IF('05_层级表现LOD'!A381="","缺少对象ID；","")&amp;IF('05_层级表现LOD'!B381="","缺少对象类别；","")&amp;IF(AND('05_层级表现LOD'!A381&lt;&gt;"",COUNTIF('02_固定地理'!$A$2:$A$501,'05_层级表现LOD'!A381)+COUNTIF('03_地点锚点'!$A$2:$A$501,'05_层级表现LOD'!A381)+COUNTIF('04_路径网络'!$A$2:$A$501,'05_层级表现LOD'!A381)+COUNTIF('06_建筑锚点'!$A$2:$A$501,'05_层级表现LOD'!A381)=0),"LOD引用对象不存在；","")&amp;IF(AND('05_层级表现LOD'!A381&lt;&gt;"",COUNTIF('05_层级表现LOD'!$A$2:$A$501,'05_层级表现LOD'!A381)&gt;1),"ID重复；",""),"")</f>
        <v/>
      </c>
      <c r="G1881" s="14">
        <f>IF(F1881&lt;&gt;"","按字段批注、数据字典和来源记录修正后复核","")</f>
        <v/>
      </c>
      <c r="H1881" s="14">
        <f>IF(F1881&lt;&gt;"","待处理","")</f>
        <v/>
      </c>
    </row>
    <row r="1882">
      <c r="A1882" s="14">
        <f>IF(F1882&lt;&gt;"","ISSUE-"&amp;TEXT(ROW()-1,"00000"),"")</f>
        <v/>
      </c>
      <c r="B1882" s="14">
        <f>IF(F1882&lt;&gt;"","错误","")</f>
        <v/>
      </c>
      <c r="C1882" s="14">
        <f>IF('05_层级表现LOD'!A382&lt;&gt;"","05_层级表现LOD","")</f>
        <v/>
      </c>
      <c r="D1882" s="14">
        <f>IF('05_层级表现LOD'!A382&lt;&gt;"",'05_层级表现LOD'!A382,"")</f>
        <v/>
      </c>
      <c r="E1882" s="14">
        <f>IF(F1882&lt;&gt;"","综合校验","")</f>
        <v/>
      </c>
      <c r="F1882" s="14">
        <f>IF('05_层级表现LOD'!A382&lt;&gt;"",IF('05_层级表现LOD'!A382="","缺少对象ID；","")&amp;IF('05_层级表现LOD'!B382="","缺少对象类别；","")&amp;IF(AND('05_层级表现LOD'!A382&lt;&gt;"",COUNTIF('02_固定地理'!$A$2:$A$501,'05_层级表现LOD'!A382)+COUNTIF('03_地点锚点'!$A$2:$A$501,'05_层级表现LOD'!A382)+COUNTIF('04_路径网络'!$A$2:$A$501,'05_层级表现LOD'!A382)+COUNTIF('06_建筑锚点'!$A$2:$A$501,'05_层级表现LOD'!A382)=0),"LOD引用对象不存在；","")&amp;IF(AND('05_层级表现LOD'!A382&lt;&gt;"",COUNTIF('05_层级表现LOD'!$A$2:$A$501,'05_层级表现LOD'!A382)&gt;1),"ID重复；",""),"")</f>
        <v/>
      </c>
      <c r="G1882" s="14">
        <f>IF(F1882&lt;&gt;"","按字段批注、数据字典和来源记录修正后复核","")</f>
        <v/>
      </c>
      <c r="H1882" s="14">
        <f>IF(F1882&lt;&gt;"","待处理","")</f>
        <v/>
      </c>
    </row>
    <row r="1883">
      <c r="A1883" s="14">
        <f>IF(F1883&lt;&gt;"","ISSUE-"&amp;TEXT(ROW()-1,"00000"),"")</f>
        <v/>
      </c>
      <c r="B1883" s="14">
        <f>IF(F1883&lt;&gt;"","错误","")</f>
        <v/>
      </c>
      <c r="C1883" s="14">
        <f>IF('05_层级表现LOD'!A383&lt;&gt;"","05_层级表现LOD","")</f>
        <v/>
      </c>
      <c r="D1883" s="14">
        <f>IF('05_层级表现LOD'!A383&lt;&gt;"",'05_层级表现LOD'!A383,"")</f>
        <v/>
      </c>
      <c r="E1883" s="14">
        <f>IF(F1883&lt;&gt;"","综合校验","")</f>
        <v/>
      </c>
      <c r="F1883" s="14">
        <f>IF('05_层级表现LOD'!A383&lt;&gt;"",IF('05_层级表现LOD'!A383="","缺少对象ID；","")&amp;IF('05_层级表现LOD'!B383="","缺少对象类别；","")&amp;IF(AND('05_层级表现LOD'!A383&lt;&gt;"",COUNTIF('02_固定地理'!$A$2:$A$501,'05_层级表现LOD'!A383)+COUNTIF('03_地点锚点'!$A$2:$A$501,'05_层级表现LOD'!A383)+COUNTIF('04_路径网络'!$A$2:$A$501,'05_层级表现LOD'!A383)+COUNTIF('06_建筑锚点'!$A$2:$A$501,'05_层级表现LOD'!A383)=0),"LOD引用对象不存在；","")&amp;IF(AND('05_层级表现LOD'!A383&lt;&gt;"",COUNTIF('05_层级表现LOD'!$A$2:$A$501,'05_层级表现LOD'!A383)&gt;1),"ID重复；",""),"")</f>
        <v/>
      </c>
      <c r="G1883" s="14">
        <f>IF(F1883&lt;&gt;"","按字段批注、数据字典和来源记录修正后复核","")</f>
        <v/>
      </c>
      <c r="H1883" s="14">
        <f>IF(F1883&lt;&gt;"","待处理","")</f>
        <v/>
      </c>
    </row>
    <row r="1884">
      <c r="A1884" s="14">
        <f>IF(F1884&lt;&gt;"","ISSUE-"&amp;TEXT(ROW()-1,"00000"),"")</f>
        <v/>
      </c>
      <c r="B1884" s="14">
        <f>IF(F1884&lt;&gt;"","错误","")</f>
        <v/>
      </c>
      <c r="C1884" s="14">
        <f>IF('05_层级表现LOD'!A384&lt;&gt;"","05_层级表现LOD","")</f>
        <v/>
      </c>
      <c r="D1884" s="14">
        <f>IF('05_层级表现LOD'!A384&lt;&gt;"",'05_层级表现LOD'!A384,"")</f>
        <v/>
      </c>
      <c r="E1884" s="14">
        <f>IF(F1884&lt;&gt;"","综合校验","")</f>
        <v/>
      </c>
      <c r="F1884" s="14">
        <f>IF('05_层级表现LOD'!A384&lt;&gt;"",IF('05_层级表现LOD'!A384="","缺少对象ID；","")&amp;IF('05_层级表现LOD'!B384="","缺少对象类别；","")&amp;IF(AND('05_层级表现LOD'!A384&lt;&gt;"",COUNTIF('02_固定地理'!$A$2:$A$501,'05_层级表现LOD'!A384)+COUNTIF('03_地点锚点'!$A$2:$A$501,'05_层级表现LOD'!A384)+COUNTIF('04_路径网络'!$A$2:$A$501,'05_层级表现LOD'!A384)+COUNTIF('06_建筑锚点'!$A$2:$A$501,'05_层级表现LOD'!A384)=0),"LOD引用对象不存在；","")&amp;IF(AND('05_层级表现LOD'!A384&lt;&gt;"",COUNTIF('05_层级表现LOD'!$A$2:$A$501,'05_层级表现LOD'!A384)&gt;1),"ID重复；",""),"")</f>
        <v/>
      </c>
      <c r="G1884" s="14">
        <f>IF(F1884&lt;&gt;"","按字段批注、数据字典和来源记录修正后复核","")</f>
        <v/>
      </c>
      <c r="H1884" s="14">
        <f>IF(F1884&lt;&gt;"","待处理","")</f>
        <v/>
      </c>
    </row>
    <row r="1885">
      <c r="A1885" s="14">
        <f>IF(F1885&lt;&gt;"","ISSUE-"&amp;TEXT(ROW()-1,"00000"),"")</f>
        <v/>
      </c>
      <c r="B1885" s="14">
        <f>IF(F1885&lt;&gt;"","错误","")</f>
        <v/>
      </c>
      <c r="C1885" s="14">
        <f>IF('05_层级表现LOD'!A385&lt;&gt;"","05_层级表现LOD","")</f>
        <v/>
      </c>
      <c r="D1885" s="14">
        <f>IF('05_层级表现LOD'!A385&lt;&gt;"",'05_层级表现LOD'!A385,"")</f>
        <v/>
      </c>
      <c r="E1885" s="14">
        <f>IF(F1885&lt;&gt;"","综合校验","")</f>
        <v/>
      </c>
      <c r="F1885" s="14">
        <f>IF('05_层级表现LOD'!A385&lt;&gt;"",IF('05_层级表现LOD'!A385="","缺少对象ID；","")&amp;IF('05_层级表现LOD'!B385="","缺少对象类别；","")&amp;IF(AND('05_层级表现LOD'!A385&lt;&gt;"",COUNTIF('02_固定地理'!$A$2:$A$501,'05_层级表现LOD'!A385)+COUNTIF('03_地点锚点'!$A$2:$A$501,'05_层级表现LOD'!A385)+COUNTIF('04_路径网络'!$A$2:$A$501,'05_层级表现LOD'!A385)+COUNTIF('06_建筑锚点'!$A$2:$A$501,'05_层级表现LOD'!A385)=0),"LOD引用对象不存在；","")&amp;IF(AND('05_层级表现LOD'!A385&lt;&gt;"",COUNTIF('05_层级表现LOD'!$A$2:$A$501,'05_层级表现LOD'!A385)&gt;1),"ID重复；",""),"")</f>
        <v/>
      </c>
      <c r="G1885" s="14">
        <f>IF(F1885&lt;&gt;"","按字段批注、数据字典和来源记录修正后复核","")</f>
        <v/>
      </c>
      <c r="H1885" s="14">
        <f>IF(F1885&lt;&gt;"","待处理","")</f>
        <v/>
      </c>
    </row>
    <row r="1886">
      <c r="A1886" s="14">
        <f>IF(F1886&lt;&gt;"","ISSUE-"&amp;TEXT(ROW()-1,"00000"),"")</f>
        <v/>
      </c>
      <c r="B1886" s="14">
        <f>IF(F1886&lt;&gt;"","错误","")</f>
        <v/>
      </c>
      <c r="C1886" s="14">
        <f>IF('05_层级表现LOD'!A386&lt;&gt;"","05_层级表现LOD","")</f>
        <v/>
      </c>
      <c r="D1886" s="14">
        <f>IF('05_层级表现LOD'!A386&lt;&gt;"",'05_层级表现LOD'!A386,"")</f>
        <v/>
      </c>
      <c r="E1886" s="14">
        <f>IF(F1886&lt;&gt;"","综合校验","")</f>
        <v/>
      </c>
      <c r="F1886" s="14">
        <f>IF('05_层级表现LOD'!A386&lt;&gt;"",IF('05_层级表现LOD'!A386="","缺少对象ID；","")&amp;IF('05_层级表现LOD'!B386="","缺少对象类别；","")&amp;IF(AND('05_层级表现LOD'!A386&lt;&gt;"",COUNTIF('02_固定地理'!$A$2:$A$501,'05_层级表现LOD'!A386)+COUNTIF('03_地点锚点'!$A$2:$A$501,'05_层级表现LOD'!A386)+COUNTIF('04_路径网络'!$A$2:$A$501,'05_层级表现LOD'!A386)+COUNTIF('06_建筑锚点'!$A$2:$A$501,'05_层级表现LOD'!A386)=0),"LOD引用对象不存在；","")&amp;IF(AND('05_层级表现LOD'!A386&lt;&gt;"",COUNTIF('05_层级表现LOD'!$A$2:$A$501,'05_层级表现LOD'!A386)&gt;1),"ID重复；",""),"")</f>
        <v/>
      </c>
      <c r="G1886" s="14">
        <f>IF(F1886&lt;&gt;"","按字段批注、数据字典和来源记录修正后复核","")</f>
        <v/>
      </c>
      <c r="H1886" s="14">
        <f>IF(F1886&lt;&gt;"","待处理","")</f>
        <v/>
      </c>
    </row>
    <row r="1887">
      <c r="A1887" s="14">
        <f>IF(F1887&lt;&gt;"","ISSUE-"&amp;TEXT(ROW()-1,"00000"),"")</f>
        <v/>
      </c>
      <c r="B1887" s="14">
        <f>IF(F1887&lt;&gt;"","错误","")</f>
        <v/>
      </c>
      <c r="C1887" s="14">
        <f>IF('05_层级表现LOD'!A387&lt;&gt;"","05_层级表现LOD","")</f>
        <v/>
      </c>
      <c r="D1887" s="14">
        <f>IF('05_层级表现LOD'!A387&lt;&gt;"",'05_层级表现LOD'!A387,"")</f>
        <v/>
      </c>
      <c r="E1887" s="14">
        <f>IF(F1887&lt;&gt;"","综合校验","")</f>
        <v/>
      </c>
      <c r="F1887" s="14">
        <f>IF('05_层级表现LOD'!A387&lt;&gt;"",IF('05_层级表现LOD'!A387="","缺少对象ID；","")&amp;IF('05_层级表现LOD'!B387="","缺少对象类别；","")&amp;IF(AND('05_层级表现LOD'!A387&lt;&gt;"",COUNTIF('02_固定地理'!$A$2:$A$501,'05_层级表现LOD'!A387)+COUNTIF('03_地点锚点'!$A$2:$A$501,'05_层级表现LOD'!A387)+COUNTIF('04_路径网络'!$A$2:$A$501,'05_层级表现LOD'!A387)+COUNTIF('06_建筑锚点'!$A$2:$A$501,'05_层级表现LOD'!A387)=0),"LOD引用对象不存在；","")&amp;IF(AND('05_层级表现LOD'!A387&lt;&gt;"",COUNTIF('05_层级表现LOD'!$A$2:$A$501,'05_层级表现LOD'!A387)&gt;1),"ID重复；",""),"")</f>
        <v/>
      </c>
      <c r="G1887" s="14">
        <f>IF(F1887&lt;&gt;"","按字段批注、数据字典和来源记录修正后复核","")</f>
        <v/>
      </c>
      <c r="H1887" s="14">
        <f>IF(F1887&lt;&gt;"","待处理","")</f>
        <v/>
      </c>
    </row>
    <row r="1888">
      <c r="A1888" s="14">
        <f>IF(F1888&lt;&gt;"","ISSUE-"&amp;TEXT(ROW()-1,"00000"),"")</f>
        <v/>
      </c>
      <c r="B1888" s="14">
        <f>IF(F1888&lt;&gt;"","错误","")</f>
        <v/>
      </c>
      <c r="C1888" s="14">
        <f>IF('05_层级表现LOD'!A388&lt;&gt;"","05_层级表现LOD","")</f>
        <v/>
      </c>
      <c r="D1888" s="14">
        <f>IF('05_层级表现LOD'!A388&lt;&gt;"",'05_层级表现LOD'!A388,"")</f>
        <v/>
      </c>
      <c r="E1888" s="14">
        <f>IF(F1888&lt;&gt;"","综合校验","")</f>
        <v/>
      </c>
      <c r="F1888" s="14">
        <f>IF('05_层级表现LOD'!A388&lt;&gt;"",IF('05_层级表现LOD'!A388="","缺少对象ID；","")&amp;IF('05_层级表现LOD'!B388="","缺少对象类别；","")&amp;IF(AND('05_层级表现LOD'!A388&lt;&gt;"",COUNTIF('02_固定地理'!$A$2:$A$501,'05_层级表现LOD'!A388)+COUNTIF('03_地点锚点'!$A$2:$A$501,'05_层级表现LOD'!A388)+COUNTIF('04_路径网络'!$A$2:$A$501,'05_层级表现LOD'!A388)+COUNTIF('06_建筑锚点'!$A$2:$A$501,'05_层级表现LOD'!A388)=0),"LOD引用对象不存在；","")&amp;IF(AND('05_层级表现LOD'!A388&lt;&gt;"",COUNTIF('05_层级表现LOD'!$A$2:$A$501,'05_层级表现LOD'!A388)&gt;1),"ID重复；",""),"")</f>
        <v/>
      </c>
      <c r="G1888" s="14">
        <f>IF(F1888&lt;&gt;"","按字段批注、数据字典和来源记录修正后复核","")</f>
        <v/>
      </c>
      <c r="H1888" s="14">
        <f>IF(F1888&lt;&gt;"","待处理","")</f>
        <v/>
      </c>
    </row>
    <row r="1889">
      <c r="A1889" s="14">
        <f>IF(F1889&lt;&gt;"","ISSUE-"&amp;TEXT(ROW()-1,"00000"),"")</f>
        <v/>
      </c>
      <c r="B1889" s="14">
        <f>IF(F1889&lt;&gt;"","错误","")</f>
        <v/>
      </c>
      <c r="C1889" s="14">
        <f>IF('05_层级表现LOD'!A389&lt;&gt;"","05_层级表现LOD","")</f>
        <v/>
      </c>
      <c r="D1889" s="14">
        <f>IF('05_层级表现LOD'!A389&lt;&gt;"",'05_层级表现LOD'!A389,"")</f>
        <v/>
      </c>
      <c r="E1889" s="14">
        <f>IF(F1889&lt;&gt;"","综合校验","")</f>
        <v/>
      </c>
      <c r="F1889" s="14">
        <f>IF('05_层级表现LOD'!A389&lt;&gt;"",IF('05_层级表现LOD'!A389="","缺少对象ID；","")&amp;IF('05_层级表现LOD'!B389="","缺少对象类别；","")&amp;IF(AND('05_层级表现LOD'!A389&lt;&gt;"",COUNTIF('02_固定地理'!$A$2:$A$501,'05_层级表现LOD'!A389)+COUNTIF('03_地点锚点'!$A$2:$A$501,'05_层级表现LOD'!A389)+COUNTIF('04_路径网络'!$A$2:$A$501,'05_层级表现LOD'!A389)+COUNTIF('06_建筑锚点'!$A$2:$A$501,'05_层级表现LOD'!A389)=0),"LOD引用对象不存在；","")&amp;IF(AND('05_层级表现LOD'!A389&lt;&gt;"",COUNTIF('05_层级表现LOD'!$A$2:$A$501,'05_层级表现LOD'!A389)&gt;1),"ID重复；",""),"")</f>
        <v/>
      </c>
      <c r="G1889" s="14">
        <f>IF(F1889&lt;&gt;"","按字段批注、数据字典和来源记录修正后复核","")</f>
        <v/>
      </c>
      <c r="H1889" s="14">
        <f>IF(F1889&lt;&gt;"","待处理","")</f>
        <v/>
      </c>
    </row>
    <row r="1890">
      <c r="A1890" s="14">
        <f>IF(F1890&lt;&gt;"","ISSUE-"&amp;TEXT(ROW()-1,"00000"),"")</f>
        <v/>
      </c>
      <c r="B1890" s="14">
        <f>IF(F1890&lt;&gt;"","错误","")</f>
        <v/>
      </c>
      <c r="C1890" s="14">
        <f>IF('05_层级表现LOD'!A390&lt;&gt;"","05_层级表现LOD","")</f>
        <v/>
      </c>
      <c r="D1890" s="14">
        <f>IF('05_层级表现LOD'!A390&lt;&gt;"",'05_层级表现LOD'!A390,"")</f>
        <v/>
      </c>
      <c r="E1890" s="14">
        <f>IF(F1890&lt;&gt;"","综合校验","")</f>
        <v/>
      </c>
      <c r="F1890" s="14">
        <f>IF('05_层级表现LOD'!A390&lt;&gt;"",IF('05_层级表现LOD'!A390="","缺少对象ID；","")&amp;IF('05_层级表现LOD'!B390="","缺少对象类别；","")&amp;IF(AND('05_层级表现LOD'!A390&lt;&gt;"",COUNTIF('02_固定地理'!$A$2:$A$501,'05_层级表现LOD'!A390)+COUNTIF('03_地点锚点'!$A$2:$A$501,'05_层级表现LOD'!A390)+COUNTIF('04_路径网络'!$A$2:$A$501,'05_层级表现LOD'!A390)+COUNTIF('06_建筑锚点'!$A$2:$A$501,'05_层级表现LOD'!A390)=0),"LOD引用对象不存在；","")&amp;IF(AND('05_层级表现LOD'!A390&lt;&gt;"",COUNTIF('05_层级表现LOD'!$A$2:$A$501,'05_层级表现LOD'!A390)&gt;1),"ID重复；",""),"")</f>
        <v/>
      </c>
      <c r="G1890" s="14">
        <f>IF(F1890&lt;&gt;"","按字段批注、数据字典和来源记录修正后复核","")</f>
        <v/>
      </c>
      <c r="H1890" s="14">
        <f>IF(F1890&lt;&gt;"","待处理","")</f>
        <v/>
      </c>
    </row>
    <row r="1891">
      <c r="A1891" s="14">
        <f>IF(F1891&lt;&gt;"","ISSUE-"&amp;TEXT(ROW()-1,"00000"),"")</f>
        <v/>
      </c>
      <c r="B1891" s="14">
        <f>IF(F1891&lt;&gt;"","错误","")</f>
        <v/>
      </c>
      <c r="C1891" s="14">
        <f>IF('05_层级表现LOD'!A391&lt;&gt;"","05_层级表现LOD","")</f>
        <v/>
      </c>
      <c r="D1891" s="14">
        <f>IF('05_层级表现LOD'!A391&lt;&gt;"",'05_层级表现LOD'!A391,"")</f>
        <v/>
      </c>
      <c r="E1891" s="14">
        <f>IF(F1891&lt;&gt;"","综合校验","")</f>
        <v/>
      </c>
      <c r="F1891" s="14">
        <f>IF('05_层级表现LOD'!A391&lt;&gt;"",IF('05_层级表现LOD'!A391="","缺少对象ID；","")&amp;IF('05_层级表现LOD'!B391="","缺少对象类别；","")&amp;IF(AND('05_层级表现LOD'!A391&lt;&gt;"",COUNTIF('02_固定地理'!$A$2:$A$501,'05_层级表现LOD'!A391)+COUNTIF('03_地点锚点'!$A$2:$A$501,'05_层级表现LOD'!A391)+COUNTIF('04_路径网络'!$A$2:$A$501,'05_层级表现LOD'!A391)+COUNTIF('06_建筑锚点'!$A$2:$A$501,'05_层级表现LOD'!A391)=0),"LOD引用对象不存在；","")&amp;IF(AND('05_层级表现LOD'!A391&lt;&gt;"",COUNTIF('05_层级表现LOD'!$A$2:$A$501,'05_层级表现LOD'!A391)&gt;1),"ID重复；",""),"")</f>
        <v/>
      </c>
      <c r="G1891" s="14">
        <f>IF(F1891&lt;&gt;"","按字段批注、数据字典和来源记录修正后复核","")</f>
        <v/>
      </c>
      <c r="H1891" s="14">
        <f>IF(F1891&lt;&gt;"","待处理","")</f>
        <v/>
      </c>
    </row>
    <row r="1892">
      <c r="A1892" s="14">
        <f>IF(F1892&lt;&gt;"","ISSUE-"&amp;TEXT(ROW()-1,"00000"),"")</f>
        <v/>
      </c>
      <c r="B1892" s="14">
        <f>IF(F1892&lt;&gt;"","错误","")</f>
        <v/>
      </c>
      <c r="C1892" s="14">
        <f>IF('05_层级表现LOD'!A392&lt;&gt;"","05_层级表现LOD","")</f>
        <v/>
      </c>
      <c r="D1892" s="14">
        <f>IF('05_层级表现LOD'!A392&lt;&gt;"",'05_层级表现LOD'!A392,"")</f>
        <v/>
      </c>
      <c r="E1892" s="14">
        <f>IF(F1892&lt;&gt;"","综合校验","")</f>
        <v/>
      </c>
      <c r="F1892" s="14">
        <f>IF('05_层级表现LOD'!A392&lt;&gt;"",IF('05_层级表现LOD'!A392="","缺少对象ID；","")&amp;IF('05_层级表现LOD'!B392="","缺少对象类别；","")&amp;IF(AND('05_层级表现LOD'!A392&lt;&gt;"",COUNTIF('02_固定地理'!$A$2:$A$501,'05_层级表现LOD'!A392)+COUNTIF('03_地点锚点'!$A$2:$A$501,'05_层级表现LOD'!A392)+COUNTIF('04_路径网络'!$A$2:$A$501,'05_层级表现LOD'!A392)+COUNTIF('06_建筑锚点'!$A$2:$A$501,'05_层级表现LOD'!A392)=0),"LOD引用对象不存在；","")&amp;IF(AND('05_层级表现LOD'!A392&lt;&gt;"",COUNTIF('05_层级表现LOD'!$A$2:$A$501,'05_层级表现LOD'!A392)&gt;1),"ID重复；",""),"")</f>
        <v/>
      </c>
      <c r="G1892" s="14">
        <f>IF(F1892&lt;&gt;"","按字段批注、数据字典和来源记录修正后复核","")</f>
        <v/>
      </c>
      <c r="H1892" s="14">
        <f>IF(F1892&lt;&gt;"","待处理","")</f>
        <v/>
      </c>
    </row>
    <row r="1893">
      <c r="A1893" s="14">
        <f>IF(F1893&lt;&gt;"","ISSUE-"&amp;TEXT(ROW()-1,"00000"),"")</f>
        <v/>
      </c>
      <c r="B1893" s="14">
        <f>IF(F1893&lt;&gt;"","错误","")</f>
        <v/>
      </c>
      <c r="C1893" s="14">
        <f>IF('05_层级表现LOD'!A393&lt;&gt;"","05_层级表现LOD","")</f>
        <v/>
      </c>
      <c r="D1893" s="14">
        <f>IF('05_层级表现LOD'!A393&lt;&gt;"",'05_层级表现LOD'!A393,"")</f>
        <v/>
      </c>
      <c r="E1893" s="14">
        <f>IF(F1893&lt;&gt;"","综合校验","")</f>
        <v/>
      </c>
      <c r="F1893" s="14">
        <f>IF('05_层级表现LOD'!A393&lt;&gt;"",IF('05_层级表现LOD'!A393="","缺少对象ID；","")&amp;IF('05_层级表现LOD'!B393="","缺少对象类别；","")&amp;IF(AND('05_层级表现LOD'!A393&lt;&gt;"",COUNTIF('02_固定地理'!$A$2:$A$501,'05_层级表现LOD'!A393)+COUNTIF('03_地点锚点'!$A$2:$A$501,'05_层级表现LOD'!A393)+COUNTIF('04_路径网络'!$A$2:$A$501,'05_层级表现LOD'!A393)+COUNTIF('06_建筑锚点'!$A$2:$A$501,'05_层级表现LOD'!A393)=0),"LOD引用对象不存在；","")&amp;IF(AND('05_层级表现LOD'!A393&lt;&gt;"",COUNTIF('05_层级表现LOD'!$A$2:$A$501,'05_层级表现LOD'!A393)&gt;1),"ID重复；",""),"")</f>
        <v/>
      </c>
      <c r="G1893" s="14">
        <f>IF(F1893&lt;&gt;"","按字段批注、数据字典和来源记录修正后复核","")</f>
        <v/>
      </c>
      <c r="H1893" s="14">
        <f>IF(F1893&lt;&gt;"","待处理","")</f>
        <v/>
      </c>
    </row>
    <row r="1894">
      <c r="A1894" s="14">
        <f>IF(F1894&lt;&gt;"","ISSUE-"&amp;TEXT(ROW()-1,"00000"),"")</f>
        <v/>
      </c>
      <c r="B1894" s="14">
        <f>IF(F1894&lt;&gt;"","错误","")</f>
        <v/>
      </c>
      <c r="C1894" s="14">
        <f>IF('05_层级表现LOD'!A394&lt;&gt;"","05_层级表现LOD","")</f>
        <v/>
      </c>
      <c r="D1894" s="14">
        <f>IF('05_层级表现LOD'!A394&lt;&gt;"",'05_层级表现LOD'!A394,"")</f>
        <v/>
      </c>
      <c r="E1894" s="14">
        <f>IF(F1894&lt;&gt;"","综合校验","")</f>
        <v/>
      </c>
      <c r="F1894" s="14">
        <f>IF('05_层级表现LOD'!A394&lt;&gt;"",IF('05_层级表现LOD'!A394="","缺少对象ID；","")&amp;IF('05_层级表现LOD'!B394="","缺少对象类别；","")&amp;IF(AND('05_层级表现LOD'!A394&lt;&gt;"",COUNTIF('02_固定地理'!$A$2:$A$501,'05_层级表现LOD'!A394)+COUNTIF('03_地点锚点'!$A$2:$A$501,'05_层级表现LOD'!A394)+COUNTIF('04_路径网络'!$A$2:$A$501,'05_层级表现LOD'!A394)+COUNTIF('06_建筑锚点'!$A$2:$A$501,'05_层级表现LOD'!A394)=0),"LOD引用对象不存在；","")&amp;IF(AND('05_层级表现LOD'!A394&lt;&gt;"",COUNTIF('05_层级表现LOD'!$A$2:$A$501,'05_层级表现LOD'!A394)&gt;1),"ID重复；",""),"")</f>
        <v/>
      </c>
      <c r="G1894" s="14">
        <f>IF(F1894&lt;&gt;"","按字段批注、数据字典和来源记录修正后复核","")</f>
        <v/>
      </c>
      <c r="H1894" s="14">
        <f>IF(F1894&lt;&gt;"","待处理","")</f>
        <v/>
      </c>
    </row>
    <row r="1895">
      <c r="A1895" s="14">
        <f>IF(F1895&lt;&gt;"","ISSUE-"&amp;TEXT(ROW()-1,"00000"),"")</f>
        <v/>
      </c>
      <c r="B1895" s="14">
        <f>IF(F1895&lt;&gt;"","错误","")</f>
        <v/>
      </c>
      <c r="C1895" s="14">
        <f>IF('05_层级表现LOD'!A395&lt;&gt;"","05_层级表现LOD","")</f>
        <v/>
      </c>
      <c r="D1895" s="14">
        <f>IF('05_层级表现LOD'!A395&lt;&gt;"",'05_层级表现LOD'!A395,"")</f>
        <v/>
      </c>
      <c r="E1895" s="14">
        <f>IF(F1895&lt;&gt;"","综合校验","")</f>
        <v/>
      </c>
      <c r="F1895" s="14">
        <f>IF('05_层级表现LOD'!A395&lt;&gt;"",IF('05_层级表现LOD'!A395="","缺少对象ID；","")&amp;IF('05_层级表现LOD'!B395="","缺少对象类别；","")&amp;IF(AND('05_层级表现LOD'!A395&lt;&gt;"",COUNTIF('02_固定地理'!$A$2:$A$501,'05_层级表现LOD'!A395)+COUNTIF('03_地点锚点'!$A$2:$A$501,'05_层级表现LOD'!A395)+COUNTIF('04_路径网络'!$A$2:$A$501,'05_层级表现LOD'!A395)+COUNTIF('06_建筑锚点'!$A$2:$A$501,'05_层级表现LOD'!A395)=0),"LOD引用对象不存在；","")&amp;IF(AND('05_层级表现LOD'!A395&lt;&gt;"",COUNTIF('05_层级表现LOD'!$A$2:$A$501,'05_层级表现LOD'!A395)&gt;1),"ID重复；",""),"")</f>
        <v/>
      </c>
      <c r="G1895" s="14">
        <f>IF(F1895&lt;&gt;"","按字段批注、数据字典和来源记录修正后复核","")</f>
        <v/>
      </c>
      <c r="H1895" s="14">
        <f>IF(F1895&lt;&gt;"","待处理","")</f>
        <v/>
      </c>
    </row>
    <row r="1896">
      <c r="A1896" s="14">
        <f>IF(F1896&lt;&gt;"","ISSUE-"&amp;TEXT(ROW()-1,"00000"),"")</f>
        <v/>
      </c>
      <c r="B1896" s="14">
        <f>IF(F1896&lt;&gt;"","错误","")</f>
        <v/>
      </c>
      <c r="C1896" s="14">
        <f>IF('05_层级表现LOD'!A396&lt;&gt;"","05_层级表现LOD","")</f>
        <v/>
      </c>
      <c r="D1896" s="14">
        <f>IF('05_层级表现LOD'!A396&lt;&gt;"",'05_层级表现LOD'!A396,"")</f>
        <v/>
      </c>
      <c r="E1896" s="14">
        <f>IF(F1896&lt;&gt;"","综合校验","")</f>
        <v/>
      </c>
      <c r="F1896" s="14">
        <f>IF('05_层级表现LOD'!A396&lt;&gt;"",IF('05_层级表现LOD'!A396="","缺少对象ID；","")&amp;IF('05_层级表现LOD'!B396="","缺少对象类别；","")&amp;IF(AND('05_层级表现LOD'!A396&lt;&gt;"",COUNTIF('02_固定地理'!$A$2:$A$501,'05_层级表现LOD'!A396)+COUNTIF('03_地点锚点'!$A$2:$A$501,'05_层级表现LOD'!A396)+COUNTIF('04_路径网络'!$A$2:$A$501,'05_层级表现LOD'!A396)+COUNTIF('06_建筑锚点'!$A$2:$A$501,'05_层级表现LOD'!A396)=0),"LOD引用对象不存在；","")&amp;IF(AND('05_层级表现LOD'!A396&lt;&gt;"",COUNTIF('05_层级表现LOD'!$A$2:$A$501,'05_层级表现LOD'!A396)&gt;1),"ID重复；",""),"")</f>
        <v/>
      </c>
      <c r="G1896" s="14">
        <f>IF(F1896&lt;&gt;"","按字段批注、数据字典和来源记录修正后复核","")</f>
        <v/>
      </c>
      <c r="H1896" s="14">
        <f>IF(F1896&lt;&gt;"","待处理","")</f>
        <v/>
      </c>
    </row>
    <row r="1897">
      <c r="A1897" s="14">
        <f>IF(F1897&lt;&gt;"","ISSUE-"&amp;TEXT(ROW()-1,"00000"),"")</f>
        <v/>
      </c>
      <c r="B1897" s="14">
        <f>IF(F1897&lt;&gt;"","错误","")</f>
        <v/>
      </c>
      <c r="C1897" s="14">
        <f>IF('05_层级表现LOD'!A397&lt;&gt;"","05_层级表现LOD","")</f>
        <v/>
      </c>
      <c r="D1897" s="14">
        <f>IF('05_层级表现LOD'!A397&lt;&gt;"",'05_层级表现LOD'!A397,"")</f>
        <v/>
      </c>
      <c r="E1897" s="14">
        <f>IF(F1897&lt;&gt;"","综合校验","")</f>
        <v/>
      </c>
      <c r="F1897" s="14">
        <f>IF('05_层级表现LOD'!A397&lt;&gt;"",IF('05_层级表现LOD'!A397="","缺少对象ID；","")&amp;IF('05_层级表现LOD'!B397="","缺少对象类别；","")&amp;IF(AND('05_层级表现LOD'!A397&lt;&gt;"",COUNTIF('02_固定地理'!$A$2:$A$501,'05_层级表现LOD'!A397)+COUNTIF('03_地点锚点'!$A$2:$A$501,'05_层级表现LOD'!A397)+COUNTIF('04_路径网络'!$A$2:$A$501,'05_层级表现LOD'!A397)+COUNTIF('06_建筑锚点'!$A$2:$A$501,'05_层级表现LOD'!A397)=0),"LOD引用对象不存在；","")&amp;IF(AND('05_层级表现LOD'!A397&lt;&gt;"",COUNTIF('05_层级表现LOD'!$A$2:$A$501,'05_层级表现LOD'!A397)&gt;1),"ID重复；",""),"")</f>
        <v/>
      </c>
      <c r="G1897" s="14">
        <f>IF(F1897&lt;&gt;"","按字段批注、数据字典和来源记录修正后复核","")</f>
        <v/>
      </c>
      <c r="H1897" s="14">
        <f>IF(F1897&lt;&gt;"","待处理","")</f>
        <v/>
      </c>
    </row>
    <row r="1898">
      <c r="A1898" s="14">
        <f>IF(F1898&lt;&gt;"","ISSUE-"&amp;TEXT(ROW()-1,"00000"),"")</f>
        <v/>
      </c>
      <c r="B1898" s="14">
        <f>IF(F1898&lt;&gt;"","错误","")</f>
        <v/>
      </c>
      <c r="C1898" s="14">
        <f>IF('05_层级表现LOD'!A398&lt;&gt;"","05_层级表现LOD","")</f>
        <v/>
      </c>
      <c r="D1898" s="14">
        <f>IF('05_层级表现LOD'!A398&lt;&gt;"",'05_层级表现LOD'!A398,"")</f>
        <v/>
      </c>
      <c r="E1898" s="14">
        <f>IF(F1898&lt;&gt;"","综合校验","")</f>
        <v/>
      </c>
      <c r="F1898" s="14">
        <f>IF('05_层级表现LOD'!A398&lt;&gt;"",IF('05_层级表现LOD'!A398="","缺少对象ID；","")&amp;IF('05_层级表现LOD'!B398="","缺少对象类别；","")&amp;IF(AND('05_层级表现LOD'!A398&lt;&gt;"",COUNTIF('02_固定地理'!$A$2:$A$501,'05_层级表现LOD'!A398)+COUNTIF('03_地点锚点'!$A$2:$A$501,'05_层级表现LOD'!A398)+COUNTIF('04_路径网络'!$A$2:$A$501,'05_层级表现LOD'!A398)+COUNTIF('06_建筑锚点'!$A$2:$A$501,'05_层级表现LOD'!A398)=0),"LOD引用对象不存在；","")&amp;IF(AND('05_层级表现LOD'!A398&lt;&gt;"",COUNTIF('05_层级表现LOD'!$A$2:$A$501,'05_层级表现LOD'!A398)&gt;1),"ID重复；",""),"")</f>
        <v/>
      </c>
      <c r="G1898" s="14">
        <f>IF(F1898&lt;&gt;"","按字段批注、数据字典和来源记录修正后复核","")</f>
        <v/>
      </c>
      <c r="H1898" s="14">
        <f>IF(F1898&lt;&gt;"","待处理","")</f>
        <v/>
      </c>
    </row>
    <row r="1899">
      <c r="A1899" s="14">
        <f>IF(F1899&lt;&gt;"","ISSUE-"&amp;TEXT(ROW()-1,"00000"),"")</f>
        <v/>
      </c>
      <c r="B1899" s="14">
        <f>IF(F1899&lt;&gt;"","错误","")</f>
        <v/>
      </c>
      <c r="C1899" s="14">
        <f>IF('05_层级表现LOD'!A399&lt;&gt;"","05_层级表现LOD","")</f>
        <v/>
      </c>
      <c r="D1899" s="14">
        <f>IF('05_层级表现LOD'!A399&lt;&gt;"",'05_层级表现LOD'!A399,"")</f>
        <v/>
      </c>
      <c r="E1899" s="14">
        <f>IF(F1899&lt;&gt;"","综合校验","")</f>
        <v/>
      </c>
      <c r="F1899" s="14">
        <f>IF('05_层级表现LOD'!A399&lt;&gt;"",IF('05_层级表现LOD'!A399="","缺少对象ID；","")&amp;IF('05_层级表现LOD'!B399="","缺少对象类别；","")&amp;IF(AND('05_层级表现LOD'!A399&lt;&gt;"",COUNTIF('02_固定地理'!$A$2:$A$501,'05_层级表现LOD'!A399)+COUNTIF('03_地点锚点'!$A$2:$A$501,'05_层级表现LOD'!A399)+COUNTIF('04_路径网络'!$A$2:$A$501,'05_层级表现LOD'!A399)+COUNTIF('06_建筑锚点'!$A$2:$A$501,'05_层级表现LOD'!A399)=0),"LOD引用对象不存在；","")&amp;IF(AND('05_层级表现LOD'!A399&lt;&gt;"",COUNTIF('05_层级表现LOD'!$A$2:$A$501,'05_层级表现LOD'!A399)&gt;1),"ID重复；",""),"")</f>
        <v/>
      </c>
      <c r="G1899" s="14">
        <f>IF(F1899&lt;&gt;"","按字段批注、数据字典和来源记录修正后复核","")</f>
        <v/>
      </c>
      <c r="H1899" s="14">
        <f>IF(F1899&lt;&gt;"","待处理","")</f>
        <v/>
      </c>
    </row>
    <row r="1900">
      <c r="A1900" s="14">
        <f>IF(F1900&lt;&gt;"","ISSUE-"&amp;TEXT(ROW()-1,"00000"),"")</f>
        <v/>
      </c>
      <c r="B1900" s="14">
        <f>IF(F1900&lt;&gt;"","错误","")</f>
        <v/>
      </c>
      <c r="C1900" s="14">
        <f>IF('05_层级表现LOD'!A400&lt;&gt;"","05_层级表现LOD","")</f>
        <v/>
      </c>
      <c r="D1900" s="14">
        <f>IF('05_层级表现LOD'!A400&lt;&gt;"",'05_层级表现LOD'!A400,"")</f>
        <v/>
      </c>
      <c r="E1900" s="14">
        <f>IF(F1900&lt;&gt;"","综合校验","")</f>
        <v/>
      </c>
      <c r="F1900" s="14">
        <f>IF('05_层级表现LOD'!A400&lt;&gt;"",IF('05_层级表现LOD'!A400="","缺少对象ID；","")&amp;IF('05_层级表现LOD'!B400="","缺少对象类别；","")&amp;IF(AND('05_层级表现LOD'!A400&lt;&gt;"",COUNTIF('02_固定地理'!$A$2:$A$501,'05_层级表现LOD'!A400)+COUNTIF('03_地点锚点'!$A$2:$A$501,'05_层级表现LOD'!A400)+COUNTIF('04_路径网络'!$A$2:$A$501,'05_层级表现LOD'!A400)+COUNTIF('06_建筑锚点'!$A$2:$A$501,'05_层级表现LOD'!A400)=0),"LOD引用对象不存在；","")&amp;IF(AND('05_层级表现LOD'!A400&lt;&gt;"",COUNTIF('05_层级表现LOD'!$A$2:$A$501,'05_层级表现LOD'!A400)&gt;1),"ID重复；",""),"")</f>
        <v/>
      </c>
      <c r="G1900" s="14">
        <f>IF(F1900&lt;&gt;"","按字段批注、数据字典和来源记录修正后复核","")</f>
        <v/>
      </c>
      <c r="H1900" s="14">
        <f>IF(F1900&lt;&gt;"","待处理","")</f>
        <v/>
      </c>
    </row>
    <row r="1901">
      <c r="A1901" s="14">
        <f>IF(F1901&lt;&gt;"","ISSUE-"&amp;TEXT(ROW()-1,"00000"),"")</f>
        <v/>
      </c>
      <c r="B1901" s="14">
        <f>IF(F1901&lt;&gt;"","错误","")</f>
        <v/>
      </c>
      <c r="C1901" s="14">
        <f>IF('05_层级表现LOD'!A401&lt;&gt;"","05_层级表现LOD","")</f>
        <v/>
      </c>
      <c r="D1901" s="14">
        <f>IF('05_层级表现LOD'!A401&lt;&gt;"",'05_层级表现LOD'!A401,"")</f>
        <v/>
      </c>
      <c r="E1901" s="14">
        <f>IF(F1901&lt;&gt;"","综合校验","")</f>
        <v/>
      </c>
      <c r="F1901" s="14">
        <f>IF('05_层级表现LOD'!A401&lt;&gt;"",IF('05_层级表现LOD'!A401="","缺少对象ID；","")&amp;IF('05_层级表现LOD'!B401="","缺少对象类别；","")&amp;IF(AND('05_层级表现LOD'!A401&lt;&gt;"",COUNTIF('02_固定地理'!$A$2:$A$501,'05_层级表现LOD'!A401)+COUNTIF('03_地点锚点'!$A$2:$A$501,'05_层级表现LOD'!A401)+COUNTIF('04_路径网络'!$A$2:$A$501,'05_层级表现LOD'!A401)+COUNTIF('06_建筑锚点'!$A$2:$A$501,'05_层级表现LOD'!A401)=0),"LOD引用对象不存在；","")&amp;IF(AND('05_层级表现LOD'!A401&lt;&gt;"",COUNTIF('05_层级表现LOD'!$A$2:$A$501,'05_层级表现LOD'!A401)&gt;1),"ID重复；",""),"")</f>
        <v/>
      </c>
      <c r="G1901" s="14">
        <f>IF(F1901&lt;&gt;"","按字段批注、数据字典和来源记录修正后复核","")</f>
        <v/>
      </c>
      <c r="H1901" s="14">
        <f>IF(F1901&lt;&gt;"","待处理","")</f>
        <v/>
      </c>
    </row>
    <row r="1902">
      <c r="A1902" s="14">
        <f>IF(F1902&lt;&gt;"","ISSUE-"&amp;TEXT(ROW()-1,"00000"),"")</f>
        <v/>
      </c>
      <c r="B1902" s="14">
        <f>IF(F1902&lt;&gt;"","错误","")</f>
        <v/>
      </c>
      <c r="C1902" s="14">
        <f>IF('05_层级表现LOD'!A402&lt;&gt;"","05_层级表现LOD","")</f>
        <v/>
      </c>
      <c r="D1902" s="14">
        <f>IF('05_层级表现LOD'!A402&lt;&gt;"",'05_层级表现LOD'!A402,"")</f>
        <v/>
      </c>
      <c r="E1902" s="14">
        <f>IF(F1902&lt;&gt;"","综合校验","")</f>
        <v/>
      </c>
      <c r="F1902" s="14">
        <f>IF('05_层级表现LOD'!A402&lt;&gt;"",IF('05_层级表现LOD'!A402="","缺少对象ID；","")&amp;IF('05_层级表现LOD'!B402="","缺少对象类别；","")&amp;IF(AND('05_层级表现LOD'!A402&lt;&gt;"",COUNTIF('02_固定地理'!$A$2:$A$501,'05_层级表现LOD'!A402)+COUNTIF('03_地点锚点'!$A$2:$A$501,'05_层级表现LOD'!A402)+COUNTIF('04_路径网络'!$A$2:$A$501,'05_层级表现LOD'!A402)+COUNTIF('06_建筑锚点'!$A$2:$A$501,'05_层级表现LOD'!A402)=0),"LOD引用对象不存在；","")&amp;IF(AND('05_层级表现LOD'!A402&lt;&gt;"",COUNTIF('05_层级表现LOD'!$A$2:$A$501,'05_层级表现LOD'!A402)&gt;1),"ID重复；",""),"")</f>
        <v/>
      </c>
      <c r="G1902" s="14">
        <f>IF(F1902&lt;&gt;"","按字段批注、数据字典和来源记录修正后复核","")</f>
        <v/>
      </c>
      <c r="H1902" s="14">
        <f>IF(F1902&lt;&gt;"","待处理","")</f>
        <v/>
      </c>
    </row>
    <row r="1903">
      <c r="A1903" s="14">
        <f>IF(F1903&lt;&gt;"","ISSUE-"&amp;TEXT(ROW()-1,"00000"),"")</f>
        <v/>
      </c>
      <c r="B1903" s="14">
        <f>IF(F1903&lt;&gt;"","错误","")</f>
        <v/>
      </c>
      <c r="C1903" s="14">
        <f>IF('05_层级表现LOD'!A403&lt;&gt;"","05_层级表现LOD","")</f>
        <v/>
      </c>
      <c r="D1903" s="14">
        <f>IF('05_层级表现LOD'!A403&lt;&gt;"",'05_层级表现LOD'!A403,"")</f>
        <v/>
      </c>
      <c r="E1903" s="14">
        <f>IF(F1903&lt;&gt;"","综合校验","")</f>
        <v/>
      </c>
      <c r="F1903" s="14">
        <f>IF('05_层级表现LOD'!A403&lt;&gt;"",IF('05_层级表现LOD'!A403="","缺少对象ID；","")&amp;IF('05_层级表现LOD'!B403="","缺少对象类别；","")&amp;IF(AND('05_层级表现LOD'!A403&lt;&gt;"",COUNTIF('02_固定地理'!$A$2:$A$501,'05_层级表现LOD'!A403)+COUNTIF('03_地点锚点'!$A$2:$A$501,'05_层级表现LOD'!A403)+COUNTIF('04_路径网络'!$A$2:$A$501,'05_层级表现LOD'!A403)+COUNTIF('06_建筑锚点'!$A$2:$A$501,'05_层级表现LOD'!A403)=0),"LOD引用对象不存在；","")&amp;IF(AND('05_层级表现LOD'!A403&lt;&gt;"",COUNTIF('05_层级表现LOD'!$A$2:$A$501,'05_层级表现LOD'!A403)&gt;1),"ID重复；",""),"")</f>
        <v/>
      </c>
      <c r="G1903" s="14">
        <f>IF(F1903&lt;&gt;"","按字段批注、数据字典和来源记录修正后复核","")</f>
        <v/>
      </c>
      <c r="H1903" s="14">
        <f>IF(F1903&lt;&gt;"","待处理","")</f>
        <v/>
      </c>
    </row>
    <row r="1904">
      <c r="A1904" s="14">
        <f>IF(F1904&lt;&gt;"","ISSUE-"&amp;TEXT(ROW()-1,"00000"),"")</f>
        <v/>
      </c>
      <c r="B1904" s="14">
        <f>IF(F1904&lt;&gt;"","错误","")</f>
        <v/>
      </c>
      <c r="C1904" s="14">
        <f>IF('05_层级表现LOD'!A404&lt;&gt;"","05_层级表现LOD","")</f>
        <v/>
      </c>
      <c r="D1904" s="14">
        <f>IF('05_层级表现LOD'!A404&lt;&gt;"",'05_层级表现LOD'!A404,"")</f>
        <v/>
      </c>
      <c r="E1904" s="14">
        <f>IF(F1904&lt;&gt;"","综合校验","")</f>
        <v/>
      </c>
      <c r="F1904" s="14">
        <f>IF('05_层级表现LOD'!A404&lt;&gt;"",IF('05_层级表现LOD'!A404="","缺少对象ID；","")&amp;IF('05_层级表现LOD'!B404="","缺少对象类别；","")&amp;IF(AND('05_层级表现LOD'!A404&lt;&gt;"",COUNTIF('02_固定地理'!$A$2:$A$501,'05_层级表现LOD'!A404)+COUNTIF('03_地点锚点'!$A$2:$A$501,'05_层级表现LOD'!A404)+COUNTIF('04_路径网络'!$A$2:$A$501,'05_层级表现LOD'!A404)+COUNTIF('06_建筑锚点'!$A$2:$A$501,'05_层级表现LOD'!A404)=0),"LOD引用对象不存在；","")&amp;IF(AND('05_层级表现LOD'!A404&lt;&gt;"",COUNTIF('05_层级表现LOD'!$A$2:$A$501,'05_层级表现LOD'!A404)&gt;1),"ID重复；",""),"")</f>
        <v/>
      </c>
      <c r="G1904" s="14">
        <f>IF(F1904&lt;&gt;"","按字段批注、数据字典和来源记录修正后复核","")</f>
        <v/>
      </c>
      <c r="H1904" s="14">
        <f>IF(F1904&lt;&gt;"","待处理","")</f>
        <v/>
      </c>
    </row>
    <row r="1905">
      <c r="A1905" s="14">
        <f>IF(F1905&lt;&gt;"","ISSUE-"&amp;TEXT(ROW()-1,"00000"),"")</f>
        <v/>
      </c>
      <c r="B1905" s="14">
        <f>IF(F1905&lt;&gt;"","错误","")</f>
        <v/>
      </c>
      <c r="C1905" s="14">
        <f>IF('05_层级表现LOD'!A405&lt;&gt;"","05_层级表现LOD","")</f>
        <v/>
      </c>
      <c r="D1905" s="14">
        <f>IF('05_层级表现LOD'!A405&lt;&gt;"",'05_层级表现LOD'!A405,"")</f>
        <v/>
      </c>
      <c r="E1905" s="14">
        <f>IF(F1905&lt;&gt;"","综合校验","")</f>
        <v/>
      </c>
      <c r="F1905" s="14">
        <f>IF('05_层级表现LOD'!A405&lt;&gt;"",IF('05_层级表现LOD'!A405="","缺少对象ID；","")&amp;IF('05_层级表现LOD'!B405="","缺少对象类别；","")&amp;IF(AND('05_层级表现LOD'!A405&lt;&gt;"",COUNTIF('02_固定地理'!$A$2:$A$501,'05_层级表现LOD'!A405)+COUNTIF('03_地点锚点'!$A$2:$A$501,'05_层级表现LOD'!A405)+COUNTIF('04_路径网络'!$A$2:$A$501,'05_层级表现LOD'!A405)+COUNTIF('06_建筑锚点'!$A$2:$A$501,'05_层级表现LOD'!A405)=0),"LOD引用对象不存在；","")&amp;IF(AND('05_层级表现LOD'!A405&lt;&gt;"",COUNTIF('05_层级表现LOD'!$A$2:$A$501,'05_层级表现LOD'!A405)&gt;1),"ID重复；",""),"")</f>
        <v/>
      </c>
      <c r="G1905" s="14">
        <f>IF(F1905&lt;&gt;"","按字段批注、数据字典和来源记录修正后复核","")</f>
        <v/>
      </c>
      <c r="H1905" s="14">
        <f>IF(F1905&lt;&gt;"","待处理","")</f>
        <v/>
      </c>
    </row>
    <row r="1906">
      <c r="A1906" s="14">
        <f>IF(F1906&lt;&gt;"","ISSUE-"&amp;TEXT(ROW()-1,"00000"),"")</f>
        <v/>
      </c>
      <c r="B1906" s="14">
        <f>IF(F1906&lt;&gt;"","错误","")</f>
        <v/>
      </c>
      <c r="C1906" s="14">
        <f>IF('05_层级表现LOD'!A406&lt;&gt;"","05_层级表现LOD","")</f>
        <v/>
      </c>
      <c r="D1906" s="14">
        <f>IF('05_层级表现LOD'!A406&lt;&gt;"",'05_层级表现LOD'!A406,"")</f>
        <v/>
      </c>
      <c r="E1906" s="14">
        <f>IF(F1906&lt;&gt;"","综合校验","")</f>
        <v/>
      </c>
      <c r="F1906" s="14">
        <f>IF('05_层级表现LOD'!A406&lt;&gt;"",IF('05_层级表现LOD'!A406="","缺少对象ID；","")&amp;IF('05_层级表现LOD'!B406="","缺少对象类别；","")&amp;IF(AND('05_层级表现LOD'!A406&lt;&gt;"",COUNTIF('02_固定地理'!$A$2:$A$501,'05_层级表现LOD'!A406)+COUNTIF('03_地点锚点'!$A$2:$A$501,'05_层级表现LOD'!A406)+COUNTIF('04_路径网络'!$A$2:$A$501,'05_层级表现LOD'!A406)+COUNTIF('06_建筑锚点'!$A$2:$A$501,'05_层级表现LOD'!A406)=0),"LOD引用对象不存在；","")&amp;IF(AND('05_层级表现LOD'!A406&lt;&gt;"",COUNTIF('05_层级表现LOD'!$A$2:$A$501,'05_层级表现LOD'!A406)&gt;1),"ID重复；",""),"")</f>
        <v/>
      </c>
      <c r="G1906" s="14">
        <f>IF(F1906&lt;&gt;"","按字段批注、数据字典和来源记录修正后复核","")</f>
        <v/>
      </c>
      <c r="H1906" s="14">
        <f>IF(F1906&lt;&gt;"","待处理","")</f>
        <v/>
      </c>
    </row>
    <row r="1907">
      <c r="A1907" s="14">
        <f>IF(F1907&lt;&gt;"","ISSUE-"&amp;TEXT(ROW()-1,"00000"),"")</f>
        <v/>
      </c>
      <c r="B1907" s="14">
        <f>IF(F1907&lt;&gt;"","错误","")</f>
        <v/>
      </c>
      <c r="C1907" s="14">
        <f>IF('05_层级表现LOD'!A407&lt;&gt;"","05_层级表现LOD","")</f>
        <v/>
      </c>
      <c r="D1907" s="14">
        <f>IF('05_层级表现LOD'!A407&lt;&gt;"",'05_层级表现LOD'!A407,"")</f>
        <v/>
      </c>
      <c r="E1907" s="14">
        <f>IF(F1907&lt;&gt;"","综合校验","")</f>
        <v/>
      </c>
      <c r="F1907" s="14">
        <f>IF('05_层级表现LOD'!A407&lt;&gt;"",IF('05_层级表现LOD'!A407="","缺少对象ID；","")&amp;IF('05_层级表现LOD'!B407="","缺少对象类别；","")&amp;IF(AND('05_层级表现LOD'!A407&lt;&gt;"",COUNTIF('02_固定地理'!$A$2:$A$501,'05_层级表现LOD'!A407)+COUNTIF('03_地点锚点'!$A$2:$A$501,'05_层级表现LOD'!A407)+COUNTIF('04_路径网络'!$A$2:$A$501,'05_层级表现LOD'!A407)+COUNTIF('06_建筑锚点'!$A$2:$A$501,'05_层级表现LOD'!A407)=0),"LOD引用对象不存在；","")&amp;IF(AND('05_层级表现LOD'!A407&lt;&gt;"",COUNTIF('05_层级表现LOD'!$A$2:$A$501,'05_层级表现LOD'!A407)&gt;1),"ID重复；",""),"")</f>
        <v/>
      </c>
      <c r="G1907" s="14">
        <f>IF(F1907&lt;&gt;"","按字段批注、数据字典和来源记录修正后复核","")</f>
        <v/>
      </c>
      <c r="H1907" s="14">
        <f>IF(F1907&lt;&gt;"","待处理","")</f>
        <v/>
      </c>
    </row>
    <row r="1908">
      <c r="A1908" s="14">
        <f>IF(F1908&lt;&gt;"","ISSUE-"&amp;TEXT(ROW()-1,"00000"),"")</f>
        <v/>
      </c>
      <c r="B1908" s="14">
        <f>IF(F1908&lt;&gt;"","错误","")</f>
        <v/>
      </c>
      <c r="C1908" s="14">
        <f>IF('05_层级表现LOD'!A408&lt;&gt;"","05_层级表现LOD","")</f>
        <v/>
      </c>
      <c r="D1908" s="14">
        <f>IF('05_层级表现LOD'!A408&lt;&gt;"",'05_层级表现LOD'!A408,"")</f>
        <v/>
      </c>
      <c r="E1908" s="14">
        <f>IF(F1908&lt;&gt;"","综合校验","")</f>
        <v/>
      </c>
      <c r="F1908" s="14">
        <f>IF('05_层级表现LOD'!A408&lt;&gt;"",IF('05_层级表现LOD'!A408="","缺少对象ID；","")&amp;IF('05_层级表现LOD'!B408="","缺少对象类别；","")&amp;IF(AND('05_层级表现LOD'!A408&lt;&gt;"",COUNTIF('02_固定地理'!$A$2:$A$501,'05_层级表现LOD'!A408)+COUNTIF('03_地点锚点'!$A$2:$A$501,'05_层级表现LOD'!A408)+COUNTIF('04_路径网络'!$A$2:$A$501,'05_层级表现LOD'!A408)+COUNTIF('06_建筑锚点'!$A$2:$A$501,'05_层级表现LOD'!A408)=0),"LOD引用对象不存在；","")&amp;IF(AND('05_层级表现LOD'!A408&lt;&gt;"",COUNTIF('05_层级表现LOD'!$A$2:$A$501,'05_层级表现LOD'!A408)&gt;1),"ID重复；",""),"")</f>
        <v/>
      </c>
      <c r="G1908" s="14">
        <f>IF(F1908&lt;&gt;"","按字段批注、数据字典和来源记录修正后复核","")</f>
        <v/>
      </c>
      <c r="H1908" s="14">
        <f>IF(F1908&lt;&gt;"","待处理","")</f>
        <v/>
      </c>
    </row>
    <row r="1909">
      <c r="A1909" s="14">
        <f>IF(F1909&lt;&gt;"","ISSUE-"&amp;TEXT(ROW()-1,"00000"),"")</f>
        <v/>
      </c>
      <c r="B1909" s="14">
        <f>IF(F1909&lt;&gt;"","错误","")</f>
        <v/>
      </c>
      <c r="C1909" s="14">
        <f>IF('05_层级表现LOD'!A409&lt;&gt;"","05_层级表现LOD","")</f>
        <v/>
      </c>
      <c r="D1909" s="14">
        <f>IF('05_层级表现LOD'!A409&lt;&gt;"",'05_层级表现LOD'!A409,"")</f>
        <v/>
      </c>
      <c r="E1909" s="14">
        <f>IF(F1909&lt;&gt;"","综合校验","")</f>
        <v/>
      </c>
      <c r="F1909" s="14">
        <f>IF('05_层级表现LOD'!A409&lt;&gt;"",IF('05_层级表现LOD'!A409="","缺少对象ID；","")&amp;IF('05_层级表现LOD'!B409="","缺少对象类别；","")&amp;IF(AND('05_层级表现LOD'!A409&lt;&gt;"",COUNTIF('02_固定地理'!$A$2:$A$501,'05_层级表现LOD'!A409)+COUNTIF('03_地点锚点'!$A$2:$A$501,'05_层级表现LOD'!A409)+COUNTIF('04_路径网络'!$A$2:$A$501,'05_层级表现LOD'!A409)+COUNTIF('06_建筑锚点'!$A$2:$A$501,'05_层级表现LOD'!A409)=0),"LOD引用对象不存在；","")&amp;IF(AND('05_层级表现LOD'!A409&lt;&gt;"",COUNTIF('05_层级表现LOD'!$A$2:$A$501,'05_层级表现LOD'!A409)&gt;1),"ID重复；",""),"")</f>
        <v/>
      </c>
      <c r="G1909" s="14">
        <f>IF(F1909&lt;&gt;"","按字段批注、数据字典和来源记录修正后复核","")</f>
        <v/>
      </c>
      <c r="H1909" s="14">
        <f>IF(F1909&lt;&gt;"","待处理","")</f>
        <v/>
      </c>
    </row>
    <row r="1910">
      <c r="A1910" s="14">
        <f>IF(F1910&lt;&gt;"","ISSUE-"&amp;TEXT(ROW()-1,"00000"),"")</f>
        <v/>
      </c>
      <c r="B1910" s="14">
        <f>IF(F1910&lt;&gt;"","错误","")</f>
        <v/>
      </c>
      <c r="C1910" s="14">
        <f>IF('05_层级表现LOD'!A410&lt;&gt;"","05_层级表现LOD","")</f>
        <v/>
      </c>
      <c r="D1910" s="14">
        <f>IF('05_层级表现LOD'!A410&lt;&gt;"",'05_层级表现LOD'!A410,"")</f>
        <v/>
      </c>
      <c r="E1910" s="14">
        <f>IF(F1910&lt;&gt;"","综合校验","")</f>
        <v/>
      </c>
      <c r="F1910" s="14">
        <f>IF('05_层级表现LOD'!A410&lt;&gt;"",IF('05_层级表现LOD'!A410="","缺少对象ID；","")&amp;IF('05_层级表现LOD'!B410="","缺少对象类别；","")&amp;IF(AND('05_层级表现LOD'!A410&lt;&gt;"",COUNTIF('02_固定地理'!$A$2:$A$501,'05_层级表现LOD'!A410)+COUNTIF('03_地点锚点'!$A$2:$A$501,'05_层级表现LOD'!A410)+COUNTIF('04_路径网络'!$A$2:$A$501,'05_层级表现LOD'!A410)+COUNTIF('06_建筑锚点'!$A$2:$A$501,'05_层级表现LOD'!A410)=0),"LOD引用对象不存在；","")&amp;IF(AND('05_层级表现LOD'!A410&lt;&gt;"",COUNTIF('05_层级表现LOD'!$A$2:$A$501,'05_层级表现LOD'!A410)&gt;1),"ID重复；",""),"")</f>
        <v/>
      </c>
      <c r="G1910" s="14">
        <f>IF(F1910&lt;&gt;"","按字段批注、数据字典和来源记录修正后复核","")</f>
        <v/>
      </c>
      <c r="H1910" s="14">
        <f>IF(F1910&lt;&gt;"","待处理","")</f>
        <v/>
      </c>
    </row>
    <row r="1911">
      <c r="A1911" s="14">
        <f>IF(F1911&lt;&gt;"","ISSUE-"&amp;TEXT(ROW()-1,"00000"),"")</f>
        <v/>
      </c>
      <c r="B1911" s="14">
        <f>IF(F1911&lt;&gt;"","错误","")</f>
        <v/>
      </c>
      <c r="C1911" s="14">
        <f>IF('05_层级表现LOD'!A411&lt;&gt;"","05_层级表现LOD","")</f>
        <v/>
      </c>
      <c r="D1911" s="14">
        <f>IF('05_层级表现LOD'!A411&lt;&gt;"",'05_层级表现LOD'!A411,"")</f>
        <v/>
      </c>
      <c r="E1911" s="14">
        <f>IF(F1911&lt;&gt;"","综合校验","")</f>
        <v/>
      </c>
      <c r="F1911" s="14">
        <f>IF('05_层级表现LOD'!A411&lt;&gt;"",IF('05_层级表现LOD'!A411="","缺少对象ID；","")&amp;IF('05_层级表现LOD'!B411="","缺少对象类别；","")&amp;IF(AND('05_层级表现LOD'!A411&lt;&gt;"",COUNTIF('02_固定地理'!$A$2:$A$501,'05_层级表现LOD'!A411)+COUNTIF('03_地点锚点'!$A$2:$A$501,'05_层级表现LOD'!A411)+COUNTIF('04_路径网络'!$A$2:$A$501,'05_层级表现LOD'!A411)+COUNTIF('06_建筑锚点'!$A$2:$A$501,'05_层级表现LOD'!A411)=0),"LOD引用对象不存在；","")&amp;IF(AND('05_层级表现LOD'!A411&lt;&gt;"",COUNTIF('05_层级表现LOD'!$A$2:$A$501,'05_层级表现LOD'!A411)&gt;1),"ID重复；",""),"")</f>
        <v/>
      </c>
      <c r="G1911" s="14">
        <f>IF(F1911&lt;&gt;"","按字段批注、数据字典和来源记录修正后复核","")</f>
        <v/>
      </c>
      <c r="H1911" s="14">
        <f>IF(F1911&lt;&gt;"","待处理","")</f>
        <v/>
      </c>
    </row>
    <row r="1912">
      <c r="A1912" s="14">
        <f>IF(F1912&lt;&gt;"","ISSUE-"&amp;TEXT(ROW()-1,"00000"),"")</f>
        <v/>
      </c>
      <c r="B1912" s="14">
        <f>IF(F1912&lt;&gt;"","错误","")</f>
        <v/>
      </c>
      <c r="C1912" s="14">
        <f>IF('05_层级表现LOD'!A412&lt;&gt;"","05_层级表现LOD","")</f>
        <v/>
      </c>
      <c r="D1912" s="14">
        <f>IF('05_层级表现LOD'!A412&lt;&gt;"",'05_层级表现LOD'!A412,"")</f>
        <v/>
      </c>
      <c r="E1912" s="14">
        <f>IF(F1912&lt;&gt;"","综合校验","")</f>
        <v/>
      </c>
      <c r="F1912" s="14">
        <f>IF('05_层级表现LOD'!A412&lt;&gt;"",IF('05_层级表现LOD'!A412="","缺少对象ID；","")&amp;IF('05_层级表现LOD'!B412="","缺少对象类别；","")&amp;IF(AND('05_层级表现LOD'!A412&lt;&gt;"",COUNTIF('02_固定地理'!$A$2:$A$501,'05_层级表现LOD'!A412)+COUNTIF('03_地点锚点'!$A$2:$A$501,'05_层级表现LOD'!A412)+COUNTIF('04_路径网络'!$A$2:$A$501,'05_层级表现LOD'!A412)+COUNTIF('06_建筑锚点'!$A$2:$A$501,'05_层级表现LOD'!A412)=0),"LOD引用对象不存在；","")&amp;IF(AND('05_层级表现LOD'!A412&lt;&gt;"",COUNTIF('05_层级表现LOD'!$A$2:$A$501,'05_层级表现LOD'!A412)&gt;1),"ID重复；",""),"")</f>
        <v/>
      </c>
      <c r="G1912" s="14">
        <f>IF(F1912&lt;&gt;"","按字段批注、数据字典和来源记录修正后复核","")</f>
        <v/>
      </c>
      <c r="H1912" s="14">
        <f>IF(F1912&lt;&gt;"","待处理","")</f>
        <v/>
      </c>
    </row>
    <row r="1913">
      <c r="A1913" s="14">
        <f>IF(F1913&lt;&gt;"","ISSUE-"&amp;TEXT(ROW()-1,"00000"),"")</f>
        <v/>
      </c>
      <c r="B1913" s="14">
        <f>IF(F1913&lt;&gt;"","错误","")</f>
        <v/>
      </c>
      <c r="C1913" s="14">
        <f>IF('05_层级表现LOD'!A413&lt;&gt;"","05_层级表现LOD","")</f>
        <v/>
      </c>
      <c r="D1913" s="14">
        <f>IF('05_层级表现LOD'!A413&lt;&gt;"",'05_层级表现LOD'!A413,"")</f>
        <v/>
      </c>
      <c r="E1913" s="14">
        <f>IF(F1913&lt;&gt;"","综合校验","")</f>
        <v/>
      </c>
      <c r="F1913" s="14">
        <f>IF('05_层级表现LOD'!A413&lt;&gt;"",IF('05_层级表现LOD'!A413="","缺少对象ID；","")&amp;IF('05_层级表现LOD'!B413="","缺少对象类别；","")&amp;IF(AND('05_层级表现LOD'!A413&lt;&gt;"",COUNTIF('02_固定地理'!$A$2:$A$501,'05_层级表现LOD'!A413)+COUNTIF('03_地点锚点'!$A$2:$A$501,'05_层级表现LOD'!A413)+COUNTIF('04_路径网络'!$A$2:$A$501,'05_层级表现LOD'!A413)+COUNTIF('06_建筑锚点'!$A$2:$A$501,'05_层级表现LOD'!A413)=0),"LOD引用对象不存在；","")&amp;IF(AND('05_层级表现LOD'!A413&lt;&gt;"",COUNTIF('05_层级表现LOD'!$A$2:$A$501,'05_层级表现LOD'!A413)&gt;1),"ID重复；",""),"")</f>
        <v/>
      </c>
      <c r="G1913" s="14">
        <f>IF(F1913&lt;&gt;"","按字段批注、数据字典和来源记录修正后复核","")</f>
        <v/>
      </c>
      <c r="H1913" s="14">
        <f>IF(F1913&lt;&gt;"","待处理","")</f>
        <v/>
      </c>
    </row>
    <row r="1914">
      <c r="A1914" s="14">
        <f>IF(F1914&lt;&gt;"","ISSUE-"&amp;TEXT(ROW()-1,"00000"),"")</f>
        <v/>
      </c>
      <c r="B1914" s="14">
        <f>IF(F1914&lt;&gt;"","错误","")</f>
        <v/>
      </c>
      <c r="C1914" s="14">
        <f>IF('05_层级表现LOD'!A414&lt;&gt;"","05_层级表现LOD","")</f>
        <v/>
      </c>
      <c r="D1914" s="14">
        <f>IF('05_层级表现LOD'!A414&lt;&gt;"",'05_层级表现LOD'!A414,"")</f>
        <v/>
      </c>
      <c r="E1914" s="14">
        <f>IF(F1914&lt;&gt;"","综合校验","")</f>
        <v/>
      </c>
      <c r="F1914" s="14">
        <f>IF('05_层级表现LOD'!A414&lt;&gt;"",IF('05_层级表现LOD'!A414="","缺少对象ID；","")&amp;IF('05_层级表现LOD'!B414="","缺少对象类别；","")&amp;IF(AND('05_层级表现LOD'!A414&lt;&gt;"",COUNTIF('02_固定地理'!$A$2:$A$501,'05_层级表现LOD'!A414)+COUNTIF('03_地点锚点'!$A$2:$A$501,'05_层级表现LOD'!A414)+COUNTIF('04_路径网络'!$A$2:$A$501,'05_层级表现LOD'!A414)+COUNTIF('06_建筑锚点'!$A$2:$A$501,'05_层级表现LOD'!A414)=0),"LOD引用对象不存在；","")&amp;IF(AND('05_层级表现LOD'!A414&lt;&gt;"",COUNTIF('05_层级表现LOD'!$A$2:$A$501,'05_层级表现LOD'!A414)&gt;1),"ID重复；",""),"")</f>
        <v/>
      </c>
      <c r="G1914" s="14">
        <f>IF(F1914&lt;&gt;"","按字段批注、数据字典和来源记录修正后复核","")</f>
        <v/>
      </c>
      <c r="H1914" s="14">
        <f>IF(F1914&lt;&gt;"","待处理","")</f>
        <v/>
      </c>
    </row>
    <row r="1915">
      <c r="A1915" s="14">
        <f>IF(F1915&lt;&gt;"","ISSUE-"&amp;TEXT(ROW()-1,"00000"),"")</f>
        <v/>
      </c>
      <c r="B1915" s="14">
        <f>IF(F1915&lt;&gt;"","错误","")</f>
        <v/>
      </c>
      <c r="C1915" s="14">
        <f>IF('05_层级表现LOD'!A415&lt;&gt;"","05_层级表现LOD","")</f>
        <v/>
      </c>
      <c r="D1915" s="14">
        <f>IF('05_层级表现LOD'!A415&lt;&gt;"",'05_层级表现LOD'!A415,"")</f>
        <v/>
      </c>
      <c r="E1915" s="14">
        <f>IF(F1915&lt;&gt;"","综合校验","")</f>
        <v/>
      </c>
      <c r="F1915" s="14">
        <f>IF('05_层级表现LOD'!A415&lt;&gt;"",IF('05_层级表现LOD'!A415="","缺少对象ID；","")&amp;IF('05_层级表现LOD'!B415="","缺少对象类别；","")&amp;IF(AND('05_层级表现LOD'!A415&lt;&gt;"",COUNTIF('02_固定地理'!$A$2:$A$501,'05_层级表现LOD'!A415)+COUNTIF('03_地点锚点'!$A$2:$A$501,'05_层级表现LOD'!A415)+COUNTIF('04_路径网络'!$A$2:$A$501,'05_层级表现LOD'!A415)+COUNTIF('06_建筑锚点'!$A$2:$A$501,'05_层级表现LOD'!A415)=0),"LOD引用对象不存在；","")&amp;IF(AND('05_层级表现LOD'!A415&lt;&gt;"",COUNTIF('05_层级表现LOD'!$A$2:$A$501,'05_层级表现LOD'!A415)&gt;1),"ID重复；",""),"")</f>
        <v/>
      </c>
      <c r="G1915" s="14">
        <f>IF(F1915&lt;&gt;"","按字段批注、数据字典和来源记录修正后复核","")</f>
        <v/>
      </c>
      <c r="H1915" s="14">
        <f>IF(F1915&lt;&gt;"","待处理","")</f>
        <v/>
      </c>
    </row>
    <row r="1916">
      <c r="A1916" s="14">
        <f>IF(F1916&lt;&gt;"","ISSUE-"&amp;TEXT(ROW()-1,"00000"),"")</f>
        <v/>
      </c>
      <c r="B1916" s="14">
        <f>IF(F1916&lt;&gt;"","错误","")</f>
        <v/>
      </c>
      <c r="C1916" s="14">
        <f>IF('05_层级表现LOD'!A416&lt;&gt;"","05_层级表现LOD","")</f>
        <v/>
      </c>
      <c r="D1916" s="14">
        <f>IF('05_层级表现LOD'!A416&lt;&gt;"",'05_层级表现LOD'!A416,"")</f>
        <v/>
      </c>
      <c r="E1916" s="14">
        <f>IF(F1916&lt;&gt;"","综合校验","")</f>
        <v/>
      </c>
      <c r="F1916" s="14">
        <f>IF('05_层级表现LOD'!A416&lt;&gt;"",IF('05_层级表现LOD'!A416="","缺少对象ID；","")&amp;IF('05_层级表现LOD'!B416="","缺少对象类别；","")&amp;IF(AND('05_层级表现LOD'!A416&lt;&gt;"",COUNTIF('02_固定地理'!$A$2:$A$501,'05_层级表现LOD'!A416)+COUNTIF('03_地点锚点'!$A$2:$A$501,'05_层级表现LOD'!A416)+COUNTIF('04_路径网络'!$A$2:$A$501,'05_层级表现LOD'!A416)+COUNTIF('06_建筑锚点'!$A$2:$A$501,'05_层级表现LOD'!A416)=0),"LOD引用对象不存在；","")&amp;IF(AND('05_层级表现LOD'!A416&lt;&gt;"",COUNTIF('05_层级表现LOD'!$A$2:$A$501,'05_层级表现LOD'!A416)&gt;1),"ID重复；",""),"")</f>
        <v/>
      </c>
      <c r="G1916" s="14">
        <f>IF(F1916&lt;&gt;"","按字段批注、数据字典和来源记录修正后复核","")</f>
        <v/>
      </c>
      <c r="H1916" s="14">
        <f>IF(F1916&lt;&gt;"","待处理","")</f>
        <v/>
      </c>
    </row>
    <row r="1917">
      <c r="A1917" s="14">
        <f>IF(F1917&lt;&gt;"","ISSUE-"&amp;TEXT(ROW()-1,"00000"),"")</f>
        <v/>
      </c>
      <c r="B1917" s="14">
        <f>IF(F1917&lt;&gt;"","错误","")</f>
        <v/>
      </c>
      <c r="C1917" s="14">
        <f>IF('05_层级表现LOD'!A417&lt;&gt;"","05_层级表现LOD","")</f>
        <v/>
      </c>
      <c r="D1917" s="14">
        <f>IF('05_层级表现LOD'!A417&lt;&gt;"",'05_层级表现LOD'!A417,"")</f>
        <v/>
      </c>
      <c r="E1917" s="14">
        <f>IF(F1917&lt;&gt;"","综合校验","")</f>
        <v/>
      </c>
      <c r="F1917" s="14">
        <f>IF('05_层级表现LOD'!A417&lt;&gt;"",IF('05_层级表现LOD'!A417="","缺少对象ID；","")&amp;IF('05_层级表现LOD'!B417="","缺少对象类别；","")&amp;IF(AND('05_层级表现LOD'!A417&lt;&gt;"",COUNTIF('02_固定地理'!$A$2:$A$501,'05_层级表现LOD'!A417)+COUNTIF('03_地点锚点'!$A$2:$A$501,'05_层级表现LOD'!A417)+COUNTIF('04_路径网络'!$A$2:$A$501,'05_层级表现LOD'!A417)+COUNTIF('06_建筑锚点'!$A$2:$A$501,'05_层级表现LOD'!A417)=0),"LOD引用对象不存在；","")&amp;IF(AND('05_层级表现LOD'!A417&lt;&gt;"",COUNTIF('05_层级表现LOD'!$A$2:$A$501,'05_层级表现LOD'!A417)&gt;1),"ID重复；",""),"")</f>
        <v/>
      </c>
      <c r="G1917" s="14">
        <f>IF(F1917&lt;&gt;"","按字段批注、数据字典和来源记录修正后复核","")</f>
        <v/>
      </c>
      <c r="H1917" s="14">
        <f>IF(F1917&lt;&gt;"","待处理","")</f>
        <v/>
      </c>
    </row>
    <row r="1918">
      <c r="A1918" s="14">
        <f>IF(F1918&lt;&gt;"","ISSUE-"&amp;TEXT(ROW()-1,"00000"),"")</f>
        <v/>
      </c>
      <c r="B1918" s="14">
        <f>IF(F1918&lt;&gt;"","错误","")</f>
        <v/>
      </c>
      <c r="C1918" s="14">
        <f>IF('05_层级表现LOD'!A418&lt;&gt;"","05_层级表现LOD","")</f>
        <v/>
      </c>
      <c r="D1918" s="14">
        <f>IF('05_层级表现LOD'!A418&lt;&gt;"",'05_层级表现LOD'!A418,"")</f>
        <v/>
      </c>
      <c r="E1918" s="14">
        <f>IF(F1918&lt;&gt;"","综合校验","")</f>
        <v/>
      </c>
      <c r="F1918" s="14">
        <f>IF('05_层级表现LOD'!A418&lt;&gt;"",IF('05_层级表现LOD'!A418="","缺少对象ID；","")&amp;IF('05_层级表现LOD'!B418="","缺少对象类别；","")&amp;IF(AND('05_层级表现LOD'!A418&lt;&gt;"",COUNTIF('02_固定地理'!$A$2:$A$501,'05_层级表现LOD'!A418)+COUNTIF('03_地点锚点'!$A$2:$A$501,'05_层级表现LOD'!A418)+COUNTIF('04_路径网络'!$A$2:$A$501,'05_层级表现LOD'!A418)+COUNTIF('06_建筑锚点'!$A$2:$A$501,'05_层级表现LOD'!A418)=0),"LOD引用对象不存在；","")&amp;IF(AND('05_层级表现LOD'!A418&lt;&gt;"",COUNTIF('05_层级表现LOD'!$A$2:$A$501,'05_层级表现LOD'!A418)&gt;1),"ID重复；",""),"")</f>
        <v/>
      </c>
      <c r="G1918" s="14">
        <f>IF(F1918&lt;&gt;"","按字段批注、数据字典和来源记录修正后复核","")</f>
        <v/>
      </c>
      <c r="H1918" s="14">
        <f>IF(F1918&lt;&gt;"","待处理","")</f>
        <v/>
      </c>
    </row>
    <row r="1919">
      <c r="A1919" s="14">
        <f>IF(F1919&lt;&gt;"","ISSUE-"&amp;TEXT(ROW()-1,"00000"),"")</f>
        <v/>
      </c>
      <c r="B1919" s="14">
        <f>IF(F1919&lt;&gt;"","错误","")</f>
        <v/>
      </c>
      <c r="C1919" s="14">
        <f>IF('05_层级表现LOD'!A419&lt;&gt;"","05_层级表现LOD","")</f>
        <v/>
      </c>
      <c r="D1919" s="14">
        <f>IF('05_层级表现LOD'!A419&lt;&gt;"",'05_层级表现LOD'!A419,"")</f>
        <v/>
      </c>
      <c r="E1919" s="14">
        <f>IF(F1919&lt;&gt;"","综合校验","")</f>
        <v/>
      </c>
      <c r="F1919" s="14">
        <f>IF('05_层级表现LOD'!A419&lt;&gt;"",IF('05_层级表现LOD'!A419="","缺少对象ID；","")&amp;IF('05_层级表现LOD'!B419="","缺少对象类别；","")&amp;IF(AND('05_层级表现LOD'!A419&lt;&gt;"",COUNTIF('02_固定地理'!$A$2:$A$501,'05_层级表现LOD'!A419)+COUNTIF('03_地点锚点'!$A$2:$A$501,'05_层级表现LOD'!A419)+COUNTIF('04_路径网络'!$A$2:$A$501,'05_层级表现LOD'!A419)+COUNTIF('06_建筑锚点'!$A$2:$A$501,'05_层级表现LOD'!A419)=0),"LOD引用对象不存在；","")&amp;IF(AND('05_层级表现LOD'!A419&lt;&gt;"",COUNTIF('05_层级表现LOD'!$A$2:$A$501,'05_层级表现LOD'!A419)&gt;1),"ID重复；",""),"")</f>
        <v/>
      </c>
      <c r="G1919" s="14">
        <f>IF(F1919&lt;&gt;"","按字段批注、数据字典和来源记录修正后复核","")</f>
        <v/>
      </c>
      <c r="H1919" s="14">
        <f>IF(F1919&lt;&gt;"","待处理","")</f>
        <v/>
      </c>
    </row>
    <row r="1920">
      <c r="A1920" s="14">
        <f>IF(F1920&lt;&gt;"","ISSUE-"&amp;TEXT(ROW()-1,"00000"),"")</f>
        <v/>
      </c>
      <c r="B1920" s="14">
        <f>IF(F1920&lt;&gt;"","错误","")</f>
        <v/>
      </c>
      <c r="C1920" s="14">
        <f>IF('05_层级表现LOD'!A420&lt;&gt;"","05_层级表现LOD","")</f>
        <v/>
      </c>
      <c r="D1920" s="14">
        <f>IF('05_层级表现LOD'!A420&lt;&gt;"",'05_层级表现LOD'!A420,"")</f>
        <v/>
      </c>
      <c r="E1920" s="14">
        <f>IF(F1920&lt;&gt;"","综合校验","")</f>
        <v/>
      </c>
      <c r="F1920" s="14">
        <f>IF('05_层级表现LOD'!A420&lt;&gt;"",IF('05_层级表现LOD'!A420="","缺少对象ID；","")&amp;IF('05_层级表现LOD'!B420="","缺少对象类别；","")&amp;IF(AND('05_层级表现LOD'!A420&lt;&gt;"",COUNTIF('02_固定地理'!$A$2:$A$501,'05_层级表现LOD'!A420)+COUNTIF('03_地点锚点'!$A$2:$A$501,'05_层级表现LOD'!A420)+COUNTIF('04_路径网络'!$A$2:$A$501,'05_层级表现LOD'!A420)+COUNTIF('06_建筑锚点'!$A$2:$A$501,'05_层级表现LOD'!A420)=0),"LOD引用对象不存在；","")&amp;IF(AND('05_层级表现LOD'!A420&lt;&gt;"",COUNTIF('05_层级表现LOD'!$A$2:$A$501,'05_层级表现LOD'!A420)&gt;1),"ID重复；",""),"")</f>
        <v/>
      </c>
      <c r="G1920" s="14">
        <f>IF(F1920&lt;&gt;"","按字段批注、数据字典和来源记录修正后复核","")</f>
        <v/>
      </c>
      <c r="H1920" s="14">
        <f>IF(F1920&lt;&gt;"","待处理","")</f>
        <v/>
      </c>
    </row>
    <row r="1921">
      <c r="A1921" s="14">
        <f>IF(F1921&lt;&gt;"","ISSUE-"&amp;TEXT(ROW()-1,"00000"),"")</f>
        <v/>
      </c>
      <c r="B1921" s="14">
        <f>IF(F1921&lt;&gt;"","错误","")</f>
        <v/>
      </c>
      <c r="C1921" s="14">
        <f>IF('05_层级表现LOD'!A421&lt;&gt;"","05_层级表现LOD","")</f>
        <v/>
      </c>
      <c r="D1921" s="14">
        <f>IF('05_层级表现LOD'!A421&lt;&gt;"",'05_层级表现LOD'!A421,"")</f>
        <v/>
      </c>
      <c r="E1921" s="14">
        <f>IF(F1921&lt;&gt;"","综合校验","")</f>
        <v/>
      </c>
      <c r="F1921" s="14">
        <f>IF('05_层级表现LOD'!A421&lt;&gt;"",IF('05_层级表现LOD'!A421="","缺少对象ID；","")&amp;IF('05_层级表现LOD'!B421="","缺少对象类别；","")&amp;IF(AND('05_层级表现LOD'!A421&lt;&gt;"",COUNTIF('02_固定地理'!$A$2:$A$501,'05_层级表现LOD'!A421)+COUNTIF('03_地点锚点'!$A$2:$A$501,'05_层级表现LOD'!A421)+COUNTIF('04_路径网络'!$A$2:$A$501,'05_层级表现LOD'!A421)+COUNTIF('06_建筑锚点'!$A$2:$A$501,'05_层级表现LOD'!A421)=0),"LOD引用对象不存在；","")&amp;IF(AND('05_层级表现LOD'!A421&lt;&gt;"",COUNTIF('05_层级表现LOD'!$A$2:$A$501,'05_层级表现LOD'!A421)&gt;1),"ID重复；",""),"")</f>
        <v/>
      </c>
      <c r="G1921" s="14">
        <f>IF(F1921&lt;&gt;"","按字段批注、数据字典和来源记录修正后复核","")</f>
        <v/>
      </c>
      <c r="H1921" s="14">
        <f>IF(F1921&lt;&gt;"","待处理","")</f>
        <v/>
      </c>
    </row>
    <row r="1922">
      <c r="A1922" s="14">
        <f>IF(F1922&lt;&gt;"","ISSUE-"&amp;TEXT(ROW()-1,"00000"),"")</f>
        <v/>
      </c>
      <c r="B1922" s="14">
        <f>IF(F1922&lt;&gt;"","错误","")</f>
        <v/>
      </c>
      <c r="C1922" s="14">
        <f>IF('05_层级表现LOD'!A422&lt;&gt;"","05_层级表现LOD","")</f>
        <v/>
      </c>
      <c r="D1922" s="14">
        <f>IF('05_层级表现LOD'!A422&lt;&gt;"",'05_层级表现LOD'!A422,"")</f>
        <v/>
      </c>
      <c r="E1922" s="14">
        <f>IF(F1922&lt;&gt;"","综合校验","")</f>
        <v/>
      </c>
      <c r="F1922" s="14">
        <f>IF('05_层级表现LOD'!A422&lt;&gt;"",IF('05_层级表现LOD'!A422="","缺少对象ID；","")&amp;IF('05_层级表现LOD'!B422="","缺少对象类别；","")&amp;IF(AND('05_层级表现LOD'!A422&lt;&gt;"",COUNTIF('02_固定地理'!$A$2:$A$501,'05_层级表现LOD'!A422)+COUNTIF('03_地点锚点'!$A$2:$A$501,'05_层级表现LOD'!A422)+COUNTIF('04_路径网络'!$A$2:$A$501,'05_层级表现LOD'!A422)+COUNTIF('06_建筑锚点'!$A$2:$A$501,'05_层级表现LOD'!A422)=0),"LOD引用对象不存在；","")&amp;IF(AND('05_层级表现LOD'!A422&lt;&gt;"",COUNTIF('05_层级表现LOD'!$A$2:$A$501,'05_层级表现LOD'!A422)&gt;1),"ID重复；",""),"")</f>
        <v/>
      </c>
      <c r="G1922" s="14">
        <f>IF(F1922&lt;&gt;"","按字段批注、数据字典和来源记录修正后复核","")</f>
        <v/>
      </c>
      <c r="H1922" s="14">
        <f>IF(F1922&lt;&gt;"","待处理","")</f>
        <v/>
      </c>
    </row>
    <row r="1923">
      <c r="A1923" s="14">
        <f>IF(F1923&lt;&gt;"","ISSUE-"&amp;TEXT(ROW()-1,"00000"),"")</f>
        <v/>
      </c>
      <c r="B1923" s="14">
        <f>IF(F1923&lt;&gt;"","错误","")</f>
        <v/>
      </c>
      <c r="C1923" s="14">
        <f>IF('05_层级表现LOD'!A423&lt;&gt;"","05_层级表现LOD","")</f>
        <v/>
      </c>
      <c r="D1923" s="14">
        <f>IF('05_层级表现LOD'!A423&lt;&gt;"",'05_层级表现LOD'!A423,"")</f>
        <v/>
      </c>
      <c r="E1923" s="14">
        <f>IF(F1923&lt;&gt;"","综合校验","")</f>
        <v/>
      </c>
      <c r="F1923" s="14">
        <f>IF('05_层级表现LOD'!A423&lt;&gt;"",IF('05_层级表现LOD'!A423="","缺少对象ID；","")&amp;IF('05_层级表现LOD'!B423="","缺少对象类别；","")&amp;IF(AND('05_层级表现LOD'!A423&lt;&gt;"",COUNTIF('02_固定地理'!$A$2:$A$501,'05_层级表现LOD'!A423)+COUNTIF('03_地点锚点'!$A$2:$A$501,'05_层级表现LOD'!A423)+COUNTIF('04_路径网络'!$A$2:$A$501,'05_层级表现LOD'!A423)+COUNTIF('06_建筑锚点'!$A$2:$A$501,'05_层级表现LOD'!A423)=0),"LOD引用对象不存在；","")&amp;IF(AND('05_层级表现LOD'!A423&lt;&gt;"",COUNTIF('05_层级表现LOD'!$A$2:$A$501,'05_层级表现LOD'!A423)&gt;1),"ID重复；",""),"")</f>
        <v/>
      </c>
      <c r="G1923" s="14">
        <f>IF(F1923&lt;&gt;"","按字段批注、数据字典和来源记录修正后复核","")</f>
        <v/>
      </c>
      <c r="H1923" s="14">
        <f>IF(F1923&lt;&gt;"","待处理","")</f>
        <v/>
      </c>
    </row>
    <row r="1924">
      <c r="A1924" s="14">
        <f>IF(F1924&lt;&gt;"","ISSUE-"&amp;TEXT(ROW()-1,"00000"),"")</f>
        <v/>
      </c>
      <c r="B1924" s="14">
        <f>IF(F1924&lt;&gt;"","错误","")</f>
        <v/>
      </c>
      <c r="C1924" s="14">
        <f>IF('05_层级表现LOD'!A424&lt;&gt;"","05_层级表现LOD","")</f>
        <v/>
      </c>
      <c r="D1924" s="14">
        <f>IF('05_层级表现LOD'!A424&lt;&gt;"",'05_层级表现LOD'!A424,"")</f>
        <v/>
      </c>
      <c r="E1924" s="14">
        <f>IF(F1924&lt;&gt;"","综合校验","")</f>
        <v/>
      </c>
      <c r="F1924" s="14">
        <f>IF('05_层级表现LOD'!A424&lt;&gt;"",IF('05_层级表现LOD'!A424="","缺少对象ID；","")&amp;IF('05_层级表现LOD'!B424="","缺少对象类别；","")&amp;IF(AND('05_层级表现LOD'!A424&lt;&gt;"",COUNTIF('02_固定地理'!$A$2:$A$501,'05_层级表现LOD'!A424)+COUNTIF('03_地点锚点'!$A$2:$A$501,'05_层级表现LOD'!A424)+COUNTIF('04_路径网络'!$A$2:$A$501,'05_层级表现LOD'!A424)+COUNTIF('06_建筑锚点'!$A$2:$A$501,'05_层级表现LOD'!A424)=0),"LOD引用对象不存在；","")&amp;IF(AND('05_层级表现LOD'!A424&lt;&gt;"",COUNTIF('05_层级表现LOD'!$A$2:$A$501,'05_层级表现LOD'!A424)&gt;1),"ID重复；",""),"")</f>
        <v/>
      </c>
      <c r="G1924" s="14">
        <f>IF(F1924&lt;&gt;"","按字段批注、数据字典和来源记录修正后复核","")</f>
        <v/>
      </c>
      <c r="H1924" s="14">
        <f>IF(F1924&lt;&gt;"","待处理","")</f>
        <v/>
      </c>
    </row>
    <row r="1925">
      <c r="A1925" s="14">
        <f>IF(F1925&lt;&gt;"","ISSUE-"&amp;TEXT(ROW()-1,"00000"),"")</f>
        <v/>
      </c>
      <c r="B1925" s="14">
        <f>IF(F1925&lt;&gt;"","错误","")</f>
        <v/>
      </c>
      <c r="C1925" s="14">
        <f>IF('05_层级表现LOD'!A425&lt;&gt;"","05_层级表现LOD","")</f>
        <v/>
      </c>
      <c r="D1925" s="14">
        <f>IF('05_层级表现LOD'!A425&lt;&gt;"",'05_层级表现LOD'!A425,"")</f>
        <v/>
      </c>
      <c r="E1925" s="14">
        <f>IF(F1925&lt;&gt;"","综合校验","")</f>
        <v/>
      </c>
      <c r="F1925" s="14">
        <f>IF('05_层级表现LOD'!A425&lt;&gt;"",IF('05_层级表现LOD'!A425="","缺少对象ID；","")&amp;IF('05_层级表现LOD'!B425="","缺少对象类别；","")&amp;IF(AND('05_层级表现LOD'!A425&lt;&gt;"",COUNTIF('02_固定地理'!$A$2:$A$501,'05_层级表现LOD'!A425)+COUNTIF('03_地点锚点'!$A$2:$A$501,'05_层级表现LOD'!A425)+COUNTIF('04_路径网络'!$A$2:$A$501,'05_层级表现LOD'!A425)+COUNTIF('06_建筑锚点'!$A$2:$A$501,'05_层级表现LOD'!A425)=0),"LOD引用对象不存在；","")&amp;IF(AND('05_层级表现LOD'!A425&lt;&gt;"",COUNTIF('05_层级表现LOD'!$A$2:$A$501,'05_层级表现LOD'!A425)&gt;1),"ID重复；",""),"")</f>
        <v/>
      </c>
      <c r="G1925" s="14">
        <f>IF(F1925&lt;&gt;"","按字段批注、数据字典和来源记录修正后复核","")</f>
        <v/>
      </c>
      <c r="H1925" s="14">
        <f>IF(F1925&lt;&gt;"","待处理","")</f>
        <v/>
      </c>
    </row>
    <row r="1926">
      <c r="A1926" s="14">
        <f>IF(F1926&lt;&gt;"","ISSUE-"&amp;TEXT(ROW()-1,"00000"),"")</f>
        <v/>
      </c>
      <c r="B1926" s="14">
        <f>IF(F1926&lt;&gt;"","错误","")</f>
        <v/>
      </c>
      <c r="C1926" s="14">
        <f>IF('05_层级表现LOD'!A426&lt;&gt;"","05_层级表现LOD","")</f>
        <v/>
      </c>
      <c r="D1926" s="14">
        <f>IF('05_层级表现LOD'!A426&lt;&gt;"",'05_层级表现LOD'!A426,"")</f>
        <v/>
      </c>
      <c r="E1926" s="14">
        <f>IF(F1926&lt;&gt;"","综合校验","")</f>
        <v/>
      </c>
      <c r="F1926" s="14">
        <f>IF('05_层级表现LOD'!A426&lt;&gt;"",IF('05_层级表现LOD'!A426="","缺少对象ID；","")&amp;IF('05_层级表现LOD'!B426="","缺少对象类别；","")&amp;IF(AND('05_层级表现LOD'!A426&lt;&gt;"",COUNTIF('02_固定地理'!$A$2:$A$501,'05_层级表现LOD'!A426)+COUNTIF('03_地点锚点'!$A$2:$A$501,'05_层级表现LOD'!A426)+COUNTIF('04_路径网络'!$A$2:$A$501,'05_层级表现LOD'!A426)+COUNTIF('06_建筑锚点'!$A$2:$A$501,'05_层级表现LOD'!A426)=0),"LOD引用对象不存在；","")&amp;IF(AND('05_层级表现LOD'!A426&lt;&gt;"",COUNTIF('05_层级表现LOD'!$A$2:$A$501,'05_层级表现LOD'!A426)&gt;1),"ID重复；",""),"")</f>
        <v/>
      </c>
      <c r="G1926" s="14">
        <f>IF(F1926&lt;&gt;"","按字段批注、数据字典和来源记录修正后复核","")</f>
        <v/>
      </c>
      <c r="H1926" s="14">
        <f>IF(F1926&lt;&gt;"","待处理","")</f>
        <v/>
      </c>
    </row>
    <row r="1927">
      <c r="A1927" s="14">
        <f>IF(F1927&lt;&gt;"","ISSUE-"&amp;TEXT(ROW()-1,"00000"),"")</f>
        <v/>
      </c>
      <c r="B1927" s="14">
        <f>IF(F1927&lt;&gt;"","错误","")</f>
        <v/>
      </c>
      <c r="C1927" s="14">
        <f>IF('05_层级表现LOD'!A427&lt;&gt;"","05_层级表现LOD","")</f>
        <v/>
      </c>
      <c r="D1927" s="14">
        <f>IF('05_层级表现LOD'!A427&lt;&gt;"",'05_层级表现LOD'!A427,"")</f>
        <v/>
      </c>
      <c r="E1927" s="14">
        <f>IF(F1927&lt;&gt;"","综合校验","")</f>
        <v/>
      </c>
      <c r="F1927" s="14">
        <f>IF('05_层级表现LOD'!A427&lt;&gt;"",IF('05_层级表现LOD'!A427="","缺少对象ID；","")&amp;IF('05_层级表现LOD'!B427="","缺少对象类别；","")&amp;IF(AND('05_层级表现LOD'!A427&lt;&gt;"",COUNTIF('02_固定地理'!$A$2:$A$501,'05_层级表现LOD'!A427)+COUNTIF('03_地点锚点'!$A$2:$A$501,'05_层级表现LOD'!A427)+COUNTIF('04_路径网络'!$A$2:$A$501,'05_层级表现LOD'!A427)+COUNTIF('06_建筑锚点'!$A$2:$A$501,'05_层级表现LOD'!A427)=0),"LOD引用对象不存在；","")&amp;IF(AND('05_层级表现LOD'!A427&lt;&gt;"",COUNTIF('05_层级表现LOD'!$A$2:$A$501,'05_层级表现LOD'!A427)&gt;1),"ID重复；",""),"")</f>
        <v/>
      </c>
      <c r="G1927" s="14">
        <f>IF(F1927&lt;&gt;"","按字段批注、数据字典和来源记录修正后复核","")</f>
        <v/>
      </c>
      <c r="H1927" s="14">
        <f>IF(F1927&lt;&gt;"","待处理","")</f>
        <v/>
      </c>
    </row>
    <row r="1928">
      <c r="A1928" s="14">
        <f>IF(F1928&lt;&gt;"","ISSUE-"&amp;TEXT(ROW()-1,"00000"),"")</f>
        <v/>
      </c>
      <c r="B1928" s="14">
        <f>IF(F1928&lt;&gt;"","错误","")</f>
        <v/>
      </c>
      <c r="C1928" s="14">
        <f>IF('05_层级表现LOD'!A428&lt;&gt;"","05_层级表现LOD","")</f>
        <v/>
      </c>
      <c r="D1928" s="14">
        <f>IF('05_层级表现LOD'!A428&lt;&gt;"",'05_层级表现LOD'!A428,"")</f>
        <v/>
      </c>
      <c r="E1928" s="14">
        <f>IF(F1928&lt;&gt;"","综合校验","")</f>
        <v/>
      </c>
      <c r="F1928" s="14">
        <f>IF('05_层级表现LOD'!A428&lt;&gt;"",IF('05_层级表现LOD'!A428="","缺少对象ID；","")&amp;IF('05_层级表现LOD'!B428="","缺少对象类别；","")&amp;IF(AND('05_层级表现LOD'!A428&lt;&gt;"",COUNTIF('02_固定地理'!$A$2:$A$501,'05_层级表现LOD'!A428)+COUNTIF('03_地点锚点'!$A$2:$A$501,'05_层级表现LOD'!A428)+COUNTIF('04_路径网络'!$A$2:$A$501,'05_层级表现LOD'!A428)+COUNTIF('06_建筑锚点'!$A$2:$A$501,'05_层级表现LOD'!A428)=0),"LOD引用对象不存在；","")&amp;IF(AND('05_层级表现LOD'!A428&lt;&gt;"",COUNTIF('05_层级表现LOD'!$A$2:$A$501,'05_层级表现LOD'!A428)&gt;1),"ID重复；",""),"")</f>
        <v/>
      </c>
      <c r="G1928" s="14">
        <f>IF(F1928&lt;&gt;"","按字段批注、数据字典和来源记录修正后复核","")</f>
        <v/>
      </c>
      <c r="H1928" s="14">
        <f>IF(F1928&lt;&gt;"","待处理","")</f>
        <v/>
      </c>
    </row>
    <row r="1929">
      <c r="A1929" s="14">
        <f>IF(F1929&lt;&gt;"","ISSUE-"&amp;TEXT(ROW()-1,"00000"),"")</f>
        <v/>
      </c>
      <c r="B1929" s="14">
        <f>IF(F1929&lt;&gt;"","错误","")</f>
        <v/>
      </c>
      <c r="C1929" s="14">
        <f>IF('05_层级表现LOD'!A429&lt;&gt;"","05_层级表现LOD","")</f>
        <v/>
      </c>
      <c r="D1929" s="14">
        <f>IF('05_层级表现LOD'!A429&lt;&gt;"",'05_层级表现LOD'!A429,"")</f>
        <v/>
      </c>
      <c r="E1929" s="14">
        <f>IF(F1929&lt;&gt;"","综合校验","")</f>
        <v/>
      </c>
      <c r="F1929" s="14">
        <f>IF('05_层级表现LOD'!A429&lt;&gt;"",IF('05_层级表现LOD'!A429="","缺少对象ID；","")&amp;IF('05_层级表现LOD'!B429="","缺少对象类别；","")&amp;IF(AND('05_层级表现LOD'!A429&lt;&gt;"",COUNTIF('02_固定地理'!$A$2:$A$501,'05_层级表现LOD'!A429)+COUNTIF('03_地点锚点'!$A$2:$A$501,'05_层级表现LOD'!A429)+COUNTIF('04_路径网络'!$A$2:$A$501,'05_层级表现LOD'!A429)+COUNTIF('06_建筑锚点'!$A$2:$A$501,'05_层级表现LOD'!A429)=0),"LOD引用对象不存在；","")&amp;IF(AND('05_层级表现LOD'!A429&lt;&gt;"",COUNTIF('05_层级表现LOD'!$A$2:$A$501,'05_层级表现LOD'!A429)&gt;1),"ID重复；",""),"")</f>
        <v/>
      </c>
      <c r="G1929" s="14">
        <f>IF(F1929&lt;&gt;"","按字段批注、数据字典和来源记录修正后复核","")</f>
        <v/>
      </c>
      <c r="H1929" s="14">
        <f>IF(F1929&lt;&gt;"","待处理","")</f>
        <v/>
      </c>
    </row>
    <row r="1930">
      <c r="A1930" s="14">
        <f>IF(F1930&lt;&gt;"","ISSUE-"&amp;TEXT(ROW()-1,"00000"),"")</f>
        <v/>
      </c>
      <c r="B1930" s="14">
        <f>IF(F1930&lt;&gt;"","错误","")</f>
        <v/>
      </c>
      <c r="C1930" s="14">
        <f>IF('05_层级表现LOD'!A430&lt;&gt;"","05_层级表现LOD","")</f>
        <v/>
      </c>
      <c r="D1930" s="14">
        <f>IF('05_层级表现LOD'!A430&lt;&gt;"",'05_层级表现LOD'!A430,"")</f>
        <v/>
      </c>
      <c r="E1930" s="14">
        <f>IF(F1930&lt;&gt;"","综合校验","")</f>
        <v/>
      </c>
      <c r="F1930" s="14">
        <f>IF('05_层级表现LOD'!A430&lt;&gt;"",IF('05_层级表现LOD'!A430="","缺少对象ID；","")&amp;IF('05_层级表现LOD'!B430="","缺少对象类别；","")&amp;IF(AND('05_层级表现LOD'!A430&lt;&gt;"",COUNTIF('02_固定地理'!$A$2:$A$501,'05_层级表现LOD'!A430)+COUNTIF('03_地点锚点'!$A$2:$A$501,'05_层级表现LOD'!A430)+COUNTIF('04_路径网络'!$A$2:$A$501,'05_层级表现LOD'!A430)+COUNTIF('06_建筑锚点'!$A$2:$A$501,'05_层级表现LOD'!A430)=0),"LOD引用对象不存在；","")&amp;IF(AND('05_层级表现LOD'!A430&lt;&gt;"",COUNTIF('05_层级表现LOD'!$A$2:$A$501,'05_层级表现LOD'!A430)&gt;1),"ID重复；",""),"")</f>
        <v/>
      </c>
      <c r="G1930" s="14">
        <f>IF(F1930&lt;&gt;"","按字段批注、数据字典和来源记录修正后复核","")</f>
        <v/>
      </c>
      <c r="H1930" s="14">
        <f>IF(F1930&lt;&gt;"","待处理","")</f>
        <v/>
      </c>
    </row>
    <row r="1931">
      <c r="A1931" s="14">
        <f>IF(F1931&lt;&gt;"","ISSUE-"&amp;TEXT(ROW()-1,"00000"),"")</f>
        <v/>
      </c>
      <c r="B1931" s="14">
        <f>IF(F1931&lt;&gt;"","错误","")</f>
        <v/>
      </c>
      <c r="C1931" s="14">
        <f>IF('05_层级表现LOD'!A431&lt;&gt;"","05_层级表现LOD","")</f>
        <v/>
      </c>
      <c r="D1931" s="14">
        <f>IF('05_层级表现LOD'!A431&lt;&gt;"",'05_层级表现LOD'!A431,"")</f>
        <v/>
      </c>
      <c r="E1931" s="14">
        <f>IF(F1931&lt;&gt;"","综合校验","")</f>
        <v/>
      </c>
      <c r="F1931" s="14">
        <f>IF('05_层级表现LOD'!A431&lt;&gt;"",IF('05_层级表现LOD'!A431="","缺少对象ID；","")&amp;IF('05_层级表现LOD'!B431="","缺少对象类别；","")&amp;IF(AND('05_层级表现LOD'!A431&lt;&gt;"",COUNTIF('02_固定地理'!$A$2:$A$501,'05_层级表现LOD'!A431)+COUNTIF('03_地点锚点'!$A$2:$A$501,'05_层级表现LOD'!A431)+COUNTIF('04_路径网络'!$A$2:$A$501,'05_层级表现LOD'!A431)+COUNTIF('06_建筑锚点'!$A$2:$A$501,'05_层级表现LOD'!A431)=0),"LOD引用对象不存在；","")&amp;IF(AND('05_层级表现LOD'!A431&lt;&gt;"",COUNTIF('05_层级表现LOD'!$A$2:$A$501,'05_层级表现LOD'!A431)&gt;1),"ID重复；",""),"")</f>
        <v/>
      </c>
      <c r="G1931" s="14">
        <f>IF(F1931&lt;&gt;"","按字段批注、数据字典和来源记录修正后复核","")</f>
        <v/>
      </c>
      <c r="H1931" s="14">
        <f>IF(F1931&lt;&gt;"","待处理","")</f>
        <v/>
      </c>
    </row>
    <row r="1932">
      <c r="A1932" s="14">
        <f>IF(F1932&lt;&gt;"","ISSUE-"&amp;TEXT(ROW()-1,"00000"),"")</f>
        <v/>
      </c>
      <c r="B1932" s="14">
        <f>IF(F1932&lt;&gt;"","错误","")</f>
        <v/>
      </c>
      <c r="C1932" s="14">
        <f>IF('05_层级表现LOD'!A432&lt;&gt;"","05_层级表现LOD","")</f>
        <v/>
      </c>
      <c r="D1932" s="14">
        <f>IF('05_层级表现LOD'!A432&lt;&gt;"",'05_层级表现LOD'!A432,"")</f>
        <v/>
      </c>
      <c r="E1932" s="14">
        <f>IF(F1932&lt;&gt;"","综合校验","")</f>
        <v/>
      </c>
      <c r="F1932" s="14">
        <f>IF('05_层级表现LOD'!A432&lt;&gt;"",IF('05_层级表现LOD'!A432="","缺少对象ID；","")&amp;IF('05_层级表现LOD'!B432="","缺少对象类别；","")&amp;IF(AND('05_层级表现LOD'!A432&lt;&gt;"",COUNTIF('02_固定地理'!$A$2:$A$501,'05_层级表现LOD'!A432)+COUNTIF('03_地点锚点'!$A$2:$A$501,'05_层级表现LOD'!A432)+COUNTIF('04_路径网络'!$A$2:$A$501,'05_层级表现LOD'!A432)+COUNTIF('06_建筑锚点'!$A$2:$A$501,'05_层级表现LOD'!A432)=0),"LOD引用对象不存在；","")&amp;IF(AND('05_层级表现LOD'!A432&lt;&gt;"",COUNTIF('05_层级表现LOD'!$A$2:$A$501,'05_层级表现LOD'!A432)&gt;1),"ID重复；",""),"")</f>
        <v/>
      </c>
      <c r="G1932" s="14">
        <f>IF(F1932&lt;&gt;"","按字段批注、数据字典和来源记录修正后复核","")</f>
        <v/>
      </c>
      <c r="H1932" s="14">
        <f>IF(F1932&lt;&gt;"","待处理","")</f>
        <v/>
      </c>
    </row>
    <row r="1933">
      <c r="A1933" s="14">
        <f>IF(F1933&lt;&gt;"","ISSUE-"&amp;TEXT(ROW()-1,"00000"),"")</f>
        <v/>
      </c>
      <c r="B1933" s="14">
        <f>IF(F1933&lt;&gt;"","错误","")</f>
        <v/>
      </c>
      <c r="C1933" s="14">
        <f>IF('05_层级表现LOD'!A433&lt;&gt;"","05_层级表现LOD","")</f>
        <v/>
      </c>
      <c r="D1933" s="14">
        <f>IF('05_层级表现LOD'!A433&lt;&gt;"",'05_层级表现LOD'!A433,"")</f>
        <v/>
      </c>
      <c r="E1933" s="14">
        <f>IF(F1933&lt;&gt;"","综合校验","")</f>
        <v/>
      </c>
      <c r="F1933" s="14">
        <f>IF('05_层级表现LOD'!A433&lt;&gt;"",IF('05_层级表现LOD'!A433="","缺少对象ID；","")&amp;IF('05_层级表现LOD'!B433="","缺少对象类别；","")&amp;IF(AND('05_层级表现LOD'!A433&lt;&gt;"",COUNTIF('02_固定地理'!$A$2:$A$501,'05_层级表现LOD'!A433)+COUNTIF('03_地点锚点'!$A$2:$A$501,'05_层级表现LOD'!A433)+COUNTIF('04_路径网络'!$A$2:$A$501,'05_层级表现LOD'!A433)+COUNTIF('06_建筑锚点'!$A$2:$A$501,'05_层级表现LOD'!A433)=0),"LOD引用对象不存在；","")&amp;IF(AND('05_层级表现LOD'!A433&lt;&gt;"",COUNTIF('05_层级表现LOD'!$A$2:$A$501,'05_层级表现LOD'!A433)&gt;1),"ID重复；",""),"")</f>
        <v/>
      </c>
      <c r="G1933" s="14">
        <f>IF(F1933&lt;&gt;"","按字段批注、数据字典和来源记录修正后复核","")</f>
        <v/>
      </c>
      <c r="H1933" s="14">
        <f>IF(F1933&lt;&gt;"","待处理","")</f>
        <v/>
      </c>
    </row>
    <row r="1934">
      <c r="A1934" s="14">
        <f>IF(F1934&lt;&gt;"","ISSUE-"&amp;TEXT(ROW()-1,"00000"),"")</f>
        <v/>
      </c>
      <c r="B1934" s="14">
        <f>IF(F1934&lt;&gt;"","错误","")</f>
        <v/>
      </c>
      <c r="C1934" s="14">
        <f>IF('05_层级表现LOD'!A434&lt;&gt;"","05_层级表现LOD","")</f>
        <v/>
      </c>
      <c r="D1934" s="14">
        <f>IF('05_层级表现LOD'!A434&lt;&gt;"",'05_层级表现LOD'!A434,"")</f>
        <v/>
      </c>
      <c r="E1934" s="14">
        <f>IF(F1934&lt;&gt;"","综合校验","")</f>
        <v/>
      </c>
      <c r="F1934" s="14">
        <f>IF('05_层级表现LOD'!A434&lt;&gt;"",IF('05_层级表现LOD'!A434="","缺少对象ID；","")&amp;IF('05_层级表现LOD'!B434="","缺少对象类别；","")&amp;IF(AND('05_层级表现LOD'!A434&lt;&gt;"",COUNTIF('02_固定地理'!$A$2:$A$501,'05_层级表现LOD'!A434)+COUNTIF('03_地点锚点'!$A$2:$A$501,'05_层级表现LOD'!A434)+COUNTIF('04_路径网络'!$A$2:$A$501,'05_层级表现LOD'!A434)+COUNTIF('06_建筑锚点'!$A$2:$A$501,'05_层级表现LOD'!A434)=0),"LOD引用对象不存在；","")&amp;IF(AND('05_层级表现LOD'!A434&lt;&gt;"",COUNTIF('05_层级表现LOD'!$A$2:$A$501,'05_层级表现LOD'!A434)&gt;1),"ID重复；",""),"")</f>
        <v/>
      </c>
      <c r="G1934" s="14">
        <f>IF(F1934&lt;&gt;"","按字段批注、数据字典和来源记录修正后复核","")</f>
        <v/>
      </c>
      <c r="H1934" s="14">
        <f>IF(F1934&lt;&gt;"","待处理","")</f>
        <v/>
      </c>
    </row>
    <row r="1935">
      <c r="A1935" s="14">
        <f>IF(F1935&lt;&gt;"","ISSUE-"&amp;TEXT(ROW()-1,"00000"),"")</f>
        <v/>
      </c>
      <c r="B1935" s="14">
        <f>IF(F1935&lt;&gt;"","错误","")</f>
        <v/>
      </c>
      <c r="C1935" s="14">
        <f>IF('05_层级表现LOD'!A435&lt;&gt;"","05_层级表现LOD","")</f>
        <v/>
      </c>
      <c r="D1935" s="14">
        <f>IF('05_层级表现LOD'!A435&lt;&gt;"",'05_层级表现LOD'!A435,"")</f>
        <v/>
      </c>
      <c r="E1935" s="14">
        <f>IF(F1935&lt;&gt;"","综合校验","")</f>
        <v/>
      </c>
      <c r="F1935" s="14">
        <f>IF('05_层级表现LOD'!A435&lt;&gt;"",IF('05_层级表现LOD'!A435="","缺少对象ID；","")&amp;IF('05_层级表现LOD'!B435="","缺少对象类别；","")&amp;IF(AND('05_层级表现LOD'!A435&lt;&gt;"",COUNTIF('02_固定地理'!$A$2:$A$501,'05_层级表现LOD'!A435)+COUNTIF('03_地点锚点'!$A$2:$A$501,'05_层级表现LOD'!A435)+COUNTIF('04_路径网络'!$A$2:$A$501,'05_层级表现LOD'!A435)+COUNTIF('06_建筑锚点'!$A$2:$A$501,'05_层级表现LOD'!A435)=0),"LOD引用对象不存在；","")&amp;IF(AND('05_层级表现LOD'!A435&lt;&gt;"",COUNTIF('05_层级表现LOD'!$A$2:$A$501,'05_层级表现LOD'!A435)&gt;1),"ID重复；",""),"")</f>
        <v/>
      </c>
      <c r="G1935" s="14">
        <f>IF(F1935&lt;&gt;"","按字段批注、数据字典和来源记录修正后复核","")</f>
        <v/>
      </c>
      <c r="H1935" s="14">
        <f>IF(F1935&lt;&gt;"","待处理","")</f>
        <v/>
      </c>
    </row>
    <row r="1936">
      <c r="A1936" s="14">
        <f>IF(F1936&lt;&gt;"","ISSUE-"&amp;TEXT(ROW()-1,"00000"),"")</f>
        <v/>
      </c>
      <c r="B1936" s="14">
        <f>IF(F1936&lt;&gt;"","错误","")</f>
        <v/>
      </c>
      <c r="C1936" s="14">
        <f>IF('05_层级表现LOD'!A436&lt;&gt;"","05_层级表现LOD","")</f>
        <v/>
      </c>
      <c r="D1936" s="14">
        <f>IF('05_层级表现LOD'!A436&lt;&gt;"",'05_层级表现LOD'!A436,"")</f>
        <v/>
      </c>
      <c r="E1936" s="14">
        <f>IF(F1936&lt;&gt;"","综合校验","")</f>
        <v/>
      </c>
      <c r="F1936" s="14">
        <f>IF('05_层级表现LOD'!A436&lt;&gt;"",IF('05_层级表现LOD'!A436="","缺少对象ID；","")&amp;IF('05_层级表现LOD'!B436="","缺少对象类别；","")&amp;IF(AND('05_层级表现LOD'!A436&lt;&gt;"",COUNTIF('02_固定地理'!$A$2:$A$501,'05_层级表现LOD'!A436)+COUNTIF('03_地点锚点'!$A$2:$A$501,'05_层级表现LOD'!A436)+COUNTIF('04_路径网络'!$A$2:$A$501,'05_层级表现LOD'!A436)+COUNTIF('06_建筑锚点'!$A$2:$A$501,'05_层级表现LOD'!A436)=0),"LOD引用对象不存在；","")&amp;IF(AND('05_层级表现LOD'!A436&lt;&gt;"",COUNTIF('05_层级表现LOD'!$A$2:$A$501,'05_层级表现LOD'!A436)&gt;1),"ID重复；",""),"")</f>
        <v/>
      </c>
      <c r="G1936" s="14">
        <f>IF(F1936&lt;&gt;"","按字段批注、数据字典和来源记录修正后复核","")</f>
        <v/>
      </c>
      <c r="H1936" s="14">
        <f>IF(F1936&lt;&gt;"","待处理","")</f>
        <v/>
      </c>
    </row>
    <row r="1937">
      <c r="A1937" s="14">
        <f>IF(F1937&lt;&gt;"","ISSUE-"&amp;TEXT(ROW()-1,"00000"),"")</f>
        <v/>
      </c>
      <c r="B1937" s="14">
        <f>IF(F1937&lt;&gt;"","错误","")</f>
        <v/>
      </c>
      <c r="C1937" s="14">
        <f>IF('05_层级表现LOD'!A437&lt;&gt;"","05_层级表现LOD","")</f>
        <v/>
      </c>
      <c r="D1937" s="14">
        <f>IF('05_层级表现LOD'!A437&lt;&gt;"",'05_层级表现LOD'!A437,"")</f>
        <v/>
      </c>
      <c r="E1937" s="14">
        <f>IF(F1937&lt;&gt;"","综合校验","")</f>
        <v/>
      </c>
      <c r="F1937" s="14">
        <f>IF('05_层级表现LOD'!A437&lt;&gt;"",IF('05_层级表现LOD'!A437="","缺少对象ID；","")&amp;IF('05_层级表现LOD'!B437="","缺少对象类别；","")&amp;IF(AND('05_层级表现LOD'!A437&lt;&gt;"",COUNTIF('02_固定地理'!$A$2:$A$501,'05_层级表现LOD'!A437)+COUNTIF('03_地点锚点'!$A$2:$A$501,'05_层级表现LOD'!A437)+COUNTIF('04_路径网络'!$A$2:$A$501,'05_层级表现LOD'!A437)+COUNTIF('06_建筑锚点'!$A$2:$A$501,'05_层级表现LOD'!A437)=0),"LOD引用对象不存在；","")&amp;IF(AND('05_层级表现LOD'!A437&lt;&gt;"",COUNTIF('05_层级表现LOD'!$A$2:$A$501,'05_层级表现LOD'!A437)&gt;1),"ID重复；",""),"")</f>
        <v/>
      </c>
      <c r="G1937" s="14">
        <f>IF(F1937&lt;&gt;"","按字段批注、数据字典和来源记录修正后复核","")</f>
        <v/>
      </c>
      <c r="H1937" s="14">
        <f>IF(F1937&lt;&gt;"","待处理","")</f>
        <v/>
      </c>
    </row>
    <row r="1938">
      <c r="A1938" s="14">
        <f>IF(F1938&lt;&gt;"","ISSUE-"&amp;TEXT(ROW()-1,"00000"),"")</f>
        <v/>
      </c>
      <c r="B1938" s="14">
        <f>IF(F1938&lt;&gt;"","错误","")</f>
        <v/>
      </c>
      <c r="C1938" s="14">
        <f>IF('05_层级表现LOD'!A438&lt;&gt;"","05_层级表现LOD","")</f>
        <v/>
      </c>
      <c r="D1938" s="14">
        <f>IF('05_层级表现LOD'!A438&lt;&gt;"",'05_层级表现LOD'!A438,"")</f>
        <v/>
      </c>
      <c r="E1938" s="14">
        <f>IF(F1938&lt;&gt;"","综合校验","")</f>
        <v/>
      </c>
      <c r="F1938" s="14">
        <f>IF('05_层级表现LOD'!A438&lt;&gt;"",IF('05_层级表现LOD'!A438="","缺少对象ID；","")&amp;IF('05_层级表现LOD'!B438="","缺少对象类别；","")&amp;IF(AND('05_层级表现LOD'!A438&lt;&gt;"",COUNTIF('02_固定地理'!$A$2:$A$501,'05_层级表现LOD'!A438)+COUNTIF('03_地点锚点'!$A$2:$A$501,'05_层级表现LOD'!A438)+COUNTIF('04_路径网络'!$A$2:$A$501,'05_层级表现LOD'!A438)+COUNTIF('06_建筑锚点'!$A$2:$A$501,'05_层级表现LOD'!A438)=0),"LOD引用对象不存在；","")&amp;IF(AND('05_层级表现LOD'!A438&lt;&gt;"",COUNTIF('05_层级表现LOD'!$A$2:$A$501,'05_层级表现LOD'!A438)&gt;1),"ID重复；",""),"")</f>
        <v/>
      </c>
      <c r="G1938" s="14">
        <f>IF(F1938&lt;&gt;"","按字段批注、数据字典和来源记录修正后复核","")</f>
        <v/>
      </c>
      <c r="H1938" s="14">
        <f>IF(F1938&lt;&gt;"","待处理","")</f>
        <v/>
      </c>
    </row>
    <row r="1939">
      <c r="A1939" s="14">
        <f>IF(F1939&lt;&gt;"","ISSUE-"&amp;TEXT(ROW()-1,"00000"),"")</f>
        <v/>
      </c>
      <c r="B1939" s="14">
        <f>IF(F1939&lt;&gt;"","错误","")</f>
        <v/>
      </c>
      <c r="C1939" s="14">
        <f>IF('05_层级表现LOD'!A439&lt;&gt;"","05_层级表现LOD","")</f>
        <v/>
      </c>
      <c r="D1939" s="14">
        <f>IF('05_层级表现LOD'!A439&lt;&gt;"",'05_层级表现LOD'!A439,"")</f>
        <v/>
      </c>
      <c r="E1939" s="14">
        <f>IF(F1939&lt;&gt;"","综合校验","")</f>
        <v/>
      </c>
      <c r="F1939" s="14">
        <f>IF('05_层级表现LOD'!A439&lt;&gt;"",IF('05_层级表现LOD'!A439="","缺少对象ID；","")&amp;IF('05_层级表现LOD'!B439="","缺少对象类别；","")&amp;IF(AND('05_层级表现LOD'!A439&lt;&gt;"",COUNTIF('02_固定地理'!$A$2:$A$501,'05_层级表现LOD'!A439)+COUNTIF('03_地点锚点'!$A$2:$A$501,'05_层级表现LOD'!A439)+COUNTIF('04_路径网络'!$A$2:$A$501,'05_层级表现LOD'!A439)+COUNTIF('06_建筑锚点'!$A$2:$A$501,'05_层级表现LOD'!A439)=0),"LOD引用对象不存在；","")&amp;IF(AND('05_层级表现LOD'!A439&lt;&gt;"",COUNTIF('05_层级表现LOD'!$A$2:$A$501,'05_层级表现LOD'!A439)&gt;1),"ID重复；",""),"")</f>
        <v/>
      </c>
      <c r="G1939" s="14">
        <f>IF(F1939&lt;&gt;"","按字段批注、数据字典和来源记录修正后复核","")</f>
        <v/>
      </c>
      <c r="H1939" s="14">
        <f>IF(F1939&lt;&gt;"","待处理","")</f>
        <v/>
      </c>
    </row>
    <row r="1940">
      <c r="A1940" s="14">
        <f>IF(F1940&lt;&gt;"","ISSUE-"&amp;TEXT(ROW()-1,"00000"),"")</f>
        <v/>
      </c>
      <c r="B1940" s="14">
        <f>IF(F1940&lt;&gt;"","错误","")</f>
        <v/>
      </c>
      <c r="C1940" s="14">
        <f>IF('05_层级表现LOD'!A440&lt;&gt;"","05_层级表现LOD","")</f>
        <v/>
      </c>
      <c r="D1940" s="14">
        <f>IF('05_层级表现LOD'!A440&lt;&gt;"",'05_层级表现LOD'!A440,"")</f>
        <v/>
      </c>
      <c r="E1940" s="14">
        <f>IF(F1940&lt;&gt;"","综合校验","")</f>
        <v/>
      </c>
      <c r="F1940" s="14">
        <f>IF('05_层级表现LOD'!A440&lt;&gt;"",IF('05_层级表现LOD'!A440="","缺少对象ID；","")&amp;IF('05_层级表现LOD'!B440="","缺少对象类别；","")&amp;IF(AND('05_层级表现LOD'!A440&lt;&gt;"",COUNTIF('02_固定地理'!$A$2:$A$501,'05_层级表现LOD'!A440)+COUNTIF('03_地点锚点'!$A$2:$A$501,'05_层级表现LOD'!A440)+COUNTIF('04_路径网络'!$A$2:$A$501,'05_层级表现LOD'!A440)+COUNTIF('06_建筑锚点'!$A$2:$A$501,'05_层级表现LOD'!A440)=0),"LOD引用对象不存在；","")&amp;IF(AND('05_层级表现LOD'!A440&lt;&gt;"",COUNTIF('05_层级表现LOD'!$A$2:$A$501,'05_层级表现LOD'!A440)&gt;1),"ID重复；",""),"")</f>
        <v/>
      </c>
      <c r="G1940" s="14">
        <f>IF(F1940&lt;&gt;"","按字段批注、数据字典和来源记录修正后复核","")</f>
        <v/>
      </c>
      <c r="H1940" s="14">
        <f>IF(F1940&lt;&gt;"","待处理","")</f>
        <v/>
      </c>
    </row>
    <row r="1941">
      <c r="A1941" s="14">
        <f>IF(F1941&lt;&gt;"","ISSUE-"&amp;TEXT(ROW()-1,"00000"),"")</f>
        <v/>
      </c>
      <c r="B1941" s="14">
        <f>IF(F1941&lt;&gt;"","错误","")</f>
        <v/>
      </c>
      <c r="C1941" s="14">
        <f>IF('05_层级表现LOD'!A441&lt;&gt;"","05_层级表现LOD","")</f>
        <v/>
      </c>
      <c r="D1941" s="14">
        <f>IF('05_层级表现LOD'!A441&lt;&gt;"",'05_层级表现LOD'!A441,"")</f>
        <v/>
      </c>
      <c r="E1941" s="14">
        <f>IF(F1941&lt;&gt;"","综合校验","")</f>
        <v/>
      </c>
      <c r="F1941" s="14">
        <f>IF('05_层级表现LOD'!A441&lt;&gt;"",IF('05_层级表现LOD'!A441="","缺少对象ID；","")&amp;IF('05_层级表现LOD'!B441="","缺少对象类别；","")&amp;IF(AND('05_层级表现LOD'!A441&lt;&gt;"",COUNTIF('02_固定地理'!$A$2:$A$501,'05_层级表现LOD'!A441)+COUNTIF('03_地点锚点'!$A$2:$A$501,'05_层级表现LOD'!A441)+COUNTIF('04_路径网络'!$A$2:$A$501,'05_层级表现LOD'!A441)+COUNTIF('06_建筑锚点'!$A$2:$A$501,'05_层级表现LOD'!A441)=0),"LOD引用对象不存在；","")&amp;IF(AND('05_层级表现LOD'!A441&lt;&gt;"",COUNTIF('05_层级表现LOD'!$A$2:$A$501,'05_层级表现LOD'!A441)&gt;1),"ID重复；",""),"")</f>
        <v/>
      </c>
      <c r="G1941" s="14">
        <f>IF(F1941&lt;&gt;"","按字段批注、数据字典和来源记录修正后复核","")</f>
        <v/>
      </c>
      <c r="H1941" s="14">
        <f>IF(F1941&lt;&gt;"","待处理","")</f>
        <v/>
      </c>
    </row>
    <row r="1942">
      <c r="A1942" s="14">
        <f>IF(F1942&lt;&gt;"","ISSUE-"&amp;TEXT(ROW()-1,"00000"),"")</f>
        <v/>
      </c>
      <c r="B1942" s="14">
        <f>IF(F1942&lt;&gt;"","错误","")</f>
        <v/>
      </c>
      <c r="C1942" s="14">
        <f>IF('05_层级表现LOD'!A442&lt;&gt;"","05_层级表现LOD","")</f>
        <v/>
      </c>
      <c r="D1942" s="14">
        <f>IF('05_层级表现LOD'!A442&lt;&gt;"",'05_层级表现LOD'!A442,"")</f>
        <v/>
      </c>
      <c r="E1942" s="14">
        <f>IF(F1942&lt;&gt;"","综合校验","")</f>
        <v/>
      </c>
      <c r="F1942" s="14">
        <f>IF('05_层级表现LOD'!A442&lt;&gt;"",IF('05_层级表现LOD'!A442="","缺少对象ID；","")&amp;IF('05_层级表现LOD'!B442="","缺少对象类别；","")&amp;IF(AND('05_层级表现LOD'!A442&lt;&gt;"",COUNTIF('02_固定地理'!$A$2:$A$501,'05_层级表现LOD'!A442)+COUNTIF('03_地点锚点'!$A$2:$A$501,'05_层级表现LOD'!A442)+COUNTIF('04_路径网络'!$A$2:$A$501,'05_层级表现LOD'!A442)+COUNTIF('06_建筑锚点'!$A$2:$A$501,'05_层级表现LOD'!A442)=0),"LOD引用对象不存在；","")&amp;IF(AND('05_层级表现LOD'!A442&lt;&gt;"",COUNTIF('05_层级表现LOD'!$A$2:$A$501,'05_层级表现LOD'!A442)&gt;1),"ID重复；",""),"")</f>
        <v/>
      </c>
      <c r="G1942" s="14">
        <f>IF(F1942&lt;&gt;"","按字段批注、数据字典和来源记录修正后复核","")</f>
        <v/>
      </c>
      <c r="H1942" s="14">
        <f>IF(F1942&lt;&gt;"","待处理","")</f>
        <v/>
      </c>
    </row>
    <row r="1943">
      <c r="A1943" s="14">
        <f>IF(F1943&lt;&gt;"","ISSUE-"&amp;TEXT(ROW()-1,"00000"),"")</f>
        <v/>
      </c>
      <c r="B1943" s="14">
        <f>IF(F1943&lt;&gt;"","错误","")</f>
        <v/>
      </c>
      <c r="C1943" s="14">
        <f>IF('05_层级表现LOD'!A443&lt;&gt;"","05_层级表现LOD","")</f>
        <v/>
      </c>
      <c r="D1943" s="14">
        <f>IF('05_层级表现LOD'!A443&lt;&gt;"",'05_层级表现LOD'!A443,"")</f>
        <v/>
      </c>
      <c r="E1943" s="14">
        <f>IF(F1943&lt;&gt;"","综合校验","")</f>
        <v/>
      </c>
      <c r="F1943" s="14">
        <f>IF('05_层级表现LOD'!A443&lt;&gt;"",IF('05_层级表现LOD'!A443="","缺少对象ID；","")&amp;IF('05_层级表现LOD'!B443="","缺少对象类别；","")&amp;IF(AND('05_层级表现LOD'!A443&lt;&gt;"",COUNTIF('02_固定地理'!$A$2:$A$501,'05_层级表现LOD'!A443)+COUNTIF('03_地点锚点'!$A$2:$A$501,'05_层级表现LOD'!A443)+COUNTIF('04_路径网络'!$A$2:$A$501,'05_层级表现LOD'!A443)+COUNTIF('06_建筑锚点'!$A$2:$A$501,'05_层级表现LOD'!A443)=0),"LOD引用对象不存在；","")&amp;IF(AND('05_层级表现LOD'!A443&lt;&gt;"",COUNTIF('05_层级表现LOD'!$A$2:$A$501,'05_层级表现LOD'!A443)&gt;1),"ID重复；",""),"")</f>
        <v/>
      </c>
      <c r="G1943" s="14">
        <f>IF(F1943&lt;&gt;"","按字段批注、数据字典和来源记录修正后复核","")</f>
        <v/>
      </c>
      <c r="H1943" s="14">
        <f>IF(F1943&lt;&gt;"","待处理","")</f>
        <v/>
      </c>
    </row>
    <row r="1944">
      <c r="A1944" s="14">
        <f>IF(F1944&lt;&gt;"","ISSUE-"&amp;TEXT(ROW()-1,"00000"),"")</f>
        <v/>
      </c>
      <c r="B1944" s="14">
        <f>IF(F1944&lt;&gt;"","错误","")</f>
        <v/>
      </c>
      <c r="C1944" s="14">
        <f>IF('05_层级表现LOD'!A444&lt;&gt;"","05_层级表现LOD","")</f>
        <v/>
      </c>
      <c r="D1944" s="14">
        <f>IF('05_层级表现LOD'!A444&lt;&gt;"",'05_层级表现LOD'!A444,"")</f>
        <v/>
      </c>
      <c r="E1944" s="14">
        <f>IF(F1944&lt;&gt;"","综合校验","")</f>
        <v/>
      </c>
      <c r="F1944" s="14">
        <f>IF('05_层级表现LOD'!A444&lt;&gt;"",IF('05_层级表现LOD'!A444="","缺少对象ID；","")&amp;IF('05_层级表现LOD'!B444="","缺少对象类别；","")&amp;IF(AND('05_层级表现LOD'!A444&lt;&gt;"",COUNTIF('02_固定地理'!$A$2:$A$501,'05_层级表现LOD'!A444)+COUNTIF('03_地点锚点'!$A$2:$A$501,'05_层级表现LOD'!A444)+COUNTIF('04_路径网络'!$A$2:$A$501,'05_层级表现LOD'!A444)+COUNTIF('06_建筑锚点'!$A$2:$A$501,'05_层级表现LOD'!A444)=0),"LOD引用对象不存在；","")&amp;IF(AND('05_层级表现LOD'!A444&lt;&gt;"",COUNTIF('05_层级表现LOD'!$A$2:$A$501,'05_层级表现LOD'!A444)&gt;1),"ID重复；",""),"")</f>
        <v/>
      </c>
      <c r="G1944" s="14">
        <f>IF(F1944&lt;&gt;"","按字段批注、数据字典和来源记录修正后复核","")</f>
        <v/>
      </c>
      <c r="H1944" s="14">
        <f>IF(F1944&lt;&gt;"","待处理","")</f>
        <v/>
      </c>
    </row>
    <row r="1945">
      <c r="A1945" s="14">
        <f>IF(F1945&lt;&gt;"","ISSUE-"&amp;TEXT(ROW()-1,"00000"),"")</f>
        <v/>
      </c>
      <c r="B1945" s="14">
        <f>IF(F1945&lt;&gt;"","错误","")</f>
        <v/>
      </c>
      <c r="C1945" s="14">
        <f>IF('05_层级表现LOD'!A445&lt;&gt;"","05_层级表现LOD","")</f>
        <v/>
      </c>
      <c r="D1945" s="14">
        <f>IF('05_层级表现LOD'!A445&lt;&gt;"",'05_层级表现LOD'!A445,"")</f>
        <v/>
      </c>
      <c r="E1945" s="14">
        <f>IF(F1945&lt;&gt;"","综合校验","")</f>
        <v/>
      </c>
      <c r="F1945" s="14">
        <f>IF('05_层级表现LOD'!A445&lt;&gt;"",IF('05_层级表现LOD'!A445="","缺少对象ID；","")&amp;IF('05_层级表现LOD'!B445="","缺少对象类别；","")&amp;IF(AND('05_层级表现LOD'!A445&lt;&gt;"",COUNTIF('02_固定地理'!$A$2:$A$501,'05_层级表现LOD'!A445)+COUNTIF('03_地点锚点'!$A$2:$A$501,'05_层级表现LOD'!A445)+COUNTIF('04_路径网络'!$A$2:$A$501,'05_层级表现LOD'!A445)+COUNTIF('06_建筑锚点'!$A$2:$A$501,'05_层级表现LOD'!A445)=0),"LOD引用对象不存在；","")&amp;IF(AND('05_层级表现LOD'!A445&lt;&gt;"",COUNTIF('05_层级表现LOD'!$A$2:$A$501,'05_层级表现LOD'!A445)&gt;1),"ID重复；",""),"")</f>
        <v/>
      </c>
      <c r="G1945" s="14">
        <f>IF(F1945&lt;&gt;"","按字段批注、数据字典和来源记录修正后复核","")</f>
        <v/>
      </c>
      <c r="H1945" s="14">
        <f>IF(F1945&lt;&gt;"","待处理","")</f>
        <v/>
      </c>
    </row>
    <row r="1946">
      <c r="A1946" s="14">
        <f>IF(F1946&lt;&gt;"","ISSUE-"&amp;TEXT(ROW()-1,"00000"),"")</f>
        <v/>
      </c>
      <c r="B1946" s="14">
        <f>IF(F1946&lt;&gt;"","错误","")</f>
        <v/>
      </c>
      <c r="C1946" s="14">
        <f>IF('05_层级表现LOD'!A446&lt;&gt;"","05_层级表现LOD","")</f>
        <v/>
      </c>
      <c r="D1946" s="14">
        <f>IF('05_层级表现LOD'!A446&lt;&gt;"",'05_层级表现LOD'!A446,"")</f>
        <v/>
      </c>
      <c r="E1946" s="14">
        <f>IF(F1946&lt;&gt;"","综合校验","")</f>
        <v/>
      </c>
      <c r="F1946" s="14">
        <f>IF('05_层级表现LOD'!A446&lt;&gt;"",IF('05_层级表现LOD'!A446="","缺少对象ID；","")&amp;IF('05_层级表现LOD'!B446="","缺少对象类别；","")&amp;IF(AND('05_层级表现LOD'!A446&lt;&gt;"",COUNTIF('02_固定地理'!$A$2:$A$501,'05_层级表现LOD'!A446)+COUNTIF('03_地点锚点'!$A$2:$A$501,'05_层级表现LOD'!A446)+COUNTIF('04_路径网络'!$A$2:$A$501,'05_层级表现LOD'!A446)+COUNTIF('06_建筑锚点'!$A$2:$A$501,'05_层级表现LOD'!A446)=0),"LOD引用对象不存在；","")&amp;IF(AND('05_层级表现LOD'!A446&lt;&gt;"",COUNTIF('05_层级表现LOD'!$A$2:$A$501,'05_层级表现LOD'!A446)&gt;1),"ID重复；",""),"")</f>
        <v/>
      </c>
      <c r="G1946" s="14">
        <f>IF(F1946&lt;&gt;"","按字段批注、数据字典和来源记录修正后复核","")</f>
        <v/>
      </c>
      <c r="H1946" s="14">
        <f>IF(F1946&lt;&gt;"","待处理","")</f>
        <v/>
      </c>
    </row>
    <row r="1947">
      <c r="A1947" s="14">
        <f>IF(F1947&lt;&gt;"","ISSUE-"&amp;TEXT(ROW()-1,"00000"),"")</f>
        <v/>
      </c>
      <c r="B1947" s="14">
        <f>IF(F1947&lt;&gt;"","错误","")</f>
        <v/>
      </c>
      <c r="C1947" s="14">
        <f>IF('05_层级表现LOD'!A447&lt;&gt;"","05_层级表现LOD","")</f>
        <v/>
      </c>
      <c r="D1947" s="14">
        <f>IF('05_层级表现LOD'!A447&lt;&gt;"",'05_层级表现LOD'!A447,"")</f>
        <v/>
      </c>
      <c r="E1947" s="14">
        <f>IF(F1947&lt;&gt;"","综合校验","")</f>
        <v/>
      </c>
      <c r="F1947" s="14">
        <f>IF('05_层级表现LOD'!A447&lt;&gt;"",IF('05_层级表现LOD'!A447="","缺少对象ID；","")&amp;IF('05_层级表现LOD'!B447="","缺少对象类别；","")&amp;IF(AND('05_层级表现LOD'!A447&lt;&gt;"",COUNTIF('02_固定地理'!$A$2:$A$501,'05_层级表现LOD'!A447)+COUNTIF('03_地点锚点'!$A$2:$A$501,'05_层级表现LOD'!A447)+COUNTIF('04_路径网络'!$A$2:$A$501,'05_层级表现LOD'!A447)+COUNTIF('06_建筑锚点'!$A$2:$A$501,'05_层级表现LOD'!A447)=0),"LOD引用对象不存在；","")&amp;IF(AND('05_层级表现LOD'!A447&lt;&gt;"",COUNTIF('05_层级表现LOD'!$A$2:$A$501,'05_层级表现LOD'!A447)&gt;1),"ID重复；",""),"")</f>
        <v/>
      </c>
      <c r="G1947" s="14">
        <f>IF(F1947&lt;&gt;"","按字段批注、数据字典和来源记录修正后复核","")</f>
        <v/>
      </c>
      <c r="H1947" s="14">
        <f>IF(F1947&lt;&gt;"","待处理","")</f>
        <v/>
      </c>
    </row>
    <row r="1948">
      <c r="A1948" s="14">
        <f>IF(F1948&lt;&gt;"","ISSUE-"&amp;TEXT(ROW()-1,"00000"),"")</f>
        <v/>
      </c>
      <c r="B1948" s="14">
        <f>IF(F1948&lt;&gt;"","错误","")</f>
        <v/>
      </c>
      <c r="C1948" s="14">
        <f>IF('05_层级表现LOD'!A448&lt;&gt;"","05_层级表现LOD","")</f>
        <v/>
      </c>
      <c r="D1948" s="14">
        <f>IF('05_层级表现LOD'!A448&lt;&gt;"",'05_层级表现LOD'!A448,"")</f>
        <v/>
      </c>
      <c r="E1948" s="14">
        <f>IF(F1948&lt;&gt;"","综合校验","")</f>
        <v/>
      </c>
      <c r="F1948" s="14">
        <f>IF('05_层级表现LOD'!A448&lt;&gt;"",IF('05_层级表现LOD'!A448="","缺少对象ID；","")&amp;IF('05_层级表现LOD'!B448="","缺少对象类别；","")&amp;IF(AND('05_层级表现LOD'!A448&lt;&gt;"",COUNTIF('02_固定地理'!$A$2:$A$501,'05_层级表现LOD'!A448)+COUNTIF('03_地点锚点'!$A$2:$A$501,'05_层级表现LOD'!A448)+COUNTIF('04_路径网络'!$A$2:$A$501,'05_层级表现LOD'!A448)+COUNTIF('06_建筑锚点'!$A$2:$A$501,'05_层级表现LOD'!A448)=0),"LOD引用对象不存在；","")&amp;IF(AND('05_层级表现LOD'!A448&lt;&gt;"",COUNTIF('05_层级表现LOD'!$A$2:$A$501,'05_层级表现LOD'!A448)&gt;1),"ID重复；",""),"")</f>
        <v/>
      </c>
      <c r="G1948" s="14">
        <f>IF(F1948&lt;&gt;"","按字段批注、数据字典和来源记录修正后复核","")</f>
        <v/>
      </c>
      <c r="H1948" s="14">
        <f>IF(F1948&lt;&gt;"","待处理","")</f>
        <v/>
      </c>
    </row>
    <row r="1949">
      <c r="A1949" s="14">
        <f>IF(F1949&lt;&gt;"","ISSUE-"&amp;TEXT(ROW()-1,"00000"),"")</f>
        <v/>
      </c>
      <c r="B1949" s="14">
        <f>IF(F1949&lt;&gt;"","错误","")</f>
        <v/>
      </c>
      <c r="C1949" s="14">
        <f>IF('05_层级表现LOD'!A449&lt;&gt;"","05_层级表现LOD","")</f>
        <v/>
      </c>
      <c r="D1949" s="14">
        <f>IF('05_层级表现LOD'!A449&lt;&gt;"",'05_层级表现LOD'!A449,"")</f>
        <v/>
      </c>
      <c r="E1949" s="14">
        <f>IF(F1949&lt;&gt;"","综合校验","")</f>
        <v/>
      </c>
      <c r="F1949" s="14">
        <f>IF('05_层级表现LOD'!A449&lt;&gt;"",IF('05_层级表现LOD'!A449="","缺少对象ID；","")&amp;IF('05_层级表现LOD'!B449="","缺少对象类别；","")&amp;IF(AND('05_层级表现LOD'!A449&lt;&gt;"",COUNTIF('02_固定地理'!$A$2:$A$501,'05_层级表现LOD'!A449)+COUNTIF('03_地点锚点'!$A$2:$A$501,'05_层级表现LOD'!A449)+COUNTIF('04_路径网络'!$A$2:$A$501,'05_层级表现LOD'!A449)+COUNTIF('06_建筑锚点'!$A$2:$A$501,'05_层级表现LOD'!A449)=0),"LOD引用对象不存在；","")&amp;IF(AND('05_层级表现LOD'!A449&lt;&gt;"",COUNTIF('05_层级表现LOD'!$A$2:$A$501,'05_层级表现LOD'!A449)&gt;1),"ID重复；",""),"")</f>
        <v/>
      </c>
      <c r="G1949" s="14">
        <f>IF(F1949&lt;&gt;"","按字段批注、数据字典和来源记录修正后复核","")</f>
        <v/>
      </c>
      <c r="H1949" s="14">
        <f>IF(F1949&lt;&gt;"","待处理","")</f>
        <v/>
      </c>
    </row>
    <row r="1950">
      <c r="A1950" s="14">
        <f>IF(F1950&lt;&gt;"","ISSUE-"&amp;TEXT(ROW()-1,"00000"),"")</f>
        <v/>
      </c>
      <c r="B1950" s="14">
        <f>IF(F1950&lt;&gt;"","错误","")</f>
        <v/>
      </c>
      <c r="C1950" s="14">
        <f>IF('05_层级表现LOD'!A450&lt;&gt;"","05_层级表现LOD","")</f>
        <v/>
      </c>
      <c r="D1950" s="14">
        <f>IF('05_层级表现LOD'!A450&lt;&gt;"",'05_层级表现LOD'!A450,"")</f>
        <v/>
      </c>
      <c r="E1950" s="14">
        <f>IF(F1950&lt;&gt;"","综合校验","")</f>
        <v/>
      </c>
      <c r="F1950" s="14">
        <f>IF('05_层级表现LOD'!A450&lt;&gt;"",IF('05_层级表现LOD'!A450="","缺少对象ID；","")&amp;IF('05_层级表现LOD'!B450="","缺少对象类别；","")&amp;IF(AND('05_层级表现LOD'!A450&lt;&gt;"",COUNTIF('02_固定地理'!$A$2:$A$501,'05_层级表现LOD'!A450)+COUNTIF('03_地点锚点'!$A$2:$A$501,'05_层级表现LOD'!A450)+COUNTIF('04_路径网络'!$A$2:$A$501,'05_层级表现LOD'!A450)+COUNTIF('06_建筑锚点'!$A$2:$A$501,'05_层级表现LOD'!A450)=0),"LOD引用对象不存在；","")&amp;IF(AND('05_层级表现LOD'!A450&lt;&gt;"",COUNTIF('05_层级表现LOD'!$A$2:$A$501,'05_层级表现LOD'!A450)&gt;1),"ID重复；",""),"")</f>
        <v/>
      </c>
      <c r="G1950" s="14">
        <f>IF(F1950&lt;&gt;"","按字段批注、数据字典和来源记录修正后复核","")</f>
        <v/>
      </c>
      <c r="H1950" s="14">
        <f>IF(F1950&lt;&gt;"","待处理","")</f>
        <v/>
      </c>
    </row>
    <row r="1951">
      <c r="A1951" s="14">
        <f>IF(F1951&lt;&gt;"","ISSUE-"&amp;TEXT(ROW()-1,"00000"),"")</f>
        <v/>
      </c>
      <c r="B1951" s="14">
        <f>IF(F1951&lt;&gt;"","错误","")</f>
        <v/>
      </c>
      <c r="C1951" s="14">
        <f>IF('05_层级表现LOD'!A451&lt;&gt;"","05_层级表现LOD","")</f>
        <v/>
      </c>
      <c r="D1951" s="14">
        <f>IF('05_层级表现LOD'!A451&lt;&gt;"",'05_层级表现LOD'!A451,"")</f>
        <v/>
      </c>
      <c r="E1951" s="14">
        <f>IF(F1951&lt;&gt;"","综合校验","")</f>
        <v/>
      </c>
      <c r="F1951" s="14">
        <f>IF('05_层级表现LOD'!A451&lt;&gt;"",IF('05_层级表现LOD'!A451="","缺少对象ID；","")&amp;IF('05_层级表现LOD'!B451="","缺少对象类别；","")&amp;IF(AND('05_层级表现LOD'!A451&lt;&gt;"",COUNTIF('02_固定地理'!$A$2:$A$501,'05_层级表现LOD'!A451)+COUNTIF('03_地点锚点'!$A$2:$A$501,'05_层级表现LOD'!A451)+COUNTIF('04_路径网络'!$A$2:$A$501,'05_层级表现LOD'!A451)+COUNTIF('06_建筑锚点'!$A$2:$A$501,'05_层级表现LOD'!A451)=0),"LOD引用对象不存在；","")&amp;IF(AND('05_层级表现LOD'!A451&lt;&gt;"",COUNTIF('05_层级表现LOD'!$A$2:$A$501,'05_层级表现LOD'!A451)&gt;1),"ID重复；",""),"")</f>
        <v/>
      </c>
      <c r="G1951" s="14">
        <f>IF(F1951&lt;&gt;"","按字段批注、数据字典和来源记录修正后复核","")</f>
        <v/>
      </c>
      <c r="H1951" s="14">
        <f>IF(F1951&lt;&gt;"","待处理","")</f>
        <v/>
      </c>
    </row>
    <row r="1952">
      <c r="A1952" s="14">
        <f>IF(F1952&lt;&gt;"","ISSUE-"&amp;TEXT(ROW()-1,"00000"),"")</f>
        <v/>
      </c>
      <c r="B1952" s="14">
        <f>IF(F1952&lt;&gt;"","错误","")</f>
        <v/>
      </c>
      <c r="C1952" s="14">
        <f>IF('05_层级表现LOD'!A452&lt;&gt;"","05_层级表现LOD","")</f>
        <v/>
      </c>
      <c r="D1952" s="14">
        <f>IF('05_层级表现LOD'!A452&lt;&gt;"",'05_层级表现LOD'!A452,"")</f>
        <v/>
      </c>
      <c r="E1952" s="14">
        <f>IF(F1952&lt;&gt;"","综合校验","")</f>
        <v/>
      </c>
      <c r="F1952" s="14">
        <f>IF('05_层级表现LOD'!A452&lt;&gt;"",IF('05_层级表现LOD'!A452="","缺少对象ID；","")&amp;IF('05_层级表现LOD'!B452="","缺少对象类别；","")&amp;IF(AND('05_层级表现LOD'!A452&lt;&gt;"",COUNTIF('02_固定地理'!$A$2:$A$501,'05_层级表现LOD'!A452)+COUNTIF('03_地点锚点'!$A$2:$A$501,'05_层级表现LOD'!A452)+COUNTIF('04_路径网络'!$A$2:$A$501,'05_层级表现LOD'!A452)+COUNTIF('06_建筑锚点'!$A$2:$A$501,'05_层级表现LOD'!A452)=0),"LOD引用对象不存在；","")&amp;IF(AND('05_层级表现LOD'!A452&lt;&gt;"",COUNTIF('05_层级表现LOD'!$A$2:$A$501,'05_层级表现LOD'!A452)&gt;1),"ID重复；",""),"")</f>
        <v/>
      </c>
      <c r="G1952" s="14">
        <f>IF(F1952&lt;&gt;"","按字段批注、数据字典和来源记录修正后复核","")</f>
        <v/>
      </c>
      <c r="H1952" s="14">
        <f>IF(F1952&lt;&gt;"","待处理","")</f>
        <v/>
      </c>
    </row>
    <row r="1953">
      <c r="A1953" s="14">
        <f>IF(F1953&lt;&gt;"","ISSUE-"&amp;TEXT(ROW()-1,"00000"),"")</f>
        <v/>
      </c>
      <c r="B1953" s="14">
        <f>IF(F1953&lt;&gt;"","错误","")</f>
        <v/>
      </c>
      <c r="C1953" s="14">
        <f>IF('05_层级表现LOD'!A453&lt;&gt;"","05_层级表现LOD","")</f>
        <v/>
      </c>
      <c r="D1953" s="14">
        <f>IF('05_层级表现LOD'!A453&lt;&gt;"",'05_层级表现LOD'!A453,"")</f>
        <v/>
      </c>
      <c r="E1953" s="14">
        <f>IF(F1953&lt;&gt;"","综合校验","")</f>
        <v/>
      </c>
      <c r="F1953" s="14">
        <f>IF('05_层级表现LOD'!A453&lt;&gt;"",IF('05_层级表现LOD'!A453="","缺少对象ID；","")&amp;IF('05_层级表现LOD'!B453="","缺少对象类别；","")&amp;IF(AND('05_层级表现LOD'!A453&lt;&gt;"",COUNTIF('02_固定地理'!$A$2:$A$501,'05_层级表现LOD'!A453)+COUNTIF('03_地点锚点'!$A$2:$A$501,'05_层级表现LOD'!A453)+COUNTIF('04_路径网络'!$A$2:$A$501,'05_层级表现LOD'!A453)+COUNTIF('06_建筑锚点'!$A$2:$A$501,'05_层级表现LOD'!A453)=0),"LOD引用对象不存在；","")&amp;IF(AND('05_层级表现LOD'!A453&lt;&gt;"",COUNTIF('05_层级表现LOD'!$A$2:$A$501,'05_层级表现LOD'!A453)&gt;1),"ID重复；",""),"")</f>
        <v/>
      </c>
      <c r="G1953" s="14">
        <f>IF(F1953&lt;&gt;"","按字段批注、数据字典和来源记录修正后复核","")</f>
        <v/>
      </c>
      <c r="H1953" s="14">
        <f>IF(F1953&lt;&gt;"","待处理","")</f>
        <v/>
      </c>
    </row>
    <row r="1954">
      <c r="A1954" s="14">
        <f>IF(F1954&lt;&gt;"","ISSUE-"&amp;TEXT(ROW()-1,"00000"),"")</f>
        <v/>
      </c>
      <c r="B1954" s="14">
        <f>IF(F1954&lt;&gt;"","错误","")</f>
        <v/>
      </c>
      <c r="C1954" s="14">
        <f>IF('05_层级表现LOD'!A454&lt;&gt;"","05_层级表现LOD","")</f>
        <v/>
      </c>
      <c r="D1954" s="14">
        <f>IF('05_层级表现LOD'!A454&lt;&gt;"",'05_层级表现LOD'!A454,"")</f>
        <v/>
      </c>
      <c r="E1954" s="14">
        <f>IF(F1954&lt;&gt;"","综合校验","")</f>
        <v/>
      </c>
      <c r="F1954" s="14">
        <f>IF('05_层级表现LOD'!A454&lt;&gt;"",IF('05_层级表现LOD'!A454="","缺少对象ID；","")&amp;IF('05_层级表现LOD'!B454="","缺少对象类别；","")&amp;IF(AND('05_层级表现LOD'!A454&lt;&gt;"",COUNTIF('02_固定地理'!$A$2:$A$501,'05_层级表现LOD'!A454)+COUNTIF('03_地点锚点'!$A$2:$A$501,'05_层级表现LOD'!A454)+COUNTIF('04_路径网络'!$A$2:$A$501,'05_层级表现LOD'!A454)+COUNTIF('06_建筑锚点'!$A$2:$A$501,'05_层级表现LOD'!A454)=0),"LOD引用对象不存在；","")&amp;IF(AND('05_层级表现LOD'!A454&lt;&gt;"",COUNTIF('05_层级表现LOD'!$A$2:$A$501,'05_层级表现LOD'!A454)&gt;1),"ID重复；",""),"")</f>
        <v/>
      </c>
      <c r="G1954" s="14">
        <f>IF(F1954&lt;&gt;"","按字段批注、数据字典和来源记录修正后复核","")</f>
        <v/>
      </c>
      <c r="H1954" s="14">
        <f>IF(F1954&lt;&gt;"","待处理","")</f>
        <v/>
      </c>
    </row>
    <row r="1955">
      <c r="A1955" s="14">
        <f>IF(F1955&lt;&gt;"","ISSUE-"&amp;TEXT(ROW()-1,"00000"),"")</f>
        <v/>
      </c>
      <c r="B1955" s="14">
        <f>IF(F1955&lt;&gt;"","错误","")</f>
        <v/>
      </c>
      <c r="C1955" s="14">
        <f>IF('05_层级表现LOD'!A455&lt;&gt;"","05_层级表现LOD","")</f>
        <v/>
      </c>
      <c r="D1955" s="14">
        <f>IF('05_层级表现LOD'!A455&lt;&gt;"",'05_层级表现LOD'!A455,"")</f>
        <v/>
      </c>
      <c r="E1955" s="14">
        <f>IF(F1955&lt;&gt;"","综合校验","")</f>
        <v/>
      </c>
      <c r="F1955" s="14">
        <f>IF('05_层级表现LOD'!A455&lt;&gt;"",IF('05_层级表现LOD'!A455="","缺少对象ID；","")&amp;IF('05_层级表现LOD'!B455="","缺少对象类别；","")&amp;IF(AND('05_层级表现LOD'!A455&lt;&gt;"",COUNTIF('02_固定地理'!$A$2:$A$501,'05_层级表现LOD'!A455)+COUNTIF('03_地点锚点'!$A$2:$A$501,'05_层级表现LOD'!A455)+COUNTIF('04_路径网络'!$A$2:$A$501,'05_层级表现LOD'!A455)+COUNTIF('06_建筑锚点'!$A$2:$A$501,'05_层级表现LOD'!A455)=0),"LOD引用对象不存在；","")&amp;IF(AND('05_层级表现LOD'!A455&lt;&gt;"",COUNTIF('05_层级表现LOD'!$A$2:$A$501,'05_层级表现LOD'!A455)&gt;1),"ID重复；",""),"")</f>
        <v/>
      </c>
      <c r="G1955" s="14">
        <f>IF(F1955&lt;&gt;"","按字段批注、数据字典和来源记录修正后复核","")</f>
        <v/>
      </c>
      <c r="H1955" s="14">
        <f>IF(F1955&lt;&gt;"","待处理","")</f>
        <v/>
      </c>
    </row>
    <row r="1956">
      <c r="A1956" s="14">
        <f>IF(F1956&lt;&gt;"","ISSUE-"&amp;TEXT(ROW()-1,"00000"),"")</f>
        <v/>
      </c>
      <c r="B1956" s="14">
        <f>IF(F1956&lt;&gt;"","错误","")</f>
        <v/>
      </c>
      <c r="C1956" s="14">
        <f>IF('05_层级表现LOD'!A456&lt;&gt;"","05_层级表现LOD","")</f>
        <v/>
      </c>
      <c r="D1956" s="14">
        <f>IF('05_层级表现LOD'!A456&lt;&gt;"",'05_层级表现LOD'!A456,"")</f>
        <v/>
      </c>
      <c r="E1956" s="14">
        <f>IF(F1956&lt;&gt;"","综合校验","")</f>
        <v/>
      </c>
      <c r="F1956" s="14">
        <f>IF('05_层级表现LOD'!A456&lt;&gt;"",IF('05_层级表现LOD'!A456="","缺少对象ID；","")&amp;IF('05_层级表现LOD'!B456="","缺少对象类别；","")&amp;IF(AND('05_层级表现LOD'!A456&lt;&gt;"",COUNTIF('02_固定地理'!$A$2:$A$501,'05_层级表现LOD'!A456)+COUNTIF('03_地点锚点'!$A$2:$A$501,'05_层级表现LOD'!A456)+COUNTIF('04_路径网络'!$A$2:$A$501,'05_层级表现LOD'!A456)+COUNTIF('06_建筑锚点'!$A$2:$A$501,'05_层级表现LOD'!A456)=0),"LOD引用对象不存在；","")&amp;IF(AND('05_层级表现LOD'!A456&lt;&gt;"",COUNTIF('05_层级表现LOD'!$A$2:$A$501,'05_层级表现LOD'!A456)&gt;1),"ID重复；",""),"")</f>
        <v/>
      </c>
      <c r="G1956" s="14">
        <f>IF(F1956&lt;&gt;"","按字段批注、数据字典和来源记录修正后复核","")</f>
        <v/>
      </c>
      <c r="H1956" s="14">
        <f>IF(F1956&lt;&gt;"","待处理","")</f>
        <v/>
      </c>
    </row>
    <row r="1957">
      <c r="A1957" s="14">
        <f>IF(F1957&lt;&gt;"","ISSUE-"&amp;TEXT(ROW()-1,"00000"),"")</f>
        <v/>
      </c>
      <c r="B1957" s="14">
        <f>IF(F1957&lt;&gt;"","错误","")</f>
        <v/>
      </c>
      <c r="C1957" s="14">
        <f>IF('05_层级表现LOD'!A457&lt;&gt;"","05_层级表现LOD","")</f>
        <v/>
      </c>
      <c r="D1957" s="14">
        <f>IF('05_层级表现LOD'!A457&lt;&gt;"",'05_层级表现LOD'!A457,"")</f>
        <v/>
      </c>
      <c r="E1957" s="14">
        <f>IF(F1957&lt;&gt;"","综合校验","")</f>
        <v/>
      </c>
      <c r="F1957" s="14">
        <f>IF('05_层级表现LOD'!A457&lt;&gt;"",IF('05_层级表现LOD'!A457="","缺少对象ID；","")&amp;IF('05_层级表现LOD'!B457="","缺少对象类别；","")&amp;IF(AND('05_层级表现LOD'!A457&lt;&gt;"",COUNTIF('02_固定地理'!$A$2:$A$501,'05_层级表现LOD'!A457)+COUNTIF('03_地点锚点'!$A$2:$A$501,'05_层级表现LOD'!A457)+COUNTIF('04_路径网络'!$A$2:$A$501,'05_层级表现LOD'!A457)+COUNTIF('06_建筑锚点'!$A$2:$A$501,'05_层级表现LOD'!A457)=0),"LOD引用对象不存在；","")&amp;IF(AND('05_层级表现LOD'!A457&lt;&gt;"",COUNTIF('05_层级表现LOD'!$A$2:$A$501,'05_层级表现LOD'!A457)&gt;1),"ID重复；",""),"")</f>
        <v/>
      </c>
      <c r="G1957" s="14">
        <f>IF(F1957&lt;&gt;"","按字段批注、数据字典和来源记录修正后复核","")</f>
        <v/>
      </c>
      <c r="H1957" s="14">
        <f>IF(F1957&lt;&gt;"","待处理","")</f>
        <v/>
      </c>
    </row>
    <row r="1958">
      <c r="A1958" s="14">
        <f>IF(F1958&lt;&gt;"","ISSUE-"&amp;TEXT(ROW()-1,"00000"),"")</f>
        <v/>
      </c>
      <c r="B1958" s="14">
        <f>IF(F1958&lt;&gt;"","错误","")</f>
        <v/>
      </c>
      <c r="C1958" s="14">
        <f>IF('05_层级表现LOD'!A458&lt;&gt;"","05_层级表现LOD","")</f>
        <v/>
      </c>
      <c r="D1958" s="14">
        <f>IF('05_层级表现LOD'!A458&lt;&gt;"",'05_层级表现LOD'!A458,"")</f>
        <v/>
      </c>
      <c r="E1958" s="14">
        <f>IF(F1958&lt;&gt;"","综合校验","")</f>
        <v/>
      </c>
      <c r="F1958" s="14">
        <f>IF('05_层级表现LOD'!A458&lt;&gt;"",IF('05_层级表现LOD'!A458="","缺少对象ID；","")&amp;IF('05_层级表现LOD'!B458="","缺少对象类别；","")&amp;IF(AND('05_层级表现LOD'!A458&lt;&gt;"",COUNTIF('02_固定地理'!$A$2:$A$501,'05_层级表现LOD'!A458)+COUNTIF('03_地点锚点'!$A$2:$A$501,'05_层级表现LOD'!A458)+COUNTIF('04_路径网络'!$A$2:$A$501,'05_层级表现LOD'!A458)+COUNTIF('06_建筑锚点'!$A$2:$A$501,'05_层级表现LOD'!A458)=0),"LOD引用对象不存在；","")&amp;IF(AND('05_层级表现LOD'!A458&lt;&gt;"",COUNTIF('05_层级表现LOD'!$A$2:$A$501,'05_层级表现LOD'!A458)&gt;1),"ID重复；",""),"")</f>
        <v/>
      </c>
      <c r="G1958" s="14">
        <f>IF(F1958&lt;&gt;"","按字段批注、数据字典和来源记录修正后复核","")</f>
        <v/>
      </c>
      <c r="H1958" s="14">
        <f>IF(F1958&lt;&gt;"","待处理","")</f>
        <v/>
      </c>
    </row>
    <row r="1959">
      <c r="A1959" s="14">
        <f>IF(F1959&lt;&gt;"","ISSUE-"&amp;TEXT(ROW()-1,"00000"),"")</f>
        <v/>
      </c>
      <c r="B1959" s="14">
        <f>IF(F1959&lt;&gt;"","错误","")</f>
        <v/>
      </c>
      <c r="C1959" s="14">
        <f>IF('05_层级表现LOD'!A459&lt;&gt;"","05_层级表现LOD","")</f>
        <v/>
      </c>
      <c r="D1959" s="14">
        <f>IF('05_层级表现LOD'!A459&lt;&gt;"",'05_层级表现LOD'!A459,"")</f>
        <v/>
      </c>
      <c r="E1959" s="14">
        <f>IF(F1959&lt;&gt;"","综合校验","")</f>
        <v/>
      </c>
      <c r="F1959" s="14">
        <f>IF('05_层级表现LOD'!A459&lt;&gt;"",IF('05_层级表现LOD'!A459="","缺少对象ID；","")&amp;IF('05_层级表现LOD'!B459="","缺少对象类别；","")&amp;IF(AND('05_层级表现LOD'!A459&lt;&gt;"",COUNTIF('02_固定地理'!$A$2:$A$501,'05_层级表现LOD'!A459)+COUNTIF('03_地点锚点'!$A$2:$A$501,'05_层级表现LOD'!A459)+COUNTIF('04_路径网络'!$A$2:$A$501,'05_层级表现LOD'!A459)+COUNTIF('06_建筑锚点'!$A$2:$A$501,'05_层级表现LOD'!A459)=0),"LOD引用对象不存在；","")&amp;IF(AND('05_层级表现LOD'!A459&lt;&gt;"",COUNTIF('05_层级表现LOD'!$A$2:$A$501,'05_层级表现LOD'!A459)&gt;1),"ID重复；",""),"")</f>
        <v/>
      </c>
      <c r="G1959" s="14">
        <f>IF(F1959&lt;&gt;"","按字段批注、数据字典和来源记录修正后复核","")</f>
        <v/>
      </c>
      <c r="H1959" s="14">
        <f>IF(F1959&lt;&gt;"","待处理","")</f>
        <v/>
      </c>
    </row>
    <row r="1960">
      <c r="A1960" s="14">
        <f>IF(F1960&lt;&gt;"","ISSUE-"&amp;TEXT(ROW()-1,"00000"),"")</f>
        <v/>
      </c>
      <c r="B1960" s="14">
        <f>IF(F1960&lt;&gt;"","错误","")</f>
        <v/>
      </c>
      <c r="C1960" s="14">
        <f>IF('05_层级表现LOD'!A460&lt;&gt;"","05_层级表现LOD","")</f>
        <v/>
      </c>
      <c r="D1960" s="14">
        <f>IF('05_层级表现LOD'!A460&lt;&gt;"",'05_层级表现LOD'!A460,"")</f>
        <v/>
      </c>
      <c r="E1960" s="14">
        <f>IF(F1960&lt;&gt;"","综合校验","")</f>
        <v/>
      </c>
      <c r="F1960" s="14">
        <f>IF('05_层级表现LOD'!A460&lt;&gt;"",IF('05_层级表现LOD'!A460="","缺少对象ID；","")&amp;IF('05_层级表现LOD'!B460="","缺少对象类别；","")&amp;IF(AND('05_层级表现LOD'!A460&lt;&gt;"",COUNTIF('02_固定地理'!$A$2:$A$501,'05_层级表现LOD'!A460)+COUNTIF('03_地点锚点'!$A$2:$A$501,'05_层级表现LOD'!A460)+COUNTIF('04_路径网络'!$A$2:$A$501,'05_层级表现LOD'!A460)+COUNTIF('06_建筑锚点'!$A$2:$A$501,'05_层级表现LOD'!A460)=0),"LOD引用对象不存在；","")&amp;IF(AND('05_层级表现LOD'!A460&lt;&gt;"",COUNTIF('05_层级表现LOD'!$A$2:$A$501,'05_层级表现LOD'!A460)&gt;1),"ID重复；",""),"")</f>
        <v/>
      </c>
      <c r="G1960" s="14">
        <f>IF(F1960&lt;&gt;"","按字段批注、数据字典和来源记录修正后复核","")</f>
        <v/>
      </c>
      <c r="H1960" s="14">
        <f>IF(F1960&lt;&gt;"","待处理","")</f>
        <v/>
      </c>
    </row>
    <row r="1961">
      <c r="A1961" s="14">
        <f>IF(F1961&lt;&gt;"","ISSUE-"&amp;TEXT(ROW()-1,"00000"),"")</f>
        <v/>
      </c>
      <c r="B1961" s="14">
        <f>IF(F1961&lt;&gt;"","错误","")</f>
        <v/>
      </c>
      <c r="C1961" s="14">
        <f>IF('05_层级表现LOD'!A461&lt;&gt;"","05_层级表现LOD","")</f>
        <v/>
      </c>
      <c r="D1961" s="14">
        <f>IF('05_层级表现LOD'!A461&lt;&gt;"",'05_层级表现LOD'!A461,"")</f>
        <v/>
      </c>
      <c r="E1961" s="14">
        <f>IF(F1961&lt;&gt;"","综合校验","")</f>
        <v/>
      </c>
      <c r="F1961" s="14">
        <f>IF('05_层级表现LOD'!A461&lt;&gt;"",IF('05_层级表现LOD'!A461="","缺少对象ID；","")&amp;IF('05_层级表现LOD'!B461="","缺少对象类别；","")&amp;IF(AND('05_层级表现LOD'!A461&lt;&gt;"",COUNTIF('02_固定地理'!$A$2:$A$501,'05_层级表现LOD'!A461)+COUNTIF('03_地点锚点'!$A$2:$A$501,'05_层级表现LOD'!A461)+COUNTIF('04_路径网络'!$A$2:$A$501,'05_层级表现LOD'!A461)+COUNTIF('06_建筑锚点'!$A$2:$A$501,'05_层级表现LOD'!A461)=0),"LOD引用对象不存在；","")&amp;IF(AND('05_层级表现LOD'!A461&lt;&gt;"",COUNTIF('05_层级表现LOD'!$A$2:$A$501,'05_层级表现LOD'!A461)&gt;1),"ID重复；",""),"")</f>
        <v/>
      </c>
      <c r="G1961" s="14">
        <f>IF(F1961&lt;&gt;"","按字段批注、数据字典和来源记录修正后复核","")</f>
        <v/>
      </c>
      <c r="H1961" s="14">
        <f>IF(F1961&lt;&gt;"","待处理","")</f>
        <v/>
      </c>
    </row>
    <row r="1962">
      <c r="A1962" s="14">
        <f>IF(F1962&lt;&gt;"","ISSUE-"&amp;TEXT(ROW()-1,"00000"),"")</f>
        <v/>
      </c>
      <c r="B1962" s="14">
        <f>IF(F1962&lt;&gt;"","错误","")</f>
        <v/>
      </c>
      <c r="C1962" s="14">
        <f>IF('05_层级表现LOD'!A462&lt;&gt;"","05_层级表现LOD","")</f>
        <v/>
      </c>
      <c r="D1962" s="14">
        <f>IF('05_层级表现LOD'!A462&lt;&gt;"",'05_层级表现LOD'!A462,"")</f>
        <v/>
      </c>
      <c r="E1962" s="14">
        <f>IF(F1962&lt;&gt;"","综合校验","")</f>
        <v/>
      </c>
      <c r="F1962" s="14">
        <f>IF('05_层级表现LOD'!A462&lt;&gt;"",IF('05_层级表现LOD'!A462="","缺少对象ID；","")&amp;IF('05_层级表现LOD'!B462="","缺少对象类别；","")&amp;IF(AND('05_层级表现LOD'!A462&lt;&gt;"",COUNTIF('02_固定地理'!$A$2:$A$501,'05_层级表现LOD'!A462)+COUNTIF('03_地点锚点'!$A$2:$A$501,'05_层级表现LOD'!A462)+COUNTIF('04_路径网络'!$A$2:$A$501,'05_层级表现LOD'!A462)+COUNTIF('06_建筑锚点'!$A$2:$A$501,'05_层级表现LOD'!A462)=0),"LOD引用对象不存在；","")&amp;IF(AND('05_层级表现LOD'!A462&lt;&gt;"",COUNTIF('05_层级表现LOD'!$A$2:$A$501,'05_层级表现LOD'!A462)&gt;1),"ID重复；",""),"")</f>
        <v/>
      </c>
      <c r="G1962" s="14">
        <f>IF(F1962&lt;&gt;"","按字段批注、数据字典和来源记录修正后复核","")</f>
        <v/>
      </c>
      <c r="H1962" s="14">
        <f>IF(F1962&lt;&gt;"","待处理","")</f>
        <v/>
      </c>
    </row>
    <row r="1963">
      <c r="A1963" s="14">
        <f>IF(F1963&lt;&gt;"","ISSUE-"&amp;TEXT(ROW()-1,"00000"),"")</f>
        <v/>
      </c>
      <c r="B1963" s="14">
        <f>IF(F1963&lt;&gt;"","错误","")</f>
        <v/>
      </c>
      <c r="C1963" s="14">
        <f>IF('05_层级表现LOD'!A463&lt;&gt;"","05_层级表现LOD","")</f>
        <v/>
      </c>
      <c r="D1963" s="14">
        <f>IF('05_层级表现LOD'!A463&lt;&gt;"",'05_层级表现LOD'!A463,"")</f>
        <v/>
      </c>
      <c r="E1963" s="14">
        <f>IF(F1963&lt;&gt;"","综合校验","")</f>
        <v/>
      </c>
      <c r="F1963" s="14">
        <f>IF('05_层级表现LOD'!A463&lt;&gt;"",IF('05_层级表现LOD'!A463="","缺少对象ID；","")&amp;IF('05_层级表现LOD'!B463="","缺少对象类别；","")&amp;IF(AND('05_层级表现LOD'!A463&lt;&gt;"",COUNTIF('02_固定地理'!$A$2:$A$501,'05_层级表现LOD'!A463)+COUNTIF('03_地点锚点'!$A$2:$A$501,'05_层级表现LOD'!A463)+COUNTIF('04_路径网络'!$A$2:$A$501,'05_层级表现LOD'!A463)+COUNTIF('06_建筑锚点'!$A$2:$A$501,'05_层级表现LOD'!A463)=0),"LOD引用对象不存在；","")&amp;IF(AND('05_层级表现LOD'!A463&lt;&gt;"",COUNTIF('05_层级表现LOD'!$A$2:$A$501,'05_层级表现LOD'!A463)&gt;1),"ID重复；",""),"")</f>
        <v/>
      </c>
      <c r="G1963" s="14">
        <f>IF(F1963&lt;&gt;"","按字段批注、数据字典和来源记录修正后复核","")</f>
        <v/>
      </c>
      <c r="H1963" s="14">
        <f>IF(F1963&lt;&gt;"","待处理","")</f>
        <v/>
      </c>
    </row>
    <row r="1964">
      <c r="A1964" s="14">
        <f>IF(F1964&lt;&gt;"","ISSUE-"&amp;TEXT(ROW()-1,"00000"),"")</f>
        <v/>
      </c>
      <c r="B1964" s="14">
        <f>IF(F1964&lt;&gt;"","错误","")</f>
        <v/>
      </c>
      <c r="C1964" s="14">
        <f>IF('05_层级表现LOD'!A464&lt;&gt;"","05_层级表现LOD","")</f>
        <v/>
      </c>
      <c r="D1964" s="14">
        <f>IF('05_层级表现LOD'!A464&lt;&gt;"",'05_层级表现LOD'!A464,"")</f>
        <v/>
      </c>
      <c r="E1964" s="14">
        <f>IF(F1964&lt;&gt;"","综合校验","")</f>
        <v/>
      </c>
      <c r="F1964" s="14">
        <f>IF('05_层级表现LOD'!A464&lt;&gt;"",IF('05_层级表现LOD'!A464="","缺少对象ID；","")&amp;IF('05_层级表现LOD'!B464="","缺少对象类别；","")&amp;IF(AND('05_层级表现LOD'!A464&lt;&gt;"",COUNTIF('02_固定地理'!$A$2:$A$501,'05_层级表现LOD'!A464)+COUNTIF('03_地点锚点'!$A$2:$A$501,'05_层级表现LOD'!A464)+COUNTIF('04_路径网络'!$A$2:$A$501,'05_层级表现LOD'!A464)+COUNTIF('06_建筑锚点'!$A$2:$A$501,'05_层级表现LOD'!A464)=0),"LOD引用对象不存在；","")&amp;IF(AND('05_层级表现LOD'!A464&lt;&gt;"",COUNTIF('05_层级表现LOD'!$A$2:$A$501,'05_层级表现LOD'!A464)&gt;1),"ID重复；",""),"")</f>
        <v/>
      </c>
      <c r="G1964" s="14">
        <f>IF(F1964&lt;&gt;"","按字段批注、数据字典和来源记录修正后复核","")</f>
        <v/>
      </c>
      <c r="H1964" s="14">
        <f>IF(F1964&lt;&gt;"","待处理","")</f>
        <v/>
      </c>
    </row>
    <row r="1965">
      <c r="A1965" s="14">
        <f>IF(F1965&lt;&gt;"","ISSUE-"&amp;TEXT(ROW()-1,"00000"),"")</f>
        <v/>
      </c>
      <c r="B1965" s="14">
        <f>IF(F1965&lt;&gt;"","错误","")</f>
        <v/>
      </c>
      <c r="C1965" s="14">
        <f>IF('05_层级表现LOD'!A465&lt;&gt;"","05_层级表现LOD","")</f>
        <v/>
      </c>
      <c r="D1965" s="14">
        <f>IF('05_层级表现LOD'!A465&lt;&gt;"",'05_层级表现LOD'!A465,"")</f>
        <v/>
      </c>
      <c r="E1965" s="14">
        <f>IF(F1965&lt;&gt;"","综合校验","")</f>
        <v/>
      </c>
      <c r="F1965" s="14">
        <f>IF('05_层级表现LOD'!A465&lt;&gt;"",IF('05_层级表现LOD'!A465="","缺少对象ID；","")&amp;IF('05_层级表现LOD'!B465="","缺少对象类别；","")&amp;IF(AND('05_层级表现LOD'!A465&lt;&gt;"",COUNTIF('02_固定地理'!$A$2:$A$501,'05_层级表现LOD'!A465)+COUNTIF('03_地点锚点'!$A$2:$A$501,'05_层级表现LOD'!A465)+COUNTIF('04_路径网络'!$A$2:$A$501,'05_层级表现LOD'!A465)+COUNTIF('06_建筑锚点'!$A$2:$A$501,'05_层级表现LOD'!A465)=0),"LOD引用对象不存在；","")&amp;IF(AND('05_层级表现LOD'!A465&lt;&gt;"",COUNTIF('05_层级表现LOD'!$A$2:$A$501,'05_层级表现LOD'!A465)&gt;1),"ID重复；",""),"")</f>
        <v/>
      </c>
      <c r="G1965" s="14">
        <f>IF(F1965&lt;&gt;"","按字段批注、数据字典和来源记录修正后复核","")</f>
        <v/>
      </c>
      <c r="H1965" s="14">
        <f>IF(F1965&lt;&gt;"","待处理","")</f>
        <v/>
      </c>
    </row>
    <row r="1966">
      <c r="A1966" s="14">
        <f>IF(F1966&lt;&gt;"","ISSUE-"&amp;TEXT(ROW()-1,"00000"),"")</f>
        <v/>
      </c>
      <c r="B1966" s="14">
        <f>IF(F1966&lt;&gt;"","错误","")</f>
        <v/>
      </c>
      <c r="C1966" s="14">
        <f>IF('05_层级表现LOD'!A466&lt;&gt;"","05_层级表现LOD","")</f>
        <v/>
      </c>
      <c r="D1966" s="14">
        <f>IF('05_层级表现LOD'!A466&lt;&gt;"",'05_层级表现LOD'!A466,"")</f>
        <v/>
      </c>
      <c r="E1966" s="14">
        <f>IF(F1966&lt;&gt;"","综合校验","")</f>
        <v/>
      </c>
      <c r="F1966" s="14">
        <f>IF('05_层级表现LOD'!A466&lt;&gt;"",IF('05_层级表现LOD'!A466="","缺少对象ID；","")&amp;IF('05_层级表现LOD'!B466="","缺少对象类别；","")&amp;IF(AND('05_层级表现LOD'!A466&lt;&gt;"",COUNTIF('02_固定地理'!$A$2:$A$501,'05_层级表现LOD'!A466)+COUNTIF('03_地点锚点'!$A$2:$A$501,'05_层级表现LOD'!A466)+COUNTIF('04_路径网络'!$A$2:$A$501,'05_层级表现LOD'!A466)+COUNTIF('06_建筑锚点'!$A$2:$A$501,'05_层级表现LOD'!A466)=0),"LOD引用对象不存在；","")&amp;IF(AND('05_层级表现LOD'!A466&lt;&gt;"",COUNTIF('05_层级表现LOD'!$A$2:$A$501,'05_层级表现LOD'!A466)&gt;1),"ID重复；",""),"")</f>
        <v/>
      </c>
      <c r="G1966" s="14">
        <f>IF(F1966&lt;&gt;"","按字段批注、数据字典和来源记录修正后复核","")</f>
        <v/>
      </c>
      <c r="H1966" s="14">
        <f>IF(F1966&lt;&gt;"","待处理","")</f>
        <v/>
      </c>
    </row>
    <row r="1967">
      <c r="A1967" s="14">
        <f>IF(F1967&lt;&gt;"","ISSUE-"&amp;TEXT(ROW()-1,"00000"),"")</f>
        <v/>
      </c>
      <c r="B1967" s="14">
        <f>IF(F1967&lt;&gt;"","错误","")</f>
        <v/>
      </c>
      <c r="C1967" s="14">
        <f>IF('05_层级表现LOD'!A467&lt;&gt;"","05_层级表现LOD","")</f>
        <v/>
      </c>
      <c r="D1967" s="14">
        <f>IF('05_层级表现LOD'!A467&lt;&gt;"",'05_层级表现LOD'!A467,"")</f>
        <v/>
      </c>
      <c r="E1967" s="14">
        <f>IF(F1967&lt;&gt;"","综合校验","")</f>
        <v/>
      </c>
      <c r="F1967" s="14">
        <f>IF('05_层级表现LOD'!A467&lt;&gt;"",IF('05_层级表现LOD'!A467="","缺少对象ID；","")&amp;IF('05_层级表现LOD'!B467="","缺少对象类别；","")&amp;IF(AND('05_层级表现LOD'!A467&lt;&gt;"",COUNTIF('02_固定地理'!$A$2:$A$501,'05_层级表现LOD'!A467)+COUNTIF('03_地点锚点'!$A$2:$A$501,'05_层级表现LOD'!A467)+COUNTIF('04_路径网络'!$A$2:$A$501,'05_层级表现LOD'!A467)+COUNTIF('06_建筑锚点'!$A$2:$A$501,'05_层级表现LOD'!A467)=0),"LOD引用对象不存在；","")&amp;IF(AND('05_层级表现LOD'!A467&lt;&gt;"",COUNTIF('05_层级表现LOD'!$A$2:$A$501,'05_层级表现LOD'!A467)&gt;1),"ID重复；",""),"")</f>
        <v/>
      </c>
      <c r="G1967" s="14">
        <f>IF(F1967&lt;&gt;"","按字段批注、数据字典和来源记录修正后复核","")</f>
        <v/>
      </c>
      <c r="H1967" s="14">
        <f>IF(F1967&lt;&gt;"","待处理","")</f>
        <v/>
      </c>
    </row>
    <row r="1968">
      <c r="A1968" s="14">
        <f>IF(F1968&lt;&gt;"","ISSUE-"&amp;TEXT(ROW()-1,"00000"),"")</f>
        <v/>
      </c>
      <c r="B1968" s="14">
        <f>IF(F1968&lt;&gt;"","错误","")</f>
        <v/>
      </c>
      <c r="C1968" s="14">
        <f>IF('05_层级表现LOD'!A468&lt;&gt;"","05_层级表现LOD","")</f>
        <v/>
      </c>
      <c r="D1968" s="14">
        <f>IF('05_层级表现LOD'!A468&lt;&gt;"",'05_层级表现LOD'!A468,"")</f>
        <v/>
      </c>
      <c r="E1968" s="14">
        <f>IF(F1968&lt;&gt;"","综合校验","")</f>
        <v/>
      </c>
      <c r="F1968" s="14">
        <f>IF('05_层级表现LOD'!A468&lt;&gt;"",IF('05_层级表现LOD'!A468="","缺少对象ID；","")&amp;IF('05_层级表现LOD'!B468="","缺少对象类别；","")&amp;IF(AND('05_层级表现LOD'!A468&lt;&gt;"",COUNTIF('02_固定地理'!$A$2:$A$501,'05_层级表现LOD'!A468)+COUNTIF('03_地点锚点'!$A$2:$A$501,'05_层级表现LOD'!A468)+COUNTIF('04_路径网络'!$A$2:$A$501,'05_层级表现LOD'!A468)+COUNTIF('06_建筑锚点'!$A$2:$A$501,'05_层级表现LOD'!A468)=0),"LOD引用对象不存在；","")&amp;IF(AND('05_层级表现LOD'!A468&lt;&gt;"",COUNTIF('05_层级表现LOD'!$A$2:$A$501,'05_层级表现LOD'!A468)&gt;1),"ID重复；",""),"")</f>
        <v/>
      </c>
      <c r="G1968" s="14">
        <f>IF(F1968&lt;&gt;"","按字段批注、数据字典和来源记录修正后复核","")</f>
        <v/>
      </c>
      <c r="H1968" s="14">
        <f>IF(F1968&lt;&gt;"","待处理","")</f>
        <v/>
      </c>
    </row>
    <row r="1969">
      <c r="A1969" s="14">
        <f>IF(F1969&lt;&gt;"","ISSUE-"&amp;TEXT(ROW()-1,"00000"),"")</f>
        <v/>
      </c>
      <c r="B1969" s="14">
        <f>IF(F1969&lt;&gt;"","错误","")</f>
        <v/>
      </c>
      <c r="C1969" s="14">
        <f>IF('05_层级表现LOD'!A469&lt;&gt;"","05_层级表现LOD","")</f>
        <v/>
      </c>
      <c r="D1969" s="14">
        <f>IF('05_层级表现LOD'!A469&lt;&gt;"",'05_层级表现LOD'!A469,"")</f>
        <v/>
      </c>
      <c r="E1969" s="14">
        <f>IF(F1969&lt;&gt;"","综合校验","")</f>
        <v/>
      </c>
      <c r="F1969" s="14">
        <f>IF('05_层级表现LOD'!A469&lt;&gt;"",IF('05_层级表现LOD'!A469="","缺少对象ID；","")&amp;IF('05_层级表现LOD'!B469="","缺少对象类别；","")&amp;IF(AND('05_层级表现LOD'!A469&lt;&gt;"",COUNTIF('02_固定地理'!$A$2:$A$501,'05_层级表现LOD'!A469)+COUNTIF('03_地点锚点'!$A$2:$A$501,'05_层级表现LOD'!A469)+COUNTIF('04_路径网络'!$A$2:$A$501,'05_层级表现LOD'!A469)+COUNTIF('06_建筑锚点'!$A$2:$A$501,'05_层级表现LOD'!A469)=0),"LOD引用对象不存在；","")&amp;IF(AND('05_层级表现LOD'!A469&lt;&gt;"",COUNTIF('05_层级表现LOD'!$A$2:$A$501,'05_层级表现LOD'!A469)&gt;1),"ID重复；",""),"")</f>
        <v/>
      </c>
      <c r="G1969" s="14">
        <f>IF(F1969&lt;&gt;"","按字段批注、数据字典和来源记录修正后复核","")</f>
        <v/>
      </c>
      <c r="H1969" s="14">
        <f>IF(F1969&lt;&gt;"","待处理","")</f>
        <v/>
      </c>
    </row>
    <row r="1970">
      <c r="A1970" s="14">
        <f>IF(F1970&lt;&gt;"","ISSUE-"&amp;TEXT(ROW()-1,"00000"),"")</f>
        <v/>
      </c>
      <c r="B1970" s="14">
        <f>IF(F1970&lt;&gt;"","错误","")</f>
        <v/>
      </c>
      <c r="C1970" s="14">
        <f>IF('05_层级表现LOD'!A470&lt;&gt;"","05_层级表现LOD","")</f>
        <v/>
      </c>
      <c r="D1970" s="14">
        <f>IF('05_层级表现LOD'!A470&lt;&gt;"",'05_层级表现LOD'!A470,"")</f>
        <v/>
      </c>
      <c r="E1970" s="14">
        <f>IF(F1970&lt;&gt;"","综合校验","")</f>
        <v/>
      </c>
      <c r="F1970" s="14">
        <f>IF('05_层级表现LOD'!A470&lt;&gt;"",IF('05_层级表现LOD'!A470="","缺少对象ID；","")&amp;IF('05_层级表现LOD'!B470="","缺少对象类别；","")&amp;IF(AND('05_层级表现LOD'!A470&lt;&gt;"",COUNTIF('02_固定地理'!$A$2:$A$501,'05_层级表现LOD'!A470)+COUNTIF('03_地点锚点'!$A$2:$A$501,'05_层级表现LOD'!A470)+COUNTIF('04_路径网络'!$A$2:$A$501,'05_层级表现LOD'!A470)+COUNTIF('06_建筑锚点'!$A$2:$A$501,'05_层级表现LOD'!A470)=0),"LOD引用对象不存在；","")&amp;IF(AND('05_层级表现LOD'!A470&lt;&gt;"",COUNTIF('05_层级表现LOD'!$A$2:$A$501,'05_层级表现LOD'!A470)&gt;1),"ID重复；",""),"")</f>
        <v/>
      </c>
      <c r="G1970" s="14">
        <f>IF(F1970&lt;&gt;"","按字段批注、数据字典和来源记录修正后复核","")</f>
        <v/>
      </c>
      <c r="H1970" s="14">
        <f>IF(F1970&lt;&gt;"","待处理","")</f>
        <v/>
      </c>
    </row>
    <row r="1971">
      <c r="A1971" s="14">
        <f>IF(F1971&lt;&gt;"","ISSUE-"&amp;TEXT(ROW()-1,"00000"),"")</f>
        <v/>
      </c>
      <c r="B1971" s="14">
        <f>IF(F1971&lt;&gt;"","错误","")</f>
        <v/>
      </c>
      <c r="C1971" s="14">
        <f>IF('05_层级表现LOD'!A471&lt;&gt;"","05_层级表现LOD","")</f>
        <v/>
      </c>
      <c r="D1971" s="14">
        <f>IF('05_层级表现LOD'!A471&lt;&gt;"",'05_层级表现LOD'!A471,"")</f>
        <v/>
      </c>
      <c r="E1971" s="14">
        <f>IF(F1971&lt;&gt;"","综合校验","")</f>
        <v/>
      </c>
      <c r="F1971" s="14">
        <f>IF('05_层级表现LOD'!A471&lt;&gt;"",IF('05_层级表现LOD'!A471="","缺少对象ID；","")&amp;IF('05_层级表现LOD'!B471="","缺少对象类别；","")&amp;IF(AND('05_层级表现LOD'!A471&lt;&gt;"",COUNTIF('02_固定地理'!$A$2:$A$501,'05_层级表现LOD'!A471)+COUNTIF('03_地点锚点'!$A$2:$A$501,'05_层级表现LOD'!A471)+COUNTIF('04_路径网络'!$A$2:$A$501,'05_层级表现LOD'!A471)+COUNTIF('06_建筑锚点'!$A$2:$A$501,'05_层级表现LOD'!A471)=0),"LOD引用对象不存在；","")&amp;IF(AND('05_层级表现LOD'!A471&lt;&gt;"",COUNTIF('05_层级表现LOD'!$A$2:$A$501,'05_层级表现LOD'!A471)&gt;1),"ID重复；",""),"")</f>
        <v/>
      </c>
      <c r="G1971" s="14">
        <f>IF(F1971&lt;&gt;"","按字段批注、数据字典和来源记录修正后复核","")</f>
        <v/>
      </c>
      <c r="H1971" s="14">
        <f>IF(F1971&lt;&gt;"","待处理","")</f>
        <v/>
      </c>
    </row>
    <row r="1972">
      <c r="A1972" s="14">
        <f>IF(F1972&lt;&gt;"","ISSUE-"&amp;TEXT(ROW()-1,"00000"),"")</f>
        <v/>
      </c>
      <c r="B1972" s="14">
        <f>IF(F1972&lt;&gt;"","错误","")</f>
        <v/>
      </c>
      <c r="C1972" s="14">
        <f>IF('05_层级表现LOD'!A472&lt;&gt;"","05_层级表现LOD","")</f>
        <v/>
      </c>
      <c r="D1972" s="14">
        <f>IF('05_层级表现LOD'!A472&lt;&gt;"",'05_层级表现LOD'!A472,"")</f>
        <v/>
      </c>
      <c r="E1972" s="14">
        <f>IF(F1972&lt;&gt;"","综合校验","")</f>
        <v/>
      </c>
      <c r="F1972" s="14">
        <f>IF('05_层级表现LOD'!A472&lt;&gt;"",IF('05_层级表现LOD'!A472="","缺少对象ID；","")&amp;IF('05_层级表现LOD'!B472="","缺少对象类别；","")&amp;IF(AND('05_层级表现LOD'!A472&lt;&gt;"",COUNTIF('02_固定地理'!$A$2:$A$501,'05_层级表现LOD'!A472)+COUNTIF('03_地点锚点'!$A$2:$A$501,'05_层级表现LOD'!A472)+COUNTIF('04_路径网络'!$A$2:$A$501,'05_层级表现LOD'!A472)+COUNTIF('06_建筑锚点'!$A$2:$A$501,'05_层级表现LOD'!A472)=0),"LOD引用对象不存在；","")&amp;IF(AND('05_层级表现LOD'!A472&lt;&gt;"",COUNTIF('05_层级表现LOD'!$A$2:$A$501,'05_层级表现LOD'!A472)&gt;1),"ID重复；",""),"")</f>
        <v/>
      </c>
      <c r="G1972" s="14">
        <f>IF(F1972&lt;&gt;"","按字段批注、数据字典和来源记录修正后复核","")</f>
        <v/>
      </c>
      <c r="H1972" s="14">
        <f>IF(F1972&lt;&gt;"","待处理","")</f>
        <v/>
      </c>
    </row>
    <row r="1973">
      <c r="A1973" s="14">
        <f>IF(F1973&lt;&gt;"","ISSUE-"&amp;TEXT(ROW()-1,"00000"),"")</f>
        <v/>
      </c>
      <c r="B1973" s="14">
        <f>IF(F1973&lt;&gt;"","错误","")</f>
        <v/>
      </c>
      <c r="C1973" s="14">
        <f>IF('05_层级表现LOD'!A473&lt;&gt;"","05_层级表现LOD","")</f>
        <v/>
      </c>
      <c r="D1973" s="14">
        <f>IF('05_层级表现LOD'!A473&lt;&gt;"",'05_层级表现LOD'!A473,"")</f>
        <v/>
      </c>
      <c r="E1973" s="14">
        <f>IF(F1973&lt;&gt;"","综合校验","")</f>
        <v/>
      </c>
      <c r="F1973" s="14">
        <f>IF('05_层级表现LOD'!A473&lt;&gt;"",IF('05_层级表现LOD'!A473="","缺少对象ID；","")&amp;IF('05_层级表现LOD'!B473="","缺少对象类别；","")&amp;IF(AND('05_层级表现LOD'!A473&lt;&gt;"",COUNTIF('02_固定地理'!$A$2:$A$501,'05_层级表现LOD'!A473)+COUNTIF('03_地点锚点'!$A$2:$A$501,'05_层级表现LOD'!A473)+COUNTIF('04_路径网络'!$A$2:$A$501,'05_层级表现LOD'!A473)+COUNTIF('06_建筑锚点'!$A$2:$A$501,'05_层级表现LOD'!A473)=0),"LOD引用对象不存在；","")&amp;IF(AND('05_层级表现LOD'!A473&lt;&gt;"",COUNTIF('05_层级表现LOD'!$A$2:$A$501,'05_层级表现LOD'!A473)&gt;1),"ID重复；",""),"")</f>
        <v/>
      </c>
      <c r="G1973" s="14">
        <f>IF(F1973&lt;&gt;"","按字段批注、数据字典和来源记录修正后复核","")</f>
        <v/>
      </c>
      <c r="H1973" s="14">
        <f>IF(F1973&lt;&gt;"","待处理","")</f>
        <v/>
      </c>
    </row>
    <row r="1974">
      <c r="A1974" s="14">
        <f>IF(F1974&lt;&gt;"","ISSUE-"&amp;TEXT(ROW()-1,"00000"),"")</f>
        <v/>
      </c>
      <c r="B1974" s="14">
        <f>IF(F1974&lt;&gt;"","错误","")</f>
        <v/>
      </c>
      <c r="C1974" s="14">
        <f>IF('05_层级表现LOD'!A474&lt;&gt;"","05_层级表现LOD","")</f>
        <v/>
      </c>
      <c r="D1974" s="14">
        <f>IF('05_层级表现LOD'!A474&lt;&gt;"",'05_层级表现LOD'!A474,"")</f>
        <v/>
      </c>
      <c r="E1974" s="14">
        <f>IF(F1974&lt;&gt;"","综合校验","")</f>
        <v/>
      </c>
      <c r="F1974" s="14">
        <f>IF('05_层级表现LOD'!A474&lt;&gt;"",IF('05_层级表现LOD'!A474="","缺少对象ID；","")&amp;IF('05_层级表现LOD'!B474="","缺少对象类别；","")&amp;IF(AND('05_层级表现LOD'!A474&lt;&gt;"",COUNTIF('02_固定地理'!$A$2:$A$501,'05_层级表现LOD'!A474)+COUNTIF('03_地点锚点'!$A$2:$A$501,'05_层级表现LOD'!A474)+COUNTIF('04_路径网络'!$A$2:$A$501,'05_层级表现LOD'!A474)+COUNTIF('06_建筑锚点'!$A$2:$A$501,'05_层级表现LOD'!A474)=0),"LOD引用对象不存在；","")&amp;IF(AND('05_层级表现LOD'!A474&lt;&gt;"",COUNTIF('05_层级表现LOD'!$A$2:$A$501,'05_层级表现LOD'!A474)&gt;1),"ID重复；",""),"")</f>
        <v/>
      </c>
      <c r="G1974" s="14">
        <f>IF(F1974&lt;&gt;"","按字段批注、数据字典和来源记录修正后复核","")</f>
        <v/>
      </c>
      <c r="H1974" s="14">
        <f>IF(F1974&lt;&gt;"","待处理","")</f>
        <v/>
      </c>
    </row>
    <row r="1975">
      <c r="A1975" s="14">
        <f>IF(F1975&lt;&gt;"","ISSUE-"&amp;TEXT(ROW()-1,"00000"),"")</f>
        <v/>
      </c>
      <c r="B1975" s="14">
        <f>IF(F1975&lt;&gt;"","错误","")</f>
        <v/>
      </c>
      <c r="C1975" s="14">
        <f>IF('05_层级表现LOD'!A475&lt;&gt;"","05_层级表现LOD","")</f>
        <v/>
      </c>
      <c r="D1975" s="14">
        <f>IF('05_层级表现LOD'!A475&lt;&gt;"",'05_层级表现LOD'!A475,"")</f>
        <v/>
      </c>
      <c r="E1975" s="14">
        <f>IF(F1975&lt;&gt;"","综合校验","")</f>
        <v/>
      </c>
      <c r="F1975" s="14">
        <f>IF('05_层级表现LOD'!A475&lt;&gt;"",IF('05_层级表现LOD'!A475="","缺少对象ID；","")&amp;IF('05_层级表现LOD'!B475="","缺少对象类别；","")&amp;IF(AND('05_层级表现LOD'!A475&lt;&gt;"",COUNTIF('02_固定地理'!$A$2:$A$501,'05_层级表现LOD'!A475)+COUNTIF('03_地点锚点'!$A$2:$A$501,'05_层级表现LOD'!A475)+COUNTIF('04_路径网络'!$A$2:$A$501,'05_层级表现LOD'!A475)+COUNTIF('06_建筑锚点'!$A$2:$A$501,'05_层级表现LOD'!A475)=0),"LOD引用对象不存在；","")&amp;IF(AND('05_层级表现LOD'!A475&lt;&gt;"",COUNTIF('05_层级表现LOD'!$A$2:$A$501,'05_层级表现LOD'!A475)&gt;1),"ID重复；",""),"")</f>
        <v/>
      </c>
      <c r="G1975" s="14">
        <f>IF(F1975&lt;&gt;"","按字段批注、数据字典和来源记录修正后复核","")</f>
        <v/>
      </c>
      <c r="H1975" s="14">
        <f>IF(F1975&lt;&gt;"","待处理","")</f>
        <v/>
      </c>
    </row>
    <row r="1976">
      <c r="A1976" s="14">
        <f>IF(F1976&lt;&gt;"","ISSUE-"&amp;TEXT(ROW()-1,"00000"),"")</f>
        <v/>
      </c>
      <c r="B1976" s="14">
        <f>IF(F1976&lt;&gt;"","错误","")</f>
        <v/>
      </c>
      <c r="C1976" s="14">
        <f>IF('05_层级表现LOD'!A476&lt;&gt;"","05_层级表现LOD","")</f>
        <v/>
      </c>
      <c r="D1976" s="14">
        <f>IF('05_层级表现LOD'!A476&lt;&gt;"",'05_层级表现LOD'!A476,"")</f>
        <v/>
      </c>
      <c r="E1976" s="14">
        <f>IF(F1976&lt;&gt;"","综合校验","")</f>
        <v/>
      </c>
      <c r="F1976" s="14">
        <f>IF('05_层级表现LOD'!A476&lt;&gt;"",IF('05_层级表现LOD'!A476="","缺少对象ID；","")&amp;IF('05_层级表现LOD'!B476="","缺少对象类别；","")&amp;IF(AND('05_层级表现LOD'!A476&lt;&gt;"",COUNTIF('02_固定地理'!$A$2:$A$501,'05_层级表现LOD'!A476)+COUNTIF('03_地点锚点'!$A$2:$A$501,'05_层级表现LOD'!A476)+COUNTIF('04_路径网络'!$A$2:$A$501,'05_层级表现LOD'!A476)+COUNTIF('06_建筑锚点'!$A$2:$A$501,'05_层级表现LOD'!A476)=0),"LOD引用对象不存在；","")&amp;IF(AND('05_层级表现LOD'!A476&lt;&gt;"",COUNTIF('05_层级表现LOD'!$A$2:$A$501,'05_层级表现LOD'!A476)&gt;1),"ID重复；",""),"")</f>
        <v/>
      </c>
      <c r="G1976" s="14">
        <f>IF(F1976&lt;&gt;"","按字段批注、数据字典和来源记录修正后复核","")</f>
        <v/>
      </c>
      <c r="H1976" s="14">
        <f>IF(F1976&lt;&gt;"","待处理","")</f>
        <v/>
      </c>
    </row>
    <row r="1977">
      <c r="A1977" s="14">
        <f>IF(F1977&lt;&gt;"","ISSUE-"&amp;TEXT(ROW()-1,"00000"),"")</f>
        <v/>
      </c>
      <c r="B1977" s="14">
        <f>IF(F1977&lt;&gt;"","错误","")</f>
        <v/>
      </c>
      <c r="C1977" s="14">
        <f>IF('05_层级表现LOD'!A477&lt;&gt;"","05_层级表现LOD","")</f>
        <v/>
      </c>
      <c r="D1977" s="14">
        <f>IF('05_层级表现LOD'!A477&lt;&gt;"",'05_层级表现LOD'!A477,"")</f>
        <v/>
      </c>
      <c r="E1977" s="14">
        <f>IF(F1977&lt;&gt;"","综合校验","")</f>
        <v/>
      </c>
      <c r="F1977" s="14">
        <f>IF('05_层级表现LOD'!A477&lt;&gt;"",IF('05_层级表现LOD'!A477="","缺少对象ID；","")&amp;IF('05_层级表现LOD'!B477="","缺少对象类别；","")&amp;IF(AND('05_层级表现LOD'!A477&lt;&gt;"",COUNTIF('02_固定地理'!$A$2:$A$501,'05_层级表现LOD'!A477)+COUNTIF('03_地点锚点'!$A$2:$A$501,'05_层级表现LOD'!A477)+COUNTIF('04_路径网络'!$A$2:$A$501,'05_层级表现LOD'!A477)+COUNTIF('06_建筑锚点'!$A$2:$A$501,'05_层级表现LOD'!A477)=0),"LOD引用对象不存在；","")&amp;IF(AND('05_层级表现LOD'!A477&lt;&gt;"",COUNTIF('05_层级表现LOD'!$A$2:$A$501,'05_层级表现LOD'!A477)&gt;1),"ID重复；",""),"")</f>
        <v/>
      </c>
      <c r="G1977" s="14">
        <f>IF(F1977&lt;&gt;"","按字段批注、数据字典和来源记录修正后复核","")</f>
        <v/>
      </c>
      <c r="H1977" s="14">
        <f>IF(F1977&lt;&gt;"","待处理","")</f>
        <v/>
      </c>
    </row>
    <row r="1978">
      <c r="A1978" s="14">
        <f>IF(F1978&lt;&gt;"","ISSUE-"&amp;TEXT(ROW()-1,"00000"),"")</f>
        <v/>
      </c>
      <c r="B1978" s="14">
        <f>IF(F1978&lt;&gt;"","错误","")</f>
        <v/>
      </c>
      <c r="C1978" s="14">
        <f>IF('05_层级表现LOD'!A478&lt;&gt;"","05_层级表现LOD","")</f>
        <v/>
      </c>
      <c r="D1978" s="14">
        <f>IF('05_层级表现LOD'!A478&lt;&gt;"",'05_层级表现LOD'!A478,"")</f>
        <v/>
      </c>
      <c r="E1978" s="14">
        <f>IF(F1978&lt;&gt;"","综合校验","")</f>
        <v/>
      </c>
      <c r="F1978" s="14">
        <f>IF('05_层级表现LOD'!A478&lt;&gt;"",IF('05_层级表现LOD'!A478="","缺少对象ID；","")&amp;IF('05_层级表现LOD'!B478="","缺少对象类别；","")&amp;IF(AND('05_层级表现LOD'!A478&lt;&gt;"",COUNTIF('02_固定地理'!$A$2:$A$501,'05_层级表现LOD'!A478)+COUNTIF('03_地点锚点'!$A$2:$A$501,'05_层级表现LOD'!A478)+COUNTIF('04_路径网络'!$A$2:$A$501,'05_层级表现LOD'!A478)+COUNTIF('06_建筑锚点'!$A$2:$A$501,'05_层级表现LOD'!A478)=0),"LOD引用对象不存在；","")&amp;IF(AND('05_层级表现LOD'!A478&lt;&gt;"",COUNTIF('05_层级表现LOD'!$A$2:$A$501,'05_层级表现LOD'!A478)&gt;1),"ID重复；",""),"")</f>
        <v/>
      </c>
      <c r="G1978" s="14">
        <f>IF(F1978&lt;&gt;"","按字段批注、数据字典和来源记录修正后复核","")</f>
        <v/>
      </c>
      <c r="H1978" s="14">
        <f>IF(F1978&lt;&gt;"","待处理","")</f>
        <v/>
      </c>
    </row>
    <row r="1979">
      <c r="A1979" s="14">
        <f>IF(F1979&lt;&gt;"","ISSUE-"&amp;TEXT(ROW()-1,"00000"),"")</f>
        <v/>
      </c>
      <c r="B1979" s="14">
        <f>IF(F1979&lt;&gt;"","错误","")</f>
        <v/>
      </c>
      <c r="C1979" s="14">
        <f>IF('05_层级表现LOD'!A479&lt;&gt;"","05_层级表现LOD","")</f>
        <v/>
      </c>
      <c r="D1979" s="14">
        <f>IF('05_层级表现LOD'!A479&lt;&gt;"",'05_层级表现LOD'!A479,"")</f>
        <v/>
      </c>
      <c r="E1979" s="14">
        <f>IF(F1979&lt;&gt;"","综合校验","")</f>
        <v/>
      </c>
      <c r="F1979" s="14">
        <f>IF('05_层级表现LOD'!A479&lt;&gt;"",IF('05_层级表现LOD'!A479="","缺少对象ID；","")&amp;IF('05_层级表现LOD'!B479="","缺少对象类别；","")&amp;IF(AND('05_层级表现LOD'!A479&lt;&gt;"",COUNTIF('02_固定地理'!$A$2:$A$501,'05_层级表现LOD'!A479)+COUNTIF('03_地点锚点'!$A$2:$A$501,'05_层级表现LOD'!A479)+COUNTIF('04_路径网络'!$A$2:$A$501,'05_层级表现LOD'!A479)+COUNTIF('06_建筑锚点'!$A$2:$A$501,'05_层级表现LOD'!A479)=0),"LOD引用对象不存在；","")&amp;IF(AND('05_层级表现LOD'!A479&lt;&gt;"",COUNTIF('05_层级表现LOD'!$A$2:$A$501,'05_层级表现LOD'!A479)&gt;1),"ID重复；",""),"")</f>
        <v/>
      </c>
      <c r="G1979" s="14">
        <f>IF(F1979&lt;&gt;"","按字段批注、数据字典和来源记录修正后复核","")</f>
        <v/>
      </c>
      <c r="H1979" s="14">
        <f>IF(F1979&lt;&gt;"","待处理","")</f>
        <v/>
      </c>
    </row>
    <row r="1980">
      <c r="A1980" s="14">
        <f>IF(F1980&lt;&gt;"","ISSUE-"&amp;TEXT(ROW()-1,"00000"),"")</f>
        <v/>
      </c>
      <c r="B1980" s="14">
        <f>IF(F1980&lt;&gt;"","错误","")</f>
        <v/>
      </c>
      <c r="C1980" s="14">
        <f>IF('05_层级表现LOD'!A480&lt;&gt;"","05_层级表现LOD","")</f>
        <v/>
      </c>
      <c r="D1980" s="14">
        <f>IF('05_层级表现LOD'!A480&lt;&gt;"",'05_层级表现LOD'!A480,"")</f>
        <v/>
      </c>
      <c r="E1980" s="14">
        <f>IF(F1980&lt;&gt;"","综合校验","")</f>
        <v/>
      </c>
      <c r="F1980" s="14">
        <f>IF('05_层级表现LOD'!A480&lt;&gt;"",IF('05_层级表现LOD'!A480="","缺少对象ID；","")&amp;IF('05_层级表现LOD'!B480="","缺少对象类别；","")&amp;IF(AND('05_层级表现LOD'!A480&lt;&gt;"",COUNTIF('02_固定地理'!$A$2:$A$501,'05_层级表现LOD'!A480)+COUNTIF('03_地点锚点'!$A$2:$A$501,'05_层级表现LOD'!A480)+COUNTIF('04_路径网络'!$A$2:$A$501,'05_层级表现LOD'!A480)+COUNTIF('06_建筑锚点'!$A$2:$A$501,'05_层级表现LOD'!A480)=0),"LOD引用对象不存在；","")&amp;IF(AND('05_层级表现LOD'!A480&lt;&gt;"",COUNTIF('05_层级表现LOD'!$A$2:$A$501,'05_层级表现LOD'!A480)&gt;1),"ID重复；",""),"")</f>
        <v/>
      </c>
      <c r="G1980" s="14">
        <f>IF(F1980&lt;&gt;"","按字段批注、数据字典和来源记录修正后复核","")</f>
        <v/>
      </c>
      <c r="H1980" s="14">
        <f>IF(F1980&lt;&gt;"","待处理","")</f>
        <v/>
      </c>
    </row>
    <row r="1981">
      <c r="A1981" s="14">
        <f>IF(F1981&lt;&gt;"","ISSUE-"&amp;TEXT(ROW()-1,"00000"),"")</f>
        <v/>
      </c>
      <c r="B1981" s="14">
        <f>IF(F1981&lt;&gt;"","错误","")</f>
        <v/>
      </c>
      <c r="C1981" s="14">
        <f>IF('05_层级表现LOD'!A481&lt;&gt;"","05_层级表现LOD","")</f>
        <v/>
      </c>
      <c r="D1981" s="14">
        <f>IF('05_层级表现LOD'!A481&lt;&gt;"",'05_层级表现LOD'!A481,"")</f>
        <v/>
      </c>
      <c r="E1981" s="14">
        <f>IF(F1981&lt;&gt;"","综合校验","")</f>
        <v/>
      </c>
      <c r="F1981" s="14">
        <f>IF('05_层级表现LOD'!A481&lt;&gt;"",IF('05_层级表现LOD'!A481="","缺少对象ID；","")&amp;IF('05_层级表现LOD'!B481="","缺少对象类别；","")&amp;IF(AND('05_层级表现LOD'!A481&lt;&gt;"",COUNTIF('02_固定地理'!$A$2:$A$501,'05_层级表现LOD'!A481)+COUNTIF('03_地点锚点'!$A$2:$A$501,'05_层级表现LOD'!A481)+COUNTIF('04_路径网络'!$A$2:$A$501,'05_层级表现LOD'!A481)+COUNTIF('06_建筑锚点'!$A$2:$A$501,'05_层级表现LOD'!A481)=0),"LOD引用对象不存在；","")&amp;IF(AND('05_层级表现LOD'!A481&lt;&gt;"",COUNTIF('05_层级表现LOD'!$A$2:$A$501,'05_层级表现LOD'!A481)&gt;1),"ID重复；",""),"")</f>
        <v/>
      </c>
      <c r="G1981" s="14">
        <f>IF(F1981&lt;&gt;"","按字段批注、数据字典和来源记录修正后复核","")</f>
        <v/>
      </c>
      <c r="H1981" s="14">
        <f>IF(F1981&lt;&gt;"","待处理","")</f>
        <v/>
      </c>
    </row>
    <row r="1982">
      <c r="A1982" s="14">
        <f>IF(F1982&lt;&gt;"","ISSUE-"&amp;TEXT(ROW()-1,"00000"),"")</f>
        <v/>
      </c>
      <c r="B1982" s="14">
        <f>IF(F1982&lt;&gt;"","错误","")</f>
        <v/>
      </c>
      <c r="C1982" s="14">
        <f>IF('05_层级表现LOD'!A482&lt;&gt;"","05_层级表现LOD","")</f>
        <v/>
      </c>
      <c r="D1982" s="14">
        <f>IF('05_层级表现LOD'!A482&lt;&gt;"",'05_层级表现LOD'!A482,"")</f>
        <v/>
      </c>
      <c r="E1982" s="14">
        <f>IF(F1982&lt;&gt;"","综合校验","")</f>
        <v/>
      </c>
      <c r="F1982" s="14">
        <f>IF('05_层级表现LOD'!A482&lt;&gt;"",IF('05_层级表现LOD'!A482="","缺少对象ID；","")&amp;IF('05_层级表现LOD'!B482="","缺少对象类别；","")&amp;IF(AND('05_层级表现LOD'!A482&lt;&gt;"",COUNTIF('02_固定地理'!$A$2:$A$501,'05_层级表现LOD'!A482)+COUNTIF('03_地点锚点'!$A$2:$A$501,'05_层级表现LOD'!A482)+COUNTIF('04_路径网络'!$A$2:$A$501,'05_层级表现LOD'!A482)+COUNTIF('06_建筑锚点'!$A$2:$A$501,'05_层级表现LOD'!A482)=0),"LOD引用对象不存在；","")&amp;IF(AND('05_层级表现LOD'!A482&lt;&gt;"",COUNTIF('05_层级表现LOD'!$A$2:$A$501,'05_层级表现LOD'!A482)&gt;1),"ID重复；",""),"")</f>
        <v/>
      </c>
      <c r="G1982" s="14">
        <f>IF(F1982&lt;&gt;"","按字段批注、数据字典和来源记录修正后复核","")</f>
        <v/>
      </c>
      <c r="H1982" s="14">
        <f>IF(F1982&lt;&gt;"","待处理","")</f>
        <v/>
      </c>
    </row>
    <row r="1983">
      <c r="A1983" s="14">
        <f>IF(F1983&lt;&gt;"","ISSUE-"&amp;TEXT(ROW()-1,"00000"),"")</f>
        <v/>
      </c>
      <c r="B1983" s="14">
        <f>IF(F1983&lt;&gt;"","错误","")</f>
        <v/>
      </c>
      <c r="C1983" s="14">
        <f>IF('05_层级表现LOD'!A483&lt;&gt;"","05_层级表现LOD","")</f>
        <v/>
      </c>
      <c r="D1983" s="14">
        <f>IF('05_层级表现LOD'!A483&lt;&gt;"",'05_层级表现LOD'!A483,"")</f>
        <v/>
      </c>
      <c r="E1983" s="14">
        <f>IF(F1983&lt;&gt;"","综合校验","")</f>
        <v/>
      </c>
      <c r="F1983" s="14">
        <f>IF('05_层级表现LOD'!A483&lt;&gt;"",IF('05_层级表现LOD'!A483="","缺少对象ID；","")&amp;IF('05_层级表现LOD'!B483="","缺少对象类别；","")&amp;IF(AND('05_层级表现LOD'!A483&lt;&gt;"",COUNTIF('02_固定地理'!$A$2:$A$501,'05_层级表现LOD'!A483)+COUNTIF('03_地点锚点'!$A$2:$A$501,'05_层级表现LOD'!A483)+COUNTIF('04_路径网络'!$A$2:$A$501,'05_层级表现LOD'!A483)+COUNTIF('06_建筑锚点'!$A$2:$A$501,'05_层级表现LOD'!A483)=0),"LOD引用对象不存在；","")&amp;IF(AND('05_层级表现LOD'!A483&lt;&gt;"",COUNTIF('05_层级表现LOD'!$A$2:$A$501,'05_层级表现LOD'!A483)&gt;1),"ID重复；",""),"")</f>
        <v/>
      </c>
      <c r="G1983" s="14">
        <f>IF(F1983&lt;&gt;"","按字段批注、数据字典和来源记录修正后复核","")</f>
        <v/>
      </c>
      <c r="H1983" s="14">
        <f>IF(F1983&lt;&gt;"","待处理","")</f>
        <v/>
      </c>
    </row>
    <row r="1984">
      <c r="A1984" s="14">
        <f>IF(F1984&lt;&gt;"","ISSUE-"&amp;TEXT(ROW()-1,"00000"),"")</f>
        <v/>
      </c>
      <c r="B1984" s="14">
        <f>IF(F1984&lt;&gt;"","错误","")</f>
        <v/>
      </c>
      <c r="C1984" s="14">
        <f>IF('05_层级表现LOD'!A484&lt;&gt;"","05_层级表现LOD","")</f>
        <v/>
      </c>
      <c r="D1984" s="14">
        <f>IF('05_层级表现LOD'!A484&lt;&gt;"",'05_层级表现LOD'!A484,"")</f>
        <v/>
      </c>
      <c r="E1984" s="14">
        <f>IF(F1984&lt;&gt;"","综合校验","")</f>
        <v/>
      </c>
      <c r="F1984" s="14">
        <f>IF('05_层级表现LOD'!A484&lt;&gt;"",IF('05_层级表现LOD'!A484="","缺少对象ID；","")&amp;IF('05_层级表现LOD'!B484="","缺少对象类别；","")&amp;IF(AND('05_层级表现LOD'!A484&lt;&gt;"",COUNTIF('02_固定地理'!$A$2:$A$501,'05_层级表现LOD'!A484)+COUNTIF('03_地点锚点'!$A$2:$A$501,'05_层级表现LOD'!A484)+COUNTIF('04_路径网络'!$A$2:$A$501,'05_层级表现LOD'!A484)+COUNTIF('06_建筑锚点'!$A$2:$A$501,'05_层级表现LOD'!A484)=0),"LOD引用对象不存在；","")&amp;IF(AND('05_层级表现LOD'!A484&lt;&gt;"",COUNTIF('05_层级表现LOD'!$A$2:$A$501,'05_层级表现LOD'!A484)&gt;1),"ID重复；",""),"")</f>
        <v/>
      </c>
      <c r="G1984" s="14">
        <f>IF(F1984&lt;&gt;"","按字段批注、数据字典和来源记录修正后复核","")</f>
        <v/>
      </c>
      <c r="H1984" s="14">
        <f>IF(F1984&lt;&gt;"","待处理","")</f>
        <v/>
      </c>
    </row>
    <row r="1985">
      <c r="A1985" s="14">
        <f>IF(F1985&lt;&gt;"","ISSUE-"&amp;TEXT(ROW()-1,"00000"),"")</f>
        <v/>
      </c>
      <c r="B1985" s="14">
        <f>IF(F1985&lt;&gt;"","错误","")</f>
        <v/>
      </c>
      <c r="C1985" s="14">
        <f>IF('05_层级表现LOD'!A485&lt;&gt;"","05_层级表现LOD","")</f>
        <v/>
      </c>
      <c r="D1985" s="14">
        <f>IF('05_层级表现LOD'!A485&lt;&gt;"",'05_层级表现LOD'!A485,"")</f>
        <v/>
      </c>
      <c r="E1985" s="14">
        <f>IF(F1985&lt;&gt;"","综合校验","")</f>
        <v/>
      </c>
      <c r="F1985" s="14">
        <f>IF('05_层级表现LOD'!A485&lt;&gt;"",IF('05_层级表现LOD'!A485="","缺少对象ID；","")&amp;IF('05_层级表现LOD'!B485="","缺少对象类别；","")&amp;IF(AND('05_层级表现LOD'!A485&lt;&gt;"",COUNTIF('02_固定地理'!$A$2:$A$501,'05_层级表现LOD'!A485)+COUNTIF('03_地点锚点'!$A$2:$A$501,'05_层级表现LOD'!A485)+COUNTIF('04_路径网络'!$A$2:$A$501,'05_层级表现LOD'!A485)+COUNTIF('06_建筑锚点'!$A$2:$A$501,'05_层级表现LOD'!A485)=0),"LOD引用对象不存在；","")&amp;IF(AND('05_层级表现LOD'!A485&lt;&gt;"",COUNTIF('05_层级表现LOD'!$A$2:$A$501,'05_层级表现LOD'!A485)&gt;1),"ID重复；",""),"")</f>
        <v/>
      </c>
      <c r="G1985" s="14">
        <f>IF(F1985&lt;&gt;"","按字段批注、数据字典和来源记录修正后复核","")</f>
        <v/>
      </c>
      <c r="H1985" s="14">
        <f>IF(F1985&lt;&gt;"","待处理","")</f>
        <v/>
      </c>
    </row>
    <row r="1986">
      <c r="A1986" s="14">
        <f>IF(F1986&lt;&gt;"","ISSUE-"&amp;TEXT(ROW()-1,"00000"),"")</f>
        <v/>
      </c>
      <c r="B1986" s="14">
        <f>IF(F1986&lt;&gt;"","错误","")</f>
        <v/>
      </c>
      <c r="C1986" s="14">
        <f>IF('05_层级表现LOD'!A486&lt;&gt;"","05_层级表现LOD","")</f>
        <v/>
      </c>
      <c r="D1986" s="14">
        <f>IF('05_层级表现LOD'!A486&lt;&gt;"",'05_层级表现LOD'!A486,"")</f>
        <v/>
      </c>
      <c r="E1986" s="14">
        <f>IF(F1986&lt;&gt;"","综合校验","")</f>
        <v/>
      </c>
      <c r="F1986" s="14">
        <f>IF('05_层级表现LOD'!A486&lt;&gt;"",IF('05_层级表现LOD'!A486="","缺少对象ID；","")&amp;IF('05_层级表现LOD'!B486="","缺少对象类别；","")&amp;IF(AND('05_层级表现LOD'!A486&lt;&gt;"",COUNTIF('02_固定地理'!$A$2:$A$501,'05_层级表现LOD'!A486)+COUNTIF('03_地点锚点'!$A$2:$A$501,'05_层级表现LOD'!A486)+COUNTIF('04_路径网络'!$A$2:$A$501,'05_层级表现LOD'!A486)+COUNTIF('06_建筑锚点'!$A$2:$A$501,'05_层级表现LOD'!A486)=0),"LOD引用对象不存在；","")&amp;IF(AND('05_层级表现LOD'!A486&lt;&gt;"",COUNTIF('05_层级表现LOD'!$A$2:$A$501,'05_层级表现LOD'!A486)&gt;1),"ID重复；",""),"")</f>
        <v/>
      </c>
      <c r="G1986" s="14">
        <f>IF(F1986&lt;&gt;"","按字段批注、数据字典和来源记录修正后复核","")</f>
        <v/>
      </c>
      <c r="H1986" s="14">
        <f>IF(F1986&lt;&gt;"","待处理","")</f>
        <v/>
      </c>
    </row>
    <row r="1987">
      <c r="A1987" s="14">
        <f>IF(F1987&lt;&gt;"","ISSUE-"&amp;TEXT(ROW()-1,"00000"),"")</f>
        <v/>
      </c>
      <c r="B1987" s="14">
        <f>IF(F1987&lt;&gt;"","错误","")</f>
        <v/>
      </c>
      <c r="C1987" s="14">
        <f>IF('05_层级表现LOD'!A487&lt;&gt;"","05_层级表现LOD","")</f>
        <v/>
      </c>
      <c r="D1987" s="14">
        <f>IF('05_层级表现LOD'!A487&lt;&gt;"",'05_层级表现LOD'!A487,"")</f>
        <v/>
      </c>
      <c r="E1987" s="14">
        <f>IF(F1987&lt;&gt;"","综合校验","")</f>
        <v/>
      </c>
      <c r="F1987" s="14">
        <f>IF('05_层级表现LOD'!A487&lt;&gt;"",IF('05_层级表现LOD'!A487="","缺少对象ID；","")&amp;IF('05_层级表现LOD'!B487="","缺少对象类别；","")&amp;IF(AND('05_层级表现LOD'!A487&lt;&gt;"",COUNTIF('02_固定地理'!$A$2:$A$501,'05_层级表现LOD'!A487)+COUNTIF('03_地点锚点'!$A$2:$A$501,'05_层级表现LOD'!A487)+COUNTIF('04_路径网络'!$A$2:$A$501,'05_层级表现LOD'!A487)+COUNTIF('06_建筑锚点'!$A$2:$A$501,'05_层级表现LOD'!A487)=0),"LOD引用对象不存在；","")&amp;IF(AND('05_层级表现LOD'!A487&lt;&gt;"",COUNTIF('05_层级表现LOD'!$A$2:$A$501,'05_层级表现LOD'!A487)&gt;1),"ID重复；",""),"")</f>
        <v/>
      </c>
      <c r="G1987" s="14">
        <f>IF(F1987&lt;&gt;"","按字段批注、数据字典和来源记录修正后复核","")</f>
        <v/>
      </c>
      <c r="H1987" s="14">
        <f>IF(F1987&lt;&gt;"","待处理","")</f>
        <v/>
      </c>
    </row>
    <row r="1988">
      <c r="A1988" s="14">
        <f>IF(F1988&lt;&gt;"","ISSUE-"&amp;TEXT(ROW()-1,"00000"),"")</f>
        <v/>
      </c>
      <c r="B1988" s="14">
        <f>IF(F1988&lt;&gt;"","错误","")</f>
        <v/>
      </c>
      <c r="C1988" s="14">
        <f>IF('05_层级表现LOD'!A488&lt;&gt;"","05_层级表现LOD","")</f>
        <v/>
      </c>
      <c r="D1988" s="14">
        <f>IF('05_层级表现LOD'!A488&lt;&gt;"",'05_层级表现LOD'!A488,"")</f>
        <v/>
      </c>
      <c r="E1988" s="14">
        <f>IF(F1988&lt;&gt;"","综合校验","")</f>
        <v/>
      </c>
      <c r="F1988" s="14">
        <f>IF('05_层级表现LOD'!A488&lt;&gt;"",IF('05_层级表现LOD'!A488="","缺少对象ID；","")&amp;IF('05_层级表现LOD'!B488="","缺少对象类别；","")&amp;IF(AND('05_层级表现LOD'!A488&lt;&gt;"",COUNTIF('02_固定地理'!$A$2:$A$501,'05_层级表现LOD'!A488)+COUNTIF('03_地点锚点'!$A$2:$A$501,'05_层级表现LOD'!A488)+COUNTIF('04_路径网络'!$A$2:$A$501,'05_层级表现LOD'!A488)+COUNTIF('06_建筑锚点'!$A$2:$A$501,'05_层级表现LOD'!A488)=0),"LOD引用对象不存在；","")&amp;IF(AND('05_层级表现LOD'!A488&lt;&gt;"",COUNTIF('05_层级表现LOD'!$A$2:$A$501,'05_层级表现LOD'!A488)&gt;1),"ID重复；",""),"")</f>
        <v/>
      </c>
      <c r="G1988" s="14">
        <f>IF(F1988&lt;&gt;"","按字段批注、数据字典和来源记录修正后复核","")</f>
        <v/>
      </c>
      <c r="H1988" s="14">
        <f>IF(F1988&lt;&gt;"","待处理","")</f>
        <v/>
      </c>
    </row>
    <row r="1989">
      <c r="A1989" s="14">
        <f>IF(F1989&lt;&gt;"","ISSUE-"&amp;TEXT(ROW()-1,"00000"),"")</f>
        <v/>
      </c>
      <c r="B1989" s="14">
        <f>IF(F1989&lt;&gt;"","错误","")</f>
        <v/>
      </c>
      <c r="C1989" s="14">
        <f>IF('05_层级表现LOD'!A489&lt;&gt;"","05_层级表现LOD","")</f>
        <v/>
      </c>
      <c r="D1989" s="14">
        <f>IF('05_层级表现LOD'!A489&lt;&gt;"",'05_层级表现LOD'!A489,"")</f>
        <v/>
      </c>
      <c r="E1989" s="14">
        <f>IF(F1989&lt;&gt;"","综合校验","")</f>
        <v/>
      </c>
      <c r="F1989" s="14">
        <f>IF('05_层级表现LOD'!A489&lt;&gt;"",IF('05_层级表现LOD'!A489="","缺少对象ID；","")&amp;IF('05_层级表现LOD'!B489="","缺少对象类别；","")&amp;IF(AND('05_层级表现LOD'!A489&lt;&gt;"",COUNTIF('02_固定地理'!$A$2:$A$501,'05_层级表现LOD'!A489)+COUNTIF('03_地点锚点'!$A$2:$A$501,'05_层级表现LOD'!A489)+COUNTIF('04_路径网络'!$A$2:$A$501,'05_层级表现LOD'!A489)+COUNTIF('06_建筑锚点'!$A$2:$A$501,'05_层级表现LOD'!A489)=0),"LOD引用对象不存在；","")&amp;IF(AND('05_层级表现LOD'!A489&lt;&gt;"",COUNTIF('05_层级表现LOD'!$A$2:$A$501,'05_层级表现LOD'!A489)&gt;1),"ID重复；",""),"")</f>
        <v/>
      </c>
      <c r="G1989" s="14">
        <f>IF(F1989&lt;&gt;"","按字段批注、数据字典和来源记录修正后复核","")</f>
        <v/>
      </c>
      <c r="H1989" s="14">
        <f>IF(F1989&lt;&gt;"","待处理","")</f>
        <v/>
      </c>
    </row>
    <row r="1990">
      <c r="A1990" s="14">
        <f>IF(F1990&lt;&gt;"","ISSUE-"&amp;TEXT(ROW()-1,"00000"),"")</f>
        <v/>
      </c>
      <c r="B1990" s="14">
        <f>IF(F1990&lt;&gt;"","错误","")</f>
        <v/>
      </c>
      <c r="C1990" s="14">
        <f>IF('05_层级表现LOD'!A490&lt;&gt;"","05_层级表现LOD","")</f>
        <v/>
      </c>
      <c r="D1990" s="14">
        <f>IF('05_层级表现LOD'!A490&lt;&gt;"",'05_层级表现LOD'!A490,"")</f>
        <v/>
      </c>
      <c r="E1990" s="14">
        <f>IF(F1990&lt;&gt;"","综合校验","")</f>
        <v/>
      </c>
      <c r="F1990" s="14">
        <f>IF('05_层级表现LOD'!A490&lt;&gt;"",IF('05_层级表现LOD'!A490="","缺少对象ID；","")&amp;IF('05_层级表现LOD'!B490="","缺少对象类别；","")&amp;IF(AND('05_层级表现LOD'!A490&lt;&gt;"",COUNTIF('02_固定地理'!$A$2:$A$501,'05_层级表现LOD'!A490)+COUNTIF('03_地点锚点'!$A$2:$A$501,'05_层级表现LOD'!A490)+COUNTIF('04_路径网络'!$A$2:$A$501,'05_层级表现LOD'!A490)+COUNTIF('06_建筑锚点'!$A$2:$A$501,'05_层级表现LOD'!A490)=0),"LOD引用对象不存在；","")&amp;IF(AND('05_层级表现LOD'!A490&lt;&gt;"",COUNTIF('05_层级表现LOD'!$A$2:$A$501,'05_层级表现LOD'!A490)&gt;1),"ID重复；",""),"")</f>
        <v/>
      </c>
      <c r="G1990" s="14">
        <f>IF(F1990&lt;&gt;"","按字段批注、数据字典和来源记录修正后复核","")</f>
        <v/>
      </c>
      <c r="H1990" s="14">
        <f>IF(F1990&lt;&gt;"","待处理","")</f>
        <v/>
      </c>
    </row>
    <row r="1991">
      <c r="A1991" s="14">
        <f>IF(F1991&lt;&gt;"","ISSUE-"&amp;TEXT(ROW()-1,"00000"),"")</f>
        <v/>
      </c>
      <c r="B1991" s="14">
        <f>IF(F1991&lt;&gt;"","错误","")</f>
        <v/>
      </c>
      <c r="C1991" s="14">
        <f>IF('05_层级表现LOD'!A491&lt;&gt;"","05_层级表现LOD","")</f>
        <v/>
      </c>
      <c r="D1991" s="14">
        <f>IF('05_层级表现LOD'!A491&lt;&gt;"",'05_层级表现LOD'!A491,"")</f>
        <v/>
      </c>
      <c r="E1991" s="14">
        <f>IF(F1991&lt;&gt;"","综合校验","")</f>
        <v/>
      </c>
      <c r="F1991" s="14">
        <f>IF('05_层级表现LOD'!A491&lt;&gt;"",IF('05_层级表现LOD'!A491="","缺少对象ID；","")&amp;IF('05_层级表现LOD'!B491="","缺少对象类别；","")&amp;IF(AND('05_层级表现LOD'!A491&lt;&gt;"",COUNTIF('02_固定地理'!$A$2:$A$501,'05_层级表现LOD'!A491)+COUNTIF('03_地点锚点'!$A$2:$A$501,'05_层级表现LOD'!A491)+COUNTIF('04_路径网络'!$A$2:$A$501,'05_层级表现LOD'!A491)+COUNTIF('06_建筑锚点'!$A$2:$A$501,'05_层级表现LOD'!A491)=0),"LOD引用对象不存在；","")&amp;IF(AND('05_层级表现LOD'!A491&lt;&gt;"",COUNTIF('05_层级表现LOD'!$A$2:$A$501,'05_层级表现LOD'!A491)&gt;1),"ID重复；",""),"")</f>
        <v/>
      </c>
      <c r="G1991" s="14">
        <f>IF(F1991&lt;&gt;"","按字段批注、数据字典和来源记录修正后复核","")</f>
        <v/>
      </c>
      <c r="H1991" s="14">
        <f>IF(F1991&lt;&gt;"","待处理","")</f>
        <v/>
      </c>
    </row>
    <row r="1992">
      <c r="A1992" s="14">
        <f>IF(F1992&lt;&gt;"","ISSUE-"&amp;TEXT(ROW()-1,"00000"),"")</f>
        <v/>
      </c>
      <c r="B1992" s="14">
        <f>IF(F1992&lt;&gt;"","错误","")</f>
        <v/>
      </c>
      <c r="C1992" s="14">
        <f>IF('05_层级表现LOD'!A492&lt;&gt;"","05_层级表现LOD","")</f>
        <v/>
      </c>
      <c r="D1992" s="14">
        <f>IF('05_层级表现LOD'!A492&lt;&gt;"",'05_层级表现LOD'!A492,"")</f>
        <v/>
      </c>
      <c r="E1992" s="14">
        <f>IF(F1992&lt;&gt;"","综合校验","")</f>
        <v/>
      </c>
      <c r="F1992" s="14">
        <f>IF('05_层级表现LOD'!A492&lt;&gt;"",IF('05_层级表现LOD'!A492="","缺少对象ID；","")&amp;IF('05_层级表现LOD'!B492="","缺少对象类别；","")&amp;IF(AND('05_层级表现LOD'!A492&lt;&gt;"",COUNTIF('02_固定地理'!$A$2:$A$501,'05_层级表现LOD'!A492)+COUNTIF('03_地点锚点'!$A$2:$A$501,'05_层级表现LOD'!A492)+COUNTIF('04_路径网络'!$A$2:$A$501,'05_层级表现LOD'!A492)+COUNTIF('06_建筑锚点'!$A$2:$A$501,'05_层级表现LOD'!A492)=0),"LOD引用对象不存在；","")&amp;IF(AND('05_层级表现LOD'!A492&lt;&gt;"",COUNTIF('05_层级表现LOD'!$A$2:$A$501,'05_层级表现LOD'!A492)&gt;1),"ID重复；",""),"")</f>
        <v/>
      </c>
      <c r="G1992" s="14">
        <f>IF(F1992&lt;&gt;"","按字段批注、数据字典和来源记录修正后复核","")</f>
        <v/>
      </c>
      <c r="H1992" s="14">
        <f>IF(F1992&lt;&gt;"","待处理","")</f>
        <v/>
      </c>
    </row>
    <row r="1993">
      <c r="A1993" s="14">
        <f>IF(F1993&lt;&gt;"","ISSUE-"&amp;TEXT(ROW()-1,"00000"),"")</f>
        <v/>
      </c>
      <c r="B1993" s="14">
        <f>IF(F1993&lt;&gt;"","错误","")</f>
        <v/>
      </c>
      <c r="C1993" s="14">
        <f>IF('05_层级表现LOD'!A493&lt;&gt;"","05_层级表现LOD","")</f>
        <v/>
      </c>
      <c r="D1993" s="14">
        <f>IF('05_层级表现LOD'!A493&lt;&gt;"",'05_层级表现LOD'!A493,"")</f>
        <v/>
      </c>
      <c r="E1993" s="14">
        <f>IF(F1993&lt;&gt;"","综合校验","")</f>
        <v/>
      </c>
      <c r="F1993" s="14">
        <f>IF('05_层级表现LOD'!A493&lt;&gt;"",IF('05_层级表现LOD'!A493="","缺少对象ID；","")&amp;IF('05_层级表现LOD'!B493="","缺少对象类别；","")&amp;IF(AND('05_层级表现LOD'!A493&lt;&gt;"",COUNTIF('02_固定地理'!$A$2:$A$501,'05_层级表现LOD'!A493)+COUNTIF('03_地点锚点'!$A$2:$A$501,'05_层级表现LOD'!A493)+COUNTIF('04_路径网络'!$A$2:$A$501,'05_层级表现LOD'!A493)+COUNTIF('06_建筑锚点'!$A$2:$A$501,'05_层级表现LOD'!A493)=0),"LOD引用对象不存在；","")&amp;IF(AND('05_层级表现LOD'!A493&lt;&gt;"",COUNTIF('05_层级表现LOD'!$A$2:$A$501,'05_层级表现LOD'!A493)&gt;1),"ID重复；",""),"")</f>
        <v/>
      </c>
      <c r="G1993" s="14">
        <f>IF(F1993&lt;&gt;"","按字段批注、数据字典和来源记录修正后复核","")</f>
        <v/>
      </c>
      <c r="H1993" s="14">
        <f>IF(F1993&lt;&gt;"","待处理","")</f>
        <v/>
      </c>
    </row>
    <row r="1994">
      <c r="A1994" s="14">
        <f>IF(F1994&lt;&gt;"","ISSUE-"&amp;TEXT(ROW()-1,"00000"),"")</f>
        <v/>
      </c>
      <c r="B1994" s="14">
        <f>IF(F1994&lt;&gt;"","错误","")</f>
        <v/>
      </c>
      <c r="C1994" s="14">
        <f>IF('05_层级表现LOD'!A494&lt;&gt;"","05_层级表现LOD","")</f>
        <v/>
      </c>
      <c r="D1994" s="14">
        <f>IF('05_层级表现LOD'!A494&lt;&gt;"",'05_层级表现LOD'!A494,"")</f>
        <v/>
      </c>
      <c r="E1994" s="14">
        <f>IF(F1994&lt;&gt;"","综合校验","")</f>
        <v/>
      </c>
      <c r="F1994" s="14">
        <f>IF('05_层级表现LOD'!A494&lt;&gt;"",IF('05_层级表现LOD'!A494="","缺少对象ID；","")&amp;IF('05_层级表现LOD'!B494="","缺少对象类别；","")&amp;IF(AND('05_层级表现LOD'!A494&lt;&gt;"",COUNTIF('02_固定地理'!$A$2:$A$501,'05_层级表现LOD'!A494)+COUNTIF('03_地点锚点'!$A$2:$A$501,'05_层级表现LOD'!A494)+COUNTIF('04_路径网络'!$A$2:$A$501,'05_层级表现LOD'!A494)+COUNTIF('06_建筑锚点'!$A$2:$A$501,'05_层级表现LOD'!A494)=0),"LOD引用对象不存在；","")&amp;IF(AND('05_层级表现LOD'!A494&lt;&gt;"",COUNTIF('05_层级表现LOD'!$A$2:$A$501,'05_层级表现LOD'!A494)&gt;1),"ID重复；",""),"")</f>
        <v/>
      </c>
      <c r="G1994" s="14">
        <f>IF(F1994&lt;&gt;"","按字段批注、数据字典和来源记录修正后复核","")</f>
        <v/>
      </c>
      <c r="H1994" s="14">
        <f>IF(F1994&lt;&gt;"","待处理","")</f>
        <v/>
      </c>
    </row>
    <row r="1995">
      <c r="A1995" s="14">
        <f>IF(F1995&lt;&gt;"","ISSUE-"&amp;TEXT(ROW()-1,"00000"),"")</f>
        <v/>
      </c>
      <c r="B1995" s="14">
        <f>IF(F1995&lt;&gt;"","错误","")</f>
        <v/>
      </c>
      <c r="C1995" s="14">
        <f>IF('05_层级表现LOD'!A495&lt;&gt;"","05_层级表现LOD","")</f>
        <v/>
      </c>
      <c r="D1995" s="14">
        <f>IF('05_层级表现LOD'!A495&lt;&gt;"",'05_层级表现LOD'!A495,"")</f>
        <v/>
      </c>
      <c r="E1995" s="14">
        <f>IF(F1995&lt;&gt;"","综合校验","")</f>
        <v/>
      </c>
      <c r="F1995" s="14">
        <f>IF('05_层级表现LOD'!A495&lt;&gt;"",IF('05_层级表现LOD'!A495="","缺少对象ID；","")&amp;IF('05_层级表现LOD'!B495="","缺少对象类别；","")&amp;IF(AND('05_层级表现LOD'!A495&lt;&gt;"",COUNTIF('02_固定地理'!$A$2:$A$501,'05_层级表现LOD'!A495)+COUNTIF('03_地点锚点'!$A$2:$A$501,'05_层级表现LOD'!A495)+COUNTIF('04_路径网络'!$A$2:$A$501,'05_层级表现LOD'!A495)+COUNTIF('06_建筑锚点'!$A$2:$A$501,'05_层级表现LOD'!A495)=0),"LOD引用对象不存在；","")&amp;IF(AND('05_层级表现LOD'!A495&lt;&gt;"",COUNTIF('05_层级表现LOD'!$A$2:$A$501,'05_层级表现LOD'!A495)&gt;1),"ID重复；",""),"")</f>
        <v/>
      </c>
      <c r="G1995" s="14">
        <f>IF(F1995&lt;&gt;"","按字段批注、数据字典和来源记录修正后复核","")</f>
        <v/>
      </c>
      <c r="H1995" s="14">
        <f>IF(F1995&lt;&gt;"","待处理","")</f>
        <v/>
      </c>
    </row>
    <row r="1996">
      <c r="A1996" s="14">
        <f>IF(F1996&lt;&gt;"","ISSUE-"&amp;TEXT(ROW()-1,"00000"),"")</f>
        <v/>
      </c>
      <c r="B1996" s="14">
        <f>IF(F1996&lt;&gt;"","错误","")</f>
        <v/>
      </c>
      <c r="C1996" s="14">
        <f>IF('05_层级表现LOD'!A496&lt;&gt;"","05_层级表现LOD","")</f>
        <v/>
      </c>
      <c r="D1996" s="14">
        <f>IF('05_层级表现LOD'!A496&lt;&gt;"",'05_层级表现LOD'!A496,"")</f>
        <v/>
      </c>
      <c r="E1996" s="14">
        <f>IF(F1996&lt;&gt;"","综合校验","")</f>
        <v/>
      </c>
      <c r="F1996" s="14">
        <f>IF('05_层级表现LOD'!A496&lt;&gt;"",IF('05_层级表现LOD'!A496="","缺少对象ID；","")&amp;IF('05_层级表现LOD'!B496="","缺少对象类别；","")&amp;IF(AND('05_层级表现LOD'!A496&lt;&gt;"",COUNTIF('02_固定地理'!$A$2:$A$501,'05_层级表现LOD'!A496)+COUNTIF('03_地点锚点'!$A$2:$A$501,'05_层级表现LOD'!A496)+COUNTIF('04_路径网络'!$A$2:$A$501,'05_层级表现LOD'!A496)+COUNTIF('06_建筑锚点'!$A$2:$A$501,'05_层级表现LOD'!A496)=0),"LOD引用对象不存在；","")&amp;IF(AND('05_层级表现LOD'!A496&lt;&gt;"",COUNTIF('05_层级表现LOD'!$A$2:$A$501,'05_层级表现LOD'!A496)&gt;1),"ID重复；",""),"")</f>
        <v/>
      </c>
      <c r="G1996" s="14">
        <f>IF(F1996&lt;&gt;"","按字段批注、数据字典和来源记录修正后复核","")</f>
        <v/>
      </c>
      <c r="H1996" s="14">
        <f>IF(F1996&lt;&gt;"","待处理","")</f>
        <v/>
      </c>
    </row>
    <row r="1997">
      <c r="A1997" s="14">
        <f>IF(F1997&lt;&gt;"","ISSUE-"&amp;TEXT(ROW()-1,"00000"),"")</f>
        <v/>
      </c>
      <c r="B1997" s="14">
        <f>IF(F1997&lt;&gt;"","错误","")</f>
        <v/>
      </c>
      <c r="C1997" s="14">
        <f>IF('05_层级表现LOD'!A497&lt;&gt;"","05_层级表现LOD","")</f>
        <v/>
      </c>
      <c r="D1997" s="14">
        <f>IF('05_层级表现LOD'!A497&lt;&gt;"",'05_层级表现LOD'!A497,"")</f>
        <v/>
      </c>
      <c r="E1997" s="14">
        <f>IF(F1997&lt;&gt;"","综合校验","")</f>
        <v/>
      </c>
      <c r="F1997" s="14">
        <f>IF('05_层级表现LOD'!A497&lt;&gt;"",IF('05_层级表现LOD'!A497="","缺少对象ID；","")&amp;IF('05_层级表现LOD'!B497="","缺少对象类别；","")&amp;IF(AND('05_层级表现LOD'!A497&lt;&gt;"",COUNTIF('02_固定地理'!$A$2:$A$501,'05_层级表现LOD'!A497)+COUNTIF('03_地点锚点'!$A$2:$A$501,'05_层级表现LOD'!A497)+COUNTIF('04_路径网络'!$A$2:$A$501,'05_层级表现LOD'!A497)+COUNTIF('06_建筑锚点'!$A$2:$A$501,'05_层级表现LOD'!A497)=0),"LOD引用对象不存在；","")&amp;IF(AND('05_层级表现LOD'!A497&lt;&gt;"",COUNTIF('05_层级表现LOD'!$A$2:$A$501,'05_层级表现LOD'!A497)&gt;1),"ID重复；",""),"")</f>
        <v/>
      </c>
      <c r="G1997" s="14">
        <f>IF(F1997&lt;&gt;"","按字段批注、数据字典和来源记录修正后复核","")</f>
        <v/>
      </c>
      <c r="H1997" s="14">
        <f>IF(F1997&lt;&gt;"","待处理","")</f>
        <v/>
      </c>
    </row>
    <row r="1998">
      <c r="A1998" s="14">
        <f>IF(F1998&lt;&gt;"","ISSUE-"&amp;TEXT(ROW()-1,"00000"),"")</f>
        <v/>
      </c>
      <c r="B1998" s="14">
        <f>IF(F1998&lt;&gt;"","错误","")</f>
        <v/>
      </c>
      <c r="C1998" s="14">
        <f>IF('05_层级表现LOD'!A498&lt;&gt;"","05_层级表现LOD","")</f>
        <v/>
      </c>
      <c r="D1998" s="14">
        <f>IF('05_层级表现LOD'!A498&lt;&gt;"",'05_层级表现LOD'!A498,"")</f>
        <v/>
      </c>
      <c r="E1998" s="14">
        <f>IF(F1998&lt;&gt;"","综合校验","")</f>
        <v/>
      </c>
      <c r="F1998" s="14">
        <f>IF('05_层级表现LOD'!A498&lt;&gt;"",IF('05_层级表现LOD'!A498="","缺少对象ID；","")&amp;IF('05_层级表现LOD'!B498="","缺少对象类别；","")&amp;IF(AND('05_层级表现LOD'!A498&lt;&gt;"",COUNTIF('02_固定地理'!$A$2:$A$501,'05_层级表现LOD'!A498)+COUNTIF('03_地点锚点'!$A$2:$A$501,'05_层级表现LOD'!A498)+COUNTIF('04_路径网络'!$A$2:$A$501,'05_层级表现LOD'!A498)+COUNTIF('06_建筑锚点'!$A$2:$A$501,'05_层级表现LOD'!A498)=0),"LOD引用对象不存在；","")&amp;IF(AND('05_层级表现LOD'!A498&lt;&gt;"",COUNTIF('05_层级表现LOD'!$A$2:$A$501,'05_层级表现LOD'!A498)&gt;1),"ID重复；",""),"")</f>
        <v/>
      </c>
      <c r="G1998" s="14">
        <f>IF(F1998&lt;&gt;"","按字段批注、数据字典和来源记录修正后复核","")</f>
        <v/>
      </c>
      <c r="H1998" s="14">
        <f>IF(F1998&lt;&gt;"","待处理","")</f>
        <v/>
      </c>
    </row>
    <row r="1999">
      <c r="A1999" s="14">
        <f>IF(F1999&lt;&gt;"","ISSUE-"&amp;TEXT(ROW()-1,"00000"),"")</f>
        <v/>
      </c>
      <c r="B1999" s="14">
        <f>IF(F1999&lt;&gt;"","错误","")</f>
        <v/>
      </c>
      <c r="C1999" s="14">
        <f>IF('05_层级表现LOD'!A499&lt;&gt;"","05_层级表现LOD","")</f>
        <v/>
      </c>
      <c r="D1999" s="14">
        <f>IF('05_层级表现LOD'!A499&lt;&gt;"",'05_层级表现LOD'!A499,"")</f>
        <v/>
      </c>
      <c r="E1999" s="14">
        <f>IF(F1999&lt;&gt;"","综合校验","")</f>
        <v/>
      </c>
      <c r="F1999" s="14">
        <f>IF('05_层级表现LOD'!A499&lt;&gt;"",IF('05_层级表现LOD'!A499="","缺少对象ID；","")&amp;IF('05_层级表现LOD'!B499="","缺少对象类别；","")&amp;IF(AND('05_层级表现LOD'!A499&lt;&gt;"",COUNTIF('02_固定地理'!$A$2:$A$501,'05_层级表现LOD'!A499)+COUNTIF('03_地点锚点'!$A$2:$A$501,'05_层级表现LOD'!A499)+COUNTIF('04_路径网络'!$A$2:$A$501,'05_层级表现LOD'!A499)+COUNTIF('06_建筑锚点'!$A$2:$A$501,'05_层级表现LOD'!A499)=0),"LOD引用对象不存在；","")&amp;IF(AND('05_层级表现LOD'!A499&lt;&gt;"",COUNTIF('05_层级表现LOD'!$A$2:$A$501,'05_层级表现LOD'!A499)&gt;1),"ID重复；",""),"")</f>
        <v/>
      </c>
      <c r="G1999" s="14">
        <f>IF(F1999&lt;&gt;"","按字段批注、数据字典和来源记录修正后复核","")</f>
        <v/>
      </c>
      <c r="H1999" s="14">
        <f>IF(F1999&lt;&gt;"","待处理","")</f>
        <v/>
      </c>
    </row>
    <row r="2000">
      <c r="A2000" s="14">
        <f>IF(F2000&lt;&gt;"","ISSUE-"&amp;TEXT(ROW()-1,"00000"),"")</f>
        <v/>
      </c>
      <c r="B2000" s="14">
        <f>IF(F2000&lt;&gt;"","错误","")</f>
        <v/>
      </c>
      <c r="C2000" s="14">
        <f>IF('05_层级表现LOD'!A500&lt;&gt;"","05_层级表现LOD","")</f>
        <v/>
      </c>
      <c r="D2000" s="14">
        <f>IF('05_层级表现LOD'!A500&lt;&gt;"",'05_层级表现LOD'!A500,"")</f>
        <v/>
      </c>
      <c r="E2000" s="14">
        <f>IF(F2000&lt;&gt;"","综合校验","")</f>
        <v/>
      </c>
      <c r="F2000" s="14">
        <f>IF('05_层级表现LOD'!A500&lt;&gt;"",IF('05_层级表现LOD'!A500="","缺少对象ID；","")&amp;IF('05_层级表现LOD'!B500="","缺少对象类别；","")&amp;IF(AND('05_层级表现LOD'!A500&lt;&gt;"",COUNTIF('02_固定地理'!$A$2:$A$501,'05_层级表现LOD'!A500)+COUNTIF('03_地点锚点'!$A$2:$A$501,'05_层级表现LOD'!A500)+COUNTIF('04_路径网络'!$A$2:$A$501,'05_层级表现LOD'!A500)+COUNTIF('06_建筑锚点'!$A$2:$A$501,'05_层级表现LOD'!A500)=0),"LOD引用对象不存在；","")&amp;IF(AND('05_层级表现LOD'!A500&lt;&gt;"",COUNTIF('05_层级表现LOD'!$A$2:$A$501,'05_层级表现LOD'!A500)&gt;1),"ID重复；",""),"")</f>
        <v/>
      </c>
      <c r="G2000" s="14">
        <f>IF(F2000&lt;&gt;"","按字段批注、数据字典和来源记录修正后复核","")</f>
        <v/>
      </c>
      <c r="H2000" s="14">
        <f>IF(F2000&lt;&gt;"","待处理","")</f>
        <v/>
      </c>
    </row>
    <row r="2001">
      <c r="A2001" s="14">
        <f>IF(F2001&lt;&gt;"","ISSUE-"&amp;TEXT(ROW()-1,"00000"),"")</f>
        <v/>
      </c>
      <c r="B2001" s="14">
        <f>IF(F2001&lt;&gt;"","错误","")</f>
        <v/>
      </c>
      <c r="C2001" s="14">
        <f>IF('05_层级表现LOD'!A501&lt;&gt;"","05_层级表现LOD","")</f>
        <v/>
      </c>
      <c r="D2001" s="14">
        <f>IF('05_层级表现LOD'!A501&lt;&gt;"",'05_层级表现LOD'!A501,"")</f>
        <v/>
      </c>
      <c r="E2001" s="14">
        <f>IF(F2001&lt;&gt;"","综合校验","")</f>
        <v/>
      </c>
      <c r="F2001" s="14">
        <f>IF('05_层级表现LOD'!A501&lt;&gt;"",IF('05_层级表现LOD'!A501="","缺少对象ID；","")&amp;IF('05_层级表现LOD'!B501="","缺少对象类别；","")&amp;IF(AND('05_层级表现LOD'!A501&lt;&gt;"",COUNTIF('02_固定地理'!$A$2:$A$501,'05_层级表现LOD'!A501)+COUNTIF('03_地点锚点'!$A$2:$A$501,'05_层级表现LOD'!A501)+COUNTIF('04_路径网络'!$A$2:$A$501,'05_层级表现LOD'!A501)+COUNTIF('06_建筑锚点'!$A$2:$A$501,'05_层级表现LOD'!A501)=0),"LOD引用对象不存在；","")&amp;IF(AND('05_层级表现LOD'!A501&lt;&gt;"",COUNTIF('05_层级表现LOD'!$A$2:$A$501,'05_层级表现LOD'!A501)&gt;1),"ID重复；",""),"")</f>
        <v/>
      </c>
      <c r="G2001" s="14">
        <f>IF(F2001&lt;&gt;"","按字段批注、数据字典和来源记录修正后复核","")</f>
        <v/>
      </c>
      <c r="H2001" s="14">
        <f>IF(F2001&lt;&gt;"","待处理","")</f>
        <v/>
      </c>
    </row>
    <row r="2002">
      <c r="A2002" s="14">
        <f>IF(F2002&lt;&gt;"","ISSUE-"&amp;TEXT(ROW()-1,"00000"),"")</f>
        <v/>
      </c>
      <c r="B2002" s="14">
        <f>IF(F2002&lt;&gt;"","错误","")</f>
        <v/>
      </c>
      <c r="C2002" s="14">
        <f>IF('06_建筑锚点'!A2&lt;&gt;"","06_建筑锚点","")</f>
        <v/>
      </c>
      <c r="D2002" s="14">
        <f>IF('06_建筑锚点'!A2&lt;&gt;"",'06_建筑锚点'!A2,"")</f>
        <v/>
      </c>
      <c r="E2002" s="14">
        <f>IF(F2002&lt;&gt;"","综合校验","")</f>
        <v/>
      </c>
      <c r="F2002" s="14">
        <f>IF('06_建筑锚点'!A2&lt;&gt;"",IF('06_建筑锚点'!A2="","缺少建筑ID；","")&amp;IF('06_建筑锚点'!B2="","缺少建筑名称；","")&amp;IF('06_建筑锚点'!C2="","缺少建筑类型；","")&amp;IF('06_建筑锚点'!D2="","缺少所属地点ID；","")&amp;IF('06_建筑锚点'!F2="","缺少世界X；","")&amp;IF('06_建筑锚点'!G2="","缺少世界Y；","")&amp;IF(AND('06_建筑锚点'!F2&lt;&gt;"",OR('06_建筑锚点'!F2&lt;0,'06_建筑锚点'!F2&gt;WorldWidth)),"世界X越界；","")&amp;IF(AND('06_建筑锚点'!G2&lt;&gt;"",OR('06_建筑锚点'!G2&lt;0,'06_建筑锚点'!G2&gt;WorldHeight)),"世界Y越界；","")&amp;IF(AND('06_建筑锚点'!D2&lt;&gt;"",COUNTIF('03_地点锚点'!$A$2:$A$501,'06_建筑锚点'!D2)=0),"建筑所属地点不存在；","")&amp;IF(AND('06_建筑锚点'!T2&lt;&gt;"",COUNTIF('07_动态状态'!$A$2:$A$501,'06_建筑锚点'!T2)=0),"运营状态编码不存在；","")&amp;IF(AND('06_建筑锚点'!A2&lt;&gt;"",COUNTIF('06_建筑锚点'!$A$2:$A$501,'06_建筑锚点'!A2)&gt;1),"ID重复；",""),"")</f>
        <v/>
      </c>
      <c r="G2002" s="14">
        <f>IF(F2002&lt;&gt;"","按字段批注、数据字典和来源记录修正后复核","")</f>
        <v/>
      </c>
      <c r="H2002" s="14">
        <f>IF(F2002&lt;&gt;"","待处理","")</f>
        <v/>
      </c>
    </row>
    <row r="2003">
      <c r="A2003" s="14">
        <f>IF(F2003&lt;&gt;"","ISSUE-"&amp;TEXT(ROW()-1,"00000"),"")</f>
        <v/>
      </c>
      <c r="B2003" s="14">
        <f>IF(F2003&lt;&gt;"","错误","")</f>
        <v/>
      </c>
      <c r="C2003" s="14">
        <f>IF('06_建筑锚点'!A3&lt;&gt;"","06_建筑锚点","")</f>
        <v/>
      </c>
      <c r="D2003" s="14">
        <f>IF('06_建筑锚点'!A3&lt;&gt;"",'06_建筑锚点'!A3,"")</f>
        <v/>
      </c>
      <c r="E2003" s="14">
        <f>IF(F2003&lt;&gt;"","综合校验","")</f>
        <v/>
      </c>
      <c r="F2003" s="14">
        <f>IF('06_建筑锚点'!A3&lt;&gt;"",IF('06_建筑锚点'!A3="","缺少建筑ID；","")&amp;IF('06_建筑锚点'!B3="","缺少建筑名称；","")&amp;IF('06_建筑锚点'!C3="","缺少建筑类型；","")&amp;IF('06_建筑锚点'!D3="","缺少所属地点ID；","")&amp;IF('06_建筑锚点'!F3="","缺少世界X；","")&amp;IF('06_建筑锚点'!G3="","缺少世界Y；","")&amp;IF(AND('06_建筑锚点'!F3&lt;&gt;"",OR('06_建筑锚点'!F3&lt;0,'06_建筑锚点'!F3&gt;WorldWidth)),"世界X越界；","")&amp;IF(AND('06_建筑锚点'!G3&lt;&gt;"",OR('06_建筑锚点'!G3&lt;0,'06_建筑锚点'!G3&gt;WorldHeight)),"世界Y越界；","")&amp;IF(AND('06_建筑锚点'!D3&lt;&gt;"",COUNTIF('03_地点锚点'!$A$2:$A$501,'06_建筑锚点'!D3)=0),"建筑所属地点不存在；","")&amp;IF(AND('06_建筑锚点'!T3&lt;&gt;"",COUNTIF('07_动态状态'!$A$2:$A$501,'06_建筑锚点'!T3)=0),"运营状态编码不存在；","")&amp;IF(AND('06_建筑锚点'!A3&lt;&gt;"",COUNTIF('06_建筑锚点'!$A$2:$A$501,'06_建筑锚点'!A3)&gt;1),"ID重复；",""),"")</f>
        <v/>
      </c>
      <c r="G2003" s="14">
        <f>IF(F2003&lt;&gt;"","按字段批注、数据字典和来源记录修正后复核","")</f>
        <v/>
      </c>
      <c r="H2003" s="14">
        <f>IF(F2003&lt;&gt;"","待处理","")</f>
        <v/>
      </c>
    </row>
    <row r="2004">
      <c r="A2004" s="14">
        <f>IF(F2004&lt;&gt;"","ISSUE-"&amp;TEXT(ROW()-1,"00000"),"")</f>
        <v/>
      </c>
      <c r="B2004" s="14">
        <f>IF(F2004&lt;&gt;"","错误","")</f>
        <v/>
      </c>
      <c r="C2004" s="14">
        <f>IF('06_建筑锚点'!A4&lt;&gt;"","06_建筑锚点","")</f>
        <v/>
      </c>
      <c r="D2004" s="14">
        <f>IF('06_建筑锚点'!A4&lt;&gt;"",'06_建筑锚点'!A4,"")</f>
        <v/>
      </c>
      <c r="E2004" s="14">
        <f>IF(F2004&lt;&gt;"","综合校验","")</f>
        <v/>
      </c>
      <c r="F2004" s="14">
        <f>IF('06_建筑锚点'!A4&lt;&gt;"",IF('06_建筑锚点'!A4="","缺少建筑ID；","")&amp;IF('06_建筑锚点'!B4="","缺少建筑名称；","")&amp;IF('06_建筑锚点'!C4="","缺少建筑类型；","")&amp;IF('06_建筑锚点'!D4="","缺少所属地点ID；","")&amp;IF('06_建筑锚点'!F4="","缺少世界X；","")&amp;IF('06_建筑锚点'!G4="","缺少世界Y；","")&amp;IF(AND('06_建筑锚点'!F4&lt;&gt;"",OR('06_建筑锚点'!F4&lt;0,'06_建筑锚点'!F4&gt;WorldWidth)),"世界X越界；","")&amp;IF(AND('06_建筑锚点'!G4&lt;&gt;"",OR('06_建筑锚点'!G4&lt;0,'06_建筑锚点'!G4&gt;WorldHeight)),"世界Y越界；","")&amp;IF(AND('06_建筑锚点'!D4&lt;&gt;"",COUNTIF('03_地点锚点'!$A$2:$A$501,'06_建筑锚点'!D4)=0),"建筑所属地点不存在；","")&amp;IF(AND('06_建筑锚点'!T4&lt;&gt;"",COUNTIF('07_动态状态'!$A$2:$A$501,'06_建筑锚点'!T4)=0),"运营状态编码不存在；","")&amp;IF(AND('06_建筑锚点'!A4&lt;&gt;"",COUNTIF('06_建筑锚点'!$A$2:$A$501,'06_建筑锚点'!A4)&gt;1),"ID重复；",""),"")</f>
        <v/>
      </c>
      <c r="G2004" s="14">
        <f>IF(F2004&lt;&gt;"","按字段批注、数据字典和来源记录修正后复核","")</f>
        <v/>
      </c>
      <c r="H2004" s="14">
        <f>IF(F2004&lt;&gt;"","待处理","")</f>
        <v/>
      </c>
    </row>
    <row r="2005">
      <c r="A2005" s="14">
        <f>IF(F2005&lt;&gt;"","ISSUE-"&amp;TEXT(ROW()-1,"00000"),"")</f>
        <v/>
      </c>
      <c r="B2005" s="14">
        <f>IF(F2005&lt;&gt;"","错误","")</f>
        <v/>
      </c>
      <c r="C2005" s="14">
        <f>IF('06_建筑锚点'!A5&lt;&gt;"","06_建筑锚点","")</f>
        <v/>
      </c>
      <c r="D2005" s="14">
        <f>IF('06_建筑锚点'!A5&lt;&gt;"",'06_建筑锚点'!A5,"")</f>
        <v/>
      </c>
      <c r="E2005" s="14">
        <f>IF(F2005&lt;&gt;"","综合校验","")</f>
        <v/>
      </c>
      <c r="F2005" s="14">
        <f>IF('06_建筑锚点'!A5&lt;&gt;"",IF('06_建筑锚点'!A5="","缺少建筑ID；","")&amp;IF('06_建筑锚点'!B5="","缺少建筑名称；","")&amp;IF('06_建筑锚点'!C5="","缺少建筑类型；","")&amp;IF('06_建筑锚点'!D5="","缺少所属地点ID；","")&amp;IF('06_建筑锚点'!F5="","缺少世界X；","")&amp;IF('06_建筑锚点'!G5="","缺少世界Y；","")&amp;IF(AND('06_建筑锚点'!F5&lt;&gt;"",OR('06_建筑锚点'!F5&lt;0,'06_建筑锚点'!F5&gt;WorldWidth)),"世界X越界；","")&amp;IF(AND('06_建筑锚点'!G5&lt;&gt;"",OR('06_建筑锚点'!G5&lt;0,'06_建筑锚点'!G5&gt;WorldHeight)),"世界Y越界；","")&amp;IF(AND('06_建筑锚点'!D5&lt;&gt;"",COUNTIF('03_地点锚点'!$A$2:$A$501,'06_建筑锚点'!D5)=0),"建筑所属地点不存在；","")&amp;IF(AND('06_建筑锚点'!T5&lt;&gt;"",COUNTIF('07_动态状态'!$A$2:$A$501,'06_建筑锚点'!T5)=0),"运营状态编码不存在；","")&amp;IF(AND('06_建筑锚点'!A5&lt;&gt;"",COUNTIF('06_建筑锚点'!$A$2:$A$501,'06_建筑锚点'!A5)&gt;1),"ID重复；",""),"")</f>
        <v/>
      </c>
      <c r="G2005" s="14">
        <f>IF(F2005&lt;&gt;"","按字段批注、数据字典和来源记录修正后复核","")</f>
        <v/>
      </c>
      <c r="H2005" s="14">
        <f>IF(F2005&lt;&gt;"","待处理","")</f>
        <v/>
      </c>
    </row>
    <row r="2006">
      <c r="A2006" s="14">
        <f>IF(F2006&lt;&gt;"","ISSUE-"&amp;TEXT(ROW()-1,"00000"),"")</f>
        <v/>
      </c>
      <c r="B2006" s="14">
        <f>IF(F2006&lt;&gt;"","错误","")</f>
        <v/>
      </c>
      <c r="C2006" s="14">
        <f>IF('06_建筑锚点'!A6&lt;&gt;"","06_建筑锚点","")</f>
        <v/>
      </c>
      <c r="D2006" s="14">
        <f>IF('06_建筑锚点'!A6&lt;&gt;"",'06_建筑锚点'!A6,"")</f>
        <v/>
      </c>
      <c r="E2006" s="14">
        <f>IF(F2006&lt;&gt;"","综合校验","")</f>
        <v/>
      </c>
      <c r="F2006" s="14">
        <f>IF('06_建筑锚点'!A6&lt;&gt;"",IF('06_建筑锚点'!A6="","缺少建筑ID；","")&amp;IF('06_建筑锚点'!B6="","缺少建筑名称；","")&amp;IF('06_建筑锚点'!C6="","缺少建筑类型；","")&amp;IF('06_建筑锚点'!D6="","缺少所属地点ID；","")&amp;IF('06_建筑锚点'!F6="","缺少世界X；","")&amp;IF('06_建筑锚点'!G6="","缺少世界Y；","")&amp;IF(AND('06_建筑锚点'!F6&lt;&gt;"",OR('06_建筑锚点'!F6&lt;0,'06_建筑锚点'!F6&gt;WorldWidth)),"世界X越界；","")&amp;IF(AND('06_建筑锚点'!G6&lt;&gt;"",OR('06_建筑锚点'!G6&lt;0,'06_建筑锚点'!G6&gt;WorldHeight)),"世界Y越界；","")&amp;IF(AND('06_建筑锚点'!D6&lt;&gt;"",COUNTIF('03_地点锚点'!$A$2:$A$501,'06_建筑锚点'!D6)=0),"建筑所属地点不存在；","")&amp;IF(AND('06_建筑锚点'!T6&lt;&gt;"",COUNTIF('07_动态状态'!$A$2:$A$501,'06_建筑锚点'!T6)=0),"运营状态编码不存在；","")&amp;IF(AND('06_建筑锚点'!A6&lt;&gt;"",COUNTIF('06_建筑锚点'!$A$2:$A$501,'06_建筑锚点'!A6)&gt;1),"ID重复；",""),"")</f>
        <v/>
      </c>
      <c r="G2006" s="14">
        <f>IF(F2006&lt;&gt;"","按字段批注、数据字典和来源记录修正后复核","")</f>
        <v/>
      </c>
      <c r="H2006" s="14">
        <f>IF(F2006&lt;&gt;"","待处理","")</f>
        <v/>
      </c>
    </row>
    <row r="2007">
      <c r="A2007" s="14">
        <f>IF(F2007&lt;&gt;"","ISSUE-"&amp;TEXT(ROW()-1,"00000"),"")</f>
        <v/>
      </c>
      <c r="B2007" s="14">
        <f>IF(F2007&lt;&gt;"","错误","")</f>
        <v/>
      </c>
      <c r="C2007" s="14">
        <f>IF('06_建筑锚点'!A7&lt;&gt;"","06_建筑锚点","")</f>
        <v/>
      </c>
      <c r="D2007" s="14">
        <f>IF('06_建筑锚点'!A7&lt;&gt;"",'06_建筑锚点'!A7,"")</f>
        <v/>
      </c>
      <c r="E2007" s="14">
        <f>IF(F2007&lt;&gt;"","综合校验","")</f>
        <v/>
      </c>
      <c r="F2007" s="14">
        <f>IF('06_建筑锚点'!A7&lt;&gt;"",IF('06_建筑锚点'!A7="","缺少建筑ID；","")&amp;IF('06_建筑锚点'!B7="","缺少建筑名称；","")&amp;IF('06_建筑锚点'!C7="","缺少建筑类型；","")&amp;IF('06_建筑锚点'!D7="","缺少所属地点ID；","")&amp;IF('06_建筑锚点'!F7="","缺少世界X；","")&amp;IF('06_建筑锚点'!G7="","缺少世界Y；","")&amp;IF(AND('06_建筑锚点'!F7&lt;&gt;"",OR('06_建筑锚点'!F7&lt;0,'06_建筑锚点'!F7&gt;WorldWidth)),"世界X越界；","")&amp;IF(AND('06_建筑锚点'!G7&lt;&gt;"",OR('06_建筑锚点'!G7&lt;0,'06_建筑锚点'!G7&gt;WorldHeight)),"世界Y越界；","")&amp;IF(AND('06_建筑锚点'!D7&lt;&gt;"",COUNTIF('03_地点锚点'!$A$2:$A$501,'06_建筑锚点'!D7)=0),"建筑所属地点不存在；","")&amp;IF(AND('06_建筑锚点'!T7&lt;&gt;"",COUNTIF('07_动态状态'!$A$2:$A$501,'06_建筑锚点'!T7)=0),"运营状态编码不存在；","")&amp;IF(AND('06_建筑锚点'!A7&lt;&gt;"",COUNTIF('06_建筑锚点'!$A$2:$A$501,'06_建筑锚点'!A7)&gt;1),"ID重复；",""),"")</f>
        <v/>
      </c>
      <c r="G2007" s="14">
        <f>IF(F2007&lt;&gt;"","按字段批注、数据字典和来源记录修正后复核","")</f>
        <v/>
      </c>
      <c r="H2007" s="14">
        <f>IF(F2007&lt;&gt;"","待处理","")</f>
        <v/>
      </c>
    </row>
    <row r="2008">
      <c r="A2008" s="14">
        <f>IF(F2008&lt;&gt;"","ISSUE-"&amp;TEXT(ROW()-1,"00000"),"")</f>
        <v/>
      </c>
      <c r="B2008" s="14">
        <f>IF(F2008&lt;&gt;"","错误","")</f>
        <v/>
      </c>
      <c r="C2008" s="14">
        <f>IF('06_建筑锚点'!A8&lt;&gt;"","06_建筑锚点","")</f>
        <v/>
      </c>
      <c r="D2008" s="14">
        <f>IF('06_建筑锚点'!A8&lt;&gt;"",'06_建筑锚点'!A8,"")</f>
        <v/>
      </c>
      <c r="E2008" s="14">
        <f>IF(F2008&lt;&gt;"","综合校验","")</f>
        <v/>
      </c>
      <c r="F2008" s="14">
        <f>IF('06_建筑锚点'!A8&lt;&gt;"",IF('06_建筑锚点'!A8="","缺少建筑ID；","")&amp;IF('06_建筑锚点'!B8="","缺少建筑名称；","")&amp;IF('06_建筑锚点'!C8="","缺少建筑类型；","")&amp;IF('06_建筑锚点'!D8="","缺少所属地点ID；","")&amp;IF('06_建筑锚点'!F8="","缺少世界X；","")&amp;IF('06_建筑锚点'!G8="","缺少世界Y；","")&amp;IF(AND('06_建筑锚点'!F8&lt;&gt;"",OR('06_建筑锚点'!F8&lt;0,'06_建筑锚点'!F8&gt;WorldWidth)),"世界X越界；","")&amp;IF(AND('06_建筑锚点'!G8&lt;&gt;"",OR('06_建筑锚点'!G8&lt;0,'06_建筑锚点'!G8&gt;WorldHeight)),"世界Y越界；","")&amp;IF(AND('06_建筑锚点'!D8&lt;&gt;"",COUNTIF('03_地点锚点'!$A$2:$A$501,'06_建筑锚点'!D8)=0),"建筑所属地点不存在；","")&amp;IF(AND('06_建筑锚点'!T8&lt;&gt;"",COUNTIF('07_动态状态'!$A$2:$A$501,'06_建筑锚点'!T8)=0),"运营状态编码不存在；","")&amp;IF(AND('06_建筑锚点'!A8&lt;&gt;"",COUNTIF('06_建筑锚点'!$A$2:$A$501,'06_建筑锚点'!A8)&gt;1),"ID重复；",""),"")</f>
        <v/>
      </c>
      <c r="G2008" s="14">
        <f>IF(F2008&lt;&gt;"","按字段批注、数据字典和来源记录修正后复核","")</f>
        <v/>
      </c>
      <c r="H2008" s="14">
        <f>IF(F2008&lt;&gt;"","待处理","")</f>
        <v/>
      </c>
    </row>
    <row r="2009">
      <c r="A2009" s="14">
        <f>IF(F2009&lt;&gt;"","ISSUE-"&amp;TEXT(ROW()-1,"00000"),"")</f>
        <v/>
      </c>
      <c r="B2009" s="14">
        <f>IF(F2009&lt;&gt;"","错误","")</f>
        <v/>
      </c>
      <c r="C2009" s="14">
        <f>IF('06_建筑锚点'!A9&lt;&gt;"","06_建筑锚点","")</f>
        <v/>
      </c>
      <c r="D2009" s="14">
        <f>IF('06_建筑锚点'!A9&lt;&gt;"",'06_建筑锚点'!A9,"")</f>
        <v/>
      </c>
      <c r="E2009" s="14">
        <f>IF(F2009&lt;&gt;"","综合校验","")</f>
        <v/>
      </c>
      <c r="F2009" s="14">
        <f>IF('06_建筑锚点'!A9&lt;&gt;"",IF('06_建筑锚点'!A9="","缺少建筑ID；","")&amp;IF('06_建筑锚点'!B9="","缺少建筑名称；","")&amp;IF('06_建筑锚点'!C9="","缺少建筑类型；","")&amp;IF('06_建筑锚点'!D9="","缺少所属地点ID；","")&amp;IF('06_建筑锚点'!F9="","缺少世界X；","")&amp;IF('06_建筑锚点'!G9="","缺少世界Y；","")&amp;IF(AND('06_建筑锚点'!F9&lt;&gt;"",OR('06_建筑锚点'!F9&lt;0,'06_建筑锚点'!F9&gt;WorldWidth)),"世界X越界；","")&amp;IF(AND('06_建筑锚点'!G9&lt;&gt;"",OR('06_建筑锚点'!G9&lt;0,'06_建筑锚点'!G9&gt;WorldHeight)),"世界Y越界；","")&amp;IF(AND('06_建筑锚点'!D9&lt;&gt;"",COUNTIF('03_地点锚点'!$A$2:$A$501,'06_建筑锚点'!D9)=0),"建筑所属地点不存在；","")&amp;IF(AND('06_建筑锚点'!T9&lt;&gt;"",COUNTIF('07_动态状态'!$A$2:$A$501,'06_建筑锚点'!T9)=0),"运营状态编码不存在；","")&amp;IF(AND('06_建筑锚点'!A9&lt;&gt;"",COUNTIF('06_建筑锚点'!$A$2:$A$501,'06_建筑锚点'!A9)&gt;1),"ID重复；",""),"")</f>
        <v/>
      </c>
      <c r="G2009" s="14">
        <f>IF(F2009&lt;&gt;"","按字段批注、数据字典和来源记录修正后复核","")</f>
        <v/>
      </c>
      <c r="H2009" s="14">
        <f>IF(F2009&lt;&gt;"","待处理","")</f>
        <v/>
      </c>
    </row>
    <row r="2010">
      <c r="A2010" s="14">
        <f>IF(F2010&lt;&gt;"","ISSUE-"&amp;TEXT(ROW()-1,"00000"),"")</f>
        <v/>
      </c>
      <c r="B2010" s="14">
        <f>IF(F2010&lt;&gt;"","错误","")</f>
        <v/>
      </c>
      <c r="C2010" s="14">
        <f>IF('06_建筑锚点'!A10&lt;&gt;"","06_建筑锚点","")</f>
        <v/>
      </c>
      <c r="D2010" s="14">
        <f>IF('06_建筑锚点'!A10&lt;&gt;"",'06_建筑锚点'!A10,"")</f>
        <v/>
      </c>
      <c r="E2010" s="14">
        <f>IF(F2010&lt;&gt;"","综合校验","")</f>
        <v/>
      </c>
      <c r="F2010" s="14">
        <f>IF('06_建筑锚点'!A10&lt;&gt;"",IF('06_建筑锚点'!A10="","缺少建筑ID；","")&amp;IF('06_建筑锚点'!B10="","缺少建筑名称；","")&amp;IF('06_建筑锚点'!C10="","缺少建筑类型；","")&amp;IF('06_建筑锚点'!D10="","缺少所属地点ID；","")&amp;IF('06_建筑锚点'!F10="","缺少世界X；","")&amp;IF('06_建筑锚点'!G10="","缺少世界Y；","")&amp;IF(AND('06_建筑锚点'!F10&lt;&gt;"",OR('06_建筑锚点'!F10&lt;0,'06_建筑锚点'!F10&gt;WorldWidth)),"世界X越界；","")&amp;IF(AND('06_建筑锚点'!G10&lt;&gt;"",OR('06_建筑锚点'!G10&lt;0,'06_建筑锚点'!G10&gt;WorldHeight)),"世界Y越界；","")&amp;IF(AND('06_建筑锚点'!D10&lt;&gt;"",COUNTIF('03_地点锚点'!$A$2:$A$501,'06_建筑锚点'!D10)=0),"建筑所属地点不存在；","")&amp;IF(AND('06_建筑锚点'!T10&lt;&gt;"",COUNTIF('07_动态状态'!$A$2:$A$501,'06_建筑锚点'!T10)=0),"运营状态编码不存在；","")&amp;IF(AND('06_建筑锚点'!A10&lt;&gt;"",COUNTIF('06_建筑锚点'!$A$2:$A$501,'06_建筑锚点'!A10)&gt;1),"ID重复；",""),"")</f>
        <v/>
      </c>
      <c r="G2010" s="14">
        <f>IF(F2010&lt;&gt;"","按字段批注、数据字典和来源记录修正后复核","")</f>
        <v/>
      </c>
      <c r="H2010" s="14">
        <f>IF(F2010&lt;&gt;"","待处理","")</f>
        <v/>
      </c>
    </row>
    <row r="2011">
      <c r="A2011" s="14">
        <f>IF(F2011&lt;&gt;"","ISSUE-"&amp;TEXT(ROW()-1,"00000"),"")</f>
        <v/>
      </c>
      <c r="B2011" s="14">
        <f>IF(F2011&lt;&gt;"","错误","")</f>
        <v/>
      </c>
      <c r="C2011" s="14">
        <f>IF('06_建筑锚点'!A11&lt;&gt;"","06_建筑锚点","")</f>
        <v/>
      </c>
      <c r="D2011" s="14">
        <f>IF('06_建筑锚点'!A11&lt;&gt;"",'06_建筑锚点'!A11,"")</f>
        <v/>
      </c>
      <c r="E2011" s="14">
        <f>IF(F2011&lt;&gt;"","综合校验","")</f>
        <v/>
      </c>
      <c r="F2011" s="14">
        <f>IF('06_建筑锚点'!A11&lt;&gt;"",IF('06_建筑锚点'!A11="","缺少建筑ID；","")&amp;IF('06_建筑锚点'!B11="","缺少建筑名称；","")&amp;IF('06_建筑锚点'!C11="","缺少建筑类型；","")&amp;IF('06_建筑锚点'!D11="","缺少所属地点ID；","")&amp;IF('06_建筑锚点'!F11="","缺少世界X；","")&amp;IF('06_建筑锚点'!G11="","缺少世界Y；","")&amp;IF(AND('06_建筑锚点'!F11&lt;&gt;"",OR('06_建筑锚点'!F11&lt;0,'06_建筑锚点'!F11&gt;WorldWidth)),"世界X越界；","")&amp;IF(AND('06_建筑锚点'!G11&lt;&gt;"",OR('06_建筑锚点'!G11&lt;0,'06_建筑锚点'!G11&gt;WorldHeight)),"世界Y越界；","")&amp;IF(AND('06_建筑锚点'!D11&lt;&gt;"",COUNTIF('03_地点锚点'!$A$2:$A$501,'06_建筑锚点'!D11)=0),"建筑所属地点不存在；","")&amp;IF(AND('06_建筑锚点'!T11&lt;&gt;"",COUNTIF('07_动态状态'!$A$2:$A$501,'06_建筑锚点'!T11)=0),"运营状态编码不存在；","")&amp;IF(AND('06_建筑锚点'!A11&lt;&gt;"",COUNTIF('06_建筑锚点'!$A$2:$A$501,'06_建筑锚点'!A11)&gt;1),"ID重复；",""),"")</f>
        <v/>
      </c>
      <c r="G2011" s="14">
        <f>IF(F2011&lt;&gt;"","按字段批注、数据字典和来源记录修正后复核","")</f>
        <v/>
      </c>
      <c r="H2011" s="14">
        <f>IF(F2011&lt;&gt;"","待处理","")</f>
        <v/>
      </c>
    </row>
    <row r="2012">
      <c r="A2012" s="14">
        <f>IF(F2012&lt;&gt;"","ISSUE-"&amp;TEXT(ROW()-1,"00000"),"")</f>
        <v/>
      </c>
      <c r="B2012" s="14">
        <f>IF(F2012&lt;&gt;"","错误","")</f>
        <v/>
      </c>
      <c r="C2012" s="14">
        <f>IF('06_建筑锚点'!A12&lt;&gt;"","06_建筑锚点","")</f>
        <v/>
      </c>
      <c r="D2012" s="14">
        <f>IF('06_建筑锚点'!A12&lt;&gt;"",'06_建筑锚点'!A12,"")</f>
        <v/>
      </c>
      <c r="E2012" s="14">
        <f>IF(F2012&lt;&gt;"","综合校验","")</f>
        <v/>
      </c>
      <c r="F2012" s="14">
        <f>IF('06_建筑锚点'!A12&lt;&gt;"",IF('06_建筑锚点'!A12="","缺少建筑ID；","")&amp;IF('06_建筑锚点'!B12="","缺少建筑名称；","")&amp;IF('06_建筑锚点'!C12="","缺少建筑类型；","")&amp;IF('06_建筑锚点'!D12="","缺少所属地点ID；","")&amp;IF('06_建筑锚点'!F12="","缺少世界X；","")&amp;IF('06_建筑锚点'!G12="","缺少世界Y；","")&amp;IF(AND('06_建筑锚点'!F12&lt;&gt;"",OR('06_建筑锚点'!F12&lt;0,'06_建筑锚点'!F12&gt;WorldWidth)),"世界X越界；","")&amp;IF(AND('06_建筑锚点'!G12&lt;&gt;"",OR('06_建筑锚点'!G12&lt;0,'06_建筑锚点'!G12&gt;WorldHeight)),"世界Y越界；","")&amp;IF(AND('06_建筑锚点'!D12&lt;&gt;"",COUNTIF('03_地点锚点'!$A$2:$A$501,'06_建筑锚点'!D12)=0),"建筑所属地点不存在；","")&amp;IF(AND('06_建筑锚点'!T12&lt;&gt;"",COUNTIF('07_动态状态'!$A$2:$A$501,'06_建筑锚点'!T12)=0),"运营状态编码不存在；","")&amp;IF(AND('06_建筑锚点'!A12&lt;&gt;"",COUNTIF('06_建筑锚点'!$A$2:$A$501,'06_建筑锚点'!A12)&gt;1),"ID重复；",""),"")</f>
        <v/>
      </c>
      <c r="G2012" s="14">
        <f>IF(F2012&lt;&gt;"","按字段批注、数据字典和来源记录修正后复核","")</f>
        <v/>
      </c>
      <c r="H2012" s="14">
        <f>IF(F2012&lt;&gt;"","待处理","")</f>
        <v/>
      </c>
    </row>
    <row r="2013">
      <c r="A2013" s="14">
        <f>IF(F2013&lt;&gt;"","ISSUE-"&amp;TEXT(ROW()-1,"00000"),"")</f>
        <v/>
      </c>
      <c r="B2013" s="14">
        <f>IF(F2013&lt;&gt;"","错误","")</f>
        <v/>
      </c>
      <c r="C2013" s="14">
        <f>IF('06_建筑锚点'!A13&lt;&gt;"","06_建筑锚点","")</f>
        <v/>
      </c>
      <c r="D2013" s="14">
        <f>IF('06_建筑锚点'!A13&lt;&gt;"",'06_建筑锚点'!A13,"")</f>
        <v/>
      </c>
      <c r="E2013" s="14">
        <f>IF(F2013&lt;&gt;"","综合校验","")</f>
        <v/>
      </c>
      <c r="F2013" s="14">
        <f>IF('06_建筑锚点'!A13&lt;&gt;"",IF('06_建筑锚点'!A13="","缺少建筑ID；","")&amp;IF('06_建筑锚点'!B13="","缺少建筑名称；","")&amp;IF('06_建筑锚点'!C13="","缺少建筑类型；","")&amp;IF('06_建筑锚点'!D13="","缺少所属地点ID；","")&amp;IF('06_建筑锚点'!F13="","缺少世界X；","")&amp;IF('06_建筑锚点'!G13="","缺少世界Y；","")&amp;IF(AND('06_建筑锚点'!F13&lt;&gt;"",OR('06_建筑锚点'!F13&lt;0,'06_建筑锚点'!F13&gt;WorldWidth)),"世界X越界；","")&amp;IF(AND('06_建筑锚点'!G13&lt;&gt;"",OR('06_建筑锚点'!G13&lt;0,'06_建筑锚点'!G13&gt;WorldHeight)),"世界Y越界；","")&amp;IF(AND('06_建筑锚点'!D13&lt;&gt;"",COUNTIF('03_地点锚点'!$A$2:$A$501,'06_建筑锚点'!D13)=0),"建筑所属地点不存在；","")&amp;IF(AND('06_建筑锚点'!T13&lt;&gt;"",COUNTIF('07_动态状态'!$A$2:$A$501,'06_建筑锚点'!T13)=0),"运营状态编码不存在；","")&amp;IF(AND('06_建筑锚点'!A13&lt;&gt;"",COUNTIF('06_建筑锚点'!$A$2:$A$501,'06_建筑锚点'!A13)&gt;1),"ID重复；",""),"")</f>
        <v/>
      </c>
      <c r="G2013" s="14">
        <f>IF(F2013&lt;&gt;"","按字段批注、数据字典和来源记录修正后复核","")</f>
        <v/>
      </c>
      <c r="H2013" s="14">
        <f>IF(F2013&lt;&gt;"","待处理","")</f>
        <v/>
      </c>
    </row>
    <row r="2014">
      <c r="A2014" s="14">
        <f>IF(F2014&lt;&gt;"","ISSUE-"&amp;TEXT(ROW()-1,"00000"),"")</f>
        <v/>
      </c>
      <c r="B2014" s="14">
        <f>IF(F2014&lt;&gt;"","错误","")</f>
        <v/>
      </c>
      <c r="C2014" s="14">
        <f>IF('06_建筑锚点'!A14&lt;&gt;"","06_建筑锚点","")</f>
        <v/>
      </c>
      <c r="D2014" s="14">
        <f>IF('06_建筑锚点'!A14&lt;&gt;"",'06_建筑锚点'!A14,"")</f>
        <v/>
      </c>
      <c r="E2014" s="14">
        <f>IF(F2014&lt;&gt;"","综合校验","")</f>
        <v/>
      </c>
      <c r="F2014" s="14">
        <f>IF('06_建筑锚点'!A14&lt;&gt;"",IF('06_建筑锚点'!A14="","缺少建筑ID；","")&amp;IF('06_建筑锚点'!B14="","缺少建筑名称；","")&amp;IF('06_建筑锚点'!C14="","缺少建筑类型；","")&amp;IF('06_建筑锚点'!D14="","缺少所属地点ID；","")&amp;IF('06_建筑锚点'!F14="","缺少世界X；","")&amp;IF('06_建筑锚点'!G14="","缺少世界Y；","")&amp;IF(AND('06_建筑锚点'!F14&lt;&gt;"",OR('06_建筑锚点'!F14&lt;0,'06_建筑锚点'!F14&gt;WorldWidth)),"世界X越界；","")&amp;IF(AND('06_建筑锚点'!G14&lt;&gt;"",OR('06_建筑锚点'!G14&lt;0,'06_建筑锚点'!G14&gt;WorldHeight)),"世界Y越界；","")&amp;IF(AND('06_建筑锚点'!D14&lt;&gt;"",COUNTIF('03_地点锚点'!$A$2:$A$501,'06_建筑锚点'!D14)=0),"建筑所属地点不存在；","")&amp;IF(AND('06_建筑锚点'!T14&lt;&gt;"",COUNTIF('07_动态状态'!$A$2:$A$501,'06_建筑锚点'!T14)=0),"运营状态编码不存在；","")&amp;IF(AND('06_建筑锚点'!A14&lt;&gt;"",COUNTIF('06_建筑锚点'!$A$2:$A$501,'06_建筑锚点'!A14)&gt;1),"ID重复；",""),"")</f>
        <v/>
      </c>
      <c r="G2014" s="14">
        <f>IF(F2014&lt;&gt;"","按字段批注、数据字典和来源记录修正后复核","")</f>
        <v/>
      </c>
      <c r="H2014" s="14">
        <f>IF(F2014&lt;&gt;"","待处理","")</f>
        <v/>
      </c>
    </row>
    <row r="2015">
      <c r="A2015" s="14">
        <f>IF(F2015&lt;&gt;"","ISSUE-"&amp;TEXT(ROW()-1,"00000"),"")</f>
        <v/>
      </c>
      <c r="B2015" s="14">
        <f>IF(F2015&lt;&gt;"","错误","")</f>
        <v/>
      </c>
      <c r="C2015" s="14">
        <f>IF('06_建筑锚点'!A15&lt;&gt;"","06_建筑锚点","")</f>
        <v/>
      </c>
      <c r="D2015" s="14">
        <f>IF('06_建筑锚点'!A15&lt;&gt;"",'06_建筑锚点'!A15,"")</f>
        <v/>
      </c>
      <c r="E2015" s="14">
        <f>IF(F2015&lt;&gt;"","综合校验","")</f>
        <v/>
      </c>
      <c r="F2015" s="14">
        <f>IF('06_建筑锚点'!A15&lt;&gt;"",IF('06_建筑锚点'!A15="","缺少建筑ID；","")&amp;IF('06_建筑锚点'!B15="","缺少建筑名称；","")&amp;IF('06_建筑锚点'!C15="","缺少建筑类型；","")&amp;IF('06_建筑锚点'!D15="","缺少所属地点ID；","")&amp;IF('06_建筑锚点'!F15="","缺少世界X；","")&amp;IF('06_建筑锚点'!G15="","缺少世界Y；","")&amp;IF(AND('06_建筑锚点'!F15&lt;&gt;"",OR('06_建筑锚点'!F15&lt;0,'06_建筑锚点'!F15&gt;WorldWidth)),"世界X越界；","")&amp;IF(AND('06_建筑锚点'!G15&lt;&gt;"",OR('06_建筑锚点'!G15&lt;0,'06_建筑锚点'!G15&gt;WorldHeight)),"世界Y越界；","")&amp;IF(AND('06_建筑锚点'!D15&lt;&gt;"",COUNTIF('03_地点锚点'!$A$2:$A$501,'06_建筑锚点'!D15)=0),"建筑所属地点不存在；","")&amp;IF(AND('06_建筑锚点'!T15&lt;&gt;"",COUNTIF('07_动态状态'!$A$2:$A$501,'06_建筑锚点'!T15)=0),"运营状态编码不存在；","")&amp;IF(AND('06_建筑锚点'!A15&lt;&gt;"",COUNTIF('06_建筑锚点'!$A$2:$A$501,'06_建筑锚点'!A15)&gt;1),"ID重复；",""),"")</f>
        <v/>
      </c>
      <c r="G2015" s="14">
        <f>IF(F2015&lt;&gt;"","按字段批注、数据字典和来源记录修正后复核","")</f>
        <v/>
      </c>
      <c r="H2015" s="14">
        <f>IF(F2015&lt;&gt;"","待处理","")</f>
        <v/>
      </c>
    </row>
    <row r="2016">
      <c r="A2016" s="14">
        <f>IF(F2016&lt;&gt;"","ISSUE-"&amp;TEXT(ROW()-1,"00000"),"")</f>
        <v/>
      </c>
      <c r="B2016" s="14">
        <f>IF(F2016&lt;&gt;"","错误","")</f>
        <v/>
      </c>
      <c r="C2016" s="14">
        <f>IF('06_建筑锚点'!A16&lt;&gt;"","06_建筑锚点","")</f>
        <v/>
      </c>
      <c r="D2016" s="14">
        <f>IF('06_建筑锚点'!A16&lt;&gt;"",'06_建筑锚点'!A16,"")</f>
        <v/>
      </c>
      <c r="E2016" s="14">
        <f>IF(F2016&lt;&gt;"","综合校验","")</f>
        <v/>
      </c>
      <c r="F2016" s="14">
        <f>IF('06_建筑锚点'!A16&lt;&gt;"",IF('06_建筑锚点'!A16="","缺少建筑ID；","")&amp;IF('06_建筑锚点'!B16="","缺少建筑名称；","")&amp;IF('06_建筑锚点'!C16="","缺少建筑类型；","")&amp;IF('06_建筑锚点'!D16="","缺少所属地点ID；","")&amp;IF('06_建筑锚点'!F16="","缺少世界X；","")&amp;IF('06_建筑锚点'!G16="","缺少世界Y；","")&amp;IF(AND('06_建筑锚点'!F16&lt;&gt;"",OR('06_建筑锚点'!F16&lt;0,'06_建筑锚点'!F16&gt;WorldWidth)),"世界X越界；","")&amp;IF(AND('06_建筑锚点'!G16&lt;&gt;"",OR('06_建筑锚点'!G16&lt;0,'06_建筑锚点'!G16&gt;WorldHeight)),"世界Y越界；","")&amp;IF(AND('06_建筑锚点'!D16&lt;&gt;"",COUNTIF('03_地点锚点'!$A$2:$A$501,'06_建筑锚点'!D16)=0),"建筑所属地点不存在；","")&amp;IF(AND('06_建筑锚点'!T16&lt;&gt;"",COUNTIF('07_动态状态'!$A$2:$A$501,'06_建筑锚点'!T16)=0),"运营状态编码不存在；","")&amp;IF(AND('06_建筑锚点'!A16&lt;&gt;"",COUNTIF('06_建筑锚点'!$A$2:$A$501,'06_建筑锚点'!A16)&gt;1),"ID重复；",""),"")</f>
        <v/>
      </c>
      <c r="G2016" s="14">
        <f>IF(F2016&lt;&gt;"","按字段批注、数据字典和来源记录修正后复核","")</f>
        <v/>
      </c>
      <c r="H2016" s="14">
        <f>IF(F2016&lt;&gt;"","待处理","")</f>
        <v/>
      </c>
    </row>
    <row r="2017">
      <c r="A2017" s="14">
        <f>IF(F2017&lt;&gt;"","ISSUE-"&amp;TEXT(ROW()-1,"00000"),"")</f>
        <v/>
      </c>
      <c r="B2017" s="14">
        <f>IF(F2017&lt;&gt;"","错误","")</f>
        <v/>
      </c>
      <c r="C2017" s="14">
        <f>IF('06_建筑锚点'!A17&lt;&gt;"","06_建筑锚点","")</f>
        <v/>
      </c>
      <c r="D2017" s="14">
        <f>IF('06_建筑锚点'!A17&lt;&gt;"",'06_建筑锚点'!A17,"")</f>
        <v/>
      </c>
      <c r="E2017" s="14">
        <f>IF(F2017&lt;&gt;"","综合校验","")</f>
        <v/>
      </c>
      <c r="F2017" s="14">
        <f>IF('06_建筑锚点'!A17&lt;&gt;"",IF('06_建筑锚点'!A17="","缺少建筑ID；","")&amp;IF('06_建筑锚点'!B17="","缺少建筑名称；","")&amp;IF('06_建筑锚点'!C17="","缺少建筑类型；","")&amp;IF('06_建筑锚点'!D17="","缺少所属地点ID；","")&amp;IF('06_建筑锚点'!F17="","缺少世界X；","")&amp;IF('06_建筑锚点'!G17="","缺少世界Y；","")&amp;IF(AND('06_建筑锚点'!F17&lt;&gt;"",OR('06_建筑锚点'!F17&lt;0,'06_建筑锚点'!F17&gt;WorldWidth)),"世界X越界；","")&amp;IF(AND('06_建筑锚点'!G17&lt;&gt;"",OR('06_建筑锚点'!G17&lt;0,'06_建筑锚点'!G17&gt;WorldHeight)),"世界Y越界；","")&amp;IF(AND('06_建筑锚点'!D17&lt;&gt;"",COUNTIF('03_地点锚点'!$A$2:$A$501,'06_建筑锚点'!D17)=0),"建筑所属地点不存在；","")&amp;IF(AND('06_建筑锚点'!T17&lt;&gt;"",COUNTIF('07_动态状态'!$A$2:$A$501,'06_建筑锚点'!T17)=0),"运营状态编码不存在；","")&amp;IF(AND('06_建筑锚点'!A17&lt;&gt;"",COUNTIF('06_建筑锚点'!$A$2:$A$501,'06_建筑锚点'!A17)&gt;1),"ID重复；",""),"")</f>
        <v/>
      </c>
      <c r="G2017" s="14">
        <f>IF(F2017&lt;&gt;"","按字段批注、数据字典和来源记录修正后复核","")</f>
        <v/>
      </c>
      <c r="H2017" s="14">
        <f>IF(F2017&lt;&gt;"","待处理","")</f>
        <v/>
      </c>
    </row>
    <row r="2018">
      <c r="A2018" s="14">
        <f>IF(F2018&lt;&gt;"","ISSUE-"&amp;TEXT(ROW()-1,"00000"),"")</f>
        <v/>
      </c>
      <c r="B2018" s="14">
        <f>IF(F2018&lt;&gt;"","错误","")</f>
        <v/>
      </c>
      <c r="C2018" s="14">
        <f>IF('06_建筑锚点'!A18&lt;&gt;"","06_建筑锚点","")</f>
        <v/>
      </c>
      <c r="D2018" s="14">
        <f>IF('06_建筑锚点'!A18&lt;&gt;"",'06_建筑锚点'!A18,"")</f>
        <v/>
      </c>
      <c r="E2018" s="14">
        <f>IF(F2018&lt;&gt;"","综合校验","")</f>
        <v/>
      </c>
      <c r="F2018" s="14">
        <f>IF('06_建筑锚点'!A18&lt;&gt;"",IF('06_建筑锚点'!A18="","缺少建筑ID；","")&amp;IF('06_建筑锚点'!B18="","缺少建筑名称；","")&amp;IF('06_建筑锚点'!C18="","缺少建筑类型；","")&amp;IF('06_建筑锚点'!D18="","缺少所属地点ID；","")&amp;IF('06_建筑锚点'!F18="","缺少世界X；","")&amp;IF('06_建筑锚点'!G18="","缺少世界Y；","")&amp;IF(AND('06_建筑锚点'!F18&lt;&gt;"",OR('06_建筑锚点'!F18&lt;0,'06_建筑锚点'!F18&gt;WorldWidth)),"世界X越界；","")&amp;IF(AND('06_建筑锚点'!G18&lt;&gt;"",OR('06_建筑锚点'!G18&lt;0,'06_建筑锚点'!G18&gt;WorldHeight)),"世界Y越界；","")&amp;IF(AND('06_建筑锚点'!D18&lt;&gt;"",COUNTIF('03_地点锚点'!$A$2:$A$501,'06_建筑锚点'!D18)=0),"建筑所属地点不存在；","")&amp;IF(AND('06_建筑锚点'!T18&lt;&gt;"",COUNTIF('07_动态状态'!$A$2:$A$501,'06_建筑锚点'!T18)=0),"运营状态编码不存在；","")&amp;IF(AND('06_建筑锚点'!A18&lt;&gt;"",COUNTIF('06_建筑锚点'!$A$2:$A$501,'06_建筑锚点'!A18)&gt;1),"ID重复；",""),"")</f>
        <v/>
      </c>
      <c r="G2018" s="14">
        <f>IF(F2018&lt;&gt;"","按字段批注、数据字典和来源记录修正后复核","")</f>
        <v/>
      </c>
      <c r="H2018" s="14">
        <f>IF(F2018&lt;&gt;"","待处理","")</f>
        <v/>
      </c>
    </row>
    <row r="2019">
      <c r="A2019" s="14">
        <f>IF(F2019&lt;&gt;"","ISSUE-"&amp;TEXT(ROW()-1,"00000"),"")</f>
        <v/>
      </c>
      <c r="B2019" s="14">
        <f>IF(F2019&lt;&gt;"","错误","")</f>
        <v/>
      </c>
      <c r="C2019" s="14">
        <f>IF('06_建筑锚点'!A19&lt;&gt;"","06_建筑锚点","")</f>
        <v/>
      </c>
      <c r="D2019" s="14">
        <f>IF('06_建筑锚点'!A19&lt;&gt;"",'06_建筑锚点'!A19,"")</f>
        <v/>
      </c>
      <c r="E2019" s="14">
        <f>IF(F2019&lt;&gt;"","综合校验","")</f>
        <v/>
      </c>
      <c r="F2019" s="14">
        <f>IF('06_建筑锚点'!A19&lt;&gt;"",IF('06_建筑锚点'!A19="","缺少建筑ID；","")&amp;IF('06_建筑锚点'!B19="","缺少建筑名称；","")&amp;IF('06_建筑锚点'!C19="","缺少建筑类型；","")&amp;IF('06_建筑锚点'!D19="","缺少所属地点ID；","")&amp;IF('06_建筑锚点'!F19="","缺少世界X；","")&amp;IF('06_建筑锚点'!G19="","缺少世界Y；","")&amp;IF(AND('06_建筑锚点'!F19&lt;&gt;"",OR('06_建筑锚点'!F19&lt;0,'06_建筑锚点'!F19&gt;WorldWidth)),"世界X越界；","")&amp;IF(AND('06_建筑锚点'!G19&lt;&gt;"",OR('06_建筑锚点'!G19&lt;0,'06_建筑锚点'!G19&gt;WorldHeight)),"世界Y越界；","")&amp;IF(AND('06_建筑锚点'!D19&lt;&gt;"",COUNTIF('03_地点锚点'!$A$2:$A$501,'06_建筑锚点'!D19)=0),"建筑所属地点不存在；","")&amp;IF(AND('06_建筑锚点'!T19&lt;&gt;"",COUNTIF('07_动态状态'!$A$2:$A$501,'06_建筑锚点'!T19)=0),"运营状态编码不存在；","")&amp;IF(AND('06_建筑锚点'!A19&lt;&gt;"",COUNTIF('06_建筑锚点'!$A$2:$A$501,'06_建筑锚点'!A19)&gt;1),"ID重复；",""),"")</f>
        <v/>
      </c>
      <c r="G2019" s="14">
        <f>IF(F2019&lt;&gt;"","按字段批注、数据字典和来源记录修正后复核","")</f>
        <v/>
      </c>
      <c r="H2019" s="14">
        <f>IF(F2019&lt;&gt;"","待处理","")</f>
        <v/>
      </c>
    </row>
    <row r="2020">
      <c r="A2020" s="14">
        <f>IF(F2020&lt;&gt;"","ISSUE-"&amp;TEXT(ROW()-1,"00000"),"")</f>
        <v/>
      </c>
      <c r="B2020" s="14">
        <f>IF(F2020&lt;&gt;"","错误","")</f>
        <v/>
      </c>
      <c r="C2020" s="14">
        <f>IF('06_建筑锚点'!A20&lt;&gt;"","06_建筑锚点","")</f>
        <v/>
      </c>
      <c r="D2020" s="14">
        <f>IF('06_建筑锚点'!A20&lt;&gt;"",'06_建筑锚点'!A20,"")</f>
        <v/>
      </c>
      <c r="E2020" s="14">
        <f>IF(F2020&lt;&gt;"","综合校验","")</f>
        <v/>
      </c>
      <c r="F2020" s="14">
        <f>IF('06_建筑锚点'!A20&lt;&gt;"",IF('06_建筑锚点'!A20="","缺少建筑ID；","")&amp;IF('06_建筑锚点'!B20="","缺少建筑名称；","")&amp;IF('06_建筑锚点'!C20="","缺少建筑类型；","")&amp;IF('06_建筑锚点'!D20="","缺少所属地点ID；","")&amp;IF('06_建筑锚点'!F20="","缺少世界X；","")&amp;IF('06_建筑锚点'!G20="","缺少世界Y；","")&amp;IF(AND('06_建筑锚点'!F20&lt;&gt;"",OR('06_建筑锚点'!F20&lt;0,'06_建筑锚点'!F20&gt;WorldWidth)),"世界X越界；","")&amp;IF(AND('06_建筑锚点'!G20&lt;&gt;"",OR('06_建筑锚点'!G20&lt;0,'06_建筑锚点'!G20&gt;WorldHeight)),"世界Y越界；","")&amp;IF(AND('06_建筑锚点'!D20&lt;&gt;"",COUNTIF('03_地点锚点'!$A$2:$A$501,'06_建筑锚点'!D20)=0),"建筑所属地点不存在；","")&amp;IF(AND('06_建筑锚点'!T20&lt;&gt;"",COUNTIF('07_动态状态'!$A$2:$A$501,'06_建筑锚点'!T20)=0),"运营状态编码不存在；","")&amp;IF(AND('06_建筑锚点'!A20&lt;&gt;"",COUNTIF('06_建筑锚点'!$A$2:$A$501,'06_建筑锚点'!A20)&gt;1),"ID重复；",""),"")</f>
        <v/>
      </c>
      <c r="G2020" s="14">
        <f>IF(F2020&lt;&gt;"","按字段批注、数据字典和来源记录修正后复核","")</f>
        <v/>
      </c>
      <c r="H2020" s="14">
        <f>IF(F2020&lt;&gt;"","待处理","")</f>
        <v/>
      </c>
    </row>
    <row r="2021">
      <c r="A2021" s="14">
        <f>IF(F2021&lt;&gt;"","ISSUE-"&amp;TEXT(ROW()-1,"00000"),"")</f>
        <v/>
      </c>
      <c r="B2021" s="14">
        <f>IF(F2021&lt;&gt;"","错误","")</f>
        <v/>
      </c>
      <c r="C2021" s="14">
        <f>IF('06_建筑锚点'!A21&lt;&gt;"","06_建筑锚点","")</f>
        <v/>
      </c>
      <c r="D2021" s="14">
        <f>IF('06_建筑锚点'!A21&lt;&gt;"",'06_建筑锚点'!A21,"")</f>
        <v/>
      </c>
      <c r="E2021" s="14">
        <f>IF(F2021&lt;&gt;"","综合校验","")</f>
        <v/>
      </c>
      <c r="F2021" s="14">
        <f>IF('06_建筑锚点'!A21&lt;&gt;"",IF('06_建筑锚点'!A21="","缺少建筑ID；","")&amp;IF('06_建筑锚点'!B21="","缺少建筑名称；","")&amp;IF('06_建筑锚点'!C21="","缺少建筑类型；","")&amp;IF('06_建筑锚点'!D21="","缺少所属地点ID；","")&amp;IF('06_建筑锚点'!F21="","缺少世界X；","")&amp;IF('06_建筑锚点'!G21="","缺少世界Y；","")&amp;IF(AND('06_建筑锚点'!F21&lt;&gt;"",OR('06_建筑锚点'!F21&lt;0,'06_建筑锚点'!F21&gt;WorldWidth)),"世界X越界；","")&amp;IF(AND('06_建筑锚点'!G21&lt;&gt;"",OR('06_建筑锚点'!G21&lt;0,'06_建筑锚点'!G21&gt;WorldHeight)),"世界Y越界；","")&amp;IF(AND('06_建筑锚点'!D21&lt;&gt;"",COUNTIF('03_地点锚点'!$A$2:$A$501,'06_建筑锚点'!D21)=0),"建筑所属地点不存在；","")&amp;IF(AND('06_建筑锚点'!T21&lt;&gt;"",COUNTIF('07_动态状态'!$A$2:$A$501,'06_建筑锚点'!T21)=0),"运营状态编码不存在；","")&amp;IF(AND('06_建筑锚点'!A21&lt;&gt;"",COUNTIF('06_建筑锚点'!$A$2:$A$501,'06_建筑锚点'!A21)&gt;1),"ID重复；",""),"")</f>
        <v/>
      </c>
      <c r="G2021" s="14">
        <f>IF(F2021&lt;&gt;"","按字段批注、数据字典和来源记录修正后复核","")</f>
        <v/>
      </c>
      <c r="H2021" s="14">
        <f>IF(F2021&lt;&gt;"","待处理","")</f>
        <v/>
      </c>
    </row>
    <row r="2022">
      <c r="A2022" s="14">
        <f>IF(F2022&lt;&gt;"","ISSUE-"&amp;TEXT(ROW()-1,"00000"),"")</f>
        <v/>
      </c>
      <c r="B2022" s="14">
        <f>IF(F2022&lt;&gt;"","错误","")</f>
        <v/>
      </c>
      <c r="C2022" s="14">
        <f>IF('06_建筑锚点'!A22&lt;&gt;"","06_建筑锚点","")</f>
        <v/>
      </c>
      <c r="D2022" s="14">
        <f>IF('06_建筑锚点'!A22&lt;&gt;"",'06_建筑锚点'!A22,"")</f>
        <v/>
      </c>
      <c r="E2022" s="14">
        <f>IF(F2022&lt;&gt;"","综合校验","")</f>
        <v/>
      </c>
      <c r="F2022" s="14">
        <f>IF('06_建筑锚点'!A22&lt;&gt;"",IF('06_建筑锚点'!A22="","缺少建筑ID；","")&amp;IF('06_建筑锚点'!B22="","缺少建筑名称；","")&amp;IF('06_建筑锚点'!C22="","缺少建筑类型；","")&amp;IF('06_建筑锚点'!D22="","缺少所属地点ID；","")&amp;IF('06_建筑锚点'!F22="","缺少世界X；","")&amp;IF('06_建筑锚点'!G22="","缺少世界Y；","")&amp;IF(AND('06_建筑锚点'!F22&lt;&gt;"",OR('06_建筑锚点'!F22&lt;0,'06_建筑锚点'!F22&gt;WorldWidth)),"世界X越界；","")&amp;IF(AND('06_建筑锚点'!G22&lt;&gt;"",OR('06_建筑锚点'!G22&lt;0,'06_建筑锚点'!G22&gt;WorldHeight)),"世界Y越界；","")&amp;IF(AND('06_建筑锚点'!D22&lt;&gt;"",COUNTIF('03_地点锚点'!$A$2:$A$501,'06_建筑锚点'!D22)=0),"建筑所属地点不存在；","")&amp;IF(AND('06_建筑锚点'!T22&lt;&gt;"",COUNTIF('07_动态状态'!$A$2:$A$501,'06_建筑锚点'!T22)=0),"运营状态编码不存在；","")&amp;IF(AND('06_建筑锚点'!A22&lt;&gt;"",COUNTIF('06_建筑锚点'!$A$2:$A$501,'06_建筑锚点'!A22)&gt;1),"ID重复；",""),"")</f>
        <v/>
      </c>
      <c r="G2022" s="14">
        <f>IF(F2022&lt;&gt;"","按字段批注、数据字典和来源记录修正后复核","")</f>
        <v/>
      </c>
      <c r="H2022" s="14">
        <f>IF(F2022&lt;&gt;"","待处理","")</f>
        <v/>
      </c>
    </row>
    <row r="2023">
      <c r="A2023" s="14">
        <f>IF(F2023&lt;&gt;"","ISSUE-"&amp;TEXT(ROW()-1,"00000"),"")</f>
        <v/>
      </c>
      <c r="B2023" s="14">
        <f>IF(F2023&lt;&gt;"","错误","")</f>
        <v/>
      </c>
      <c r="C2023" s="14">
        <f>IF('06_建筑锚点'!A23&lt;&gt;"","06_建筑锚点","")</f>
        <v/>
      </c>
      <c r="D2023" s="14">
        <f>IF('06_建筑锚点'!A23&lt;&gt;"",'06_建筑锚点'!A23,"")</f>
        <v/>
      </c>
      <c r="E2023" s="14">
        <f>IF(F2023&lt;&gt;"","综合校验","")</f>
        <v/>
      </c>
      <c r="F2023" s="14">
        <f>IF('06_建筑锚点'!A23&lt;&gt;"",IF('06_建筑锚点'!A23="","缺少建筑ID；","")&amp;IF('06_建筑锚点'!B23="","缺少建筑名称；","")&amp;IF('06_建筑锚点'!C23="","缺少建筑类型；","")&amp;IF('06_建筑锚点'!D23="","缺少所属地点ID；","")&amp;IF('06_建筑锚点'!F23="","缺少世界X；","")&amp;IF('06_建筑锚点'!G23="","缺少世界Y；","")&amp;IF(AND('06_建筑锚点'!F23&lt;&gt;"",OR('06_建筑锚点'!F23&lt;0,'06_建筑锚点'!F23&gt;WorldWidth)),"世界X越界；","")&amp;IF(AND('06_建筑锚点'!G23&lt;&gt;"",OR('06_建筑锚点'!G23&lt;0,'06_建筑锚点'!G23&gt;WorldHeight)),"世界Y越界；","")&amp;IF(AND('06_建筑锚点'!D23&lt;&gt;"",COUNTIF('03_地点锚点'!$A$2:$A$501,'06_建筑锚点'!D23)=0),"建筑所属地点不存在；","")&amp;IF(AND('06_建筑锚点'!T23&lt;&gt;"",COUNTIF('07_动态状态'!$A$2:$A$501,'06_建筑锚点'!T23)=0),"运营状态编码不存在；","")&amp;IF(AND('06_建筑锚点'!A23&lt;&gt;"",COUNTIF('06_建筑锚点'!$A$2:$A$501,'06_建筑锚点'!A23)&gt;1),"ID重复；",""),"")</f>
        <v/>
      </c>
      <c r="G2023" s="14">
        <f>IF(F2023&lt;&gt;"","按字段批注、数据字典和来源记录修正后复核","")</f>
        <v/>
      </c>
      <c r="H2023" s="14">
        <f>IF(F2023&lt;&gt;"","待处理","")</f>
        <v/>
      </c>
    </row>
    <row r="2024">
      <c r="A2024" s="14">
        <f>IF(F2024&lt;&gt;"","ISSUE-"&amp;TEXT(ROW()-1,"00000"),"")</f>
        <v/>
      </c>
      <c r="B2024" s="14">
        <f>IF(F2024&lt;&gt;"","错误","")</f>
        <v/>
      </c>
      <c r="C2024" s="14">
        <f>IF('06_建筑锚点'!A24&lt;&gt;"","06_建筑锚点","")</f>
        <v/>
      </c>
      <c r="D2024" s="14">
        <f>IF('06_建筑锚点'!A24&lt;&gt;"",'06_建筑锚点'!A24,"")</f>
        <v/>
      </c>
      <c r="E2024" s="14">
        <f>IF(F2024&lt;&gt;"","综合校验","")</f>
        <v/>
      </c>
      <c r="F2024" s="14">
        <f>IF('06_建筑锚点'!A24&lt;&gt;"",IF('06_建筑锚点'!A24="","缺少建筑ID；","")&amp;IF('06_建筑锚点'!B24="","缺少建筑名称；","")&amp;IF('06_建筑锚点'!C24="","缺少建筑类型；","")&amp;IF('06_建筑锚点'!D24="","缺少所属地点ID；","")&amp;IF('06_建筑锚点'!F24="","缺少世界X；","")&amp;IF('06_建筑锚点'!G24="","缺少世界Y；","")&amp;IF(AND('06_建筑锚点'!F24&lt;&gt;"",OR('06_建筑锚点'!F24&lt;0,'06_建筑锚点'!F24&gt;WorldWidth)),"世界X越界；","")&amp;IF(AND('06_建筑锚点'!G24&lt;&gt;"",OR('06_建筑锚点'!G24&lt;0,'06_建筑锚点'!G24&gt;WorldHeight)),"世界Y越界；","")&amp;IF(AND('06_建筑锚点'!D24&lt;&gt;"",COUNTIF('03_地点锚点'!$A$2:$A$501,'06_建筑锚点'!D24)=0),"建筑所属地点不存在；","")&amp;IF(AND('06_建筑锚点'!T24&lt;&gt;"",COUNTIF('07_动态状态'!$A$2:$A$501,'06_建筑锚点'!T24)=0),"运营状态编码不存在；","")&amp;IF(AND('06_建筑锚点'!A24&lt;&gt;"",COUNTIF('06_建筑锚点'!$A$2:$A$501,'06_建筑锚点'!A24)&gt;1),"ID重复；",""),"")</f>
        <v/>
      </c>
      <c r="G2024" s="14">
        <f>IF(F2024&lt;&gt;"","按字段批注、数据字典和来源记录修正后复核","")</f>
        <v/>
      </c>
      <c r="H2024" s="14">
        <f>IF(F2024&lt;&gt;"","待处理","")</f>
        <v/>
      </c>
    </row>
    <row r="2025">
      <c r="A2025" s="14">
        <f>IF(F2025&lt;&gt;"","ISSUE-"&amp;TEXT(ROW()-1,"00000"),"")</f>
        <v/>
      </c>
      <c r="B2025" s="14">
        <f>IF(F2025&lt;&gt;"","错误","")</f>
        <v/>
      </c>
      <c r="C2025" s="14">
        <f>IF('06_建筑锚点'!A25&lt;&gt;"","06_建筑锚点","")</f>
        <v/>
      </c>
      <c r="D2025" s="14">
        <f>IF('06_建筑锚点'!A25&lt;&gt;"",'06_建筑锚点'!A25,"")</f>
        <v/>
      </c>
      <c r="E2025" s="14">
        <f>IF(F2025&lt;&gt;"","综合校验","")</f>
        <v/>
      </c>
      <c r="F2025" s="14">
        <f>IF('06_建筑锚点'!A25&lt;&gt;"",IF('06_建筑锚点'!A25="","缺少建筑ID；","")&amp;IF('06_建筑锚点'!B25="","缺少建筑名称；","")&amp;IF('06_建筑锚点'!C25="","缺少建筑类型；","")&amp;IF('06_建筑锚点'!D25="","缺少所属地点ID；","")&amp;IF('06_建筑锚点'!F25="","缺少世界X；","")&amp;IF('06_建筑锚点'!G25="","缺少世界Y；","")&amp;IF(AND('06_建筑锚点'!F25&lt;&gt;"",OR('06_建筑锚点'!F25&lt;0,'06_建筑锚点'!F25&gt;WorldWidth)),"世界X越界；","")&amp;IF(AND('06_建筑锚点'!G25&lt;&gt;"",OR('06_建筑锚点'!G25&lt;0,'06_建筑锚点'!G25&gt;WorldHeight)),"世界Y越界；","")&amp;IF(AND('06_建筑锚点'!D25&lt;&gt;"",COUNTIF('03_地点锚点'!$A$2:$A$501,'06_建筑锚点'!D25)=0),"建筑所属地点不存在；","")&amp;IF(AND('06_建筑锚点'!T25&lt;&gt;"",COUNTIF('07_动态状态'!$A$2:$A$501,'06_建筑锚点'!T25)=0),"运营状态编码不存在；","")&amp;IF(AND('06_建筑锚点'!A25&lt;&gt;"",COUNTIF('06_建筑锚点'!$A$2:$A$501,'06_建筑锚点'!A25)&gt;1),"ID重复；",""),"")</f>
        <v/>
      </c>
      <c r="G2025" s="14">
        <f>IF(F2025&lt;&gt;"","按字段批注、数据字典和来源记录修正后复核","")</f>
        <v/>
      </c>
      <c r="H2025" s="14">
        <f>IF(F2025&lt;&gt;"","待处理","")</f>
        <v/>
      </c>
    </row>
    <row r="2026">
      <c r="A2026" s="14">
        <f>IF(F2026&lt;&gt;"","ISSUE-"&amp;TEXT(ROW()-1,"00000"),"")</f>
        <v/>
      </c>
      <c r="B2026" s="14">
        <f>IF(F2026&lt;&gt;"","错误","")</f>
        <v/>
      </c>
      <c r="C2026" s="14">
        <f>IF('06_建筑锚点'!A26&lt;&gt;"","06_建筑锚点","")</f>
        <v/>
      </c>
      <c r="D2026" s="14">
        <f>IF('06_建筑锚点'!A26&lt;&gt;"",'06_建筑锚点'!A26,"")</f>
        <v/>
      </c>
      <c r="E2026" s="14">
        <f>IF(F2026&lt;&gt;"","综合校验","")</f>
        <v/>
      </c>
      <c r="F2026" s="14">
        <f>IF('06_建筑锚点'!A26&lt;&gt;"",IF('06_建筑锚点'!A26="","缺少建筑ID；","")&amp;IF('06_建筑锚点'!B26="","缺少建筑名称；","")&amp;IF('06_建筑锚点'!C26="","缺少建筑类型；","")&amp;IF('06_建筑锚点'!D26="","缺少所属地点ID；","")&amp;IF('06_建筑锚点'!F26="","缺少世界X；","")&amp;IF('06_建筑锚点'!G26="","缺少世界Y；","")&amp;IF(AND('06_建筑锚点'!F26&lt;&gt;"",OR('06_建筑锚点'!F26&lt;0,'06_建筑锚点'!F26&gt;WorldWidth)),"世界X越界；","")&amp;IF(AND('06_建筑锚点'!G26&lt;&gt;"",OR('06_建筑锚点'!G26&lt;0,'06_建筑锚点'!G26&gt;WorldHeight)),"世界Y越界；","")&amp;IF(AND('06_建筑锚点'!D26&lt;&gt;"",COUNTIF('03_地点锚点'!$A$2:$A$501,'06_建筑锚点'!D26)=0),"建筑所属地点不存在；","")&amp;IF(AND('06_建筑锚点'!T26&lt;&gt;"",COUNTIF('07_动态状态'!$A$2:$A$501,'06_建筑锚点'!T26)=0),"运营状态编码不存在；","")&amp;IF(AND('06_建筑锚点'!A26&lt;&gt;"",COUNTIF('06_建筑锚点'!$A$2:$A$501,'06_建筑锚点'!A26)&gt;1),"ID重复；",""),"")</f>
        <v/>
      </c>
      <c r="G2026" s="14">
        <f>IF(F2026&lt;&gt;"","按字段批注、数据字典和来源记录修正后复核","")</f>
        <v/>
      </c>
      <c r="H2026" s="14">
        <f>IF(F2026&lt;&gt;"","待处理","")</f>
        <v/>
      </c>
    </row>
    <row r="2027">
      <c r="A2027" s="14">
        <f>IF(F2027&lt;&gt;"","ISSUE-"&amp;TEXT(ROW()-1,"00000"),"")</f>
        <v/>
      </c>
      <c r="B2027" s="14">
        <f>IF(F2027&lt;&gt;"","错误","")</f>
        <v/>
      </c>
      <c r="C2027" s="14">
        <f>IF('06_建筑锚点'!A27&lt;&gt;"","06_建筑锚点","")</f>
        <v/>
      </c>
      <c r="D2027" s="14">
        <f>IF('06_建筑锚点'!A27&lt;&gt;"",'06_建筑锚点'!A27,"")</f>
        <v/>
      </c>
      <c r="E2027" s="14">
        <f>IF(F2027&lt;&gt;"","综合校验","")</f>
        <v/>
      </c>
      <c r="F2027" s="14">
        <f>IF('06_建筑锚点'!A27&lt;&gt;"",IF('06_建筑锚点'!A27="","缺少建筑ID；","")&amp;IF('06_建筑锚点'!B27="","缺少建筑名称；","")&amp;IF('06_建筑锚点'!C27="","缺少建筑类型；","")&amp;IF('06_建筑锚点'!D27="","缺少所属地点ID；","")&amp;IF('06_建筑锚点'!F27="","缺少世界X；","")&amp;IF('06_建筑锚点'!G27="","缺少世界Y；","")&amp;IF(AND('06_建筑锚点'!F27&lt;&gt;"",OR('06_建筑锚点'!F27&lt;0,'06_建筑锚点'!F27&gt;WorldWidth)),"世界X越界；","")&amp;IF(AND('06_建筑锚点'!G27&lt;&gt;"",OR('06_建筑锚点'!G27&lt;0,'06_建筑锚点'!G27&gt;WorldHeight)),"世界Y越界；","")&amp;IF(AND('06_建筑锚点'!D27&lt;&gt;"",COUNTIF('03_地点锚点'!$A$2:$A$501,'06_建筑锚点'!D27)=0),"建筑所属地点不存在；","")&amp;IF(AND('06_建筑锚点'!T27&lt;&gt;"",COUNTIF('07_动态状态'!$A$2:$A$501,'06_建筑锚点'!T27)=0),"运营状态编码不存在；","")&amp;IF(AND('06_建筑锚点'!A27&lt;&gt;"",COUNTIF('06_建筑锚点'!$A$2:$A$501,'06_建筑锚点'!A27)&gt;1),"ID重复；",""),"")</f>
        <v/>
      </c>
      <c r="G2027" s="14">
        <f>IF(F2027&lt;&gt;"","按字段批注、数据字典和来源记录修正后复核","")</f>
        <v/>
      </c>
      <c r="H2027" s="14">
        <f>IF(F2027&lt;&gt;"","待处理","")</f>
        <v/>
      </c>
    </row>
    <row r="2028">
      <c r="A2028" s="14">
        <f>IF(F2028&lt;&gt;"","ISSUE-"&amp;TEXT(ROW()-1,"00000"),"")</f>
        <v/>
      </c>
      <c r="B2028" s="14">
        <f>IF(F2028&lt;&gt;"","错误","")</f>
        <v/>
      </c>
      <c r="C2028" s="14">
        <f>IF('06_建筑锚点'!A28&lt;&gt;"","06_建筑锚点","")</f>
        <v/>
      </c>
      <c r="D2028" s="14">
        <f>IF('06_建筑锚点'!A28&lt;&gt;"",'06_建筑锚点'!A28,"")</f>
        <v/>
      </c>
      <c r="E2028" s="14">
        <f>IF(F2028&lt;&gt;"","综合校验","")</f>
        <v/>
      </c>
      <c r="F2028" s="14">
        <f>IF('06_建筑锚点'!A28&lt;&gt;"",IF('06_建筑锚点'!A28="","缺少建筑ID；","")&amp;IF('06_建筑锚点'!B28="","缺少建筑名称；","")&amp;IF('06_建筑锚点'!C28="","缺少建筑类型；","")&amp;IF('06_建筑锚点'!D28="","缺少所属地点ID；","")&amp;IF('06_建筑锚点'!F28="","缺少世界X；","")&amp;IF('06_建筑锚点'!G28="","缺少世界Y；","")&amp;IF(AND('06_建筑锚点'!F28&lt;&gt;"",OR('06_建筑锚点'!F28&lt;0,'06_建筑锚点'!F28&gt;WorldWidth)),"世界X越界；","")&amp;IF(AND('06_建筑锚点'!G28&lt;&gt;"",OR('06_建筑锚点'!G28&lt;0,'06_建筑锚点'!G28&gt;WorldHeight)),"世界Y越界；","")&amp;IF(AND('06_建筑锚点'!D28&lt;&gt;"",COUNTIF('03_地点锚点'!$A$2:$A$501,'06_建筑锚点'!D28)=0),"建筑所属地点不存在；","")&amp;IF(AND('06_建筑锚点'!T28&lt;&gt;"",COUNTIF('07_动态状态'!$A$2:$A$501,'06_建筑锚点'!T28)=0),"运营状态编码不存在；","")&amp;IF(AND('06_建筑锚点'!A28&lt;&gt;"",COUNTIF('06_建筑锚点'!$A$2:$A$501,'06_建筑锚点'!A28)&gt;1),"ID重复；",""),"")</f>
        <v/>
      </c>
      <c r="G2028" s="14">
        <f>IF(F2028&lt;&gt;"","按字段批注、数据字典和来源记录修正后复核","")</f>
        <v/>
      </c>
      <c r="H2028" s="14">
        <f>IF(F2028&lt;&gt;"","待处理","")</f>
        <v/>
      </c>
    </row>
    <row r="2029">
      <c r="A2029" s="14">
        <f>IF(F2029&lt;&gt;"","ISSUE-"&amp;TEXT(ROW()-1,"00000"),"")</f>
        <v/>
      </c>
      <c r="B2029" s="14">
        <f>IF(F2029&lt;&gt;"","错误","")</f>
        <v/>
      </c>
      <c r="C2029" s="14">
        <f>IF('06_建筑锚点'!A29&lt;&gt;"","06_建筑锚点","")</f>
        <v/>
      </c>
      <c r="D2029" s="14">
        <f>IF('06_建筑锚点'!A29&lt;&gt;"",'06_建筑锚点'!A29,"")</f>
        <v/>
      </c>
      <c r="E2029" s="14">
        <f>IF(F2029&lt;&gt;"","综合校验","")</f>
        <v/>
      </c>
      <c r="F2029" s="14">
        <f>IF('06_建筑锚点'!A29&lt;&gt;"",IF('06_建筑锚点'!A29="","缺少建筑ID；","")&amp;IF('06_建筑锚点'!B29="","缺少建筑名称；","")&amp;IF('06_建筑锚点'!C29="","缺少建筑类型；","")&amp;IF('06_建筑锚点'!D29="","缺少所属地点ID；","")&amp;IF('06_建筑锚点'!F29="","缺少世界X；","")&amp;IF('06_建筑锚点'!G29="","缺少世界Y；","")&amp;IF(AND('06_建筑锚点'!F29&lt;&gt;"",OR('06_建筑锚点'!F29&lt;0,'06_建筑锚点'!F29&gt;WorldWidth)),"世界X越界；","")&amp;IF(AND('06_建筑锚点'!G29&lt;&gt;"",OR('06_建筑锚点'!G29&lt;0,'06_建筑锚点'!G29&gt;WorldHeight)),"世界Y越界；","")&amp;IF(AND('06_建筑锚点'!D29&lt;&gt;"",COUNTIF('03_地点锚点'!$A$2:$A$501,'06_建筑锚点'!D29)=0),"建筑所属地点不存在；","")&amp;IF(AND('06_建筑锚点'!T29&lt;&gt;"",COUNTIF('07_动态状态'!$A$2:$A$501,'06_建筑锚点'!T29)=0),"运营状态编码不存在；","")&amp;IF(AND('06_建筑锚点'!A29&lt;&gt;"",COUNTIF('06_建筑锚点'!$A$2:$A$501,'06_建筑锚点'!A29)&gt;1),"ID重复；",""),"")</f>
        <v/>
      </c>
      <c r="G2029" s="14">
        <f>IF(F2029&lt;&gt;"","按字段批注、数据字典和来源记录修正后复核","")</f>
        <v/>
      </c>
      <c r="H2029" s="14">
        <f>IF(F2029&lt;&gt;"","待处理","")</f>
        <v/>
      </c>
    </row>
    <row r="2030">
      <c r="A2030" s="14">
        <f>IF(F2030&lt;&gt;"","ISSUE-"&amp;TEXT(ROW()-1,"00000"),"")</f>
        <v/>
      </c>
      <c r="B2030" s="14">
        <f>IF(F2030&lt;&gt;"","错误","")</f>
        <v/>
      </c>
      <c r="C2030" s="14">
        <f>IF('06_建筑锚点'!A30&lt;&gt;"","06_建筑锚点","")</f>
        <v/>
      </c>
      <c r="D2030" s="14">
        <f>IF('06_建筑锚点'!A30&lt;&gt;"",'06_建筑锚点'!A30,"")</f>
        <v/>
      </c>
      <c r="E2030" s="14">
        <f>IF(F2030&lt;&gt;"","综合校验","")</f>
        <v/>
      </c>
      <c r="F2030" s="14">
        <f>IF('06_建筑锚点'!A30&lt;&gt;"",IF('06_建筑锚点'!A30="","缺少建筑ID；","")&amp;IF('06_建筑锚点'!B30="","缺少建筑名称；","")&amp;IF('06_建筑锚点'!C30="","缺少建筑类型；","")&amp;IF('06_建筑锚点'!D30="","缺少所属地点ID；","")&amp;IF('06_建筑锚点'!F30="","缺少世界X；","")&amp;IF('06_建筑锚点'!G30="","缺少世界Y；","")&amp;IF(AND('06_建筑锚点'!F30&lt;&gt;"",OR('06_建筑锚点'!F30&lt;0,'06_建筑锚点'!F30&gt;WorldWidth)),"世界X越界；","")&amp;IF(AND('06_建筑锚点'!G30&lt;&gt;"",OR('06_建筑锚点'!G30&lt;0,'06_建筑锚点'!G30&gt;WorldHeight)),"世界Y越界；","")&amp;IF(AND('06_建筑锚点'!D30&lt;&gt;"",COUNTIF('03_地点锚点'!$A$2:$A$501,'06_建筑锚点'!D30)=0),"建筑所属地点不存在；","")&amp;IF(AND('06_建筑锚点'!T30&lt;&gt;"",COUNTIF('07_动态状态'!$A$2:$A$501,'06_建筑锚点'!T30)=0),"运营状态编码不存在；","")&amp;IF(AND('06_建筑锚点'!A30&lt;&gt;"",COUNTIF('06_建筑锚点'!$A$2:$A$501,'06_建筑锚点'!A30)&gt;1),"ID重复；",""),"")</f>
        <v/>
      </c>
      <c r="G2030" s="14">
        <f>IF(F2030&lt;&gt;"","按字段批注、数据字典和来源记录修正后复核","")</f>
        <v/>
      </c>
      <c r="H2030" s="14">
        <f>IF(F2030&lt;&gt;"","待处理","")</f>
        <v/>
      </c>
    </row>
    <row r="2031">
      <c r="A2031" s="14">
        <f>IF(F2031&lt;&gt;"","ISSUE-"&amp;TEXT(ROW()-1,"00000"),"")</f>
        <v/>
      </c>
      <c r="B2031" s="14">
        <f>IF(F2031&lt;&gt;"","错误","")</f>
        <v/>
      </c>
      <c r="C2031" s="14">
        <f>IF('06_建筑锚点'!A31&lt;&gt;"","06_建筑锚点","")</f>
        <v/>
      </c>
      <c r="D2031" s="14">
        <f>IF('06_建筑锚点'!A31&lt;&gt;"",'06_建筑锚点'!A31,"")</f>
        <v/>
      </c>
      <c r="E2031" s="14">
        <f>IF(F2031&lt;&gt;"","综合校验","")</f>
        <v/>
      </c>
      <c r="F2031" s="14">
        <f>IF('06_建筑锚点'!A31&lt;&gt;"",IF('06_建筑锚点'!A31="","缺少建筑ID；","")&amp;IF('06_建筑锚点'!B31="","缺少建筑名称；","")&amp;IF('06_建筑锚点'!C31="","缺少建筑类型；","")&amp;IF('06_建筑锚点'!D31="","缺少所属地点ID；","")&amp;IF('06_建筑锚点'!F31="","缺少世界X；","")&amp;IF('06_建筑锚点'!G31="","缺少世界Y；","")&amp;IF(AND('06_建筑锚点'!F31&lt;&gt;"",OR('06_建筑锚点'!F31&lt;0,'06_建筑锚点'!F31&gt;WorldWidth)),"世界X越界；","")&amp;IF(AND('06_建筑锚点'!G31&lt;&gt;"",OR('06_建筑锚点'!G31&lt;0,'06_建筑锚点'!G31&gt;WorldHeight)),"世界Y越界；","")&amp;IF(AND('06_建筑锚点'!D31&lt;&gt;"",COUNTIF('03_地点锚点'!$A$2:$A$501,'06_建筑锚点'!D31)=0),"建筑所属地点不存在；","")&amp;IF(AND('06_建筑锚点'!T31&lt;&gt;"",COUNTIF('07_动态状态'!$A$2:$A$501,'06_建筑锚点'!T31)=0),"运营状态编码不存在；","")&amp;IF(AND('06_建筑锚点'!A31&lt;&gt;"",COUNTIF('06_建筑锚点'!$A$2:$A$501,'06_建筑锚点'!A31)&gt;1),"ID重复；",""),"")</f>
        <v/>
      </c>
      <c r="G2031" s="14">
        <f>IF(F2031&lt;&gt;"","按字段批注、数据字典和来源记录修正后复核","")</f>
        <v/>
      </c>
      <c r="H2031" s="14">
        <f>IF(F2031&lt;&gt;"","待处理","")</f>
        <v/>
      </c>
    </row>
    <row r="2032">
      <c r="A2032" s="14">
        <f>IF(F2032&lt;&gt;"","ISSUE-"&amp;TEXT(ROW()-1,"00000"),"")</f>
        <v/>
      </c>
      <c r="B2032" s="14">
        <f>IF(F2032&lt;&gt;"","错误","")</f>
        <v/>
      </c>
      <c r="C2032" s="14">
        <f>IF('06_建筑锚点'!A32&lt;&gt;"","06_建筑锚点","")</f>
        <v/>
      </c>
      <c r="D2032" s="14">
        <f>IF('06_建筑锚点'!A32&lt;&gt;"",'06_建筑锚点'!A32,"")</f>
        <v/>
      </c>
      <c r="E2032" s="14">
        <f>IF(F2032&lt;&gt;"","综合校验","")</f>
        <v/>
      </c>
      <c r="F2032" s="14">
        <f>IF('06_建筑锚点'!A32&lt;&gt;"",IF('06_建筑锚点'!A32="","缺少建筑ID；","")&amp;IF('06_建筑锚点'!B32="","缺少建筑名称；","")&amp;IF('06_建筑锚点'!C32="","缺少建筑类型；","")&amp;IF('06_建筑锚点'!D32="","缺少所属地点ID；","")&amp;IF('06_建筑锚点'!F32="","缺少世界X；","")&amp;IF('06_建筑锚点'!G32="","缺少世界Y；","")&amp;IF(AND('06_建筑锚点'!F32&lt;&gt;"",OR('06_建筑锚点'!F32&lt;0,'06_建筑锚点'!F32&gt;WorldWidth)),"世界X越界；","")&amp;IF(AND('06_建筑锚点'!G32&lt;&gt;"",OR('06_建筑锚点'!G32&lt;0,'06_建筑锚点'!G32&gt;WorldHeight)),"世界Y越界；","")&amp;IF(AND('06_建筑锚点'!D32&lt;&gt;"",COUNTIF('03_地点锚点'!$A$2:$A$501,'06_建筑锚点'!D32)=0),"建筑所属地点不存在；","")&amp;IF(AND('06_建筑锚点'!T32&lt;&gt;"",COUNTIF('07_动态状态'!$A$2:$A$501,'06_建筑锚点'!T32)=0),"运营状态编码不存在；","")&amp;IF(AND('06_建筑锚点'!A32&lt;&gt;"",COUNTIF('06_建筑锚点'!$A$2:$A$501,'06_建筑锚点'!A32)&gt;1),"ID重复；",""),"")</f>
        <v/>
      </c>
      <c r="G2032" s="14">
        <f>IF(F2032&lt;&gt;"","按字段批注、数据字典和来源记录修正后复核","")</f>
        <v/>
      </c>
      <c r="H2032" s="14">
        <f>IF(F2032&lt;&gt;"","待处理","")</f>
        <v/>
      </c>
    </row>
    <row r="2033">
      <c r="A2033" s="14">
        <f>IF(F2033&lt;&gt;"","ISSUE-"&amp;TEXT(ROW()-1,"00000"),"")</f>
        <v/>
      </c>
      <c r="B2033" s="14">
        <f>IF(F2033&lt;&gt;"","错误","")</f>
        <v/>
      </c>
      <c r="C2033" s="14">
        <f>IF('06_建筑锚点'!A33&lt;&gt;"","06_建筑锚点","")</f>
        <v/>
      </c>
      <c r="D2033" s="14">
        <f>IF('06_建筑锚点'!A33&lt;&gt;"",'06_建筑锚点'!A33,"")</f>
        <v/>
      </c>
      <c r="E2033" s="14">
        <f>IF(F2033&lt;&gt;"","综合校验","")</f>
        <v/>
      </c>
      <c r="F2033" s="14">
        <f>IF('06_建筑锚点'!A33&lt;&gt;"",IF('06_建筑锚点'!A33="","缺少建筑ID；","")&amp;IF('06_建筑锚点'!B33="","缺少建筑名称；","")&amp;IF('06_建筑锚点'!C33="","缺少建筑类型；","")&amp;IF('06_建筑锚点'!D33="","缺少所属地点ID；","")&amp;IF('06_建筑锚点'!F33="","缺少世界X；","")&amp;IF('06_建筑锚点'!G33="","缺少世界Y；","")&amp;IF(AND('06_建筑锚点'!F33&lt;&gt;"",OR('06_建筑锚点'!F33&lt;0,'06_建筑锚点'!F33&gt;WorldWidth)),"世界X越界；","")&amp;IF(AND('06_建筑锚点'!G33&lt;&gt;"",OR('06_建筑锚点'!G33&lt;0,'06_建筑锚点'!G33&gt;WorldHeight)),"世界Y越界；","")&amp;IF(AND('06_建筑锚点'!D33&lt;&gt;"",COUNTIF('03_地点锚点'!$A$2:$A$501,'06_建筑锚点'!D33)=0),"建筑所属地点不存在；","")&amp;IF(AND('06_建筑锚点'!T33&lt;&gt;"",COUNTIF('07_动态状态'!$A$2:$A$501,'06_建筑锚点'!T33)=0),"运营状态编码不存在；","")&amp;IF(AND('06_建筑锚点'!A33&lt;&gt;"",COUNTIF('06_建筑锚点'!$A$2:$A$501,'06_建筑锚点'!A33)&gt;1),"ID重复；",""),"")</f>
        <v/>
      </c>
      <c r="G2033" s="14">
        <f>IF(F2033&lt;&gt;"","按字段批注、数据字典和来源记录修正后复核","")</f>
        <v/>
      </c>
      <c r="H2033" s="14">
        <f>IF(F2033&lt;&gt;"","待处理","")</f>
        <v/>
      </c>
    </row>
    <row r="2034">
      <c r="A2034" s="14">
        <f>IF(F2034&lt;&gt;"","ISSUE-"&amp;TEXT(ROW()-1,"00000"),"")</f>
        <v/>
      </c>
      <c r="B2034" s="14">
        <f>IF(F2034&lt;&gt;"","错误","")</f>
        <v/>
      </c>
      <c r="C2034" s="14">
        <f>IF('06_建筑锚点'!A34&lt;&gt;"","06_建筑锚点","")</f>
        <v/>
      </c>
      <c r="D2034" s="14">
        <f>IF('06_建筑锚点'!A34&lt;&gt;"",'06_建筑锚点'!A34,"")</f>
        <v/>
      </c>
      <c r="E2034" s="14">
        <f>IF(F2034&lt;&gt;"","综合校验","")</f>
        <v/>
      </c>
      <c r="F2034" s="14">
        <f>IF('06_建筑锚点'!A34&lt;&gt;"",IF('06_建筑锚点'!A34="","缺少建筑ID；","")&amp;IF('06_建筑锚点'!B34="","缺少建筑名称；","")&amp;IF('06_建筑锚点'!C34="","缺少建筑类型；","")&amp;IF('06_建筑锚点'!D34="","缺少所属地点ID；","")&amp;IF('06_建筑锚点'!F34="","缺少世界X；","")&amp;IF('06_建筑锚点'!G34="","缺少世界Y；","")&amp;IF(AND('06_建筑锚点'!F34&lt;&gt;"",OR('06_建筑锚点'!F34&lt;0,'06_建筑锚点'!F34&gt;WorldWidth)),"世界X越界；","")&amp;IF(AND('06_建筑锚点'!G34&lt;&gt;"",OR('06_建筑锚点'!G34&lt;0,'06_建筑锚点'!G34&gt;WorldHeight)),"世界Y越界；","")&amp;IF(AND('06_建筑锚点'!D34&lt;&gt;"",COUNTIF('03_地点锚点'!$A$2:$A$501,'06_建筑锚点'!D34)=0),"建筑所属地点不存在；","")&amp;IF(AND('06_建筑锚点'!T34&lt;&gt;"",COUNTIF('07_动态状态'!$A$2:$A$501,'06_建筑锚点'!T34)=0),"运营状态编码不存在；","")&amp;IF(AND('06_建筑锚点'!A34&lt;&gt;"",COUNTIF('06_建筑锚点'!$A$2:$A$501,'06_建筑锚点'!A34)&gt;1),"ID重复；",""),"")</f>
        <v/>
      </c>
      <c r="G2034" s="14">
        <f>IF(F2034&lt;&gt;"","按字段批注、数据字典和来源记录修正后复核","")</f>
        <v/>
      </c>
      <c r="H2034" s="14">
        <f>IF(F2034&lt;&gt;"","待处理","")</f>
        <v/>
      </c>
    </row>
    <row r="2035">
      <c r="A2035" s="14">
        <f>IF(F2035&lt;&gt;"","ISSUE-"&amp;TEXT(ROW()-1,"00000"),"")</f>
        <v/>
      </c>
      <c r="B2035" s="14">
        <f>IF(F2035&lt;&gt;"","错误","")</f>
        <v/>
      </c>
      <c r="C2035" s="14">
        <f>IF('06_建筑锚点'!A35&lt;&gt;"","06_建筑锚点","")</f>
        <v/>
      </c>
      <c r="D2035" s="14">
        <f>IF('06_建筑锚点'!A35&lt;&gt;"",'06_建筑锚点'!A35,"")</f>
        <v/>
      </c>
      <c r="E2035" s="14">
        <f>IF(F2035&lt;&gt;"","综合校验","")</f>
        <v/>
      </c>
      <c r="F2035" s="14">
        <f>IF('06_建筑锚点'!A35&lt;&gt;"",IF('06_建筑锚点'!A35="","缺少建筑ID；","")&amp;IF('06_建筑锚点'!B35="","缺少建筑名称；","")&amp;IF('06_建筑锚点'!C35="","缺少建筑类型；","")&amp;IF('06_建筑锚点'!D35="","缺少所属地点ID；","")&amp;IF('06_建筑锚点'!F35="","缺少世界X；","")&amp;IF('06_建筑锚点'!G35="","缺少世界Y；","")&amp;IF(AND('06_建筑锚点'!F35&lt;&gt;"",OR('06_建筑锚点'!F35&lt;0,'06_建筑锚点'!F35&gt;WorldWidth)),"世界X越界；","")&amp;IF(AND('06_建筑锚点'!G35&lt;&gt;"",OR('06_建筑锚点'!G35&lt;0,'06_建筑锚点'!G35&gt;WorldHeight)),"世界Y越界；","")&amp;IF(AND('06_建筑锚点'!D35&lt;&gt;"",COUNTIF('03_地点锚点'!$A$2:$A$501,'06_建筑锚点'!D35)=0),"建筑所属地点不存在；","")&amp;IF(AND('06_建筑锚点'!T35&lt;&gt;"",COUNTIF('07_动态状态'!$A$2:$A$501,'06_建筑锚点'!T35)=0),"运营状态编码不存在；","")&amp;IF(AND('06_建筑锚点'!A35&lt;&gt;"",COUNTIF('06_建筑锚点'!$A$2:$A$501,'06_建筑锚点'!A35)&gt;1),"ID重复；",""),"")</f>
        <v/>
      </c>
      <c r="G2035" s="14">
        <f>IF(F2035&lt;&gt;"","按字段批注、数据字典和来源记录修正后复核","")</f>
        <v/>
      </c>
      <c r="H2035" s="14">
        <f>IF(F2035&lt;&gt;"","待处理","")</f>
        <v/>
      </c>
    </row>
    <row r="2036">
      <c r="A2036" s="14">
        <f>IF(F2036&lt;&gt;"","ISSUE-"&amp;TEXT(ROW()-1,"00000"),"")</f>
        <v/>
      </c>
      <c r="B2036" s="14">
        <f>IF(F2036&lt;&gt;"","错误","")</f>
        <v/>
      </c>
      <c r="C2036" s="14">
        <f>IF('06_建筑锚点'!A36&lt;&gt;"","06_建筑锚点","")</f>
        <v/>
      </c>
      <c r="D2036" s="14">
        <f>IF('06_建筑锚点'!A36&lt;&gt;"",'06_建筑锚点'!A36,"")</f>
        <v/>
      </c>
      <c r="E2036" s="14">
        <f>IF(F2036&lt;&gt;"","综合校验","")</f>
        <v/>
      </c>
      <c r="F2036" s="14">
        <f>IF('06_建筑锚点'!A36&lt;&gt;"",IF('06_建筑锚点'!A36="","缺少建筑ID；","")&amp;IF('06_建筑锚点'!B36="","缺少建筑名称；","")&amp;IF('06_建筑锚点'!C36="","缺少建筑类型；","")&amp;IF('06_建筑锚点'!D36="","缺少所属地点ID；","")&amp;IF('06_建筑锚点'!F36="","缺少世界X；","")&amp;IF('06_建筑锚点'!G36="","缺少世界Y；","")&amp;IF(AND('06_建筑锚点'!F36&lt;&gt;"",OR('06_建筑锚点'!F36&lt;0,'06_建筑锚点'!F36&gt;WorldWidth)),"世界X越界；","")&amp;IF(AND('06_建筑锚点'!G36&lt;&gt;"",OR('06_建筑锚点'!G36&lt;0,'06_建筑锚点'!G36&gt;WorldHeight)),"世界Y越界；","")&amp;IF(AND('06_建筑锚点'!D36&lt;&gt;"",COUNTIF('03_地点锚点'!$A$2:$A$501,'06_建筑锚点'!D36)=0),"建筑所属地点不存在；","")&amp;IF(AND('06_建筑锚点'!T36&lt;&gt;"",COUNTIF('07_动态状态'!$A$2:$A$501,'06_建筑锚点'!T36)=0),"运营状态编码不存在；","")&amp;IF(AND('06_建筑锚点'!A36&lt;&gt;"",COUNTIF('06_建筑锚点'!$A$2:$A$501,'06_建筑锚点'!A36)&gt;1),"ID重复；",""),"")</f>
        <v/>
      </c>
      <c r="G2036" s="14">
        <f>IF(F2036&lt;&gt;"","按字段批注、数据字典和来源记录修正后复核","")</f>
        <v/>
      </c>
      <c r="H2036" s="14">
        <f>IF(F2036&lt;&gt;"","待处理","")</f>
        <v/>
      </c>
    </row>
    <row r="2037">
      <c r="A2037" s="14">
        <f>IF(F2037&lt;&gt;"","ISSUE-"&amp;TEXT(ROW()-1,"00000"),"")</f>
        <v/>
      </c>
      <c r="B2037" s="14">
        <f>IF(F2037&lt;&gt;"","错误","")</f>
        <v/>
      </c>
      <c r="C2037" s="14">
        <f>IF('06_建筑锚点'!A37&lt;&gt;"","06_建筑锚点","")</f>
        <v/>
      </c>
      <c r="D2037" s="14">
        <f>IF('06_建筑锚点'!A37&lt;&gt;"",'06_建筑锚点'!A37,"")</f>
        <v/>
      </c>
      <c r="E2037" s="14">
        <f>IF(F2037&lt;&gt;"","综合校验","")</f>
        <v/>
      </c>
      <c r="F2037" s="14">
        <f>IF('06_建筑锚点'!A37&lt;&gt;"",IF('06_建筑锚点'!A37="","缺少建筑ID；","")&amp;IF('06_建筑锚点'!B37="","缺少建筑名称；","")&amp;IF('06_建筑锚点'!C37="","缺少建筑类型；","")&amp;IF('06_建筑锚点'!D37="","缺少所属地点ID；","")&amp;IF('06_建筑锚点'!F37="","缺少世界X；","")&amp;IF('06_建筑锚点'!G37="","缺少世界Y；","")&amp;IF(AND('06_建筑锚点'!F37&lt;&gt;"",OR('06_建筑锚点'!F37&lt;0,'06_建筑锚点'!F37&gt;WorldWidth)),"世界X越界；","")&amp;IF(AND('06_建筑锚点'!G37&lt;&gt;"",OR('06_建筑锚点'!G37&lt;0,'06_建筑锚点'!G37&gt;WorldHeight)),"世界Y越界；","")&amp;IF(AND('06_建筑锚点'!D37&lt;&gt;"",COUNTIF('03_地点锚点'!$A$2:$A$501,'06_建筑锚点'!D37)=0),"建筑所属地点不存在；","")&amp;IF(AND('06_建筑锚点'!T37&lt;&gt;"",COUNTIF('07_动态状态'!$A$2:$A$501,'06_建筑锚点'!T37)=0),"运营状态编码不存在；","")&amp;IF(AND('06_建筑锚点'!A37&lt;&gt;"",COUNTIF('06_建筑锚点'!$A$2:$A$501,'06_建筑锚点'!A37)&gt;1),"ID重复；",""),"")</f>
        <v/>
      </c>
      <c r="G2037" s="14">
        <f>IF(F2037&lt;&gt;"","按字段批注、数据字典和来源记录修正后复核","")</f>
        <v/>
      </c>
      <c r="H2037" s="14">
        <f>IF(F2037&lt;&gt;"","待处理","")</f>
        <v/>
      </c>
    </row>
    <row r="2038">
      <c r="A2038" s="14">
        <f>IF(F2038&lt;&gt;"","ISSUE-"&amp;TEXT(ROW()-1,"00000"),"")</f>
        <v/>
      </c>
      <c r="B2038" s="14">
        <f>IF(F2038&lt;&gt;"","错误","")</f>
        <v/>
      </c>
      <c r="C2038" s="14">
        <f>IF('06_建筑锚点'!A38&lt;&gt;"","06_建筑锚点","")</f>
        <v/>
      </c>
      <c r="D2038" s="14">
        <f>IF('06_建筑锚点'!A38&lt;&gt;"",'06_建筑锚点'!A38,"")</f>
        <v/>
      </c>
      <c r="E2038" s="14">
        <f>IF(F2038&lt;&gt;"","综合校验","")</f>
        <v/>
      </c>
      <c r="F2038" s="14">
        <f>IF('06_建筑锚点'!A38&lt;&gt;"",IF('06_建筑锚点'!A38="","缺少建筑ID；","")&amp;IF('06_建筑锚点'!B38="","缺少建筑名称；","")&amp;IF('06_建筑锚点'!C38="","缺少建筑类型；","")&amp;IF('06_建筑锚点'!D38="","缺少所属地点ID；","")&amp;IF('06_建筑锚点'!F38="","缺少世界X；","")&amp;IF('06_建筑锚点'!G38="","缺少世界Y；","")&amp;IF(AND('06_建筑锚点'!F38&lt;&gt;"",OR('06_建筑锚点'!F38&lt;0,'06_建筑锚点'!F38&gt;WorldWidth)),"世界X越界；","")&amp;IF(AND('06_建筑锚点'!G38&lt;&gt;"",OR('06_建筑锚点'!G38&lt;0,'06_建筑锚点'!G38&gt;WorldHeight)),"世界Y越界；","")&amp;IF(AND('06_建筑锚点'!D38&lt;&gt;"",COUNTIF('03_地点锚点'!$A$2:$A$501,'06_建筑锚点'!D38)=0),"建筑所属地点不存在；","")&amp;IF(AND('06_建筑锚点'!T38&lt;&gt;"",COUNTIF('07_动态状态'!$A$2:$A$501,'06_建筑锚点'!T38)=0),"运营状态编码不存在；","")&amp;IF(AND('06_建筑锚点'!A38&lt;&gt;"",COUNTIF('06_建筑锚点'!$A$2:$A$501,'06_建筑锚点'!A38)&gt;1),"ID重复；",""),"")</f>
        <v/>
      </c>
      <c r="G2038" s="14">
        <f>IF(F2038&lt;&gt;"","按字段批注、数据字典和来源记录修正后复核","")</f>
        <v/>
      </c>
      <c r="H2038" s="14">
        <f>IF(F2038&lt;&gt;"","待处理","")</f>
        <v/>
      </c>
    </row>
    <row r="2039">
      <c r="A2039" s="14">
        <f>IF(F2039&lt;&gt;"","ISSUE-"&amp;TEXT(ROW()-1,"00000"),"")</f>
        <v/>
      </c>
      <c r="B2039" s="14">
        <f>IF(F2039&lt;&gt;"","错误","")</f>
        <v/>
      </c>
      <c r="C2039" s="14">
        <f>IF('06_建筑锚点'!A39&lt;&gt;"","06_建筑锚点","")</f>
        <v/>
      </c>
      <c r="D2039" s="14">
        <f>IF('06_建筑锚点'!A39&lt;&gt;"",'06_建筑锚点'!A39,"")</f>
        <v/>
      </c>
      <c r="E2039" s="14">
        <f>IF(F2039&lt;&gt;"","综合校验","")</f>
        <v/>
      </c>
      <c r="F2039" s="14">
        <f>IF('06_建筑锚点'!A39&lt;&gt;"",IF('06_建筑锚点'!A39="","缺少建筑ID；","")&amp;IF('06_建筑锚点'!B39="","缺少建筑名称；","")&amp;IF('06_建筑锚点'!C39="","缺少建筑类型；","")&amp;IF('06_建筑锚点'!D39="","缺少所属地点ID；","")&amp;IF('06_建筑锚点'!F39="","缺少世界X；","")&amp;IF('06_建筑锚点'!G39="","缺少世界Y；","")&amp;IF(AND('06_建筑锚点'!F39&lt;&gt;"",OR('06_建筑锚点'!F39&lt;0,'06_建筑锚点'!F39&gt;WorldWidth)),"世界X越界；","")&amp;IF(AND('06_建筑锚点'!G39&lt;&gt;"",OR('06_建筑锚点'!G39&lt;0,'06_建筑锚点'!G39&gt;WorldHeight)),"世界Y越界；","")&amp;IF(AND('06_建筑锚点'!D39&lt;&gt;"",COUNTIF('03_地点锚点'!$A$2:$A$501,'06_建筑锚点'!D39)=0),"建筑所属地点不存在；","")&amp;IF(AND('06_建筑锚点'!T39&lt;&gt;"",COUNTIF('07_动态状态'!$A$2:$A$501,'06_建筑锚点'!T39)=0),"运营状态编码不存在；","")&amp;IF(AND('06_建筑锚点'!A39&lt;&gt;"",COUNTIF('06_建筑锚点'!$A$2:$A$501,'06_建筑锚点'!A39)&gt;1),"ID重复；",""),"")</f>
        <v/>
      </c>
      <c r="G2039" s="14">
        <f>IF(F2039&lt;&gt;"","按字段批注、数据字典和来源记录修正后复核","")</f>
        <v/>
      </c>
      <c r="H2039" s="14">
        <f>IF(F2039&lt;&gt;"","待处理","")</f>
        <v/>
      </c>
    </row>
    <row r="2040">
      <c r="A2040" s="14">
        <f>IF(F2040&lt;&gt;"","ISSUE-"&amp;TEXT(ROW()-1,"00000"),"")</f>
        <v/>
      </c>
      <c r="B2040" s="14">
        <f>IF(F2040&lt;&gt;"","错误","")</f>
        <v/>
      </c>
      <c r="C2040" s="14">
        <f>IF('06_建筑锚点'!A40&lt;&gt;"","06_建筑锚点","")</f>
        <v/>
      </c>
      <c r="D2040" s="14">
        <f>IF('06_建筑锚点'!A40&lt;&gt;"",'06_建筑锚点'!A40,"")</f>
        <v/>
      </c>
      <c r="E2040" s="14">
        <f>IF(F2040&lt;&gt;"","综合校验","")</f>
        <v/>
      </c>
      <c r="F2040" s="14">
        <f>IF('06_建筑锚点'!A40&lt;&gt;"",IF('06_建筑锚点'!A40="","缺少建筑ID；","")&amp;IF('06_建筑锚点'!B40="","缺少建筑名称；","")&amp;IF('06_建筑锚点'!C40="","缺少建筑类型；","")&amp;IF('06_建筑锚点'!D40="","缺少所属地点ID；","")&amp;IF('06_建筑锚点'!F40="","缺少世界X；","")&amp;IF('06_建筑锚点'!G40="","缺少世界Y；","")&amp;IF(AND('06_建筑锚点'!F40&lt;&gt;"",OR('06_建筑锚点'!F40&lt;0,'06_建筑锚点'!F40&gt;WorldWidth)),"世界X越界；","")&amp;IF(AND('06_建筑锚点'!G40&lt;&gt;"",OR('06_建筑锚点'!G40&lt;0,'06_建筑锚点'!G40&gt;WorldHeight)),"世界Y越界；","")&amp;IF(AND('06_建筑锚点'!D40&lt;&gt;"",COUNTIF('03_地点锚点'!$A$2:$A$501,'06_建筑锚点'!D40)=0),"建筑所属地点不存在；","")&amp;IF(AND('06_建筑锚点'!T40&lt;&gt;"",COUNTIF('07_动态状态'!$A$2:$A$501,'06_建筑锚点'!T40)=0),"运营状态编码不存在；","")&amp;IF(AND('06_建筑锚点'!A40&lt;&gt;"",COUNTIF('06_建筑锚点'!$A$2:$A$501,'06_建筑锚点'!A40)&gt;1),"ID重复；",""),"")</f>
        <v/>
      </c>
      <c r="G2040" s="14">
        <f>IF(F2040&lt;&gt;"","按字段批注、数据字典和来源记录修正后复核","")</f>
        <v/>
      </c>
      <c r="H2040" s="14">
        <f>IF(F2040&lt;&gt;"","待处理","")</f>
        <v/>
      </c>
    </row>
    <row r="2041">
      <c r="A2041" s="14">
        <f>IF(F2041&lt;&gt;"","ISSUE-"&amp;TEXT(ROW()-1,"00000"),"")</f>
        <v/>
      </c>
      <c r="B2041" s="14">
        <f>IF(F2041&lt;&gt;"","错误","")</f>
        <v/>
      </c>
      <c r="C2041" s="14">
        <f>IF('06_建筑锚点'!A41&lt;&gt;"","06_建筑锚点","")</f>
        <v/>
      </c>
      <c r="D2041" s="14">
        <f>IF('06_建筑锚点'!A41&lt;&gt;"",'06_建筑锚点'!A41,"")</f>
        <v/>
      </c>
      <c r="E2041" s="14">
        <f>IF(F2041&lt;&gt;"","综合校验","")</f>
        <v/>
      </c>
      <c r="F2041" s="14">
        <f>IF('06_建筑锚点'!A41&lt;&gt;"",IF('06_建筑锚点'!A41="","缺少建筑ID；","")&amp;IF('06_建筑锚点'!B41="","缺少建筑名称；","")&amp;IF('06_建筑锚点'!C41="","缺少建筑类型；","")&amp;IF('06_建筑锚点'!D41="","缺少所属地点ID；","")&amp;IF('06_建筑锚点'!F41="","缺少世界X；","")&amp;IF('06_建筑锚点'!G41="","缺少世界Y；","")&amp;IF(AND('06_建筑锚点'!F41&lt;&gt;"",OR('06_建筑锚点'!F41&lt;0,'06_建筑锚点'!F41&gt;WorldWidth)),"世界X越界；","")&amp;IF(AND('06_建筑锚点'!G41&lt;&gt;"",OR('06_建筑锚点'!G41&lt;0,'06_建筑锚点'!G41&gt;WorldHeight)),"世界Y越界；","")&amp;IF(AND('06_建筑锚点'!D41&lt;&gt;"",COUNTIF('03_地点锚点'!$A$2:$A$501,'06_建筑锚点'!D41)=0),"建筑所属地点不存在；","")&amp;IF(AND('06_建筑锚点'!T41&lt;&gt;"",COUNTIF('07_动态状态'!$A$2:$A$501,'06_建筑锚点'!T41)=0),"运营状态编码不存在；","")&amp;IF(AND('06_建筑锚点'!A41&lt;&gt;"",COUNTIF('06_建筑锚点'!$A$2:$A$501,'06_建筑锚点'!A41)&gt;1),"ID重复；",""),"")</f>
        <v/>
      </c>
      <c r="G2041" s="14">
        <f>IF(F2041&lt;&gt;"","按字段批注、数据字典和来源记录修正后复核","")</f>
        <v/>
      </c>
      <c r="H2041" s="14">
        <f>IF(F2041&lt;&gt;"","待处理","")</f>
        <v/>
      </c>
    </row>
    <row r="2042">
      <c r="A2042" s="14">
        <f>IF(F2042&lt;&gt;"","ISSUE-"&amp;TEXT(ROW()-1,"00000"),"")</f>
        <v/>
      </c>
      <c r="B2042" s="14">
        <f>IF(F2042&lt;&gt;"","错误","")</f>
        <v/>
      </c>
      <c r="C2042" s="14">
        <f>IF('06_建筑锚点'!A42&lt;&gt;"","06_建筑锚点","")</f>
        <v/>
      </c>
      <c r="D2042" s="14">
        <f>IF('06_建筑锚点'!A42&lt;&gt;"",'06_建筑锚点'!A42,"")</f>
        <v/>
      </c>
      <c r="E2042" s="14">
        <f>IF(F2042&lt;&gt;"","综合校验","")</f>
        <v/>
      </c>
      <c r="F2042" s="14">
        <f>IF('06_建筑锚点'!A42&lt;&gt;"",IF('06_建筑锚点'!A42="","缺少建筑ID；","")&amp;IF('06_建筑锚点'!B42="","缺少建筑名称；","")&amp;IF('06_建筑锚点'!C42="","缺少建筑类型；","")&amp;IF('06_建筑锚点'!D42="","缺少所属地点ID；","")&amp;IF('06_建筑锚点'!F42="","缺少世界X；","")&amp;IF('06_建筑锚点'!G42="","缺少世界Y；","")&amp;IF(AND('06_建筑锚点'!F42&lt;&gt;"",OR('06_建筑锚点'!F42&lt;0,'06_建筑锚点'!F42&gt;WorldWidth)),"世界X越界；","")&amp;IF(AND('06_建筑锚点'!G42&lt;&gt;"",OR('06_建筑锚点'!G42&lt;0,'06_建筑锚点'!G42&gt;WorldHeight)),"世界Y越界；","")&amp;IF(AND('06_建筑锚点'!D42&lt;&gt;"",COUNTIF('03_地点锚点'!$A$2:$A$501,'06_建筑锚点'!D42)=0),"建筑所属地点不存在；","")&amp;IF(AND('06_建筑锚点'!T42&lt;&gt;"",COUNTIF('07_动态状态'!$A$2:$A$501,'06_建筑锚点'!T42)=0),"运营状态编码不存在；","")&amp;IF(AND('06_建筑锚点'!A42&lt;&gt;"",COUNTIF('06_建筑锚点'!$A$2:$A$501,'06_建筑锚点'!A42)&gt;1),"ID重复；",""),"")</f>
        <v/>
      </c>
      <c r="G2042" s="14">
        <f>IF(F2042&lt;&gt;"","按字段批注、数据字典和来源记录修正后复核","")</f>
        <v/>
      </c>
      <c r="H2042" s="14">
        <f>IF(F2042&lt;&gt;"","待处理","")</f>
        <v/>
      </c>
    </row>
    <row r="2043">
      <c r="A2043" s="14">
        <f>IF(F2043&lt;&gt;"","ISSUE-"&amp;TEXT(ROW()-1,"00000"),"")</f>
        <v/>
      </c>
      <c r="B2043" s="14">
        <f>IF(F2043&lt;&gt;"","错误","")</f>
        <v/>
      </c>
      <c r="C2043" s="14">
        <f>IF('06_建筑锚点'!A43&lt;&gt;"","06_建筑锚点","")</f>
        <v/>
      </c>
      <c r="D2043" s="14">
        <f>IF('06_建筑锚点'!A43&lt;&gt;"",'06_建筑锚点'!A43,"")</f>
        <v/>
      </c>
      <c r="E2043" s="14">
        <f>IF(F2043&lt;&gt;"","综合校验","")</f>
        <v/>
      </c>
      <c r="F2043" s="14">
        <f>IF('06_建筑锚点'!A43&lt;&gt;"",IF('06_建筑锚点'!A43="","缺少建筑ID；","")&amp;IF('06_建筑锚点'!B43="","缺少建筑名称；","")&amp;IF('06_建筑锚点'!C43="","缺少建筑类型；","")&amp;IF('06_建筑锚点'!D43="","缺少所属地点ID；","")&amp;IF('06_建筑锚点'!F43="","缺少世界X；","")&amp;IF('06_建筑锚点'!G43="","缺少世界Y；","")&amp;IF(AND('06_建筑锚点'!F43&lt;&gt;"",OR('06_建筑锚点'!F43&lt;0,'06_建筑锚点'!F43&gt;WorldWidth)),"世界X越界；","")&amp;IF(AND('06_建筑锚点'!G43&lt;&gt;"",OR('06_建筑锚点'!G43&lt;0,'06_建筑锚点'!G43&gt;WorldHeight)),"世界Y越界；","")&amp;IF(AND('06_建筑锚点'!D43&lt;&gt;"",COUNTIF('03_地点锚点'!$A$2:$A$501,'06_建筑锚点'!D43)=0),"建筑所属地点不存在；","")&amp;IF(AND('06_建筑锚点'!T43&lt;&gt;"",COUNTIF('07_动态状态'!$A$2:$A$501,'06_建筑锚点'!T43)=0),"运营状态编码不存在；","")&amp;IF(AND('06_建筑锚点'!A43&lt;&gt;"",COUNTIF('06_建筑锚点'!$A$2:$A$501,'06_建筑锚点'!A43)&gt;1),"ID重复；",""),"")</f>
        <v/>
      </c>
      <c r="G2043" s="14">
        <f>IF(F2043&lt;&gt;"","按字段批注、数据字典和来源记录修正后复核","")</f>
        <v/>
      </c>
      <c r="H2043" s="14">
        <f>IF(F2043&lt;&gt;"","待处理","")</f>
        <v/>
      </c>
    </row>
    <row r="2044">
      <c r="A2044" s="14">
        <f>IF(F2044&lt;&gt;"","ISSUE-"&amp;TEXT(ROW()-1,"00000"),"")</f>
        <v/>
      </c>
      <c r="B2044" s="14">
        <f>IF(F2044&lt;&gt;"","错误","")</f>
        <v/>
      </c>
      <c r="C2044" s="14">
        <f>IF('06_建筑锚点'!A44&lt;&gt;"","06_建筑锚点","")</f>
        <v/>
      </c>
      <c r="D2044" s="14">
        <f>IF('06_建筑锚点'!A44&lt;&gt;"",'06_建筑锚点'!A44,"")</f>
        <v/>
      </c>
      <c r="E2044" s="14">
        <f>IF(F2044&lt;&gt;"","综合校验","")</f>
        <v/>
      </c>
      <c r="F2044" s="14">
        <f>IF('06_建筑锚点'!A44&lt;&gt;"",IF('06_建筑锚点'!A44="","缺少建筑ID；","")&amp;IF('06_建筑锚点'!B44="","缺少建筑名称；","")&amp;IF('06_建筑锚点'!C44="","缺少建筑类型；","")&amp;IF('06_建筑锚点'!D44="","缺少所属地点ID；","")&amp;IF('06_建筑锚点'!F44="","缺少世界X；","")&amp;IF('06_建筑锚点'!G44="","缺少世界Y；","")&amp;IF(AND('06_建筑锚点'!F44&lt;&gt;"",OR('06_建筑锚点'!F44&lt;0,'06_建筑锚点'!F44&gt;WorldWidth)),"世界X越界；","")&amp;IF(AND('06_建筑锚点'!G44&lt;&gt;"",OR('06_建筑锚点'!G44&lt;0,'06_建筑锚点'!G44&gt;WorldHeight)),"世界Y越界；","")&amp;IF(AND('06_建筑锚点'!D44&lt;&gt;"",COUNTIF('03_地点锚点'!$A$2:$A$501,'06_建筑锚点'!D44)=0),"建筑所属地点不存在；","")&amp;IF(AND('06_建筑锚点'!T44&lt;&gt;"",COUNTIF('07_动态状态'!$A$2:$A$501,'06_建筑锚点'!T44)=0),"运营状态编码不存在；","")&amp;IF(AND('06_建筑锚点'!A44&lt;&gt;"",COUNTIF('06_建筑锚点'!$A$2:$A$501,'06_建筑锚点'!A44)&gt;1),"ID重复；",""),"")</f>
        <v/>
      </c>
      <c r="G2044" s="14">
        <f>IF(F2044&lt;&gt;"","按字段批注、数据字典和来源记录修正后复核","")</f>
        <v/>
      </c>
      <c r="H2044" s="14">
        <f>IF(F2044&lt;&gt;"","待处理","")</f>
        <v/>
      </c>
    </row>
    <row r="2045">
      <c r="A2045" s="14">
        <f>IF(F2045&lt;&gt;"","ISSUE-"&amp;TEXT(ROW()-1,"00000"),"")</f>
        <v/>
      </c>
      <c r="B2045" s="14">
        <f>IF(F2045&lt;&gt;"","错误","")</f>
        <v/>
      </c>
      <c r="C2045" s="14">
        <f>IF('06_建筑锚点'!A45&lt;&gt;"","06_建筑锚点","")</f>
        <v/>
      </c>
      <c r="D2045" s="14">
        <f>IF('06_建筑锚点'!A45&lt;&gt;"",'06_建筑锚点'!A45,"")</f>
        <v/>
      </c>
      <c r="E2045" s="14">
        <f>IF(F2045&lt;&gt;"","综合校验","")</f>
        <v/>
      </c>
      <c r="F2045" s="14">
        <f>IF('06_建筑锚点'!A45&lt;&gt;"",IF('06_建筑锚点'!A45="","缺少建筑ID；","")&amp;IF('06_建筑锚点'!B45="","缺少建筑名称；","")&amp;IF('06_建筑锚点'!C45="","缺少建筑类型；","")&amp;IF('06_建筑锚点'!D45="","缺少所属地点ID；","")&amp;IF('06_建筑锚点'!F45="","缺少世界X；","")&amp;IF('06_建筑锚点'!G45="","缺少世界Y；","")&amp;IF(AND('06_建筑锚点'!F45&lt;&gt;"",OR('06_建筑锚点'!F45&lt;0,'06_建筑锚点'!F45&gt;WorldWidth)),"世界X越界；","")&amp;IF(AND('06_建筑锚点'!G45&lt;&gt;"",OR('06_建筑锚点'!G45&lt;0,'06_建筑锚点'!G45&gt;WorldHeight)),"世界Y越界；","")&amp;IF(AND('06_建筑锚点'!D45&lt;&gt;"",COUNTIF('03_地点锚点'!$A$2:$A$501,'06_建筑锚点'!D45)=0),"建筑所属地点不存在；","")&amp;IF(AND('06_建筑锚点'!T45&lt;&gt;"",COUNTIF('07_动态状态'!$A$2:$A$501,'06_建筑锚点'!T45)=0),"运营状态编码不存在；","")&amp;IF(AND('06_建筑锚点'!A45&lt;&gt;"",COUNTIF('06_建筑锚点'!$A$2:$A$501,'06_建筑锚点'!A45)&gt;1),"ID重复；",""),"")</f>
        <v/>
      </c>
      <c r="G2045" s="14">
        <f>IF(F2045&lt;&gt;"","按字段批注、数据字典和来源记录修正后复核","")</f>
        <v/>
      </c>
      <c r="H2045" s="14">
        <f>IF(F2045&lt;&gt;"","待处理","")</f>
        <v/>
      </c>
    </row>
    <row r="2046">
      <c r="A2046" s="14">
        <f>IF(F2046&lt;&gt;"","ISSUE-"&amp;TEXT(ROW()-1,"00000"),"")</f>
        <v/>
      </c>
      <c r="B2046" s="14">
        <f>IF(F2046&lt;&gt;"","错误","")</f>
        <v/>
      </c>
      <c r="C2046" s="14">
        <f>IF('06_建筑锚点'!A46&lt;&gt;"","06_建筑锚点","")</f>
        <v/>
      </c>
      <c r="D2046" s="14">
        <f>IF('06_建筑锚点'!A46&lt;&gt;"",'06_建筑锚点'!A46,"")</f>
        <v/>
      </c>
      <c r="E2046" s="14">
        <f>IF(F2046&lt;&gt;"","综合校验","")</f>
        <v/>
      </c>
      <c r="F2046" s="14">
        <f>IF('06_建筑锚点'!A46&lt;&gt;"",IF('06_建筑锚点'!A46="","缺少建筑ID；","")&amp;IF('06_建筑锚点'!B46="","缺少建筑名称；","")&amp;IF('06_建筑锚点'!C46="","缺少建筑类型；","")&amp;IF('06_建筑锚点'!D46="","缺少所属地点ID；","")&amp;IF('06_建筑锚点'!F46="","缺少世界X；","")&amp;IF('06_建筑锚点'!G46="","缺少世界Y；","")&amp;IF(AND('06_建筑锚点'!F46&lt;&gt;"",OR('06_建筑锚点'!F46&lt;0,'06_建筑锚点'!F46&gt;WorldWidth)),"世界X越界；","")&amp;IF(AND('06_建筑锚点'!G46&lt;&gt;"",OR('06_建筑锚点'!G46&lt;0,'06_建筑锚点'!G46&gt;WorldHeight)),"世界Y越界；","")&amp;IF(AND('06_建筑锚点'!D46&lt;&gt;"",COUNTIF('03_地点锚点'!$A$2:$A$501,'06_建筑锚点'!D46)=0),"建筑所属地点不存在；","")&amp;IF(AND('06_建筑锚点'!T46&lt;&gt;"",COUNTIF('07_动态状态'!$A$2:$A$501,'06_建筑锚点'!T46)=0),"运营状态编码不存在；","")&amp;IF(AND('06_建筑锚点'!A46&lt;&gt;"",COUNTIF('06_建筑锚点'!$A$2:$A$501,'06_建筑锚点'!A46)&gt;1),"ID重复；",""),"")</f>
        <v/>
      </c>
      <c r="G2046" s="14">
        <f>IF(F2046&lt;&gt;"","按字段批注、数据字典和来源记录修正后复核","")</f>
        <v/>
      </c>
      <c r="H2046" s="14">
        <f>IF(F2046&lt;&gt;"","待处理","")</f>
        <v/>
      </c>
    </row>
    <row r="2047">
      <c r="A2047" s="14">
        <f>IF(F2047&lt;&gt;"","ISSUE-"&amp;TEXT(ROW()-1,"00000"),"")</f>
        <v/>
      </c>
      <c r="B2047" s="14">
        <f>IF(F2047&lt;&gt;"","错误","")</f>
        <v/>
      </c>
      <c r="C2047" s="14">
        <f>IF('06_建筑锚点'!A47&lt;&gt;"","06_建筑锚点","")</f>
        <v/>
      </c>
      <c r="D2047" s="14">
        <f>IF('06_建筑锚点'!A47&lt;&gt;"",'06_建筑锚点'!A47,"")</f>
        <v/>
      </c>
      <c r="E2047" s="14">
        <f>IF(F2047&lt;&gt;"","综合校验","")</f>
        <v/>
      </c>
      <c r="F2047" s="14">
        <f>IF('06_建筑锚点'!A47&lt;&gt;"",IF('06_建筑锚点'!A47="","缺少建筑ID；","")&amp;IF('06_建筑锚点'!B47="","缺少建筑名称；","")&amp;IF('06_建筑锚点'!C47="","缺少建筑类型；","")&amp;IF('06_建筑锚点'!D47="","缺少所属地点ID；","")&amp;IF('06_建筑锚点'!F47="","缺少世界X；","")&amp;IF('06_建筑锚点'!G47="","缺少世界Y；","")&amp;IF(AND('06_建筑锚点'!F47&lt;&gt;"",OR('06_建筑锚点'!F47&lt;0,'06_建筑锚点'!F47&gt;WorldWidth)),"世界X越界；","")&amp;IF(AND('06_建筑锚点'!G47&lt;&gt;"",OR('06_建筑锚点'!G47&lt;0,'06_建筑锚点'!G47&gt;WorldHeight)),"世界Y越界；","")&amp;IF(AND('06_建筑锚点'!D47&lt;&gt;"",COUNTIF('03_地点锚点'!$A$2:$A$501,'06_建筑锚点'!D47)=0),"建筑所属地点不存在；","")&amp;IF(AND('06_建筑锚点'!T47&lt;&gt;"",COUNTIF('07_动态状态'!$A$2:$A$501,'06_建筑锚点'!T47)=0),"运营状态编码不存在；","")&amp;IF(AND('06_建筑锚点'!A47&lt;&gt;"",COUNTIF('06_建筑锚点'!$A$2:$A$501,'06_建筑锚点'!A47)&gt;1),"ID重复；",""),"")</f>
        <v/>
      </c>
      <c r="G2047" s="14">
        <f>IF(F2047&lt;&gt;"","按字段批注、数据字典和来源记录修正后复核","")</f>
        <v/>
      </c>
      <c r="H2047" s="14">
        <f>IF(F2047&lt;&gt;"","待处理","")</f>
        <v/>
      </c>
    </row>
    <row r="2048">
      <c r="A2048" s="14">
        <f>IF(F2048&lt;&gt;"","ISSUE-"&amp;TEXT(ROW()-1,"00000"),"")</f>
        <v/>
      </c>
      <c r="B2048" s="14">
        <f>IF(F2048&lt;&gt;"","错误","")</f>
        <v/>
      </c>
      <c r="C2048" s="14">
        <f>IF('06_建筑锚点'!A48&lt;&gt;"","06_建筑锚点","")</f>
        <v/>
      </c>
      <c r="D2048" s="14">
        <f>IF('06_建筑锚点'!A48&lt;&gt;"",'06_建筑锚点'!A48,"")</f>
        <v/>
      </c>
      <c r="E2048" s="14">
        <f>IF(F2048&lt;&gt;"","综合校验","")</f>
        <v/>
      </c>
      <c r="F2048" s="14">
        <f>IF('06_建筑锚点'!A48&lt;&gt;"",IF('06_建筑锚点'!A48="","缺少建筑ID；","")&amp;IF('06_建筑锚点'!B48="","缺少建筑名称；","")&amp;IF('06_建筑锚点'!C48="","缺少建筑类型；","")&amp;IF('06_建筑锚点'!D48="","缺少所属地点ID；","")&amp;IF('06_建筑锚点'!F48="","缺少世界X；","")&amp;IF('06_建筑锚点'!G48="","缺少世界Y；","")&amp;IF(AND('06_建筑锚点'!F48&lt;&gt;"",OR('06_建筑锚点'!F48&lt;0,'06_建筑锚点'!F48&gt;WorldWidth)),"世界X越界；","")&amp;IF(AND('06_建筑锚点'!G48&lt;&gt;"",OR('06_建筑锚点'!G48&lt;0,'06_建筑锚点'!G48&gt;WorldHeight)),"世界Y越界；","")&amp;IF(AND('06_建筑锚点'!D48&lt;&gt;"",COUNTIF('03_地点锚点'!$A$2:$A$501,'06_建筑锚点'!D48)=0),"建筑所属地点不存在；","")&amp;IF(AND('06_建筑锚点'!T48&lt;&gt;"",COUNTIF('07_动态状态'!$A$2:$A$501,'06_建筑锚点'!T48)=0),"运营状态编码不存在；","")&amp;IF(AND('06_建筑锚点'!A48&lt;&gt;"",COUNTIF('06_建筑锚点'!$A$2:$A$501,'06_建筑锚点'!A48)&gt;1),"ID重复；",""),"")</f>
        <v/>
      </c>
      <c r="G2048" s="14">
        <f>IF(F2048&lt;&gt;"","按字段批注、数据字典和来源记录修正后复核","")</f>
        <v/>
      </c>
      <c r="H2048" s="14">
        <f>IF(F2048&lt;&gt;"","待处理","")</f>
        <v/>
      </c>
    </row>
    <row r="2049">
      <c r="A2049" s="14">
        <f>IF(F2049&lt;&gt;"","ISSUE-"&amp;TEXT(ROW()-1,"00000"),"")</f>
        <v/>
      </c>
      <c r="B2049" s="14">
        <f>IF(F2049&lt;&gt;"","错误","")</f>
        <v/>
      </c>
      <c r="C2049" s="14">
        <f>IF('06_建筑锚点'!A49&lt;&gt;"","06_建筑锚点","")</f>
        <v/>
      </c>
      <c r="D2049" s="14">
        <f>IF('06_建筑锚点'!A49&lt;&gt;"",'06_建筑锚点'!A49,"")</f>
        <v/>
      </c>
      <c r="E2049" s="14">
        <f>IF(F2049&lt;&gt;"","综合校验","")</f>
        <v/>
      </c>
      <c r="F2049" s="14">
        <f>IF('06_建筑锚点'!A49&lt;&gt;"",IF('06_建筑锚点'!A49="","缺少建筑ID；","")&amp;IF('06_建筑锚点'!B49="","缺少建筑名称；","")&amp;IF('06_建筑锚点'!C49="","缺少建筑类型；","")&amp;IF('06_建筑锚点'!D49="","缺少所属地点ID；","")&amp;IF('06_建筑锚点'!F49="","缺少世界X；","")&amp;IF('06_建筑锚点'!G49="","缺少世界Y；","")&amp;IF(AND('06_建筑锚点'!F49&lt;&gt;"",OR('06_建筑锚点'!F49&lt;0,'06_建筑锚点'!F49&gt;WorldWidth)),"世界X越界；","")&amp;IF(AND('06_建筑锚点'!G49&lt;&gt;"",OR('06_建筑锚点'!G49&lt;0,'06_建筑锚点'!G49&gt;WorldHeight)),"世界Y越界；","")&amp;IF(AND('06_建筑锚点'!D49&lt;&gt;"",COUNTIF('03_地点锚点'!$A$2:$A$501,'06_建筑锚点'!D49)=0),"建筑所属地点不存在；","")&amp;IF(AND('06_建筑锚点'!T49&lt;&gt;"",COUNTIF('07_动态状态'!$A$2:$A$501,'06_建筑锚点'!T49)=0),"运营状态编码不存在；","")&amp;IF(AND('06_建筑锚点'!A49&lt;&gt;"",COUNTIF('06_建筑锚点'!$A$2:$A$501,'06_建筑锚点'!A49)&gt;1),"ID重复；",""),"")</f>
        <v/>
      </c>
      <c r="G2049" s="14">
        <f>IF(F2049&lt;&gt;"","按字段批注、数据字典和来源记录修正后复核","")</f>
        <v/>
      </c>
      <c r="H2049" s="14">
        <f>IF(F2049&lt;&gt;"","待处理","")</f>
        <v/>
      </c>
    </row>
    <row r="2050">
      <c r="A2050" s="14">
        <f>IF(F2050&lt;&gt;"","ISSUE-"&amp;TEXT(ROW()-1,"00000"),"")</f>
        <v/>
      </c>
      <c r="B2050" s="14">
        <f>IF(F2050&lt;&gt;"","错误","")</f>
        <v/>
      </c>
      <c r="C2050" s="14">
        <f>IF('06_建筑锚点'!A50&lt;&gt;"","06_建筑锚点","")</f>
        <v/>
      </c>
      <c r="D2050" s="14">
        <f>IF('06_建筑锚点'!A50&lt;&gt;"",'06_建筑锚点'!A50,"")</f>
        <v/>
      </c>
      <c r="E2050" s="14">
        <f>IF(F2050&lt;&gt;"","综合校验","")</f>
        <v/>
      </c>
      <c r="F2050" s="14">
        <f>IF('06_建筑锚点'!A50&lt;&gt;"",IF('06_建筑锚点'!A50="","缺少建筑ID；","")&amp;IF('06_建筑锚点'!B50="","缺少建筑名称；","")&amp;IF('06_建筑锚点'!C50="","缺少建筑类型；","")&amp;IF('06_建筑锚点'!D50="","缺少所属地点ID；","")&amp;IF('06_建筑锚点'!F50="","缺少世界X；","")&amp;IF('06_建筑锚点'!G50="","缺少世界Y；","")&amp;IF(AND('06_建筑锚点'!F50&lt;&gt;"",OR('06_建筑锚点'!F50&lt;0,'06_建筑锚点'!F50&gt;WorldWidth)),"世界X越界；","")&amp;IF(AND('06_建筑锚点'!G50&lt;&gt;"",OR('06_建筑锚点'!G50&lt;0,'06_建筑锚点'!G50&gt;WorldHeight)),"世界Y越界；","")&amp;IF(AND('06_建筑锚点'!D50&lt;&gt;"",COUNTIF('03_地点锚点'!$A$2:$A$501,'06_建筑锚点'!D50)=0),"建筑所属地点不存在；","")&amp;IF(AND('06_建筑锚点'!T50&lt;&gt;"",COUNTIF('07_动态状态'!$A$2:$A$501,'06_建筑锚点'!T50)=0),"运营状态编码不存在；","")&amp;IF(AND('06_建筑锚点'!A50&lt;&gt;"",COUNTIF('06_建筑锚点'!$A$2:$A$501,'06_建筑锚点'!A50)&gt;1),"ID重复；",""),"")</f>
        <v/>
      </c>
      <c r="G2050" s="14">
        <f>IF(F2050&lt;&gt;"","按字段批注、数据字典和来源记录修正后复核","")</f>
        <v/>
      </c>
      <c r="H2050" s="14">
        <f>IF(F2050&lt;&gt;"","待处理","")</f>
        <v/>
      </c>
    </row>
    <row r="2051">
      <c r="A2051" s="14">
        <f>IF(F2051&lt;&gt;"","ISSUE-"&amp;TEXT(ROW()-1,"00000"),"")</f>
        <v/>
      </c>
      <c r="B2051" s="14">
        <f>IF(F2051&lt;&gt;"","错误","")</f>
        <v/>
      </c>
      <c r="C2051" s="14">
        <f>IF('06_建筑锚点'!A51&lt;&gt;"","06_建筑锚点","")</f>
        <v/>
      </c>
      <c r="D2051" s="14">
        <f>IF('06_建筑锚点'!A51&lt;&gt;"",'06_建筑锚点'!A51,"")</f>
        <v/>
      </c>
      <c r="E2051" s="14">
        <f>IF(F2051&lt;&gt;"","综合校验","")</f>
        <v/>
      </c>
      <c r="F2051" s="14">
        <f>IF('06_建筑锚点'!A51&lt;&gt;"",IF('06_建筑锚点'!A51="","缺少建筑ID；","")&amp;IF('06_建筑锚点'!B51="","缺少建筑名称；","")&amp;IF('06_建筑锚点'!C51="","缺少建筑类型；","")&amp;IF('06_建筑锚点'!D51="","缺少所属地点ID；","")&amp;IF('06_建筑锚点'!F51="","缺少世界X；","")&amp;IF('06_建筑锚点'!G51="","缺少世界Y；","")&amp;IF(AND('06_建筑锚点'!F51&lt;&gt;"",OR('06_建筑锚点'!F51&lt;0,'06_建筑锚点'!F51&gt;WorldWidth)),"世界X越界；","")&amp;IF(AND('06_建筑锚点'!G51&lt;&gt;"",OR('06_建筑锚点'!G51&lt;0,'06_建筑锚点'!G51&gt;WorldHeight)),"世界Y越界；","")&amp;IF(AND('06_建筑锚点'!D51&lt;&gt;"",COUNTIF('03_地点锚点'!$A$2:$A$501,'06_建筑锚点'!D51)=0),"建筑所属地点不存在；","")&amp;IF(AND('06_建筑锚点'!T51&lt;&gt;"",COUNTIF('07_动态状态'!$A$2:$A$501,'06_建筑锚点'!T51)=0),"运营状态编码不存在；","")&amp;IF(AND('06_建筑锚点'!A51&lt;&gt;"",COUNTIF('06_建筑锚点'!$A$2:$A$501,'06_建筑锚点'!A51)&gt;1),"ID重复；",""),"")</f>
        <v/>
      </c>
      <c r="G2051" s="14">
        <f>IF(F2051&lt;&gt;"","按字段批注、数据字典和来源记录修正后复核","")</f>
        <v/>
      </c>
      <c r="H2051" s="14">
        <f>IF(F2051&lt;&gt;"","待处理","")</f>
        <v/>
      </c>
    </row>
    <row r="2052">
      <c r="A2052" s="14">
        <f>IF(F2052&lt;&gt;"","ISSUE-"&amp;TEXT(ROW()-1,"00000"),"")</f>
        <v/>
      </c>
      <c r="B2052" s="14">
        <f>IF(F2052&lt;&gt;"","错误","")</f>
        <v/>
      </c>
      <c r="C2052" s="14">
        <f>IF('06_建筑锚点'!A52&lt;&gt;"","06_建筑锚点","")</f>
        <v/>
      </c>
      <c r="D2052" s="14">
        <f>IF('06_建筑锚点'!A52&lt;&gt;"",'06_建筑锚点'!A52,"")</f>
        <v/>
      </c>
      <c r="E2052" s="14">
        <f>IF(F2052&lt;&gt;"","综合校验","")</f>
        <v/>
      </c>
      <c r="F2052" s="14">
        <f>IF('06_建筑锚点'!A52&lt;&gt;"",IF('06_建筑锚点'!A52="","缺少建筑ID；","")&amp;IF('06_建筑锚点'!B52="","缺少建筑名称；","")&amp;IF('06_建筑锚点'!C52="","缺少建筑类型；","")&amp;IF('06_建筑锚点'!D52="","缺少所属地点ID；","")&amp;IF('06_建筑锚点'!F52="","缺少世界X；","")&amp;IF('06_建筑锚点'!G52="","缺少世界Y；","")&amp;IF(AND('06_建筑锚点'!F52&lt;&gt;"",OR('06_建筑锚点'!F52&lt;0,'06_建筑锚点'!F52&gt;WorldWidth)),"世界X越界；","")&amp;IF(AND('06_建筑锚点'!G52&lt;&gt;"",OR('06_建筑锚点'!G52&lt;0,'06_建筑锚点'!G52&gt;WorldHeight)),"世界Y越界；","")&amp;IF(AND('06_建筑锚点'!D52&lt;&gt;"",COUNTIF('03_地点锚点'!$A$2:$A$501,'06_建筑锚点'!D52)=0),"建筑所属地点不存在；","")&amp;IF(AND('06_建筑锚点'!T52&lt;&gt;"",COUNTIF('07_动态状态'!$A$2:$A$501,'06_建筑锚点'!T52)=0),"运营状态编码不存在；","")&amp;IF(AND('06_建筑锚点'!A52&lt;&gt;"",COUNTIF('06_建筑锚点'!$A$2:$A$501,'06_建筑锚点'!A52)&gt;1),"ID重复；",""),"")</f>
        <v/>
      </c>
      <c r="G2052" s="14">
        <f>IF(F2052&lt;&gt;"","按字段批注、数据字典和来源记录修正后复核","")</f>
        <v/>
      </c>
      <c r="H2052" s="14">
        <f>IF(F2052&lt;&gt;"","待处理","")</f>
        <v/>
      </c>
    </row>
    <row r="2053">
      <c r="A2053" s="14">
        <f>IF(F2053&lt;&gt;"","ISSUE-"&amp;TEXT(ROW()-1,"00000"),"")</f>
        <v/>
      </c>
      <c r="B2053" s="14">
        <f>IF(F2053&lt;&gt;"","错误","")</f>
        <v/>
      </c>
      <c r="C2053" s="14">
        <f>IF('06_建筑锚点'!A53&lt;&gt;"","06_建筑锚点","")</f>
        <v/>
      </c>
      <c r="D2053" s="14">
        <f>IF('06_建筑锚点'!A53&lt;&gt;"",'06_建筑锚点'!A53,"")</f>
        <v/>
      </c>
      <c r="E2053" s="14">
        <f>IF(F2053&lt;&gt;"","综合校验","")</f>
        <v/>
      </c>
      <c r="F2053" s="14">
        <f>IF('06_建筑锚点'!A53&lt;&gt;"",IF('06_建筑锚点'!A53="","缺少建筑ID；","")&amp;IF('06_建筑锚点'!B53="","缺少建筑名称；","")&amp;IF('06_建筑锚点'!C53="","缺少建筑类型；","")&amp;IF('06_建筑锚点'!D53="","缺少所属地点ID；","")&amp;IF('06_建筑锚点'!F53="","缺少世界X；","")&amp;IF('06_建筑锚点'!G53="","缺少世界Y；","")&amp;IF(AND('06_建筑锚点'!F53&lt;&gt;"",OR('06_建筑锚点'!F53&lt;0,'06_建筑锚点'!F53&gt;WorldWidth)),"世界X越界；","")&amp;IF(AND('06_建筑锚点'!G53&lt;&gt;"",OR('06_建筑锚点'!G53&lt;0,'06_建筑锚点'!G53&gt;WorldHeight)),"世界Y越界；","")&amp;IF(AND('06_建筑锚点'!D53&lt;&gt;"",COUNTIF('03_地点锚点'!$A$2:$A$501,'06_建筑锚点'!D53)=0),"建筑所属地点不存在；","")&amp;IF(AND('06_建筑锚点'!T53&lt;&gt;"",COUNTIF('07_动态状态'!$A$2:$A$501,'06_建筑锚点'!T53)=0),"运营状态编码不存在；","")&amp;IF(AND('06_建筑锚点'!A53&lt;&gt;"",COUNTIF('06_建筑锚点'!$A$2:$A$501,'06_建筑锚点'!A53)&gt;1),"ID重复；",""),"")</f>
        <v/>
      </c>
      <c r="G2053" s="14">
        <f>IF(F2053&lt;&gt;"","按字段批注、数据字典和来源记录修正后复核","")</f>
        <v/>
      </c>
      <c r="H2053" s="14">
        <f>IF(F2053&lt;&gt;"","待处理","")</f>
        <v/>
      </c>
    </row>
    <row r="2054">
      <c r="A2054" s="14">
        <f>IF(F2054&lt;&gt;"","ISSUE-"&amp;TEXT(ROW()-1,"00000"),"")</f>
        <v/>
      </c>
      <c r="B2054" s="14">
        <f>IF(F2054&lt;&gt;"","错误","")</f>
        <v/>
      </c>
      <c r="C2054" s="14">
        <f>IF('06_建筑锚点'!A54&lt;&gt;"","06_建筑锚点","")</f>
        <v/>
      </c>
      <c r="D2054" s="14">
        <f>IF('06_建筑锚点'!A54&lt;&gt;"",'06_建筑锚点'!A54,"")</f>
        <v/>
      </c>
      <c r="E2054" s="14">
        <f>IF(F2054&lt;&gt;"","综合校验","")</f>
        <v/>
      </c>
      <c r="F2054" s="14">
        <f>IF('06_建筑锚点'!A54&lt;&gt;"",IF('06_建筑锚点'!A54="","缺少建筑ID；","")&amp;IF('06_建筑锚点'!B54="","缺少建筑名称；","")&amp;IF('06_建筑锚点'!C54="","缺少建筑类型；","")&amp;IF('06_建筑锚点'!D54="","缺少所属地点ID；","")&amp;IF('06_建筑锚点'!F54="","缺少世界X；","")&amp;IF('06_建筑锚点'!G54="","缺少世界Y；","")&amp;IF(AND('06_建筑锚点'!F54&lt;&gt;"",OR('06_建筑锚点'!F54&lt;0,'06_建筑锚点'!F54&gt;WorldWidth)),"世界X越界；","")&amp;IF(AND('06_建筑锚点'!G54&lt;&gt;"",OR('06_建筑锚点'!G54&lt;0,'06_建筑锚点'!G54&gt;WorldHeight)),"世界Y越界；","")&amp;IF(AND('06_建筑锚点'!D54&lt;&gt;"",COUNTIF('03_地点锚点'!$A$2:$A$501,'06_建筑锚点'!D54)=0),"建筑所属地点不存在；","")&amp;IF(AND('06_建筑锚点'!T54&lt;&gt;"",COUNTIF('07_动态状态'!$A$2:$A$501,'06_建筑锚点'!T54)=0),"运营状态编码不存在；","")&amp;IF(AND('06_建筑锚点'!A54&lt;&gt;"",COUNTIF('06_建筑锚点'!$A$2:$A$501,'06_建筑锚点'!A54)&gt;1),"ID重复；",""),"")</f>
        <v/>
      </c>
      <c r="G2054" s="14">
        <f>IF(F2054&lt;&gt;"","按字段批注、数据字典和来源记录修正后复核","")</f>
        <v/>
      </c>
      <c r="H2054" s="14">
        <f>IF(F2054&lt;&gt;"","待处理","")</f>
        <v/>
      </c>
    </row>
    <row r="2055">
      <c r="A2055" s="14">
        <f>IF(F2055&lt;&gt;"","ISSUE-"&amp;TEXT(ROW()-1,"00000"),"")</f>
        <v/>
      </c>
      <c r="B2055" s="14">
        <f>IF(F2055&lt;&gt;"","错误","")</f>
        <v/>
      </c>
      <c r="C2055" s="14">
        <f>IF('06_建筑锚点'!A55&lt;&gt;"","06_建筑锚点","")</f>
        <v/>
      </c>
      <c r="D2055" s="14">
        <f>IF('06_建筑锚点'!A55&lt;&gt;"",'06_建筑锚点'!A55,"")</f>
        <v/>
      </c>
      <c r="E2055" s="14">
        <f>IF(F2055&lt;&gt;"","综合校验","")</f>
        <v/>
      </c>
      <c r="F2055" s="14">
        <f>IF('06_建筑锚点'!A55&lt;&gt;"",IF('06_建筑锚点'!A55="","缺少建筑ID；","")&amp;IF('06_建筑锚点'!B55="","缺少建筑名称；","")&amp;IF('06_建筑锚点'!C55="","缺少建筑类型；","")&amp;IF('06_建筑锚点'!D55="","缺少所属地点ID；","")&amp;IF('06_建筑锚点'!F55="","缺少世界X；","")&amp;IF('06_建筑锚点'!G55="","缺少世界Y；","")&amp;IF(AND('06_建筑锚点'!F55&lt;&gt;"",OR('06_建筑锚点'!F55&lt;0,'06_建筑锚点'!F55&gt;WorldWidth)),"世界X越界；","")&amp;IF(AND('06_建筑锚点'!G55&lt;&gt;"",OR('06_建筑锚点'!G55&lt;0,'06_建筑锚点'!G55&gt;WorldHeight)),"世界Y越界；","")&amp;IF(AND('06_建筑锚点'!D55&lt;&gt;"",COUNTIF('03_地点锚点'!$A$2:$A$501,'06_建筑锚点'!D55)=0),"建筑所属地点不存在；","")&amp;IF(AND('06_建筑锚点'!T55&lt;&gt;"",COUNTIF('07_动态状态'!$A$2:$A$501,'06_建筑锚点'!T55)=0),"运营状态编码不存在；","")&amp;IF(AND('06_建筑锚点'!A55&lt;&gt;"",COUNTIF('06_建筑锚点'!$A$2:$A$501,'06_建筑锚点'!A55)&gt;1),"ID重复；",""),"")</f>
        <v/>
      </c>
      <c r="G2055" s="14">
        <f>IF(F2055&lt;&gt;"","按字段批注、数据字典和来源记录修正后复核","")</f>
        <v/>
      </c>
      <c r="H2055" s="14">
        <f>IF(F2055&lt;&gt;"","待处理","")</f>
        <v/>
      </c>
    </row>
    <row r="2056">
      <c r="A2056" s="14">
        <f>IF(F2056&lt;&gt;"","ISSUE-"&amp;TEXT(ROW()-1,"00000"),"")</f>
        <v/>
      </c>
      <c r="B2056" s="14">
        <f>IF(F2056&lt;&gt;"","错误","")</f>
        <v/>
      </c>
      <c r="C2056" s="14">
        <f>IF('06_建筑锚点'!A56&lt;&gt;"","06_建筑锚点","")</f>
        <v/>
      </c>
      <c r="D2056" s="14">
        <f>IF('06_建筑锚点'!A56&lt;&gt;"",'06_建筑锚点'!A56,"")</f>
        <v/>
      </c>
      <c r="E2056" s="14">
        <f>IF(F2056&lt;&gt;"","综合校验","")</f>
        <v/>
      </c>
      <c r="F2056" s="14">
        <f>IF('06_建筑锚点'!A56&lt;&gt;"",IF('06_建筑锚点'!A56="","缺少建筑ID；","")&amp;IF('06_建筑锚点'!B56="","缺少建筑名称；","")&amp;IF('06_建筑锚点'!C56="","缺少建筑类型；","")&amp;IF('06_建筑锚点'!D56="","缺少所属地点ID；","")&amp;IF('06_建筑锚点'!F56="","缺少世界X；","")&amp;IF('06_建筑锚点'!G56="","缺少世界Y；","")&amp;IF(AND('06_建筑锚点'!F56&lt;&gt;"",OR('06_建筑锚点'!F56&lt;0,'06_建筑锚点'!F56&gt;WorldWidth)),"世界X越界；","")&amp;IF(AND('06_建筑锚点'!G56&lt;&gt;"",OR('06_建筑锚点'!G56&lt;0,'06_建筑锚点'!G56&gt;WorldHeight)),"世界Y越界；","")&amp;IF(AND('06_建筑锚点'!D56&lt;&gt;"",COUNTIF('03_地点锚点'!$A$2:$A$501,'06_建筑锚点'!D56)=0),"建筑所属地点不存在；","")&amp;IF(AND('06_建筑锚点'!T56&lt;&gt;"",COUNTIF('07_动态状态'!$A$2:$A$501,'06_建筑锚点'!T56)=0),"运营状态编码不存在；","")&amp;IF(AND('06_建筑锚点'!A56&lt;&gt;"",COUNTIF('06_建筑锚点'!$A$2:$A$501,'06_建筑锚点'!A56)&gt;1),"ID重复；",""),"")</f>
        <v/>
      </c>
      <c r="G2056" s="14">
        <f>IF(F2056&lt;&gt;"","按字段批注、数据字典和来源记录修正后复核","")</f>
        <v/>
      </c>
      <c r="H2056" s="14">
        <f>IF(F2056&lt;&gt;"","待处理","")</f>
        <v/>
      </c>
    </row>
    <row r="2057">
      <c r="A2057" s="14">
        <f>IF(F2057&lt;&gt;"","ISSUE-"&amp;TEXT(ROW()-1,"00000"),"")</f>
        <v/>
      </c>
      <c r="B2057" s="14">
        <f>IF(F2057&lt;&gt;"","错误","")</f>
        <v/>
      </c>
      <c r="C2057" s="14">
        <f>IF('06_建筑锚点'!A57&lt;&gt;"","06_建筑锚点","")</f>
        <v/>
      </c>
      <c r="D2057" s="14">
        <f>IF('06_建筑锚点'!A57&lt;&gt;"",'06_建筑锚点'!A57,"")</f>
        <v/>
      </c>
      <c r="E2057" s="14">
        <f>IF(F2057&lt;&gt;"","综合校验","")</f>
        <v/>
      </c>
      <c r="F2057" s="14">
        <f>IF('06_建筑锚点'!A57&lt;&gt;"",IF('06_建筑锚点'!A57="","缺少建筑ID；","")&amp;IF('06_建筑锚点'!B57="","缺少建筑名称；","")&amp;IF('06_建筑锚点'!C57="","缺少建筑类型；","")&amp;IF('06_建筑锚点'!D57="","缺少所属地点ID；","")&amp;IF('06_建筑锚点'!F57="","缺少世界X；","")&amp;IF('06_建筑锚点'!G57="","缺少世界Y；","")&amp;IF(AND('06_建筑锚点'!F57&lt;&gt;"",OR('06_建筑锚点'!F57&lt;0,'06_建筑锚点'!F57&gt;WorldWidth)),"世界X越界；","")&amp;IF(AND('06_建筑锚点'!G57&lt;&gt;"",OR('06_建筑锚点'!G57&lt;0,'06_建筑锚点'!G57&gt;WorldHeight)),"世界Y越界；","")&amp;IF(AND('06_建筑锚点'!D57&lt;&gt;"",COUNTIF('03_地点锚点'!$A$2:$A$501,'06_建筑锚点'!D57)=0),"建筑所属地点不存在；","")&amp;IF(AND('06_建筑锚点'!T57&lt;&gt;"",COUNTIF('07_动态状态'!$A$2:$A$501,'06_建筑锚点'!T57)=0),"运营状态编码不存在；","")&amp;IF(AND('06_建筑锚点'!A57&lt;&gt;"",COUNTIF('06_建筑锚点'!$A$2:$A$501,'06_建筑锚点'!A57)&gt;1),"ID重复；",""),"")</f>
        <v/>
      </c>
      <c r="G2057" s="14">
        <f>IF(F2057&lt;&gt;"","按字段批注、数据字典和来源记录修正后复核","")</f>
        <v/>
      </c>
      <c r="H2057" s="14">
        <f>IF(F2057&lt;&gt;"","待处理","")</f>
        <v/>
      </c>
    </row>
    <row r="2058">
      <c r="A2058" s="14">
        <f>IF(F2058&lt;&gt;"","ISSUE-"&amp;TEXT(ROW()-1,"00000"),"")</f>
        <v/>
      </c>
      <c r="B2058" s="14">
        <f>IF(F2058&lt;&gt;"","错误","")</f>
        <v/>
      </c>
      <c r="C2058" s="14">
        <f>IF('06_建筑锚点'!A58&lt;&gt;"","06_建筑锚点","")</f>
        <v/>
      </c>
      <c r="D2058" s="14">
        <f>IF('06_建筑锚点'!A58&lt;&gt;"",'06_建筑锚点'!A58,"")</f>
        <v/>
      </c>
      <c r="E2058" s="14">
        <f>IF(F2058&lt;&gt;"","综合校验","")</f>
        <v/>
      </c>
      <c r="F2058" s="14">
        <f>IF('06_建筑锚点'!A58&lt;&gt;"",IF('06_建筑锚点'!A58="","缺少建筑ID；","")&amp;IF('06_建筑锚点'!B58="","缺少建筑名称；","")&amp;IF('06_建筑锚点'!C58="","缺少建筑类型；","")&amp;IF('06_建筑锚点'!D58="","缺少所属地点ID；","")&amp;IF('06_建筑锚点'!F58="","缺少世界X；","")&amp;IF('06_建筑锚点'!G58="","缺少世界Y；","")&amp;IF(AND('06_建筑锚点'!F58&lt;&gt;"",OR('06_建筑锚点'!F58&lt;0,'06_建筑锚点'!F58&gt;WorldWidth)),"世界X越界；","")&amp;IF(AND('06_建筑锚点'!G58&lt;&gt;"",OR('06_建筑锚点'!G58&lt;0,'06_建筑锚点'!G58&gt;WorldHeight)),"世界Y越界；","")&amp;IF(AND('06_建筑锚点'!D58&lt;&gt;"",COUNTIF('03_地点锚点'!$A$2:$A$501,'06_建筑锚点'!D58)=0),"建筑所属地点不存在；","")&amp;IF(AND('06_建筑锚点'!T58&lt;&gt;"",COUNTIF('07_动态状态'!$A$2:$A$501,'06_建筑锚点'!T58)=0),"运营状态编码不存在；","")&amp;IF(AND('06_建筑锚点'!A58&lt;&gt;"",COUNTIF('06_建筑锚点'!$A$2:$A$501,'06_建筑锚点'!A58)&gt;1),"ID重复；",""),"")</f>
        <v/>
      </c>
      <c r="G2058" s="14">
        <f>IF(F2058&lt;&gt;"","按字段批注、数据字典和来源记录修正后复核","")</f>
        <v/>
      </c>
      <c r="H2058" s="14">
        <f>IF(F2058&lt;&gt;"","待处理","")</f>
        <v/>
      </c>
    </row>
    <row r="2059">
      <c r="A2059" s="14">
        <f>IF(F2059&lt;&gt;"","ISSUE-"&amp;TEXT(ROW()-1,"00000"),"")</f>
        <v/>
      </c>
      <c r="B2059" s="14">
        <f>IF(F2059&lt;&gt;"","错误","")</f>
        <v/>
      </c>
      <c r="C2059" s="14">
        <f>IF('06_建筑锚点'!A59&lt;&gt;"","06_建筑锚点","")</f>
        <v/>
      </c>
      <c r="D2059" s="14">
        <f>IF('06_建筑锚点'!A59&lt;&gt;"",'06_建筑锚点'!A59,"")</f>
        <v/>
      </c>
      <c r="E2059" s="14">
        <f>IF(F2059&lt;&gt;"","综合校验","")</f>
        <v/>
      </c>
      <c r="F2059" s="14">
        <f>IF('06_建筑锚点'!A59&lt;&gt;"",IF('06_建筑锚点'!A59="","缺少建筑ID；","")&amp;IF('06_建筑锚点'!B59="","缺少建筑名称；","")&amp;IF('06_建筑锚点'!C59="","缺少建筑类型；","")&amp;IF('06_建筑锚点'!D59="","缺少所属地点ID；","")&amp;IF('06_建筑锚点'!F59="","缺少世界X；","")&amp;IF('06_建筑锚点'!G59="","缺少世界Y；","")&amp;IF(AND('06_建筑锚点'!F59&lt;&gt;"",OR('06_建筑锚点'!F59&lt;0,'06_建筑锚点'!F59&gt;WorldWidth)),"世界X越界；","")&amp;IF(AND('06_建筑锚点'!G59&lt;&gt;"",OR('06_建筑锚点'!G59&lt;0,'06_建筑锚点'!G59&gt;WorldHeight)),"世界Y越界；","")&amp;IF(AND('06_建筑锚点'!D59&lt;&gt;"",COUNTIF('03_地点锚点'!$A$2:$A$501,'06_建筑锚点'!D59)=0),"建筑所属地点不存在；","")&amp;IF(AND('06_建筑锚点'!T59&lt;&gt;"",COUNTIF('07_动态状态'!$A$2:$A$501,'06_建筑锚点'!T59)=0),"运营状态编码不存在；","")&amp;IF(AND('06_建筑锚点'!A59&lt;&gt;"",COUNTIF('06_建筑锚点'!$A$2:$A$501,'06_建筑锚点'!A59)&gt;1),"ID重复；",""),"")</f>
        <v/>
      </c>
      <c r="G2059" s="14">
        <f>IF(F2059&lt;&gt;"","按字段批注、数据字典和来源记录修正后复核","")</f>
        <v/>
      </c>
      <c r="H2059" s="14">
        <f>IF(F2059&lt;&gt;"","待处理","")</f>
        <v/>
      </c>
    </row>
    <row r="2060">
      <c r="A2060" s="14">
        <f>IF(F2060&lt;&gt;"","ISSUE-"&amp;TEXT(ROW()-1,"00000"),"")</f>
        <v/>
      </c>
      <c r="B2060" s="14">
        <f>IF(F2060&lt;&gt;"","错误","")</f>
        <v/>
      </c>
      <c r="C2060" s="14">
        <f>IF('06_建筑锚点'!A60&lt;&gt;"","06_建筑锚点","")</f>
        <v/>
      </c>
      <c r="D2060" s="14">
        <f>IF('06_建筑锚点'!A60&lt;&gt;"",'06_建筑锚点'!A60,"")</f>
        <v/>
      </c>
      <c r="E2060" s="14">
        <f>IF(F2060&lt;&gt;"","综合校验","")</f>
        <v/>
      </c>
      <c r="F2060" s="14">
        <f>IF('06_建筑锚点'!A60&lt;&gt;"",IF('06_建筑锚点'!A60="","缺少建筑ID；","")&amp;IF('06_建筑锚点'!B60="","缺少建筑名称；","")&amp;IF('06_建筑锚点'!C60="","缺少建筑类型；","")&amp;IF('06_建筑锚点'!D60="","缺少所属地点ID；","")&amp;IF('06_建筑锚点'!F60="","缺少世界X；","")&amp;IF('06_建筑锚点'!G60="","缺少世界Y；","")&amp;IF(AND('06_建筑锚点'!F60&lt;&gt;"",OR('06_建筑锚点'!F60&lt;0,'06_建筑锚点'!F60&gt;WorldWidth)),"世界X越界；","")&amp;IF(AND('06_建筑锚点'!G60&lt;&gt;"",OR('06_建筑锚点'!G60&lt;0,'06_建筑锚点'!G60&gt;WorldHeight)),"世界Y越界；","")&amp;IF(AND('06_建筑锚点'!D60&lt;&gt;"",COUNTIF('03_地点锚点'!$A$2:$A$501,'06_建筑锚点'!D60)=0),"建筑所属地点不存在；","")&amp;IF(AND('06_建筑锚点'!T60&lt;&gt;"",COUNTIF('07_动态状态'!$A$2:$A$501,'06_建筑锚点'!T60)=0),"运营状态编码不存在；","")&amp;IF(AND('06_建筑锚点'!A60&lt;&gt;"",COUNTIF('06_建筑锚点'!$A$2:$A$501,'06_建筑锚点'!A60)&gt;1),"ID重复；",""),"")</f>
        <v/>
      </c>
      <c r="G2060" s="14">
        <f>IF(F2060&lt;&gt;"","按字段批注、数据字典和来源记录修正后复核","")</f>
        <v/>
      </c>
      <c r="H2060" s="14">
        <f>IF(F2060&lt;&gt;"","待处理","")</f>
        <v/>
      </c>
    </row>
    <row r="2061">
      <c r="A2061" s="14">
        <f>IF(F2061&lt;&gt;"","ISSUE-"&amp;TEXT(ROW()-1,"00000"),"")</f>
        <v/>
      </c>
      <c r="B2061" s="14">
        <f>IF(F2061&lt;&gt;"","错误","")</f>
        <v/>
      </c>
      <c r="C2061" s="14">
        <f>IF('06_建筑锚点'!A61&lt;&gt;"","06_建筑锚点","")</f>
        <v/>
      </c>
      <c r="D2061" s="14">
        <f>IF('06_建筑锚点'!A61&lt;&gt;"",'06_建筑锚点'!A61,"")</f>
        <v/>
      </c>
      <c r="E2061" s="14">
        <f>IF(F2061&lt;&gt;"","综合校验","")</f>
        <v/>
      </c>
      <c r="F2061" s="14">
        <f>IF('06_建筑锚点'!A61&lt;&gt;"",IF('06_建筑锚点'!A61="","缺少建筑ID；","")&amp;IF('06_建筑锚点'!B61="","缺少建筑名称；","")&amp;IF('06_建筑锚点'!C61="","缺少建筑类型；","")&amp;IF('06_建筑锚点'!D61="","缺少所属地点ID；","")&amp;IF('06_建筑锚点'!F61="","缺少世界X；","")&amp;IF('06_建筑锚点'!G61="","缺少世界Y；","")&amp;IF(AND('06_建筑锚点'!F61&lt;&gt;"",OR('06_建筑锚点'!F61&lt;0,'06_建筑锚点'!F61&gt;WorldWidth)),"世界X越界；","")&amp;IF(AND('06_建筑锚点'!G61&lt;&gt;"",OR('06_建筑锚点'!G61&lt;0,'06_建筑锚点'!G61&gt;WorldHeight)),"世界Y越界；","")&amp;IF(AND('06_建筑锚点'!D61&lt;&gt;"",COUNTIF('03_地点锚点'!$A$2:$A$501,'06_建筑锚点'!D61)=0),"建筑所属地点不存在；","")&amp;IF(AND('06_建筑锚点'!T61&lt;&gt;"",COUNTIF('07_动态状态'!$A$2:$A$501,'06_建筑锚点'!T61)=0),"运营状态编码不存在；","")&amp;IF(AND('06_建筑锚点'!A61&lt;&gt;"",COUNTIF('06_建筑锚点'!$A$2:$A$501,'06_建筑锚点'!A61)&gt;1),"ID重复；",""),"")</f>
        <v/>
      </c>
      <c r="G2061" s="14">
        <f>IF(F2061&lt;&gt;"","按字段批注、数据字典和来源记录修正后复核","")</f>
        <v/>
      </c>
      <c r="H2061" s="14">
        <f>IF(F2061&lt;&gt;"","待处理","")</f>
        <v/>
      </c>
    </row>
    <row r="2062">
      <c r="A2062" s="14">
        <f>IF(F2062&lt;&gt;"","ISSUE-"&amp;TEXT(ROW()-1,"00000"),"")</f>
        <v/>
      </c>
      <c r="B2062" s="14">
        <f>IF(F2062&lt;&gt;"","错误","")</f>
        <v/>
      </c>
      <c r="C2062" s="14">
        <f>IF('06_建筑锚点'!A62&lt;&gt;"","06_建筑锚点","")</f>
        <v/>
      </c>
      <c r="D2062" s="14">
        <f>IF('06_建筑锚点'!A62&lt;&gt;"",'06_建筑锚点'!A62,"")</f>
        <v/>
      </c>
      <c r="E2062" s="14">
        <f>IF(F2062&lt;&gt;"","综合校验","")</f>
        <v/>
      </c>
      <c r="F2062" s="14">
        <f>IF('06_建筑锚点'!A62&lt;&gt;"",IF('06_建筑锚点'!A62="","缺少建筑ID；","")&amp;IF('06_建筑锚点'!B62="","缺少建筑名称；","")&amp;IF('06_建筑锚点'!C62="","缺少建筑类型；","")&amp;IF('06_建筑锚点'!D62="","缺少所属地点ID；","")&amp;IF('06_建筑锚点'!F62="","缺少世界X；","")&amp;IF('06_建筑锚点'!G62="","缺少世界Y；","")&amp;IF(AND('06_建筑锚点'!F62&lt;&gt;"",OR('06_建筑锚点'!F62&lt;0,'06_建筑锚点'!F62&gt;WorldWidth)),"世界X越界；","")&amp;IF(AND('06_建筑锚点'!G62&lt;&gt;"",OR('06_建筑锚点'!G62&lt;0,'06_建筑锚点'!G62&gt;WorldHeight)),"世界Y越界；","")&amp;IF(AND('06_建筑锚点'!D62&lt;&gt;"",COUNTIF('03_地点锚点'!$A$2:$A$501,'06_建筑锚点'!D62)=0),"建筑所属地点不存在；","")&amp;IF(AND('06_建筑锚点'!T62&lt;&gt;"",COUNTIF('07_动态状态'!$A$2:$A$501,'06_建筑锚点'!T62)=0),"运营状态编码不存在；","")&amp;IF(AND('06_建筑锚点'!A62&lt;&gt;"",COUNTIF('06_建筑锚点'!$A$2:$A$501,'06_建筑锚点'!A62)&gt;1),"ID重复；",""),"")</f>
        <v/>
      </c>
      <c r="G2062" s="14">
        <f>IF(F2062&lt;&gt;"","按字段批注、数据字典和来源记录修正后复核","")</f>
        <v/>
      </c>
      <c r="H2062" s="14">
        <f>IF(F2062&lt;&gt;"","待处理","")</f>
        <v/>
      </c>
    </row>
    <row r="2063">
      <c r="A2063" s="14">
        <f>IF(F2063&lt;&gt;"","ISSUE-"&amp;TEXT(ROW()-1,"00000"),"")</f>
        <v/>
      </c>
      <c r="B2063" s="14">
        <f>IF(F2063&lt;&gt;"","错误","")</f>
        <v/>
      </c>
      <c r="C2063" s="14">
        <f>IF('06_建筑锚点'!A63&lt;&gt;"","06_建筑锚点","")</f>
        <v/>
      </c>
      <c r="D2063" s="14">
        <f>IF('06_建筑锚点'!A63&lt;&gt;"",'06_建筑锚点'!A63,"")</f>
        <v/>
      </c>
      <c r="E2063" s="14">
        <f>IF(F2063&lt;&gt;"","综合校验","")</f>
        <v/>
      </c>
      <c r="F2063" s="14">
        <f>IF('06_建筑锚点'!A63&lt;&gt;"",IF('06_建筑锚点'!A63="","缺少建筑ID；","")&amp;IF('06_建筑锚点'!B63="","缺少建筑名称；","")&amp;IF('06_建筑锚点'!C63="","缺少建筑类型；","")&amp;IF('06_建筑锚点'!D63="","缺少所属地点ID；","")&amp;IF('06_建筑锚点'!F63="","缺少世界X；","")&amp;IF('06_建筑锚点'!G63="","缺少世界Y；","")&amp;IF(AND('06_建筑锚点'!F63&lt;&gt;"",OR('06_建筑锚点'!F63&lt;0,'06_建筑锚点'!F63&gt;WorldWidth)),"世界X越界；","")&amp;IF(AND('06_建筑锚点'!G63&lt;&gt;"",OR('06_建筑锚点'!G63&lt;0,'06_建筑锚点'!G63&gt;WorldHeight)),"世界Y越界；","")&amp;IF(AND('06_建筑锚点'!D63&lt;&gt;"",COUNTIF('03_地点锚点'!$A$2:$A$501,'06_建筑锚点'!D63)=0),"建筑所属地点不存在；","")&amp;IF(AND('06_建筑锚点'!T63&lt;&gt;"",COUNTIF('07_动态状态'!$A$2:$A$501,'06_建筑锚点'!T63)=0),"运营状态编码不存在；","")&amp;IF(AND('06_建筑锚点'!A63&lt;&gt;"",COUNTIF('06_建筑锚点'!$A$2:$A$501,'06_建筑锚点'!A63)&gt;1),"ID重复；",""),"")</f>
        <v/>
      </c>
      <c r="G2063" s="14">
        <f>IF(F2063&lt;&gt;"","按字段批注、数据字典和来源记录修正后复核","")</f>
        <v/>
      </c>
      <c r="H2063" s="14">
        <f>IF(F2063&lt;&gt;"","待处理","")</f>
        <v/>
      </c>
    </row>
    <row r="2064">
      <c r="A2064" s="14">
        <f>IF(F2064&lt;&gt;"","ISSUE-"&amp;TEXT(ROW()-1,"00000"),"")</f>
        <v/>
      </c>
      <c r="B2064" s="14">
        <f>IF(F2064&lt;&gt;"","错误","")</f>
        <v/>
      </c>
      <c r="C2064" s="14">
        <f>IF('06_建筑锚点'!A64&lt;&gt;"","06_建筑锚点","")</f>
        <v/>
      </c>
      <c r="D2064" s="14">
        <f>IF('06_建筑锚点'!A64&lt;&gt;"",'06_建筑锚点'!A64,"")</f>
        <v/>
      </c>
      <c r="E2064" s="14">
        <f>IF(F2064&lt;&gt;"","综合校验","")</f>
        <v/>
      </c>
      <c r="F2064" s="14">
        <f>IF('06_建筑锚点'!A64&lt;&gt;"",IF('06_建筑锚点'!A64="","缺少建筑ID；","")&amp;IF('06_建筑锚点'!B64="","缺少建筑名称；","")&amp;IF('06_建筑锚点'!C64="","缺少建筑类型；","")&amp;IF('06_建筑锚点'!D64="","缺少所属地点ID；","")&amp;IF('06_建筑锚点'!F64="","缺少世界X；","")&amp;IF('06_建筑锚点'!G64="","缺少世界Y；","")&amp;IF(AND('06_建筑锚点'!F64&lt;&gt;"",OR('06_建筑锚点'!F64&lt;0,'06_建筑锚点'!F64&gt;WorldWidth)),"世界X越界；","")&amp;IF(AND('06_建筑锚点'!G64&lt;&gt;"",OR('06_建筑锚点'!G64&lt;0,'06_建筑锚点'!G64&gt;WorldHeight)),"世界Y越界；","")&amp;IF(AND('06_建筑锚点'!D64&lt;&gt;"",COUNTIF('03_地点锚点'!$A$2:$A$501,'06_建筑锚点'!D64)=0),"建筑所属地点不存在；","")&amp;IF(AND('06_建筑锚点'!T64&lt;&gt;"",COUNTIF('07_动态状态'!$A$2:$A$501,'06_建筑锚点'!T64)=0),"运营状态编码不存在；","")&amp;IF(AND('06_建筑锚点'!A64&lt;&gt;"",COUNTIF('06_建筑锚点'!$A$2:$A$501,'06_建筑锚点'!A64)&gt;1),"ID重复；",""),"")</f>
        <v/>
      </c>
      <c r="G2064" s="14">
        <f>IF(F2064&lt;&gt;"","按字段批注、数据字典和来源记录修正后复核","")</f>
        <v/>
      </c>
      <c r="H2064" s="14">
        <f>IF(F2064&lt;&gt;"","待处理","")</f>
        <v/>
      </c>
    </row>
    <row r="2065">
      <c r="A2065" s="14">
        <f>IF(F2065&lt;&gt;"","ISSUE-"&amp;TEXT(ROW()-1,"00000"),"")</f>
        <v/>
      </c>
      <c r="B2065" s="14">
        <f>IF(F2065&lt;&gt;"","错误","")</f>
        <v/>
      </c>
      <c r="C2065" s="14">
        <f>IF('06_建筑锚点'!A65&lt;&gt;"","06_建筑锚点","")</f>
        <v/>
      </c>
      <c r="D2065" s="14">
        <f>IF('06_建筑锚点'!A65&lt;&gt;"",'06_建筑锚点'!A65,"")</f>
        <v/>
      </c>
      <c r="E2065" s="14">
        <f>IF(F2065&lt;&gt;"","综合校验","")</f>
        <v/>
      </c>
      <c r="F2065" s="14">
        <f>IF('06_建筑锚点'!A65&lt;&gt;"",IF('06_建筑锚点'!A65="","缺少建筑ID；","")&amp;IF('06_建筑锚点'!B65="","缺少建筑名称；","")&amp;IF('06_建筑锚点'!C65="","缺少建筑类型；","")&amp;IF('06_建筑锚点'!D65="","缺少所属地点ID；","")&amp;IF('06_建筑锚点'!F65="","缺少世界X；","")&amp;IF('06_建筑锚点'!G65="","缺少世界Y；","")&amp;IF(AND('06_建筑锚点'!F65&lt;&gt;"",OR('06_建筑锚点'!F65&lt;0,'06_建筑锚点'!F65&gt;WorldWidth)),"世界X越界；","")&amp;IF(AND('06_建筑锚点'!G65&lt;&gt;"",OR('06_建筑锚点'!G65&lt;0,'06_建筑锚点'!G65&gt;WorldHeight)),"世界Y越界；","")&amp;IF(AND('06_建筑锚点'!D65&lt;&gt;"",COUNTIF('03_地点锚点'!$A$2:$A$501,'06_建筑锚点'!D65)=0),"建筑所属地点不存在；","")&amp;IF(AND('06_建筑锚点'!T65&lt;&gt;"",COUNTIF('07_动态状态'!$A$2:$A$501,'06_建筑锚点'!T65)=0),"运营状态编码不存在；","")&amp;IF(AND('06_建筑锚点'!A65&lt;&gt;"",COUNTIF('06_建筑锚点'!$A$2:$A$501,'06_建筑锚点'!A65)&gt;1),"ID重复；",""),"")</f>
        <v/>
      </c>
      <c r="G2065" s="14">
        <f>IF(F2065&lt;&gt;"","按字段批注、数据字典和来源记录修正后复核","")</f>
        <v/>
      </c>
      <c r="H2065" s="14">
        <f>IF(F2065&lt;&gt;"","待处理","")</f>
        <v/>
      </c>
    </row>
    <row r="2066">
      <c r="A2066" s="14">
        <f>IF(F2066&lt;&gt;"","ISSUE-"&amp;TEXT(ROW()-1,"00000"),"")</f>
        <v/>
      </c>
      <c r="B2066" s="14">
        <f>IF(F2066&lt;&gt;"","错误","")</f>
        <v/>
      </c>
      <c r="C2066" s="14">
        <f>IF('06_建筑锚点'!A66&lt;&gt;"","06_建筑锚点","")</f>
        <v/>
      </c>
      <c r="D2066" s="14">
        <f>IF('06_建筑锚点'!A66&lt;&gt;"",'06_建筑锚点'!A66,"")</f>
        <v/>
      </c>
      <c r="E2066" s="14">
        <f>IF(F2066&lt;&gt;"","综合校验","")</f>
        <v/>
      </c>
      <c r="F2066" s="14">
        <f>IF('06_建筑锚点'!A66&lt;&gt;"",IF('06_建筑锚点'!A66="","缺少建筑ID；","")&amp;IF('06_建筑锚点'!B66="","缺少建筑名称；","")&amp;IF('06_建筑锚点'!C66="","缺少建筑类型；","")&amp;IF('06_建筑锚点'!D66="","缺少所属地点ID；","")&amp;IF('06_建筑锚点'!F66="","缺少世界X；","")&amp;IF('06_建筑锚点'!G66="","缺少世界Y；","")&amp;IF(AND('06_建筑锚点'!F66&lt;&gt;"",OR('06_建筑锚点'!F66&lt;0,'06_建筑锚点'!F66&gt;WorldWidth)),"世界X越界；","")&amp;IF(AND('06_建筑锚点'!G66&lt;&gt;"",OR('06_建筑锚点'!G66&lt;0,'06_建筑锚点'!G66&gt;WorldHeight)),"世界Y越界；","")&amp;IF(AND('06_建筑锚点'!D66&lt;&gt;"",COUNTIF('03_地点锚点'!$A$2:$A$501,'06_建筑锚点'!D66)=0),"建筑所属地点不存在；","")&amp;IF(AND('06_建筑锚点'!T66&lt;&gt;"",COUNTIF('07_动态状态'!$A$2:$A$501,'06_建筑锚点'!T66)=0),"运营状态编码不存在；","")&amp;IF(AND('06_建筑锚点'!A66&lt;&gt;"",COUNTIF('06_建筑锚点'!$A$2:$A$501,'06_建筑锚点'!A66)&gt;1),"ID重复；",""),"")</f>
        <v/>
      </c>
      <c r="G2066" s="14">
        <f>IF(F2066&lt;&gt;"","按字段批注、数据字典和来源记录修正后复核","")</f>
        <v/>
      </c>
      <c r="H2066" s="14">
        <f>IF(F2066&lt;&gt;"","待处理","")</f>
        <v/>
      </c>
    </row>
    <row r="2067">
      <c r="A2067" s="14">
        <f>IF(F2067&lt;&gt;"","ISSUE-"&amp;TEXT(ROW()-1,"00000"),"")</f>
        <v/>
      </c>
      <c r="B2067" s="14">
        <f>IF(F2067&lt;&gt;"","错误","")</f>
        <v/>
      </c>
      <c r="C2067" s="14">
        <f>IF('06_建筑锚点'!A67&lt;&gt;"","06_建筑锚点","")</f>
        <v/>
      </c>
      <c r="D2067" s="14">
        <f>IF('06_建筑锚点'!A67&lt;&gt;"",'06_建筑锚点'!A67,"")</f>
        <v/>
      </c>
      <c r="E2067" s="14">
        <f>IF(F2067&lt;&gt;"","综合校验","")</f>
        <v/>
      </c>
      <c r="F2067" s="14">
        <f>IF('06_建筑锚点'!A67&lt;&gt;"",IF('06_建筑锚点'!A67="","缺少建筑ID；","")&amp;IF('06_建筑锚点'!B67="","缺少建筑名称；","")&amp;IF('06_建筑锚点'!C67="","缺少建筑类型；","")&amp;IF('06_建筑锚点'!D67="","缺少所属地点ID；","")&amp;IF('06_建筑锚点'!F67="","缺少世界X；","")&amp;IF('06_建筑锚点'!G67="","缺少世界Y；","")&amp;IF(AND('06_建筑锚点'!F67&lt;&gt;"",OR('06_建筑锚点'!F67&lt;0,'06_建筑锚点'!F67&gt;WorldWidth)),"世界X越界；","")&amp;IF(AND('06_建筑锚点'!G67&lt;&gt;"",OR('06_建筑锚点'!G67&lt;0,'06_建筑锚点'!G67&gt;WorldHeight)),"世界Y越界；","")&amp;IF(AND('06_建筑锚点'!D67&lt;&gt;"",COUNTIF('03_地点锚点'!$A$2:$A$501,'06_建筑锚点'!D67)=0),"建筑所属地点不存在；","")&amp;IF(AND('06_建筑锚点'!T67&lt;&gt;"",COUNTIF('07_动态状态'!$A$2:$A$501,'06_建筑锚点'!T67)=0),"运营状态编码不存在；","")&amp;IF(AND('06_建筑锚点'!A67&lt;&gt;"",COUNTIF('06_建筑锚点'!$A$2:$A$501,'06_建筑锚点'!A67)&gt;1),"ID重复；",""),"")</f>
        <v/>
      </c>
      <c r="G2067" s="14">
        <f>IF(F2067&lt;&gt;"","按字段批注、数据字典和来源记录修正后复核","")</f>
        <v/>
      </c>
      <c r="H2067" s="14">
        <f>IF(F2067&lt;&gt;"","待处理","")</f>
        <v/>
      </c>
    </row>
    <row r="2068">
      <c r="A2068" s="14">
        <f>IF(F2068&lt;&gt;"","ISSUE-"&amp;TEXT(ROW()-1,"00000"),"")</f>
        <v/>
      </c>
      <c r="B2068" s="14">
        <f>IF(F2068&lt;&gt;"","错误","")</f>
        <v/>
      </c>
      <c r="C2068" s="14">
        <f>IF('06_建筑锚点'!A68&lt;&gt;"","06_建筑锚点","")</f>
        <v/>
      </c>
      <c r="D2068" s="14">
        <f>IF('06_建筑锚点'!A68&lt;&gt;"",'06_建筑锚点'!A68,"")</f>
        <v/>
      </c>
      <c r="E2068" s="14">
        <f>IF(F2068&lt;&gt;"","综合校验","")</f>
        <v/>
      </c>
      <c r="F2068" s="14">
        <f>IF('06_建筑锚点'!A68&lt;&gt;"",IF('06_建筑锚点'!A68="","缺少建筑ID；","")&amp;IF('06_建筑锚点'!B68="","缺少建筑名称；","")&amp;IF('06_建筑锚点'!C68="","缺少建筑类型；","")&amp;IF('06_建筑锚点'!D68="","缺少所属地点ID；","")&amp;IF('06_建筑锚点'!F68="","缺少世界X；","")&amp;IF('06_建筑锚点'!G68="","缺少世界Y；","")&amp;IF(AND('06_建筑锚点'!F68&lt;&gt;"",OR('06_建筑锚点'!F68&lt;0,'06_建筑锚点'!F68&gt;WorldWidth)),"世界X越界；","")&amp;IF(AND('06_建筑锚点'!G68&lt;&gt;"",OR('06_建筑锚点'!G68&lt;0,'06_建筑锚点'!G68&gt;WorldHeight)),"世界Y越界；","")&amp;IF(AND('06_建筑锚点'!D68&lt;&gt;"",COUNTIF('03_地点锚点'!$A$2:$A$501,'06_建筑锚点'!D68)=0),"建筑所属地点不存在；","")&amp;IF(AND('06_建筑锚点'!T68&lt;&gt;"",COUNTIF('07_动态状态'!$A$2:$A$501,'06_建筑锚点'!T68)=0),"运营状态编码不存在；","")&amp;IF(AND('06_建筑锚点'!A68&lt;&gt;"",COUNTIF('06_建筑锚点'!$A$2:$A$501,'06_建筑锚点'!A68)&gt;1),"ID重复；",""),"")</f>
        <v/>
      </c>
      <c r="G2068" s="14">
        <f>IF(F2068&lt;&gt;"","按字段批注、数据字典和来源记录修正后复核","")</f>
        <v/>
      </c>
      <c r="H2068" s="14">
        <f>IF(F2068&lt;&gt;"","待处理","")</f>
        <v/>
      </c>
    </row>
    <row r="2069">
      <c r="A2069" s="14">
        <f>IF(F2069&lt;&gt;"","ISSUE-"&amp;TEXT(ROW()-1,"00000"),"")</f>
        <v/>
      </c>
      <c r="B2069" s="14">
        <f>IF(F2069&lt;&gt;"","错误","")</f>
        <v/>
      </c>
      <c r="C2069" s="14">
        <f>IF('06_建筑锚点'!A69&lt;&gt;"","06_建筑锚点","")</f>
        <v/>
      </c>
      <c r="D2069" s="14">
        <f>IF('06_建筑锚点'!A69&lt;&gt;"",'06_建筑锚点'!A69,"")</f>
        <v/>
      </c>
      <c r="E2069" s="14">
        <f>IF(F2069&lt;&gt;"","综合校验","")</f>
        <v/>
      </c>
      <c r="F2069" s="14">
        <f>IF('06_建筑锚点'!A69&lt;&gt;"",IF('06_建筑锚点'!A69="","缺少建筑ID；","")&amp;IF('06_建筑锚点'!B69="","缺少建筑名称；","")&amp;IF('06_建筑锚点'!C69="","缺少建筑类型；","")&amp;IF('06_建筑锚点'!D69="","缺少所属地点ID；","")&amp;IF('06_建筑锚点'!F69="","缺少世界X；","")&amp;IF('06_建筑锚点'!G69="","缺少世界Y；","")&amp;IF(AND('06_建筑锚点'!F69&lt;&gt;"",OR('06_建筑锚点'!F69&lt;0,'06_建筑锚点'!F69&gt;WorldWidth)),"世界X越界；","")&amp;IF(AND('06_建筑锚点'!G69&lt;&gt;"",OR('06_建筑锚点'!G69&lt;0,'06_建筑锚点'!G69&gt;WorldHeight)),"世界Y越界；","")&amp;IF(AND('06_建筑锚点'!D69&lt;&gt;"",COUNTIF('03_地点锚点'!$A$2:$A$501,'06_建筑锚点'!D69)=0),"建筑所属地点不存在；","")&amp;IF(AND('06_建筑锚点'!T69&lt;&gt;"",COUNTIF('07_动态状态'!$A$2:$A$501,'06_建筑锚点'!T69)=0),"运营状态编码不存在；","")&amp;IF(AND('06_建筑锚点'!A69&lt;&gt;"",COUNTIF('06_建筑锚点'!$A$2:$A$501,'06_建筑锚点'!A69)&gt;1),"ID重复；",""),"")</f>
        <v/>
      </c>
      <c r="G2069" s="14">
        <f>IF(F2069&lt;&gt;"","按字段批注、数据字典和来源记录修正后复核","")</f>
        <v/>
      </c>
      <c r="H2069" s="14">
        <f>IF(F2069&lt;&gt;"","待处理","")</f>
        <v/>
      </c>
    </row>
    <row r="2070">
      <c r="A2070" s="14">
        <f>IF(F2070&lt;&gt;"","ISSUE-"&amp;TEXT(ROW()-1,"00000"),"")</f>
        <v/>
      </c>
      <c r="B2070" s="14">
        <f>IF(F2070&lt;&gt;"","错误","")</f>
        <v/>
      </c>
      <c r="C2070" s="14">
        <f>IF('06_建筑锚点'!A70&lt;&gt;"","06_建筑锚点","")</f>
        <v/>
      </c>
      <c r="D2070" s="14">
        <f>IF('06_建筑锚点'!A70&lt;&gt;"",'06_建筑锚点'!A70,"")</f>
        <v/>
      </c>
      <c r="E2070" s="14">
        <f>IF(F2070&lt;&gt;"","综合校验","")</f>
        <v/>
      </c>
      <c r="F2070" s="14">
        <f>IF('06_建筑锚点'!A70&lt;&gt;"",IF('06_建筑锚点'!A70="","缺少建筑ID；","")&amp;IF('06_建筑锚点'!B70="","缺少建筑名称；","")&amp;IF('06_建筑锚点'!C70="","缺少建筑类型；","")&amp;IF('06_建筑锚点'!D70="","缺少所属地点ID；","")&amp;IF('06_建筑锚点'!F70="","缺少世界X；","")&amp;IF('06_建筑锚点'!G70="","缺少世界Y；","")&amp;IF(AND('06_建筑锚点'!F70&lt;&gt;"",OR('06_建筑锚点'!F70&lt;0,'06_建筑锚点'!F70&gt;WorldWidth)),"世界X越界；","")&amp;IF(AND('06_建筑锚点'!G70&lt;&gt;"",OR('06_建筑锚点'!G70&lt;0,'06_建筑锚点'!G70&gt;WorldHeight)),"世界Y越界；","")&amp;IF(AND('06_建筑锚点'!D70&lt;&gt;"",COUNTIF('03_地点锚点'!$A$2:$A$501,'06_建筑锚点'!D70)=0),"建筑所属地点不存在；","")&amp;IF(AND('06_建筑锚点'!T70&lt;&gt;"",COUNTIF('07_动态状态'!$A$2:$A$501,'06_建筑锚点'!T70)=0),"运营状态编码不存在；","")&amp;IF(AND('06_建筑锚点'!A70&lt;&gt;"",COUNTIF('06_建筑锚点'!$A$2:$A$501,'06_建筑锚点'!A70)&gt;1),"ID重复；",""),"")</f>
        <v/>
      </c>
      <c r="G2070" s="14">
        <f>IF(F2070&lt;&gt;"","按字段批注、数据字典和来源记录修正后复核","")</f>
        <v/>
      </c>
      <c r="H2070" s="14">
        <f>IF(F2070&lt;&gt;"","待处理","")</f>
        <v/>
      </c>
    </row>
    <row r="2071">
      <c r="A2071" s="14">
        <f>IF(F2071&lt;&gt;"","ISSUE-"&amp;TEXT(ROW()-1,"00000"),"")</f>
        <v/>
      </c>
      <c r="B2071" s="14">
        <f>IF(F2071&lt;&gt;"","错误","")</f>
        <v/>
      </c>
      <c r="C2071" s="14">
        <f>IF('06_建筑锚点'!A71&lt;&gt;"","06_建筑锚点","")</f>
        <v/>
      </c>
      <c r="D2071" s="14">
        <f>IF('06_建筑锚点'!A71&lt;&gt;"",'06_建筑锚点'!A71,"")</f>
        <v/>
      </c>
      <c r="E2071" s="14">
        <f>IF(F2071&lt;&gt;"","综合校验","")</f>
        <v/>
      </c>
      <c r="F2071" s="14">
        <f>IF('06_建筑锚点'!A71&lt;&gt;"",IF('06_建筑锚点'!A71="","缺少建筑ID；","")&amp;IF('06_建筑锚点'!B71="","缺少建筑名称；","")&amp;IF('06_建筑锚点'!C71="","缺少建筑类型；","")&amp;IF('06_建筑锚点'!D71="","缺少所属地点ID；","")&amp;IF('06_建筑锚点'!F71="","缺少世界X；","")&amp;IF('06_建筑锚点'!G71="","缺少世界Y；","")&amp;IF(AND('06_建筑锚点'!F71&lt;&gt;"",OR('06_建筑锚点'!F71&lt;0,'06_建筑锚点'!F71&gt;WorldWidth)),"世界X越界；","")&amp;IF(AND('06_建筑锚点'!G71&lt;&gt;"",OR('06_建筑锚点'!G71&lt;0,'06_建筑锚点'!G71&gt;WorldHeight)),"世界Y越界；","")&amp;IF(AND('06_建筑锚点'!D71&lt;&gt;"",COUNTIF('03_地点锚点'!$A$2:$A$501,'06_建筑锚点'!D71)=0),"建筑所属地点不存在；","")&amp;IF(AND('06_建筑锚点'!T71&lt;&gt;"",COUNTIF('07_动态状态'!$A$2:$A$501,'06_建筑锚点'!T71)=0),"运营状态编码不存在；","")&amp;IF(AND('06_建筑锚点'!A71&lt;&gt;"",COUNTIF('06_建筑锚点'!$A$2:$A$501,'06_建筑锚点'!A71)&gt;1),"ID重复；",""),"")</f>
        <v/>
      </c>
      <c r="G2071" s="14">
        <f>IF(F2071&lt;&gt;"","按字段批注、数据字典和来源记录修正后复核","")</f>
        <v/>
      </c>
      <c r="H2071" s="14">
        <f>IF(F2071&lt;&gt;"","待处理","")</f>
        <v/>
      </c>
    </row>
    <row r="2072">
      <c r="A2072" s="14">
        <f>IF(F2072&lt;&gt;"","ISSUE-"&amp;TEXT(ROW()-1,"00000"),"")</f>
        <v/>
      </c>
      <c r="B2072" s="14">
        <f>IF(F2072&lt;&gt;"","错误","")</f>
        <v/>
      </c>
      <c r="C2072" s="14">
        <f>IF('06_建筑锚点'!A72&lt;&gt;"","06_建筑锚点","")</f>
        <v/>
      </c>
      <c r="D2072" s="14">
        <f>IF('06_建筑锚点'!A72&lt;&gt;"",'06_建筑锚点'!A72,"")</f>
        <v/>
      </c>
      <c r="E2072" s="14">
        <f>IF(F2072&lt;&gt;"","综合校验","")</f>
        <v/>
      </c>
      <c r="F2072" s="14">
        <f>IF('06_建筑锚点'!A72&lt;&gt;"",IF('06_建筑锚点'!A72="","缺少建筑ID；","")&amp;IF('06_建筑锚点'!B72="","缺少建筑名称；","")&amp;IF('06_建筑锚点'!C72="","缺少建筑类型；","")&amp;IF('06_建筑锚点'!D72="","缺少所属地点ID；","")&amp;IF('06_建筑锚点'!F72="","缺少世界X；","")&amp;IF('06_建筑锚点'!G72="","缺少世界Y；","")&amp;IF(AND('06_建筑锚点'!F72&lt;&gt;"",OR('06_建筑锚点'!F72&lt;0,'06_建筑锚点'!F72&gt;WorldWidth)),"世界X越界；","")&amp;IF(AND('06_建筑锚点'!G72&lt;&gt;"",OR('06_建筑锚点'!G72&lt;0,'06_建筑锚点'!G72&gt;WorldHeight)),"世界Y越界；","")&amp;IF(AND('06_建筑锚点'!D72&lt;&gt;"",COUNTIF('03_地点锚点'!$A$2:$A$501,'06_建筑锚点'!D72)=0),"建筑所属地点不存在；","")&amp;IF(AND('06_建筑锚点'!T72&lt;&gt;"",COUNTIF('07_动态状态'!$A$2:$A$501,'06_建筑锚点'!T72)=0),"运营状态编码不存在；","")&amp;IF(AND('06_建筑锚点'!A72&lt;&gt;"",COUNTIF('06_建筑锚点'!$A$2:$A$501,'06_建筑锚点'!A72)&gt;1),"ID重复；",""),"")</f>
        <v/>
      </c>
      <c r="G2072" s="14">
        <f>IF(F2072&lt;&gt;"","按字段批注、数据字典和来源记录修正后复核","")</f>
        <v/>
      </c>
      <c r="H2072" s="14">
        <f>IF(F2072&lt;&gt;"","待处理","")</f>
        <v/>
      </c>
    </row>
    <row r="2073">
      <c r="A2073" s="14">
        <f>IF(F2073&lt;&gt;"","ISSUE-"&amp;TEXT(ROW()-1,"00000"),"")</f>
        <v/>
      </c>
      <c r="B2073" s="14">
        <f>IF(F2073&lt;&gt;"","错误","")</f>
        <v/>
      </c>
      <c r="C2073" s="14">
        <f>IF('06_建筑锚点'!A73&lt;&gt;"","06_建筑锚点","")</f>
        <v/>
      </c>
      <c r="D2073" s="14">
        <f>IF('06_建筑锚点'!A73&lt;&gt;"",'06_建筑锚点'!A73,"")</f>
        <v/>
      </c>
      <c r="E2073" s="14">
        <f>IF(F2073&lt;&gt;"","综合校验","")</f>
        <v/>
      </c>
      <c r="F2073" s="14">
        <f>IF('06_建筑锚点'!A73&lt;&gt;"",IF('06_建筑锚点'!A73="","缺少建筑ID；","")&amp;IF('06_建筑锚点'!B73="","缺少建筑名称；","")&amp;IF('06_建筑锚点'!C73="","缺少建筑类型；","")&amp;IF('06_建筑锚点'!D73="","缺少所属地点ID；","")&amp;IF('06_建筑锚点'!F73="","缺少世界X；","")&amp;IF('06_建筑锚点'!G73="","缺少世界Y；","")&amp;IF(AND('06_建筑锚点'!F73&lt;&gt;"",OR('06_建筑锚点'!F73&lt;0,'06_建筑锚点'!F73&gt;WorldWidth)),"世界X越界；","")&amp;IF(AND('06_建筑锚点'!G73&lt;&gt;"",OR('06_建筑锚点'!G73&lt;0,'06_建筑锚点'!G73&gt;WorldHeight)),"世界Y越界；","")&amp;IF(AND('06_建筑锚点'!D73&lt;&gt;"",COUNTIF('03_地点锚点'!$A$2:$A$501,'06_建筑锚点'!D73)=0),"建筑所属地点不存在；","")&amp;IF(AND('06_建筑锚点'!T73&lt;&gt;"",COUNTIF('07_动态状态'!$A$2:$A$501,'06_建筑锚点'!T73)=0),"运营状态编码不存在；","")&amp;IF(AND('06_建筑锚点'!A73&lt;&gt;"",COUNTIF('06_建筑锚点'!$A$2:$A$501,'06_建筑锚点'!A73)&gt;1),"ID重复；",""),"")</f>
        <v/>
      </c>
      <c r="G2073" s="14">
        <f>IF(F2073&lt;&gt;"","按字段批注、数据字典和来源记录修正后复核","")</f>
        <v/>
      </c>
      <c r="H2073" s="14">
        <f>IF(F2073&lt;&gt;"","待处理","")</f>
        <v/>
      </c>
    </row>
    <row r="2074">
      <c r="A2074" s="14">
        <f>IF(F2074&lt;&gt;"","ISSUE-"&amp;TEXT(ROW()-1,"00000"),"")</f>
        <v/>
      </c>
      <c r="B2074" s="14">
        <f>IF(F2074&lt;&gt;"","错误","")</f>
        <v/>
      </c>
      <c r="C2074" s="14">
        <f>IF('06_建筑锚点'!A74&lt;&gt;"","06_建筑锚点","")</f>
        <v/>
      </c>
      <c r="D2074" s="14">
        <f>IF('06_建筑锚点'!A74&lt;&gt;"",'06_建筑锚点'!A74,"")</f>
        <v/>
      </c>
      <c r="E2074" s="14">
        <f>IF(F2074&lt;&gt;"","综合校验","")</f>
        <v/>
      </c>
      <c r="F2074" s="14">
        <f>IF('06_建筑锚点'!A74&lt;&gt;"",IF('06_建筑锚点'!A74="","缺少建筑ID；","")&amp;IF('06_建筑锚点'!B74="","缺少建筑名称；","")&amp;IF('06_建筑锚点'!C74="","缺少建筑类型；","")&amp;IF('06_建筑锚点'!D74="","缺少所属地点ID；","")&amp;IF('06_建筑锚点'!F74="","缺少世界X；","")&amp;IF('06_建筑锚点'!G74="","缺少世界Y；","")&amp;IF(AND('06_建筑锚点'!F74&lt;&gt;"",OR('06_建筑锚点'!F74&lt;0,'06_建筑锚点'!F74&gt;WorldWidth)),"世界X越界；","")&amp;IF(AND('06_建筑锚点'!G74&lt;&gt;"",OR('06_建筑锚点'!G74&lt;0,'06_建筑锚点'!G74&gt;WorldHeight)),"世界Y越界；","")&amp;IF(AND('06_建筑锚点'!D74&lt;&gt;"",COUNTIF('03_地点锚点'!$A$2:$A$501,'06_建筑锚点'!D74)=0),"建筑所属地点不存在；","")&amp;IF(AND('06_建筑锚点'!T74&lt;&gt;"",COUNTIF('07_动态状态'!$A$2:$A$501,'06_建筑锚点'!T74)=0),"运营状态编码不存在；","")&amp;IF(AND('06_建筑锚点'!A74&lt;&gt;"",COUNTIF('06_建筑锚点'!$A$2:$A$501,'06_建筑锚点'!A74)&gt;1),"ID重复；",""),"")</f>
        <v/>
      </c>
      <c r="G2074" s="14">
        <f>IF(F2074&lt;&gt;"","按字段批注、数据字典和来源记录修正后复核","")</f>
        <v/>
      </c>
      <c r="H2074" s="14">
        <f>IF(F2074&lt;&gt;"","待处理","")</f>
        <v/>
      </c>
    </row>
    <row r="2075">
      <c r="A2075" s="14">
        <f>IF(F2075&lt;&gt;"","ISSUE-"&amp;TEXT(ROW()-1,"00000"),"")</f>
        <v/>
      </c>
      <c r="B2075" s="14">
        <f>IF(F2075&lt;&gt;"","错误","")</f>
        <v/>
      </c>
      <c r="C2075" s="14">
        <f>IF('06_建筑锚点'!A75&lt;&gt;"","06_建筑锚点","")</f>
        <v/>
      </c>
      <c r="D2075" s="14">
        <f>IF('06_建筑锚点'!A75&lt;&gt;"",'06_建筑锚点'!A75,"")</f>
        <v/>
      </c>
      <c r="E2075" s="14">
        <f>IF(F2075&lt;&gt;"","综合校验","")</f>
        <v/>
      </c>
      <c r="F2075" s="14">
        <f>IF('06_建筑锚点'!A75&lt;&gt;"",IF('06_建筑锚点'!A75="","缺少建筑ID；","")&amp;IF('06_建筑锚点'!B75="","缺少建筑名称；","")&amp;IF('06_建筑锚点'!C75="","缺少建筑类型；","")&amp;IF('06_建筑锚点'!D75="","缺少所属地点ID；","")&amp;IF('06_建筑锚点'!F75="","缺少世界X；","")&amp;IF('06_建筑锚点'!G75="","缺少世界Y；","")&amp;IF(AND('06_建筑锚点'!F75&lt;&gt;"",OR('06_建筑锚点'!F75&lt;0,'06_建筑锚点'!F75&gt;WorldWidth)),"世界X越界；","")&amp;IF(AND('06_建筑锚点'!G75&lt;&gt;"",OR('06_建筑锚点'!G75&lt;0,'06_建筑锚点'!G75&gt;WorldHeight)),"世界Y越界；","")&amp;IF(AND('06_建筑锚点'!D75&lt;&gt;"",COUNTIF('03_地点锚点'!$A$2:$A$501,'06_建筑锚点'!D75)=0),"建筑所属地点不存在；","")&amp;IF(AND('06_建筑锚点'!T75&lt;&gt;"",COUNTIF('07_动态状态'!$A$2:$A$501,'06_建筑锚点'!T75)=0),"运营状态编码不存在；","")&amp;IF(AND('06_建筑锚点'!A75&lt;&gt;"",COUNTIF('06_建筑锚点'!$A$2:$A$501,'06_建筑锚点'!A75)&gt;1),"ID重复；",""),"")</f>
        <v/>
      </c>
      <c r="G2075" s="14">
        <f>IF(F2075&lt;&gt;"","按字段批注、数据字典和来源记录修正后复核","")</f>
        <v/>
      </c>
      <c r="H2075" s="14">
        <f>IF(F2075&lt;&gt;"","待处理","")</f>
        <v/>
      </c>
    </row>
    <row r="2076">
      <c r="A2076" s="14">
        <f>IF(F2076&lt;&gt;"","ISSUE-"&amp;TEXT(ROW()-1,"00000"),"")</f>
        <v/>
      </c>
      <c r="B2076" s="14">
        <f>IF(F2076&lt;&gt;"","错误","")</f>
        <v/>
      </c>
      <c r="C2076" s="14">
        <f>IF('06_建筑锚点'!A76&lt;&gt;"","06_建筑锚点","")</f>
        <v/>
      </c>
      <c r="D2076" s="14">
        <f>IF('06_建筑锚点'!A76&lt;&gt;"",'06_建筑锚点'!A76,"")</f>
        <v/>
      </c>
      <c r="E2076" s="14">
        <f>IF(F2076&lt;&gt;"","综合校验","")</f>
        <v/>
      </c>
      <c r="F2076" s="14">
        <f>IF('06_建筑锚点'!A76&lt;&gt;"",IF('06_建筑锚点'!A76="","缺少建筑ID；","")&amp;IF('06_建筑锚点'!B76="","缺少建筑名称；","")&amp;IF('06_建筑锚点'!C76="","缺少建筑类型；","")&amp;IF('06_建筑锚点'!D76="","缺少所属地点ID；","")&amp;IF('06_建筑锚点'!F76="","缺少世界X；","")&amp;IF('06_建筑锚点'!G76="","缺少世界Y；","")&amp;IF(AND('06_建筑锚点'!F76&lt;&gt;"",OR('06_建筑锚点'!F76&lt;0,'06_建筑锚点'!F76&gt;WorldWidth)),"世界X越界；","")&amp;IF(AND('06_建筑锚点'!G76&lt;&gt;"",OR('06_建筑锚点'!G76&lt;0,'06_建筑锚点'!G76&gt;WorldHeight)),"世界Y越界；","")&amp;IF(AND('06_建筑锚点'!D76&lt;&gt;"",COUNTIF('03_地点锚点'!$A$2:$A$501,'06_建筑锚点'!D76)=0),"建筑所属地点不存在；","")&amp;IF(AND('06_建筑锚点'!T76&lt;&gt;"",COUNTIF('07_动态状态'!$A$2:$A$501,'06_建筑锚点'!T76)=0),"运营状态编码不存在；","")&amp;IF(AND('06_建筑锚点'!A76&lt;&gt;"",COUNTIF('06_建筑锚点'!$A$2:$A$501,'06_建筑锚点'!A76)&gt;1),"ID重复；",""),"")</f>
        <v/>
      </c>
      <c r="G2076" s="14">
        <f>IF(F2076&lt;&gt;"","按字段批注、数据字典和来源记录修正后复核","")</f>
        <v/>
      </c>
      <c r="H2076" s="14">
        <f>IF(F2076&lt;&gt;"","待处理","")</f>
        <v/>
      </c>
    </row>
    <row r="2077">
      <c r="A2077" s="14">
        <f>IF(F2077&lt;&gt;"","ISSUE-"&amp;TEXT(ROW()-1,"00000"),"")</f>
        <v/>
      </c>
      <c r="B2077" s="14">
        <f>IF(F2077&lt;&gt;"","错误","")</f>
        <v/>
      </c>
      <c r="C2077" s="14">
        <f>IF('06_建筑锚点'!A77&lt;&gt;"","06_建筑锚点","")</f>
        <v/>
      </c>
      <c r="D2077" s="14">
        <f>IF('06_建筑锚点'!A77&lt;&gt;"",'06_建筑锚点'!A77,"")</f>
        <v/>
      </c>
      <c r="E2077" s="14">
        <f>IF(F2077&lt;&gt;"","综合校验","")</f>
        <v/>
      </c>
      <c r="F2077" s="14">
        <f>IF('06_建筑锚点'!A77&lt;&gt;"",IF('06_建筑锚点'!A77="","缺少建筑ID；","")&amp;IF('06_建筑锚点'!B77="","缺少建筑名称；","")&amp;IF('06_建筑锚点'!C77="","缺少建筑类型；","")&amp;IF('06_建筑锚点'!D77="","缺少所属地点ID；","")&amp;IF('06_建筑锚点'!F77="","缺少世界X；","")&amp;IF('06_建筑锚点'!G77="","缺少世界Y；","")&amp;IF(AND('06_建筑锚点'!F77&lt;&gt;"",OR('06_建筑锚点'!F77&lt;0,'06_建筑锚点'!F77&gt;WorldWidth)),"世界X越界；","")&amp;IF(AND('06_建筑锚点'!G77&lt;&gt;"",OR('06_建筑锚点'!G77&lt;0,'06_建筑锚点'!G77&gt;WorldHeight)),"世界Y越界；","")&amp;IF(AND('06_建筑锚点'!D77&lt;&gt;"",COUNTIF('03_地点锚点'!$A$2:$A$501,'06_建筑锚点'!D77)=0),"建筑所属地点不存在；","")&amp;IF(AND('06_建筑锚点'!T77&lt;&gt;"",COUNTIF('07_动态状态'!$A$2:$A$501,'06_建筑锚点'!T77)=0),"运营状态编码不存在；","")&amp;IF(AND('06_建筑锚点'!A77&lt;&gt;"",COUNTIF('06_建筑锚点'!$A$2:$A$501,'06_建筑锚点'!A77)&gt;1),"ID重复；",""),"")</f>
        <v/>
      </c>
      <c r="G2077" s="14">
        <f>IF(F2077&lt;&gt;"","按字段批注、数据字典和来源记录修正后复核","")</f>
        <v/>
      </c>
      <c r="H2077" s="14">
        <f>IF(F2077&lt;&gt;"","待处理","")</f>
        <v/>
      </c>
    </row>
    <row r="2078">
      <c r="A2078" s="14">
        <f>IF(F2078&lt;&gt;"","ISSUE-"&amp;TEXT(ROW()-1,"00000"),"")</f>
        <v/>
      </c>
      <c r="B2078" s="14">
        <f>IF(F2078&lt;&gt;"","错误","")</f>
        <v/>
      </c>
      <c r="C2078" s="14">
        <f>IF('06_建筑锚点'!A78&lt;&gt;"","06_建筑锚点","")</f>
        <v/>
      </c>
      <c r="D2078" s="14">
        <f>IF('06_建筑锚点'!A78&lt;&gt;"",'06_建筑锚点'!A78,"")</f>
        <v/>
      </c>
      <c r="E2078" s="14">
        <f>IF(F2078&lt;&gt;"","综合校验","")</f>
        <v/>
      </c>
      <c r="F2078" s="14">
        <f>IF('06_建筑锚点'!A78&lt;&gt;"",IF('06_建筑锚点'!A78="","缺少建筑ID；","")&amp;IF('06_建筑锚点'!B78="","缺少建筑名称；","")&amp;IF('06_建筑锚点'!C78="","缺少建筑类型；","")&amp;IF('06_建筑锚点'!D78="","缺少所属地点ID；","")&amp;IF('06_建筑锚点'!F78="","缺少世界X；","")&amp;IF('06_建筑锚点'!G78="","缺少世界Y；","")&amp;IF(AND('06_建筑锚点'!F78&lt;&gt;"",OR('06_建筑锚点'!F78&lt;0,'06_建筑锚点'!F78&gt;WorldWidth)),"世界X越界；","")&amp;IF(AND('06_建筑锚点'!G78&lt;&gt;"",OR('06_建筑锚点'!G78&lt;0,'06_建筑锚点'!G78&gt;WorldHeight)),"世界Y越界；","")&amp;IF(AND('06_建筑锚点'!D78&lt;&gt;"",COUNTIF('03_地点锚点'!$A$2:$A$501,'06_建筑锚点'!D78)=0),"建筑所属地点不存在；","")&amp;IF(AND('06_建筑锚点'!T78&lt;&gt;"",COUNTIF('07_动态状态'!$A$2:$A$501,'06_建筑锚点'!T78)=0),"运营状态编码不存在；","")&amp;IF(AND('06_建筑锚点'!A78&lt;&gt;"",COUNTIF('06_建筑锚点'!$A$2:$A$501,'06_建筑锚点'!A78)&gt;1),"ID重复；",""),"")</f>
        <v/>
      </c>
      <c r="G2078" s="14">
        <f>IF(F2078&lt;&gt;"","按字段批注、数据字典和来源记录修正后复核","")</f>
        <v/>
      </c>
      <c r="H2078" s="14">
        <f>IF(F2078&lt;&gt;"","待处理","")</f>
        <v/>
      </c>
    </row>
    <row r="2079">
      <c r="A2079" s="14">
        <f>IF(F2079&lt;&gt;"","ISSUE-"&amp;TEXT(ROW()-1,"00000"),"")</f>
        <v/>
      </c>
      <c r="B2079" s="14">
        <f>IF(F2079&lt;&gt;"","错误","")</f>
        <v/>
      </c>
      <c r="C2079" s="14">
        <f>IF('06_建筑锚点'!A79&lt;&gt;"","06_建筑锚点","")</f>
        <v/>
      </c>
      <c r="D2079" s="14">
        <f>IF('06_建筑锚点'!A79&lt;&gt;"",'06_建筑锚点'!A79,"")</f>
        <v/>
      </c>
      <c r="E2079" s="14">
        <f>IF(F2079&lt;&gt;"","综合校验","")</f>
        <v/>
      </c>
      <c r="F2079" s="14">
        <f>IF('06_建筑锚点'!A79&lt;&gt;"",IF('06_建筑锚点'!A79="","缺少建筑ID；","")&amp;IF('06_建筑锚点'!B79="","缺少建筑名称；","")&amp;IF('06_建筑锚点'!C79="","缺少建筑类型；","")&amp;IF('06_建筑锚点'!D79="","缺少所属地点ID；","")&amp;IF('06_建筑锚点'!F79="","缺少世界X；","")&amp;IF('06_建筑锚点'!G79="","缺少世界Y；","")&amp;IF(AND('06_建筑锚点'!F79&lt;&gt;"",OR('06_建筑锚点'!F79&lt;0,'06_建筑锚点'!F79&gt;WorldWidth)),"世界X越界；","")&amp;IF(AND('06_建筑锚点'!G79&lt;&gt;"",OR('06_建筑锚点'!G79&lt;0,'06_建筑锚点'!G79&gt;WorldHeight)),"世界Y越界；","")&amp;IF(AND('06_建筑锚点'!D79&lt;&gt;"",COUNTIF('03_地点锚点'!$A$2:$A$501,'06_建筑锚点'!D79)=0),"建筑所属地点不存在；","")&amp;IF(AND('06_建筑锚点'!T79&lt;&gt;"",COUNTIF('07_动态状态'!$A$2:$A$501,'06_建筑锚点'!T79)=0),"运营状态编码不存在；","")&amp;IF(AND('06_建筑锚点'!A79&lt;&gt;"",COUNTIF('06_建筑锚点'!$A$2:$A$501,'06_建筑锚点'!A79)&gt;1),"ID重复；",""),"")</f>
        <v/>
      </c>
      <c r="G2079" s="14">
        <f>IF(F2079&lt;&gt;"","按字段批注、数据字典和来源记录修正后复核","")</f>
        <v/>
      </c>
      <c r="H2079" s="14">
        <f>IF(F2079&lt;&gt;"","待处理","")</f>
        <v/>
      </c>
    </row>
    <row r="2080">
      <c r="A2080" s="14">
        <f>IF(F2080&lt;&gt;"","ISSUE-"&amp;TEXT(ROW()-1,"00000"),"")</f>
        <v/>
      </c>
      <c r="B2080" s="14">
        <f>IF(F2080&lt;&gt;"","错误","")</f>
        <v/>
      </c>
      <c r="C2080" s="14">
        <f>IF('06_建筑锚点'!A80&lt;&gt;"","06_建筑锚点","")</f>
        <v/>
      </c>
      <c r="D2080" s="14">
        <f>IF('06_建筑锚点'!A80&lt;&gt;"",'06_建筑锚点'!A80,"")</f>
        <v/>
      </c>
      <c r="E2080" s="14">
        <f>IF(F2080&lt;&gt;"","综合校验","")</f>
        <v/>
      </c>
      <c r="F2080" s="14">
        <f>IF('06_建筑锚点'!A80&lt;&gt;"",IF('06_建筑锚点'!A80="","缺少建筑ID；","")&amp;IF('06_建筑锚点'!B80="","缺少建筑名称；","")&amp;IF('06_建筑锚点'!C80="","缺少建筑类型；","")&amp;IF('06_建筑锚点'!D80="","缺少所属地点ID；","")&amp;IF('06_建筑锚点'!F80="","缺少世界X；","")&amp;IF('06_建筑锚点'!G80="","缺少世界Y；","")&amp;IF(AND('06_建筑锚点'!F80&lt;&gt;"",OR('06_建筑锚点'!F80&lt;0,'06_建筑锚点'!F80&gt;WorldWidth)),"世界X越界；","")&amp;IF(AND('06_建筑锚点'!G80&lt;&gt;"",OR('06_建筑锚点'!G80&lt;0,'06_建筑锚点'!G80&gt;WorldHeight)),"世界Y越界；","")&amp;IF(AND('06_建筑锚点'!D80&lt;&gt;"",COUNTIF('03_地点锚点'!$A$2:$A$501,'06_建筑锚点'!D80)=0),"建筑所属地点不存在；","")&amp;IF(AND('06_建筑锚点'!T80&lt;&gt;"",COUNTIF('07_动态状态'!$A$2:$A$501,'06_建筑锚点'!T80)=0),"运营状态编码不存在；","")&amp;IF(AND('06_建筑锚点'!A80&lt;&gt;"",COUNTIF('06_建筑锚点'!$A$2:$A$501,'06_建筑锚点'!A80)&gt;1),"ID重复；",""),"")</f>
        <v/>
      </c>
      <c r="G2080" s="14">
        <f>IF(F2080&lt;&gt;"","按字段批注、数据字典和来源记录修正后复核","")</f>
        <v/>
      </c>
      <c r="H2080" s="14">
        <f>IF(F2080&lt;&gt;"","待处理","")</f>
        <v/>
      </c>
    </row>
    <row r="2081">
      <c r="A2081" s="14">
        <f>IF(F2081&lt;&gt;"","ISSUE-"&amp;TEXT(ROW()-1,"00000"),"")</f>
        <v/>
      </c>
      <c r="B2081" s="14">
        <f>IF(F2081&lt;&gt;"","错误","")</f>
        <v/>
      </c>
      <c r="C2081" s="14">
        <f>IF('06_建筑锚点'!A81&lt;&gt;"","06_建筑锚点","")</f>
        <v/>
      </c>
      <c r="D2081" s="14">
        <f>IF('06_建筑锚点'!A81&lt;&gt;"",'06_建筑锚点'!A81,"")</f>
        <v/>
      </c>
      <c r="E2081" s="14">
        <f>IF(F2081&lt;&gt;"","综合校验","")</f>
        <v/>
      </c>
      <c r="F2081" s="14">
        <f>IF('06_建筑锚点'!A81&lt;&gt;"",IF('06_建筑锚点'!A81="","缺少建筑ID；","")&amp;IF('06_建筑锚点'!B81="","缺少建筑名称；","")&amp;IF('06_建筑锚点'!C81="","缺少建筑类型；","")&amp;IF('06_建筑锚点'!D81="","缺少所属地点ID；","")&amp;IF('06_建筑锚点'!F81="","缺少世界X；","")&amp;IF('06_建筑锚点'!G81="","缺少世界Y；","")&amp;IF(AND('06_建筑锚点'!F81&lt;&gt;"",OR('06_建筑锚点'!F81&lt;0,'06_建筑锚点'!F81&gt;WorldWidth)),"世界X越界；","")&amp;IF(AND('06_建筑锚点'!G81&lt;&gt;"",OR('06_建筑锚点'!G81&lt;0,'06_建筑锚点'!G81&gt;WorldHeight)),"世界Y越界；","")&amp;IF(AND('06_建筑锚点'!D81&lt;&gt;"",COUNTIF('03_地点锚点'!$A$2:$A$501,'06_建筑锚点'!D81)=0),"建筑所属地点不存在；","")&amp;IF(AND('06_建筑锚点'!T81&lt;&gt;"",COUNTIF('07_动态状态'!$A$2:$A$501,'06_建筑锚点'!T81)=0),"运营状态编码不存在；","")&amp;IF(AND('06_建筑锚点'!A81&lt;&gt;"",COUNTIF('06_建筑锚点'!$A$2:$A$501,'06_建筑锚点'!A81)&gt;1),"ID重复；",""),"")</f>
        <v/>
      </c>
      <c r="G2081" s="14">
        <f>IF(F2081&lt;&gt;"","按字段批注、数据字典和来源记录修正后复核","")</f>
        <v/>
      </c>
      <c r="H2081" s="14">
        <f>IF(F2081&lt;&gt;"","待处理","")</f>
        <v/>
      </c>
    </row>
    <row r="2082">
      <c r="A2082" s="14">
        <f>IF(F2082&lt;&gt;"","ISSUE-"&amp;TEXT(ROW()-1,"00000"),"")</f>
        <v/>
      </c>
      <c r="B2082" s="14">
        <f>IF(F2082&lt;&gt;"","错误","")</f>
        <v/>
      </c>
      <c r="C2082" s="14">
        <f>IF('06_建筑锚点'!A82&lt;&gt;"","06_建筑锚点","")</f>
        <v/>
      </c>
      <c r="D2082" s="14">
        <f>IF('06_建筑锚点'!A82&lt;&gt;"",'06_建筑锚点'!A82,"")</f>
        <v/>
      </c>
      <c r="E2082" s="14">
        <f>IF(F2082&lt;&gt;"","综合校验","")</f>
        <v/>
      </c>
      <c r="F2082" s="14">
        <f>IF('06_建筑锚点'!A82&lt;&gt;"",IF('06_建筑锚点'!A82="","缺少建筑ID；","")&amp;IF('06_建筑锚点'!B82="","缺少建筑名称；","")&amp;IF('06_建筑锚点'!C82="","缺少建筑类型；","")&amp;IF('06_建筑锚点'!D82="","缺少所属地点ID；","")&amp;IF('06_建筑锚点'!F82="","缺少世界X；","")&amp;IF('06_建筑锚点'!G82="","缺少世界Y；","")&amp;IF(AND('06_建筑锚点'!F82&lt;&gt;"",OR('06_建筑锚点'!F82&lt;0,'06_建筑锚点'!F82&gt;WorldWidth)),"世界X越界；","")&amp;IF(AND('06_建筑锚点'!G82&lt;&gt;"",OR('06_建筑锚点'!G82&lt;0,'06_建筑锚点'!G82&gt;WorldHeight)),"世界Y越界；","")&amp;IF(AND('06_建筑锚点'!D82&lt;&gt;"",COUNTIF('03_地点锚点'!$A$2:$A$501,'06_建筑锚点'!D82)=0),"建筑所属地点不存在；","")&amp;IF(AND('06_建筑锚点'!T82&lt;&gt;"",COUNTIF('07_动态状态'!$A$2:$A$501,'06_建筑锚点'!T82)=0),"运营状态编码不存在；","")&amp;IF(AND('06_建筑锚点'!A82&lt;&gt;"",COUNTIF('06_建筑锚点'!$A$2:$A$501,'06_建筑锚点'!A82)&gt;1),"ID重复；",""),"")</f>
        <v/>
      </c>
      <c r="G2082" s="14">
        <f>IF(F2082&lt;&gt;"","按字段批注、数据字典和来源记录修正后复核","")</f>
        <v/>
      </c>
      <c r="H2082" s="14">
        <f>IF(F2082&lt;&gt;"","待处理","")</f>
        <v/>
      </c>
    </row>
    <row r="2083">
      <c r="A2083" s="14">
        <f>IF(F2083&lt;&gt;"","ISSUE-"&amp;TEXT(ROW()-1,"00000"),"")</f>
        <v/>
      </c>
      <c r="B2083" s="14">
        <f>IF(F2083&lt;&gt;"","错误","")</f>
        <v/>
      </c>
      <c r="C2083" s="14">
        <f>IF('06_建筑锚点'!A83&lt;&gt;"","06_建筑锚点","")</f>
        <v/>
      </c>
      <c r="D2083" s="14">
        <f>IF('06_建筑锚点'!A83&lt;&gt;"",'06_建筑锚点'!A83,"")</f>
        <v/>
      </c>
      <c r="E2083" s="14">
        <f>IF(F2083&lt;&gt;"","综合校验","")</f>
        <v/>
      </c>
      <c r="F2083" s="14">
        <f>IF('06_建筑锚点'!A83&lt;&gt;"",IF('06_建筑锚点'!A83="","缺少建筑ID；","")&amp;IF('06_建筑锚点'!B83="","缺少建筑名称；","")&amp;IF('06_建筑锚点'!C83="","缺少建筑类型；","")&amp;IF('06_建筑锚点'!D83="","缺少所属地点ID；","")&amp;IF('06_建筑锚点'!F83="","缺少世界X；","")&amp;IF('06_建筑锚点'!G83="","缺少世界Y；","")&amp;IF(AND('06_建筑锚点'!F83&lt;&gt;"",OR('06_建筑锚点'!F83&lt;0,'06_建筑锚点'!F83&gt;WorldWidth)),"世界X越界；","")&amp;IF(AND('06_建筑锚点'!G83&lt;&gt;"",OR('06_建筑锚点'!G83&lt;0,'06_建筑锚点'!G83&gt;WorldHeight)),"世界Y越界；","")&amp;IF(AND('06_建筑锚点'!D83&lt;&gt;"",COUNTIF('03_地点锚点'!$A$2:$A$501,'06_建筑锚点'!D83)=0),"建筑所属地点不存在；","")&amp;IF(AND('06_建筑锚点'!T83&lt;&gt;"",COUNTIF('07_动态状态'!$A$2:$A$501,'06_建筑锚点'!T83)=0),"运营状态编码不存在；","")&amp;IF(AND('06_建筑锚点'!A83&lt;&gt;"",COUNTIF('06_建筑锚点'!$A$2:$A$501,'06_建筑锚点'!A83)&gt;1),"ID重复；",""),"")</f>
        <v/>
      </c>
      <c r="G2083" s="14">
        <f>IF(F2083&lt;&gt;"","按字段批注、数据字典和来源记录修正后复核","")</f>
        <v/>
      </c>
      <c r="H2083" s="14">
        <f>IF(F2083&lt;&gt;"","待处理","")</f>
        <v/>
      </c>
    </row>
    <row r="2084">
      <c r="A2084" s="14">
        <f>IF(F2084&lt;&gt;"","ISSUE-"&amp;TEXT(ROW()-1,"00000"),"")</f>
        <v/>
      </c>
      <c r="B2084" s="14">
        <f>IF(F2084&lt;&gt;"","错误","")</f>
        <v/>
      </c>
      <c r="C2084" s="14">
        <f>IF('06_建筑锚点'!A84&lt;&gt;"","06_建筑锚点","")</f>
        <v/>
      </c>
      <c r="D2084" s="14">
        <f>IF('06_建筑锚点'!A84&lt;&gt;"",'06_建筑锚点'!A84,"")</f>
        <v/>
      </c>
      <c r="E2084" s="14">
        <f>IF(F2084&lt;&gt;"","综合校验","")</f>
        <v/>
      </c>
      <c r="F2084" s="14">
        <f>IF('06_建筑锚点'!A84&lt;&gt;"",IF('06_建筑锚点'!A84="","缺少建筑ID；","")&amp;IF('06_建筑锚点'!B84="","缺少建筑名称；","")&amp;IF('06_建筑锚点'!C84="","缺少建筑类型；","")&amp;IF('06_建筑锚点'!D84="","缺少所属地点ID；","")&amp;IF('06_建筑锚点'!F84="","缺少世界X；","")&amp;IF('06_建筑锚点'!G84="","缺少世界Y；","")&amp;IF(AND('06_建筑锚点'!F84&lt;&gt;"",OR('06_建筑锚点'!F84&lt;0,'06_建筑锚点'!F84&gt;WorldWidth)),"世界X越界；","")&amp;IF(AND('06_建筑锚点'!G84&lt;&gt;"",OR('06_建筑锚点'!G84&lt;0,'06_建筑锚点'!G84&gt;WorldHeight)),"世界Y越界；","")&amp;IF(AND('06_建筑锚点'!D84&lt;&gt;"",COUNTIF('03_地点锚点'!$A$2:$A$501,'06_建筑锚点'!D84)=0),"建筑所属地点不存在；","")&amp;IF(AND('06_建筑锚点'!T84&lt;&gt;"",COUNTIF('07_动态状态'!$A$2:$A$501,'06_建筑锚点'!T84)=0),"运营状态编码不存在；","")&amp;IF(AND('06_建筑锚点'!A84&lt;&gt;"",COUNTIF('06_建筑锚点'!$A$2:$A$501,'06_建筑锚点'!A84)&gt;1),"ID重复；",""),"")</f>
        <v/>
      </c>
      <c r="G2084" s="14">
        <f>IF(F2084&lt;&gt;"","按字段批注、数据字典和来源记录修正后复核","")</f>
        <v/>
      </c>
      <c r="H2084" s="14">
        <f>IF(F2084&lt;&gt;"","待处理","")</f>
        <v/>
      </c>
    </row>
    <row r="2085">
      <c r="A2085" s="14">
        <f>IF(F2085&lt;&gt;"","ISSUE-"&amp;TEXT(ROW()-1,"00000"),"")</f>
        <v/>
      </c>
      <c r="B2085" s="14">
        <f>IF(F2085&lt;&gt;"","错误","")</f>
        <v/>
      </c>
      <c r="C2085" s="14">
        <f>IF('06_建筑锚点'!A85&lt;&gt;"","06_建筑锚点","")</f>
        <v/>
      </c>
      <c r="D2085" s="14">
        <f>IF('06_建筑锚点'!A85&lt;&gt;"",'06_建筑锚点'!A85,"")</f>
        <v/>
      </c>
      <c r="E2085" s="14">
        <f>IF(F2085&lt;&gt;"","综合校验","")</f>
        <v/>
      </c>
      <c r="F2085" s="14">
        <f>IF('06_建筑锚点'!A85&lt;&gt;"",IF('06_建筑锚点'!A85="","缺少建筑ID；","")&amp;IF('06_建筑锚点'!B85="","缺少建筑名称；","")&amp;IF('06_建筑锚点'!C85="","缺少建筑类型；","")&amp;IF('06_建筑锚点'!D85="","缺少所属地点ID；","")&amp;IF('06_建筑锚点'!F85="","缺少世界X；","")&amp;IF('06_建筑锚点'!G85="","缺少世界Y；","")&amp;IF(AND('06_建筑锚点'!F85&lt;&gt;"",OR('06_建筑锚点'!F85&lt;0,'06_建筑锚点'!F85&gt;WorldWidth)),"世界X越界；","")&amp;IF(AND('06_建筑锚点'!G85&lt;&gt;"",OR('06_建筑锚点'!G85&lt;0,'06_建筑锚点'!G85&gt;WorldHeight)),"世界Y越界；","")&amp;IF(AND('06_建筑锚点'!D85&lt;&gt;"",COUNTIF('03_地点锚点'!$A$2:$A$501,'06_建筑锚点'!D85)=0),"建筑所属地点不存在；","")&amp;IF(AND('06_建筑锚点'!T85&lt;&gt;"",COUNTIF('07_动态状态'!$A$2:$A$501,'06_建筑锚点'!T85)=0),"运营状态编码不存在；","")&amp;IF(AND('06_建筑锚点'!A85&lt;&gt;"",COUNTIF('06_建筑锚点'!$A$2:$A$501,'06_建筑锚点'!A85)&gt;1),"ID重复；",""),"")</f>
        <v/>
      </c>
      <c r="G2085" s="14">
        <f>IF(F2085&lt;&gt;"","按字段批注、数据字典和来源记录修正后复核","")</f>
        <v/>
      </c>
      <c r="H2085" s="14">
        <f>IF(F2085&lt;&gt;"","待处理","")</f>
        <v/>
      </c>
    </row>
    <row r="2086">
      <c r="A2086" s="14">
        <f>IF(F2086&lt;&gt;"","ISSUE-"&amp;TEXT(ROW()-1,"00000"),"")</f>
        <v/>
      </c>
      <c r="B2086" s="14">
        <f>IF(F2086&lt;&gt;"","错误","")</f>
        <v/>
      </c>
      <c r="C2086" s="14">
        <f>IF('06_建筑锚点'!A86&lt;&gt;"","06_建筑锚点","")</f>
        <v/>
      </c>
      <c r="D2086" s="14">
        <f>IF('06_建筑锚点'!A86&lt;&gt;"",'06_建筑锚点'!A86,"")</f>
        <v/>
      </c>
      <c r="E2086" s="14">
        <f>IF(F2086&lt;&gt;"","综合校验","")</f>
        <v/>
      </c>
      <c r="F2086" s="14">
        <f>IF('06_建筑锚点'!A86&lt;&gt;"",IF('06_建筑锚点'!A86="","缺少建筑ID；","")&amp;IF('06_建筑锚点'!B86="","缺少建筑名称；","")&amp;IF('06_建筑锚点'!C86="","缺少建筑类型；","")&amp;IF('06_建筑锚点'!D86="","缺少所属地点ID；","")&amp;IF('06_建筑锚点'!F86="","缺少世界X；","")&amp;IF('06_建筑锚点'!G86="","缺少世界Y；","")&amp;IF(AND('06_建筑锚点'!F86&lt;&gt;"",OR('06_建筑锚点'!F86&lt;0,'06_建筑锚点'!F86&gt;WorldWidth)),"世界X越界；","")&amp;IF(AND('06_建筑锚点'!G86&lt;&gt;"",OR('06_建筑锚点'!G86&lt;0,'06_建筑锚点'!G86&gt;WorldHeight)),"世界Y越界；","")&amp;IF(AND('06_建筑锚点'!D86&lt;&gt;"",COUNTIF('03_地点锚点'!$A$2:$A$501,'06_建筑锚点'!D86)=0),"建筑所属地点不存在；","")&amp;IF(AND('06_建筑锚点'!T86&lt;&gt;"",COUNTIF('07_动态状态'!$A$2:$A$501,'06_建筑锚点'!T86)=0),"运营状态编码不存在；","")&amp;IF(AND('06_建筑锚点'!A86&lt;&gt;"",COUNTIF('06_建筑锚点'!$A$2:$A$501,'06_建筑锚点'!A86)&gt;1),"ID重复；",""),"")</f>
        <v/>
      </c>
      <c r="G2086" s="14">
        <f>IF(F2086&lt;&gt;"","按字段批注、数据字典和来源记录修正后复核","")</f>
        <v/>
      </c>
      <c r="H2086" s="14">
        <f>IF(F2086&lt;&gt;"","待处理","")</f>
        <v/>
      </c>
    </row>
    <row r="2087">
      <c r="A2087" s="14">
        <f>IF(F2087&lt;&gt;"","ISSUE-"&amp;TEXT(ROW()-1,"00000"),"")</f>
        <v/>
      </c>
      <c r="B2087" s="14">
        <f>IF(F2087&lt;&gt;"","错误","")</f>
        <v/>
      </c>
      <c r="C2087" s="14">
        <f>IF('06_建筑锚点'!A87&lt;&gt;"","06_建筑锚点","")</f>
        <v/>
      </c>
      <c r="D2087" s="14">
        <f>IF('06_建筑锚点'!A87&lt;&gt;"",'06_建筑锚点'!A87,"")</f>
        <v/>
      </c>
      <c r="E2087" s="14">
        <f>IF(F2087&lt;&gt;"","综合校验","")</f>
        <v/>
      </c>
      <c r="F2087" s="14">
        <f>IF('06_建筑锚点'!A87&lt;&gt;"",IF('06_建筑锚点'!A87="","缺少建筑ID；","")&amp;IF('06_建筑锚点'!B87="","缺少建筑名称；","")&amp;IF('06_建筑锚点'!C87="","缺少建筑类型；","")&amp;IF('06_建筑锚点'!D87="","缺少所属地点ID；","")&amp;IF('06_建筑锚点'!F87="","缺少世界X；","")&amp;IF('06_建筑锚点'!G87="","缺少世界Y；","")&amp;IF(AND('06_建筑锚点'!F87&lt;&gt;"",OR('06_建筑锚点'!F87&lt;0,'06_建筑锚点'!F87&gt;WorldWidth)),"世界X越界；","")&amp;IF(AND('06_建筑锚点'!G87&lt;&gt;"",OR('06_建筑锚点'!G87&lt;0,'06_建筑锚点'!G87&gt;WorldHeight)),"世界Y越界；","")&amp;IF(AND('06_建筑锚点'!D87&lt;&gt;"",COUNTIF('03_地点锚点'!$A$2:$A$501,'06_建筑锚点'!D87)=0),"建筑所属地点不存在；","")&amp;IF(AND('06_建筑锚点'!T87&lt;&gt;"",COUNTIF('07_动态状态'!$A$2:$A$501,'06_建筑锚点'!T87)=0),"运营状态编码不存在；","")&amp;IF(AND('06_建筑锚点'!A87&lt;&gt;"",COUNTIF('06_建筑锚点'!$A$2:$A$501,'06_建筑锚点'!A87)&gt;1),"ID重复；",""),"")</f>
        <v/>
      </c>
      <c r="G2087" s="14">
        <f>IF(F2087&lt;&gt;"","按字段批注、数据字典和来源记录修正后复核","")</f>
        <v/>
      </c>
      <c r="H2087" s="14">
        <f>IF(F2087&lt;&gt;"","待处理","")</f>
        <v/>
      </c>
    </row>
    <row r="2088">
      <c r="A2088" s="14">
        <f>IF(F2088&lt;&gt;"","ISSUE-"&amp;TEXT(ROW()-1,"00000"),"")</f>
        <v/>
      </c>
      <c r="B2088" s="14">
        <f>IF(F2088&lt;&gt;"","错误","")</f>
        <v/>
      </c>
      <c r="C2088" s="14">
        <f>IF('06_建筑锚点'!A88&lt;&gt;"","06_建筑锚点","")</f>
        <v/>
      </c>
      <c r="D2088" s="14">
        <f>IF('06_建筑锚点'!A88&lt;&gt;"",'06_建筑锚点'!A88,"")</f>
        <v/>
      </c>
      <c r="E2088" s="14">
        <f>IF(F2088&lt;&gt;"","综合校验","")</f>
        <v/>
      </c>
      <c r="F2088" s="14">
        <f>IF('06_建筑锚点'!A88&lt;&gt;"",IF('06_建筑锚点'!A88="","缺少建筑ID；","")&amp;IF('06_建筑锚点'!B88="","缺少建筑名称；","")&amp;IF('06_建筑锚点'!C88="","缺少建筑类型；","")&amp;IF('06_建筑锚点'!D88="","缺少所属地点ID；","")&amp;IF('06_建筑锚点'!F88="","缺少世界X；","")&amp;IF('06_建筑锚点'!G88="","缺少世界Y；","")&amp;IF(AND('06_建筑锚点'!F88&lt;&gt;"",OR('06_建筑锚点'!F88&lt;0,'06_建筑锚点'!F88&gt;WorldWidth)),"世界X越界；","")&amp;IF(AND('06_建筑锚点'!G88&lt;&gt;"",OR('06_建筑锚点'!G88&lt;0,'06_建筑锚点'!G88&gt;WorldHeight)),"世界Y越界；","")&amp;IF(AND('06_建筑锚点'!D88&lt;&gt;"",COUNTIF('03_地点锚点'!$A$2:$A$501,'06_建筑锚点'!D88)=0),"建筑所属地点不存在；","")&amp;IF(AND('06_建筑锚点'!T88&lt;&gt;"",COUNTIF('07_动态状态'!$A$2:$A$501,'06_建筑锚点'!T88)=0),"运营状态编码不存在；","")&amp;IF(AND('06_建筑锚点'!A88&lt;&gt;"",COUNTIF('06_建筑锚点'!$A$2:$A$501,'06_建筑锚点'!A88)&gt;1),"ID重复；",""),"")</f>
        <v/>
      </c>
      <c r="G2088" s="14">
        <f>IF(F2088&lt;&gt;"","按字段批注、数据字典和来源记录修正后复核","")</f>
        <v/>
      </c>
      <c r="H2088" s="14">
        <f>IF(F2088&lt;&gt;"","待处理","")</f>
        <v/>
      </c>
    </row>
    <row r="2089">
      <c r="A2089" s="14">
        <f>IF(F2089&lt;&gt;"","ISSUE-"&amp;TEXT(ROW()-1,"00000"),"")</f>
        <v/>
      </c>
      <c r="B2089" s="14">
        <f>IF(F2089&lt;&gt;"","错误","")</f>
        <v/>
      </c>
      <c r="C2089" s="14">
        <f>IF('06_建筑锚点'!A89&lt;&gt;"","06_建筑锚点","")</f>
        <v/>
      </c>
      <c r="D2089" s="14">
        <f>IF('06_建筑锚点'!A89&lt;&gt;"",'06_建筑锚点'!A89,"")</f>
        <v/>
      </c>
      <c r="E2089" s="14">
        <f>IF(F2089&lt;&gt;"","综合校验","")</f>
        <v/>
      </c>
      <c r="F2089" s="14">
        <f>IF('06_建筑锚点'!A89&lt;&gt;"",IF('06_建筑锚点'!A89="","缺少建筑ID；","")&amp;IF('06_建筑锚点'!B89="","缺少建筑名称；","")&amp;IF('06_建筑锚点'!C89="","缺少建筑类型；","")&amp;IF('06_建筑锚点'!D89="","缺少所属地点ID；","")&amp;IF('06_建筑锚点'!F89="","缺少世界X；","")&amp;IF('06_建筑锚点'!G89="","缺少世界Y；","")&amp;IF(AND('06_建筑锚点'!F89&lt;&gt;"",OR('06_建筑锚点'!F89&lt;0,'06_建筑锚点'!F89&gt;WorldWidth)),"世界X越界；","")&amp;IF(AND('06_建筑锚点'!G89&lt;&gt;"",OR('06_建筑锚点'!G89&lt;0,'06_建筑锚点'!G89&gt;WorldHeight)),"世界Y越界；","")&amp;IF(AND('06_建筑锚点'!D89&lt;&gt;"",COUNTIF('03_地点锚点'!$A$2:$A$501,'06_建筑锚点'!D89)=0),"建筑所属地点不存在；","")&amp;IF(AND('06_建筑锚点'!T89&lt;&gt;"",COUNTIF('07_动态状态'!$A$2:$A$501,'06_建筑锚点'!T89)=0),"运营状态编码不存在；","")&amp;IF(AND('06_建筑锚点'!A89&lt;&gt;"",COUNTIF('06_建筑锚点'!$A$2:$A$501,'06_建筑锚点'!A89)&gt;1),"ID重复；",""),"")</f>
        <v/>
      </c>
      <c r="G2089" s="14">
        <f>IF(F2089&lt;&gt;"","按字段批注、数据字典和来源记录修正后复核","")</f>
        <v/>
      </c>
      <c r="H2089" s="14">
        <f>IF(F2089&lt;&gt;"","待处理","")</f>
        <v/>
      </c>
    </row>
    <row r="2090">
      <c r="A2090" s="14">
        <f>IF(F2090&lt;&gt;"","ISSUE-"&amp;TEXT(ROW()-1,"00000"),"")</f>
        <v/>
      </c>
      <c r="B2090" s="14">
        <f>IF(F2090&lt;&gt;"","错误","")</f>
        <v/>
      </c>
      <c r="C2090" s="14">
        <f>IF('06_建筑锚点'!A90&lt;&gt;"","06_建筑锚点","")</f>
        <v/>
      </c>
      <c r="D2090" s="14">
        <f>IF('06_建筑锚点'!A90&lt;&gt;"",'06_建筑锚点'!A90,"")</f>
        <v/>
      </c>
      <c r="E2090" s="14">
        <f>IF(F2090&lt;&gt;"","综合校验","")</f>
        <v/>
      </c>
      <c r="F2090" s="14">
        <f>IF('06_建筑锚点'!A90&lt;&gt;"",IF('06_建筑锚点'!A90="","缺少建筑ID；","")&amp;IF('06_建筑锚点'!B90="","缺少建筑名称；","")&amp;IF('06_建筑锚点'!C90="","缺少建筑类型；","")&amp;IF('06_建筑锚点'!D90="","缺少所属地点ID；","")&amp;IF('06_建筑锚点'!F90="","缺少世界X；","")&amp;IF('06_建筑锚点'!G90="","缺少世界Y；","")&amp;IF(AND('06_建筑锚点'!F90&lt;&gt;"",OR('06_建筑锚点'!F90&lt;0,'06_建筑锚点'!F90&gt;WorldWidth)),"世界X越界；","")&amp;IF(AND('06_建筑锚点'!G90&lt;&gt;"",OR('06_建筑锚点'!G90&lt;0,'06_建筑锚点'!G90&gt;WorldHeight)),"世界Y越界；","")&amp;IF(AND('06_建筑锚点'!D90&lt;&gt;"",COUNTIF('03_地点锚点'!$A$2:$A$501,'06_建筑锚点'!D90)=0),"建筑所属地点不存在；","")&amp;IF(AND('06_建筑锚点'!T90&lt;&gt;"",COUNTIF('07_动态状态'!$A$2:$A$501,'06_建筑锚点'!T90)=0),"运营状态编码不存在；","")&amp;IF(AND('06_建筑锚点'!A90&lt;&gt;"",COUNTIF('06_建筑锚点'!$A$2:$A$501,'06_建筑锚点'!A90)&gt;1),"ID重复；",""),"")</f>
        <v/>
      </c>
      <c r="G2090" s="14">
        <f>IF(F2090&lt;&gt;"","按字段批注、数据字典和来源记录修正后复核","")</f>
        <v/>
      </c>
      <c r="H2090" s="14">
        <f>IF(F2090&lt;&gt;"","待处理","")</f>
        <v/>
      </c>
    </row>
    <row r="2091">
      <c r="A2091" s="14">
        <f>IF(F2091&lt;&gt;"","ISSUE-"&amp;TEXT(ROW()-1,"00000"),"")</f>
        <v/>
      </c>
      <c r="B2091" s="14">
        <f>IF(F2091&lt;&gt;"","错误","")</f>
        <v/>
      </c>
      <c r="C2091" s="14">
        <f>IF('06_建筑锚点'!A91&lt;&gt;"","06_建筑锚点","")</f>
        <v/>
      </c>
      <c r="D2091" s="14">
        <f>IF('06_建筑锚点'!A91&lt;&gt;"",'06_建筑锚点'!A91,"")</f>
        <v/>
      </c>
      <c r="E2091" s="14">
        <f>IF(F2091&lt;&gt;"","综合校验","")</f>
        <v/>
      </c>
      <c r="F2091" s="14">
        <f>IF('06_建筑锚点'!A91&lt;&gt;"",IF('06_建筑锚点'!A91="","缺少建筑ID；","")&amp;IF('06_建筑锚点'!B91="","缺少建筑名称；","")&amp;IF('06_建筑锚点'!C91="","缺少建筑类型；","")&amp;IF('06_建筑锚点'!D91="","缺少所属地点ID；","")&amp;IF('06_建筑锚点'!F91="","缺少世界X；","")&amp;IF('06_建筑锚点'!G91="","缺少世界Y；","")&amp;IF(AND('06_建筑锚点'!F91&lt;&gt;"",OR('06_建筑锚点'!F91&lt;0,'06_建筑锚点'!F91&gt;WorldWidth)),"世界X越界；","")&amp;IF(AND('06_建筑锚点'!G91&lt;&gt;"",OR('06_建筑锚点'!G91&lt;0,'06_建筑锚点'!G91&gt;WorldHeight)),"世界Y越界；","")&amp;IF(AND('06_建筑锚点'!D91&lt;&gt;"",COUNTIF('03_地点锚点'!$A$2:$A$501,'06_建筑锚点'!D91)=0),"建筑所属地点不存在；","")&amp;IF(AND('06_建筑锚点'!T91&lt;&gt;"",COUNTIF('07_动态状态'!$A$2:$A$501,'06_建筑锚点'!T91)=0),"运营状态编码不存在；","")&amp;IF(AND('06_建筑锚点'!A91&lt;&gt;"",COUNTIF('06_建筑锚点'!$A$2:$A$501,'06_建筑锚点'!A91)&gt;1),"ID重复；",""),"")</f>
        <v/>
      </c>
      <c r="G2091" s="14">
        <f>IF(F2091&lt;&gt;"","按字段批注、数据字典和来源记录修正后复核","")</f>
        <v/>
      </c>
      <c r="H2091" s="14">
        <f>IF(F2091&lt;&gt;"","待处理","")</f>
        <v/>
      </c>
    </row>
    <row r="2092">
      <c r="A2092" s="14">
        <f>IF(F2092&lt;&gt;"","ISSUE-"&amp;TEXT(ROW()-1,"00000"),"")</f>
        <v/>
      </c>
      <c r="B2092" s="14">
        <f>IF(F2092&lt;&gt;"","错误","")</f>
        <v/>
      </c>
      <c r="C2092" s="14">
        <f>IF('06_建筑锚点'!A92&lt;&gt;"","06_建筑锚点","")</f>
        <v/>
      </c>
      <c r="D2092" s="14">
        <f>IF('06_建筑锚点'!A92&lt;&gt;"",'06_建筑锚点'!A92,"")</f>
        <v/>
      </c>
      <c r="E2092" s="14">
        <f>IF(F2092&lt;&gt;"","综合校验","")</f>
        <v/>
      </c>
      <c r="F2092" s="14">
        <f>IF('06_建筑锚点'!A92&lt;&gt;"",IF('06_建筑锚点'!A92="","缺少建筑ID；","")&amp;IF('06_建筑锚点'!B92="","缺少建筑名称；","")&amp;IF('06_建筑锚点'!C92="","缺少建筑类型；","")&amp;IF('06_建筑锚点'!D92="","缺少所属地点ID；","")&amp;IF('06_建筑锚点'!F92="","缺少世界X；","")&amp;IF('06_建筑锚点'!G92="","缺少世界Y；","")&amp;IF(AND('06_建筑锚点'!F92&lt;&gt;"",OR('06_建筑锚点'!F92&lt;0,'06_建筑锚点'!F92&gt;WorldWidth)),"世界X越界；","")&amp;IF(AND('06_建筑锚点'!G92&lt;&gt;"",OR('06_建筑锚点'!G92&lt;0,'06_建筑锚点'!G92&gt;WorldHeight)),"世界Y越界；","")&amp;IF(AND('06_建筑锚点'!D92&lt;&gt;"",COUNTIF('03_地点锚点'!$A$2:$A$501,'06_建筑锚点'!D92)=0),"建筑所属地点不存在；","")&amp;IF(AND('06_建筑锚点'!T92&lt;&gt;"",COUNTIF('07_动态状态'!$A$2:$A$501,'06_建筑锚点'!T92)=0),"运营状态编码不存在；","")&amp;IF(AND('06_建筑锚点'!A92&lt;&gt;"",COUNTIF('06_建筑锚点'!$A$2:$A$501,'06_建筑锚点'!A92)&gt;1),"ID重复；",""),"")</f>
        <v/>
      </c>
      <c r="G2092" s="14">
        <f>IF(F2092&lt;&gt;"","按字段批注、数据字典和来源记录修正后复核","")</f>
        <v/>
      </c>
      <c r="H2092" s="14">
        <f>IF(F2092&lt;&gt;"","待处理","")</f>
        <v/>
      </c>
    </row>
    <row r="2093">
      <c r="A2093" s="14">
        <f>IF(F2093&lt;&gt;"","ISSUE-"&amp;TEXT(ROW()-1,"00000"),"")</f>
        <v/>
      </c>
      <c r="B2093" s="14">
        <f>IF(F2093&lt;&gt;"","错误","")</f>
        <v/>
      </c>
      <c r="C2093" s="14">
        <f>IF('06_建筑锚点'!A93&lt;&gt;"","06_建筑锚点","")</f>
        <v/>
      </c>
      <c r="D2093" s="14">
        <f>IF('06_建筑锚点'!A93&lt;&gt;"",'06_建筑锚点'!A93,"")</f>
        <v/>
      </c>
      <c r="E2093" s="14">
        <f>IF(F2093&lt;&gt;"","综合校验","")</f>
        <v/>
      </c>
      <c r="F2093" s="14">
        <f>IF('06_建筑锚点'!A93&lt;&gt;"",IF('06_建筑锚点'!A93="","缺少建筑ID；","")&amp;IF('06_建筑锚点'!B93="","缺少建筑名称；","")&amp;IF('06_建筑锚点'!C93="","缺少建筑类型；","")&amp;IF('06_建筑锚点'!D93="","缺少所属地点ID；","")&amp;IF('06_建筑锚点'!F93="","缺少世界X；","")&amp;IF('06_建筑锚点'!G93="","缺少世界Y；","")&amp;IF(AND('06_建筑锚点'!F93&lt;&gt;"",OR('06_建筑锚点'!F93&lt;0,'06_建筑锚点'!F93&gt;WorldWidth)),"世界X越界；","")&amp;IF(AND('06_建筑锚点'!G93&lt;&gt;"",OR('06_建筑锚点'!G93&lt;0,'06_建筑锚点'!G93&gt;WorldHeight)),"世界Y越界；","")&amp;IF(AND('06_建筑锚点'!D93&lt;&gt;"",COUNTIF('03_地点锚点'!$A$2:$A$501,'06_建筑锚点'!D93)=0),"建筑所属地点不存在；","")&amp;IF(AND('06_建筑锚点'!T93&lt;&gt;"",COUNTIF('07_动态状态'!$A$2:$A$501,'06_建筑锚点'!T93)=0),"运营状态编码不存在；","")&amp;IF(AND('06_建筑锚点'!A93&lt;&gt;"",COUNTIF('06_建筑锚点'!$A$2:$A$501,'06_建筑锚点'!A93)&gt;1),"ID重复；",""),"")</f>
        <v/>
      </c>
      <c r="G2093" s="14">
        <f>IF(F2093&lt;&gt;"","按字段批注、数据字典和来源记录修正后复核","")</f>
        <v/>
      </c>
      <c r="H2093" s="14">
        <f>IF(F2093&lt;&gt;"","待处理","")</f>
        <v/>
      </c>
    </row>
    <row r="2094">
      <c r="A2094" s="14">
        <f>IF(F2094&lt;&gt;"","ISSUE-"&amp;TEXT(ROW()-1,"00000"),"")</f>
        <v/>
      </c>
      <c r="B2094" s="14">
        <f>IF(F2094&lt;&gt;"","错误","")</f>
        <v/>
      </c>
      <c r="C2094" s="14">
        <f>IF('06_建筑锚点'!A94&lt;&gt;"","06_建筑锚点","")</f>
        <v/>
      </c>
      <c r="D2094" s="14">
        <f>IF('06_建筑锚点'!A94&lt;&gt;"",'06_建筑锚点'!A94,"")</f>
        <v/>
      </c>
      <c r="E2094" s="14">
        <f>IF(F2094&lt;&gt;"","综合校验","")</f>
        <v/>
      </c>
      <c r="F2094" s="14">
        <f>IF('06_建筑锚点'!A94&lt;&gt;"",IF('06_建筑锚点'!A94="","缺少建筑ID；","")&amp;IF('06_建筑锚点'!B94="","缺少建筑名称；","")&amp;IF('06_建筑锚点'!C94="","缺少建筑类型；","")&amp;IF('06_建筑锚点'!D94="","缺少所属地点ID；","")&amp;IF('06_建筑锚点'!F94="","缺少世界X；","")&amp;IF('06_建筑锚点'!G94="","缺少世界Y；","")&amp;IF(AND('06_建筑锚点'!F94&lt;&gt;"",OR('06_建筑锚点'!F94&lt;0,'06_建筑锚点'!F94&gt;WorldWidth)),"世界X越界；","")&amp;IF(AND('06_建筑锚点'!G94&lt;&gt;"",OR('06_建筑锚点'!G94&lt;0,'06_建筑锚点'!G94&gt;WorldHeight)),"世界Y越界；","")&amp;IF(AND('06_建筑锚点'!D94&lt;&gt;"",COUNTIF('03_地点锚点'!$A$2:$A$501,'06_建筑锚点'!D94)=0),"建筑所属地点不存在；","")&amp;IF(AND('06_建筑锚点'!T94&lt;&gt;"",COUNTIF('07_动态状态'!$A$2:$A$501,'06_建筑锚点'!T94)=0),"运营状态编码不存在；","")&amp;IF(AND('06_建筑锚点'!A94&lt;&gt;"",COUNTIF('06_建筑锚点'!$A$2:$A$501,'06_建筑锚点'!A94)&gt;1),"ID重复；",""),"")</f>
        <v/>
      </c>
      <c r="G2094" s="14">
        <f>IF(F2094&lt;&gt;"","按字段批注、数据字典和来源记录修正后复核","")</f>
        <v/>
      </c>
      <c r="H2094" s="14">
        <f>IF(F2094&lt;&gt;"","待处理","")</f>
        <v/>
      </c>
    </row>
    <row r="2095">
      <c r="A2095" s="14">
        <f>IF(F2095&lt;&gt;"","ISSUE-"&amp;TEXT(ROW()-1,"00000"),"")</f>
        <v/>
      </c>
      <c r="B2095" s="14">
        <f>IF(F2095&lt;&gt;"","错误","")</f>
        <v/>
      </c>
      <c r="C2095" s="14">
        <f>IF('06_建筑锚点'!A95&lt;&gt;"","06_建筑锚点","")</f>
        <v/>
      </c>
      <c r="D2095" s="14">
        <f>IF('06_建筑锚点'!A95&lt;&gt;"",'06_建筑锚点'!A95,"")</f>
        <v/>
      </c>
      <c r="E2095" s="14">
        <f>IF(F2095&lt;&gt;"","综合校验","")</f>
        <v/>
      </c>
      <c r="F2095" s="14">
        <f>IF('06_建筑锚点'!A95&lt;&gt;"",IF('06_建筑锚点'!A95="","缺少建筑ID；","")&amp;IF('06_建筑锚点'!B95="","缺少建筑名称；","")&amp;IF('06_建筑锚点'!C95="","缺少建筑类型；","")&amp;IF('06_建筑锚点'!D95="","缺少所属地点ID；","")&amp;IF('06_建筑锚点'!F95="","缺少世界X；","")&amp;IF('06_建筑锚点'!G95="","缺少世界Y；","")&amp;IF(AND('06_建筑锚点'!F95&lt;&gt;"",OR('06_建筑锚点'!F95&lt;0,'06_建筑锚点'!F95&gt;WorldWidth)),"世界X越界；","")&amp;IF(AND('06_建筑锚点'!G95&lt;&gt;"",OR('06_建筑锚点'!G95&lt;0,'06_建筑锚点'!G95&gt;WorldHeight)),"世界Y越界；","")&amp;IF(AND('06_建筑锚点'!D95&lt;&gt;"",COUNTIF('03_地点锚点'!$A$2:$A$501,'06_建筑锚点'!D95)=0),"建筑所属地点不存在；","")&amp;IF(AND('06_建筑锚点'!T95&lt;&gt;"",COUNTIF('07_动态状态'!$A$2:$A$501,'06_建筑锚点'!T95)=0),"运营状态编码不存在；","")&amp;IF(AND('06_建筑锚点'!A95&lt;&gt;"",COUNTIF('06_建筑锚点'!$A$2:$A$501,'06_建筑锚点'!A95)&gt;1),"ID重复；",""),"")</f>
        <v/>
      </c>
      <c r="G2095" s="14">
        <f>IF(F2095&lt;&gt;"","按字段批注、数据字典和来源记录修正后复核","")</f>
        <v/>
      </c>
      <c r="H2095" s="14">
        <f>IF(F2095&lt;&gt;"","待处理","")</f>
        <v/>
      </c>
    </row>
    <row r="2096">
      <c r="A2096" s="14">
        <f>IF(F2096&lt;&gt;"","ISSUE-"&amp;TEXT(ROW()-1,"00000"),"")</f>
        <v/>
      </c>
      <c r="B2096" s="14">
        <f>IF(F2096&lt;&gt;"","错误","")</f>
        <v/>
      </c>
      <c r="C2096" s="14">
        <f>IF('06_建筑锚点'!A96&lt;&gt;"","06_建筑锚点","")</f>
        <v/>
      </c>
      <c r="D2096" s="14">
        <f>IF('06_建筑锚点'!A96&lt;&gt;"",'06_建筑锚点'!A96,"")</f>
        <v/>
      </c>
      <c r="E2096" s="14">
        <f>IF(F2096&lt;&gt;"","综合校验","")</f>
        <v/>
      </c>
      <c r="F2096" s="14">
        <f>IF('06_建筑锚点'!A96&lt;&gt;"",IF('06_建筑锚点'!A96="","缺少建筑ID；","")&amp;IF('06_建筑锚点'!B96="","缺少建筑名称；","")&amp;IF('06_建筑锚点'!C96="","缺少建筑类型；","")&amp;IF('06_建筑锚点'!D96="","缺少所属地点ID；","")&amp;IF('06_建筑锚点'!F96="","缺少世界X；","")&amp;IF('06_建筑锚点'!G96="","缺少世界Y；","")&amp;IF(AND('06_建筑锚点'!F96&lt;&gt;"",OR('06_建筑锚点'!F96&lt;0,'06_建筑锚点'!F96&gt;WorldWidth)),"世界X越界；","")&amp;IF(AND('06_建筑锚点'!G96&lt;&gt;"",OR('06_建筑锚点'!G96&lt;0,'06_建筑锚点'!G96&gt;WorldHeight)),"世界Y越界；","")&amp;IF(AND('06_建筑锚点'!D96&lt;&gt;"",COUNTIF('03_地点锚点'!$A$2:$A$501,'06_建筑锚点'!D96)=0),"建筑所属地点不存在；","")&amp;IF(AND('06_建筑锚点'!T96&lt;&gt;"",COUNTIF('07_动态状态'!$A$2:$A$501,'06_建筑锚点'!T96)=0),"运营状态编码不存在；","")&amp;IF(AND('06_建筑锚点'!A96&lt;&gt;"",COUNTIF('06_建筑锚点'!$A$2:$A$501,'06_建筑锚点'!A96)&gt;1),"ID重复；",""),"")</f>
        <v/>
      </c>
      <c r="G2096" s="14">
        <f>IF(F2096&lt;&gt;"","按字段批注、数据字典和来源记录修正后复核","")</f>
        <v/>
      </c>
      <c r="H2096" s="14">
        <f>IF(F2096&lt;&gt;"","待处理","")</f>
        <v/>
      </c>
    </row>
    <row r="2097">
      <c r="A2097" s="14">
        <f>IF(F2097&lt;&gt;"","ISSUE-"&amp;TEXT(ROW()-1,"00000"),"")</f>
        <v/>
      </c>
      <c r="B2097" s="14">
        <f>IF(F2097&lt;&gt;"","错误","")</f>
        <v/>
      </c>
      <c r="C2097" s="14">
        <f>IF('06_建筑锚点'!A97&lt;&gt;"","06_建筑锚点","")</f>
        <v/>
      </c>
      <c r="D2097" s="14">
        <f>IF('06_建筑锚点'!A97&lt;&gt;"",'06_建筑锚点'!A97,"")</f>
        <v/>
      </c>
      <c r="E2097" s="14">
        <f>IF(F2097&lt;&gt;"","综合校验","")</f>
        <v/>
      </c>
      <c r="F2097" s="14">
        <f>IF('06_建筑锚点'!A97&lt;&gt;"",IF('06_建筑锚点'!A97="","缺少建筑ID；","")&amp;IF('06_建筑锚点'!B97="","缺少建筑名称；","")&amp;IF('06_建筑锚点'!C97="","缺少建筑类型；","")&amp;IF('06_建筑锚点'!D97="","缺少所属地点ID；","")&amp;IF('06_建筑锚点'!F97="","缺少世界X；","")&amp;IF('06_建筑锚点'!G97="","缺少世界Y；","")&amp;IF(AND('06_建筑锚点'!F97&lt;&gt;"",OR('06_建筑锚点'!F97&lt;0,'06_建筑锚点'!F97&gt;WorldWidth)),"世界X越界；","")&amp;IF(AND('06_建筑锚点'!G97&lt;&gt;"",OR('06_建筑锚点'!G97&lt;0,'06_建筑锚点'!G97&gt;WorldHeight)),"世界Y越界；","")&amp;IF(AND('06_建筑锚点'!D97&lt;&gt;"",COUNTIF('03_地点锚点'!$A$2:$A$501,'06_建筑锚点'!D97)=0),"建筑所属地点不存在；","")&amp;IF(AND('06_建筑锚点'!T97&lt;&gt;"",COUNTIF('07_动态状态'!$A$2:$A$501,'06_建筑锚点'!T97)=0),"运营状态编码不存在；","")&amp;IF(AND('06_建筑锚点'!A97&lt;&gt;"",COUNTIF('06_建筑锚点'!$A$2:$A$501,'06_建筑锚点'!A97)&gt;1),"ID重复；",""),"")</f>
        <v/>
      </c>
      <c r="G2097" s="14">
        <f>IF(F2097&lt;&gt;"","按字段批注、数据字典和来源记录修正后复核","")</f>
        <v/>
      </c>
      <c r="H2097" s="14">
        <f>IF(F2097&lt;&gt;"","待处理","")</f>
        <v/>
      </c>
    </row>
    <row r="2098">
      <c r="A2098" s="14">
        <f>IF(F2098&lt;&gt;"","ISSUE-"&amp;TEXT(ROW()-1,"00000"),"")</f>
        <v/>
      </c>
      <c r="B2098" s="14">
        <f>IF(F2098&lt;&gt;"","错误","")</f>
        <v/>
      </c>
      <c r="C2098" s="14">
        <f>IF('06_建筑锚点'!A98&lt;&gt;"","06_建筑锚点","")</f>
        <v/>
      </c>
      <c r="D2098" s="14">
        <f>IF('06_建筑锚点'!A98&lt;&gt;"",'06_建筑锚点'!A98,"")</f>
        <v/>
      </c>
      <c r="E2098" s="14">
        <f>IF(F2098&lt;&gt;"","综合校验","")</f>
        <v/>
      </c>
      <c r="F2098" s="14">
        <f>IF('06_建筑锚点'!A98&lt;&gt;"",IF('06_建筑锚点'!A98="","缺少建筑ID；","")&amp;IF('06_建筑锚点'!B98="","缺少建筑名称；","")&amp;IF('06_建筑锚点'!C98="","缺少建筑类型；","")&amp;IF('06_建筑锚点'!D98="","缺少所属地点ID；","")&amp;IF('06_建筑锚点'!F98="","缺少世界X；","")&amp;IF('06_建筑锚点'!G98="","缺少世界Y；","")&amp;IF(AND('06_建筑锚点'!F98&lt;&gt;"",OR('06_建筑锚点'!F98&lt;0,'06_建筑锚点'!F98&gt;WorldWidth)),"世界X越界；","")&amp;IF(AND('06_建筑锚点'!G98&lt;&gt;"",OR('06_建筑锚点'!G98&lt;0,'06_建筑锚点'!G98&gt;WorldHeight)),"世界Y越界；","")&amp;IF(AND('06_建筑锚点'!D98&lt;&gt;"",COUNTIF('03_地点锚点'!$A$2:$A$501,'06_建筑锚点'!D98)=0),"建筑所属地点不存在；","")&amp;IF(AND('06_建筑锚点'!T98&lt;&gt;"",COUNTIF('07_动态状态'!$A$2:$A$501,'06_建筑锚点'!T98)=0),"运营状态编码不存在；","")&amp;IF(AND('06_建筑锚点'!A98&lt;&gt;"",COUNTIF('06_建筑锚点'!$A$2:$A$501,'06_建筑锚点'!A98)&gt;1),"ID重复；",""),"")</f>
        <v/>
      </c>
      <c r="G2098" s="14">
        <f>IF(F2098&lt;&gt;"","按字段批注、数据字典和来源记录修正后复核","")</f>
        <v/>
      </c>
      <c r="H2098" s="14">
        <f>IF(F2098&lt;&gt;"","待处理","")</f>
        <v/>
      </c>
    </row>
    <row r="2099">
      <c r="A2099" s="14">
        <f>IF(F2099&lt;&gt;"","ISSUE-"&amp;TEXT(ROW()-1,"00000"),"")</f>
        <v/>
      </c>
      <c r="B2099" s="14">
        <f>IF(F2099&lt;&gt;"","错误","")</f>
        <v/>
      </c>
      <c r="C2099" s="14">
        <f>IF('06_建筑锚点'!A99&lt;&gt;"","06_建筑锚点","")</f>
        <v/>
      </c>
      <c r="D2099" s="14">
        <f>IF('06_建筑锚点'!A99&lt;&gt;"",'06_建筑锚点'!A99,"")</f>
        <v/>
      </c>
      <c r="E2099" s="14">
        <f>IF(F2099&lt;&gt;"","综合校验","")</f>
        <v/>
      </c>
      <c r="F2099" s="14">
        <f>IF('06_建筑锚点'!A99&lt;&gt;"",IF('06_建筑锚点'!A99="","缺少建筑ID；","")&amp;IF('06_建筑锚点'!B99="","缺少建筑名称；","")&amp;IF('06_建筑锚点'!C99="","缺少建筑类型；","")&amp;IF('06_建筑锚点'!D99="","缺少所属地点ID；","")&amp;IF('06_建筑锚点'!F99="","缺少世界X；","")&amp;IF('06_建筑锚点'!G99="","缺少世界Y；","")&amp;IF(AND('06_建筑锚点'!F99&lt;&gt;"",OR('06_建筑锚点'!F99&lt;0,'06_建筑锚点'!F99&gt;WorldWidth)),"世界X越界；","")&amp;IF(AND('06_建筑锚点'!G99&lt;&gt;"",OR('06_建筑锚点'!G99&lt;0,'06_建筑锚点'!G99&gt;WorldHeight)),"世界Y越界；","")&amp;IF(AND('06_建筑锚点'!D99&lt;&gt;"",COUNTIF('03_地点锚点'!$A$2:$A$501,'06_建筑锚点'!D99)=0),"建筑所属地点不存在；","")&amp;IF(AND('06_建筑锚点'!T99&lt;&gt;"",COUNTIF('07_动态状态'!$A$2:$A$501,'06_建筑锚点'!T99)=0),"运营状态编码不存在；","")&amp;IF(AND('06_建筑锚点'!A99&lt;&gt;"",COUNTIF('06_建筑锚点'!$A$2:$A$501,'06_建筑锚点'!A99)&gt;1),"ID重复；",""),"")</f>
        <v/>
      </c>
      <c r="G2099" s="14">
        <f>IF(F2099&lt;&gt;"","按字段批注、数据字典和来源记录修正后复核","")</f>
        <v/>
      </c>
      <c r="H2099" s="14">
        <f>IF(F2099&lt;&gt;"","待处理","")</f>
        <v/>
      </c>
    </row>
    <row r="2100">
      <c r="A2100" s="14">
        <f>IF(F2100&lt;&gt;"","ISSUE-"&amp;TEXT(ROW()-1,"00000"),"")</f>
        <v/>
      </c>
      <c r="B2100" s="14">
        <f>IF(F2100&lt;&gt;"","错误","")</f>
        <v/>
      </c>
      <c r="C2100" s="14">
        <f>IF('06_建筑锚点'!A100&lt;&gt;"","06_建筑锚点","")</f>
        <v/>
      </c>
      <c r="D2100" s="14">
        <f>IF('06_建筑锚点'!A100&lt;&gt;"",'06_建筑锚点'!A100,"")</f>
        <v/>
      </c>
      <c r="E2100" s="14">
        <f>IF(F2100&lt;&gt;"","综合校验","")</f>
        <v/>
      </c>
      <c r="F2100" s="14">
        <f>IF('06_建筑锚点'!A100&lt;&gt;"",IF('06_建筑锚点'!A100="","缺少建筑ID；","")&amp;IF('06_建筑锚点'!B100="","缺少建筑名称；","")&amp;IF('06_建筑锚点'!C100="","缺少建筑类型；","")&amp;IF('06_建筑锚点'!D100="","缺少所属地点ID；","")&amp;IF('06_建筑锚点'!F100="","缺少世界X；","")&amp;IF('06_建筑锚点'!G100="","缺少世界Y；","")&amp;IF(AND('06_建筑锚点'!F100&lt;&gt;"",OR('06_建筑锚点'!F100&lt;0,'06_建筑锚点'!F100&gt;WorldWidth)),"世界X越界；","")&amp;IF(AND('06_建筑锚点'!G100&lt;&gt;"",OR('06_建筑锚点'!G100&lt;0,'06_建筑锚点'!G100&gt;WorldHeight)),"世界Y越界；","")&amp;IF(AND('06_建筑锚点'!D100&lt;&gt;"",COUNTIF('03_地点锚点'!$A$2:$A$501,'06_建筑锚点'!D100)=0),"建筑所属地点不存在；","")&amp;IF(AND('06_建筑锚点'!T100&lt;&gt;"",COUNTIF('07_动态状态'!$A$2:$A$501,'06_建筑锚点'!T100)=0),"运营状态编码不存在；","")&amp;IF(AND('06_建筑锚点'!A100&lt;&gt;"",COUNTIF('06_建筑锚点'!$A$2:$A$501,'06_建筑锚点'!A100)&gt;1),"ID重复；",""),"")</f>
        <v/>
      </c>
      <c r="G2100" s="14">
        <f>IF(F2100&lt;&gt;"","按字段批注、数据字典和来源记录修正后复核","")</f>
        <v/>
      </c>
      <c r="H2100" s="14">
        <f>IF(F2100&lt;&gt;"","待处理","")</f>
        <v/>
      </c>
    </row>
    <row r="2101">
      <c r="A2101" s="14">
        <f>IF(F2101&lt;&gt;"","ISSUE-"&amp;TEXT(ROW()-1,"00000"),"")</f>
        <v/>
      </c>
      <c r="B2101" s="14">
        <f>IF(F2101&lt;&gt;"","错误","")</f>
        <v/>
      </c>
      <c r="C2101" s="14">
        <f>IF('06_建筑锚点'!A101&lt;&gt;"","06_建筑锚点","")</f>
        <v/>
      </c>
      <c r="D2101" s="14">
        <f>IF('06_建筑锚点'!A101&lt;&gt;"",'06_建筑锚点'!A101,"")</f>
        <v/>
      </c>
      <c r="E2101" s="14">
        <f>IF(F2101&lt;&gt;"","综合校验","")</f>
        <v/>
      </c>
      <c r="F2101" s="14">
        <f>IF('06_建筑锚点'!A101&lt;&gt;"",IF('06_建筑锚点'!A101="","缺少建筑ID；","")&amp;IF('06_建筑锚点'!B101="","缺少建筑名称；","")&amp;IF('06_建筑锚点'!C101="","缺少建筑类型；","")&amp;IF('06_建筑锚点'!D101="","缺少所属地点ID；","")&amp;IF('06_建筑锚点'!F101="","缺少世界X；","")&amp;IF('06_建筑锚点'!G101="","缺少世界Y；","")&amp;IF(AND('06_建筑锚点'!F101&lt;&gt;"",OR('06_建筑锚点'!F101&lt;0,'06_建筑锚点'!F101&gt;WorldWidth)),"世界X越界；","")&amp;IF(AND('06_建筑锚点'!G101&lt;&gt;"",OR('06_建筑锚点'!G101&lt;0,'06_建筑锚点'!G101&gt;WorldHeight)),"世界Y越界；","")&amp;IF(AND('06_建筑锚点'!D101&lt;&gt;"",COUNTIF('03_地点锚点'!$A$2:$A$501,'06_建筑锚点'!D101)=0),"建筑所属地点不存在；","")&amp;IF(AND('06_建筑锚点'!T101&lt;&gt;"",COUNTIF('07_动态状态'!$A$2:$A$501,'06_建筑锚点'!T101)=0),"运营状态编码不存在；","")&amp;IF(AND('06_建筑锚点'!A101&lt;&gt;"",COUNTIF('06_建筑锚点'!$A$2:$A$501,'06_建筑锚点'!A101)&gt;1),"ID重复；",""),"")</f>
        <v/>
      </c>
      <c r="G2101" s="14">
        <f>IF(F2101&lt;&gt;"","按字段批注、数据字典和来源记录修正后复核","")</f>
        <v/>
      </c>
      <c r="H2101" s="14">
        <f>IF(F2101&lt;&gt;"","待处理","")</f>
        <v/>
      </c>
    </row>
    <row r="2102">
      <c r="A2102" s="14">
        <f>IF(F2102&lt;&gt;"","ISSUE-"&amp;TEXT(ROW()-1,"00000"),"")</f>
        <v/>
      </c>
      <c r="B2102" s="14">
        <f>IF(F2102&lt;&gt;"","错误","")</f>
        <v/>
      </c>
      <c r="C2102" s="14">
        <f>IF('06_建筑锚点'!A102&lt;&gt;"","06_建筑锚点","")</f>
        <v/>
      </c>
      <c r="D2102" s="14">
        <f>IF('06_建筑锚点'!A102&lt;&gt;"",'06_建筑锚点'!A102,"")</f>
        <v/>
      </c>
      <c r="E2102" s="14">
        <f>IF(F2102&lt;&gt;"","综合校验","")</f>
        <v/>
      </c>
      <c r="F2102" s="14">
        <f>IF('06_建筑锚点'!A102&lt;&gt;"",IF('06_建筑锚点'!A102="","缺少建筑ID；","")&amp;IF('06_建筑锚点'!B102="","缺少建筑名称；","")&amp;IF('06_建筑锚点'!C102="","缺少建筑类型；","")&amp;IF('06_建筑锚点'!D102="","缺少所属地点ID；","")&amp;IF('06_建筑锚点'!F102="","缺少世界X；","")&amp;IF('06_建筑锚点'!G102="","缺少世界Y；","")&amp;IF(AND('06_建筑锚点'!F102&lt;&gt;"",OR('06_建筑锚点'!F102&lt;0,'06_建筑锚点'!F102&gt;WorldWidth)),"世界X越界；","")&amp;IF(AND('06_建筑锚点'!G102&lt;&gt;"",OR('06_建筑锚点'!G102&lt;0,'06_建筑锚点'!G102&gt;WorldHeight)),"世界Y越界；","")&amp;IF(AND('06_建筑锚点'!D102&lt;&gt;"",COUNTIF('03_地点锚点'!$A$2:$A$501,'06_建筑锚点'!D102)=0),"建筑所属地点不存在；","")&amp;IF(AND('06_建筑锚点'!T102&lt;&gt;"",COUNTIF('07_动态状态'!$A$2:$A$501,'06_建筑锚点'!T102)=0),"运营状态编码不存在；","")&amp;IF(AND('06_建筑锚点'!A102&lt;&gt;"",COUNTIF('06_建筑锚点'!$A$2:$A$501,'06_建筑锚点'!A102)&gt;1),"ID重复；",""),"")</f>
        <v/>
      </c>
      <c r="G2102" s="14">
        <f>IF(F2102&lt;&gt;"","按字段批注、数据字典和来源记录修正后复核","")</f>
        <v/>
      </c>
      <c r="H2102" s="14">
        <f>IF(F2102&lt;&gt;"","待处理","")</f>
        <v/>
      </c>
    </row>
    <row r="2103">
      <c r="A2103" s="14">
        <f>IF(F2103&lt;&gt;"","ISSUE-"&amp;TEXT(ROW()-1,"00000"),"")</f>
        <v/>
      </c>
      <c r="B2103" s="14">
        <f>IF(F2103&lt;&gt;"","错误","")</f>
        <v/>
      </c>
      <c r="C2103" s="14">
        <f>IF('06_建筑锚点'!A103&lt;&gt;"","06_建筑锚点","")</f>
        <v/>
      </c>
      <c r="D2103" s="14">
        <f>IF('06_建筑锚点'!A103&lt;&gt;"",'06_建筑锚点'!A103,"")</f>
        <v/>
      </c>
      <c r="E2103" s="14">
        <f>IF(F2103&lt;&gt;"","综合校验","")</f>
        <v/>
      </c>
      <c r="F2103" s="14">
        <f>IF('06_建筑锚点'!A103&lt;&gt;"",IF('06_建筑锚点'!A103="","缺少建筑ID；","")&amp;IF('06_建筑锚点'!B103="","缺少建筑名称；","")&amp;IF('06_建筑锚点'!C103="","缺少建筑类型；","")&amp;IF('06_建筑锚点'!D103="","缺少所属地点ID；","")&amp;IF('06_建筑锚点'!F103="","缺少世界X；","")&amp;IF('06_建筑锚点'!G103="","缺少世界Y；","")&amp;IF(AND('06_建筑锚点'!F103&lt;&gt;"",OR('06_建筑锚点'!F103&lt;0,'06_建筑锚点'!F103&gt;WorldWidth)),"世界X越界；","")&amp;IF(AND('06_建筑锚点'!G103&lt;&gt;"",OR('06_建筑锚点'!G103&lt;0,'06_建筑锚点'!G103&gt;WorldHeight)),"世界Y越界；","")&amp;IF(AND('06_建筑锚点'!D103&lt;&gt;"",COUNTIF('03_地点锚点'!$A$2:$A$501,'06_建筑锚点'!D103)=0),"建筑所属地点不存在；","")&amp;IF(AND('06_建筑锚点'!T103&lt;&gt;"",COUNTIF('07_动态状态'!$A$2:$A$501,'06_建筑锚点'!T103)=0),"运营状态编码不存在；","")&amp;IF(AND('06_建筑锚点'!A103&lt;&gt;"",COUNTIF('06_建筑锚点'!$A$2:$A$501,'06_建筑锚点'!A103)&gt;1),"ID重复；",""),"")</f>
        <v/>
      </c>
      <c r="G2103" s="14">
        <f>IF(F2103&lt;&gt;"","按字段批注、数据字典和来源记录修正后复核","")</f>
        <v/>
      </c>
      <c r="H2103" s="14">
        <f>IF(F2103&lt;&gt;"","待处理","")</f>
        <v/>
      </c>
    </row>
    <row r="2104">
      <c r="A2104" s="14">
        <f>IF(F2104&lt;&gt;"","ISSUE-"&amp;TEXT(ROW()-1,"00000"),"")</f>
        <v/>
      </c>
      <c r="B2104" s="14">
        <f>IF(F2104&lt;&gt;"","错误","")</f>
        <v/>
      </c>
      <c r="C2104" s="14">
        <f>IF('06_建筑锚点'!A104&lt;&gt;"","06_建筑锚点","")</f>
        <v/>
      </c>
      <c r="D2104" s="14">
        <f>IF('06_建筑锚点'!A104&lt;&gt;"",'06_建筑锚点'!A104,"")</f>
        <v/>
      </c>
      <c r="E2104" s="14">
        <f>IF(F2104&lt;&gt;"","综合校验","")</f>
        <v/>
      </c>
      <c r="F2104" s="14">
        <f>IF('06_建筑锚点'!A104&lt;&gt;"",IF('06_建筑锚点'!A104="","缺少建筑ID；","")&amp;IF('06_建筑锚点'!B104="","缺少建筑名称；","")&amp;IF('06_建筑锚点'!C104="","缺少建筑类型；","")&amp;IF('06_建筑锚点'!D104="","缺少所属地点ID；","")&amp;IF('06_建筑锚点'!F104="","缺少世界X；","")&amp;IF('06_建筑锚点'!G104="","缺少世界Y；","")&amp;IF(AND('06_建筑锚点'!F104&lt;&gt;"",OR('06_建筑锚点'!F104&lt;0,'06_建筑锚点'!F104&gt;WorldWidth)),"世界X越界；","")&amp;IF(AND('06_建筑锚点'!G104&lt;&gt;"",OR('06_建筑锚点'!G104&lt;0,'06_建筑锚点'!G104&gt;WorldHeight)),"世界Y越界；","")&amp;IF(AND('06_建筑锚点'!D104&lt;&gt;"",COUNTIF('03_地点锚点'!$A$2:$A$501,'06_建筑锚点'!D104)=0),"建筑所属地点不存在；","")&amp;IF(AND('06_建筑锚点'!T104&lt;&gt;"",COUNTIF('07_动态状态'!$A$2:$A$501,'06_建筑锚点'!T104)=0),"运营状态编码不存在；","")&amp;IF(AND('06_建筑锚点'!A104&lt;&gt;"",COUNTIF('06_建筑锚点'!$A$2:$A$501,'06_建筑锚点'!A104)&gt;1),"ID重复；",""),"")</f>
        <v/>
      </c>
      <c r="G2104" s="14">
        <f>IF(F2104&lt;&gt;"","按字段批注、数据字典和来源记录修正后复核","")</f>
        <v/>
      </c>
      <c r="H2104" s="14">
        <f>IF(F2104&lt;&gt;"","待处理","")</f>
        <v/>
      </c>
    </row>
    <row r="2105">
      <c r="A2105" s="14">
        <f>IF(F2105&lt;&gt;"","ISSUE-"&amp;TEXT(ROW()-1,"00000"),"")</f>
        <v/>
      </c>
      <c r="B2105" s="14">
        <f>IF(F2105&lt;&gt;"","错误","")</f>
        <v/>
      </c>
      <c r="C2105" s="14">
        <f>IF('06_建筑锚点'!A105&lt;&gt;"","06_建筑锚点","")</f>
        <v/>
      </c>
      <c r="D2105" s="14">
        <f>IF('06_建筑锚点'!A105&lt;&gt;"",'06_建筑锚点'!A105,"")</f>
        <v/>
      </c>
      <c r="E2105" s="14">
        <f>IF(F2105&lt;&gt;"","综合校验","")</f>
        <v/>
      </c>
      <c r="F2105" s="14">
        <f>IF('06_建筑锚点'!A105&lt;&gt;"",IF('06_建筑锚点'!A105="","缺少建筑ID；","")&amp;IF('06_建筑锚点'!B105="","缺少建筑名称；","")&amp;IF('06_建筑锚点'!C105="","缺少建筑类型；","")&amp;IF('06_建筑锚点'!D105="","缺少所属地点ID；","")&amp;IF('06_建筑锚点'!F105="","缺少世界X；","")&amp;IF('06_建筑锚点'!G105="","缺少世界Y；","")&amp;IF(AND('06_建筑锚点'!F105&lt;&gt;"",OR('06_建筑锚点'!F105&lt;0,'06_建筑锚点'!F105&gt;WorldWidth)),"世界X越界；","")&amp;IF(AND('06_建筑锚点'!G105&lt;&gt;"",OR('06_建筑锚点'!G105&lt;0,'06_建筑锚点'!G105&gt;WorldHeight)),"世界Y越界；","")&amp;IF(AND('06_建筑锚点'!D105&lt;&gt;"",COUNTIF('03_地点锚点'!$A$2:$A$501,'06_建筑锚点'!D105)=0),"建筑所属地点不存在；","")&amp;IF(AND('06_建筑锚点'!T105&lt;&gt;"",COUNTIF('07_动态状态'!$A$2:$A$501,'06_建筑锚点'!T105)=0),"运营状态编码不存在；","")&amp;IF(AND('06_建筑锚点'!A105&lt;&gt;"",COUNTIF('06_建筑锚点'!$A$2:$A$501,'06_建筑锚点'!A105)&gt;1),"ID重复；",""),"")</f>
        <v/>
      </c>
      <c r="G2105" s="14">
        <f>IF(F2105&lt;&gt;"","按字段批注、数据字典和来源记录修正后复核","")</f>
        <v/>
      </c>
      <c r="H2105" s="14">
        <f>IF(F2105&lt;&gt;"","待处理","")</f>
        <v/>
      </c>
    </row>
    <row r="2106">
      <c r="A2106" s="14">
        <f>IF(F2106&lt;&gt;"","ISSUE-"&amp;TEXT(ROW()-1,"00000"),"")</f>
        <v/>
      </c>
      <c r="B2106" s="14">
        <f>IF(F2106&lt;&gt;"","错误","")</f>
        <v/>
      </c>
      <c r="C2106" s="14">
        <f>IF('06_建筑锚点'!A106&lt;&gt;"","06_建筑锚点","")</f>
        <v/>
      </c>
      <c r="D2106" s="14">
        <f>IF('06_建筑锚点'!A106&lt;&gt;"",'06_建筑锚点'!A106,"")</f>
        <v/>
      </c>
      <c r="E2106" s="14">
        <f>IF(F2106&lt;&gt;"","综合校验","")</f>
        <v/>
      </c>
      <c r="F2106" s="14">
        <f>IF('06_建筑锚点'!A106&lt;&gt;"",IF('06_建筑锚点'!A106="","缺少建筑ID；","")&amp;IF('06_建筑锚点'!B106="","缺少建筑名称；","")&amp;IF('06_建筑锚点'!C106="","缺少建筑类型；","")&amp;IF('06_建筑锚点'!D106="","缺少所属地点ID；","")&amp;IF('06_建筑锚点'!F106="","缺少世界X；","")&amp;IF('06_建筑锚点'!G106="","缺少世界Y；","")&amp;IF(AND('06_建筑锚点'!F106&lt;&gt;"",OR('06_建筑锚点'!F106&lt;0,'06_建筑锚点'!F106&gt;WorldWidth)),"世界X越界；","")&amp;IF(AND('06_建筑锚点'!G106&lt;&gt;"",OR('06_建筑锚点'!G106&lt;0,'06_建筑锚点'!G106&gt;WorldHeight)),"世界Y越界；","")&amp;IF(AND('06_建筑锚点'!D106&lt;&gt;"",COUNTIF('03_地点锚点'!$A$2:$A$501,'06_建筑锚点'!D106)=0),"建筑所属地点不存在；","")&amp;IF(AND('06_建筑锚点'!T106&lt;&gt;"",COUNTIF('07_动态状态'!$A$2:$A$501,'06_建筑锚点'!T106)=0),"运营状态编码不存在；","")&amp;IF(AND('06_建筑锚点'!A106&lt;&gt;"",COUNTIF('06_建筑锚点'!$A$2:$A$501,'06_建筑锚点'!A106)&gt;1),"ID重复；",""),"")</f>
        <v/>
      </c>
      <c r="G2106" s="14">
        <f>IF(F2106&lt;&gt;"","按字段批注、数据字典和来源记录修正后复核","")</f>
        <v/>
      </c>
      <c r="H2106" s="14">
        <f>IF(F2106&lt;&gt;"","待处理","")</f>
        <v/>
      </c>
    </row>
    <row r="2107">
      <c r="A2107" s="14">
        <f>IF(F2107&lt;&gt;"","ISSUE-"&amp;TEXT(ROW()-1,"00000"),"")</f>
        <v/>
      </c>
      <c r="B2107" s="14">
        <f>IF(F2107&lt;&gt;"","错误","")</f>
        <v/>
      </c>
      <c r="C2107" s="14">
        <f>IF('06_建筑锚点'!A107&lt;&gt;"","06_建筑锚点","")</f>
        <v/>
      </c>
      <c r="D2107" s="14">
        <f>IF('06_建筑锚点'!A107&lt;&gt;"",'06_建筑锚点'!A107,"")</f>
        <v/>
      </c>
      <c r="E2107" s="14">
        <f>IF(F2107&lt;&gt;"","综合校验","")</f>
        <v/>
      </c>
      <c r="F2107" s="14">
        <f>IF('06_建筑锚点'!A107&lt;&gt;"",IF('06_建筑锚点'!A107="","缺少建筑ID；","")&amp;IF('06_建筑锚点'!B107="","缺少建筑名称；","")&amp;IF('06_建筑锚点'!C107="","缺少建筑类型；","")&amp;IF('06_建筑锚点'!D107="","缺少所属地点ID；","")&amp;IF('06_建筑锚点'!F107="","缺少世界X；","")&amp;IF('06_建筑锚点'!G107="","缺少世界Y；","")&amp;IF(AND('06_建筑锚点'!F107&lt;&gt;"",OR('06_建筑锚点'!F107&lt;0,'06_建筑锚点'!F107&gt;WorldWidth)),"世界X越界；","")&amp;IF(AND('06_建筑锚点'!G107&lt;&gt;"",OR('06_建筑锚点'!G107&lt;0,'06_建筑锚点'!G107&gt;WorldHeight)),"世界Y越界；","")&amp;IF(AND('06_建筑锚点'!D107&lt;&gt;"",COUNTIF('03_地点锚点'!$A$2:$A$501,'06_建筑锚点'!D107)=0),"建筑所属地点不存在；","")&amp;IF(AND('06_建筑锚点'!T107&lt;&gt;"",COUNTIF('07_动态状态'!$A$2:$A$501,'06_建筑锚点'!T107)=0),"运营状态编码不存在；","")&amp;IF(AND('06_建筑锚点'!A107&lt;&gt;"",COUNTIF('06_建筑锚点'!$A$2:$A$501,'06_建筑锚点'!A107)&gt;1),"ID重复；",""),"")</f>
        <v/>
      </c>
      <c r="G2107" s="14">
        <f>IF(F2107&lt;&gt;"","按字段批注、数据字典和来源记录修正后复核","")</f>
        <v/>
      </c>
      <c r="H2107" s="14">
        <f>IF(F2107&lt;&gt;"","待处理","")</f>
        <v/>
      </c>
    </row>
    <row r="2108">
      <c r="A2108" s="14">
        <f>IF(F2108&lt;&gt;"","ISSUE-"&amp;TEXT(ROW()-1,"00000"),"")</f>
        <v/>
      </c>
      <c r="B2108" s="14">
        <f>IF(F2108&lt;&gt;"","错误","")</f>
        <v/>
      </c>
      <c r="C2108" s="14">
        <f>IF('06_建筑锚点'!A108&lt;&gt;"","06_建筑锚点","")</f>
        <v/>
      </c>
      <c r="D2108" s="14">
        <f>IF('06_建筑锚点'!A108&lt;&gt;"",'06_建筑锚点'!A108,"")</f>
        <v/>
      </c>
      <c r="E2108" s="14">
        <f>IF(F2108&lt;&gt;"","综合校验","")</f>
        <v/>
      </c>
      <c r="F2108" s="14">
        <f>IF('06_建筑锚点'!A108&lt;&gt;"",IF('06_建筑锚点'!A108="","缺少建筑ID；","")&amp;IF('06_建筑锚点'!B108="","缺少建筑名称；","")&amp;IF('06_建筑锚点'!C108="","缺少建筑类型；","")&amp;IF('06_建筑锚点'!D108="","缺少所属地点ID；","")&amp;IF('06_建筑锚点'!F108="","缺少世界X；","")&amp;IF('06_建筑锚点'!G108="","缺少世界Y；","")&amp;IF(AND('06_建筑锚点'!F108&lt;&gt;"",OR('06_建筑锚点'!F108&lt;0,'06_建筑锚点'!F108&gt;WorldWidth)),"世界X越界；","")&amp;IF(AND('06_建筑锚点'!G108&lt;&gt;"",OR('06_建筑锚点'!G108&lt;0,'06_建筑锚点'!G108&gt;WorldHeight)),"世界Y越界；","")&amp;IF(AND('06_建筑锚点'!D108&lt;&gt;"",COUNTIF('03_地点锚点'!$A$2:$A$501,'06_建筑锚点'!D108)=0),"建筑所属地点不存在；","")&amp;IF(AND('06_建筑锚点'!T108&lt;&gt;"",COUNTIF('07_动态状态'!$A$2:$A$501,'06_建筑锚点'!T108)=0),"运营状态编码不存在；","")&amp;IF(AND('06_建筑锚点'!A108&lt;&gt;"",COUNTIF('06_建筑锚点'!$A$2:$A$501,'06_建筑锚点'!A108)&gt;1),"ID重复；",""),"")</f>
        <v/>
      </c>
      <c r="G2108" s="14">
        <f>IF(F2108&lt;&gt;"","按字段批注、数据字典和来源记录修正后复核","")</f>
        <v/>
      </c>
      <c r="H2108" s="14">
        <f>IF(F2108&lt;&gt;"","待处理","")</f>
        <v/>
      </c>
    </row>
    <row r="2109">
      <c r="A2109" s="14">
        <f>IF(F2109&lt;&gt;"","ISSUE-"&amp;TEXT(ROW()-1,"00000"),"")</f>
        <v/>
      </c>
      <c r="B2109" s="14">
        <f>IF(F2109&lt;&gt;"","错误","")</f>
        <v/>
      </c>
      <c r="C2109" s="14">
        <f>IF('06_建筑锚点'!A109&lt;&gt;"","06_建筑锚点","")</f>
        <v/>
      </c>
      <c r="D2109" s="14">
        <f>IF('06_建筑锚点'!A109&lt;&gt;"",'06_建筑锚点'!A109,"")</f>
        <v/>
      </c>
      <c r="E2109" s="14">
        <f>IF(F2109&lt;&gt;"","综合校验","")</f>
        <v/>
      </c>
      <c r="F2109" s="14">
        <f>IF('06_建筑锚点'!A109&lt;&gt;"",IF('06_建筑锚点'!A109="","缺少建筑ID；","")&amp;IF('06_建筑锚点'!B109="","缺少建筑名称；","")&amp;IF('06_建筑锚点'!C109="","缺少建筑类型；","")&amp;IF('06_建筑锚点'!D109="","缺少所属地点ID；","")&amp;IF('06_建筑锚点'!F109="","缺少世界X；","")&amp;IF('06_建筑锚点'!G109="","缺少世界Y；","")&amp;IF(AND('06_建筑锚点'!F109&lt;&gt;"",OR('06_建筑锚点'!F109&lt;0,'06_建筑锚点'!F109&gt;WorldWidth)),"世界X越界；","")&amp;IF(AND('06_建筑锚点'!G109&lt;&gt;"",OR('06_建筑锚点'!G109&lt;0,'06_建筑锚点'!G109&gt;WorldHeight)),"世界Y越界；","")&amp;IF(AND('06_建筑锚点'!D109&lt;&gt;"",COUNTIF('03_地点锚点'!$A$2:$A$501,'06_建筑锚点'!D109)=0),"建筑所属地点不存在；","")&amp;IF(AND('06_建筑锚点'!T109&lt;&gt;"",COUNTIF('07_动态状态'!$A$2:$A$501,'06_建筑锚点'!T109)=0),"运营状态编码不存在；","")&amp;IF(AND('06_建筑锚点'!A109&lt;&gt;"",COUNTIF('06_建筑锚点'!$A$2:$A$501,'06_建筑锚点'!A109)&gt;1),"ID重复；",""),"")</f>
        <v/>
      </c>
      <c r="G2109" s="14">
        <f>IF(F2109&lt;&gt;"","按字段批注、数据字典和来源记录修正后复核","")</f>
        <v/>
      </c>
      <c r="H2109" s="14">
        <f>IF(F2109&lt;&gt;"","待处理","")</f>
        <v/>
      </c>
    </row>
    <row r="2110">
      <c r="A2110" s="14">
        <f>IF(F2110&lt;&gt;"","ISSUE-"&amp;TEXT(ROW()-1,"00000"),"")</f>
        <v/>
      </c>
      <c r="B2110" s="14">
        <f>IF(F2110&lt;&gt;"","错误","")</f>
        <v/>
      </c>
      <c r="C2110" s="14">
        <f>IF('06_建筑锚点'!A110&lt;&gt;"","06_建筑锚点","")</f>
        <v/>
      </c>
      <c r="D2110" s="14">
        <f>IF('06_建筑锚点'!A110&lt;&gt;"",'06_建筑锚点'!A110,"")</f>
        <v/>
      </c>
      <c r="E2110" s="14">
        <f>IF(F2110&lt;&gt;"","综合校验","")</f>
        <v/>
      </c>
      <c r="F2110" s="14">
        <f>IF('06_建筑锚点'!A110&lt;&gt;"",IF('06_建筑锚点'!A110="","缺少建筑ID；","")&amp;IF('06_建筑锚点'!B110="","缺少建筑名称；","")&amp;IF('06_建筑锚点'!C110="","缺少建筑类型；","")&amp;IF('06_建筑锚点'!D110="","缺少所属地点ID；","")&amp;IF('06_建筑锚点'!F110="","缺少世界X；","")&amp;IF('06_建筑锚点'!G110="","缺少世界Y；","")&amp;IF(AND('06_建筑锚点'!F110&lt;&gt;"",OR('06_建筑锚点'!F110&lt;0,'06_建筑锚点'!F110&gt;WorldWidth)),"世界X越界；","")&amp;IF(AND('06_建筑锚点'!G110&lt;&gt;"",OR('06_建筑锚点'!G110&lt;0,'06_建筑锚点'!G110&gt;WorldHeight)),"世界Y越界；","")&amp;IF(AND('06_建筑锚点'!D110&lt;&gt;"",COUNTIF('03_地点锚点'!$A$2:$A$501,'06_建筑锚点'!D110)=0),"建筑所属地点不存在；","")&amp;IF(AND('06_建筑锚点'!T110&lt;&gt;"",COUNTIF('07_动态状态'!$A$2:$A$501,'06_建筑锚点'!T110)=0),"运营状态编码不存在；","")&amp;IF(AND('06_建筑锚点'!A110&lt;&gt;"",COUNTIF('06_建筑锚点'!$A$2:$A$501,'06_建筑锚点'!A110)&gt;1),"ID重复；",""),"")</f>
        <v/>
      </c>
      <c r="G2110" s="14">
        <f>IF(F2110&lt;&gt;"","按字段批注、数据字典和来源记录修正后复核","")</f>
        <v/>
      </c>
      <c r="H2110" s="14">
        <f>IF(F2110&lt;&gt;"","待处理","")</f>
        <v/>
      </c>
    </row>
    <row r="2111">
      <c r="A2111" s="14">
        <f>IF(F2111&lt;&gt;"","ISSUE-"&amp;TEXT(ROW()-1,"00000"),"")</f>
        <v/>
      </c>
      <c r="B2111" s="14">
        <f>IF(F2111&lt;&gt;"","错误","")</f>
        <v/>
      </c>
      <c r="C2111" s="14">
        <f>IF('06_建筑锚点'!A111&lt;&gt;"","06_建筑锚点","")</f>
        <v/>
      </c>
      <c r="D2111" s="14">
        <f>IF('06_建筑锚点'!A111&lt;&gt;"",'06_建筑锚点'!A111,"")</f>
        <v/>
      </c>
      <c r="E2111" s="14">
        <f>IF(F2111&lt;&gt;"","综合校验","")</f>
        <v/>
      </c>
      <c r="F2111" s="14">
        <f>IF('06_建筑锚点'!A111&lt;&gt;"",IF('06_建筑锚点'!A111="","缺少建筑ID；","")&amp;IF('06_建筑锚点'!B111="","缺少建筑名称；","")&amp;IF('06_建筑锚点'!C111="","缺少建筑类型；","")&amp;IF('06_建筑锚点'!D111="","缺少所属地点ID；","")&amp;IF('06_建筑锚点'!F111="","缺少世界X；","")&amp;IF('06_建筑锚点'!G111="","缺少世界Y；","")&amp;IF(AND('06_建筑锚点'!F111&lt;&gt;"",OR('06_建筑锚点'!F111&lt;0,'06_建筑锚点'!F111&gt;WorldWidth)),"世界X越界；","")&amp;IF(AND('06_建筑锚点'!G111&lt;&gt;"",OR('06_建筑锚点'!G111&lt;0,'06_建筑锚点'!G111&gt;WorldHeight)),"世界Y越界；","")&amp;IF(AND('06_建筑锚点'!D111&lt;&gt;"",COUNTIF('03_地点锚点'!$A$2:$A$501,'06_建筑锚点'!D111)=0),"建筑所属地点不存在；","")&amp;IF(AND('06_建筑锚点'!T111&lt;&gt;"",COUNTIF('07_动态状态'!$A$2:$A$501,'06_建筑锚点'!T111)=0),"运营状态编码不存在；","")&amp;IF(AND('06_建筑锚点'!A111&lt;&gt;"",COUNTIF('06_建筑锚点'!$A$2:$A$501,'06_建筑锚点'!A111)&gt;1),"ID重复；",""),"")</f>
        <v/>
      </c>
      <c r="G2111" s="14">
        <f>IF(F2111&lt;&gt;"","按字段批注、数据字典和来源记录修正后复核","")</f>
        <v/>
      </c>
      <c r="H2111" s="14">
        <f>IF(F2111&lt;&gt;"","待处理","")</f>
        <v/>
      </c>
    </row>
    <row r="2112">
      <c r="A2112" s="14">
        <f>IF(F2112&lt;&gt;"","ISSUE-"&amp;TEXT(ROW()-1,"00000"),"")</f>
        <v/>
      </c>
      <c r="B2112" s="14">
        <f>IF(F2112&lt;&gt;"","错误","")</f>
        <v/>
      </c>
      <c r="C2112" s="14">
        <f>IF('06_建筑锚点'!A112&lt;&gt;"","06_建筑锚点","")</f>
        <v/>
      </c>
      <c r="D2112" s="14">
        <f>IF('06_建筑锚点'!A112&lt;&gt;"",'06_建筑锚点'!A112,"")</f>
        <v/>
      </c>
      <c r="E2112" s="14">
        <f>IF(F2112&lt;&gt;"","综合校验","")</f>
        <v/>
      </c>
      <c r="F2112" s="14">
        <f>IF('06_建筑锚点'!A112&lt;&gt;"",IF('06_建筑锚点'!A112="","缺少建筑ID；","")&amp;IF('06_建筑锚点'!B112="","缺少建筑名称；","")&amp;IF('06_建筑锚点'!C112="","缺少建筑类型；","")&amp;IF('06_建筑锚点'!D112="","缺少所属地点ID；","")&amp;IF('06_建筑锚点'!F112="","缺少世界X；","")&amp;IF('06_建筑锚点'!G112="","缺少世界Y；","")&amp;IF(AND('06_建筑锚点'!F112&lt;&gt;"",OR('06_建筑锚点'!F112&lt;0,'06_建筑锚点'!F112&gt;WorldWidth)),"世界X越界；","")&amp;IF(AND('06_建筑锚点'!G112&lt;&gt;"",OR('06_建筑锚点'!G112&lt;0,'06_建筑锚点'!G112&gt;WorldHeight)),"世界Y越界；","")&amp;IF(AND('06_建筑锚点'!D112&lt;&gt;"",COUNTIF('03_地点锚点'!$A$2:$A$501,'06_建筑锚点'!D112)=0),"建筑所属地点不存在；","")&amp;IF(AND('06_建筑锚点'!T112&lt;&gt;"",COUNTIF('07_动态状态'!$A$2:$A$501,'06_建筑锚点'!T112)=0),"运营状态编码不存在；","")&amp;IF(AND('06_建筑锚点'!A112&lt;&gt;"",COUNTIF('06_建筑锚点'!$A$2:$A$501,'06_建筑锚点'!A112)&gt;1),"ID重复；",""),"")</f>
        <v/>
      </c>
      <c r="G2112" s="14">
        <f>IF(F2112&lt;&gt;"","按字段批注、数据字典和来源记录修正后复核","")</f>
        <v/>
      </c>
      <c r="H2112" s="14">
        <f>IF(F2112&lt;&gt;"","待处理","")</f>
        <v/>
      </c>
    </row>
    <row r="2113">
      <c r="A2113" s="14">
        <f>IF(F2113&lt;&gt;"","ISSUE-"&amp;TEXT(ROW()-1,"00000"),"")</f>
        <v/>
      </c>
      <c r="B2113" s="14">
        <f>IF(F2113&lt;&gt;"","错误","")</f>
        <v/>
      </c>
      <c r="C2113" s="14">
        <f>IF('06_建筑锚点'!A113&lt;&gt;"","06_建筑锚点","")</f>
        <v/>
      </c>
      <c r="D2113" s="14">
        <f>IF('06_建筑锚点'!A113&lt;&gt;"",'06_建筑锚点'!A113,"")</f>
        <v/>
      </c>
      <c r="E2113" s="14">
        <f>IF(F2113&lt;&gt;"","综合校验","")</f>
        <v/>
      </c>
      <c r="F2113" s="14">
        <f>IF('06_建筑锚点'!A113&lt;&gt;"",IF('06_建筑锚点'!A113="","缺少建筑ID；","")&amp;IF('06_建筑锚点'!B113="","缺少建筑名称；","")&amp;IF('06_建筑锚点'!C113="","缺少建筑类型；","")&amp;IF('06_建筑锚点'!D113="","缺少所属地点ID；","")&amp;IF('06_建筑锚点'!F113="","缺少世界X；","")&amp;IF('06_建筑锚点'!G113="","缺少世界Y；","")&amp;IF(AND('06_建筑锚点'!F113&lt;&gt;"",OR('06_建筑锚点'!F113&lt;0,'06_建筑锚点'!F113&gt;WorldWidth)),"世界X越界；","")&amp;IF(AND('06_建筑锚点'!G113&lt;&gt;"",OR('06_建筑锚点'!G113&lt;0,'06_建筑锚点'!G113&gt;WorldHeight)),"世界Y越界；","")&amp;IF(AND('06_建筑锚点'!D113&lt;&gt;"",COUNTIF('03_地点锚点'!$A$2:$A$501,'06_建筑锚点'!D113)=0),"建筑所属地点不存在；","")&amp;IF(AND('06_建筑锚点'!T113&lt;&gt;"",COUNTIF('07_动态状态'!$A$2:$A$501,'06_建筑锚点'!T113)=0),"运营状态编码不存在；","")&amp;IF(AND('06_建筑锚点'!A113&lt;&gt;"",COUNTIF('06_建筑锚点'!$A$2:$A$501,'06_建筑锚点'!A113)&gt;1),"ID重复；",""),"")</f>
        <v/>
      </c>
      <c r="G2113" s="14">
        <f>IF(F2113&lt;&gt;"","按字段批注、数据字典和来源记录修正后复核","")</f>
        <v/>
      </c>
      <c r="H2113" s="14">
        <f>IF(F2113&lt;&gt;"","待处理","")</f>
        <v/>
      </c>
    </row>
    <row r="2114">
      <c r="A2114" s="14">
        <f>IF(F2114&lt;&gt;"","ISSUE-"&amp;TEXT(ROW()-1,"00000"),"")</f>
        <v/>
      </c>
      <c r="B2114" s="14">
        <f>IF(F2114&lt;&gt;"","错误","")</f>
        <v/>
      </c>
      <c r="C2114" s="14">
        <f>IF('06_建筑锚点'!A114&lt;&gt;"","06_建筑锚点","")</f>
        <v/>
      </c>
      <c r="D2114" s="14">
        <f>IF('06_建筑锚点'!A114&lt;&gt;"",'06_建筑锚点'!A114,"")</f>
        <v/>
      </c>
      <c r="E2114" s="14">
        <f>IF(F2114&lt;&gt;"","综合校验","")</f>
        <v/>
      </c>
      <c r="F2114" s="14">
        <f>IF('06_建筑锚点'!A114&lt;&gt;"",IF('06_建筑锚点'!A114="","缺少建筑ID；","")&amp;IF('06_建筑锚点'!B114="","缺少建筑名称；","")&amp;IF('06_建筑锚点'!C114="","缺少建筑类型；","")&amp;IF('06_建筑锚点'!D114="","缺少所属地点ID；","")&amp;IF('06_建筑锚点'!F114="","缺少世界X；","")&amp;IF('06_建筑锚点'!G114="","缺少世界Y；","")&amp;IF(AND('06_建筑锚点'!F114&lt;&gt;"",OR('06_建筑锚点'!F114&lt;0,'06_建筑锚点'!F114&gt;WorldWidth)),"世界X越界；","")&amp;IF(AND('06_建筑锚点'!G114&lt;&gt;"",OR('06_建筑锚点'!G114&lt;0,'06_建筑锚点'!G114&gt;WorldHeight)),"世界Y越界；","")&amp;IF(AND('06_建筑锚点'!D114&lt;&gt;"",COUNTIF('03_地点锚点'!$A$2:$A$501,'06_建筑锚点'!D114)=0),"建筑所属地点不存在；","")&amp;IF(AND('06_建筑锚点'!T114&lt;&gt;"",COUNTIF('07_动态状态'!$A$2:$A$501,'06_建筑锚点'!T114)=0),"运营状态编码不存在；","")&amp;IF(AND('06_建筑锚点'!A114&lt;&gt;"",COUNTIF('06_建筑锚点'!$A$2:$A$501,'06_建筑锚点'!A114)&gt;1),"ID重复；",""),"")</f>
        <v/>
      </c>
      <c r="G2114" s="14">
        <f>IF(F2114&lt;&gt;"","按字段批注、数据字典和来源记录修正后复核","")</f>
        <v/>
      </c>
      <c r="H2114" s="14">
        <f>IF(F2114&lt;&gt;"","待处理","")</f>
        <v/>
      </c>
    </row>
    <row r="2115">
      <c r="A2115" s="14">
        <f>IF(F2115&lt;&gt;"","ISSUE-"&amp;TEXT(ROW()-1,"00000"),"")</f>
        <v/>
      </c>
      <c r="B2115" s="14">
        <f>IF(F2115&lt;&gt;"","错误","")</f>
        <v/>
      </c>
      <c r="C2115" s="14">
        <f>IF('06_建筑锚点'!A115&lt;&gt;"","06_建筑锚点","")</f>
        <v/>
      </c>
      <c r="D2115" s="14">
        <f>IF('06_建筑锚点'!A115&lt;&gt;"",'06_建筑锚点'!A115,"")</f>
        <v/>
      </c>
      <c r="E2115" s="14">
        <f>IF(F2115&lt;&gt;"","综合校验","")</f>
        <v/>
      </c>
      <c r="F2115" s="14">
        <f>IF('06_建筑锚点'!A115&lt;&gt;"",IF('06_建筑锚点'!A115="","缺少建筑ID；","")&amp;IF('06_建筑锚点'!B115="","缺少建筑名称；","")&amp;IF('06_建筑锚点'!C115="","缺少建筑类型；","")&amp;IF('06_建筑锚点'!D115="","缺少所属地点ID；","")&amp;IF('06_建筑锚点'!F115="","缺少世界X；","")&amp;IF('06_建筑锚点'!G115="","缺少世界Y；","")&amp;IF(AND('06_建筑锚点'!F115&lt;&gt;"",OR('06_建筑锚点'!F115&lt;0,'06_建筑锚点'!F115&gt;WorldWidth)),"世界X越界；","")&amp;IF(AND('06_建筑锚点'!G115&lt;&gt;"",OR('06_建筑锚点'!G115&lt;0,'06_建筑锚点'!G115&gt;WorldHeight)),"世界Y越界；","")&amp;IF(AND('06_建筑锚点'!D115&lt;&gt;"",COUNTIF('03_地点锚点'!$A$2:$A$501,'06_建筑锚点'!D115)=0),"建筑所属地点不存在；","")&amp;IF(AND('06_建筑锚点'!T115&lt;&gt;"",COUNTIF('07_动态状态'!$A$2:$A$501,'06_建筑锚点'!T115)=0),"运营状态编码不存在；","")&amp;IF(AND('06_建筑锚点'!A115&lt;&gt;"",COUNTIF('06_建筑锚点'!$A$2:$A$501,'06_建筑锚点'!A115)&gt;1),"ID重复；",""),"")</f>
        <v/>
      </c>
      <c r="G2115" s="14">
        <f>IF(F2115&lt;&gt;"","按字段批注、数据字典和来源记录修正后复核","")</f>
        <v/>
      </c>
      <c r="H2115" s="14">
        <f>IF(F2115&lt;&gt;"","待处理","")</f>
        <v/>
      </c>
    </row>
    <row r="2116">
      <c r="A2116" s="14">
        <f>IF(F2116&lt;&gt;"","ISSUE-"&amp;TEXT(ROW()-1,"00000"),"")</f>
        <v/>
      </c>
      <c r="B2116" s="14">
        <f>IF(F2116&lt;&gt;"","错误","")</f>
        <v/>
      </c>
      <c r="C2116" s="14">
        <f>IF('06_建筑锚点'!A116&lt;&gt;"","06_建筑锚点","")</f>
        <v/>
      </c>
      <c r="D2116" s="14">
        <f>IF('06_建筑锚点'!A116&lt;&gt;"",'06_建筑锚点'!A116,"")</f>
        <v/>
      </c>
      <c r="E2116" s="14">
        <f>IF(F2116&lt;&gt;"","综合校验","")</f>
        <v/>
      </c>
      <c r="F2116" s="14">
        <f>IF('06_建筑锚点'!A116&lt;&gt;"",IF('06_建筑锚点'!A116="","缺少建筑ID；","")&amp;IF('06_建筑锚点'!B116="","缺少建筑名称；","")&amp;IF('06_建筑锚点'!C116="","缺少建筑类型；","")&amp;IF('06_建筑锚点'!D116="","缺少所属地点ID；","")&amp;IF('06_建筑锚点'!F116="","缺少世界X；","")&amp;IF('06_建筑锚点'!G116="","缺少世界Y；","")&amp;IF(AND('06_建筑锚点'!F116&lt;&gt;"",OR('06_建筑锚点'!F116&lt;0,'06_建筑锚点'!F116&gt;WorldWidth)),"世界X越界；","")&amp;IF(AND('06_建筑锚点'!G116&lt;&gt;"",OR('06_建筑锚点'!G116&lt;0,'06_建筑锚点'!G116&gt;WorldHeight)),"世界Y越界；","")&amp;IF(AND('06_建筑锚点'!D116&lt;&gt;"",COUNTIF('03_地点锚点'!$A$2:$A$501,'06_建筑锚点'!D116)=0),"建筑所属地点不存在；","")&amp;IF(AND('06_建筑锚点'!T116&lt;&gt;"",COUNTIF('07_动态状态'!$A$2:$A$501,'06_建筑锚点'!T116)=0),"运营状态编码不存在；","")&amp;IF(AND('06_建筑锚点'!A116&lt;&gt;"",COUNTIF('06_建筑锚点'!$A$2:$A$501,'06_建筑锚点'!A116)&gt;1),"ID重复；",""),"")</f>
        <v/>
      </c>
      <c r="G2116" s="14">
        <f>IF(F2116&lt;&gt;"","按字段批注、数据字典和来源记录修正后复核","")</f>
        <v/>
      </c>
      <c r="H2116" s="14">
        <f>IF(F2116&lt;&gt;"","待处理","")</f>
        <v/>
      </c>
    </row>
    <row r="2117">
      <c r="A2117" s="14">
        <f>IF(F2117&lt;&gt;"","ISSUE-"&amp;TEXT(ROW()-1,"00000"),"")</f>
        <v/>
      </c>
      <c r="B2117" s="14">
        <f>IF(F2117&lt;&gt;"","错误","")</f>
        <v/>
      </c>
      <c r="C2117" s="14">
        <f>IF('06_建筑锚点'!A117&lt;&gt;"","06_建筑锚点","")</f>
        <v/>
      </c>
      <c r="D2117" s="14">
        <f>IF('06_建筑锚点'!A117&lt;&gt;"",'06_建筑锚点'!A117,"")</f>
        <v/>
      </c>
      <c r="E2117" s="14">
        <f>IF(F2117&lt;&gt;"","综合校验","")</f>
        <v/>
      </c>
      <c r="F2117" s="14">
        <f>IF('06_建筑锚点'!A117&lt;&gt;"",IF('06_建筑锚点'!A117="","缺少建筑ID；","")&amp;IF('06_建筑锚点'!B117="","缺少建筑名称；","")&amp;IF('06_建筑锚点'!C117="","缺少建筑类型；","")&amp;IF('06_建筑锚点'!D117="","缺少所属地点ID；","")&amp;IF('06_建筑锚点'!F117="","缺少世界X；","")&amp;IF('06_建筑锚点'!G117="","缺少世界Y；","")&amp;IF(AND('06_建筑锚点'!F117&lt;&gt;"",OR('06_建筑锚点'!F117&lt;0,'06_建筑锚点'!F117&gt;WorldWidth)),"世界X越界；","")&amp;IF(AND('06_建筑锚点'!G117&lt;&gt;"",OR('06_建筑锚点'!G117&lt;0,'06_建筑锚点'!G117&gt;WorldHeight)),"世界Y越界；","")&amp;IF(AND('06_建筑锚点'!D117&lt;&gt;"",COUNTIF('03_地点锚点'!$A$2:$A$501,'06_建筑锚点'!D117)=0),"建筑所属地点不存在；","")&amp;IF(AND('06_建筑锚点'!T117&lt;&gt;"",COUNTIF('07_动态状态'!$A$2:$A$501,'06_建筑锚点'!T117)=0),"运营状态编码不存在；","")&amp;IF(AND('06_建筑锚点'!A117&lt;&gt;"",COUNTIF('06_建筑锚点'!$A$2:$A$501,'06_建筑锚点'!A117)&gt;1),"ID重复；",""),"")</f>
        <v/>
      </c>
      <c r="G2117" s="14">
        <f>IF(F2117&lt;&gt;"","按字段批注、数据字典和来源记录修正后复核","")</f>
        <v/>
      </c>
      <c r="H2117" s="14">
        <f>IF(F2117&lt;&gt;"","待处理","")</f>
        <v/>
      </c>
    </row>
    <row r="2118">
      <c r="A2118" s="14">
        <f>IF(F2118&lt;&gt;"","ISSUE-"&amp;TEXT(ROW()-1,"00000"),"")</f>
        <v/>
      </c>
      <c r="B2118" s="14">
        <f>IF(F2118&lt;&gt;"","错误","")</f>
        <v/>
      </c>
      <c r="C2118" s="14">
        <f>IF('06_建筑锚点'!A118&lt;&gt;"","06_建筑锚点","")</f>
        <v/>
      </c>
      <c r="D2118" s="14">
        <f>IF('06_建筑锚点'!A118&lt;&gt;"",'06_建筑锚点'!A118,"")</f>
        <v/>
      </c>
      <c r="E2118" s="14">
        <f>IF(F2118&lt;&gt;"","综合校验","")</f>
        <v/>
      </c>
      <c r="F2118" s="14">
        <f>IF('06_建筑锚点'!A118&lt;&gt;"",IF('06_建筑锚点'!A118="","缺少建筑ID；","")&amp;IF('06_建筑锚点'!B118="","缺少建筑名称；","")&amp;IF('06_建筑锚点'!C118="","缺少建筑类型；","")&amp;IF('06_建筑锚点'!D118="","缺少所属地点ID；","")&amp;IF('06_建筑锚点'!F118="","缺少世界X；","")&amp;IF('06_建筑锚点'!G118="","缺少世界Y；","")&amp;IF(AND('06_建筑锚点'!F118&lt;&gt;"",OR('06_建筑锚点'!F118&lt;0,'06_建筑锚点'!F118&gt;WorldWidth)),"世界X越界；","")&amp;IF(AND('06_建筑锚点'!G118&lt;&gt;"",OR('06_建筑锚点'!G118&lt;0,'06_建筑锚点'!G118&gt;WorldHeight)),"世界Y越界；","")&amp;IF(AND('06_建筑锚点'!D118&lt;&gt;"",COUNTIF('03_地点锚点'!$A$2:$A$501,'06_建筑锚点'!D118)=0),"建筑所属地点不存在；","")&amp;IF(AND('06_建筑锚点'!T118&lt;&gt;"",COUNTIF('07_动态状态'!$A$2:$A$501,'06_建筑锚点'!T118)=0),"运营状态编码不存在；","")&amp;IF(AND('06_建筑锚点'!A118&lt;&gt;"",COUNTIF('06_建筑锚点'!$A$2:$A$501,'06_建筑锚点'!A118)&gt;1),"ID重复；",""),"")</f>
        <v/>
      </c>
      <c r="G2118" s="14">
        <f>IF(F2118&lt;&gt;"","按字段批注、数据字典和来源记录修正后复核","")</f>
        <v/>
      </c>
      <c r="H2118" s="14">
        <f>IF(F2118&lt;&gt;"","待处理","")</f>
        <v/>
      </c>
    </row>
    <row r="2119">
      <c r="A2119" s="14">
        <f>IF(F2119&lt;&gt;"","ISSUE-"&amp;TEXT(ROW()-1,"00000"),"")</f>
        <v/>
      </c>
      <c r="B2119" s="14">
        <f>IF(F2119&lt;&gt;"","错误","")</f>
        <v/>
      </c>
      <c r="C2119" s="14">
        <f>IF('06_建筑锚点'!A119&lt;&gt;"","06_建筑锚点","")</f>
        <v/>
      </c>
      <c r="D2119" s="14">
        <f>IF('06_建筑锚点'!A119&lt;&gt;"",'06_建筑锚点'!A119,"")</f>
        <v/>
      </c>
      <c r="E2119" s="14">
        <f>IF(F2119&lt;&gt;"","综合校验","")</f>
        <v/>
      </c>
      <c r="F2119" s="14">
        <f>IF('06_建筑锚点'!A119&lt;&gt;"",IF('06_建筑锚点'!A119="","缺少建筑ID；","")&amp;IF('06_建筑锚点'!B119="","缺少建筑名称；","")&amp;IF('06_建筑锚点'!C119="","缺少建筑类型；","")&amp;IF('06_建筑锚点'!D119="","缺少所属地点ID；","")&amp;IF('06_建筑锚点'!F119="","缺少世界X；","")&amp;IF('06_建筑锚点'!G119="","缺少世界Y；","")&amp;IF(AND('06_建筑锚点'!F119&lt;&gt;"",OR('06_建筑锚点'!F119&lt;0,'06_建筑锚点'!F119&gt;WorldWidth)),"世界X越界；","")&amp;IF(AND('06_建筑锚点'!G119&lt;&gt;"",OR('06_建筑锚点'!G119&lt;0,'06_建筑锚点'!G119&gt;WorldHeight)),"世界Y越界；","")&amp;IF(AND('06_建筑锚点'!D119&lt;&gt;"",COUNTIF('03_地点锚点'!$A$2:$A$501,'06_建筑锚点'!D119)=0),"建筑所属地点不存在；","")&amp;IF(AND('06_建筑锚点'!T119&lt;&gt;"",COUNTIF('07_动态状态'!$A$2:$A$501,'06_建筑锚点'!T119)=0),"运营状态编码不存在；","")&amp;IF(AND('06_建筑锚点'!A119&lt;&gt;"",COUNTIF('06_建筑锚点'!$A$2:$A$501,'06_建筑锚点'!A119)&gt;1),"ID重复；",""),"")</f>
        <v/>
      </c>
      <c r="G2119" s="14">
        <f>IF(F2119&lt;&gt;"","按字段批注、数据字典和来源记录修正后复核","")</f>
        <v/>
      </c>
      <c r="H2119" s="14">
        <f>IF(F2119&lt;&gt;"","待处理","")</f>
        <v/>
      </c>
    </row>
    <row r="2120">
      <c r="A2120" s="14">
        <f>IF(F2120&lt;&gt;"","ISSUE-"&amp;TEXT(ROW()-1,"00000"),"")</f>
        <v/>
      </c>
      <c r="B2120" s="14">
        <f>IF(F2120&lt;&gt;"","错误","")</f>
        <v/>
      </c>
      <c r="C2120" s="14">
        <f>IF('06_建筑锚点'!A120&lt;&gt;"","06_建筑锚点","")</f>
        <v/>
      </c>
      <c r="D2120" s="14">
        <f>IF('06_建筑锚点'!A120&lt;&gt;"",'06_建筑锚点'!A120,"")</f>
        <v/>
      </c>
      <c r="E2120" s="14">
        <f>IF(F2120&lt;&gt;"","综合校验","")</f>
        <v/>
      </c>
      <c r="F2120" s="14">
        <f>IF('06_建筑锚点'!A120&lt;&gt;"",IF('06_建筑锚点'!A120="","缺少建筑ID；","")&amp;IF('06_建筑锚点'!B120="","缺少建筑名称；","")&amp;IF('06_建筑锚点'!C120="","缺少建筑类型；","")&amp;IF('06_建筑锚点'!D120="","缺少所属地点ID；","")&amp;IF('06_建筑锚点'!F120="","缺少世界X；","")&amp;IF('06_建筑锚点'!G120="","缺少世界Y；","")&amp;IF(AND('06_建筑锚点'!F120&lt;&gt;"",OR('06_建筑锚点'!F120&lt;0,'06_建筑锚点'!F120&gt;WorldWidth)),"世界X越界；","")&amp;IF(AND('06_建筑锚点'!G120&lt;&gt;"",OR('06_建筑锚点'!G120&lt;0,'06_建筑锚点'!G120&gt;WorldHeight)),"世界Y越界；","")&amp;IF(AND('06_建筑锚点'!D120&lt;&gt;"",COUNTIF('03_地点锚点'!$A$2:$A$501,'06_建筑锚点'!D120)=0),"建筑所属地点不存在；","")&amp;IF(AND('06_建筑锚点'!T120&lt;&gt;"",COUNTIF('07_动态状态'!$A$2:$A$501,'06_建筑锚点'!T120)=0),"运营状态编码不存在；","")&amp;IF(AND('06_建筑锚点'!A120&lt;&gt;"",COUNTIF('06_建筑锚点'!$A$2:$A$501,'06_建筑锚点'!A120)&gt;1),"ID重复；",""),"")</f>
        <v/>
      </c>
      <c r="G2120" s="14">
        <f>IF(F2120&lt;&gt;"","按字段批注、数据字典和来源记录修正后复核","")</f>
        <v/>
      </c>
      <c r="H2120" s="14">
        <f>IF(F2120&lt;&gt;"","待处理","")</f>
        <v/>
      </c>
    </row>
    <row r="2121">
      <c r="A2121" s="14">
        <f>IF(F2121&lt;&gt;"","ISSUE-"&amp;TEXT(ROW()-1,"00000"),"")</f>
        <v/>
      </c>
      <c r="B2121" s="14">
        <f>IF(F2121&lt;&gt;"","错误","")</f>
        <v/>
      </c>
      <c r="C2121" s="14">
        <f>IF('06_建筑锚点'!A121&lt;&gt;"","06_建筑锚点","")</f>
        <v/>
      </c>
      <c r="D2121" s="14">
        <f>IF('06_建筑锚点'!A121&lt;&gt;"",'06_建筑锚点'!A121,"")</f>
        <v/>
      </c>
      <c r="E2121" s="14">
        <f>IF(F2121&lt;&gt;"","综合校验","")</f>
        <v/>
      </c>
      <c r="F2121" s="14">
        <f>IF('06_建筑锚点'!A121&lt;&gt;"",IF('06_建筑锚点'!A121="","缺少建筑ID；","")&amp;IF('06_建筑锚点'!B121="","缺少建筑名称；","")&amp;IF('06_建筑锚点'!C121="","缺少建筑类型；","")&amp;IF('06_建筑锚点'!D121="","缺少所属地点ID；","")&amp;IF('06_建筑锚点'!F121="","缺少世界X；","")&amp;IF('06_建筑锚点'!G121="","缺少世界Y；","")&amp;IF(AND('06_建筑锚点'!F121&lt;&gt;"",OR('06_建筑锚点'!F121&lt;0,'06_建筑锚点'!F121&gt;WorldWidth)),"世界X越界；","")&amp;IF(AND('06_建筑锚点'!G121&lt;&gt;"",OR('06_建筑锚点'!G121&lt;0,'06_建筑锚点'!G121&gt;WorldHeight)),"世界Y越界；","")&amp;IF(AND('06_建筑锚点'!D121&lt;&gt;"",COUNTIF('03_地点锚点'!$A$2:$A$501,'06_建筑锚点'!D121)=0),"建筑所属地点不存在；","")&amp;IF(AND('06_建筑锚点'!T121&lt;&gt;"",COUNTIF('07_动态状态'!$A$2:$A$501,'06_建筑锚点'!T121)=0),"运营状态编码不存在；","")&amp;IF(AND('06_建筑锚点'!A121&lt;&gt;"",COUNTIF('06_建筑锚点'!$A$2:$A$501,'06_建筑锚点'!A121)&gt;1),"ID重复；",""),"")</f>
        <v/>
      </c>
      <c r="G2121" s="14">
        <f>IF(F2121&lt;&gt;"","按字段批注、数据字典和来源记录修正后复核","")</f>
        <v/>
      </c>
      <c r="H2121" s="14">
        <f>IF(F2121&lt;&gt;"","待处理","")</f>
        <v/>
      </c>
    </row>
    <row r="2122">
      <c r="A2122" s="14">
        <f>IF(F2122&lt;&gt;"","ISSUE-"&amp;TEXT(ROW()-1,"00000"),"")</f>
        <v/>
      </c>
      <c r="B2122" s="14">
        <f>IF(F2122&lt;&gt;"","错误","")</f>
        <v/>
      </c>
      <c r="C2122" s="14">
        <f>IF('06_建筑锚点'!A122&lt;&gt;"","06_建筑锚点","")</f>
        <v/>
      </c>
      <c r="D2122" s="14">
        <f>IF('06_建筑锚点'!A122&lt;&gt;"",'06_建筑锚点'!A122,"")</f>
        <v/>
      </c>
      <c r="E2122" s="14">
        <f>IF(F2122&lt;&gt;"","综合校验","")</f>
        <v/>
      </c>
      <c r="F2122" s="14">
        <f>IF('06_建筑锚点'!A122&lt;&gt;"",IF('06_建筑锚点'!A122="","缺少建筑ID；","")&amp;IF('06_建筑锚点'!B122="","缺少建筑名称；","")&amp;IF('06_建筑锚点'!C122="","缺少建筑类型；","")&amp;IF('06_建筑锚点'!D122="","缺少所属地点ID；","")&amp;IF('06_建筑锚点'!F122="","缺少世界X；","")&amp;IF('06_建筑锚点'!G122="","缺少世界Y；","")&amp;IF(AND('06_建筑锚点'!F122&lt;&gt;"",OR('06_建筑锚点'!F122&lt;0,'06_建筑锚点'!F122&gt;WorldWidth)),"世界X越界；","")&amp;IF(AND('06_建筑锚点'!G122&lt;&gt;"",OR('06_建筑锚点'!G122&lt;0,'06_建筑锚点'!G122&gt;WorldHeight)),"世界Y越界；","")&amp;IF(AND('06_建筑锚点'!D122&lt;&gt;"",COUNTIF('03_地点锚点'!$A$2:$A$501,'06_建筑锚点'!D122)=0),"建筑所属地点不存在；","")&amp;IF(AND('06_建筑锚点'!T122&lt;&gt;"",COUNTIF('07_动态状态'!$A$2:$A$501,'06_建筑锚点'!T122)=0),"运营状态编码不存在；","")&amp;IF(AND('06_建筑锚点'!A122&lt;&gt;"",COUNTIF('06_建筑锚点'!$A$2:$A$501,'06_建筑锚点'!A122)&gt;1),"ID重复；",""),"")</f>
        <v/>
      </c>
      <c r="G2122" s="14">
        <f>IF(F2122&lt;&gt;"","按字段批注、数据字典和来源记录修正后复核","")</f>
        <v/>
      </c>
      <c r="H2122" s="14">
        <f>IF(F2122&lt;&gt;"","待处理","")</f>
        <v/>
      </c>
    </row>
    <row r="2123">
      <c r="A2123" s="14">
        <f>IF(F2123&lt;&gt;"","ISSUE-"&amp;TEXT(ROW()-1,"00000"),"")</f>
        <v/>
      </c>
      <c r="B2123" s="14">
        <f>IF(F2123&lt;&gt;"","错误","")</f>
        <v/>
      </c>
      <c r="C2123" s="14">
        <f>IF('06_建筑锚点'!A123&lt;&gt;"","06_建筑锚点","")</f>
        <v/>
      </c>
      <c r="D2123" s="14">
        <f>IF('06_建筑锚点'!A123&lt;&gt;"",'06_建筑锚点'!A123,"")</f>
        <v/>
      </c>
      <c r="E2123" s="14">
        <f>IF(F2123&lt;&gt;"","综合校验","")</f>
        <v/>
      </c>
      <c r="F2123" s="14">
        <f>IF('06_建筑锚点'!A123&lt;&gt;"",IF('06_建筑锚点'!A123="","缺少建筑ID；","")&amp;IF('06_建筑锚点'!B123="","缺少建筑名称；","")&amp;IF('06_建筑锚点'!C123="","缺少建筑类型；","")&amp;IF('06_建筑锚点'!D123="","缺少所属地点ID；","")&amp;IF('06_建筑锚点'!F123="","缺少世界X；","")&amp;IF('06_建筑锚点'!G123="","缺少世界Y；","")&amp;IF(AND('06_建筑锚点'!F123&lt;&gt;"",OR('06_建筑锚点'!F123&lt;0,'06_建筑锚点'!F123&gt;WorldWidth)),"世界X越界；","")&amp;IF(AND('06_建筑锚点'!G123&lt;&gt;"",OR('06_建筑锚点'!G123&lt;0,'06_建筑锚点'!G123&gt;WorldHeight)),"世界Y越界；","")&amp;IF(AND('06_建筑锚点'!D123&lt;&gt;"",COUNTIF('03_地点锚点'!$A$2:$A$501,'06_建筑锚点'!D123)=0),"建筑所属地点不存在；","")&amp;IF(AND('06_建筑锚点'!T123&lt;&gt;"",COUNTIF('07_动态状态'!$A$2:$A$501,'06_建筑锚点'!T123)=0),"运营状态编码不存在；","")&amp;IF(AND('06_建筑锚点'!A123&lt;&gt;"",COUNTIF('06_建筑锚点'!$A$2:$A$501,'06_建筑锚点'!A123)&gt;1),"ID重复；",""),"")</f>
        <v/>
      </c>
      <c r="G2123" s="14">
        <f>IF(F2123&lt;&gt;"","按字段批注、数据字典和来源记录修正后复核","")</f>
        <v/>
      </c>
      <c r="H2123" s="14">
        <f>IF(F2123&lt;&gt;"","待处理","")</f>
        <v/>
      </c>
    </row>
    <row r="2124">
      <c r="A2124" s="14">
        <f>IF(F2124&lt;&gt;"","ISSUE-"&amp;TEXT(ROW()-1,"00000"),"")</f>
        <v/>
      </c>
      <c r="B2124" s="14">
        <f>IF(F2124&lt;&gt;"","错误","")</f>
        <v/>
      </c>
      <c r="C2124" s="14">
        <f>IF('06_建筑锚点'!A124&lt;&gt;"","06_建筑锚点","")</f>
        <v/>
      </c>
      <c r="D2124" s="14">
        <f>IF('06_建筑锚点'!A124&lt;&gt;"",'06_建筑锚点'!A124,"")</f>
        <v/>
      </c>
      <c r="E2124" s="14">
        <f>IF(F2124&lt;&gt;"","综合校验","")</f>
        <v/>
      </c>
      <c r="F2124" s="14">
        <f>IF('06_建筑锚点'!A124&lt;&gt;"",IF('06_建筑锚点'!A124="","缺少建筑ID；","")&amp;IF('06_建筑锚点'!B124="","缺少建筑名称；","")&amp;IF('06_建筑锚点'!C124="","缺少建筑类型；","")&amp;IF('06_建筑锚点'!D124="","缺少所属地点ID；","")&amp;IF('06_建筑锚点'!F124="","缺少世界X；","")&amp;IF('06_建筑锚点'!G124="","缺少世界Y；","")&amp;IF(AND('06_建筑锚点'!F124&lt;&gt;"",OR('06_建筑锚点'!F124&lt;0,'06_建筑锚点'!F124&gt;WorldWidth)),"世界X越界；","")&amp;IF(AND('06_建筑锚点'!G124&lt;&gt;"",OR('06_建筑锚点'!G124&lt;0,'06_建筑锚点'!G124&gt;WorldHeight)),"世界Y越界；","")&amp;IF(AND('06_建筑锚点'!D124&lt;&gt;"",COUNTIF('03_地点锚点'!$A$2:$A$501,'06_建筑锚点'!D124)=0),"建筑所属地点不存在；","")&amp;IF(AND('06_建筑锚点'!T124&lt;&gt;"",COUNTIF('07_动态状态'!$A$2:$A$501,'06_建筑锚点'!T124)=0),"运营状态编码不存在；","")&amp;IF(AND('06_建筑锚点'!A124&lt;&gt;"",COUNTIF('06_建筑锚点'!$A$2:$A$501,'06_建筑锚点'!A124)&gt;1),"ID重复；",""),"")</f>
        <v/>
      </c>
      <c r="G2124" s="14">
        <f>IF(F2124&lt;&gt;"","按字段批注、数据字典和来源记录修正后复核","")</f>
        <v/>
      </c>
      <c r="H2124" s="14">
        <f>IF(F2124&lt;&gt;"","待处理","")</f>
        <v/>
      </c>
    </row>
    <row r="2125">
      <c r="A2125" s="14">
        <f>IF(F2125&lt;&gt;"","ISSUE-"&amp;TEXT(ROW()-1,"00000"),"")</f>
        <v/>
      </c>
      <c r="B2125" s="14">
        <f>IF(F2125&lt;&gt;"","错误","")</f>
        <v/>
      </c>
      <c r="C2125" s="14">
        <f>IF('06_建筑锚点'!A125&lt;&gt;"","06_建筑锚点","")</f>
        <v/>
      </c>
      <c r="D2125" s="14">
        <f>IF('06_建筑锚点'!A125&lt;&gt;"",'06_建筑锚点'!A125,"")</f>
        <v/>
      </c>
      <c r="E2125" s="14">
        <f>IF(F2125&lt;&gt;"","综合校验","")</f>
        <v/>
      </c>
      <c r="F2125" s="14">
        <f>IF('06_建筑锚点'!A125&lt;&gt;"",IF('06_建筑锚点'!A125="","缺少建筑ID；","")&amp;IF('06_建筑锚点'!B125="","缺少建筑名称；","")&amp;IF('06_建筑锚点'!C125="","缺少建筑类型；","")&amp;IF('06_建筑锚点'!D125="","缺少所属地点ID；","")&amp;IF('06_建筑锚点'!F125="","缺少世界X；","")&amp;IF('06_建筑锚点'!G125="","缺少世界Y；","")&amp;IF(AND('06_建筑锚点'!F125&lt;&gt;"",OR('06_建筑锚点'!F125&lt;0,'06_建筑锚点'!F125&gt;WorldWidth)),"世界X越界；","")&amp;IF(AND('06_建筑锚点'!G125&lt;&gt;"",OR('06_建筑锚点'!G125&lt;0,'06_建筑锚点'!G125&gt;WorldHeight)),"世界Y越界；","")&amp;IF(AND('06_建筑锚点'!D125&lt;&gt;"",COUNTIF('03_地点锚点'!$A$2:$A$501,'06_建筑锚点'!D125)=0),"建筑所属地点不存在；","")&amp;IF(AND('06_建筑锚点'!T125&lt;&gt;"",COUNTIF('07_动态状态'!$A$2:$A$501,'06_建筑锚点'!T125)=0),"运营状态编码不存在；","")&amp;IF(AND('06_建筑锚点'!A125&lt;&gt;"",COUNTIF('06_建筑锚点'!$A$2:$A$501,'06_建筑锚点'!A125)&gt;1),"ID重复；",""),"")</f>
        <v/>
      </c>
      <c r="G2125" s="14">
        <f>IF(F2125&lt;&gt;"","按字段批注、数据字典和来源记录修正后复核","")</f>
        <v/>
      </c>
      <c r="H2125" s="14">
        <f>IF(F2125&lt;&gt;"","待处理","")</f>
        <v/>
      </c>
    </row>
    <row r="2126">
      <c r="A2126" s="14">
        <f>IF(F2126&lt;&gt;"","ISSUE-"&amp;TEXT(ROW()-1,"00000"),"")</f>
        <v/>
      </c>
      <c r="B2126" s="14">
        <f>IF(F2126&lt;&gt;"","错误","")</f>
        <v/>
      </c>
      <c r="C2126" s="14">
        <f>IF('06_建筑锚点'!A126&lt;&gt;"","06_建筑锚点","")</f>
        <v/>
      </c>
      <c r="D2126" s="14">
        <f>IF('06_建筑锚点'!A126&lt;&gt;"",'06_建筑锚点'!A126,"")</f>
        <v/>
      </c>
      <c r="E2126" s="14">
        <f>IF(F2126&lt;&gt;"","综合校验","")</f>
        <v/>
      </c>
      <c r="F2126" s="14">
        <f>IF('06_建筑锚点'!A126&lt;&gt;"",IF('06_建筑锚点'!A126="","缺少建筑ID；","")&amp;IF('06_建筑锚点'!B126="","缺少建筑名称；","")&amp;IF('06_建筑锚点'!C126="","缺少建筑类型；","")&amp;IF('06_建筑锚点'!D126="","缺少所属地点ID；","")&amp;IF('06_建筑锚点'!F126="","缺少世界X；","")&amp;IF('06_建筑锚点'!G126="","缺少世界Y；","")&amp;IF(AND('06_建筑锚点'!F126&lt;&gt;"",OR('06_建筑锚点'!F126&lt;0,'06_建筑锚点'!F126&gt;WorldWidth)),"世界X越界；","")&amp;IF(AND('06_建筑锚点'!G126&lt;&gt;"",OR('06_建筑锚点'!G126&lt;0,'06_建筑锚点'!G126&gt;WorldHeight)),"世界Y越界；","")&amp;IF(AND('06_建筑锚点'!D126&lt;&gt;"",COUNTIF('03_地点锚点'!$A$2:$A$501,'06_建筑锚点'!D126)=0),"建筑所属地点不存在；","")&amp;IF(AND('06_建筑锚点'!T126&lt;&gt;"",COUNTIF('07_动态状态'!$A$2:$A$501,'06_建筑锚点'!T126)=0),"运营状态编码不存在；","")&amp;IF(AND('06_建筑锚点'!A126&lt;&gt;"",COUNTIF('06_建筑锚点'!$A$2:$A$501,'06_建筑锚点'!A126)&gt;1),"ID重复；",""),"")</f>
        <v/>
      </c>
      <c r="G2126" s="14">
        <f>IF(F2126&lt;&gt;"","按字段批注、数据字典和来源记录修正后复核","")</f>
        <v/>
      </c>
      <c r="H2126" s="14">
        <f>IF(F2126&lt;&gt;"","待处理","")</f>
        <v/>
      </c>
    </row>
    <row r="2127">
      <c r="A2127" s="14">
        <f>IF(F2127&lt;&gt;"","ISSUE-"&amp;TEXT(ROW()-1,"00000"),"")</f>
        <v/>
      </c>
      <c r="B2127" s="14">
        <f>IF(F2127&lt;&gt;"","错误","")</f>
        <v/>
      </c>
      <c r="C2127" s="14">
        <f>IF('06_建筑锚点'!A127&lt;&gt;"","06_建筑锚点","")</f>
        <v/>
      </c>
      <c r="D2127" s="14">
        <f>IF('06_建筑锚点'!A127&lt;&gt;"",'06_建筑锚点'!A127,"")</f>
        <v/>
      </c>
      <c r="E2127" s="14">
        <f>IF(F2127&lt;&gt;"","综合校验","")</f>
        <v/>
      </c>
      <c r="F2127" s="14">
        <f>IF('06_建筑锚点'!A127&lt;&gt;"",IF('06_建筑锚点'!A127="","缺少建筑ID；","")&amp;IF('06_建筑锚点'!B127="","缺少建筑名称；","")&amp;IF('06_建筑锚点'!C127="","缺少建筑类型；","")&amp;IF('06_建筑锚点'!D127="","缺少所属地点ID；","")&amp;IF('06_建筑锚点'!F127="","缺少世界X；","")&amp;IF('06_建筑锚点'!G127="","缺少世界Y；","")&amp;IF(AND('06_建筑锚点'!F127&lt;&gt;"",OR('06_建筑锚点'!F127&lt;0,'06_建筑锚点'!F127&gt;WorldWidth)),"世界X越界；","")&amp;IF(AND('06_建筑锚点'!G127&lt;&gt;"",OR('06_建筑锚点'!G127&lt;0,'06_建筑锚点'!G127&gt;WorldHeight)),"世界Y越界；","")&amp;IF(AND('06_建筑锚点'!D127&lt;&gt;"",COUNTIF('03_地点锚点'!$A$2:$A$501,'06_建筑锚点'!D127)=0),"建筑所属地点不存在；","")&amp;IF(AND('06_建筑锚点'!T127&lt;&gt;"",COUNTIF('07_动态状态'!$A$2:$A$501,'06_建筑锚点'!T127)=0),"运营状态编码不存在；","")&amp;IF(AND('06_建筑锚点'!A127&lt;&gt;"",COUNTIF('06_建筑锚点'!$A$2:$A$501,'06_建筑锚点'!A127)&gt;1),"ID重复；",""),"")</f>
        <v/>
      </c>
      <c r="G2127" s="14">
        <f>IF(F2127&lt;&gt;"","按字段批注、数据字典和来源记录修正后复核","")</f>
        <v/>
      </c>
      <c r="H2127" s="14">
        <f>IF(F2127&lt;&gt;"","待处理","")</f>
        <v/>
      </c>
    </row>
    <row r="2128">
      <c r="A2128" s="14">
        <f>IF(F2128&lt;&gt;"","ISSUE-"&amp;TEXT(ROW()-1,"00000"),"")</f>
        <v/>
      </c>
      <c r="B2128" s="14">
        <f>IF(F2128&lt;&gt;"","错误","")</f>
        <v/>
      </c>
      <c r="C2128" s="14">
        <f>IF('06_建筑锚点'!A128&lt;&gt;"","06_建筑锚点","")</f>
        <v/>
      </c>
      <c r="D2128" s="14">
        <f>IF('06_建筑锚点'!A128&lt;&gt;"",'06_建筑锚点'!A128,"")</f>
        <v/>
      </c>
      <c r="E2128" s="14">
        <f>IF(F2128&lt;&gt;"","综合校验","")</f>
        <v/>
      </c>
      <c r="F2128" s="14">
        <f>IF('06_建筑锚点'!A128&lt;&gt;"",IF('06_建筑锚点'!A128="","缺少建筑ID；","")&amp;IF('06_建筑锚点'!B128="","缺少建筑名称；","")&amp;IF('06_建筑锚点'!C128="","缺少建筑类型；","")&amp;IF('06_建筑锚点'!D128="","缺少所属地点ID；","")&amp;IF('06_建筑锚点'!F128="","缺少世界X；","")&amp;IF('06_建筑锚点'!G128="","缺少世界Y；","")&amp;IF(AND('06_建筑锚点'!F128&lt;&gt;"",OR('06_建筑锚点'!F128&lt;0,'06_建筑锚点'!F128&gt;WorldWidth)),"世界X越界；","")&amp;IF(AND('06_建筑锚点'!G128&lt;&gt;"",OR('06_建筑锚点'!G128&lt;0,'06_建筑锚点'!G128&gt;WorldHeight)),"世界Y越界；","")&amp;IF(AND('06_建筑锚点'!D128&lt;&gt;"",COUNTIF('03_地点锚点'!$A$2:$A$501,'06_建筑锚点'!D128)=0),"建筑所属地点不存在；","")&amp;IF(AND('06_建筑锚点'!T128&lt;&gt;"",COUNTIF('07_动态状态'!$A$2:$A$501,'06_建筑锚点'!T128)=0),"运营状态编码不存在；","")&amp;IF(AND('06_建筑锚点'!A128&lt;&gt;"",COUNTIF('06_建筑锚点'!$A$2:$A$501,'06_建筑锚点'!A128)&gt;1),"ID重复；",""),"")</f>
        <v/>
      </c>
      <c r="G2128" s="14">
        <f>IF(F2128&lt;&gt;"","按字段批注、数据字典和来源记录修正后复核","")</f>
        <v/>
      </c>
      <c r="H2128" s="14">
        <f>IF(F2128&lt;&gt;"","待处理","")</f>
        <v/>
      </c>
    </row>
    <row r="2129">
      <c r="A2129" s="14">
        <f>IF(F2129&lt;&gt;"","ISSUE-"&amp;TEXT(ROW()-1,"00000"),"")</f>
        <v/>
      </c>
      <c r="B2129" s="14">
        <f>IF(F2129&lt;&gt;"","错误","")</f>
        <v/>
      </c>
      <c r="C2129" s="14">
        <f>IF('06_建筑锚点'!A129&lt;&gt;"","06_建筑锚点","")</f>
        <v/>
      </c>
      <c r="D2129" s="14">
        <f>IF('06_建筑锚点'!A129&lt;&gt;"",'06_建筑锚点'!A129,"")</f>
        <v/>
      </c>
      <c r="E2129" s="14">
        <f>IF(F2129&lt;&gt;"","综合校验","")</f>
        <v/>
      </c>
      <c r="F2129" s="14">
        <f>IF('06_建筑锚点'!A129&lt;&gt;"",IF('06_建筑锚点'!A129="","缺少建筑ID；","")&amp;IF('06_建筑锚点'!B129="","缺少建筑名称；","")&amp;IF('06_建筑锚点'!C129="","缺少建筑类型；","")&amp;IF('06_建筑锚点'!D129="","缺少所属地点ID；","")&amp;IF('06_建筑锚点'!F129="","缺少世界X；","")&amp;IF('06_建筑锚点'!G129="","缺少世界Y；","")&amp;IF(AND('06_建筑锚点'!F129&lt;&gt;"",OR('06_建筑锚点'!F129&lt;0,'06_建筑锚点'!F129&gt;WorldWidth)),"世界X越界；","")&amp;IF(AND('06_建筑锚点'!G129&lt;&gt;"",OR('06_建筑锚点'!G129&lt;0,'06_建筑锚点'!G129&gt;WorldHeight)),"世界Y越界；","")&amp;IF(AND('06_建筑锚点'!D129&lt;&gt;"",COUNTIF('03_地点锚点'!$A$2:$A$501,'06_建筑锚点'!D129)=0),"建筑所属地点不存在；","")&amp;IF(AND('06_建筑锚点'!T129&lt;&gt;"",COUNTIF('07_动态状态'!$A$2:$A$501,'06_建筑锚点'!T129)=0),"运营状态编码不存在；","")&amp;IF(AND('06_建筑锚点'!A129&lt;&gt;"",COUNTIF('06_建筑锚点'!$A$2:$A$501,'06_建筑锚点'!A129)&gt;1),"ID重复；",""),"")</f>
        <v/>
      </c>
      <c r="G2129" s="14">
        <f>IF(F2129&lt;&gt;"","按字段批注、数据字典和来源记录修正后复核","")</f>
        <v/>
      </c>
      <c r="H2129" s="14">
        <f>IF(F2129&lt;&gt;"","待处理","")</f>
        <v/>
      </c>
    </row>
    <row r="2130">
      <c r="A2130" s="14">
        <f>IF(F2130&lt;&gt;"","ISSUE-"&amp;TEXT(ROW()-1,"00000"),"")</f>
        <v/>
      </c>
      <c r="B2130" s="14">
        <f>IF(F2130&lt;&gt;"","错误","")</f>
        <v/>
      </c>
      <c r="C2130" s="14">
        <f>IF('06_建筑锚点'!A130&lt;&gt;"","06_建筑锚点","")</f>
        <v/>
      </c>
      <c r="D2130" s="14">
        <f>IF('06_建筑锚点'!A130&lt;&gt;"",'06_建筑锚点'!A130,"")</f>
        <v/>
      </c>
      <c r="E2130" s="14">
        <f>IF(F2130&lt;&gt;"","综合校验","")</f>
        <v/>
      </c>
      <c r="F2130" s="14">
        <f>IF('06_建筑锚点'!A130&lt;&gt;"",IF('06_建筑锚点'!A130="","缺少建筑ID；","")&amp;IF('06_建筑锚点'!B130="","缺少建筑名称；","")&amp;IF('06_建筑锚点'!C130="","缺少建筑类型；","")&amp;IF('06_建筑锚点'!D130="","缺少所属地点ID；","")&amp;IF('06_建筑锚点'!F130="","缺少世界X；","")&amp;IF('06_建筑锚点'!G130="","缺少世界Y；","")&amp;IF(AND('06_建筑锚点'!F130&lt;&gt;"",OR('06_建筑锚点'!F130&lt;0,'06_建筑锚点'!F130&gt;WorldWidth)),"世界X越界；","")&amp;IF(AND('06_建筑锚点'!G130&lt;&gt;"",OR('06_建筑锚点'!G130&lt;0,'06_建筑锚点'!G130&gt;WorldHeight)),"世界Y越界；","")&amp;IF(AND('06_建筑锚点'!D130&lt;&gt;"",COUNTIF('03_地点锚点'!$A$2:$A$501,'06_建筑锚点'!D130)=0),"建筑所属地点不存在；","")&amp;IF(AND('06_建筑锚点'!T130&lt;&gt;"",COUNTIF('07_动态状态'!$A$2:$A$501,'06_建筑锚点'!T130)=0),"运营状态编码不存在；","")&amp;IF(AND('06_建筑锚点'!A130&lt;&gt;"",COUNTIF('06_建筑锚点'!$A$2:$A$501,'06_建筑锚点'!A130)&gt;1),"ID重复；",""),"")</f>
        <v/>
      </c>
      <c r="G2130" s="14">
        <f>IF(F2130&lt;&gt;"","按字段批注、数据字典和来源记录修正后复核","")</f>
        <v/>
      </c>
      <c r="H2130" s="14">
        <f>IF(F2130&lt;&gt;"","待处理","")</f>
        <v/>
      </c>
    </row>
    <row r="2131">
      <c r="A2131" s="14">
        <f>IF(F2131&lt;&gt;"","ISSUE-"&amp;TEXT(ROW()-1,"00000"),"")</f>
        <v/>
      </c>
      <c r="B2131" s="14">
        <f>IF(F2131&lt;&gt;"","错误","")</f>
        <v/>
      </c>
      <c r="C2131" s="14">
        <f>IF('06_建筑锚点'!A131&lt;&gt;"","06_建筑锚点","")</f>
        <v/>
      </c>
      <c r="D2131" s="14">
        <f>IF('06_建筑锚点'!A131&lt;&gt;"",'06_建筑锚点'!A131,"")</f>
        <v/>
      </c>
      <c r="E2131" s="14">
        <f>IF(F2131&lt;&gt;"","综合校验","")</f>
        <v/>
      </c>
      <c r="F2131" s="14">
        <f>IF('06_建筑锚点'!A131&lt;&gt;"",IF('06_建筑锚点'!A131="","缺少建筑ID；","")&amp;IF('06_建筑锚点'!B131="","缺少建筑名称；","")&amp;IF('06_建筑锚点'!C131="","缺少建筑类型；","")&amp;IF('06_建筑锚点'!D131="","缺少所属地点ID；","")&amp;IF('06_建筑锚点'!F131="","缺少世界X；","")&amp;IF('06_建筑锚点'!G131="","缺少世界Y；","")&amp;IF(AND('06_建筑锚点'!F131&lt;&gt;"",OR('06_建筑锚点'!F131&lt;0,'06_建筑锚点'!F131&gt;WorldWidth)),"世界X越界；","")&amp;IF(AND('06_建筑锚点'!G131&lt;&gt;"",OR('06_建筑锚点'!G131&lt;0,'06_建筑锚点'!G131&gt;WorldHeight)),"世界Y越界；","")&amp;IF(AND('06_建筑锚点'!D131&lt;&gt;"",COUNTIF('03_地点锚点'!$A$2:$A$501,'06_建筑锚点'!D131)=0),"建筑所属地点不存在；","")&amp;IF(AND('06_建筑锚点'!T131&lt;&gt;"",COUNTIF('07_动态状态'!$A$2:$A$501,'06_建筑锚点'!T131)=0),"运营状态编码不存在；","")&amp;IF(AND('06_建筑锚点'!A131&lt;&gt;"",COUNTIF('06_建筑锚点'!$A$2:$A$501,'06_建筑锚点'!A131)&gt;1),"ID重复；",""),"")</f>
        <v/>
      </c>
      <c r="G2131" s="14">
        <f>IF(F2131&lt;&gt;"","按字段批注、数据字典和来源记录修正后复核","")</f>
        <v/>
      </c>
      <c r="H2131" s="14">
        <f>IF(F2131&lt;&gt;"","待处理","")</f>
        <v/>
      </c>
    </row>
    <row r="2132">
      <c r="A2132" s="14">
        <f>IF(F2132&lt;&gt;"","ISSUE-"&amp;TEXT(ROW()-1,"00000"),"")</f>
        <v/>
      </c>
      <c r="B2132" s="14">
        <f>IF(F2132&lt;&gt;"","错误","")</f>
        <v/>
      </c>
      <c r="C2132" s="14">
        <f>IF('06_建筑锚点'!A132&lt;&gt;"","06_建筑锚点","")</f>
        <v/>
      </c>
      <c r="D2132" s="14">
        <f>IF('06_建筑锚点'!A132&lt;&gt;"",'06_建筑锚点'!A132,"")</f>
        <v/>
      </c>
      <c r="E2132" s="14">
        <f>IF(F2132&lt;&gt;"","综合校验","")</f>
        <v/>
      </c>
      <c r="F2132" s="14">
        <f>IF('06_建筑锚点'!A132&lt;&gt;"",IF('06_建筑锚点'!A132="","缺少建筑ID；","")&amp;IF('06_建筑锚点'!B132="","缺少建筑名称；","")&amp;IF('06_建筑锚点'!C132="","缺少建筑类型；","")&amp;IF('06_建筑锚点'!D132="","缺少所属地点ID；","")&amp;IF('06_建筑锚点'!F132="","缺少世界X；","")&amp;IF('06_建筑锚点'!G132="","缺少世界Y；","")&amp;IF(AND('06_建筑锚点'!F132&lt;&gt;"",OR('06_建筑锚点'!F132&lt;0,'06_建筑锚点'!F132&gt;WorldWidth)),"世界X越界；","")&amp;IF(AND('06_建筑锚点'!G132&lt;&gt;"",OR('06_建筑锚点'!G132&lt;0,'06_建筑锚点'!G132&gt;WorldHeight)),"世界Y越界；","")&amp;IF(AND('06_建筑锚点'!D132&lt;&gt;"",COUNTIF('03_地点锚点'!$A$2:$A$501,'06_建筑锚点'!D132)=0),"建筑所属地点不存在；","")&amp;IF(AND('06_建筑锚点'!T132&lt;&gt;"",COUNTIF('07_动态状态'!$A$2:$A$501,'06_建筑锚点'!T132)=0),"运营状态编码不存在；","")&amp;IF(AND('06_建筑锚点'!A132&lt;&gt;"",COUNTIF('06_建筑锚点'!$A$2:$A$501,'06_建筑锚点'!A132)&gt;1),"ID重复；",""),"")</f>
        <v/>
      </c>
      <c r="G2132" s="14">
        <f>IF(F2132&lt;&gt;"","按字段批注、数据字典和来源记录修正后复核","")</f>
        <v/>
      </c>
      <c r="H2132" s="14">
        <f>IF(F2132&lt;&gt;"","待处理","")</f>
        <v/>
      </c>
    </row>
    <row r="2133">
      <c r="A2133" s="14">
        <f>IF(F2133&lt;&gt;"","ISSUE-"&amp;TEXT(ROW()-1,"00000"),"")</f>
        <v/>
      </c>
      <c r="B2133" s="14">
        <f>IF(F2133&lt;&gt;"","错误","")</f>
        <v/>
      </c>
      <c r="C2133" s="14">
        <f>IF('06_建筑锚点'!A133&lt;&gt;"","06_建筑锚点","")</f>
        <v/>
      </c>
      <c r="D2133" s="14">
        <f>IF('06_建筑锚点'!A133&lt;&gt;"",'06_建筑锚点'!A133,"")</f>
        <v/>
      </c>
      <c r="E2133" s="14">
        <f>IF(F2133&lt;&gt;"","综合校验","")</f>
        <v/>
      </c>
      <c r="F2133" s="14">
        <f>IF('06_建筑锚点'!A133&lt;&gt;"",IF('06_建筑锚点'!A133="","缺少建筑ID；","")&amp;IF('06_建筑锚点'!B133="","缺少建筑名称；","")&amp;IF('06_建筑锚点'!C133="","缺少建筑类型；","")&amp;IF('06_建筑锚点'!D133="","缺少所属地点ID；","")&amp;IF('06_建筑锚点'!F133="","缺少世界X；","")&amp;IF('06_建筑锚点'!G133="","缺少世界Y；","")&amp;IF(AND('06_建筑锚点'!F133&lt;&gt;"",OR('06_建筑锚点'!F133&lt;0,'06_建筑锚点'!F133&gt;WorldWidth)),"世界X越界；","")&amp;IF(AND('06_建筑锚点'!G133&lt;&gt;"",OR('06_建筑锚点'!G133&lt;0,'06_建筑锚点'!G133&gt;WorldHeight)),"世界Y越界；","")&amp;IF(AND('06_建筑锚点'!D133&lt;&gt;"",COUNTIF('03_地点锚点'!$A$2:$A$501,'06_建筑锚点'!D133)=0),"建筑所属地点不存在；","")&amp;IF(AND('06_建筑锚点'!T133&lt;&gt;"",COUNTIF('07_动态状态'!$A$2:$A$501,'06_建筑锚点'!T133)=0),"运营状态编码不存在；","")&amp;IF(AND('06_建筑锚点'!A133&lt;&gt;"",COUNTIF('06_建筑锚点'!$A$2:$A$501,'06_建筑锚点'!A133)&gt;1),"ID重复；",""),"")</f>
        <v/>
      </c>
      <c r="G2133" s="14">
        <f>IF(F2133&lt;&gt;"","按字段批注、数据字典和来源记录修正后复核","")</f>
        <v/>
      </c>
      <c r="H2133" s="14">
        <f>IF(F2133&lt;&gt;"","待处理","")</f>
        <v/>
      </c>
    </row>
    <row r="2134">
      <c r="A2134" s="14">
        <f>IF(F2134&lt;&gt;"","ISSUE-"&amp;TEXT(ROW()-1,"00000"),"")</f>
        <v/>
      </c>
      <c r="B2134" s="14">
        <f>IF(F2134&lt;&gt;"","错误","")</f>
        <v/>
      </c>
      <c r="C2134" s="14">
        <f>IF('06_建筑锚点'!A134&lt;&gt;"","06_建筑锚点","")</f>
        <v/>
      </c>
      <c r="D2134" s="14">
        <f>IF('06_建筑锚点'!A134&lt;&gt;"",'06_建筑锚点'!A134,"")</f>
        <v/>
      </c>
      <c r="E2134" s="14">
        <f>IF(F2134&lt;&gt;"","综合校验","")</f>
        <v/>
      </c>
      <c r="F2134" s="14">
        <f>IF('06_建筑锚点'!A134&lt;&gt;"",IF('06_建筑锚点'!A134="","缺少建筑ID；","")&amp;IF('06_建筑锚点'!B134="","缺少建筑名称；","")&amp;IF('06_建筑锚点'!C134="","缺少建筑类型；","")&amp;IF('06_建筑锚点'!D134="","缺少所属地点ID；","")&amp;IF('06_建筑锚点'!F134="","缺少世界X；","")&amp;IF('06_建筑锚点'!G134="","缺少世界Y；","")&amp;IF(AND('06_建筑锚点'!F134&lt;&gt;"",OR('06_建筑锚点'!F134&lt;0,'06_建筑锚点'!F134&gt;WorldWidth)),"世界X越界；","")&amp;IF(AND('06_建筑锚点'!G134&lt;&gt;"",OR('06_建筑锚点'!G134&lt;0,'06_建筑锚点'!G134&gt;WorldHeight)),"世界Y越界；","")&amp;IF(AND('06_建筑锚点'!D134&lt;&gt;"",COUNTIF('03_地点锚点'!$A$2:$A$501,'06_建筑锚点'!D134)=0),"建筑所属地点不存在；","")&amp;IF(AND('06_建筑锚点'!T134&lt;&gt;"",COUNTIF('07_动态状态'!$A$2:$A$501,'06_建筑锚点'!T134)=0),"运营状态编码不存在；","")&amp;IF(AND('06_建筑锚点'!A134&lt;&gt;"",COUNTIF('06_建筑锚点'!$A$2:$A$501,'06_建筑锚点'!A134)&gt;1),"ID重复；",""),"")</f>
        <v/>
      </c>
      <c r="G2134" s="14">
        <f>IF(F2134&lt;&gt;"","按字段批注、数据字典和来源记录修正后复核","")</f>
        <v/>
      </c>
      <c r="H2134" s="14">
        <f>IF(F2134&lt;&gt;"","待处理","")</f>
        <v/>
      </c>
    </row>
    <row r="2135">
      <c r="A2135" s="14">
        <f>IF(F2135&lt;&gt;"","ISSUE-"&amp;TEXT(ROW()-1,"00000"),"")</f>
        <v/>
      </c>
      <c r="B2135" s="14">
        <f>IF(F2135&lt;&gt;"","错误","")</f>
        <v/>
      </c>
      <c r="C2135" s="14">
        <f>IF('06_建筑锚点'!A135&lt;&gt;"","06_建筑锚点","")</f>
        <v/>
      </c>
      <c r="D2135" s="14">
        <f>IF('06_建筑锚点'!A135&lt;&gt;"",'06_建筑锚点'!A135,"")</f>
        <v/>
      </c>
      <c r="E2135" s="14">
        <f>IF(F2135&lt;&gt;"","综合校验","")</f>
        <v/>
      </c>
      <c r="F2135" s="14">
        <f>IF('06_建筑锚点'!A135&lt;&gt;"",IF('06_建筑锚点'!A135="","缺少建筑ID；","")&amp;IF('06_建筑锚点'!B135="","缺少建筑名称；","")&amp;IF('06_建筑锚点'!C135="","缺少建筑类型；","")&amp;IF('06_建筑锚点'!D135="","缺少所属地点ID；","")&amp;IF('06_建筑锚点'!F135="","缺少世界X；","")&amp;IF('06_建筑锚点'!G135="","缺少世界Y；","")&amp;IF(AND('06_建筑锚点'!F135&lt;&gt;"",OR('06_建筑锚点'!F135&lt;0,'06_建筑锚点'!F135&gt;WorldWidth)),"世界X越界；","")&amp;IF(AND('06_建筑锚点'!G135&lt;&gt;"",OR('06_建筑锚点'!G135&lt;0,'06_建筑锚点'!G135&gt;WorldHeight)),"世界Y越界；","")&amp;IF(AND('06_建筑锚点'!D135&lt;&gt;"",COUNTIF('03_地点锚点'!$A$2:$A$501,'06_建筑锚点'!D135)=0),"建筑所属地点不存在；","")&amp;IF(AND('06_建筑锚点'!T135&lt;&gt;"",COUNTIF('07_动态状态'!$A$2:$A$501,'06_建筑锚点'!T135)=0),"运营状态编码不存在；","")&amp;IF(AND('06_建筑锚点'!A135&lt;&gt;"",COUNTIF('06_建筑锚点'!$A$2:$A$501,'06_建筑锚点'!A135)&gt;1),"ID重复；",""),"")</f>
        <v/>
      </c>
      <c r="G2135" s="14">
        <f>IF(F2135&lt;&gt;"","按字段批注、数据字典和来源记录修正后复核","")</f>
        <v/>
      </c>
      <c r="H2135" s="14">
        <f>IF(F2135&lt;&gt;"","待处理","")</f>
        <v/>
      </c>
    </row>
    <row r="2136">
      <c r="A2136" s="14">
        <f>IF(F2136&lt;&gt;"","ISSUE-"&amp;TEXT(ROW()-1,"00000"),"")</f>
        <v/>
      </c>
      <c r="B2136" s="14">
        <f>IF(F2136&lt;&gt;"","错误","")</f>
        <v/>
      </c>
      <c r="C2136" s="14">
        <f>IF('06_建筑锚点'!A136&lt;&gt;"","06_建筑锚点","")</f>
        <v/>
      </c>
      <c r="D2136" s="14">
        <f>IF('06_建筑锚点'!A136&lt;&gt;"",'06_建筑锚点'!A136,"")</f>
        <v/>
      </c>
      <c r="E2136" s="14">
        <f>IF(F2136&lt;&gt;"","综合校验","")</f>
        <v/>
      </c>
      <c r="F2136" s="14">
        <f>IF('06_建筑锚点'!A136&lt;&gt;"",IF('06_建筑锚点'!A136="","缺少建筑ID；","")&amp;IF('06_建筑锚点'!B136="","缺少建筑名称；","")&amp;IF('06_建筑锚点'!C136="","缺少建筑类型；","")&amp;IF('06_建筑锚点'!D136="","缺少所属地点ID；","")&amp;IF('06_建筑锚点'!F136="","缺少世界X；","")&amp;IF('06_建筑锚点'!G136="","缺少世界Y；","")&amp;IF(AND('06_建筑锚点'!F136&lt;&gt;"",OR('06_建筑锚点'!F136&lt;0,'06_建筑锚点'!F136&gt;WorldWidth)),"世界X越界；","")&amp;IF(AND('06_建筑锚点'!G136&lt;&gt;"",OR('06_建筑锚点'!G136&lt;0,'06_建筑锚点'!G136&gt;WorldHeight)),"世界Y越界；","")&amp;IF(AND('06_建筑锚点'!D136&lt;&gt;"",COUNTIF('03_地点锚点'!$A$2:$A$501,'06_建筑锚点'!D136)=0),"建筑所属地点不存在；","")&amp;IF(AND('06_建筑锚点'!T136&lt;&gt;"",COUNTIF('07_动态状态'!$A$2:$A$501,'06_建筑锚点'!T136)=0),"运营状态编码不存在；","")&amp;IF(AND('06_建筑锚点'!A136&lt;&gt;"",COUNTIF('06_建筑锚点'!$A$2:$A$501,'06_建筑锚点'!A136)&gt;1),"ID重复；",""),"")</f>
        <v/>
      </c>
      <c r="G2136" s="14">
        <f>IF(F2136&lt;&gt;"","按字段批注、数据字典和来源记录修正后复核","")</f>
        <v/>
      </c>
      <c r="H2136" s="14">
        <f>IF(F2136&lt;&gt;"","待处理","")</f>
        <v/>
      </c>
    </row>
    <row r="2137">
      <c r="A2137" s="14">
        <f>IF(F2137&lt;&gt;"","ISSUE-"&amp;TEXT(ROW()-1,"00000"),"")</f>
        <v/>
      </c>
      <c r="B2137" s="14">
        <f>IF(F2137&lt;&gt;"","错误","")</f>
        <v/>
      </c>
      <c r="C2137" s="14">
        <f>IF('06_建筑锚点'!A137&lt;&gt;"","06_建筑锚点","")</f>
        <v/>
      </c>
      <c r="D2137" s="14">
        <f>IF('06_建筑锚点'!A137&lt;&gt;"",'06_建筑锚点'!A137,"")</f>
        <v/>
      </c>
      <c r="E2137" s="14">
        <f>IF(F2137&lt;&gt;"","综合校验","")</f>
        <v/>
      </c>
      <c r="F2137" s="14">
        <f>IF('06_建筑锚点'!A137&lt;&gt;"",IF('06_建筑锚点'!A137="","缺少建筑ID；","")&amp;IF('06_建筑锚点'!B137="","缺少建筑名称；","")&amp;IF('06_建筑锚点'!C137="","缺少建筑类型；","")&amp;IF('06_建筑锚点'!D137="","缺少所属地点ID；","")&amp;IF('06_建筑锚点'!F137="","缺少世界X；","")&amp;IF('06_建筑锚点'!G137="","缺少世界Y；","")&amp;IF(AND('06_建筑锚点'!F137&lt;&gt;"",OR('06_建筑锚点'!F137&lt;0,'06_建筑锚点'!F137&gt;WorldWidth)),"世界X越界；","")&amp;IF(AND('06_建筑锚点'!G137&lt;&gt;"",OR('06_建筑锚点'!G137&lt;0,'06_建筑锚点'!G137&gt;WorldHeight)),"世界Y越界；","")&amp;IF(AND('06_建筑锚点'!D137&lt;&gt;"",COUNTIF('03_地点锚点'!$A$2:$A$501,'06_建筑锚点'!D137)=0),"建筑所属地点不存在；","")&amp;IF(AND('06_建筑锚点'!T137&lt;&gt;"",COUNTIF('07_动态状态'!$A$2:$A$501,'06_建筑锚点'!T137)=0),"运营状态编码不存在；","")&amp;IF(AND('06_建筑锚点'!A137&lt;&gt;"",COUNTIF('06_建筑锚点'!$A$2:$A$501,'06_建筑锚点'!A137)&gt;1),"ID重复；",""),"")</f>
        <v/>
      </c>
      <c r="G2137" s="14">
        <f>IF(F2137&lt;&gt;"","按字段批注、数据字典和来源记录修正后复核","")</f>
        <v/>
      </c>
      <c r="H2137" s="14">
        <f>IF(F2137&lt;&gt;"","待处理","")</f>
        <v/>
      </c>
    </row>
    <row r="2138">
      <c r="A2138" s="14">
        <f>IF(F2138&lt;&gt;"","ISSUE-"&amp;TEXT(ROW()-1,"00000"),"")</f>
        <v/>
      </c>
      <c r="B2138" s="14">
        <f>IF(F2138&lt;&gt;"","错误","")</f>
        <v/>
      </c>
      <c r="C2138" s="14">
        <f>IF('06_建筑锚点'!A138&lt;&gt;"","06_建筑锚点","")</f>
        <v/>
      </c>
      <c r="D2138" s="14">
        <f>IF('06_建筑锚点'!A138&lt;&gt;"",'06_建筑锚点'!A138,"")</f>
        <v/>
      </c>
      <c r="E2138" s="14">
        <f>IF(F2138&lt;&gt;"","综合校验","")</f>
        <v/>
      </c>
      <c r="F2138" s="14">
        <f>IF('06_建筑锚点'!A138&lt;&gt;"",IF('06_建筑锚点'!A138="","缺少建筑ID；","")&amp;IF('06_建筑锚点'!B138="","缺少建筑名称；","")&amp;IF('06_建筑锚点'!C138="","缺少建筑类型；","")&amp;IF('06_建筑锚点'!D138="","缺少所属地点ID；","")&amp;IF('06_建筑锚点'!F138="","缺少世界X；","")&amp;IF('06_建筑锚点'!G138="","缺少世界Y；","")&amp;IF(AND('06_建筑锚点'!F138&lt;&gt;"",OR('06_建筑锚点'!F138&lt;0,'06_建筑锚点'!F138&gt;WorldWidth)),"世界X越界；","")&amp;IF(AND('06_建筑锚点'!G138&lt;&gt;"",OR('06_建筑锚点'!G138&lt;0,'06_建筑锚点'!G138&gt;WorldHeight)),"世界Y越界；","")&amp;IF(AND('06_建筑锚点'!D138&lt;&gt;"",COUNTIF('03_地点锚点'!$A$2:$A$501,'06_建筑锚点'!D138)=0),"建筑所属地点不存在；","")&amp;IF(AND('06_建筑锚点'!T138&lt;&gt;"",COUNTIF('07_动态状态'!$A$2:$A$501,'06_建筑锚点'!T138)=0),"运营状态编码不存在；","")&amp;IF(AND('06_建筑锚点'!A138&lt;&gt;"",COUNTIF('06_建筑锚点'!$A$2:$A$501,'06_建筑锚点'!A138)&gt;1),"ID重复；",""),"")</f>
        <v/>
      </c>
      <c r="G2138" s="14">
        <f>IF(F2138&lt;&gt;"","按字段批注、数据字典和来源记录修正后复核","")</f>
        <v/>
      </c>
      <c r="H2138" s="14">
        <f>IF(F2138&lt;&gt;"","待处理","")</f>
        <v/>
      </c>
    </row>
    <row r="2139">
      <c r="A2139" s="14">
        <f>IF(F2139&lt;&gt;"","ISSUE-"&amp;TEXT(ROW()-1,"00000"),"")</f>
        <v/>
      </c>
      <c r="B2139" s="14">
        <f>IF(F2139&lt;&gt;"","错误","")</f>
        <v/>
      </c>
      <c r="C2139" s="14">
        <f>IF('06_建筑锚点'!A139&lt;&gt;"","06_建筑锚点","")</f>
        <v/>
      </c>
      <c r="D2139" s="14">
        <f>IF('06_建筑锚点'!A139&lt;&gt;"",'06_建筑锚点'!A139,"")</f>
        <v/>
      </c>
      <c r="E2139" s="14">
        <f>IF(F2139&lt;&gt;"","综合校验","")</f>
        <v/>
      </c>
      <c r="F2139" s="14">
        <f>IF('06_建筑锚点'!A139&lt;&gt;"",IF('06_建筑锚点'!A139="","缺少建筑ID；","")&amp;IF('06_建筑锚点'!B139="","缺少建筑名称；","")&amp;IF('06_建筑锚点'!C139="","缺少建筑类型；","")&amp;IF('06_建筑锚点'!D139="","缺少所属地点ID；","")&amp;IF('06_建筑锚点'!F139="","缺少世界X；","")&amp;IF('06_建筑锚点'!G139="","缺少世界Y；","")&amp;IF(AND('06_建筑锚点'!F139&lt;&gt;"",OR('06_建筑锚点'!F139&lt;0,'06_建筑锚点'!F139&gt;WorldWidth)),"世界X越界；","")&amp;IF(AND('06_建筑锚点'!G139&lt;&gt;"",OR('06_建筑锚点'!G139&lt;0,'06_建筑锚点'!G139&gt;WorldHeight)),"世界Y越界；","")&amp;IF(AND('06_建筑锚点'!D139&lt;&gt;"",COUNTIF('03_地点锚点'!$A$2:$A$501,'06_建筑锚点'!D139)=0),"建筑所属地点不存在；","")&amp;IF(AND('06_建筑锚点'!T139&lt;&gt;"",COUNTIF('07_动态状态'!$A$2:$A$501,'06_建筑锚点'!T139)=0),"运营状态编码不存在；","")&amp;IF(AND('06_建筑锚点'!A139&lt;&gt;"",COUNTIF('06_建筑锚点'!$A$2:$A$501,'06_建筑锚点'!A139)&gt;1),"ID重复；",""),"")</f>
        <v/>
      </c>
      <c r="G2139" s="14">
        <f>IF(F2139&lt;&gt;"","按字段批注、数据字典和来源记录修正后复核","")</f>
        <v/>
      </c>
      <c r="H2139" s="14">
        <f>IF(F2139&lt;&gt;"","待处理","")</f>
        <v/>
      </c>
    </row>
    <row r="2140">
      <c r="A2140" s="14">
        <f>IF(F2140&lt;&gt;"","ISSUE-"&amp;TEXT(ROW()-1,"00000"),"")</f>
        <v/>
      </c>
      <c r="B2140" s="14">
        <f>IF(F2140&lt;&gt;"","错误","")</f>
        <v/>
      </c>
      <c r="C2140" s="14">
        <f>IF('06_建筑锚点'!A140&lt;&gt;"","06_建筑锚点","")</f>
        <v/>
      </c>
      <c r="D2140" s="14">
        <f>IF('06_建筑锚点'!A140&lt;&gt;"",'06_建筑锚点'!A140,"")</f>
        <v/>
      </c>
      <c r="E2140" s="14">
        <f>IF(F2140&lt;&gt;"","综合校验","")</f>
        <v/>
      </c>
      <c r="F2140" s="14">
        <f>IF('06_建筑锚点'!A140&lt;&gt;"",IF('06_建筑锚点'!A140="","缺少建筑ID；","")&amp;IF('06_建筑锚点'!B140="","缺少建筑名称；","")&amp;IF('06_建筑锚点'!C140="","缺少建筑类型；","")&amp;IF('06_建筑锚点'!D140="","缺少所属地点ID；","")&amp;IF('06_建筑锚点'!F140="","缺少世界X；","")&amp;IF('06_建筑锚点'!G140="","缺少世界Y；","")&amp;IF(AND('06_建筑锚点'!F140&lt;&gt;"",OR('06_建筑锚点'!F140&lt;0,'06_建筑锚点'!F140&gt;WorldWidth)),"世界X越界；","")&amp;IF(AND('06_建筑锚点'!G140&lt;&gt;"",OR('06_建筑锚点'!G140&lt;0,'06_建筑锚点'!G140&gt;WorldHeight)),"世界Y越界；","")&amp;IF(AND('06_建筑锚点'!D140&lt;&gt;"",COUNTIF('03_地点锚点'!$A$2:$A$501,'06_建筑锚点'!D140)=0),"建筑所属地点不存在；","")&amp;IF(AND('06_建筑锚点'!T140&lt;&gt;"",COUNTIF('07_动态状态'!$A$2:$A$501,'06_建筑锚点'!T140)=0),"运营状态编码不存在；","")&amp;IF(AND('06_建筑锚点'!A140&lt;&gt;"",COUNTIF('06_建筑锚点'!$A$2:$A$501,'06_建筑锚点'!A140)&gt;1),"ID重复；",""),"")</f>
        <v/>
      </c>
      <c r="G2140" s="14">
        <f>IF(F2140&lt;&gt;"","按字段批注、数据字典和来源记录修正后复核","")</f>
        <v/>
      </c>
      <c r="H2140" s="14">
        <f>IF(F2140&lt;&gt;"","待处理","")</f>
        <v/>
      </c>
    </row>
    <row r="2141">
      <c r="A2141" s="14">
        <f>IF(F2141&lt;&gt;"","ISSUE-"&amp;TEXT(ROW()-1,"00000"),"")</f>
        <v/>
      </c>
      <c r="B2141" s="14">
        <f>IF(F2141&lt;&gt;"","错误","")</f>
        <v/>
      </c>
      <c r="C2141" s="14">
        <f>IF('06_建筑锚点'!A141&lt;&gt;"","06_建筑锚点","")</f>
        <v/>
      </c>
      <c r="D2141" s="14">
        <f>IF('06_建筑锚点'!A141&lt;&gt;"",'06_建筑锚点'!A141,"")</f>
        <v/>
      </c>
      <c r="E2141" s="14">
        <f>IF(F2141&lt;&gt;"","综合校验","")</f>
        <v/>
      </c>
      <c r="F2141" s="14">
        <f>IF('06_建筑锚点'!A141&lt;&gt;"",IF('06_建筑锚点'!A141="","缺少建筑ID；","")&amp;IF('06_建筑锚点'!B141="","缺少建筑名称；","")&amp;IF('06_建筑锚点'!C141="","缺少建筑类型；","")&amp;IF('06_建筑锚点'!D141="","缺少所属地点ID；","")&amp;IF('06_建筑锚点'!F141="","缺少世界X；","")&amp;IF('06_建筑锚点'!G141="","缺少世界Y；","")&amp;IF(AND('06_建筑锚点'!F141&lt;&gt;"",OR('06_建筑锚点'!F141&lt;0,'06_建筑锚点'!F141&gt;WorldWidth)),"世界X越界；","")&amp;IF(AND('06_建筑锚点'!G141&lt;&gt;"",OR('06_建筑锚点'!G141&lt;0,'06_建筑锚点'!G141&gt;WorldHeight)),"世界Y越界；","")&amp;IF(AND('06_建筑锚点'!D141&lt;&gt;"",COUNTIF('03_地点锚点'!$A$2:$A$501,'06_建筑锚点'!D141)=0),"建筑所属地点不存在；","")&amp;IF(AND('06_建筑锚点'!T141&lt;&gt;"",COUNTIF('07_动态状态'!$A$2:$A$501,'06_建筑锚点'!T141)=0),"运营状态编码不存在；","")&amp;IF(AND('06_建筑锚点'!A141&lt;&gt;"",COUNTIF('06_建筑锚点'!$A$2:$A$501,'06_建筑锚点'!A141)&gt;1),"ID重复；",""),"")</f>
        <v/>
      </c>
      <c r="G2141" s="14">
        <f>IF(F2141&lt;&gt;"","按字段批注、数据字典和来源记录修正后复核","")</f>
        <v/>
      </c>
      <c r="H2141" s="14">
        <f>IF(F2141&lt;&gt;"","待处理","")</f>
        <v/>
      </c>
    </row>
    <row r="2142">
      <c r="A2142" s="14">
        <f>IF(F2142&lt;&gt;"","ISSUE-"&amp;TEXT(ROW()-1,"00000"),"")</f>
        <v/>
      </c>
      <c r="B2142" s="14">
        <f>IF(F2142&lt;&gt;"","错误","")</f>
        <v/>
      </c>
      <c r="C2142" s="14">
        <f>IF('06_建筑锚点'!A142&lt;&gt;"","06_建筑锚点","")</f>
        <v/>
      </c>
      <c r="D2142" s="14">
        <f>IF('06_建筑锚点'!A142&lt;&gt;"",'06_建筑锚点'!A142,"")</f>
        <v/>
      </c>
      <c r="E2142" s="14">
        <f>IF(F2142&lt;&gt;"","综合校验","")</f>
        <v/>
      </c>
      <c r="F2142" s="14">
        <f>IF('06_建筑锚点'!A142&lt;&gt;"",IF('06_建筑锚点'!A142="","缺少建筑ID；","")&amp;IF('06_建筑锚点'!B142="","缺少建筑名称；","")&amp;IF('06_建筑锚点'!C142="","缺少建筑类型；","")&amp;IF('06_建筑锚点'!D142="","缺少所属地点ID；","")&amp;IF('06_建筑锚点'!F142="","缺少世界X；","")&amp;IF('06_建筑锚点'!G142="","缺少世界Y；","")&amp;IF(AND('06_建筑锚点'!F142&lt;&gt;"",OR('06_建筑锚点'!F142&lt;0,'06_建筑锚点'!F142&gt;WorldWidth)),"世界X越界；","")&amp;IF(AND('06_建筑锚点'!G142&lt;&gt;"",OR('06_建筑锚点'!G142&lt;0,'06_建筑锚点'!G142&gt;WorldHeight)),"世界Y越界；","")&amp;IF(AND('06_建筑锚点'!D142&lt;&gt;"",COUNTIF('03_地点锚点'!$A$2:$A$501,'06_建筑锚点'!D142)=0),"建筑所属地点不存在；","")&amp;IF(AND('06_建筑锚点'!T142&lt;&gt;"",COUNTIF('07_动态状态'!$A$2:$A$501,'06_建筑锚点'!T142)=0),"运营状态编码不存在；","")&amp;IF(AND('06_建筑锚点'!A142&lt;&gt;"",COUNTIF('06_建筑锚点'!$A$2:$A$501,'06_建筑锚点'!A142)&gt;1),"ID重复；",""),"")</f>
        <v/>
      </c>
      <c r="G2142" s="14">
        <f>IF(F2142&lt;&gt;"","按字段批注、数据字典和来源记录修正后复核","")</f>
        <v/>
      </c>
      <c r="H2142" s="14">
        <f>IF(F2142&lt;&gt;"","待处理","")</f>
        <v/>
      </c>
    </row>
    <row r="2143">
      <c r="A2143" s="14">
        <f>IF(F2143&lt;&gt;"","ISSUE-"&amp;TEXT(ROW()-1,"00000"),"")</f>
        <v/>
      </c>
      <c r="B2143" s="14">
        <f>IF(F2143&lt;&gt;"","错误","")</f>
        <v/>
      </c>
      <c r="C2143" s="14">
        <f>IF('06_建筑锚点'!A143&lt;&gt;"","06_建筑锚点","")</f>
        <v/>
      </c>
      <c r="D2143" s="14">
        <f>IF('06_建筑锚点'!A143&lt;&gt;"",'06_建筑锚点'!A143,"")</f>
        <v/>
      </c>
      <c r="E2143" s="14">
        <f>IF(F2143&lt;&gt;"","综合校验","")</f>
        <v/>
      </c>
      <c r="F2143" s="14">
        <f>IF('06_建筑锚点'!A143&lt;&gt;"",IF('06_建筑锚点'!A143="","缺少建筑ID；","")&amp;IF('06_建筑锚点'!B143="","缺少建筑名称；","")&amp;IF('06_建筑锚点'!C143="","缺少建筑类型；","")&amp;IF('06_建筑锚点'!D143="","缺少所属地点ID；","")&amp;IF('06_建筑锚点'!F143="","缺少世界X；","")&amp;IF('06_建筑锚点'!G143="","缺少世界Y；","")&amp;IF(AND('06_建筑锚点'!F143&lt;&gt;"",OR('06_建筑锚点'!F143&lt;0,'06_建筑锚点'!F143&gt;WorldWidth)),"世界X越界；","")&amp;IF(AND('06_建筑锚点'!G143&lt;&gt;"",OR('06_建筑锚点'!G143&lt;0,'06_建筑锚点'!G143&gt;WorldHeight)),"世界Y越界；","")&amp;IF(AND('06_建筑锚点'!D143&lt;&gt;"",COUNTIF('03_地点锚点'!$A$2:$A$501,'06_建筑锚点'!D143)=0),"建筑所属地点不存在；","")&amp;IF(AND('06_建筑锚点'!T143&lt;&gt;"",COUNTIF('07_动态状态'!$A$2:$A$501,'06_建筑锚点'!T143)=0),"运营状态编码不存在；","")&amp;IF(AND('06_建筑锚点'!A143&lt;&gt;"",COUNTIF('06_建筑锚点'!$A$2:$A$501,'06_建筑锚点'!A143)&gt;1),"ID重复；",""),"")</f>
        <v/>
      </c>
      <c r="G2143" s="14">
        <f>IF(F2143&lt;&gt;"","按字段批注、数据字典和来源记录修正后复核","")</f>
        <v/>
      </c>
      <c r="H2143" s="14">
        <f>IF(F2143&lt;&gt;"","待处理","")</f>
        <v/>
      </c>
    </row>
    <row r="2144">
      <c r="A2144" s="14">
        <f>IF(F2144&lt;&gt;"","ISSUE-"&amp;TEXT(ROW()-1,"00000"),"")</f>
        <v/>
      </c>
      <c r="B2144" s="14">
        <f>IF(F2144&lt;&gt;"","错误","")</f>
        <v/>
      </c>
      <c r="C2144" s="14">
        <f>IF('06_建筑锚点'!A144&lt;&gt;"","06_建筑锚点","")</f>
        <v/>
      </c>
      <c r="D2144" s="14">
        <f>IF('06_建筑锚点'!A144&lt;&gt;"",'06_建筑锚点'!A144,"")</f>
        <v/>
      </c>
      <c r="E2144" s="14">
        <f>IF(F2144&lt;&gt;"","综合校验","")</f>
        <v/>
      </c>
      <c r="F2144" s="14">
        <f>IF('06_建筑锚点'!A144&lt;&gt;"",IF('06_建筑锚点'!A144="","缺少建筑ID；","")&amp;IF('06_建筑锚点'!B144="","缺少建筑名称；","")&amp;IF('06_建筑锚点'!C144="","缺少建筑类型；","")&amp;IF('06_建筑锚点'!D144="","缺少所属地点ID；","")&amp;IF('06_建筑锚点'!F144="","缺少世界X；","")&amp;IF('06_建筑锚点'!G144="","缺少世界Y；","")&amp;IF(AND('06_建筑锚点'!F144&lt;&gt;"",OR('06_建筑锚点'!F144&lt;0,'06_建筑锚点'!F144&gt;WorldWidth)),"世界X越界；","")&amp;IF(AND('06_建筑锚点'!G144&lt;&gt;"",OR('06_建筑锚点'!G144&lt;0,'06_建筑锚点'!G144&gt;WorldHeight)),"世界Y越界；","")&amp;IF(AND('06_建筑锚点'!D144&lt;&gt;"",COUNTIF('03_地点锚点'!$A$2:$A$501,'06_建筑锚点'!D144)=0),"建筑所属地点不存在；","")&amp;IF(AND('06_建筑锚点'!T144&lt;&gt;"",COUNTIF('07_动态状态'!$A$2:$A$501,'06_建筑锚点'!T144)=0),"运营状态编码不存在；","")&amp;IF(AND('06_建筑锚点'!A144&lt;&gt;"",COUNTIF('06_建筑锚点'!$A$2:$A$501,'06_建筑锚点'!A144)&gt;1),"ID重复；",""),"")</f>
        <v/>
      </c>
      <c r="G2144" s="14">
        <f>IF(F2144&lt;&gt;"","按字段批注、数据字典和来源记录修正后复核","")</f>
        <v/>
      </c>
      <c r="H2144" s="14">
        <f>IF(F2144&lt;&gt;"","待处理","")</f>
        <v/>
      </c>
    </row>
    <row r="2145">
      <c r="A2145" s="14">
        <f>IF(F2145&lt;&gt;"","ISSUE-"&amp;TEXT(ROW()-1,"00000"),"")</f>
        <v/>
      </c>
      <c r="B2145" s="14">
        <f>IF(F2145&lt;&gt;"","错误","")</f>
        <v/>
      </c>
      <c r="C2145" s="14">
        <f>IF('06_建筑锚点'!A145&lt;&gt;"","06_建筑锚点","")</f>
        <v/>
      </c>
      <c r="D2145" s="14">
        <f>IF('06_建筑锚点'!A145&lt;&gt;"",'06_建筑锚点'!A145,"")</f>
        <v/>
      </c>
      <c r="E2145" s="14">
        <f>IF(F2145&lt;&gt;"","综合校验","")</f>
        <v/>
      </c>
      <c r="F2145" s="14">
        <f>IF('06_建筑锚点'!A145&lt;&gt;"",IF('06_建筑锚点'!A145="","缺少建筑ID；","")&amp;IF('06_建筑锚点'!B145="","缺少建筑名称；","")&amp;IF('06_建筑锚点'!C145="","缺少建筑类型；","")&amp;IF('06_建筑锚点'!D145="","缺少所属地点ID；","")&amp;IF('06_建筑锚点'!F145="","缺少世界X；","")&amp;IF('06_建筑锚点'!G145="","缺少世界Y；","")&amp;IF(AND('06_建筑锚点'!F145&lt;&gt;"",OR('06_建筑锚点'!F145&lt;0,'06_建筑锚点'!F145&gt;WorldWidth)),"世界X越界；","")&amp;IF(AND('06_建筑锚点'!G145&lt;&gt;"",OR('06_建筑锚点'!G145&lt;0,'06_建筑锚点'!G145&gt;WorldHeight)),"世界Y越界；","")&amp;IF(AND('06_建筑锚点'!D145&lt;&gt;"",COUNTIF('03_地点锚点'!$A$2:$A$501,'06_建筑锚点'!D145)=0),"建筑所属地点不存在；","")&amp;IF(AND('06_建筑锚点'!T145&lt;&gt;"",COUNTIF('07_动态状态'!$A$2:$A$501,'06_建筑锚点'!T145)=0),"运营状态编码不存在；","")&amp;IF(AND('06_建筑锚点'!A145&lt;&gt;"",COUNTIF('06_建筑锚点'!$A$2:$A$501,'06_建筑锚点'!A145)&gt;1),"ID重复；",""),"")</f>
        <v/>
      </c>
      <c r="G2145" s="14">
        <f>IF(F2145&lt;&gt;"","按字段批注、数据字典和来源记录修正后复核","")</f>
        <v/>
      </c>
      <c r="H2145" s="14">
        <f>IF(F2145&lt;&gt;"","待处理","")</f>
        <v/>
      </c>
    </row>
    <row r="2146">
      <c r="A2146" s="14">
        <f>IF(F2146&lt;&gt;"","ISSUE-"&amp;TEXT(ROW()-1,"00000"),"")</f>
        <v/>
      </c>
      <c r="B2146" s="14">
        <f>IF(F2146&lt;&gt;"","错误","")</f>
        <v/>
      </c>
      <c r="C2146" s="14">
        <f>IF('06_建筑锚点'!A146&lt;&gt;"","06_建筑锚点","")</f>
        <v/>
      </c>
      <c r="D2146" s="14">
        <f>IF('06_建筑锚点'!A146&lt;&gt;"",'06_建筑锚点'!A146,"")</f>
        <v/>
      </c>
      <c r="E2146" s="14">
        <f>IF(F2146&lt;&gt;"","综合校验","")</f>
        <v/>
      </c>
      <c r="F2146" s="14">
        <f>IF('06_建筑锚点'!A146&lt;&gt;"",IF('06_建筑锚点'!A146="","缺少建筑ID；","")&amp;IF('06_建筑锚点'!B146="","缺少建筑名称；","")&amp;IF('06_建筑锚点'!C146="","缺少建筑类型；","")&amp;IF('06_建筑锚点'!D146="","缺少所属地点ID；","")&amp;IF('06_建筑锚点'!F146="","缺少世界X；","")&amp;IF('06_建筑锚点'!G146="","缺少世界Y；","")&amp;IF(AND('06_建筑锚点'!F146&lt;&gt;"",OR('06_建筑锚点'!F146&lt;0,'06_建筑锚点'!F146&gt;WorldWidth)),"世界X越界；","")&amp;IF(AND('06_建筑锚点'!G146&lt;&gt;"",OR('06_建筑锚点'!G146&lt;0,'06_建筑锚点'!G146&gt;WorldHeight)),"世界Y越界；","")&amp;IF(AND('06_建筑锚点'!D146&lt;&gt;"",COUNTIF('03_地点锚点'!$A$2:$A$501,'06_建筑锚点'!D146)=0),"建筑所属地点不存在；","")&amp;IF(AND('06_建筑锚点'!T146&lt;&gt;"",COUNTIF('07_动态状态'!$A$2:$A$501,'06_建筑锚点'!T146)=0),"运营状态编码不存在；","")&amp;IF(AND('06_建筑锚点'!A146&lt;&gt;"",COUNTIF('06_建筑锚点'!$A$2:$A$501,'06_建筑锚点'!A146)&gt;1),"ID重复；",""),"")</f>
        <v/>
      </c>
      <c r="G2146" s="14">
        <f>IF(F2146&lt;&gt;"","按字段批注、数据字典和来源记录修正后复核","")</f>
        <v/>
      </c>
      <c r="H2146" s="14">
        <f>IF(F2146&lt;&gt;"","待处理","")</f>
        <v/>
      </c>
    </row>
    <row r="2147">
      <c r="A2147" s="14">
        <f>IF(F2147&lt;&gt;"","ISSUE-"&amp;TEXT(ROW()-1,"00000"),"")</f>
        <v/>
      </c>
      <c r="B2147" s="14">
        <f>IF(F2147&lt;&gt;"","错误","")</f>
        <v/>
      </c>
      <c r="C2147" s="14">
        <f>IF('06_建筑锚点'!A147&lt;&gt;"","06_建筑锚点","")</f>
        <v/>
      </c>
      <c r="D2147" s="14">
        <f>IF('06_建筑锚点'!A147&lt;&gt;"",'06_建筑锚点'!A147,"")</f>
        <v/>
      </c>
      <c r="E2147" s="14">
        <f>IF(F2147&lt;&gt;"","综合校验","")</f>
        <v/>
      </c>
      <c r="F2147" s="14">
        <f>IF('06_建筑锚点'!A147&lt;&gt;"",IF('06_建筑锚点'!A147="","缺少建筑ID；","")&amp;IF('06_建筑锚点'!B147="","缺少建筑名称；","")&amp;IF('06_建筑锚点'!C147="","缺少建筑类型；","")&amp;IF('06_建筑锚点'!D147="","缺少所属地点ID；","")&amp;IF('06_建筑锚点'!F147="","缺少世界X；","")&amp;IF('06_建筑锚点'!G147="","缺少世界Y；","")&amp;IF(AND('06_建筑锚点'!F147&lt;&gt;"",OR('06_建筑锚点'!F147&lt;0,'06_建筑锚点'!F147&gt;WorldWidth)),"世界X越界；","")&amp;IF(AND('06_建筑锚点'!G147&lt;&gt;"",OR('06_建筑锚点'!G147&lt;0,'06_建筑锚点'!G147&gt;WorldHeight)),"世界Y越界；","")&amp;IF(AND('06_建筑锚点'!D147&lt;&gt;"",COUNTIF('03_地点锚点'!$A$2:$A$501,'06_建筑锚点'!D147)=0),"建筑所属地点不存在；","")&amp;IF(AND('06_建筑锚点'!T147&lt;&gt;"",COUNTIF('07_动态状态'!$A$2:$A$501,'06_建筑锚点'!T147)=0),"运营状态编码不存在；","")&amp;IF(AND('06_建筑锚点'!A147&lt;&gt;"",COUNTIF('06_建筑锚点'!$A$2:$A$501,'06_建筑锚点'!A147)&gt;1),"ID重复；",""),"")</f>
        <v/>
      </c>
      <c r="G2147" s="14">
        <f>IF(F2147&lt;&gt;"","按字段批注、数据字典和来源记录修正后复核","")</f>
        <v/>
      </c>
      <c r="H2147" s="14">
        <f>IF(F2147&lt;&gt;"","待处理","")</f>
        <v/>
      </c>
    </row>
    <row r="2148">
      <c r="A2148" s="14">
        <f>IF(F2148&lt;&gt;"","ISSUE-"&amp;TEXT(ROW()-1,"00000"),"")</f>
        <v/>
      </c>
      <c r="B2148" s="14">
        <f>IF(F2148&lt;&gt;"","错误","")</f>
        <v/>
      </c>
      <c r="C2148" s="14">
        <f>IF('06_建筑锚点'!A148&lt;&gt;"","06_建筑锚点","")</f>
        <v/>
      </c>
      <c r="D2148" s="14">
        <f>IF('06_建筑锚点'!A148&lt;&gt;"",'06_建筑锚点'!A148,"")</f>
        <v/>
      </c>
      <c r="E2148" s="14">
        <f>IF(F2148&lt;&gt;"","综合校验","")</f>
        <v/>
      </c>
      <c r="F2148" s="14">
        <f>IF('06_建筑锚点'!A148&lt;&gt;"",IF('06_建筑锚点'!A148="","缺少建筑ID；","")&amp;IF('06_建筑锚点'!B148="","缺少建筑名称；","")&amp;IF('06_建筑锚点'!C148="","缺少建筑类型；","")&amp;IF('06_建筑锚点'!D148="","缺少所属地点ID；","")&amp;IF('06_建筑锚点'!F148="","缺少世界X；","")&amp;IF('06_建筑锚点'!G148="","缺少世界Y；","")&amp;IF(AND('06_建筑锚点'!F148&lt;&gt;"",OR('06_建筑锚点'!F148&lt;0,'06_建筑锚点'!F148&gt;WorldWidth)),"世界X越界；","")&amp;IF(AND('06_建筑锚点'!G148&lt;&gt;"",OR('06_建筑锚点'!G148&lt;0,'06_建筑锚点'!G148&gt;WorldHeight)),"世界Y越界；","")&amp;IF(AND('06_建筑锚点'!D148&lt;&gt;"",COUNTIF('03_地点锚点'!$A$2:$A$501,'06_建筑锚点'!D148)=0),"建筑所属地点不存在；","")&amp;IF(AND('06_建筑锚点'!T148&lt;&gt;"",COUNTIF('07_动态状态'!$A$2:$A$501,'06_建筑锚点'!T148)=0),"运营状态编码不存在；","")&amp;IF(AND('06_建筑锚点'!A148&lt;&gt;"",COUNTIF('06_建筑锚点'!$A$2:$A$501,'06_建筑锚点'!A148)&gt;1),"ID重复；",""),"")</f>
        <v/>
      </c>
      <c r="G2148" s="14">
        <f>IF(F2148&lt;&gt;"","按字段批注、数据字典和来源记录修正后复核","")</f>
        <v/>
      </c>
      <c r="H2148" s="14">
        <f>IF(F2148&lt;&gt;"","待处理","")</f>
        <v/>
      </c>
    </row>
    <row r="2149">
      <c r="A2149" s="14">
        <f>IF(F2149&lt;&gt;"","ISSUE-"&amp;TEXT(ROW()-1,"00000"),"")</f>
        <v/>
      </c>
      <c r="B2149" s="14">
        <f>IF(F2149&lt;&gt;"","错误","")</f>
        <v/>
      </c>
      <c r="C2149" s="14">
        <f>IF('06_建筑锚点'!A149&lt;&gt;"","06_建筑锚点","")</f>
        <v/>
      </c>
      <c r="D2149" s="14">
        <f>IF('06_建筑锚点'!A149&lt;&gt;"",'06_建筑锚点'!A149,"")</f>
        <v/>
      </c>
      <c r="E2149" s="14">
        <f>IF(F2149&lt;&gt;"","综合校验","")</f>
        <v/>
      </c>
      <c r="F2149" s="14">
        <f>IF('06_建筑锚点'!A149&lt;&gt;"",IF('06_建筑锚点'!A149="","缺少建筑ID；","")&amp;IF('06_建筑锚点'!B149="","缺少建筑名称；","")&amp;IF('06_建筑锚点'!C149="","缺少建筑类型；","")&amp;IF('06_建筑锚点'!D149="","缺少所属地点ID；","")&amp;IF('06_建筑锚点'!F149="","缺少世界X；","")&amp;IF('06_建筑锚点'!G149="","缺少世界Y；","")&amp;IF(AND('06_建筑锚点'!F149&lt;&gt;"",OR('06_建筑锚点'!F149&lt;0,'06_建筑锚点'!F149&gt;WorldWidth)),"世界X越界；","")&amp;IF(AND('06_建筑锚点'!G149&lt;&gt;"",OR('06_建筑锚点'!G149&lt;0,'06_建筑锚点'!G149&gt;WorldHeight)),"世界Y越界；","")&amp;IF(AND('06_建筑锚点'!D149&lt;&gt;"",COUNTIF('03_地点锚点'!$A$2:$A$501,'06_建筑锚点'!D149)=0),"建筑所属地点不存在；","")&amp;IF(AND('06_建筑锚点'!T149&lt;&gt;"",COUNTIF('07_动态状态'!$A$2:$A$501,'06_建筑锚点'!T149)=0),"运营状态编码不存在；","")&amp;IF(AND('06_建筑锚点'!A149&lt;&gt;"",COUNTIF('06_建筑锚点'!$A$2:$A$501,'06_建筑锚点'!A149)&gt;1),"ID重复；",""),"")</f>
        <v/>
      </c>
      <c r="G2149" s="14">
        <f>IF(F2149&lt;&gt;"","按字段批注、数据字典和来源记录修正后复核","")</f>
        <v/>
      </c>
      <c r="H2149" s="14">
        <f>IF(F2149&lt;&gt;"","待处理","")</f>
        <v/>
      </c>
    </row>
    <row r="2150">
      <c r="A2150" s="14">
        <f>IF(F2150&lt;&gt;"","ISSUE-"&amp;TEXT(ROW()-1,"00000"),"")</f>
        <v/>
      </c>
      <c r="B2150" s="14">
        <f>IF(F2150&lt;&gt;"","错误","")</f>
        <v/>
      </c>
      <c r="C2150" s="14">
        <f>IF('06_建筑锚点'!A150&lt;&gt;"","06_建筑锚点","")</f>
        <v/>
      </c>
      <c r="D2150" s="14">
        <f>IF('06_建筑锚点'!A150&lt;&gt;"",'06_建筑锚点'!A150,"")</f>
        <v/>
      </c>
      <c r="E2150" s="14">
        <f>IF(F2150&lt;&gt;"","综合校验","")</f>
        <v/>
      </c>
      <c r="F2150" s="14">
        <f>IF('06_建筑锚点'!A150&lt;&gt;"",IF('06_建筑锚点'!A150="","缺少建筑ID；","")&amp;IF('06_建筑锚点'!B150="","缺少建筑名称；","")&amp;IF('06_建筑锚点'!C150="","缺少建筑类型；","")&amp;IF('06_建筑锚点'!D150="","缺少所属地点ID；","")&amp;IF('06_建筑锚点'!F150="","缺少世界X；","")&amp;IF('06_建筑锚点'!G150="","缺少世界Y；","")&amp;IF(AND('06_建筑锚点'!F150&lt;&gt;"",OR('06_建筑锚点'!F150&lt;0,'06_建筑锚点'!F150&gt;WorldWidth)),"世界X越界；","")&amp;IF(AND('06_建筑锚点'!G150&lt;&gt;"",OR('06_建筑锚点'!G150&lt;0,'06_建筑锚点'!G150&gt;WorldHeight)),"世界Y越界；","")&amp;IF(AND('06_建筑锚点'!D150&lt;&gt;"",COUNTIF('03_地点锚点'!$A$2:$A$501,'06_建筑锚点'!D150)=0),"建筑所属地点不存在；","")&amp;IF(AND('06_建筑锚点'!T150&lt;&gt;"",COUNTIF('07_动态状态'!$A$2:$A$501,'06_建筑锚点'!T150)=0),"运营状态编码不存在；","")&amp;IF(AND('06_建筑锚点'!A150&lt;&gt;"",COUNTIF('06_建筑锚点'!$A$2:$A$501,'06_建筑锚点'!A150)&gt;1),"ID重复；",""),"")</f>
        <v/>
      </c>
      <c r="G2150" s="14">
        <f>IF(F2150&lt;&gt;"","按字段批注、数据字典和来源记录修正后复核","")</f>
        <v/>
      </c>
      <c r="H2150" s="14">
        <f>IF(F2150&lt;&gt;"","待处理","")</f>
        <v/>
      </c>
    </row>
    <row r="2151">
      <c r="A2151" s="14">
        <f>IF(F2151&lt;&gt;"","ISSUE-"&amp;TEXT(ROW()-1,"00000"),"")</f>
        <v/>
      </c>
      <c r="B2151" s="14">
        <f>IF(F2151&lt;&gt;"","错误","")</f>
        <v/>
      </c>
      <c r="C2151" s="14">
        <f>IF('06_建筑锚点'!A151&lt;&gt;"","06_建筑锚点","")</f>
        <v/>
      </c>
      <c r="D2151" s="14">
        <f>IF('06_建筑锚点'!A151&lt;&gt;"",'06_建筑锚点'!A151,"")</f>
        <v/>
      </c>
      <c r="E2151" s="14">
        <f>IF(F2151&lt;&gt;"","综合校验","")</f>
        <v/>
      </c>
      <c r="F2151" s="14">
        <f>IF('06_建筑锚点'!A151&lt;&gt;"",IF('06_建筑锚点'!A151="","缺少建筑ID；","")&amp;IF('06_建筑锚点'!B151="","缺少建筑名称；","")&amp;IF('06_建筑锚点'!C151="","缺少建筑类型；","")&amp;IF('06_建筑锚点'!D151="","缺少所属地点ID；","")&amp;IF('06_建筑锚点'!F151="","缺少世界X；","")&amp;IF('06_建筑锚点'!G151="","缺少世界Y；","")&amp;IF(AND('06_建筑锚点'!F151&lt;&gt;"",OR('06_建筑锚点'!F151&lt;0,'06_建筑锚点'!F151&gt;WorldWidth)),"世界X越界；","")&amp;IF(AND('06_建筑锚点'!G151&lt;&gt;"",OR('06_建筑锚点'!G151&lt;0,'06_建筑锚点'!G151&gt;WorldHeight)),"世界Y越界；","")&amp;IF(AND('06_建筑锚点'!D151&lt;&gt;"",COUNTIF('03_地点锚点'!$A$2:$A$501,'06_建筑锚点'!D151)=0),"建筑所属地点不存在；","")&amp;IF(AND('06_建筑锚点'!T151&lt;&gt;"",COUNTIF('07_动态状态'!$A$2:$A$501,'06_建筑锚点'!T151)=0),"运营状态编码不存在；","")&amp;IF(AND('06_建筑锚点'!A151&lt;&gt;"",COUNTIF('06_建筑锚点'!$A$2:$A$501,'06_建筑锚点'!A151)&gt;1),"ID重复；",""),"")</f>
        <v/>
      </c>
      <c r="G2151" s="14">
        <f>IF(F2151&lt;&gt;"","按字段批注、数据字典和来源记录修正后复核","")</f>
        <v/>
      </c>
      <c r="H2151" s="14">
        <f>IF(F2151&lt;&gt;"","待处理","")</f>
        <v/>
      </c>
    </row>
    <row r="2152">
      <c r="A2152" s="14">
        <f>IF(F2152&lt;&gt;"","ISSUE-"&amp;TEXT(ROW()-1,"00000"),"")</f>
        <v/>
      </c>
      <c r="B2152" s="14">
        <f>IF(F2152&lt;&gt;"","错误","")</f>
        <v/>
      </c>
      <c r="C2152" s="14">
        <f>IF('06_建筑锚点'!A152&lt;&gt;"","06_建筑锚点","")</f>
        <v/>
      </c>
      <c r="D2152" s="14">
        <f>IF('06_建筑锚点'!A152&lt;&gt;"",'06_建筑锚点'!A152,"")</f>
        <v/>
      </c>
      <c r="E2152" s="14">
        <f>IF(F2152&lt;&gt;"","综合校验","")</f>
        <v/>
      </c>
      <c r="F2152" s="14">
        <f>IF('06_建筑锚点'!A152&lt;&gt;"",IF('06_建筑锚点'!A152="","缺少建筑ID；","")&amp;IF('06_建筑锚点'!B152="","缺少建筑名称；","")&amp;IF('06_建筑锚点'!C152="","缺少建筑类型；","")&amp;IF('06_建筑锚点'!D152="","缺少所属地点ID；","")&amp;IF('06_建筑锚点'!F152="","缺少世界X；","")&amp;IF('06_建筑锚点'!G152="","缺少世界Y；","")&amp;IF(AND('06_建筑锚点'!F152&lt;&gt;"",OR('06_建筑锚点'!F152&lt;0,'06_建筑锚点'!F152&gt;WorldWidth)),"世界X越界；","")&amp;IF(AND('06_建筑锚点'!G152&lt;&gt;"",OR('06_建筑锚点'!G152&lt;0,'06_建筑锚点'!G152&gt;WorldHeight)),"世界Y越界；","")&amp;IF(AND('06_建筑锚点'!D152&lt;&gt;"",COUNTIF('03_地点锚点'!$A$2:$A$501,'06_建筑锚点'!D152)=0),"建筑所属地点不存在；","")&amp;IF(AND('06_建筑锚点'!T152&lt;&gt;"",COUNTIF('07_动态状态'!$A$2:$A$501,'06_建筑锚点'!T152)=0),"运营状态编码不存在；","")&amp;IF(AND('06_建筑锚点'!A152&lt;&gt;"",COUNTIF('06_建筑锚点'!$A$2:$A$501,'06_建筑锚点'!A152)&gt;1),"ID重复；",""),"")</f>
        <v/>
      </c>
      <c r="G2152" s="14">
        <f>IF(F2152&lt;&gt;"","按字段批注、数据字典和来源记录修正后复核","")</f>
        <v/>
      </c>
      <c r="H2152" s="14">
        <f>IF(F2152&lt;&gt;"","待处理","")</f>
        <v/>
      </c>
    </row>
    <row r="2153">
      <c r="A2153" s="14">
        <f>IF(F2153&lt;&gt;"","ISSUE-"&amp;TEXT(ROW()-1,"00000"),"")</f>
        <v/>
      </c>
      <c r="B2153" s="14">
        <f>IF(F2153&lt;&gt;"","错误","")</f>
        <v/>
      </c>
      <c r="C2153" s="14">
        <f>IF('06_建筑锚点'!A153&lt;&gt;"","06_建筑锚点","")</f>
        <v/>
      </c>
      <c r="D2153" s="14">
        <f>IF('06_建筑锚点'!A153&lt;&gt;"",'06_建筑锚点'!A153,"")</f>
        <v/>
      </c>
      <c r="E2153" s="14">
        <f>IF(F2153&lt;&gt;"","综合校验","")</f>
        <v/>
      </c>
      <c r="F2153" s="14">
        <f>IF('06_建筑锚点'!A153&lt;&gt;"",IF('06_建筑锚点'!A153="","缺少建筑ID；","")&amp;IF('06_建筑锚点'!B153="","缺少建筑名称；","")&amp;IF('06_建筑锚点'!C153="","缺少建筑类型；","")&amp;IF('06_建筑锚点'!D153="","缺少所属地点ID；","")&amp;IF('06_建筑锚点'!F153="","缺少世界X；","")&amp;IF('06_建筑锚点'!G153="","缺少世界Y；","")&amp;IF(AND('06_建筑锚点'!F153&lt;&gt;"",OR('06_建筑锚点'!F153&lt;0,'06_建筑锚点'!F153&gt;WorldWidth)),"世界X越界；","")&amp;IF(AND('06_建筑锚点'!G153&lt;&gt;"",OR('06_建筑锚点'!G153&lt;0,'06_建筑锚点'!G153&gt;WorldHeight)),"世界Y越界；","")&amp;IF(AND('06_建筑锚点'!D153&lt;&gt;"",COUNTIF('03_地点锚点'!$A$2:$A$501,'06_建筑锚点'!D153)=0),"建筑所属地点不存在；","")&amp;IF(AND('06_建筑锚点'!T153&lt;&gt;"",COUNTIF('07_动态状态'!$A$2:$A$501,'06_建筑锚点'!T153)=0),"运营状态编码不存在；","")&amp;IF(AND('06_建筑锚点'!A153&lt;&gt;"",COUNTIF('06_建筑锚点'!$A$2:$A$501,'06_建筑锚点'!A153)&gt;1),"ID重复；",""),"")</f>
        <v/>
      </c>
      <c r="G2153" s="14">
        <f>IF(F2153&lt;&gt;"","按字段批注、数据字典和来源记录修正后复核","")</f>
        <v/>
      </c>
      <c r="H2153" s="14">
        <f>IF(F2153&lt;&gt;"","待处理","")</f>
        <v/>
      </c>
    </row>
    <row r="2154">
      <c r="A2154" s="14">
        <f>IF(F2154&lt;&gt;"","ISSUE-"&amp;TEXT(ROW()-1,"00000"),"")</f>
        <v/>
      </c>
      <c r="B2154" s="14">
        <f>IF(F2154&lt;&gt;"","错误","")</f>
        <v/>
      </c>
      <c r="C2154" s="14">
        <f>IF('06_建筑锚点'!A154&lt;&gt;"","06_建筑锚点","")</f>
        <v/>
      </c>
      <c r="D2154" s="14">
        <f>IF('06_建筑锚点'!A154&lt;&gt;"",'06_建筑锚点'!A154,"")</f>
        <v/>
      </c>
      <c r="E2154" s="14">
        <f>IF(F2154&lt;&gt;"","综合校验","")</f>
        <v/>
      </c>
      <c r="F2154" s="14">
        <f>IF('06_建筑锚点'!A154&lt;&gt;"",IF('06_建筑锚点'!A154="","缺少建筑ID；","")&amp;IF('06_建筑锚点'!B154="","缺少建筑名称；","")&amp;IF('06_建筑锚点'!C154="","缺少建筑类型；","")&amp;IF('06_建筑锚点'!D154="","缺少所属地点ID；","")&amp;IF('06_建筑锚点'!F154="","缺少世界X；","")&amp;IF('06_建筑锚点'!G154="","缺少世界Y；","")&amp;IF(AND('06_建筑锚点'!F154&lt;&gt;"",OR('06_建筑锚点'!F154&lt;0,'06_建筑锚点'!F154&gt;WorldWidth)),"世界X越界；","")&amp;IF(AND('06_建筑锚点'!G154&lt;&gt;"",OR('06_建筑锚点'!G154&lt;0,'06_建筑锚点'!G154&gt;WorldHeight)),"世界Y越界；","")&amp;IF(AND('06_建筑锚点'!D154&lt;&gt;"",COUNTIF('03_地点锚点'!$A$2:$A$501,'06_建筑锚点'!D154)=0),"建筑所属地点不存在；","")&amp;IF(AND('06_建筑锚点'!T154&lt;&gt;"",COUNTIF('07_动态状态'!$A$2:$A$501,'06_建筑锚点'!T154)=0),"运营状态编码不存在；","")&amp;IF(AND('06_建筑锚点'!A154&lt;&gt;"",COUNTIF('06_建筑锚点'!$A$2:$A$501,'06_建筑锚点'!A154)&gt;1),"ID重复；",""),"")</f>
        <v/>
      </c>
      <c r="G2154" s="14">
        <f>IF(F2154&lt;&gt;"","按字段批注、数据字典和来源记录修正后复核","")</f>
        <v/>
      </c>
      <c r="H2154" s="14">
        <f>IF(F2154&lt;&gt;"","待处理","")</f>
        <v/>
      </c>
    </row>
    <row r="2155">
      <c r="A2155" s="14">
        <f>IF(F2155&lt;&gt;"","ISSUE-"&amp;TEXT(ROW()-1,"00000"),"")</f>
        <v/>
      </c>
      <c r="B2155" s="14">
        <f>IF(F2155&lt;&gt;"","错误","")</f>
        <v/>
      </c>
      <c r="C2155" s="14">
        <f>IF('06_建筑锚点'!A155&lt;&gt;"","06_建筑锚点","")</f>
        <v/>
      </c>
      <c r="D2155" s="14">
        <f>IF('06_建筑锚点'!A155&lt;&gt;"",'06_建筑锚点'!A155,"")</f>
        <v/>
      </c>
      <c r="E2155" s="14">
        <f>IF(F2155&lt;&gt;"","综合校验","")</f>
        <v/>
      </c>
      <c r="F2155" s="14">
        <f>IF('06_建筑锚点'!A155&lt;&gt;"",IF('06_建筑锚点'!A155="","缺少建筑ID；","")&amp;IF('06_建筑锚点'!B155="","缺少建筑名称；","")&amp;IF('06_建筑锚点'!C155="","缺少建筑类型；","")&amp;IF('06_建筑锚点'!D155="","缺少所属地点ID；","")&amp;IF('06_建筑锚点'!F155="","缺少世界X；","")&amp;IF('06_建筑锚点'!G155="","缺少世界Y；","")&amp;IF(AND('06_建筑锚点'!F155&lt;&gt;"",OR('06_建筑锚点'!F155&lt;0,'06_建筑锚点'!F155&gt;WorldWidth)),"世界X越界；","")&amp;IF(AND('06_建筑锚点'!G155&lt;&gt;"",OR('06_建筑锚点'!G155&lt;0,'06_建筑锚点'!G155&gt;WorldHeight)),"世界Y越界；","")&amp;IF(AND('06_建筑锚点'!D155&lt;&gt;"",COUNTIF('03_地点锚点'!$A$2:$A$501,'06_建筑锚点'!D155)=0),"建筑所属地点不存在；","")&amp;IF(AND('06_建筑锚点'!T155&lt;&gt;"",COUNTIF('07_动态状态'!$A$2:$A$501,'06_建筑锚点'!T155)=0),"运营状态编码不存在；","")&amp;IF(AND('06_建筑锚点'!A155&lt;&gt;"",COUNTIF('06_建筑锚点'!$A$2:$A$501,'06_建筑锚点'!A155)&gt;1),"ID重复；",""),"")</f>
        <v/>
      </c>
      <c r="G2155" s="14">
        <f>IF(F2155&lt;&gt;"","按字段批注、数据字典和来源记录修正后复核","")</f>
        <v/>
      </c>
      <c r="H2155" s="14">
        <f>IF(F2155&lt;&gt;"","待处理","")</f>
        <v/>
      </c>
    </row>
    <row r="2156">
      <c r="A2156" s="14">
        <f>IF(F2156&lt;&gt;"","ISSUE-"&amp;TEXT(ROW()-1,"00000"),"")</f>
        <v/>
      </c>
      <c r="B2156" s="14">
        <f>IF(F2156&lt;&gt;"","错误","")</f>
        <v/>
      </c>
      <c r="C2156" s="14">
        <f>IF('06_建筑锚点'!A156&lt;&gt;"","06_建筑锚点","")</f>
        <v/>
      </c>
      <c r="D2156" s="14">
        <f>IF('06_建筑锚点'!A156&lt;&gt;"",'06_建筑锚点'!A156,"")</f>
        <v/>
      </c>
      <c r="E2156" s="14">
        <f>IF(F2156&lt;&gt;"","综合校验","")</f>
        <v/>
      </c>
      <c r="F2156" s="14">
        <f>IF('06_建筑锚点'!A156&lt;&gt;"",IF('06_建筑锚点'!A156="","缺少建筑ID；","")&amp;IF('06_建筑锚点'!B156="","缺少建筑名称；","")&amp;IF('06_建筑锚点'!C156="","缺少建筑类型；","")&amp;IF('06_建筑锚点'!D156="","缺少所属地点ID；","")&amp;IF('06_建筑锚点'!F156="","缺少世界X；","")&amp;IF('06_建筑锚点'!G156="","缺少世界Y；","")&amp;IF(AND('06_建筑锚点'!F156&lt;&gt;"",OR('06_建筑锚点'!F156&lt;0,'06_建筑锚点'!F156&gt;WorldWidth)),"世界X越界；","")&amp;IF(AND('06_建筑锚点'!G156&lt;&gt;"",OR('06_建筑锚点'!G156&lt;0,'06_建筑锚点'!G156&gt;WorldHeight)),"世界Y越界；","")&amp;IF(AND('06_建筑锚点'!D156&lt;&gt;"",COUNTIF('03_地点锚点'!$A$2:$A$501,'06_建筑锚点'!D156)=0),"建筑所属地点不存在；","")&amp;IF(AND('06_建筑锚点'!T156&lt;&gt;"",COUNTIF('07_动态状态'!$A$2:$A$501,'06_建筑锚点'!T156)=0),"运营状态编码不存在；","")&amp;IF(AND('06_建筑锚点'!A156&lt;&gt;"",COUNTIF('06_建筑锚点'!$A$2:$A$501,'06_建筑锚点'!A156)&gt;1),"ID重复；",""),"")</f>
        <v/>
      </c>
      <c r="G2156" s="14">
        <f>IF(F2156&lt;&gt;"","按字段批注、数据字典和来源记录修正后复核","")</f>
        <v/>
      </c>
      <c r="H2156" s="14">
        <f>IF(F2156&lt;&gt;"","待处理","")</f>
        <v/>
      </c>
    </row>
    <row r="2157">
      <c r="A2157" s="14">
        <f>IF(F2157&lt;&gt;"","ISSUE-"&amp;TEXT(ROW()-1,"00000"),"")</f>
        <v/>
      </c>
      <c r="B2157" s="14">
        <f>IF(F2157&lt;&gt;"","错误","")</f>
        <v/>
      </c>
      <c r="C2157" s="14">
        <f>IF('06_建筑锚点'!A157&lt;&gt;"","06_建筑锚点","")</f>
        <v/>
      </c>
      <c r="D2157" s="14">
        <f>IF('06_建筑锚点'!A157&lt;&gt;"",'06_建筑锚点'!A157,"")</f>
        <v/>
      </c>
      <c r="E2157" s="14">
        <f>IF(F2157&lt;&gt;"","综合校验","")</f>
        <v/>
      </c>
      <c r="F2157" s="14">
        <f>IF('06_建筑锚点'!A157&lt;&gt;"",IF('06_建筑锚点'!A157="","缺少建筑ID；","")&amp;IF('06_建筑锚点'!B157="","缺少建筑名称；","")&amp;IF('06_建筑锚点'!C157="","缺少建筑类型；","")&amp;IF('06_建筑锚点'!D157="","缺少所属地点ID；","")&amp;IF('06_建筑锚点'!F157="","缺少世界X；","")&amp;IF('06_建筑锚点'!G157="","缺少世界Y；","")&amp;IF(AND('06_建筑锚点'!F157&lt;&gt;"",OR('06_建筑锚点'!F157&lt;0,'06_建筑锚点'!F157&gt;WorldWidth)),"世界X越界；","")&amp;IF(AND('06_建筑锚点'!G157&lt;&gt;"",OR('06_建筑锚点'!G157&lt;0,'06_建筑锚点'!G157&gt;WorldHeight)),"世界Y越界；","")&amp;IF(AND('06_建筑锚点'!D157&lt;&gt;"",COUNTIF('03_地点锚点'!$A$2:$A$501,'06_建筑锚点'!D157)=0),"建筑所属地点不存在；","")&amp;IF(AND('06_建筑锚点'!T157&lt;&gt;"",COUNTIF('07_动态状态'!$A$2:$A$501,'06_建筑锚点'!T157)=0),"运营状态编码不存在；","")&amp;IF(AND('06_建筑锚点'!A157&lt;&gt;"",COUNTIF('06_建筑锚点'!$A$2:$A$501,'06_建筑锚点'!A157)&gt;1),"ID重复；",""),"")</f>
        <v/>
      </c>
      <c r="G2157" s="14">
        <f>IF(F2157&lt;&gt;"","按字段批注、数据字典和来源记录修正后复核","")</f>
        <v/>
      </c>
      <c r="H2157" s="14">
        <f>IF(F2157&lt;&gt;"","待处理","")</f>
        <v/>
      </c>
    </row>
    <row r="2158">
      <c r="A2158" s="14">
        <f>IF(F2158&lt;&gt;"","ISSUE-"&amp;TEXT(ROW()-1,"00000"),"")</f>
        <v/>
      </c>
      <c r="B2158" s="14">
        <f>IF(F2158&lt;&gt;"","错误","")</f>
        <v/>
      </c>
      <c r="C2158" s="14">
        <f>IF('06_建筑锚点'!A158&lt;&gt;"","06_建筑锚点","")</f>
        <v/>
      </c>
      <c r="D2158" s="14">
        <f>IF('06_建筑锚点'!A158&lt;&gt;"",'06_建筑锚点'!A158,"")</f>
        <v/>
      </c>
      <c r="E2158" s="14">
        <f>IF(F2158&lt;&gt;"","综合校验","")</f>
        <v/>
      </c>
      <c r="F2158" s="14">
        <f>IF('06_建筑锚点'!A158&lt;&gt;"",IF('06_建筑锚点'!A158="","缺少建筑ID；","")&amp;IF('06_建筑锚点'!B158="","缺少建筑名称；","")&amp;IF('06_建筑锚点'!C158="","缺少建筑类型；","")&amp;IF('06_建筑锚点'!D158="","缺少所属地点ID；","")&amp;IF('06_建筑锚点'!F158="","缺少世界X；","")&amp;IF('06_建筑锚点'!G158="","缺少世界Y；","")&amp;IF(AND('06_建筑锚点'!F158&lt;&gt;"",OR('06_建筑锚点'!F158&lt;0,'06_建筑锚点'!F158&gt;WorldWidth)),"世界X越界；","")&amp;IF(AND('06_建筑锚点'!G158&lt;&gt;"",OR('06_建筑锚点'!G158&lt;0,'06_建筑锚点'!G158&gt;WorldHeight)),"世界Y越界；","")&amp;IF(AND('06_建筑锚点'!D158&lt;&gt;"",COUNTIF('03_地点锚点'!$A$2:$A$501,'06_建筑锚点'!D158)=0),"建筑所属地点不存在；","")&amp;IF(AND('06_建筑锚点'!T158&lt;&gt;"",COUNTIF('07_动态状态'!$A$2:$A$501,'06_建筑锚点'!T158)=0),"运营状态编码不存在；","")&amp;IF(AND('06_建筑锚点'!A158&lt;&gt;"",COUNTIF('06_建筑锚点'!$A$2:$A$501,'06_建筑锚点'!A158)&gt;1),"ID重复；",""),"")</f>
        <v/>
      </c>
      <c r="G2158" s="14">
        <f>IF(F2158&lt;&gt;"","按字段批注、数据字典和来源记录修正后复核","")</f>
        <v/>
      </c>
      <c r="H2158" s="14">
        <f>IF(F2158&lt;&gt;"","待处理","")</f>
        <v/>
      </c>
    </row>
    <row r="2159">
      <c r="A2159" s="14">
        <f>IF(F2159&lt;&gt;"","ISSUE-"&amp;TEXT(ROW()-1,"00000"),"")</f>
        <v/>
      </c>
      <c r="B2159" s="14">
        <f>IF(F2159&lt;&gt;"","错误","")</f>
        <v/>
      </c>
      <c r="C2159" s="14">
        <f>IF('06_建筑锚点'!A159&lt;&gt;"","06_建筑锚点","")</f>
        <v/>
      </c>
      <c r="D2159" s="14">
        <f>IF('06_建筑锚点'!A159&lt;&gt;"",'06_建筑锚点'!A159,"")</f>
        <v/>
      </c>
      <c r="E2159" s="14">
        <f>IF(F2159&lt;&gt;"","综合校验","")</f>
        <v/>
      </c>
      <c r="F2159" s="14">
        <f>IF('06_建筑锚点'!A159&lt;&gt;"",IF('06_建筑锚点'!A159="","缺少建筑ID；","")&amp;IF('06_建筑锚点'!B159="","缺少建筑名称；","")&amp;IF('06_建筑锚点'!C159="","缺少建筑类型；","")&amp;IF('06_建筑锚点'!D159="","缺少所属地点ID；","")&amp;IF('06_建筑锚点'!F159="","缺少世界X；","")&amp;IF('06_建筑锚点'!G159="","缺少世界Y；","")&amp;IF(AND('06_建筑锚点'!F159&lt;&gt;"",OR('06_建筑锚点'!F159&lt;0,'06_建筑锚点'!F159&gt;WorldWidth)),"世界X越界；","")&amp;IF(AND('06_建筑锚点'!G159&lt;&gt;"",OR('06_建筑锚点'!G159&lt;0,'06_建筑锚点'!G159&gt;WorldHeight)),"世界Y越界；","")&amp;IF(AND('06_建筑锚点'!D159&lt;&gt;"",COUNTIF('03_地点锚点'!$A$2:$A$501,'06_建筑锚点'!D159)=0),"建筑所属地点不存在；","")&amp;IF(AND('06_建筑锚点'!T159&lt;&gt;"",COUNTIF('07_动态状态'!$A$2:$A$501,'06_建筑锚点'!T159)=0),"运营状态编码不存在；","")&amp;IF(AND('06_建筑锚点'!A159&lt;&gt;"",COUNTIF('06_建筑锚点'!$A$2:$A$501,'06_建筑锚点'!A159)&gt;1),"ID重复；",""),"")</f>
        <v/>
      </c>
      <c r="G2159" s="14">
        <f>IF(F2159&lt;&gt;"","按字段批注、数据字典和来源记录修正后复核","")</f>
        <v/>
      </c>
      <c r="H2159" s="14">
        <f>IF(F2159&lt;&gt;"","待处理","")</f>
        <v/>
      </c>
    </row>
    <row r="2160">
      <c r="A2160" s="14">
        <f>IF(F2160&lt;&gt;"","ISSUE-"&amp;TEXT(ROW()-1,"00000"),"")</f>
        <v/>
      </c>
      <c r="B2160" s="14">
        <f>IF(F2160&lt;&gt;"","错误","")</f>
        <v/>
      </c>
      <c r="C2160" s="14">
        <f>IF('06_建筑锚点'!A160&lt;&gt;"","06_建筑锚点","")</f>
        <v/>
      </c>
      <c r="D2160" s="14">
        <f>IF('06_建筑锚点'!A160&lt;&gt;"",'06_建筑锚点'!A160,"")</f>
        <v/>
      </c>
      <c r="E2160" s="14">
        <f>IF(F2160&lt;&gt;"","综合校验","")</f>
        <v/>
      </c>
      <c r="F2160" s="14">
        <f>IF('06_建筑锚点'!A160&lt;&gt;"",IF('06_建筑锚点'!A160="","缺少建筑ID；","")&amp;IF('06_建筑锚点'!B160="","缺少建筑名称；","")&amp;IF('06_建筑锚点'!C160="","缺少建筑类型；","")&amp;IF('06_建筑锚点'!D160="","缺少所属地点ID；","")&amp;IF('06_建筑锚点'!F160="","缺少世界X；","")&amp;IF('06_建筑锚点'!G160="","缺少世界Y；","")&amp;IF(AND('06_建筑锚点'!F160&lt;&gt;"",OR('06_建筑锚点'!F160&lt;0,'06_建筑锚点'!F160&gt;WorldWidth)),"世界X越界；","")&amp;IF(AND('06_建筑锚点'!G160&lt;&gt;"",OR('06_建筑锚点'!G160&lt;0,'06_建筑锚点'!G160&gt;WorldHeight)),"世界Y越界；","")&amp;IF(AND('06_建筑锚点'!D160&lt;&gt;"",COUNTIF('03_地点锚点'!$A$2:$A$501,'06_建筑锚点'!D160)=0),"建筑所属地点不存在；","")&amp;IF(AND('06_建筑锚点'!T160&lt;&gt;"",COUNTIF('07_动态状态'!$A$2:$A$501,'06_建筑锚点'!T160)=0),"运营状态编码不存在；","")&amp;IF(AND('06_建筑锚点'!A160&lt;&gt;"",COUNTIF('06_建筑锚点'!$A$2:$A$501,'06_建筑锚点'!A160)&gt;1),"ID重复；",""),"")</f>
        <v/>
      </c>
      <c r="G2160" s="14">
        <f>IF(F2160&lt;&gt;"","按字段批注、数据字典和来源记录修正后复核","")</f>
        <v/>
      </c>
      <c r="H2160" s="14">
        <f>IF(F2160&lt;&gt;"","待处理","")</f>
        <v/>
      </c>
    </row>
    <row r="2161">
      <c r="A2161" s="14">
        <f>IF(F2161&lt;&gt;"","ISSUE-"&amp;TEXT(ROW()-1,"00000"),"")</f>
        <v/>
      </c>
      <c r="B2161" s="14">
        <f>IF(F2161&lt;&gt;"","错误","")</f>
        <v/>
      </c>
      <c r="C2161" s="14">
        <f>IF('06_建筑锚点'!A161&lt;&gt;"","06_建筑锚点","")</f>
        <v/>
      </c>
      <c r="D2161" s="14">
        <f>IF('06_建筑锚点'!A161&lt;&gt;"",'06_建筑锚点'!A161,"")</f>
        <v/>
      </c>
      <c r="E2161" s="14">
        <f>IF(F2161&lt;&gt;"","综合校验","")</f>
        <v/>
      </c>
      <c r="F2161" s="14">
        <f>IF('06_建筑锚点'!A161&lt;&gt;"",IF('06_建筑锚点'!A161="","缺少建筑ID；","")&amp;IF('06_建筑锚点'!B161="","缺少建筑名称；","")&amp;IF('06_建筑锚点'!C161="","缺少建筑类型；","")&amp;IF('06_建筑锚点'!D161="","缺少所属地点ID；","")&amp;IF('06_建筑锚点'!F161="","缺少世界X；","")&amp;IF('06_建筑锚点'!G161="","缺少世界Y；","")&amp;IF(AND('06_建筑锚点'!F161&lt;&gt;"",OR('06_建筑锚点'!F161&lt;0,'06_建筑锚点'!F161&gt;WorldWidth)),"世界X越界；","")&amp;IF(AND('06_建筑锚点'!G161&lt;&gt;"",OR('06_建筑锚点'!G161&lt;0,'06_建筑锚点'!G161&gt;WorldHeight)),"世界Y越界；","")&amp;IF(AND('06_建筑锚点'!D161&lt;&gt;"",COUNTIF('03_地点锚点'!$A$2:$A$501,'06_建筑锚点'!D161)=0),"建筑所属地点不存在；","")&amp;IF(AND('06_建筑锚点'!T161&lt;&gt;"",COUNTIF('07_动态状态'!$A$2:$A$501,'06_建筑锚点'!T161)=0),"运营状态编码不存在；","")&amp;IF(AND('06_建筑锚点'!A161&lt;&gt;"",COUNTIF('06_建筑锚点'!$A$2:$A$501,'06_建筑锚点'!A161)&gt;1),"ID重复；",""),"")</f>
        <v/>
      </c>
      <c r="G2161" s="14">
        <f>IF(F2161&lt;&gt;"","按字段批注、数据字典和来源记录修正后复核","")</f>
        <v/>
      </c>
      <c r="H2161" s="14">
        <f>IF(F2161&lt;&gt;"","待处理","")</f>
        <v/>
      </c>
    </row>
    <row r="2162">
      <c r="A2162" s="14">
        <f>IF(F2162&lt;&gt;"","ISSUE-"&amp;TEXT(ROW()-1,"00000"),"")</f>
        <v/>
      </c>
      <c r="B2162" s="14">
        <f>IF(F2162&lt;&gt;"","错误","")</f>
        <v/>
      </c>
      <c r="C2162" s="14">
        <f>IF('06_建筑锚点'!A162&lt;&gt;"","06_建筑锚点","")</f>
        <v/>
      </c>
      <c r="D2162" s="14">
        <f>IF('06_建筑锚点'!A162&lt;&gt;"",'06_建筑锚点'!A162,"")</f>
        <v/>
      </c>
      <c r="E2162" s="14">
        <f>IF(F2162&lt;&gt;"","综合校验","")</f>
        <v/>
      </c>
      <c r="F2162" s="14">
        <f>IF('06_建筑锚点'!A162&lt;&gt;"",IF('06_建筑锚点'!A162="","缺少建筑ID；","")&amp;IF('06_建筑锚点'!B162="","缺少建筑名称；","")&amp;IF('06_建筑锚点'!C162="","缺少建筑类型；","")&amp;IF('06_建筑锚点'!D162="","缺少所属地点ID；","")&amp;IF('06_建筑锚点'!F162="","缺少世界X；","")&amp;IF('06_建筑锚点'!G162="","缺少世界Y；","")&amp;IF(AND('06_建筑锚点'!F162&lt;&gt;"",OR('06_建筑锚点'!F162&lt;0,'06_建筑锚点'!F162&gt;WorldWidth)),"世界X越界；","")&amp;IF(AND('06_建筑锚点'!G162&lt;&gt;"",OR('06_建筑锚点'!G162&lt;0,'06_建筑锚点'!G162&gt;WorldHeight)),"世界Y越界；","")&amp;IF(AND('06_建筑锚点'!D162&lt;&gt;"",COUNTIF('03_地点锚点'!$A$2:$A$501,'06_建筑锚点'!D162)=0),"建筑所属地点不存在；","")&amp;IF(AND('06_建筑锚点'!T162&lt;&gt;"",COUNTIF('07_动态状态'!$A$2:$A$501,'06_建筑锚点'!T162)=0),"运营状态编码不存在；","")&amp;IF(AND('06_建筑锚点'!A162&lt;&gt;"",COUNTIF('06_建筑锚点'!$A$2:$A$501,'06_建筑锚点'!A162)&gt;1),"ID重复；",""),"")</f>
        <v/>
      </c>
      <c r="G2162" s="14">
        <f>IF(F2162&lt;&gt;"","按字段批注、数据字典和来源记录修正后复核","")</f>
        <v/>
      </c>
      <c r="H2162" s="14">
        <f>IF(F2162&lt;&gt;"","待处理","")</f>
        <v/>
      </c>
    </row>
    <row r="2163">
      <c r="A2163" s="14">
        <f>IF(F2163&lt;&gt;"","ISSUE-"&amp;TEXT(ROW()-1,"00000"),"")</f>
        <v/>
      </c>
      <c r="B2163" s="14">
        <f>IF(F2163&lt;&gt;"","错误","")</f>
        <v/>
      </c>
      <c r="C2163" s="14">
        <f>IF('06_建筑锚点'!A163&lt;&gt;"","06_建筑锚点","")</f>
        <v/>
      </c>
      <c r="D2163" s="14">
        <f>IF('06_建筑锚点'!A163&lt;&gt;"",'06_建筑锚点'!A163,"")</f>
        <v/>
      </c>
      <c r="E2163" s="14">
        <f>IF(F2163&lt;&gt;"","综合校验","")</f>
        <v/>
      </c>
      <c r="F2163" s="14">
        <f>IF('06_建筑锚点'!A163&lt;&gt;"",IF('06_建筑锚点'!A163="","缺少建筑ID；","")&amp;IF('06_建筑锚点'!B163="","缺少建筑名称；","")&amp;IF('06_建筑锚点'!C163="","缺少建筑类型；","")&amp;IF('06_建筑锚点'!D163="","缺少所属地点ID；","")&amp;IF('06_建筑锚点'!F163="","缺少世界X；","")&amp;IF('06_建筑锚点'!G163="","缺少世界Y；","")&amp;IF(AND('06_建筑锚点'!F163&lt;&gt;"",OR('06_建筑锚点'!F163&lt;0,'06_建筑锚点'!F163&gt;WorldWidth)),"世界X越界；","")&amp;IF(AND('06_建筑锚点'!G163&lt;&gt;"",OR('06_建筑锚点'!G163&lt;0,'06_建筑锚点'!G163&gt;WorldHeight)),"世界Y越界；","")&amp;IF(AND('06_建筑锚点'!D163&lt;&gt;"",COUNTIF('03_地点锚点'!$A$2:$A$501,'06_建筑锚点'!D163)=0),"建筑所属地点不存在；","")&amp;IF(AND('06_建筑锚点'!T163&lt;&gt;"",COUNTIF('07_动态状态'!$A$2:$A$501,'06_建筑锚点'!T163)=0),"运营状态编码不存在；","")&amp;IF(AND('06_建筑锚点'!A163&lt;&gt;"",COUNTIF('06_建筑锚点'!$A$2:$A$501,'06_建筑锚点'!A163)&gt;1),"ID重复；",""),"")</f>
        <v/>
      </c>
      <c r="G2163" s="14">
        <f>IF(F2163&lt;&gt;"","按字段批注、数据字典和来源记录修正后复核","")</f>
        <v/>
      </c>
      <c r="H2163" s="14">
        <f>IF(F2163&lt;&gt;"","待处理","")</f>
        <v/>
      </c>
    </row>
    <row r="2164">
      <c r="A2164" s="14">
        <f>IF(F2164&lt;&gt;"","ISSUE-"&amp;TEXT(ROW()-1,"00000"),"")</f>
        <v/>
      </c>
      <c r="B2164" s="14">
        <f>IF(F2164&lt;&gt;"","错误","")</f>
        <v/>
      </c>
      <c r="C2164" s="14">
        <f>IF('06_建筑锚点'!A164&lt;&gt;"","06_建筑锚点","")</f>
        <v/>
      </c>
      <c r="D2164" s="14">
        <f>IF('06_建筑锚点'!A164&lt;&gt;"",'06_建筑锚点'!A164,"")</f>
        <v/>
      </c>
      <c r="E2164" s="14">
        <f>IF(F2164&lt;&gt;"","综合校验","")</f>
        <v/>
      </c>
      <c r="F2164" s="14">
        <f>IF('06_建筑锚点'!A164&lt;&gt;"",IF('06_建筑锚点'!A164="","缺少建筑ID；","")&amp;IF('06_建筑锚点'!B164="","缺少建筑名称；","")&amp;IF('06_建筑锚点'!C164="","缺少建筑类型；","")&amp;IF('06_建筑锚点'!D164="","缺少所属地点ID；","")&amp;IF('06_建筑锚点'!F164="","缺少世界X；","")&amp;IF('06_建筑锚点'!G164="","缺少世界Y；","")&amp;IF(AND('06_建筑锚点'!F164&lt;&gt;"",OR('06_建筑锚点'!F164&lt;0,'06_建筑锚点'!F164&gt;WorldWidth)),"世界X越界；","")&amp;IF(AND('06_建筑锚点'!G164&lt;&gt;"",OR('06_建筑锚点'!G164&lt;0,'06_建筑锚点'!G164&gt;WorldHeight)),"世界Y越界；","")&amp;IF(AND('06_建筑锚点'!D164&lt;&gt;"",COUNTIF('03_地点锚点'!$A$2:$A$501,'06_建筑锚点'!D164)=0),"建筑所属地点不存在；","")&amp;IF(AND('06_建筑锚点'!T164&lt;&gt;"",COUNTIF('07_动态状态'!$A$2:$A$501,'06_建筑锚点'!T164)=0),"运营状态编码不存在；","")&amp;IF(AND('06_建筑锚点'!A164&lt;&gt;"",COUNTIF('06_建筑锚点'!$A$2:$A$501,'06_建筑锚点'!A164)&gt;1),"ID重复；",""),"")</f>
        <v/>
      </c>
      <c r="G2164" s="14">
        <f>IF(F2164&lt;&gt;"","按字段批注、数据字典和来源记录修正后复核","")</f>
        <v/>
      </c>
      <c r="H2164" s="14">
        <f>IF(F2164&lt;&gt;"","待处理","")</f>
        <v/>
      </c>
    </row>
    <row r="2165">
      <c r="A2165" s="14">
        <f>IF(F2165&lt;&gt;"","ISSUE-"&amp;TEXT(ROW()-1,"00000"),"")</f>
        <v/>
      </c>
      <c r="B2165" s="14">
        <f>IF(F2165&lt;&gt;"","错误","")</f>
        <v/>
      </c>
      <c r="C2165" s="14">
        <f>IF('06_建筑锚点'!A165&lt;&gt;"","06_建筑锚点","")</f>
        <v/>
      </c>
      <c r="D2165" s="14">
        <f>IF('06_建筑锚点'!A165&lt;&gt;"",'06_建筑锚点'!A165,"")</f>
        <v/>
      </c>
      <c r="E2165" s="14">
        <f>IF(F2165&lt;&gt;"","综合校验","")</f>
        <v/>
      </c>
      <c r="F2165" s="14">
        <f>IF('06_建筑锚点'!A165&lt;&gt;"",IF('06_建筑锚点'!A165="","缺少建筑ID；","")&amp;IF('06_建筑锚点'!B165="","缺少建筑名称；","")&amp;IF('06_建筑锚点'!C165="","缺少建筑类型；","")&amp;IF('06_建筑锚点'!D165="","缺少所属地点ID；","")&amp;IF('06_建筑锚点'!F165="","缺少世界X；","")&amp;IF('06_建筑锚点'!G165="","缺少世界Y；","")&amp;IF(AND('06_建筑锚点'!F165&lt;&gt;"",OR('06_建筑锚点'!F165&lt;0,'06_建筑锚点'!F165&gt;WorldWidth)),"世界X越界；","")&amp;IF(AND('06_建筑锚点'!G165&lt;&gt;"",OR('06_建筑锚点'!G165&lt;0,'06_建筑锚点'!G165&gt;WorldHeight)),"世界Y越界；","")&amp;IF(AND('06_建筑锚点'!D165&lt;&gt;"",COUNTIF('03_地点锚点'!$A$2:$A$501,'06_建筑锚点'!D165)=0),"建筑所属地点不存在；","")&amp;IF(AND('06_建筑锚点'!T165&lt;&gt;"",COUNTIF('07_动态状态'!$A$2:$A$501,'06_建筑锚点'!T165)=0),"运营状态编码不存在；","")&amp;IF(AND('06_建筑锚点'!A165&lt;&gt;"",COUNTIF('06_建筑锚点'!$A$2:$A$501,'06_建筑锚点'!A165)&gt;1),"ID重复；",""),"")</f>
        <v/>
      </c>
      <c r="G2165" s="14">
        <f>IF(F2165&lt;&gt;"","按字段批注、数据字典和来源记录修正后复核","")</f>
        <v/>
      </c>
      <c r="H2165" s="14">
        <f>IF(F2165&lt;&gt;"","待处理","")</f>
        <v/>
      </c>
    </row>
    <row r="2166">
      <c r="A2166" s="14">
        <f>IF(F2166&lt;&gt;"","ISSUE-"&amp;TEXT(ROW()-1,"00000"),"")</f>
        <v/>
      </c>
      <c r="B2166" s="14">
        <f>IF(F2166&lt;&gt;"","错误","")</f>
        <v/>
      </c>
      <c r="C2166" s="14">
        <f>IF('06_建筑锚点'!A166&lt;&gt;"","06_建筑锚点","")</f>
        <v/>
      </c>
      <c r="D2166" s="14">
        <f>IF('06_建筑锚点'!A166&lt;&gt;"",'06_建筑锚点'!A166,"")</f>
        <v/>
      </c>
      <c r="E2166" s="14">
        <f>IF(F2166&lt;&gt;"","综合校验","")</f>
        <v/>
      </c>
      <c r="F2166" s="14">
        <f>IF('06_建筑锚点'!A166&lt;&gt;"",IF('06_建筑锚点'!A166="","缺少建筑ID；","")&amp;IF('06_建筑锚点'!B166="","缺少建筑名称；","")&amp;IF('06_建筑锚点'!C166="","缺少建筑类型；","")&amp;IF('06_建筑锚点'!D166="","缺少所属地点ID；","")&amp;IF('06_建筑锚点'!F166="","缺少世界X；","")&amp;IF('06_建筑锚点'!G166="","缺少世界Y；","")&amp;IF(AND('06_建筑锚点'!F166&lt;&gt;"",OR('06_建筑锚点'!F166&lt;0,'06_建筑锚点'!F166&gt;WorldWidth)),"世界X越界；","")&amp;IF(AND('06_建筑锚点'!G166&lt;&gt;"",OR('06_建筑锚点'!G166&lt;0,'06_建筑锚点'!G166&gt;WorldHeight)),"世界Y越界；","")&amp;IF(AND('06_建筑锚点'!D166&lt;&gt;"",COUNTIF('03_地点锚点'!$A$2:$A$501,'06_建筑锚点'!D166)=0),"建筑所属地点不存在；","")&amp;IF(AND('06_建筑锚点'!T166&lt;&gt;"",COUNTIF('07_动态状态'!$A$2:$A$501,'06_建筑锚点'!T166)=0),"运营状态编码不存在；","")&amp;IF(AND('06_建筑锚点'!A166&lt;&gt;"",COUNTIF('06_建筑锚点'!$A$2:$A$501,'06_建筑锚点'!A166)&gt;1),"ID重复；",""),"")</f>
        <v/>
      </c>
      <c r="G2166" s="14">
        <f>IF(F2166&lt;&gt;"","按字段批注、数据字典和来源记录修正后复核","")</f>
        <v/>
      </c>
      <c r="H2166" s="14">
        <f>IF(F2166&lt;&gt;"","待处理","")</f>
        <v/>
      </c>
    </row>
    <row r="2167">
      <c r="A2167" s="14">
        <f>IF(F2167&lt;&gt;"","ISSUE-"&amp;TEXT(ROW()-1,"00000"),"")</f>
        <v/>
      </c>
      <c r="B2167" s="14">
        <f>IF(F2167&lt;&gt;"","错误","")</f>
        <v/>
      </c>
      <c r="C2167" s="14">
        <f>IF('06_建筑锚点'!A167&lt;&gt;"","06_建筑锚点","")</f>
        <v/>
      </c>
      <c r="D2167" s="14">
        <f>IF('06_建筑锚点'!A167&lt;&gt;"",'06_建筑锚点'!A167,"")</f>
        <v/>
      </c>
      <c r="E2167" s="14">
        <f>IF(F2167&lt;&gt;"","综合校验","")</f>
        <v/>
      </c>
      <c r="F2167" s="14">
        <f>IF('06_建筑锚点'!A167&lt;&gt;"",IF('06_建筑锚点'!A167="","缺少建筑ID；","")&amp;IF('06_建筑锚点'!B167="","缺少建筑名称；","")&amp;IF('06_建筑锚点'!C167="","缺少建筑类型；","")&amp;IF('06_建筑锚点'!D167="","缺少所属地点ID；","")&amp;IF('06_建筑锚点'!F167="","缺少世界X；","")&amp;IF('06_建筑锚点'!G167="","缺少世界Y；","")&amp;IF(AND('06_建筑锚点'!F167&lt;&gt;"",OR('06_建筑锚点'!F167&lt;0,'06_建筑锚点'!F167&gt;WorldWidth)),"世界X越界；","")&amp;IF(AND('06_建筑锚点'!G167&lt;&gt;"",OR('06_建筑锚点'!G167&lt;0,'06_建筑锚点'!G167&gt;WorldHeight)),"世界Y越界；","")&amp;IF(AND('06_建筑锚点'!D167&lt;&gt;"",COUNTIF('03_地点锚点'!$A$2:$A$501,'06_建筑锚点'!D167)=0),"建筑所属地点不存在；","")&amp;IF(AND('06_建筑锚点'!T167&lt;&gt;"",COUNTIF('07_动态状态'!$A$2:$A$501,'06_建筑锚点'!T167)=0),"运营状态编码不存在；","")&amp;IF(AND('06_建筑锚点'!A167&lt;&gt;"",COUNTIF('06_建筑锚点'!$A$2:$A$501,'06_建筑锚点'!A167)&gt;1),"ID重复；",""),"")</f>
        <v/>
      </c>
      <c r="G2167" s="14">
        <f>IF(F2167&lt;&gt;"","按字段批注、数据字典和来源记录修正后复核","")</f>
        <v/>
      </c>
      <c r="H2167" s="14">
        <f>IF(F2167&lt;&gt;"","待处理","")</f>
        <v/>
      </c>
    </row>
    <row r="2168">
      <c r="A2168" s="14">
        <f>IF(F2168&lt;&gt;"","ISSUE-"&amp;TEXT(ROW()-1,"00000"),"")</f>
        <v/>
      </c>
      <c r="B2168" s="14">
        <f>IF(F2168&lt;&gt;"","错误","")</f>
        <v/>
      </c>
      <c r="C2168" s="14">
        <f>IF('06_建筑锚点'!A168&lt;&gt;"","06_建筑锚点","")</f>
        <v/>
      </c>
      <c r="D2168" s="14">
        <f>IF('06_建筑锚点'!A168&lt;&gt;"",'06_建筑锚点'!A168,"")</f>
        <v/>
      </c>
      <c r="E2168" s="14">
        <f>IF(F2168&lt;&gt;"","综合校验","")</f>
        <v/>
      </c>
      <c r="F2168" s="14">
        <f>IF('06_建筑锚点'!A168&lt;&gt;"",IF('06_建筑锚点'!A168="","缺少建筑ID；","")&amp;IF('06_建筑锚点'!B168="","缺少建筑名称；","")&amp;IF('06_建筑锚点'!C168="","缺少建筑类型；","")&amp;IF('06_建筑锚点'!D168="","缺少所属地点ID；","")&amp;IF('06_建筑锚点'!F168="","缺少世界X；","")&amp;IF('06_建筑锚点'!G168="","缺少世界Y；","")&amp;IF(AND('06_建筑锚点'!F168&lt;&gt;"",OR('06_建筑锚点'!F168&lt;0,'06_建筑锚点'!F168&gt;WorldWidth)),"世界X越界；","")&amp;IF(AND('06_建筑锚点'!G168&lt;&gt;"",OR('06_建筑锚点'!G168&lt;0,'06_建筑锚点'!G168&gt;WorldHeight)),"世界Y越界；","")&amp;IF(AND('06_建筑锚点'!D168&lt;&gt;"",COUNTIF('03_地点锚点'!$A$2:$A$501,'06_建筑锚点'!D168)=0),"建筑所属地点不存在；","")&amp;IF(AND('06_建筑锚点'!T168&lt;&gt;"",COUNTIF('07_动态状态'!$A$2:$A$501,'06_建筑锚点'!T168)=0),"运营状态编码不存在；","")&amp;IF(AND('06_建筑锚点'!A168&lt;&gt;"",COUNTIF('06_建筑锚点'!$A$2:$A$501,'06_建筑锚点'!A168)&gt;1),"ID重复；",""),"")</f>
        <v/>
      </c>
      <c r="G2168" s="14">
        <f>IF(F2168&lt;&gt;"","按字段批注、数据字典和来源记录修正后复核","")</f>
        <v/>
      </c>
      <c r="H2168" s="14">
        <f>IF(F2168&lt;&gt;"","待处理","")</f>
        <v/>
      </c>
    </row>
    <row r="2169">
      <c r="A2169" s="14">
        <f>IF(F2169&lt;&gt;"","ISSUE-"&amp;TEXT(ROW()-1,"00000"),"")</f>
        <v/>
      </c>
      <c r="B2169" s="14">
        <f>IF(F2169&lt;&gt;"","错误","")</f>
        <v/>
      </c>
      <c r="C2169" s="14">
        <f>IF('06_建筑锚点'!A169&lt;&gt;"","06_建筑锚点","")</f>
        <v/>
      </c>
      <c r="D2169" s="14">
        <f>IF('06_建筑锚点'!A169&lt;&gt;"",'06_建筑锚点'!A169,"")</f>
        <v/>
      </c>
      <c r="E2169" s="14">
        <f>IF(F2169&lt;&gt;"","综合校验","")</f>
        <v/>
      </c>
      <c r="F2169" s="14">
        <f>IF('06_建筑锚点'!A169&lt;&gt;"",IF('06_建筑锚点'!A169="","缺少建筑ID；","")&amp;IF('06_建筑锚点'!B169="","缺少建筑名称；","")&amp;IF('06_建筑锚点'!C169="","缺少建筑类型；","")&amp;IF('06_建筑锚点'!D169="","缺少所属地点ID；","")&amp;IF('06_建筑锚点'!F169="","缺少世界X；","")&amp;IF('06_建筑锚点'!G169="","缺少世界Y；","")&amp;IF(AND('06_建筑锚点'!F169&lt;&gt;"",OR('06_建筑锚点'!F169&lt;0,'06_建筑锚点'!F169&gt;WorldWidth)),"世界X越界；","")&amp;IF(AND('06_建筑锚点'!G169&lt;&gt;"",OR('06_建筑锚点'!G169&lt;0,'06_建筑锚点'!G169&gt;WorldHeight)),"世界Y越界；","")&amp;IF(AND('06_建筑锚点'!D169&lt;&gt;"",COUNTIF('03_地点锚点'!$A$2:$A$501,'06_建筑锚点'!D169)=0),"建筑所属地点不存在；","")&amp;IF(AND('06_建筑锚点'!T169&lt;&gt;"",COUNTIF('07_动态状态'!$A$2:$A$501,'06_建筑锚点'!T169)=0),"运营状态编码不存在；","")&amp;IF(AND('06_建筑锚点'!A169&lt;&gt;"",COUNTIF('06_建筑锚点'!$A$2:$A$501,'06_建筑锚点'!A169)&gt;1),"ID重复；",""),"")</f>
        <v/>
      </c>
      <c r="G2169" s="14">
        <f>IF(F2169&lt;&gt;"","按字段批注、数据字典和来源记录修正后复核","")</f>
        <v/>
      </c>
      <c r="H2169" s="14">
        <f>IF(F2169&lt;&gt;"","待处理","")</f>
        <v/>
      </c>
    </row>
    <row r="2170">
      <c r="A2170" s="14">
        <f>IF(F2170&lt;&gt;"","ISSUE-"&amp;TEXT(ROW()-1,"00000"),"")</f>
        <v/>
      </c>
      <c r="B2170" s="14">
        <f>IF(F2170&lt;&gt;"","错误","")</f>
        <v/>
      </c>
      <c r="C2170" s="14">
        <f>IF('06_建筑锚点'!A170&lt;&gt;"","06_建筑锚点","")</f>
        <v/>
      </c>
      <c r="D2170" s="14">
        <f>IF('06_建筑锚点'!A170&lt;&gt;"",'06_建筑锚点'!A170,"")</f>
        <v/>
      </c>
      <c r="E2170" s="14">
        <f>IF(F2170&lt;&gt;"","综合校验","")</f>
        <v/>
      </c>
      <c r="F2170" s="14">
        <f>IF('06_建筑锚点'!A170&lt;&gt;"",IF('06_建筑锚点'!A170="","缺少建筑ID；","")&amp;IF('06_建筑锚点'!B170="","缺少建筑名称；","")&amp;IF('06_建筑锚点'!C170="","缺少建筑类型；","")&amp;IF('06_建筑锚点'!D170="","缺少所属地点ID；","")&amp;IF('06_建筑锚点'!F170="","缺少世界X；","")&amp;IF('06_建筑锚点'!G170="","缺少世界Y；","")&amp;IF(AND('06_建筑锚点'!F170&lt;&gt;"",OR('06_建筑锚点'!F170&lt;0,'06_建筑锚点'!F170&gt;WorldWidth)),"世界X越界；","")&amp;IF(AND('06_建筑锚点'!G170&lt;&gt;"",OR('06_建筑锚点'!G170&lt;0,'06_建筑锚点'!G170&gt;WorldHeight)),"世界Y越界；","")&amp;IF(AND('06_建筑锚点'!D170&lt;&gt;"",COUNTIF('03_地点锚点'!$A$2:$A$501,'06_建筑锚点'!D170)=0),"建筑所属地点不存在；","")&amp;IF(AND('06_建筑锚点'!T170&lt;&gt;"",COUNTIF('07_动态状态'!$A$2:$A$501,'06_建筑锚点'!T170)=0),"运营状态编码不存在；","")&amp;IF(AND('06_建筑锚点'!A170&lt;&gt;"",COUNTIF('06_建筑锚点'!$A$2:$A$501,'06_建筑锚点'!A170)&gt;1),"ID重复；",""),"")</f>
        <v/>
      </c>
      <c r="G2170" s="14">
        <f>IF(F2170&lt;&gt;"","按字段批注、数据字典和来源记录修正后复核","")</f>
        <v/>
      </c>
      <c r="H2170" s="14">
        <f>IF(F2170&lt;&gt;"","待处理","")</f>
        <v/>
      </c>
    </row>
    <row r="2171">
      <c r="A2171" s="14">
        <f>IF(F2171&lt;&gt;"","ISSUE-"&amp;TEXT(ROW()-1,"00000"),"")</f>
        <v/>
      </c>
      <c r="B2171" s="14">
        <f>IF(F2171&lt;&gt;"","错误","")</f>
        <v/>
      </c>
      <c r="C2171" s="14">
        <f>IF('06_建筑锚点'!A171&lt;&gt;"","06_建筑锚点","")</f>
        <v/>
      </c>
      <c r="D2171" s="14">
        <f>IF('06_建筑锚点'!A171&lt;&gt;"",'06_建筑锚点'!A171,"")</f>
        <v/>
      </c>
      <c r="E2171" s="14">
        <f>IF(F2171&lt;&gt;"","综合校验","")</f>
        <v/>
      </c>
      <c r="F2171" s="14">
        <f>IF('06_建筑锚点'!A171&lt;&gt;"",IF('06_建筑锚点'!A171="","缺少建筑ID；","")&amp;IF('06_建筑锚点'!B171="","缺少建筑名称；","")&amp;IF('06_建筑锚点'!C171="","缺少建筑类型；","")&amp;IF('06_建筑锚点'!D171="","缺少所属地点ID；","")&amp;IF('06_建筑锚点'!F171="","缺少世界X；","")&amp;IF('06_建筑锚点'!G171="","缺少世界Y；","")&amp;IF(AND('06_建筑锚点'!F171&lt;&gt;"",OR('06_建筑锚点'!F171&lt;0,'06_建筑锚点'!F171&gt;WorldWidth)),"世界X越界；","")&amp;IF(AND('06_建筑锚点'!G171&lt;&gt;"",OR('06_建筑锚点'!G171&lt;0,'06_建筑锚点'!G171&gt;WorldHeight)),"世界Y越界；","")&amp;IF(AND('06_建筑锚点'!D171&lt;&gt;"",COUNTIF('03_地点锚点'!$A$2:$A$501,'06_建筑锚点'!D171)=0),"建筑所属地点不存在；","")&amp;IF(AND('06_建筑锚点'!T171&lt;&gt;"",COUNTIF('07_动态状态'!$A$2:$A$501,'06_建筑锚点'!T171)=0),"运营状态编码不存在；","")&amp;IF(AND('06_建筑锚点'!A171&lt;&gt;"",COUNTIF('06_建筑锚点'!$A$2:$A$501,'06_建筑锚点'!A171)&gt;1),"ID重复；",""),"")</f>
        <v/>
      </c>
      <c r="G2171" s="14">
        <f>IF(F2171&lt;&gt;"","按字段批注、数据字典和来源记录修正后复核","")</f>
        <v/>
      </c>
      <c r="H2171" s="14">
        <f>IF(F2171&lt;&gt;"","待处理","")</f>
        <v/>
      </c>
    </row>
    <row r="2172">
      <c r="A2172" s="14">
        <f>IF(F2172&lt;&gt;"","ISSUE-"&amp;TEXT(ROW()-1,"00000"),"")</f>
        <v/>
      </c>
      <c r="B2172" s="14">
        <f>IF(F2172&lt;&gt;"","错误","")</f>
        <v/>
      </c>
      <c r="C2172" s="14">
        <f>IF('06_建筑锚点'!A172&lt;&gt;"","06_建筑锚点","")</f>
        <v/>
      </c>
      <c r="D2172" s="14">
        <f>IF('06_建筑锚点'!A172&lt;&gt;"",'06_建筑锚点'!A172,"")</f>
        <v/>
      </c>
      <c r="E2172" s="14">
        <f>IF(F2172&lt;&gt;"","综合校验","")</f>
        <v/>
      </c>
      <c r="F2172" s="14">
        <f>IF('06_建筑锚点'!A172&lt;&gt;"",IF('06_建筑锚点'!A172="","缺少建筑ID；","")&amp;IF('06_建筑锚点'!B172="","缺少建筑名称；","")&amp;IF('06_建筑锚点'!C172="","缺少建筑类型；","")&amp;IF('06_建筑锚点'!D172="","缺少所属地点ID；","")&amp;IF('06_建筑锚点'!F172="","缺少世界X；","")&amp;IF('06_建筑锚点'!G172="","缺少世界Y；","")&amp;IF(AND('06_建筑锚点'!F172&lt;&gt;"",OR('06_建筑锚点'!F172&lt;0,'06_建筑锚点'!F172&gt;WorldWidth)),"世界X越界；","")&amp;IF(AND('06_建筑锚点'!G172&lt;&gt;"",OR('06_建筑锚点'!G172&lt;0,'06_建筑锚点'!G172&gt;WorldHeight)),"世界Y越界；","")&amp;IF(AND('06_建筑锚点'!D172&lt;&gt;"",COUNTIF('03_地点锚点'!$A$2:$A$501,'06_建筑锚点'!D172)=0),"建筑所属地点不存在；","")&amp;IF(AND('06_建筑锚点'!T172&lt;&gt;"",COUNTIF('07_动态状态'!$A$2:$A$501,'06_建筑锚点'!T172)=0),"运营状态编码不存在；","")&amp;IF(AND('06_建筑锚点'!A172&lt;&gt;"",COUNTIF('06_建筑锚点'!$A$2:$A$501,'06_建筑锚点'!A172)&gt;1),"ID重复；",""),"")</f>
        <v/>
      </c>
      <c r="G2172" s="14">
        <f>IF(F2172&lt;&gt;"","按字段批注、数据字典和来源记录修正后复核","")</f>
        <v/>
      </c>
      <c r="H2172" s="14">
        <f>IF(F2172&lt;&gt;"","待处理","")</f>
        <v/>
      </c>
    </row>
    <row r="2173">
      <c r="A2173" s="14">
        <f>IF(F2173&lt;&gt;"","ISSUE-"&amp;TEXT(ROW()-1,"00000"),"")</f>
        <v/>
      </c>
      <c r="B2173" s="14">
        <f>IF(F2173&lt;&gt;"","错误","")</f>
        <v/>
      </c>
      <c r="C2173" s="14">
        <f>IF('06_建筑锚点'!A173&lt;&gt;"","06_建筑锚点","")</f>
        <v/>
      </c>
      <c r="D2173" s="14">
        <f>IF('06_建筑锚点'!A173&lt;&gt;"",'06_建筑锚点'!A173,"")</f>
        <v/>
      </c>
      <c r="E2173" s="14">
        <f>IF(F2173&lt;&gt;"","综合校验","")</f>
        <v/>
      </c>
      <c r="F2173" s="14">
        <f>IF('06_建筑锚点'!A173&lt;&gt;"",IF('06_建筑锚点'!A173="","缺少建筑ID；","")&amp;IF('06_建筑锚点'!B173="","缺少建筑名称；","")&amp;IF('06_建筑锚点'!C173="","缺少建筑类型；","")&amp;IF('06_建筑锚点'!D173="","缺少所属地点ID；","")&amp;IF('06_建筑锚点'!F173="","缺少世界X；","")&amp;IF('06_建筑锚点'!G173="","缺少世界Y；","")&amp;IF(AND('06_建筑锚点'!F173&lt;&gt;"",OR('06_建筑锚点'!F173&lt;0,'06_建筑锚点'!F173&gt;WorldWidth)),"世界X越界；","")&amp;IF(AND('06_建筑锚点'!G173&lt;&gt;"",OR('06_建筑锚点'!G173&lt;0,'06_建筑锚点'!G173&gt;WorldHeight)),"世界Y越界；","")&amp;IF(AND('06_建筑锚点'!D173&lt;&gt;"",COUNTIF('03_地点锚点'!$A$2:$A$501,'06_建筑锚点'!D173)=0),"建筑所属地点不存在；","")&amp;IF(AND('06_建筑锚点'!T173&lt;&gt;"",COUNTIF('07_动态状态'!$A$2:$A$501,'06_建筑锚点'!T173)=0),"运营状态编码不存在；","")&amp;IF(AND('06_建筑锚点'!A173&lt;&gt;"",COUNTIF('06_建筑锚点'!$A$2:$A$501,'06_建筑锚点'!A173)&gt;1),"ID重复；",""),"")</f>
        <v/>
      </c>
      <c r="G2173" s="14">
        <f>IF(F2173&lt;&gt;"","按字段批注、数据字典和来源记录修正后复核","")</f>
        <v/>
      </c>
      <c r="H2173" s="14">
        <f>IF(F2173&lt;&gt;"","待处理","")</f>
        <v/>
      </c>
    </row>
    <row r="2174">
      <c r="A2174" s="14">
        <f>IF(F2174&lt;&gt;"","ISSUE-"&amp;TEXT(ROW()-1,"00000"),"")</f>
        <v/>
      </c>
      <c r="B2174" s="14">
        <f>IF(F2174&lt;&gt;"","错误","")</f>
        <v/>
      </c>
      <c r="C2174" s="14">
        <f>IF('06_建筑锚点'!A174&lt;&gt;"","06_建筑锚点","")</f>
        <v/>
      </c>
      <c r="D2174" s="14">
        <f>IF('06_建筑锚点'!A174&lt;&gt;"",'06_建筑锚点'!A174,"")</f>
        <v/>
      </c>
      <c r="E2174" s="14">
        <f>IF(F2174&lt;&gt;"","综合校验","")</f>
        <v/>
      </c>
      <c r="F2174" s="14">
        <f>IF('06_建筑锚点'!A174&lt;&gt;"",IF('06_建筑锚点'!A174="","缺少建筑ID；","")&amp;IF('06_建筑锚点'!B174="","缺少建筑名称；","")&amp;IF('06_建筑锚点'!C174="","缺少建筑类型；","")&amp;IF('06_建筑锚点'!D174="","缺少所属地点ID；","")&amp;IF('06_建筑锚点'!F174="","缺少世界X；","")&amp;IF('06_建筑锚点'!G174="","缺少世界Y；","")&amp;IF(AND('06_建筑锚点'!F174&lt;&gt;"",OR('06_建筑锚点'!F174&lt;0,'06_建筑锚点'!F174&gt;WorldWidth)),"世界X越界；","")&amp;IF(AND('06_建筑锚点'!G174&lt;&gt;"",OR('06_建筑锚点'!G174&lt;0,'06_建筑锚点'!G174&gt;WorldHeight)),"世界Y越界；","")&amp;IF(AND('06_建筑锚点'!D174&lt;&gt;"",COUNTIF('03_地点锚点'!$A$2:$A$501,'06_建筑锚点'!D174)=0),"建筑所属地点不存在；","")&amp;IF(AND('06_建筑锚点'!T174&lt;&gt;"",COUNTIF('07_动态状态'!$A$2:$A$501,'06_建筑锚点'!T174)=0),"运营状态编码不存在；","")&amp;IF(AND('06_建筑锚点'!A174&lt;&gt;"",COUNTIF('06_建筑锚点'!$A$2:$A$501,'06_建筑锚点'!A174)&gt;1),"ID重复；",""),"")</f>
        <v/>
      </c>
      <c r="G2174" s="14">
        <f>IF(F2174&lt;&gt;"","按字段批注、数据字典和来源记录修正后复核","")</f>
        <v/>
      </c>
      <c r="H2174" s="14">
        <f>IF(F2174&lt;&gt;"","待处理","")</f>
        <v/>
      </c>
    </row>
    <row r="2175">
      <c r="A2175" s="14">
        <f>IF(F2175&lt;&gt;"","ISSUE-"&amp;TEXT(ROW()-1,"00000"),"")</f>
        <v/>
      </c>
      <c r="B2175" s="14">
        <f>IF(F2175&lt;&gt;"","错误","")</f>
        <v/>
      </c>
      <c r="C2175" s="14">
        <f>IF('06_建筑锚点'!A175&lt;&gt;"","06_建筑锚点","")</f>
        <v/>
      </c>
      <c r="D2175" s="14">
        <f>IF('06_建筑锚点'!A175&lt;&gt;"",'06_建筑锚点'!A175,"")</f>
        <v/>
      </c>
      <c r="E2175" s="14">
        <f>IF(F2175&lt;&gt;"","综合校验","")</f>
        <v/>
      </c>
      <c r="F2175" s="14">
        <f>IF('06_建筑锚点'!A175&lt;&gt;"",IF('06_建筑锚点'!A175="","缺少建筑ID；","")&amp;IF('06_建筑锚点'!B175="","缺少建筑名称；","")&amp;IF('06_建筑锚点'!C175="","缺少建筑类型；","")&amp;IF('06_建筑锚点'!D175="","缺少所属地点ID；","")&amp;IF('06_建筑锚点'!F175="","缺少世界X；","")&amp;IF('06_建筑锚点'!G175="","缺少世界Y；","")&amp;IF(AND('06_建筑锚点'!F175&lt;&gt;"",OR('06_建筑锚点'!F175&lt;0,'06_建筑锚点'!F175&gt;WorldWidth)),"世界X越界；","")&amp;IF(AND('06_建筑锚点'!G175&lt;&gt;"",OR('06_建筑锚点'!G175&lt;0,'06_建筑锚点'!G175&gt;WorldHeight)),"世界Y越界；","")&amp;IF(AND('06_建筑锚点'!D175&lt;&gt;"",COUNTIF('03_地点锚点'!$A$2:$A$501,'06_建筑锚点'!D175)=0),"建筑所属地点不存在；","")&amp;IF(AND('06_建筑锚点'!T175&lt;&gt;"",COUNTIF('07_动态状态'!$A$2:$A$501,'06_建筑锚点'!T175)=0),"运营状态编码不存在；","")&amp;IF(AND('06_建筑锚点'!A175&lt;&gt;"",COUNTIF('06_建筑锚点'!$A$2:$A$501,'06_建筑锚点'!A175)&gt;1),"ID重复；",""),"")</f>
        <v/>
      </c>
      <c r="G2175" s="14">
        <f>IF(F2175&lt;&gt;"","按字段批注、数据字典和来源记录修正后复核","")</f>
        <v/>
      </c>
      <c r="H2175" s="14">
        <f>IF(F2175&lt;&gt;"","待处理","")</f>
        <v/>
      </c>
    </row>
    <row r="2176">
      <c r="A2176" s="14">
        <f>IF(F2176&lt;&gt;"","ISSUE-"&amp;TEXT(ROW()-1,"00000"),"")</f>
        <v/>
      </c>
      <c r="B2176" s="14">
        <f>IF(F2176&lt;&gt;"","错误","")</f>
        <v/>
      </c>
      <c r="C2176" s="14">
        <f>IF('06_建筑锚点'!A176&lt;&gt;"","06_建筑锚点","")</f>
        <v/>
      </c>
      <c r="D2176" s="14">
        <f>IF('06_建筑锚点'!A176&lt;&gt;"",'06_建筑锚点'!A176,"")</f>
        <v/>
      </c>
      <c r="E2176" s="14">
        <f>IF(F2176&lt;&gt;"","综合校验","")</f>
        <v/>
      </c>
      <c r="F2176" s="14">
        <f>IF('06_建筑锚点'!A176&lt;&gt;"",IF('06_建筑锚点'!A176="","缺少建筑ID；","")&amp;IF('06_建筑锚点'!B176="","缺少建筑名称；","")&amp;IF('06_建筑锚点'!C176="","缺少建筑类型；","")&amp;IF('06_建筑锚点'!D176="","缺少所属地点ID；","")&amp;IF('06_建筑锚点'!F176="","缺少世界X；","")&amp;IF('06_建筑锚点'!G176="","缺少世界Y；","")&amp;IF(AND('06_建筑锚点'!F176&lt;&gt;"",OR('06_建筑锚点'!F176&lt;0,'06_建筑锚点'!F176&gt;WorldWidth)),"世界X越界；","")&amp;IF(AND('06_建筑锚点'!G176&lt;&gt;"",OR('06_建筑锚点'!G176&lt;0,'06_建筑锚点'!G176&gt;WorldHeight)),"世界Y越界；","")&amp;IF(AND('06_建筑锚点'!D176&lt;&gt;"",COUNTIF('03_地点锚点'!$A$2:$A$501,'06_建筑锚点'!D176)=0),"建筑所属地点不存在；","")&amp;IF(AND('06_建筑锚点'!T176&lt;&gt;"",COUNTIF('07_动态状态'!$A$2:$A$501,'06_建筑锚点'!T176)=0),"运营状态编码不存在；","")&amp;IF(AND('06_建筑锚点'!A176&lt;&gt;"",COUNTIF('06_建筑锚点'!$A$2:$A$501,'06_建筑锚点'!A176)&gt;1),"ID重复；",""),"")</f>
        <v/>
      </c>
      <c r="G2176" s="14">
        <f>IF(F2176&lt;&gt;"","按字段批注、数据字典和来源记录修正后复核","")</f>
        <v/>
      </c>
      <c r="H2176" s="14">
        <f>IF(F2176&lt;&gt;"","待处理","")</f>
        <v/>
      </c>
    </row>
    <row r="2177">
      <c r="A2177" s="14">
        <f>IF(F2177&lt;&gt;"","ISSUE-"&amp;TEXT(ROW()-1,"00000"),"")</f>
        <v/>
      </c>
      <c r="B2177" s="14">
        <f>IF(F2177&lt;&gt;"","错误","")</f>
        <v/>
      </c>
      <c r="C2177" s="14">
        <f>IF('06_建筑锚点'!A177&lt;&gt;"","06_建筑锚点","")</f>
        <v/>
      </c>
      <c r="D2177" s="14">
        <f>IF('06_建筑锚点'!A177&lt;&gt;"",'06_建筑锚点'!A177,"")</f>
        <v/>
      </c>
      <c r="E2177" s="14">
        <f>IF(F2177&lt;&gt;"","综合校验","")</f>
        <v/>
      </c>
      <c r="F2177" s="14">
        <f>IF('06_建筑锚点'!A177&lt;&gt;"",IF('06_建筑锚点'!A177="","缺少建筑ID；","")&amp;IF('06_建筑锚点'!B177="","缺少建筑名称；","")&amp;IF('06_建筑锚点'!C177="","缺少建筑类型；","")&amp;IF('06_建筑锚点'!D177="","缺少所属地点ID；","")&amp;IF('06_建筑锚点'!F177="","缺少世界X；","")&amp;IF('06_建筑锚点'!G177="","缺少世界Y；","")&amp;IF(AND('06_建筑锚点'!F177&lt;&gt;"",OR('06_建筑锚点'!F177&lt;0,'06_建筑锚点'!F177&gt;WorldWidth)),"世界X越界；","")&amp;IF(AND('06_建筑锚点'!G177&lt;&gt;"",OR('06_建筑锚点'!G177&lt;0,'06_建筑锚点'!G177&gt;WorldHeight)),"世界Y越界；","")&amp;IF(AND('06_建筑锚点'!D177&lt;&gt;"",COUNTIF('03_地点锚点'!$A$2:$A$501,'06_建筑锚点'!D177)=0),"建筑所属地点不存在；","")&amp;IF(AND('06_建筑锚点'!T177&lt;&gt;"",COUNTIF('07_动态状态'!$A$2:$A$501,'06_建筑锚点'!T177)=0),"运营状态编码不存在；","")&amp;IF(AND('06_建筑锚点'!A177&lt;&gt;"",COUNTIF('06_建筑锚点'!$A$2:$A$501,'06_建筑锚点'!A177)&gt;1),"ID重复；",""),"")</f>
        <v/>
      </c>
      <c r="G2177" s="14">
        <f>IF(F2177&lt;&gt;"","按字段批注、数据字典和来源记录修正后复核","")</f>
        <v/>
      </c>
      <c r="H2177" s="14">
        <f>IF(F2177&lt;&gt;"","待处理","")</f>
        <v/>
      </c>
    </row>
    <row r="2178">
      <c r="A2178" s="14">
        <f>IF(F2178&lt;&gt;"","ISSUE-"&amp;TEXT(ROW()-1,"00000"),"")</f>
        <v/>
      </c>
      <c r="B2178" s="14">
        <f>IF(F2178&lt;&gt;"","错误","")</f>
        <v/>
      </c>
      <c r="C2178" s="14">
        <f>IF('06_建筑锚点'!A178&lt;&gt;"","06_建筑锚点","")</f>
        <v/>
      </c>
      <c r="D2178" s="14">
        <f>IF('06_建筑锚点'!A178&lt;&gt;"",'06_建筑锚点'!A178,"")</f>
        <v/>
      </c>
      <c r="E2178" s="14">
        <f>IF(F2178&lt;&gt;"","综合校验","")</f>
        <v/>
      </c>
      <c r="F2178" s="14">
        <f>IF('06_建筑锚点'!A178&lt;&gt;"",IF('06_建筑锚点'!A178="","缺少建筑ID；","")&amp;IF('06_建筑锚点'!B178="","缺少建筑名称；","")&amp;IF('06_建筑锚点'!C178="","缺少建筑类型；","")&amp;IF('06_建筑锚点'!D178="","缺少所属地点ID；","")&amp;IF('06_建筑锚点'!F178="","缺少世界X；","")&amp;IF('06_建筑锚点'!G178="","缺少世界Y；","")&amp;IF(AND('06_建筑锚点'!F178&lt;&gt;"",OR('06_建筑锚点'!F178&lt;0,'06_建筑锚点'!F178&gt;WorldWidth)),"世界X越界；","")&amp;IF(AND('06_建筑锚点'!G178&lt;&gt;"",OR('06_建筑锚点'!G178&lt;0,'06_建筑锚点'!G178&gt;WorldHeight)),"世界Y越界；","")&amp;IF(AND('06_建筑锚点'!D178&lt;&gt;"",COUNTIF('03_地点锚点'!$A$2:$A$501,'06_建筑锚点'!D178)=0),"建筑所属地点不存在；","")&amp;IF(AND('06_建筑锚点'!T178&lt;&gt;"",COUNTIF('07_动态状态'!$A$2:$A$501,'06_建筑锚点'!T178)=0),"运营状态编码不存在；","")&amp;IF(AND('06_建筑锚点'!A178&lt;&gt;"",COUNTIF('06_建筑锚点'!$A$2:$A$501,'06_建筑锚点'!A178)&gt;1),"ID重复；",""),"")</f>
        <v/>
      </c>
      <c r="G2178" s="14">
        <f>IF(F2178&lt;&gt;"","按字段批注、数据字典和来源记录修正后复核","")</f>
        <v/>
      </c>
      <c r="H2178" s="14">
        <f>IF(F2178&lt;&gt;"","待处理","")</f>
        <v/>
      </c>
    </row>
    <row r="2179">
      <c r="A2179" s="14">
        <f>IF(F2179&lt;&gt;"","ISSUE-"&amp;TEXT(ROW()-1,"00000"),"")</f>
        <v/>
      </c>
      <c r="B2179" s="14">
        <f>IF(F2179&lt;&gt;"","错误","")</f>
        <v/>
      </c>
      <c r="C2179" s="14">
        <f>IF('06_建筑锚点'!A179&lt;&gt;"","06_建筑锚点","")</f>
        <v/>
      </c>
      <c r="D2179" s="14">
        <f>IF('06_建筑锚点'!A179&lt;&gt;"",'06_建筑锚点'!A179,"")</f>
        <v/>
      </c>
      <c r="E2179" s="14">
        <f>IF(F2179&lt;&gt;"","综合校验","")</f>
        <v/>
      </c>
      <c r="F2179" s="14">
        <f>IF('06_建筑锚点'!A179&lt;&gt;"",IF('06_建筑锚点'!A179="","缺少建筑ID；","")&amp;IF('06_建筑锚点'!B179="","缺少建筑名称；","")&amp;IF('06_建筑锚点'!C179="","缺少建筑类型；","")&amp;IF('06_建筑锚点'!D179="","缺少所属地点ID；","")&amp;IF('06_建筑锚点'!F179="","缺少世界X；","")&amp;IF('06_建筑锚点'!G179="","缺少世界Y；","")&amp;IF(AND('06_建筑锚点'!F179&lt;&gt;"",OR('06_建筑锚点'!F179&lt;0,'06_建筑锚点'!F179&gt;WorldWidth)),"世界X越界；","")&amp;IF(AND('06_建筑锚点'!G179&lt;&gt;"",OR('06_建筑锚点'!G179&lt;0,'06_建筑锚点'!G179&gt;WorldHeight)),"世界Y越界；","")&amp;IF(AND('06_建筑锚点'!D179&lt;&gt;"",COUNTIF('03_地点锚点'!$A$2:$A$501,'06_建筑锚点'!D179)=0),"建筑所属地点不存在；","")&amp;IF(AND('06_建筑锚点'!T179&lt;&gt;"",COUNTIF('07_动态状态'!$A$2:$A$501,'06_建筑锚点'!T179)=0),"运营状态编码不存在；","")&amp;IF(AND('06_建筑锚点'!A179&lt;&gt;"",COUNTIF('06_建筑锚点'!$A$2:$A$501,'06_建筑锚点'!A179)&gt;1),"ID重复；",""),"")</f>
        <v/>
      </c>
      <c r="G2179" s="14">
        <f>IF(F2179&lt;&gt;"","按字段批注、数据字典和来源记录修正后复核","")</f>
        <v/>
      </c>
      <c r="H2179" s="14">
        <f>IF(F2179&lt;&gt;"","待处理","")</f>
        <v/>
      </c>
    </row>
    <row r="2180">
      <c r="A2180" s="14">
        <f>IF(F2180&lt;&gt;"","ISSUE-"&amp;TEXT(ROW()-1,"00000"),"")</f>
        <v/>
      </c>
      <c r="B2180" s="14">
        <f>IF(F2180&lt;&gt;"","错误","")</f>
        <v/>
      </c>
      <c r="C2180" s="14">
        <f>IF('06_建筑锚点'!A180&lt;&gt;"","06_建筑锚点","")</f>
        <v/>
      </c>
      <c r="D2180" s="14">
        <f>IF('06_建筑锚点'!A180&lt;&gt;"",'06_建筑锚点'!A180,"")</f>
        <v/>
      </c>
      <c r="E2180" s="14">
        <f>IF(F2180&lt;&gt;"","综合校验","")</f>
        <v/>
      </c>
      <c r="F2180" s="14">
        <f>IF('06_建筑锚点'!A180&lt;&gt;"",IF('06_建筑锚点'!A180="","缺少建筑ID；","")&amp;IF('06_建筑锚点'!B180="","缺少建筑名称；","")&amp;IF('06_建筑锚点'!C180="","缺少建筑类型；","")&amp;IF('06_建筑锚点'!D180="","缺少所属地点ID；","")&amp;IF('06_建筑锚点'!F180="","缺少世界X；","")&amp;IF('06_建筑锚点'!G180="","缺少世界Y；","")&amp;IF(AND('06_建筑锚点'!F180&lt;&gt;"",OR('06_建筑锚点'!F180&lt;0,'06_建筑锚点'!F180&gt;WorldWidth)),"世界X越界；","")&amp;IF(AND('06_建筑锚点'!G180&lt;&gt;"",OR('06_建筑锚点'!G180&lt;0,'06_建筑锚点'!G180&gt;WorldHeight)),"世界Y越界；","")&amp;IF(AND('06_建筑锚点'!D180&lt;&gt;"",COUNTIF('03_地点锚点'!$A$2:$A$501,'06_建筑锚点'!D180)=0),"建筑所属地点不存在；","")&amp;IF(AND('06_建筑锚点'!T180&lt;&gt;"",COUNTIF('07_动态状态'!$A$2:$A$501,'06_建筑锚点'!T180)=0),"运营状态编码不存在；","")&amp;IF(AND('06_建筑锚点'!A180&lt;&gt;"",COUNTIF('06_建筑锚点'!$A$2:$A$501,'06_建筑锚点'!A180)&gt;1),"ID重复；",""),"")</f>
        <v/>
      </c>
      <c r="G2180" s="14">
        <f>IF(F2180&lt;&gt;"","按字段批注、数据字典和来源记录修正后复核","")</f>
        <v/>
      </c>
      <c r="H2180" s="14">
        <f>IF(F2180&lt;&gt;"","待处理","")</f>
        <v/>
      </c>
    </row>
    <row r="2181">
      <c r="A2181" s="14">
        <f>IF(F2181&lt;&gt;"","ISSUE-"&amp;TEXT(ROW()-1,"00000"),"")</f>
        <v/>
      </c>
      <c r="B2181" s="14">
        <f>IF(F2181&lt;&gt;"","错误","")</f>
        <v/>
      </c>
      <c r="C2181" s="14">
        <f>IF('06_建筑锚点'!A181&lt;&gt;"","06_建筑锚点","")</f>
        <v/>
      </c>
      <c r="D2181" s="14">
        <f>IF('06_建筑锚点'!A181&lt;&gt;"",'06_建筑锚点'!A181,"")</f>
        <v/>
      </c>
      <c r="E2181" s="14">
        <f>IF(F2181&lt;&gt;"","综合校验","")</f>
        <v/>
      </c>
      <c r="F2181" s="14">
        <f>IF('06_建筑锚点'!A181&lt;&gt;"",IF('06_建筑锚点'!A181="","缺少建筑ID；","")&amp;IF('06_建筑锚点'!B181="","缺少建筑名称；","")&amp;IF('06_建筑锚点'!C181="","缺少建筑类型；","")&amp;IF('06_建筑锚点'!D181="","缺少所属地点ID；","")&amp;IF('06_建筑锚点'!F181="","缺少世界X；","")&amp;IF('06_建筑锚点'!G181="","缺少世界Y；","")&amp;IF(AND('06_建筑锚点'!F181&lt;&gt;"",OR('06_建筑锚点'!F181&lt;0,'06_建筑锚点'!F181&gt;WorldWidth)),"世界X越界；","")&amp;IF(AND('06_建筑锚点'!G181&lt;&gt;"",OR('06_建筑锚点'!G181&lt;0,'06_建筑锚点'!G181&gt;WorldHeight)),"世界Y越界；","")&amp;IF(AND('06_建筑锚点'!D181&lt;&gt;"",COUNTIF('03_地点锚点'!$A$2:$A$501,'06_建筑锚点'!D181)=0),"建筑所属地点不存在；","")&amp;IF(AND('06_建筑锚点'!T181&lt;&gt;"",COUNTIF('07_动态状态'!$A$2:$A$501,'06_建筑锚点'!T181)=0),"运营状态编码不存在；","")&amp;IF(AND('06_建筑锚点'!A181&lt;&gt;"",COUNTIF('06_建筑锚点'!$A$2:$A$501,'06_建筑锚点'!A181)&gt;1),"ID重复；",""),"")</f>
        <v/>
      </c>
      <c r="G2181" s="14">
        <f>IF(F2181&lt;&gt;"","按字段批注、数据字典和来源记录修正后复核","")</f>
        <v/>
      </c>
      <c r="H2181" s="14">
        <f>IF(F2181&lt;&gt;"","待处理","")</f>
        <v/>
      </c>
    </row>
    <row r="2182">
      <c r="A2182" s="14">
        <f>IF(F2182&lt;&gt;"","ISSUE-"&amp;TEXT(ROW()-1,"00000"),"")</f>
        <v/>
      </c>
      <c r="B2182" s="14">
        <f>IF(F2182&lt;&gt;"","错误","")</f>
        <v/>
      </c>
      <c r="C2182" s="14">
        <f>IF('06_建筑锚点'!A182&lt;&gt;"","06_建筑锚点","")</f>
        <v/>
      </c>
      <c r="D2182" s="14">
        <f>IF('06_建筑锚点'!A182&lt;&gt;"",'06_建筑锚点'!A182,"")</f>
        <v/>
      </c>
      <c r="E2182" s="14">
        <f>IF(F2182&lt;&gt;"","综合校验","")</f>
        <v/>
      </c>
      <c r="F2182" s="14">
        <f>IF('06_建筑锚点'!A182&lt;&gt;"",IF('06_建筑锚点'!A182="","缺少建筑ID；","")&amp;IF('06_建筑锚点'!B182="","缺少建筑名称；","")&amp;IF('06_建筑锚点'!C182="","缺少建筑类型；","")&amp;IF('06_建筑锚点'!D182="","缺少所属地点ID；","")&amp;IF('06_建筑锚点'!F182="","缺少世界X；","")&amp;IF('06_建筑锚点'!G182="","缺少世界Y；","")&amp;IF(AND('06_建筑锚点'!F182&lt;&gt;"",OR('06_建筑锚点'!F182&lt;0,'06_建筑锚点'!F182&gt;WorldWidth)),"世界X越界；","")&amp;IF(AND('06_建筑锚点'!G182&lt;&gt;"",OR('06_建筑锚点'!G182&lt;0,'06_建筑锚点'!G182&gt;WorldHeight)),"世界Y越界；","")&amp;IF(AND('06_建筑锚点'!D182&lt;&gt;"",COUNTIF('03_地点锚点'!$A$2:$A$501,'06_建筑锚点'!D182)=0),"建筑所属地点不存在；","")&amp;IF(AND('06_建筑锚点'!T182&lt;&gt;"",COUNTIF('07_动态状态'!$A$2:$A$501,'06_建筑锚点'!T182)=0),"运营状态编码不存在；","")&amp;IF(AND('06_建筑锚点'!A182&lt;&gt;"",COUNTIF('06_建筑锚点'!$A$2:$A$501,'06_建筑锚点'!A182)&gt;1),"ID重复；",""),"")</f>
        <v/>
      </c>
      <c r="G2182" s="14">
        <f>IF(F2182&lt;&gt;"","按字段批注、数据字典和来源记录修正后复核","")</f>
        <v/>
      </c>
      <c r="H2182" s="14">
        <f>IF(F2182&lt;&gt;"","待处理","")</f>
        <v/>
      </c>
    </row>
    <row r="2183">
      <c r="A2183" s="14">
        <f>IF(F2183&lt;&gt;"","ISSUE-"&amp;TEXT(ROW()-1,"00000"),"")</f>
        <v/>
      </c>
      <c r="B2183" s="14">
        <f>IF(F2183&lt;&gt;"","错误","")</f>
        <v/>
      </c>
      <c r="C2183" s="14">
        <f>IF('06_建筑锚点'!A183&lt;&gt;"","06_建筑锚点","")</f>
        <v/>
      </c>
      <c r="D2183" s="14">
        <f>IF('06_建筑锚点'!A183&lt;&gt;"",'06_建筑锚点'!A183,"")</f>
        <v/>
      </c>
      <c r="E2183" s="14">
        <f>IF(F2183&lt;&gt;"","综合校验","")</f>
        <v/>
      </c>
      <c r="F2183" s="14">
        <f>IF('06_建筑锚点'!A183&lt;&gt;"",IF('06_建筑锚点'!A183="","缺少建筑ID；","")&amp;IF('06_建筑锚点'!B183="","缺少建筑名称；","")&amp;IF('06_建筑锚点'!C183="","缺少建筑类型；","")&amp;IF('06_建筑锚点'!D183="","缺少所属地点ID；","")&amp;IF('06_建筑锚点'!F183="","缺少世界X；","")&amp;IF('06_建筑锚点'!G183="","缺少世界Y；","")&amp;IF(AND('06_建筑锚点'!F183&lt;&gt;"",OR('06_建筑锚点'!F183&lt;0,'06_建筑锚点'!F183&gt;WorldWidth)),"世界X越界；","")&amp;IF(AND('06_建筑锚点'!G183&lt;&gt;"",OR('06_建筑锚点'!G183&lt;0,'06_建筑锚点'!G183&gt;WorldHeight)),"世界Y越界；","")&amp;IF(AND('06_建筑锚点'!D183&lt;&gt;"",COUNTIF('03_地点锚点'!$A$2:$A$501,'06_建筑锚点'!D183)=0),"建筑所属地点不存在；","")&amp;IF(AND('06_建筑锚点'!T183&lt;&gt;"",COUNTIF('07_动态状态'!$A$2:$A$501,'06_建筑锚点'!T183)=0),"运营状态编码不存在；","")&amp;IF(AND('06_建筑锚点'!A183&lt;&gt;"",COUNTIF('06_建筑锚点'!$A$2:$A$501,'06_建筑锚点'!A183)&gt;1),"ID重复；",""),"")</f>
        <v/>
      </c>
      <c r="G2183" s="14">
        <f>IF(F2183&lt;&gt;"","按字段批注、数据字典和来源记录修正后复核","")</f>
        <v/>
      </c>
      <c r="H2183" s="14">
        <f>IF(F2183&lt;&gt;"","待处理","")</f>
        <v/>
      </c>
    </row>
    <row r="2184">
      <c r="A2184" s="14">
        <f>IF(F2184&lt;&gt;"","ISSUE-"&amp;TEXT(ROW()-1,"00000"),"")</f>
        <v/>
      </c>
      <c r="B2184" s="14">
        <f>IF(F2184&lt;&gt;"","错误","")</f>
        <v/>
      </c>
      <c r="C2184" s="14">
        <f>IF('06_建筑锚点'!A184&lt;&gt;"","06_建筑锚点","")</f>
        <v/>
      </c>
      <c r="D2184" s="14">
        <f>IF('06_建筑锚点'!A184&lt;&gt;"",'06_建筑锚点'!A184,"")</f>
        <v/>
      </c>
      <c r="E2184" s="14">
        <f>IF(F2184&lt;&gt;"","综合校验","")</f>
        <v/>
      </c>
      <c r="F2184" s="14">
        <f>IF('06_建筑锚点'!A184&lt;&gt;"",IF('06_建筑锚点'!A184="","缺少建筑ID；","")&amp;IF('06_建筑锚点'!B184="","缺少建筑名称；","")&amp;IF('06_建筑锚点'!C184="","缺少建筑类型；","")&amp;IF('06_建筑锚点'!D184="","缺少所属地点ID；","")&amp;IF('06_建筑锚点'!F184="","缺少世界X；","")&amp;IF('06_建筑锚点'!G184="","缺少世界Y；","")&amp;IF(AND('06_建筑锚点'!F184&lt;&gt;"",OR('06_建筑锚点'!F184&lt;0,'06_建筑锚点'!F184&gt;WorldWidth)),"世界X越界；","")&amp;IF(AND('06_建筑锚点'!G184&lt;&gt;"",OR('06_建筑锚点'!G184&lt;0,'06_建筑锚点'!G184&gt;WorldHeight)),"世界Y越界；","")&amp;IF(AND('06_建筑锚点'!D184&lt;&gt;"",COUNTIF('03_地点锚点'!$A$2:$A$501,'06_建筑锚点'!D184)=0),"建筑所属地点不存在；","")&amp;IF(AND('06_建筑锚点'!T184&lt;&gt;"",COUNTIF('07_动态状态'!$A$2:$A$501,'06_建筑锚点'!T184)=0),"运营状态编码不存在；","")&amp;IF(AND('06_建筑锚点'!A184&lt;&gt;"",COUNTIF('06_建筑锚点'!$A$2:$A$501,'06_建筑锚点'!A184)&gt;1),"ID重复；",""),"")</f>
        <v/>
      </c>
      <c r="G2184" s="14">
        <f>IF(F2184&lt;&gt;"","按字段批注、数据字典和来源记录修正后复核","")</f>
        <v/>
      </c>
      <c r="H2184" s="14">
        <f>IF(F2184&lt;&gt;"","待处理","")</f>
        <v/>
      </c>
    </row>
    <row r="2185">
      <c r="A2185" s="14">
        <f>IF(F2185&lt;&gt;"","ISSUE-"&amp;TEXT(ROW()-1,"00000"),"")</f>
        <v/>
      </c>
      <c r="B2185" s="14">
        <f>IF(F2185&lt;&gt;"","错误","")</f>
        <v/>
      </c>
      <c r="C2185" s="14">
        <f>IF('06_建筑锚点'!A185&lt;&gt;"","06_建筑锚点","")</f>
        <v/>
      </c>
      <c r="D2185" s="14">
        <f>IF('06_建筑锚点'!A185&lt;&gt;"",'06_建筑锚点'!A185,"")</f>
        <v/>
      </c>
      <c r="E2185" s="14">
        <f>IF(F2185&lt;&gt;"","综合校验","")</f>
        <v/>
      </c>
      <c r="F2185" s="14">
        <f>IF('06_建筑锚点'!A185&lt;&gt;"",IF('06_建筑锚点'!A185="","缺少建筑ID；","")&amp;IF('06_建筑锚点'!B185="","缺少建筑名称；","")&amp;IF('06_建筑锚点'!C185="","缺少建筑类型；","")&amp;IF('06_建筑锚点'!D185="","缺少所属地点ID；","")&amp;IF('06_建筑锚点'!F185="","缺少世界X；","")&amp;IF('06_建筑锚点'!G185="","缺少世界Y；","")&amp;IF(AND('06_建筑锚点'!F185&lt;&gt;"",OR('06_建筑锚点'!F185&lt;0,'06_建筑锚点'!F185&gt;WorldWidth)),"世界X越界；","")&amp;IF(AND('06_建筑锚点'!G185&lt;&gt;"",OR('06_建筑锚点'!G185&lt;0,'06_建筑锚点'!G185&gt;WorldHeight)),"世界Y越界；","")&amp;IF(AND('06_建筑锚点'!D185&lt;&gt;"",COUNTIF('03_地点锚点'!$A$2:$A$501,'06_建筑锚点'!D185)=0),"建筑所属地点不存在；","")&amp;IF(AND('06_建筑锚点'!T185&lt;&gt;"",COUNTIF('07_动态状态'!$A$2:$A$501,'06_建筑锚点'!T185)=0),"运营状态编码不存在；","")&amp;IF(AND('06_建筑锚点'!A185&lt;&gt;"",COUNTIF('06_建筑锚点'!$A$2:$A$501,'06_建筑锚点'!A185)&gt;1),"ID重复；",""),"")</f>
        <v/>
      </c>
      <c r="G2185" s="14">
        <f>IF(F2185&lt;&gt;"","按字段批注、数据字典和来源记录修正后复核","")</f>
        <v/>
      </c>
      <c r="H2185" s="14">
        <f>IF(F2185&lt;&gt;"","待处理","")</f>
        <v/>
      </c>
    </row>
    <row r="2186">
      <c r="A2186" s="14">
        <f>IF(F2186&lt;&gt;"","ISSUE-"&amp;TEXT(ROW()-1,"00000"),"")</f>
        <v/>
      </c>
      <c r="B2186" s="14">
        <f>IF(F2186&lt;&gt;"","错误","")</f>
        <v/>
      </c>
      <c r="C2186" s="14">
        <f>IF('06_建筑锚点'!A186&lt;&gt;"","06_建筑锚点","")</f>
        <v/>
      </c>
      <c r="D2186" s="14">
        <f>IF('06_建筑锚点'!A186&lt;&gt;"",'06_建筑锚点'!A186,"")</f>
        <v/>
      </c>
      <c r="E2186" s="14">
        <f>IF(F2186&lt;&gt;"","综合校验","")</f>
        <v/>
      </c>
      <c r="F2186" s="14">
        <f>IF('06_建筑锚点'!A186&lt;&gt;"",IF('06_建筑锚点'!A186="","缺少建筑ID；","")&amp;IF('06_建筑锚点'!B186="","缺少建筑名称；","")&amp;IF('06_建筑锚点'!C186="","缺少建筑类型；","")&amp;IF('06_建筑锚点'!D186="","缺少所属地点ID；","")&amp;IF('06_建筑锚点'!F186="","缺少世界X；","")&amp;IF('06_建筑锚点'!G186="","缺少世界Y；","")&amp;IF(AND('06_建筑锚点'!F186&lt;&gt;"",OR('06_建筑锚点'!F186&lt;0,'06_建筑锚点'!F186&gt;WorldWidth)),"世界X越界；","")&amp;IF(AND('06_建筑锚点'!G186&lt;&gt;"",OR('06_建筑锚点'!G186&lt;0,'06_建筑锚点'!G186&gt;WorldHeight)),"世界Y越界；","")&amp;IF(AND('06_建筑锚点'!D186&lt;&gt;"",COUNTIF('03_地点锚点'!$A$2:$A$501,'06_建筑锚点'!D186)=0),"建筑所属地点不存在；","")&amp;IF(AND('06_建筑锚点'!T186&lt;&gt;"",COUNTIF('07_动态状态'!$A$2:$A$501,'06_建筑锚点'!T186)=0),"运营状态编码不存在；","")&amp;IF(AND('06_建筑锚点'!A186&lt;&gt;"",COUNTIF('06_建筑锚点'!$A$2:$A$501,'06_建筑锚点'!A186)&gt;1),"ID重复；",""),"")</f>
        <v/>
      </c>
      <c r="G2186" s="14">
        <f>IF(F2186&lt;&gt;"","按字段批注、数据字典和来源记录修正后复核","")</f>
        <v/>
      </c>
      <c r="H2186" s="14">
        <f>IF(F2186&lt;&gt;"","待处理","")</f>
        <v/>
      </c>
    </row>
    <row r="2187">
      <c r="A2187" s="14">
        <f>IF(F2187&lt;&gt;"","ISSUE-"&amp;TEXT(ROW()-1,"00000"),"")</f>
        <v/>
      </c>
      <c r="B2187" s="14">
        <f>IF(F2187&lt;&gt;"","错误","")</f>
        <v/>
      </c>
      <c r="C2187" s="14">
        <f>IF('06_建筑锚点'!A187&lt;&gt;"","06_建筑锚点","")</f>
        <v/>
      </c>
      <c r="D2187" s="14">
        <f>IF('06_建筑锚点'!A187&lt;&gt;"",'06_建筑锚点'!A187,"")</f>
        <v/>
      </c>
      <c r="E2187" s="14">
        <f>IF(F2187&lt;&gt;"","综合校验","")</f>
        <v/>
      </c>
      <c r="F2187" s="14">
        <f>IF('06_建筑锚点'!A187&lt;&gt;"",IF('06_建筑锚点'!A187="","缺少建筑ID；","")&amp;IF('06_建筑锚点'!B187="","缺少建筑名称；","")&amp;IF('06_建筑锚点'!C187="","缺少建筑类型；","")&amp;IF('06_建筑锚点'!D187="","缺少所属地点ID；","")&amp;IF('06_建筑锚点'!F187="","缺少世界X；","")&amp;IF('06_建筑锚点'!G187="","缺少世界Y；","")&amp;IF(AND('06_建筑锚点'!F187&lt;&gt;"",OR('06_建筑锚点'!F187&lt;0,'06_建筑锚点'!F187&gt;WorldWidth)),"世界X越界；","")&amp;IF(AND('06_建筑锚点'!G187&lt;&gt;"",OR('06_建筑锚点'!G187&lt;0,'06_建筑锚点'!G187&gt;WorldHeight)),"世界Y越界；","")&amp;IF(AND('06_建筑锚点'!D187&lt;&gt;"",COUNTIF('03_地点锚点'!$A$2:$A$501,'06_建筑锚点'!D187)=0),"建筑所属地点不存在；","")&amp;IF(AND('06_建筑锚点'!T187&lt;&gt;"",COUNTIF('07_动态状态'!$A$2:$A$501,'06_建筑锚点'!T187)=0),"运营状态编码不存在；","")&amp;IF(AND('06_建筑锚点'!A187&lt;&gt;"",COUNTIF('06_建筑锚点'!$A$2:$A$501,'06_建筑锚点'!A187)&gt;1),"ID重复；",""),"")</f>
        <v/>
      </c>
      <c r="G2187" s="14">
        <f>IF(F2187&lt;&gt;"","按字段批注、数据字典和来源记录修正后复核","")</f>
        <v/>
      </c>
      <c r="H2187" s="14">
        <f>IF(F2187&lt;&gt;"","待处理","")</f>
        <v/>
      </c>
    </row>
    <row r="2188">
      <c r="A2188" s="14">
        <f>IF(F2188&lt;&gt;"","ISSUE-"&amp;TEXT(ROW()-1,"00000"),"")</f>
        <v/>
      </c>
      <c r="B2188" s="14">
        <f>IF(F2188&lt;&gt;"","错误","")</f>
        <v/>
      </c>
      <c r="C2188" s="14">
        <f>IF('06_建筑锚点'!A188&lt;&gt;"","06_建筑锚点","")</f>
        <v/>
      </c>
      <c r="D2188" s="14">
        <f>IF('06_建筑锚点'!A188&lt;&gt;"",'06_建筑锚点'!A188,"")</f>
        <v/>
      </c>
      <c r="E2188" s="14">
        <f>IF(F2188&lt;&gt;"","综合校验","")</f>
        <v/>
      </c>
      <c r="F2188" s="14">
        <f>IF('06_建筑锚点'!A188&lt;&gt;"",IF('06_建筑锚点'!A188="","缺少建筑ID；","")&amp;IF('06_建筑锚点'!B188="","缺少建筑名称；","")&amp;IF('06_建筑锚点'!C188="","缺少建筑类型；","")&amp;IF('06_建筑锚点'!D188="","缺少所属地点ID；","")&amp;IF('06_建筑锚点'!F188="","缺少世界X；","")&amp;IF('06_建筑锚点'!G188="","缺少世界Y；","")&amp;IF(AND('06_建筑锚点'!F188&lt;&gt;"",OR('06_建筑锚点'!F188&lt;0,'06_建筑锚点'!F188&gt;WorldWidth)),"世界X越界；","")&amp;IF(AND('06_建筑锚点'!G188&lt;&gt;"",OR('06_建筑锚点'!G188&lt;0,'06_建筑锚点'!G188&gt;WorldHeight)),"世界Y越界；","")&amp;IF(AND('06_建筑锚点'!D188&lt;&gt;"",COUNTIF('03_地点锚点'!$A$2:$A$501,'06_建筑锚点'!D188)=0),"建筑所属地点不存在；","")&amp;IF(AND('06_建筑锚点'!T188&lt;&gt;"",COUNTIF('07_动态状态'!$A$2:$A$501,'06_建筑锚点'!T188)=0),"运营状态编码不存在；","")&amp;IF(AND('06_建筑锚点'!A188&lt;&gt;"",COUNTIF('06_建筑锚点'!$A$2:$A$501,'06_建筑锚点'!A188)&gt;1),"ID重复；",""),"")</f>
        <v/>
      </c>
      <c r="G2188" s="14">
        <f>IF(F2188&lt;&gt;"","按字段批注、数据字典和来源记录修正后复核","")</f>
        <v/>
      </c>
      <c r="H2188" s="14">
        <f>IF(F2188&lt;&gt;"","待处理","")</f>
        <v/>
      </c>
    </row>
    <row r="2189">
      <c r="A2189" s="14">
        <f>IF(F2189&lt;&gt;"","ISSUE-"&amp;TEXT(ROW()-1,"00000"),"")</f>
        <v/>
      </c>
      <c r="B2189" s="14">
        <f>IF(F2189&lt;&gt;"","错误","")</f>
        <v/>
      </c>
      <c r="C2189" s="14">
        <f>IF('06_建筑锚点'!A189&lt;&gt;"","06_建筑锚点","")</f>
        <v/>
      </c>
      <c r="D2189" s="14">
        <f>IF('06_建筑锚点'!A189&lt;&gt;"",'06_建筑锚点'!A189,"")</f>
        <v/>
      </c>
      <c r="E2189" s="14">
        <f>IF(F2189&lt;&gt;"","综合校验","")</f>
        <v/>
      </c>
      <c r="F2189" s="14">
        <f>IF('06_建筑锚点'!A189&lt;&gt;"",IF('06_建筑锚点'!A189="","缺少建筑ID；","")&amp;IF('06_建筑锚点'!B189="","缺少建筑名称；","")&amp;IF('06_建筑锚点'!C189="","缺少建筑类型；","")&amp;IF('06_建筑锚点'!D189="","缺少所属地点ID；","")&amp;IF('06_建筑锚点'!F189="","缺少世界X；","")&amp;IF('06_建筑锚点'!G189="","缺少世界Y；","")&amp;IF(AND('06_建筑锚点'!F189&lt;&gt;"",OR('06_建筑锚点'!F189&lt;0,'06_建筑锚点'!F189&gt;WorldWidth)),"世界X越界；","")&amp;IF(AND('06_建筑锚点'!G189&lt;&gt;"",OR('06_建筑锚点'!G189&lt;0,'06_建筑锚点'!G189&gt;WorldHeight)),"世界Y越界；","")&amp;IF(AND('06_建筑锚点'!D189&lt;&gt;"",COUNTIF('03_地点锚点'!$A$2:$A$501,'06_建筑锚点'!D189)=0),"建筑所属地点不存在；","")&amp;IF(AND('06_建筑锚点'!T189&lt;&gt;"",COUNTIF('07_动态状态'!$A$2:$A$501,'06_建筑锚点'!T189)=0),"运营状态编码不存在；","")&amp;IF(AND('06_建筑锚点'!A189&lt;&gt;"",COUNTIF('06_建筑锚点'!$A$2:$A$501,'06_建筑锚点'!A189)&gt;1),"ID重复；",""),"")</f>
        <v/>
      </c>
      <c r="G2189" s="14">
        <f>IF(F2189&lt;&gt;"","按字段批注、数据字典和来源记录修正后复核","")</f>
        <v/>
      </c>
      <c r="H2189" s="14">
        <f>IF(F2189&lt;&gt;"","待处理","")</f>
        <v/>
      </c>
    </row>
    <row r="2190">
      <c r="A2190" s="14">
        <f>IF(F2190&lt;&gt;"","ISSUE-"&amp;TEXT(ROW()-1,"00000"),"")</f>
        <v/>
      </c>
      <c r="B2190" s="14">
        <f>IF(F2190&lt;&gt;"","错误","")</f>
        <v/>
      </c>
      <c r="C2190" s="14">
        <f>IF('06_建筑锚点'!A190&lt;&gt;"","06_建筑锚点","")</f>
        <v/>
      </c>
      <c r="D2190" s="14">
        <f>IF('06_建筑锚点'!A190&lt;&gt;"",'06_建筑锚点'!A190,"")</f>
        <v/>
      </c>
      <c r="E2190" s="14">
        <f>IF(F2190&lt;&gt;"","综合校验","")</f>
        <v/>
      </c>
      <c r="F2190" s="14">
        <f>IF('06_建筑锚点'!A190&lt;&gt;"",IF('06_建筑锚点'!A190="","缺少建筑ID；","")&amp;IF('06_建筑锚点'!B190="","缺少建筑名称；","")&amp;IF('06_建筑锚点'!C190="","缺少建筑类型；","")&amp;IF('06_建筑锚点'!D190="","缺少所属地点ID；","")&amp;IF('06_建筑锚点'!F190="","缺少世界X；","")&amp;IF('06_建筑锚点'!G190="","缺少世界Y；","")&amp;IF(AND('06_建筑锚点'!F190&lt;&gt;"",OR('06_建筑锚点'!F190&lt;0,'06_建筑锚点'!F190&gt;WorldWidth)),"世界X越界；","")&amp;IF(AND('06_建筑锚点'!G190&lt;&gt;"",OR('06_建筑锚点'!G190&lt;0,'06_建筑锚点'!G190&gt;WorldHeight)),"世界Y越界；","")&amp;IF(AND('06_建筑锚点'!D190&lt;&gt;"",COUNTIF('03_地点锚点'!$A$2:$A$501,'06_建筑锚点'!D190)=0),"建筑所属地点不存在；","")&amp;IF(AND('06_建筑锚点'!T190&lt;&gt;"",COUNTIF('07_动态状态'!$A$2:$A$501,'06_建筑锚点'!T190)=0),"运营状态编码不存在；","")&amp;IF(AND('06_建筑锚点'!A190&lt;&gt;"",COUNTIF('06_建筑锚点'!$A$2:$A$501,'06_建筑锚点'!A190)&gt;1),"ID重复；",""),"")</f>
        <v/>
      </c>
      <c r="G2190" s="14">
        <f>IF(F2190&lt;&gt;"","按字段批注、数据字典和来源记录修正后复核","")</f>
        <v/>
      </c>
      <c r="H2190" s="14">
        <f>IF(F2190&lt;&gt;"","待处理","")</f>
        <v/>
      </c>
    </row>
    <row r="2191">
      <c r="A2191" s="14">
        <f>IF(F2191&lt;&gt;"","ISSUE-"&amp;TEXT(ROW()-1,"00000"),"")</f>
        <v/>
      </c>
      <c r="B2191" s="14">
        <f>IF(F2191&lt;&gt;"","错误","")</f>
        <v/>
      </c>
      <c r="C2191" s="14">
        <f>IF('06_建筑锚点'!A191&lt;&gt;"","06_建筑锚点","")</f>
        <v/>
      </c>
      <c r="D2191" s="14">
        <f>IF('06_建筑锚点'!A191&lt;&gt;"",'06_建筑锚点'!A191,"")</f>
        <v/>
      </c>
      <c r="E2191" s="14">
        <f>IF(F2191&lt;&gt;"","综合校验","")</f>
        <v/>
      </c>
      <c r="F2191" s="14">
        <f>IF('06_建筑锚点'!A191&lt;&gt;"",IF('06_建筑锚点'!A191="","缺少建筑ID；","")&amp;IF('06_建筑锚点'!B191="","缺少建筑名称；","")&amp;IF('06_建筑锚点'!C191="","缺少建筑类型；","")&amp;IF('06_建筑锚点'!D191="","缺少所属地点ID；","")&amp;IF('06_建筑锚点'!F191="","缺少世界X；","")&amp;IF('06_建筑锚点'!G191="","缺少世界Y；","")&amp;IF(AND('06_建筑锚点'!F191&lt;&gt;"",OR('06_建筑锚点'!F191&lt;0,'06_建筑锚点'!F191&gt;WorldWidth)),"世界X越界；","")&amp;IF(AND('06_建筑锚点'!G191&lt;&gt;"",OR('06_建筑锚点'!G191&lt;0,'06_建筑锚点'!G191&gt;WorldHeight)),"世界Y越界；","")&amp;IF(AND('06_建筑锚点'!D191&lt;&gt;"",COUNTIF('03_地点锚点'!$A$2:$A$501,'06_建筑锚点'!D191)=0),"建筑所属地点不存在；","")&amp;IF(AND('06_建筑锚点'!T191&lt;&gt;"",COUNTIF('07_动态状态'!$A$2:$A$501,'06_建筑锚点'!T191)=0),"运营状态编码不存在；","")&amp;IF(AND('06_建筑锚点'!A191&lt;&gt;"",COUNTIF('06_建筑锚点'!$A$2:$A$501,'06_建筑锚点'!A191)&gt;1),"ID重复；",""),"")</f>
        <v/>
      </c>
      <c r="G2191" s="14">
        <f>IF(F2191&lt;&gt;"","按字段批注、数据字典和来源记录修正后复核","")</f>
        <v/>
      </c>
      <c r="H2191" s="14">
        <f>IF(F2191&lt;&gt;"","待处理","")</f>
        <v/>
      </c>
    </row>
    <row r="2192">
      <c r="A2192" s="14">
        <f>IF(F2192&lt;&gt;"","ISSUE-"&amp;TEXT(ROW()-1,"00000"),"")</f>
        <v/>
      </c>
      <c r="B2192" s="14">
        <f>IF(F2192&lt;&gt;"","错误","")</f>
        <v/>
      </c>
      <c r="C2192" s="14">
        <f>IF('06_建筑锚点'!A192&lt;&gt;"","06_建筑锚点","")</f>
        <v/>
      </c>
      <c r="D2192" s="14">
        <f>IF('06_建筑锚点'!A192&lt;&gt;"",'06_建筑锚点'!A192,"")</f>
        <v/>
      </c>
      <c r="E2192" s="14">
        <f>IF(F2192&lt;&gt;"","综合校验","")</f>
        <v/>
      </c>
      <c r="F2192" s="14">
        <f>IF('06_建筑锚点'!A192&lt;&gt;"",IF('06_建筑锚点'!A192="","缺少建筑ID；","")&amp;IF('06_建筑锚点'!B192="","缺少建筑名称；","")&amp;IF('06_建筑锚点'!C192="","缺少建筑类型；","")&amp;IF('06_建筑锚点'!D192="","缺少所属地点ID；","")&amp;IF('06_建筑锚点'!F192="","缺少世界X；","")&amp;IF('06_建筑锚点'!G192="","缺少世界Y；","")&amp;IF(AND('06_建筑锚点'!F192&lt;&gt;"",OR('06_建筑锚点'!F192&lt;0,'06_建筑锚点'!F192&gt;WorldWidth)),"世界X越界；","")&amp;IF(AND('06_建筑锚点'!G192&lt;&gt;"",OR('06_建筑锚点'!G192&lt;0,'06_建筑锚点'!G192&gt;WorldHeight)),"世界Y越界；","")&amp;IF(AND('06_建筑锚点'!D192&lt;&gt;"",COUNTIF('03_地点锚点'!$A$2:$A$501,'06_建筑锚点'!D192)=0),"建筑所属地点不存在；","")&amp;IF(AND('06_建筑锚点'!T192&lt;&gt;"",COUNTIF('07_动态状态'!$A$2:$A$501,'06_建筑锚点'!T192)=0),"运营状态编码不存在；","")&amp;IF(AND('06_建筑锚点'!A192&lt;&gt;"",COUNTIF('06_建筑锚点'!$A$2:$A$501,'06_建筑锚点'!A192)&gt;1),"ID重复；",""),"")</f>
        <v/>
      </c>
      <c r="G2192" s="14">
        <f>IF(F2192&lt;&gt;"","按字段批注、数据字典和来源记录修正后复核","")</f>
        <v/>
      </c>
      <c r="H2192" s="14">
        <f>IF(F2192&lt;&gt;"","待处理","")</f>
        <v/>
      </c>
    </row>
    <row r="2193">
      <c r="A2193" s="14">
        <f>IF(F2193&lt;&gt;"","ISSUE-"&amp;TEXT(ROW()-1,"00000"),"")</f>
        <v/>
      </c>
      <c r="B2193" s="14">
        <f>IF(F2193&lt;&gt;"","错误","")</f>
        <v/>
      </c>
      <c r="C2193" s="14">
        <f>IF('06_建筑锚点'!A193&lt;&gt;"","06_建筑锚点","")</f>
        <v/>
      </c>
      <c r="D2193" s="14">
        <f>IF('06_建筑锚点'!A193&lt;&gt;"",'06_建筑锚点'!A193,"")</f>
        <v/>
      </c>
      <c r="E2193" s="14">
        <f>IF(F2193&lt;&gt;"","综合校验","")</f>
        <v/>
      </c>
      <c r="F2193" s="14">
        <f>IF('06_建筑锚点'!A193&lt;&gt;"",IF('06_建筑锚点'!A193="","缺少建筑ID；","")&amp;IF('06_建筑锚点'!B193="","缺少建筑名称；","")&amp;IF('06_建筑锚点'!C193="","缺少建筑类型；","")&amp;IF('06_建筑锚点'!D193="","缺少所属地点ID；","")&amp;IF('06_建筑锚点'!F193="","缺少世界X；","")&amp;IF('06_建筑锚点'!G193="","缺少世界Y；","")&amp;IF(AND('06_建筑锚点'!F193&lt;&gt;"",OR('06_建筑锚点'!F193&lt;0,'06_建筑锚点'!F193&gt;WorldWidth)),"世界X越界；","")&amp;IF(AND('06_建筑锚点'!G193&lt;&gt;"",OR('06_建筑锚点'!G193&lt;0,'06_建筑锚点'!G193&gt;WorldHeight)),"世界Y越界；","")&amp;IF(AND('06_建筑锚点'!D193&lt;&gt;"",COUNTIF('03_地点锚点'!$A$2:$A$501,'06_建筑锚点'!D193)=0),"建筑所属地点不存在；","")&amp;IF(AND('06_建筑锚点'!T193&lt;&gt;"",COUNTIF('07_动态状态'!$A$2:$A$501,'06_建筑锚点'!T193)=0),"运营状态编码不存在；","")&amp;IF(AND('06_建筑锚点'!A193&lt;&gt;"",COUNTIF('06_建筑锚点'!$A$2:$A$501,'06_建筑锚点'!A193)&gt;1),"ID重复；",""),"")</f>
        <v/>
      </c>
      <c r="G2193" s="14">
        <f>IF(F2193&lt;&gt;"","按字段批注、数据字典和来源记录修正后复核","")</f>
        <v/>
      </c>
      <c r="H2193" s="14">
        <f>IF(F2193&lt;&gt;"","待处理","")</f>
        <v/>
      </c>
    </row>
    <row r="2194">
      <c r="A2194" s="14">
        <f>IF(F2194&lt;&gt;"","ISSUE-"&amp;TEXT(ROW()-1,"00000"),"")</f>
        <v/>
      </c>
      <c r="B2194" s="14">
        <f>IF(F2194&lt;&gt;"","错误","")</f>
        <v/>
      </c>
      <c r="C2194" s="14">
        <f>IF('06_建筑锚点'!A194&lt;&gt;"","06_建筑锚点","")</f>
        <v/>
      </c>
      <c r="D2194" s="14">
        <f>IF('06_建筑锚点'!A194&lt;&gt;"",'06_建筑锚点'!A194,"")</f>
        <v/>
      </c>
      <c r="E2194" s="14">
        <f>IF(F2194&lt;&gt;"","综合校验","")</f>
        <v/>
      </c>
      <c r="F2194" s="14">
        <f>IF('06_建筑锚点'!A194&lt;&gt;"",IF('06_建筑锚点'!A194="","缺少建筑ID；","")&amp;IF('06_建筑锚点'!B194="","缺少建筑名称；","")&amp;IF('06_建筑锚点'!C194="","缺少建筑类型；","")&amp;IF('06_建筑锚点'!D194="","缺少所属地点ID；","")&amp;IF('06_建筑锚点'!F194="","缺少世界X；","")&amp;IF('06_建筑锚点'!G194="","缺少世界Y；","")&amp;IF(AND('06_建筑锚点'!F194&lt;&gt;"",OR('06_建筑锚点'!F194&lt;0,'06_建筑锚点'!F194&gt;WorldWidth)),"世界X越界；","")&amp;IF(AND('06_建筑锚点'!G194&lt;&gt;"",OR('06_建筑锚点'!G194&lt;0,'06_建筑锚点'!G194&gt;WorldHeight)),"世界Y越界；","")&amp;IF(AND('06_建筑锚点'!D194&lt;&gt;"",COUNTIF('03_地点锚点'!$A$2:$A$501,'06_建筑锚点'!D194)=0),"建筑所属地点不存在；","")&amp;IF(AND('06_建筑锚点'!T194&lt;&gt;"",COUNTIF('07_动态状态'!$A$2:$A$501,'06_建筑锚点'!T194)=0),"运营状态编码不存在；","")&amp;IF(AND('06_建筑锚点'!A194&lt;&gt;"",COUNTIF('06_建筑锚点'!$A$2:$A$501,'06_建筑锚点'!A194)&gt;1),"ID重复；",""),"")</f>
        <v/>
      </c>
      <c r="G2194" s="14">
        <f>IF(F2194&lt;&gt;"","按字段批注、数据字典和来源记录修正后复核","")</f>
        <v/>
      </c>
      <c r="H2194" s="14">
        <f>IF(F2194&lt;&gt;"","待处理","")</f>
        <v/>
      </c>
    </row>
    <row r="2195">
      <c r="A2195" s="14">
        <f>IF(F2195&lt;&gt;"","ISSUE-"&amp;TEXT(ROW()-1,"00000"),"")</f>
        <v/>
      </c>
      <c r="B2195" s="14">
        <f>IF(F2195&lt;&gt;"","错误","")</f>
        <v/>
      </c>
      <c r="C2195" s="14">
        <f>IF('06_建筑锚点'!A195&lt;&gt;"","06_建筑锚点","")</f>
        <v/>
      </c>
      <c r="D2195" s="14">
        <f>IF('06_建筑锚点'!A195&lt;&gt;"",'06_建筑锚点'!A195,"")</f>
        <v/>
      </c>
      <c r="E2195" s="14">
        <f>IF(F2195&lt;&gt;"","综合校验","")</f>
        <v/>
      </c>
      <c r="F2195" s="14">
        <f>IF('06_建筑锚点'!A195&lt;&gt;"",IF('06_建筑锚点'!A195="","缺少建筑ID；","")&amp;IF('06_建筑锚点'!B195="","缺少建筑名称；","")&amp;IF('06_建筑锚点'!C195="","缺少建筑类型；","")&amp;IF('06_建筑锚点'!D195="","缺少所属地点ID；","")&amp;IF('06_建筑锚点'!F195="","缺少世界X；","")&amp;IF('06_建筑锚点'!G195="","缺少世界Y；","")&amp;IF(AND('06_建筑锚点'!F195&lt;&gt;"",OR('06_建筑锚点'!F195&lt;0,'06_建筑锚点'!F195&gt;WorldWidth)),"世界X越界；","")&amp;IF(AND('06_建筑锚点'!G195&lt;&gt;"",OR('06_建筑锚点'!G195&lt;0,'06_建筑锚点'!G195&gt;WorldHeight)),"世界Y越界；","")&amp;IF(AND('06_建筑锚点'!D195&lt;&gt;"",COUNTIF('03_地点锚点'!$A$2:$A$501,'06_建筑锚点'!D195)=0),"建筑所属地点不存在；","")&amp;IF(AND('06_建筑锚点'!T195&lt;&gt;"",COUNTIF('07_动态状态'!$A$2:$A$501,'06_建筑锚点'!T195)=0),"运营状态编码不存在；","")&amp;IF(AND('06_建筑锚点'!A195&lt;&gt;"",COUNTIF('06_建筑锚点'!$A$2:$A$501,'06_建筑锚点'!A195)&gt;1),"ID重复；",""),"")</f>
        <v/>
      </c>
      <c r="G2195" s="14">
        <f>IF(F2195&lt;&gt;"","按字段批注、数据字典和来源记录修正后复核","")</f>
        <v/>
      </c>
      <c r="H2195" s="14">
        <f>IF(F2195&lt;&gt;"","待处理","")</f>
        <v/>
      </c>
    </row>
    <row r="2196">
      <c r="A2196" s="14">
        <f>IF(F2196&lt;&gt;"","ISSUE-"&amp;TEXT(ROW()-1,"00000"),"")</f>
        <v/>
      </c>
      <c r="B2196" s="14">
        <f>IF(F2196&lt;&gt;"","错误","")</f>
        <v/>
      </c>
      <c r="C2196" s="14">
        <f>IF('06_建筑锚点'!A196&lt;&gt;"","06_建筑锚点","")</f>
        <v/>
      </c>
      <c r="D2196" s="14">
        <f>IF('06_建筑锚点'!A196&lt;&gt;"",'06_建筑锚点'!A196,"")</f>
        <v/>
      </c>
      <c r="E2196" s="14">
        <f>IF(F2196&lt;&gt;"","综合校验","")</f>
        <v/>
      </c>
      <c r="F2196" s="14">
        <f>IF('06_建筑锚点'!A196&lt;&gt;"",IF('06_建筑锚点'!A196="","缺少建筑ID；","")&amp;IF('06_建筑锚点'!B196="","缺少建筑名称；","")&amp;IF('06_建筑锚点'!C196="","缺少建筑类型；","")&amp;IF('06_建筑锚点'!D196="","缺少所属地点ID；","")&amp;IF('06_建筑锚点'!F196="","缺少世界X；","")&amp;IF('06_建筑锚点'!G196="","缺少世界Y；","")&amp;IF(AND('06_建筑锚点'!F196&lt;&gt;"",OR('06_建筑锚点'!F196&lt;0,'06_建筑锚点'!F196&gt;WorldWidth)),"世界X越界；","")&amp;IF(AND('06_建筑锚点'!G196&lt;&gt;"",OR('06_建筑锚点'!G196&lt;0,'06_建筑锚点'!G196&gt;WorldHeight)),"世界Y越界；","")&amp;IF(AND('06_建筑锚点'!D196&lt;&gt;"",COUNTIF('03_地点锚点'!$A$2:$A$501,'06_建筑锚点'!D196)=0),"建筑所属地点不存在；","")&amp;IF(AND('06_建筑锚点'!T196&lt;&gt;"",COUNTIF('07_动态状态'!$A$2:$A$501,'06_建筑锚点'!T196)=0),"运营状态编码不存在；","")&amp;IF(AND('06_建筑锚点'!A196&lt;&gt;"",COUNTIF('06_建筑锚点'!$A$2:$A$501,'06_建筑锚点'!A196)&gt;1),"ID重复；",""),"")</f>
        <v/>
      </c>
      <c r="G2196" s="14">
        <f>IF(F2196&lt;&gt;"","按字段批注、数据字典和来源记录修正后复核","")</f>
        <v/>
      </c>
      <c r="H2196" s="14">
        <f>IF(F2196&lt;&gt;"","待处理","")</f>
        <v/>
      </c>
    </row>
    <row r="2197">
      <c r="A2197" s="14">
        <f>IF(F2197&lt;&gt;"","ISSUE-"&amp;TEXT(ROW()-1,"00000"),"")</f>
        <v/>
      </c>
      <c r="B2197" s="14">
        <f>IF(F2197&lt;&gt;"","错误","")</f>
        <v/>
      </c>
      <c r="C2197" s="14">
        <f>IF('06_建筑锚点'!A197&lt;&gt;"","06_建筑锚点","")</f>
        <v/>
      </c>
      <c r="D2197" s="14">
        <f>IF('06_建筑锚点'!A197&lt;&gt;"",'06_建筑锚点'!A197,"")</f>
        <v/>
      </c>
      <c r="E2197" s="14">
        <f>IF(F2197&lt;&gt;"","综合校验","")</f>
        <v/>
      </c>
      <c r="F2197" s="14">
        <f>IF('06_建筑锚点'!A197&lt;&gt;"",IF('06_建筑锚点'!A197="","缺少建筑ID；","")&amp;IF('06_建筑锚点'!B197="","缺少建筑名称；","")&amp;IF('06_建筑锚点'!C197="","缺少建筑类型；","")&amp;IF('06_建筑锚点'!D197="","缺少所属地点ID；","")&amp;IF('06_建筑锚点'!F197="","缺少世界X；","")&amp;IF('06_建筑锚点'!G197="","缺少世界Y；","")&amp;IF(AND('06_建筑锚点'!F197&lt;&gt;"",OR('06_建筑锚点'!F197&lt;0,'06_建筑锚点'!F197&gt;WorldWidth)),"世界X越界；","")&amp;IF(AND('06_建筑锚点'!G197&lt;&gt;"",OR('06_建筑锚点'!G197&lt;0,'06_建筑锚点'!G197&gt;WorldHeight)),"世界Y越界；","")&amp;IF(AND('06_建筑锚点'!D197&lt;&gt;"",COUNTIF('03_地点锚点'!$A$2:$A$501,'06_建筑锚点'!D197)=0),"建筑所属地点不存在；","")&amp;IF(AND('06_建筑锚点'!T197&lt;&gt;"",COUNTIF('07_动态状态'!$A$2:$A$501,'06_建筑锚点'!T197)=0),"运营状态编码不存在；","")&amp;IF(AND('06_建筑锚点'!A197&lt;&gt;"",COUNTIF('06_建筑锚点'!$A$2:$A$501,'06_建筑锚点'!A197)&gt;1),"ID重复；",""),"")</f>
        <v/>
      </c>
      <c r="G2197" s="14">
        <f>IF(F2197&lt;&gt;"","按字段批注、数据字典和来源记录修正后复核","")</f>
        <v/>
      </c>
      <c r="H2197" s="14">
        <f>IF(F2197&lt;&gt;"","待处理","")</f>
        <v/>
      </c>
    </row>
    <row r="2198">
      <c r="A2198" s="14">
        <f>IF(F2198&lt;&gt;"","ISSUE-"&amp;TEXT(ROW()-1,"00000"),"")</f>
        <v/>
      </c>
      <c r="B2198" s="14">
        <f>IF(F2198&lt;&gt;"","错误","")</f>
        <v/>
      </c>
      <c r="C2198" s="14">
        <f>IF('06_建筑锚点'!A198&lt;&gt;"","06_建筑锚点","")</f>
        <v/>
      </c>
      <c r="D2198" s="14">
        <f>IF('06_建筑锚点'!A198&lt;&gt;"",'06_建筑锚点'!A198,"")</f>
        <v/>
      </c>
      <c r="E2198" s="14">
        <f>IF(F2198&lt;&gt;"","综合校验","")</f>
        <v/>
      </c>
      <c r="F2198" s="14">
        <f>IF('06_建筑锚点'!A198&lt;&gt;"",IF('06_建筑锚点'!A198="","缺少建筑ID；","")&amp;IF('06_建筑锚点'!B198="","缺少建筑名称；","")&amp;IF('06_建筑锚点'!C198="","缺少建筑类型；","")&amp;IF('06_建筑锚点'!D198="","缺少所属地点ID；","")&amp;IF('06_建筑锚点'!F198="","缺少世界X；","")&amp;IF('06_建筑锚点'!G198="","缺少世界Y；","")&amp;IF(AND('06_建筑锚点'!F198&lt;&gt;"",OR('06_建筑锚点'!F198&lt;0,'06_建筑锚点'!F198&gt;WorldWidth)),"世界X越界；","")&amp;IF(AND('06_建筑锚点'!G198&lt;&gt;"",OR('06_建筑锚点'!G198&lt;0,'06_建筑锚点'!G198&gt;WorldHeight)),"世界Y越界；","")&amp;IF(AND('06_建筑锚点'!D198&lt;&gt;"",COUNTIF('03_地点锚点'!$A$2:$A$501,'06_建筑锚点'!D198)=0),"建筑所属地点不存在；","")&amp;IF(AND('06_建筑锚点'!T198&lt;&gt;"",COUNTIF('07_动态状态'!$A$2:$A$501,'06_建筑锚点'!T198)=0),"运营状态编码不存在；","")&amp;IF(AND('06_建筑锚点'!A198&lt;&gt;"",COUNTIF('06_建筑锚点'!$A$2:$A$501,'06_建筑锚点'!A198)&gt;1),"ID重复；",""),"")</f>
        <v/>
      </c>
      <c r="G2198" s="14">
        <f>IF(F2198&lt;&gt;"","按字段批注、数据字典和来源记录修正后复核","")</f>
        <v/>
      </c>
      <c r="H2198" s="14">
        <f>IF(F2198&lt;&gt;"","待处理","")</f>
        <v/>
      </c>
    </row>
    <row r="2199">
      <c r="A2199" s="14">
        <f>IF(F2199&lt;&gt;"","ISSUE-"&amp;TEXT(ROW()-1,"00000"),"")</f>
        <v/>
      </c>
      <c r="B2199" s="14">
        <f>IF(F2199&lt;&gt;"","错误","")</f>
        <v/>
      </c>
      <c r="C2199" s="14">
        <f>IF('06_建筑锚点'!A199&lt;&gt;"","06_建筑锚点","")</f>
        <v/>
      </c>
      <c r="D2199" s="14">
        <f>IF('06_建筑锚点'!A199&lt;&gt;"",'06_建筑锚点'!A199,"")</f>
        <v/>
      </c>
      <c r="E2199" s="14">
        <f>IF(F2199&lt;&gt;"","综合校验","")</f>
        <v/>
      </c>
      <c r="F2199" s="14">
        <f>IF('06_建筑锚点'!A199&lt;&gt;"",IF('06_建筑锚点'!A199="","缺少建筑ID；","")&amp;IF('06_建筑锚点'!B199="","缺少建筑名称；","")&amp;IF('06_建筑锚点'!C199="","缺少建筑类型；","")&amp;IF('06_建筑锚点'!D199="","缺少所属地点ID；","")&amp;IF('06_建筑锚点'!F199="","缺少世界X；","")&amp;IF('06_建筑锚点'!G199="","缺少世界Y；","")&amp;IF(AND('06_建筑锚点'!F199&lt;&gt;"",OR('06_建筑锚点'!F199&lt;0,'06_建筑锚点'!F199&gt;WorldWidth)),"世界X越界；","")&amp;IF(AND('06_建筑锚点'!G199&lt;&gt;"",OR('06_建筑锚点'!G199&lt;0,'06_建筑锚点'!G199&gt;WorldHeight)),"世界Y越界；","")&amp;IF(AND('06_建筑锚点'!D199&lt;&gt;"",COUNTIF('03_地点锚点'!$A$2:$A$501,'06_建筑锚点'!D199)=0),"建筑所属地点不存在；","")&amp;IF(AND('06_建筑锚点'!T199&lt;&gt;"",COUNTIF('07_动态状态'!$A$2:$A$501,'06_建筑锚点'!T199)=0),"运营状态编码不存在；","")&amp;IF(AND('06_建筑锚点'!A199&lt;&gt;"",COUNTIF('06_建筑锚点'!$A$2:$A$501,'06_建筑锚点'!A199)&gt;1),"ID重复；",""),"")</f>
        <v/>
      </c>
      <c r="G2199" s="14">
        <f>IF(F2199&lt;&gt;"","按字段批注、数据字典和来源记录修正后复核","")</f>
        <v/>
      </c>
      <c r="H2199" s="14">
        <f>IF(F2199&lt;&gt;"","待处理","")</f>
        <v/>
      </c>
    </row>
    <row r="2200">
      <c r="A2200" s="14">
        <f>IF(F2200&lt;&gt;"","ISSUE-"&amp;TEXT(ROW()-1,"00000"),"")</f>
        <v/>
      </c>
      <c r="B2200" s="14">
        <f>IF(F2200&lt;&gt;"","错误","")</f>
        <v/>
      </c>
      <c r="C2200" s="14">
        <f>IF('06_建筑锚点'!A200&lt;&gt;"","06_建筑锚点","")</f>
        <v/>
      </c>
      <c r="D2200" s="14">
        <f>IF('06_建筑锚点'!A200&lt;&gt;"",'06_建筑锚点'!A200,"")</f>
        <v/>
      </c>
      <c r="E2200" s="14">
        <f>IF(F2200&lt;&gt;"","综合校验","")</f>
        <v/>
      </c>
      <c r="F2200" s="14">
        <f>IF('06_建筑锚点'!A200&lt;&gt;"",IF('06_建筑锚点'!A200="","缺少建筑ID；","")&amp;IF('06_建筑锚点'!B200="","缺少建筑名称；","")&amp;IF('06_建筑锚点'!C200="","缺少建筑类型；","")&amp;IF('06_建筑锚点'!D200="","缺少所属地点ID；","")&amp;IF('06_建筑锚点'!F200="","缺少世界X；","")&amp;IF('06_建筑锚点'!G200="","缺少世界Y；","")&amp;IF(AND('06_建筑锚点'!F200&lt;&gt;"",OR('06_建筑锚点'!F200&lt;0,'06_建筑锚点'!F200&gt;WorldWidth)),"世界X越界；","")&amp;IF(AND('06_建筑锚点'!G200&lt;&gt;"",OR('06_建筑锚点'!G200&lt;0,'06_建筑锚点'!G200&gt;WorldHeight)),"世界Y越界；","")&amp;IF(AND('06_建筑锚点'!D200&lt;&gt;"",COUNTIF('03_地点锚点'!$A$2:$A$501,'06_建筑锚点'!D200)=0),"建筑所属地点不存在；","")&amp;IF(AND('06_建筑锚点'!T200&lt;&gt;"",COUNTIF('07_动态状态'!$A$2:$A$501,'06_建筑锚点'!T200)=0),"运营状态编码不存在；","")&amp;IF(AND('06_建筑锚点'!A200&lt;&gt;"",COUNTIF('06_建筑锚点'!$A$2:$A$501,'06_建筑锚点'!A200)&gt;1),"ID重复；",""),"")</f>
        <v/>
      </c>
      <c r="G2200" s="14">
        <f>IF(F2200&lt;&gt;"","按字段批注、数据字典和来源记录修正后复核","")</f>
        <v/>
      </c>
      <c r="H2200" s="14">
        <f>IF(F2200&lt;&gt;"","待处理","")</f>
        <v/>
      </c>
    </row>
    <row r="2201">
      <c r="A2201" s="14">
        <f>IF(F2201&lt;&gt;"","ISSUE-"&amp;TEXT(ROW()-1,"00000"),"")</f>
        <v/>
      </c>
      <c r="B2201" s="14">
        <f>IF(F2201&lt;&gt;"","错误","")</f>
        <v/>
      </c>
      <c r="C2201" s="14">
        <f>IF('06_建筑锚点'!A201&lt;&gt;"","06_建筑锚点","")</f>
        <v/>
      </c>
      <c r="D2201" s="14">
        <f>IF('06_建筑锚点'!A201&lt;&gt;"",'06_建筑锚点'!A201,"")</f>
        <v/>
      </c>
      <c r="E2201" s="14">
        <f>IF(F2201&lt;&gt;"","综合校验","")</f>
        <v/>
      </c>
      <c r="F2201" s="14">
        <f>IF('06_建筑锚点'!A201&lt;&gt;"",IF('06_建筑锚点'!A201="","缺少建筑ID；","")&amp;IF('06_建筑锚点'!B201="","缺少建筑名称；","")&amp;IF('06_建筑锚点'!C201="","缺少建筑类型；","")&amp;IF('06_建筑锚点'!D201="","缺少所属地点ID；","")&amp;IF('06_建筑锚点'!F201="","缺少世界X；","")&amp;IF('06_建筑锚点'!G201="","缺少世界Y；","")&amp;IF(AND('06_建筑锚点'!F201&lt;&gt;"",OR('06_建筑锚点'!F201&lt;0,'06_建筑锚点'!F201&gt;WorldWidth)),"世界X越界；","")&amp;IF(AND('06_建筑锚点'!G201&lt;&gt;"",OR('06_建筑锚点'!G201&lt;0,'06_建筑锚点'!G201&gt;WorldHeight)),"世界Y越界；","")&amp;IF(AND('06_建筑锚点'!D201&lt;&gt;"",COUNTIF('03_地点锚点'!$A$2:$A$501,'06_建筑锚点'!D201)=0),"建筑所属地点不存在；","")&amp;IF(AND('06_建筑锚点'!T201&lt;&gt;"",COUNTIF('07_动态状态'!$A$2:$A$501,'06_建筑锚点'!T201)=0),"运营状态编码不存在；","")&amp;IF(AND('06_建筑锚点'!A201&lt;&gt;"",COUNTIF('06_建筑锚点'!$A$2:$A$501,'06_建筑锚点'!A201)&gt;1),"ID重复；",""),"")</f>
        <v/>
      </c>
      <c r="G2201" s="14">
        <f>IF(F2201&lt;&gt;"","按字段批注、数据字典和来源记录修正后复核","")</f>
        <v/>
      </c>
      <c r="H2201" s="14">
        <f>IF(F2201&lt;&gt;"","待处理","")</f>
        <v/>
      </c>
    </row>
    <row r="2202">
      <c r="A2202" s="14">
        <f>IF(F2202&lt;&gt;"","ISSUE-"&amp;TEXT(ROW()-1,"00000"),"")</f>
        <v/>
      </c>
      <c r="B2202" s="14">
        <f>IF(F2202&lt;&gt;"","错误","")</f>
        <v/>
      </c>
      <c r="C2202" s="14">
        <f>IF('06_建筑锚点'!A202&lt;&gt;"","06_建筑锚点","")</f>
        <v/>
      </c>
      <c r="D2202" s="14">
        <f>IF('06_建筑锚点'!A202&lt;&gt;"",'06_建筑锚点'!A202,"")</f>
        <v/>
      </c>
      <c r="E2202" s="14">
        <f>IF(F2202&lt;&gt;"","综合校验","")</f>
        <v/>
      </c>
      <c r="F2202" s="14">
        <f>IF('06_建筑锚点'!A202&lt;&gt;"",IF('06_建筑锚点'!A202="","缺少建筑ID；","")&amp;IF('06_建筑锚点'!B202="","缺少建筑名称；","")&amp;IF('06_建筑锚点'!C202="","缺少建筑类型；","")&amp;IF('06_建筑锚点'!D202="","缺少所属地点ID；","")&amp;IF('06_建筑锚点'!F202="","缺少世界X；","")&amp;IF('06_建筑锚点'!G202="","缺少世界Y；","")&amp;IF(AND('06_建筑锚点'!F202&lt;&gt;"",OR('06_建筑锚点'!F202&lt;0,'06_建筑锚点'!F202&gt;WorldWidth)),"世界X越界；","")&amp;IF(AND('06_建筑锚点'!G202&lt;&gt;"",OR('06_建筑锚点'!G202&lt;0,'06_建筑锚点'!G202&gt;WorldHeight)),"世界Y越界；","")&amp;IF(AND('06_建筑锚点'!D202&lt;&gt;"",COUNTIF('03_地点锚点'!$A$2:$A$501,'06_建筑锚点'!D202)=0),"建筑所属地点不存在；","")&amp;IF(AND('06_建筑锚点'!T202&lt;&gt;"",COUNTIF('07_动态状态'!$A$2:$A$501,'06_建筑锚点'!T202)=0),"运营状态编码不存在；","")&amp;IF(AND('06_建筑锚点'!A202&lt;&gt;"",COUNTIF('06_建筑锚点'!$A$2:$A$501,'06_建筑锚点'!A202)&gt;1),"ID重复；",""),"")</f>
        <v/>
      </c>
      <c r="G2202" s="14">
        <f>IF(F2202&lt;&gt;"","按字段批注、数据字典和来源记录修正后复核","")</f>
        <v/>
      </c>
      <c r="H2202" s="14">
        <f>IF(F2202&lt;&gt;"","待处理","")</f>
        <v/>
      </c>
    </row>
    <row r="2203">
      <c r="A2203" s="14">
        <f>IF(F2203&lt;&gt;"","ISSUE-"&amp;TEXT(ROW()-1,"00000"),"")</f>
        <v/>
      </c>
      <c r="B2203" s="14">
        <f>IF(F2203&lt;&gt;"","错误","")</f>
        <v/>
      </c>
      <c r="C2203" s="14">
        <f>IF('06_建筑锚点'!A203&lt;&gt;"","06_建筑锚点","")</f>
        <v/>
      </c>
      <c r="D2203" s="14">
        <f>IF('06_建筑锚点'!A203&lt;&gt;"",'06_建筑锚点'!A203,"")</f>
        <v/>
      </c>
      <c r="E2203" s="14">
        <f>IF(F2203&lt;&gt;"","综合校验","")</f>
        <v/>
      </c>
      <c r="F2203" s="14">
        <f>IF('06_建筑锚点'!A203&lt;&gt;"",IF('06_建筑锚点'!A203="","缺少建筑ID；","")&amp;IF('06_建筑锚点'!B203="","缺少建筑名称；","")&amp;IF('06_建筑锚点'!C203="","缺少建筑类型；","")&amp;IF('06_建筑锚点'!D203="","缺少所属地点ID；","")&amp;IF('06_建筑锚点'!F203="","缺少世界X；","")&amp;IF('06_建筑锚点'!G203="","缺少世界Y；","")&amp;IF(AND('06_建筑锚点'!F203&lt;&gt;"",OR('06_建筑锚点'!F203&lt;0,'06_建筑锚点'!F203&gt;WorldWidth)),"世界X越界；","")&amp;IF(AND('06_建筑锚点'!G203&lt;&gt;"",OR('06_建筑锚点'!G203&lt;0,'06_建筑锚点'!G203&gt;WorldHeight)),"世界Y越界；","")&amp;IF(AND('06_建筑锚点'!D203&lt;&gt;"",COUNTIF('03_地点锚点'!$A$2:$A$501,'06_建筑锚点'!D203)=0),"建筑所属地点不存在；","")&amp;IF(AND('06_建筑锚点'!T203&lt;&gt;"",COUNTIF('07_动态状态'!$A$2:$A$501,'06_建筑锚点'!T203)=0),"运营状态编码不存在；","")&amp;IF(AND('06_建筑锚点'!A203&lt;&gt;"",COUNTIF('06_建筑锚点'!$A$2:$A$501,'06_建筑锚点'!A203)&gt;1),"ID重复；",""),"")</f>
        <v/>
      </c>
      <c r="G2203" s="14">
        <f>IF(F2203&lt;&gt;"","按字段批注、数据字典和来源记录修正后复核","")</f>
        <v/>
      </c>
      <c r="H2203" s="14">
        <f>IF(F2203&lt;&gt;"","待处理","")</f>
        <v/>
      </c>
    </row>
    <row r="2204">
      <c r="A2204" s="14">
        <f>IF(F2204&lt;&gt;"","ISSUE-"&amp;TEXT(ROW()-1,"00000"),"")</f>
        <v/>
      </c>
      <c r="B2204" s="14">
        <f>IF(F2204&lt;&gt;"","错误","")</f>
        <v/>
      </c>
      <c r="C2204" s="14">
        <f>IF('06_建筑锚点'!A204&lt;&gt;"","06_建筑锚点","")</f>
        <v/>
      </c>
      <c r="D2204" s="14">
        <f>IF('06_建筑锚点'!A204&lt;&gt;"",'06_建筑锚点'!A204,"")</f>
        <v/>
      </c>
      <c r="E2204" s="14">
        <f>IF(F2204&lt;&gt;"","综合校验","")</f>
        <v/>
      </c>
      <c r="F2204" s="14">
        <f>IF('06_建筑锚点'!A204&lt;&gt;"",IF('06_建筑锚点'!A204="","缺少建筑ID；","")&amp;IF('06_建筑锚点'!B204="","缺少建筑名称；","")&amp;IF('06_建筑锚点'!C204="","缺少建筑类型；","")&amp;IF('06_建筑锚点'!D204="","缺少所属地点ID；","")&amp;IF('06_建筑锚点'!F204="","缺少世界X；","")&amp;IF('06_建筑锚点'!G204="","缺少世界Y；","")&amp;IF(AND('06_建筑锚点'!F204&lt;&gt;"",OR('06_建筑锚点'!F204&lt;0,'06_建筑锚点'!F204&gt;WorldWidth)),"世界X越界；","")&amp;IF(AND('06_建筑锚点'!G204&lt;&gt;"",OR('06_建筑锚点'!G204&lt;0,'06_建筑锚点'!G204&gt;WorldHeight)),"世界Y越界；","")&amp;IF(AND('06_建筑锚点'!D204&lt;&gt;"",COUNTIF('03_地点锚点'!$A$2:$A$501,'06_建筑锚点'!D204)=0),"建筑所属地点不存在；","")&amp;IF(AND('06_建筑锚点'!T204&lt;&gt;"",COUNTIF('07_动态状态'!$A$2:$A$501,'06_建筑锚点'!T204)=0),"运营状态编码不存在；","")&amp;IF(AND('06_建筑锚点'!A204&lt;&gt;"",COUNTIF('06_建筑锚点'!$A$2:$A$501,'06_建筑锚点'!A204)&gt;1),"ID重复；",""),"")</f>
        <v/>
      </c>
      <c r="G2204" s="14">
        <f>IF(F2204&lt;&gt;"","按字段批注、数据字典和来源记录修正后复核","")</f>
        <v/>
      </c>
      <c r="H2204" s="14">
        <f>IF(F2204&lt;&gt;"","待处理","")</f>
        <v/>
      </c>
    </row>
    <row r="2205">
      <c r="A2205" s="14">
        <f>IF(F2205&lt;&gt;"","ISSUE-"&amp;TEXT(ROW()-1,"00000"),"")</f>
        <v/>
      </c>
      <c r="B2205" s="14">
        <f>IF(F2205&lt;&gt;"","错误","")</f>
        <v/>
      </c>
      <c r="C2205" s="14">
        <f>IF('06_建筑锚点'!A205&lt;&gt;"","06_建筑锚点","")</f>
        <v/>
      </c>
      <c r="D2205" s="14">
        <f>IF('06_建筑锚点'!A205&lt;&gt;"",'06_建筑锚点'!A205,"")</f>
        <v/>
      </c>
      <c r="E2205" s="14">
        <f>IF(F2205&lt;&gt;"","综合校验","")</f>
        <v/>
      </c>
      <c r="F2205" s="14">
        <f>IF('06_建筑锚点'!A205&lt;&gt;"",IF('06_建筑锚点'!A205="","缺少建筑ID；","")&amp;IF('06_建筑锚点'!B205="","缺少建筑名称；","")&amp;IF('06_建筑锚点'!C205="","缺少建筑类型；","")&amp;IF('06_建筑锚点'!D205="","缺少所属地点ID；","")&amp;IF('06_建筑锚点'!F205="","缺少世界X；","")&amp;IF('06_建筑锚点'!G205="","缺少世界Y；","")&amp;IF(AND('06_建筑锚点'!F205&lt;&gt;"",OR('06_建筑锚点'!F205&lt;0,'06_建筑锚点'!F205&gt;WorldWidth)),"世界X越界；","")&amp;IF(AND('06_建筑锚点'!G205&lt;&gt;"",OR('06_建筑锚点'!G205&lt;0,'06_建筑锚点'!G205&gt;WorldHeight)),"世界Y越界；","")&amp;IF(AND('06_建筑锚点'!D205&lt;&gt;"",COUNTIF('03_地点锚点'!$A$2:$A$501,'06_建筑锚点'!D205)=0),"建筑所属地点不存在；","")&amp;IF(AND('06_建筑锚点'!T205&lt;&gt;"",COUNTIF('07_动态状态'!$A$2:$A$501,'06_建筑锚点'!T205)=0),"运营状态编码不存在；","")&amp;IF(AND('06_建筑锚点'!A205&lt;&gt;"",COUNTIF('06_建筑锚点'!$A$2:$A$501,'06_建筑锚点'!A205)&gt;1),"ID重复；",""),"")</f>
        <v/>
      </c>
      <c r="G2205" s="14">
        <f>IF(F2205&lt;&gt;"","按字段批注、数据字典和来源记录修正后复核","")</f>
        <v/>
      </c>
      <c r="H2205" s="14">
        <f>IF(F2205&lt;&gt;"","待处理","")</f>
        <v/>
      </c>
    </row>
    <row r="2206">
      <c r="A2206" s="14">
        <f>IF(F2206&lt;&gt;"","ISSUE-"&amp;TEXT(ROW()-1,"00000"),"")</f>
        <v/>
      </c>
      <c r="B2206" s="14">
        <f>IF(F2206&lt;&gt;"","错误","")</f>
        <v/>
      </c>
      <c r="C2206" s="14">
        <f>IF('06_建筑锚点'!A206&lt;&gt;"","06_建筑锚点","")</f>
        <v/>
      </c>
      <c r="D2206" s="14">
        <f>IF('06_建筑锚点'!A206&lt;&gt;"",'06_建筑锚点'!A206,"")</f>
        <v/>
      </c>
      <c r="E2206" s="14">
        <f>IF(F2206&lt;&gt;"","综合校验","")</f>
        <v/>
      </c>
      <c r="F2206" s="14">
        <f>IF('06_建筑锚点'!A206&lt;&gt;"",IF('06_建筑锚点'!A206="","缺少建筑ID；","")&amp;IF('06_建筑锚点'!B206="","缺少建筑名称；","")&amp;IF('06_建筑锚点'!C206="","缺少建筑类型；","")&amp;IF('06_建筑锚点'!D206="","缺少所属地点ID；","")&amp;IF('06_建筑锚点'!F206="","缺少世界X；","")&amp;IF('06_建筑锚点'!G206="","缺少世界Y；","")&amp;IF(AND('06_建筑锚点'!F206&lt;&gt;"",OR('06_建筑锚点'!F206&lt;0,'06_建筑锚点'!F206&gt;WorldWidth)),"世界X越界；","")&amp;IF(AND('06_建筑锚点'!G206&lt;&gt;"",OR('06_建筑锚点'!G206&lt;0,'06_建筑锚点'!G206&gt;WorldHeight)),"世界Y越界；","")&amp;IF(AND('06_建筑锚点'!D206&lt;&gt;"",COUNTIF('03_地点锚点'!$A$2:$A$501,'06_建筑锚点'!D206)=0),"建筑所属地点不存在；","")&amp;IF(AND('06_建筑锚点'!T206&lt;&gt;"",COUNTIF('07_动态状态'!$A$2:$A$501,'06_建筑锚点'!T206)=0),"运营状态编码不存在；","")&amp;IF(AND('06_建筑锚点'!A206&lt;&gt;"",COUNTIF('06_建筑锚点'!$A$2:$A$501,'06_建筑锚点'!A206)&gt;1),"ID重复；",""),"")</f>
        <v/>
      </c>
      <c r="G2206" s="14">
        <f>IF(F2206&lt;&gt;"","按字段批注、数据字典和来源记录修正后复核","")</f>
        <v/>
      </c>
      <c r="H2206" s="14">
        <f>IF(F2206&lt;&gt;"","待处理","")</f>
        <v/>
      </c>
    </row>
    <row r="2207">
      <c r="A2207" s="14">
        <f>IF(F2207&lt;&gt;"","ISSUE-"&amp;TEXT(ROW()-1,"00000"),"")</f>
        <v/>
      </c>
      <c r="B2207" s="14">
        <f>IF(F2207&lt;&gt;"","错误","")</f>
        <v/>
      </c>
      <c r="C2207" s="14">
        <f>IF('06_建筑锚点'!A207&lt;&gt;"","06_建筑锚点","")</f>
        <v/>
      </c>
      <c r="D2207" s="14">
        <f>IF('06_建筑锚点'!A207&lt;&gt;"",'06_建筑锚点'!A207,"")</f>
        <v/>
      </c>
      <c r="E2207" s="14">
        <f>IF(F2207&lt;&gt;"","综合校验","")</f>
        <v/>
      </c>
      <c r="F2207" s="14">
        <f>IF('06_建筑锚点'!A207&lt;&gt;"",IF('06_建筑锚点'!A207="","缺少建筑ID；","")&amp;IF('06_建筑锚点'!B207="","缺少建筑名称；","")&amp;IF('06_建筑锚点'!C207="","缺少建筑类型；","")&amp;IF('06_建筑锚点'!D207="","缺少所属地点ID；","")&amp;IF('06_建筑锚点'!F207="","缺少世界X；","")&amp;IF('06_建筑锚点'!G207="","缺少世界Y；","")&amp;IF(AND('06_建筑锚点'!F207&lt;&gt;"",OR('06_建筑锚点'!F207&lt;0,'06_建筑锚点'!F207&gt;WorldWidth)),"世界X越界；","")&amp;IF(AND('06_建筑锚点'!G207&lt;&gt;"",OR('06_建筑锚点'!G207&lt;0,'06_建筑锚点'!G207&gt;WorldHeight)),"世界Y越界；","")&amp;IF(AND('06_建筑锚点'!D207&lt;&gt;"",COUNTIF('03_地点锚点'!$A$2:$A$501,'06_建筑锚点'!D207)=0),"建筑所属地点不存在；","")&amp;IF(AND('06_建筑锚点'!T207&lt;&gt;"",COUNTIF('07_动态状态'!$A$2:$A$501,'06_建筑锚点'!T207)=0),"运营状态编码不存在；","")&amp;IF(AND('06_建筑锚点'!A207&lt;&gt;"",COUNTIF('06_建筑锚点'!$A$2:$A$501,'06_建筑锚点'!A207)&gt;1),"ID重复；",""),"")</f>
        <v/>
      </c>
      <c r="G2207" s="14">
        <f>IF(F2207&lt;&gt;"","按字段批注、数据字典和来源记录修正后复核","")</f>
        <v/>
      </c>
      <c r="H2207" s="14">
        <f>IF(F2207&lt;&gt;"","待处理","")</f>
        <v/>
      </c>
    </row>
    <row r="2208">
      <c r="A2208" s="14">
        <f>IF(F2208&lt;&gt;"","ISSUE-"&amp;TEXT(ROW()-1,"00000"),"")</f>
        <v/>
      </c>
      <c r="B2208" s="14">
        <f>IF(F2208&lt;&gt;"","错误","")</f>
        <v/>
      </c>
      <c r="C2208" s="14">
        <f>IF('06_建筑锚点'!A208&lt;&gt;"","06_建筑锚点","")</f>
        <v/>
      </c>
      <c r="D2208" s="14">
        <f>IF('06_建筑锚点'!A208&lt;&gt;"",'06_建筑锚点'!A208,"")</f>
        <v/>
      </c>
      <c r="E2208" s="14">
        <f>IF(F2208&lt;&gt;"","综合校验","")</f>
        <v/>
      </c>
      <c r="F2208" s="14">
        <f>IF('06_建筑锚点'!A208&lt;&gt;"",IF('06_建筑锚点'!A208="","缺少建筑ID；","")&amp;IF('06_建筑锚点'!B208="","缺少建筑名称；","")&amp;IF('06_建筑锚点'!C208="","缺少建筑类型；","")&amp;IF('06_建筑锚点'!D208="","缺少所属地点ID；","")&amp;IF('06_建筑锚点'!F208="","缺少世界X；","")&amp;IF('06_建筑锚点'!G208="","缺少世界Y；","")&amp;IF(AND('06_建筑锚点'!F208&lt;&gt;"",OR('06_建筑锚点'!F208&lt;0,'06_建筑锚点'!F208&gt;WorldWidth)),"世界X越界；","")&amp;IF(AND('06_建筑锚点'!G208&lt;&gt;"",OR('06_建筑锚点'!G208&lt;0,'06_建筑锚点'!G208&gt;WorldHeight)),"世界Y越界；","")&amp;IF(AND('06_建筑锚点'!D208&lt;&gt;"",COUNTIF('03_地点锚点'!$A$2:$A$501,'06_建筑锚点'!D208)=0),"建筑所属地点不存在；","")&amp;IF(AND('06_建筑锚点'!T208&lt;&gt;"",COUNTIF('07_动态状态'!$A$2:$A$501,'06_建筑锚点'!T208)=0),"运营状态编码不存在；","")&amp;IF(AND('06_建筑锚点'!A208&lt;&gt;"",COUNTIF('06_建筑锚点'!$A$2:$A$501,'06_建筑锚点'!A208)&gt;1),"ID重复；",""),"")</f>
        <v/>
      </c>
      <c r="G2208" s="14">
        <f>IF(F2208&lt;&gt;"","按字段批注、数据字典和来源记录修正后复核","")</f>
        <v/>
      </c>
      <c r="H2208" s="14">
        <f>IF(F2208&lt;&gt;"","待处理","")</f>
        <v/>
      </c>
    </row>
    <row r="2209">
      <c r="A2209" s="14">
        <f>IF(F2209&lt;&gt;"","ISSUE-"&amp;TEXT(ROW()-1,"00000"),"")</f>
        <v/>
      </c>
      <c r="B2209" s="14">
        <f>IF(F2209&lt;&gt;"","错误","")</f>
        <v/>
      </c>
      <c r="C2209" s="14">
        <f>IF('06_建筑锚点'!A209&lt;&gt;"","06_建筑锚点","")</f>
        <v/>
      </c>
      <c r="D2209" s="14">
        <f>IF('06_建筑锚点'!A209&lt;&gt;"",'06_建筑锚点'!A209,"")</f>
        <v/>
      </c>
      <c r="E2209" s="14">
        <f>IF(F2209&lt;&gt;"","综合校验","")</f>
        <v/>
      </c>
      <c r="F2209" s="14">
        <f>IF('06_建筑锚点'!A209&lt;&gt;"",IF('06_建筑锚点'!A209="","缺少建筑ID；","")&amp;IF('06_建筑锚点'!B209="","缺少建筑名称；","")&amp;IF('06_建筑锚点'!C209="","缺少建筑类型；","")&amp;IF('06_建筑锚点'!D209="","缺少所属地点ID；","")&amp;IF('06_建筑锚点'!F209="","缺少世界X；","")&amp;IF('06_建筑锚点'!G209="","缺少世界Y；","")&amp;IF(AND('06_建筑锚点'!F209&lt;&gt;"",OR('06_建筑锚点'!F209&lt;0,'06_建筑锚点'!F209&gt;WorldWidth)),"世界X越界；","")&amp;IF(AND('06_建筑锚点'!G209&lt;&gt;"",OR('06_建筑锚点'!G209&lt;0,'06_建筑锚点'!G209&gt;WorldHeight)),"世界Y越界；","")&amp;IF(AND('06_建筑锚点'!D209&lt;&gt;"",COUNTIF('03_地点锚点'!$A$2:$A$501,'06_建筑锚点'!D209)=0),"建筑所属地点不存在；","")&amp;IF(AND('06_建筑锚点'!T209&lt;&gt;"",COUNTIF('07_动态状态'!$A$2:$A$501,'06_建筑锚点'!T209)=0),"运营状态编码不存在；","")&amp;IF(AND('06_建筑锚点'!A209&lt;&gt;"",COUNTIF('06_建筑锚点'!$A$2:$A$501,'06_建筑锚点'!A209)&gt;1),"ID重复；",""),"")</f>
        <v/>
      </c>
      <c r="G2209" s="14">
        <f>IF(F2209&lt;&gt;"","按字段批注、数据字典和来源记录修正后复核","")</f>
        <v/>
      </c>
      <c r="H2209" s="14">
        <f>IF(F2209&lt;&gt;"","待处理","")</f>
        <v/>
      </c>
    </row>
    <row r="2210">
      <c r="A2210" s="14">
        <f>IF(F2210&lt;&gt;"","ISSUE-"&amp;TEXT(ROW()-1,"00000"),"")</f>
        <v/>
      </c>
      <c r="B2210" s="14">
        <f>IF(F2210&lt;&gt;"","错误","")</f>
        <v/>
      </c>
      <c r="C2210" s="14">
        <f>IF('06_建筑锚点'!A210&lt;&gt;"","06_建筑锚点","")</f>
        <v/>
      </c>
      <c r="D2210" s="14">
        <f>IF('06_建筑锚点'!A210&lt;&gt;"",'06_建筑锚点'!A210,"")</f>
        <v/>
      </c>
      <c r="E2210" s="14">
        <f>IF(F2210&lt;&gt;"","综合校验","")</f>
        <v/>
      </c>
      <c r="F2210" s="14">
        <f>IF('06_建筑锚点'!A210&lt;&gt;"",IF('06_建筑锚点'!A210="","缺少建筑ID；","")&amp;IF('06_建筑锚点'!B210="","缺少建筑名称；","")&amp;IF('06_建筑锚点'!C210="","缺少建筑类型；","")&amp;IF('06_建筑锚点'!D210="","缺少所属地点ID；","")&amp;IF('06_建筑锚点'!F210="","缺少世界X；","")&amp;IF('06_建筑锚点'!G210="","缺少世界Y；","")&amp;IF(AND('06_建筑锚点'!F210&lt;&gt;"",OR('06_建筑锚点'!F210&lt;0,'06_建筑锚点'!F210&gt;WorldWidth)),"世界X越界；","")&amp;IF(AND('06_建筑锚点'!G210&lt;&gt;"",OR('06_建筑锚点'!G210&lt;0,'06_建筑锚点'!G210&gt;WorldHeight)),"世界Y越界；","")&amp;IF(AND('06_建筑锚点'!D210&lt;&gt;"",COUNTIF('03_地点锚点'!$A$2:$A$501,'06_建筑锚点'!D210)=0),"建筑所属地点不存在；","")&amp;IF(AND('06_建筑锚点'!T210&lt;&gt;"",COUNTIF('07_动态状态'!$A$2:$A$501,'06_建筑锚点'!T210)=0),"运营状态编码不存在；","")&amp;IF(AND('06_建筑锚点'!A210&lt;&gt;"",COUNTIF('06_建筑锚点'!$A$2:$A$501,'06_建筑锚点'!A210)&gt;1),"ID重复；",""),"")</f>
        <v/>
      </c>
      <c r="G2210" s="14">
        <f>IF(F2210&lt;&gt;"","按字段批注、数据字典和来源记录修正后复核","")</f>
        <v/>
      </c>
      <c r="H2210" s="14">
        <f>IF(F2210&lt;&gt;"","待处理","")</f>
        <v/>
      </c>
    </row>
    <row r="2211">
      <c r="A2211" s="14">
        <f>IF(F2211&lt;&gt;"","ISSUE-"&amp;TEXT(ROW()-1,"00000"),"")</f>
        <v/>
      </c>
      <c r="B2211" s="14">
        <f>IF(F2211&lt;&gt;"","错误","")</f>
        <v/>
      </c>
      <c r="C2211" s="14">
        <f>IF('06_建筑锚点'!A211&lt;&gt;"","06_建筑锚点","")</f>
        <v/>
      </c>
      <c r="D2211" s="14">
        <f>IF('06_建筑锚点'!A211&lt;&gt;"",'06_建筑锚点'!A211,"")</f>
        <v/>
      </c>
      <c r="E2211" s="14">
        <f>IF(F2211&lt;&gt;"","综合校验","")</f>
        <v/>
      </c>
      <c r="F2211" s="14">
        <f>IF('06_建筑锚点'!A211&lt;&gt;"",IF('06_建筑锚点'!A211="","缺少建筑ID；","")&amp;IF('06_建筑锚点'!B211="","缺少建筑名称；","")&amp;IF('06_建筑锚点'!C211="","缺少建筑类型；","")&amp;IF('06_建筑锚点'!D211="","缺少所属地点ID；","")&amp;IF('06_建筑锚点'!F211="","缺少世界X；","")&amp;IF('06_建筑锚点'!G211="","缺少世界Y；","")&amp;IF(AND('06_建筑锚点'!F211&lt;&gt;"",OR('06_建筑锚点'!F211&lt;0,'06_建筑锚点'!F211&gt;WorldWidth)),"世界X越界；","")&amp;IF(AND('06_建筑锚点'!G211&lt;&gt;"",OR('06_建筑锚点'!G211&lt;0,'06_建筑锚点'!G211&gt;WorldHeight)),"世界Y越界；","")&amp;IF(AND('06_建筑锚点'!D211&lt;&gt;"",COUNTIF('03_地点锚点'!$A$2:$A$501,'06_建筑锚点'!D211)=0),"建筑所属地点不存在；","")&amp;IF(AND('06_建筑锚点'!T211&lt;&gt;"",COUNTIF('07_动态状态'!$A$2:$A$501,'06_建筑锚点'!T211)=0),"运营状态编码不存在；","")&amp;IF(AND('06_建筑锚点'!A211&lt;&gt;"",COUNTIF('06_建筑锚点'!$A$2:$A$501,'06_建筑锚点'!A211)&gt;1),"ID重复；",""),"")</f>
        <v/>
      </c>
      <c r="G2211" s="14">
        <f>IF(F2211&lt;&gt;"","按字段批注、数据字典和来源记录修正后复核","")</f>
        <v/>
      </c>
      <c r="H2211" s="14">
        <f>IF(F2211&lt;&gt;"","待处理","")</f>
        <v/>
      </c>
    </row>
    <row r="2212">
      <c r="A2212" s="14">
        <f>IF(F2212&lt;&gt;"","ISSUE-"&amp;TEXT(ROW()-1,"00000"),"")</f>
        <v/>
      </c>
      <c r="B2212" s="14">
        <f>IF(F2212&lt;&gt;"","错误","")</f>
        <v/>
      </c>
      <c r="C2212" s="14">
        <f>IF('06_建筑锚点'!A212&lt;&gt;"","06_建筑锚点","")</f>
        <v/>
      </c>
      <c r="D2212" s="14">
        <f>IF('06_建筑锚点'!A212&lt;&gt;"",'06_建筑锚点'!A212,"")</f>
        <v/>
      </c>
      <c r="E2212" s="14">
        <f>IF(F2212&lt;&gt;"","综合校验","")</f>
        <v/>
      </c>
      <c r="F2212" s="14">
        <f>IF('06_建筑锚点'!A212&lt;&gt;"",IF('06_建筑锚点'!A212="","缺少建筑ID；","")&amp;IF('06_建筑锚点'!B212="","缺少建筑名称；","")&amp;IF('06_建筑锚点'!C212="","缺少建筑类型；","")&amp;IF('06_建筑锚点'!D212="","缺少所属地点ID；","")&amp;IF('06_建筑锚点'!F212="","缺少世界X；","")&amp;IF('06_建筑锚点'!G212="","缺少世界Y；","")&amp;IF(AND('06_建筑锚点'!F212&lt;&gt;"",OR('06_建筑锚点'!F212&lt;0,'06_建筑锚点'!F212&gt;WorldWidth)),"世界X越界；","")&amp;IF(AND('06_建筑锚点'!G212&lt;&gt;"",OR('06_建筑锚点'!G212&lt;0,'06_建筑锚点'!G212&gt;WorldHeight)),"世界Y越界；","")&amp;IF(AND('06_建筑锚点'!D212&lt;&gt;"",COUNTIF('03_地点锚点'!$A$2:$A$501,'06_建筑锚点'!D212)=0),"建筑所属地点不存在；","")&amp;IF(AND('06_建筑锚点'!T212&lt;&gt;"",COUNTIF('07_动态状态'!$A$2:$A$501,'06_建筑锚点'!T212)=0),"运营状态编码不存在；","")&amp;IF(AND('06_建筑锚点'!A212&lt;&gt;"",COUNTIF('06_建筑锚点'!$A$2:$A$501,'06_建筑锚点'!A212)&gt;1),"ID重复；",""),"")</f>
        <v/>
      </c>
      <c r="G2212" s="14">
        <f>IF(F2212&lt;&gt;"","按字段批注、数据字典和来源记录修正后复核","")</f>
        <v/>
      </c>
      <c r="H2212" s="14">
        <f>IF(F2212&lt;&gt;"","待处理","")</f>
        <v/>
      </c>
    </row>
    <row r="2213">
      <c r="A2213" s="14">
        <f>IF(F2213&lt;&gt;"","ISSUE-"&amp;TEXT(ROW()-1,"00000"),"")</f>
        <v/>
      </c>
      <c r="B2213" s="14">
        <f>IF(F2213&lt;&gt;"","错误","")</f>
        <v/>
      </c>
      <c r="C2213" s="14">
        <f>IF('06_建筑锚点'!A213&lt;&gt;"","06_建筑锚点","")</f>
        <v/>
      </c>
      <c r="D2213" s="14">
        <f>IF('06_建筑锚点'!A213&lt;&gt;"",'06_建筑锚点'!A213,"")</f>
        <v/>
      </c>
      <c r="E2213" s="14">
        <f>IF(F2213&lt;&gt;"","综合校验","")</f>
        <v/>
      </c>
      <c r="F2213" s="14">
        <f>IF('06_建筑锚点'!A213&lt;&gt;"",IF('06_建筑锚点'!A213="","缺少建筑ID；","")&amp;IF('06_建筑锚点'!B213="","缺少建筑名称；","")&amp;IF('06_建筑锚点'!C213="","缺少建筑类型；","")&amp;IF('06_建筑锚点'!D213="","缺少所属地点ID；","")&amp;IF('06_建筑锚点'!F213="","缺少世界X；","")&amp;IF('06_建筑锚点'!G213="","缺少世界Y；","")&amp;IF(AND('06_建筑锚点'!F213&lt;&gt;"",OR('06_建筑锚点'!F213&lt;0,'06_建筑锚点'!F213&gt;WorldWidth)),"世界X越界；","")&amp;IF(AND('06_建筑锚点'!G213&lt;&gt;"",OR('06_建筑锚点'!G213&lt;0,'06_建筑锚点'!G213&gt;WorldHeight)),"世界Y越界；","")&amp;IF(AND('06_建筑锚点'!D213&lt;&gt;"",COUNTIF('03_地点锚点'!$A$2:$A$501,'06_建筑锚点'!D213)=0),"建筑所属地点不存在；","")&amp;IF(AND('06_建筑锚点'!T213&lt;&gt;"",COUNTIF('07_动态状态'!$A$2:$A$501,'06_建筑锚点'!T213)=0),"运营状态编码不存在；","")&amp;IF(AND('06_建筑锚点'!A213&lt;&gt;"",COUNTIF('06_建筑锚点'!$A$2:$A$501,'06_建筑锚点'!A213)&gt;1),"ID重复；",""),"")</f>
        <v/>
      </c>
      <c r="G2213" s="14">
        <f>IF(F2213&lt;&gt;"","按字段批注、数据字典和来源记录修正后复核","")</f>
        <v/>
      </c>
      <c r="H2213" s="14">
        <f>IF(F2213&lt;&gt;"","待处理","")</f>
        <v/>
      </c>
    </row>
    <row r="2214">
      <c r="A2214" s="14">
        <f>IF(F2214&lt;&gt;"","ISSUE-"&amp;TEXT(ROW()-1,"00000"),"")</f>
        <v/>
      </c>
      <c r="B2214" s="14">
        <f>IF(F2214&lt;&gt;"","错误","")</f>
        <v/>
      </c>
      <c r="C2214" s="14">
        <f>IF('06_建筑锚点'!A214&lt;&gt;"","06_建筑锚点","")</f>
        <v/>
      </c>
      <c r="D2214" s="14">
        <f>IF('06_建筑锚点'!A214&lt;&gt;"",'06_建筑锚点'!A214,"")</f>
        <v/>
      </c>
      <c r="E2214" s="14">
        <f>IF(F2214&lt;&gt;"","综合校验","")</f>
        <v/>
      </c>
      <c r="F2214" s="14">
        <f>IF('06_建筑锚点'!A214&lt;&gt;"",IF('06_建筑锚点'!A214="","缺少建筑ID；","")&amp;IF('06_建筑锚点'!B214="","缺少建筑名称；","")&amp;IF('06_建筑锚点'!C214="","缺少建筑类型；","")&amp;IF('06_建筑锚点'!D214="","缺少所属地点ID；","")&amp;IF('06_建筑锚点'!F214="","缺少世界X；","")&amp;IF('06_建筑锚点'!G214="","缺少世界Y；","")&amp;IF(AND('06_建筑锚点'!F214&lt;&gt;"",OR('06_建筑锚点'!F214&lt;0,'06_建筑锚点'!F214&gt;WorldWidth)),"世界X越界；","")&amp;IF(AND('06_建筑锚点'!G214&lt;&gt;"",OR('06_建筑锚点'!G214&lt;0,'06_建筑锚点'!G214&gt;WorldHeight)),"世界Y越界；","")&amp;IF(AND('06_建筑锚点'!D214&lt;&gt;"",COUNTIF('03_地点锚点'!$A$2:$A$501,'06_建筑锚点'!D214)=0),"建筑所属地点不存在；","")&amp;IF(AND('06_建筑锚点'!T214&lt;&gt;"",COUNTIF('07_动态状态'!$A$2:$A$501,'06_建筑锚点'!T214)=0),"运营状态编码不存在；","")&amp;IF(AND('06_建筑锚点'!A214&lt;&gt;"",COUNTIF('06_建筑锚点'!$A$2:$A$501,'06_建筑锚点'!A214)&gt;1),"ID重复；",""),"")</f>
        <v/>
      </c>
      <c r="G2214" s="14">
        <f>IF(F2214&lt;&gt;"","按字段批注、数据字典和来源记录修正后复核","")</f>
        <v/>
      </c>
      <c r="H2214" s="14">
        <f>IF(F2214&lt;&gt;"","待处理","")</f>
        <v/>
      </c>
    </row>
    <row r="2215">
      <c r="A2215" s="14">
        <f>IF(F2215&lt;&gt;"","ISSUE-"&amp;TEXT(ROW()-1,"00000"),"")</f>
        <v/>
      </c>
      <c r="B2215" s="14">
        <f>IF(F2215&lt;&gt;"","错误","")</f>
        <v/>
      </c>
      <c r="C2215" s="14">
        <f>IF('06_建筑锚点'!A215&lt;&gt;"","06_建筑锚点","")</f>
        <v/>
      </c>
      <c r="D2215" s="14">
        <f>IF('06_建筑锚点'!A215&lt;&gt;"",'06_建筑锚点'!A215,"")</f>
        <v/>
      </c>
      <c r="E2215" s="14">
        <f>IF(F2215&lt;&gt;"","综合校验","")</f>
        <v/>
      </c>
      <c r="F2215" s="14">
        <f>IF('06_建筑锚点'!A215&lt;&gt;"",IF('06_建筑锚点'!A215="","缺少建筑ID；","")&amp;IF('06_建筑锚点'!B215="","缺少建筑名称；","")&amp;IF('06_建筑锚点'!C215="","缺少建筑类型；","")&amp;IF('06_建筑锚点'!D215="","缺少所属地点ID；","")&amp;IF('06_建筑锚点'!F215="","缺少世界X；","")&amp;IF('06_建筑锚点'!G215="","缺少世界Y；","")&amp;IF(AND('06_建筑锚点'!F215&lt;&gt;"",OR('06_建筑锚点'!F215&lt;0,'06_建筑锚点'!F215&gt;WorldWidth)),"世界X越界；","")&amp;IF(AND('06_建筑锚点'!G215&lt;&gt;"",OR('06_建筑锚点'!G215&lt;0,'06_建筑锚点'!G215&gt;WorldHeight)),"世界Y越界；","")&amp;IF(AND('06_建筑锚点'!D215&lt;&gt;"",COUNTIF('03_地点锚点'!$A$2:$A$501,'06_建筑锚点'!D215)=0),"建筑所属地点不存在；","")&amp;IF(AND('06_建筑锚点'!T215&lt;&gt;"",COUNTIF('07_动态状态'!$A$2:$A$501,'06_建筑锚点'!T215)=0),"运营状态编码不存在；","")&amp;IF(AND('06_建筑锚点'!A215&lt;&gt;"",COUNTIF('06_建筑锚点'!$A$2:$A$501,'06_建筑锚点'!A215)&gt;1),"ID重复；",""),"")</f>
        <v/>
      </c>
      <c r="G2215" s="14">
        <f>IF(F2215&lt;&gt;"","按字段批注、数据字典和来源记录修正后复核","")</f>
        <v/>
      </c>
      <c r="H2215" s="14">
        <f>IF(F2215&lt;&gt;"","待处理","")</f>
        <v/>
      </c>
    </row>
    <row r="2216">
      <c r="A2216" s="14">
        <f>IF(F2216&lt;&gt;"","ISSUE-"&amp;TEXT(ROW()-1,"00000"),"")</f>
        <v/>
      </c>
      <c r="B2216" s="14">
        <f>IF(F2216&lt;&gt;"","错误","")</f>
        <v/>
      </c>
      <c r="C2216" s="14">
        <f>IF('06_建筑锚点'!A216&lt;&gt;"","06_建筑锚点","")</f>
        <v/>
      </c>
      <c r="D2216" s="14">
        <f>IF('06_建筑锚点'!A216&lt;&gt;"",'06_建筑锚点'!A216,"")</f>
        <v/>
      </c>
      <c r="E2216" s="14">
        <f>IF(F2216&lt;&gt;"","综合校验","")</f>
        <v/>
      </c>
      <c r="F2216" s="14">
        <f>IF('06_建筑锚点'!A216&lt;&gt;"",IF('06_建筑锚点'!A216="","缺少建筑ID；","")&amp;IF('06_建筑锚点'!B216="","缺少建筑名称；","")&amp;IF('06_建筑锚点'!C216="","缺少建筑类型；","")&amp;IF('06_建筑锚点'!D216="","缺少所属地点ID；","")&amp;IF('06_建筑锚点'!F216="","缺少世界X；","")&amp;IF('06_建筑锚点'!G216="","缺少世界Y；","")&amp;IF(AND('06_建筑锚点'!F216&lt;&gt;"",OR('06_建筑锚点'!F216&lt;0,'06_建筑锚点'!F216&gt;WorldWidth)),"世界X越界；","")&amp;IF(AND('06_建筑锚点'!G216&lt;&gt;"",OR('06_建筑锚点'!G216&lt;0,'06_建筑锚点'!G216&gt;WorldHeight)),"世界Y越界；","")&amp;IF(AND('06_建筑锚点'!D216&lt;&gt;"",COUNTIF('03_地点锚点'!$A$2:$A$501,'06_建筑锚点'!D216)=0),"建筑所属地点不存在；","")&amp;IF(AND('06_建筑锚点'!T216&lt;&gt;"",COUNTIF('07_动态状态'!$A$2:$A$501,'06_建筑锚点'!T216)=0),"运营状态编码不存在；","")&amp;IF(AND('06_建筑锚点'!A216&lt;&gt;"",COUNTIF('06_建筑锚点'!$A$2:$A$501,'06_建筑锚点'!A216)&gt;1),"ID重复；",""),"")</f>
        <v/>
      </c>
      <c r="G2216" s="14">
        <f>IF(F2216&lt;&gt;"","按字段批注、数据字典和来源记录修正后复核","")</f>
        <v/>
      </c>
      <c r="H2216" s="14">
        <f>IF(F2216&lt;&gt;"","待处理","")</f>
        <v/>
      </c>
    </row>
    <row r="2217">
      <c r="A2217" s="14">
        <f>IF(F2217&lt;&gt;"","ISSUE-"&amp;TEXT(ROW()-1,"00000"),"")</f>
        <v/>
      </c>
      <c r="B2217" s="14">
        <f>IF(F2217&lt;&gt;"","错误","")</f>
        <v/>
      </c>
      <c r="C2217" s="14">
        <f>IF('06_建筑锚点'!A217&lt;&gt;"","06_建筑锚点","")</f>
        <v/>
      </c>
      <c r="D2217" s="14">
        <f>IF('06_建筑锚点'!A217&lt;&gt;"",'06_建筑锚点'!A217,"")</f>
        <v/>
      </c>
      <c r="E2217" s="14">
        <f>IF(F2217&lt;&gt;"","综合校验","")</f>
        <v/>
      </c>
      <c r="F2217" s="14">
        <f>IF('06_建筑锚点'!A217&lt;&gt;"",IF('06_建筑锚点'!A217="","缺少建筑ID；","")&amp;IF('06_建筑锚点'!B217="","缺少建筑名称；","")&amp;IF('06_建筑锚点'!C217="","缺少建筑类型；","")&amp;IF('06_建筑锚点'!D217="","缺少所属地点ID；","")&amp;IF('06_建筑锚点'!F217="","缺少世界X；","")&amp;IF('06_建筑锚点'!G217="","缺少世界Y；","")&amp;IF(AND('06_建筑锚点'!F217&lt;&gt;"",OR('06_建筑锚点'!F217&lt;0,'06_建筑锚点'!F217&gt;WorldWidth)),"世界X越界；","")&amp;IF(AND('06_建筑锚点'!G217&lt;&gt;"",OR('06_建筑锚点'!G217&lt;0,'06_建筑锚点'!G217&gt;WorldHeight)),"世界Y越界；","")&amp;IF(AND('06_建筑锚点'!D217&lt;&gt;"",COUNTIF('03_地点锚点'!$A$2:$A$501,'06_建筑锚点'!D217)=0),"建筑所属地点不存在；","")&amp;IF(AND('06_建筑锚点'!T217&lt;&gt;"",COUNTIF('07_动态状态'!$A$2:$A$501,'06_建筑锚点'!T217)=0),"运营状态编码不存在；","")&amp;IF(AND('06_建筑锚点'!A217&lt;&gt;"",COUNTIF('06_建筑锚点'!$A$2:$A$501,'06_建筑锚点'!A217)&gt;1),"ID重复；",""),"")</f>
        <v/>
      </c>
      <c r="G2217" s="14">
        <f>IF(F2217&lt;&gt;"","按字段批注、数据字典和来源记录修正后复核","")</f>
        <v/>
      </c>
      <c r="H2217" s="14">
        <f>IF(F2217&lt;&gt;"","待处理","")</f>
        <v/>
      </c>
    </row>
    <row r="2218">
      <c r="A2218" s="14">
        <f>IF(F2218&lt;&gt;"","ISSUE-"&amp;TEXT(ROW()-1,"00000"),"")</f>
        <v/>
      </c>
      <c r="B2218" s="14">
        <f>IF(F2218&lt;&gt;"","错误","")</f>
        <v/>
      </c>
      <c r="C2218" s="14">
        <f>IF('06_建筑锚点'!A218&lt;&gt;"","06_建筑锚点","")</f>
        <v/>
      </c>
      <c r="D2218" s="14">
        <f>IF('06_建筑锚点'!A218&lt;&gt;"",'06_建筑锚点'!A218,"")</f>
        <v/>
      </c>
      <c r="E2218" s="14">
        <f>IF(F2218&lt;&gt;"","综合校验","")</f>
        <v/>
      </c>
      <c r="F2218" s="14">
        <f>IF('06_建筑锚点'!A218&lt;&gt;"",IF('06_建筑锚点'!A218="","缺少建筑ID；","")&amp;IF('06_建筑锚点'!B218="","缺少建筑名称；","")&amp;IF('06_建筑锚点'!C218="","缺少建筑类型；","")&amp;IF('06_建筑锚点'!D218="","缺少所属地点ID；","")&amp;IF('06_建筑锚点'!F218="","缺少世界X；","")&amp;IF('06_建筑锚点'!G218="","缺少世界Y；","")&amp;IF(AND('06_建筑锚点'!F218&lt;&gt;"",OR('06_建筑锚点'!F218&lt;0,'06_建筑锚点'!F218&gt;WorldWidth)),"世界X越界；","")&amp;IF(AND('06_建筑锚点'!G218&lt;&gt;"",OR('06_建筑锚点'!G218&lt;0,'06_建筑锚点'!G218&gt;WorldHeight)),"世界Y越界；","")&amp;IF(AND('06_建筑锚点'!D218&lt;&gt;"",COUNTIF('03_地点锚点'!$A$2:$A$501,'06_建筑锚点'!D218)=0),"建筑所属地点不存在；","")&amp;IF(AND('06_建筑锚点'!T218&lt;&gt;"",COUNTIF('07_动态状态'!$A$2:$A$501,'06_建筑锚点'!T218)=0),"运营状态编码不存在；","")&amp;IF(AND('06_建筑锚点'!A218&lt;&gt;"",COUNTIF('06_建筑锚点'!$A$2:$A$501,'06_建筑锚点'!A218)&gt;1),"ID重复；",""),"")</f>
        <v/>
      </c>
      <c r="G2218" s="14">
        <f>IF(F2218&lt;&gt;"","按字段批注、数据字典和来源记录修正后复核","")</f>
        <v/>
      </c>
      <c r="H2218" s="14">
        <f>IF(F2218&lt;&gt;"","待处理","")</f>
        <v/>
      </c>
    </row>
    <row r="2219">
      <c r="A2219" s="14">
        <f>IF(F2219&lt;&gt;"","ISSUE-"&amp;TEXT(ROW()-1,"00000"),"")</f>
        <v/>
      </c>
      <c r="B2219" s="14">
        <f>IF(F2219&lt;&gt;"","错误","")</f>
        <v/>
      </c>
      <c r="C2219" s="14">
        <f>IF('06_建筑锚点'!A219&lt;&gt;"","06_建筑锚点","")</f>
        <v/>
      </c>
      <c r="D2219" s="14">
        <f>IF('06_建筑锚点'!A219&lt;&gt;"",'06_建筑锚点'!A219,"")</f>
        <v/>
      </c>
      <c r="E2219" s="14">
        <f>IF(F2219&lt;&gt;"","综合校验","")</f>
        <v/>
      </c>
      <c r="F2219" s="14">
        <f>IF('06_建筑锚点'!A219&lt;&gt;"",IF('06_建筑锚点'!A219="","缺少建筑ID；","")&amp;IF('06_建筑锚点'!B219="","缺少建筑名称；","")&amp;IF('06_建筑锚点'!C219="","缺少建筑类型；","")&amp;IF('06_建筑锚点'!D219="","缺少所属地点ID；","")&amp;IF('06_建筑锚点'!F219="","缺少世界X；","")&amp;IF('06_建筑锚点'!G219="","缺少世界Y；","")&amp;IF(AND('06_建筑锚点'!F219&lt;&gt;"",OR('06_建筑锚点'!F219&lt;0,'06_建筑锚点'!F219&gt;WorldWidth)),"世界X越界；","")&amp;IF(AND('06_建筑锚点'!G219&lt;&gt;"",OR('06_建筑锚点'!G219&lt;0,'06_建筑锚点'!G219&gt;WorldHeight)),"世界Y越界；","")&amp;IF(AND('06_建筑锚点'!D219&lt;&gt;"",COUNTIF('03_地点锚点'!$A$2:$A$501,'06_建筑锚点'!D219)=0),"建筑所属地点不存在；","")&amp;IF(AND('06_建筑锚点'!T219&lt;&gt;"",COUNTIF('07_动态状态'!$A$2:$A$501,'06_建筑锚点'!T219)=0),"运营状态编码不存在；","")&amp;IF(AND('06_建筑锚点'!A219&lt;&gt;"",COUNTIF('06_建筑锚点'!$A$2:$A$501,'06_建筑锚点'!A219)&gt;1),"ID重复；",""),"")</f>
        <v/>
      </c>
      <c r="G2219" s="14">
        <f>IF(F2219&lt;&gt;"","按字段批注、数据字典和来源记录修正后复核","")</f>
        <v/>
      </c>
      <c r="H2219" s="14">
        <f>IF(F2219&lt;&gt;"","待处理","")</f>
        <v/>
      </c>
    </row>
    <row r="2220">
      <c r="A2220" s="14">
        <f>IF(F2220&lt;&gt;"","ISSUE-"&amp;TEXT(ROW()-1,"00000"),"")</f>
        <v/>
      </c>
      <c r="B2220" s="14">
        <f>IF(F2220&lt;&gt;"","错误","")</f>
        <v/>
      </c>
      <c r="C2220" s="14">
        <f>IF('06_建筑锚点'!A220&lt;&gt;"","06_建筑锚点","")</f>
        <v/>
      </c>
      <c r="D2220" s="14">
        <f>IF('06_建筑锚点'!A220&lt;&gt;"",'06_建筑锚点'!A220,"")</f>
        <v/>
      </c>
      <c r="E2220" s="14">
        <f>IF(F2220&lt;&gt;"","综合校验","")</f>
        <v/>
      </c>
      <c r="F2220" s="14">
        <f>IF('06_建筑锚点'!A220&lt;&gt;"",IF('06_建筑锚点'!A220="","缺少建筑ID；","")&amp;IF('06_建筑锚点'!B220="","缺少建筑名称；","")&amp;IF('06_建筑锚点'!C220="","缺少建筑类型；","")&amp;IF('06_建筑锚点'!D220="","缺少所属地点ID；","")&amp;IF('06_建筑锚点'!F220="","缺少世界X；","")&amp;IF('06_建筑锚点'!G220="","缺少世界Y；","")&amp;IF(AND('06_建筑锚点'!F220&lt;&gt;"",OR('06_建筑锚点'!F220&lt;0,'06_建筑锚点'!F220&gt;WorldWidth)),"世界X越界；","")&amp;IF(AND('06_建筑锚点'!G220&lt;&gt;"",OR('06_建筑锚点'!G220&lt;0,'06_建筑锚点'!G220&gt;WorldHeight)),"世界Y越界；","")&amp;IF(AND('06_建筑锚点'!D220&lt;&gt;"",COUNTIF('03_地点锚点'!$A$2:$A$501,'06_建筑锚点'!D220)=0),"建筑所属地点不存在；","")&amp;IF(AND('06_建筑锚点'!T220&lt;&gt;"",COUNTIF('07_动态状态'!$A$2:$A$501,'06_建筑锚点'!T220)=0),"运营状态编码不存在；","")&amp;IF(AND('06_建筑锚点'!A220&lt;&gt;"",COUNTIF('06_建筑锚点'!$A$2:$A$501,'06_建筑锚点'!A220)&gt;1),"ID重复；",""),"")</f>
        <v/>
      </c>
      <c r="G2220" s="14">
        <f>IF(F2220&lt;&gt;"","按字段批注、数据字典和来源记录修正后复核","")</f>
        <v/>
      </c>
      <c r="H2220" s="14">
        <f>IF(F2220&lt;&gt;"","待处理","")</f>
        <v/>
      </c>
    </row>
    <row r="2221">
      <c r="A2221" s="14">
        <f>IF(F2221&lt;&gt;"","ISSUE-"&amp;TEXT(ROW()-1,"00000"),"")</f>
        <v/>
      </c>
      <c r="B2221" s="14">
        <f>IF(F2221&lt;&gt;"","错误","")</f>
        <v/>
      </c>
      <c r="C2221" s="14">
        <f>IF('06_建筑锚点'!A221&lt;&gt;"","06_建筑锚点","")</f>
        <v/>
      </c>
      <c r="D2221" s="14">
        <f>IF('06_建筑锚点'!A221&lt;&gt;"",'06_建筑锚点'!A221,"")</f>
        <v/>
      </c>
      <c r="E2221" s="14">
        <f>IF(F2221&lt;&gt;"","综合校验","")</f>
        <v/>
      </c>
      <c r="F2221" s="14">
        <f>IF('06_建筑锚点'!A221&lt;&gt;"",IF('06_建筑锚点'!A221="","缺少建筑ID；","")&amp;IF('06_建筑锚点'!B221="","缺少建筑名称；","")&amp;IF('06_建筑锚点'!C221="","缺少建筑类型；","")&amp;IF('06_建筑锚点'!D221="","缺少所属地点ID；","")&amp;IF('06_建筑锚点'!F221="","缺少世界X；","")&amp;IF('06_建筑锚点'!G221="","缺少世界Y；","")&amp;IF(AND('06_建筑锚点'!F221&lt;&gt;"",OR('06_建筑锚点'!F221&lt;0,'06_建筑锚点'!F221&gt;WorldWidth)),"世界X越界；","")&amp;IF(AND('06_建筑锚点'!G221&lt;&gt;"",OR('06_建筑锚点'!G221&lt;0,'06_建筑锚点'!G221&gt;WorldHeight)),"世界Y越界；","")&amp;IF(AND('06_建筑锚点'!D221&lt;&gt;"",COUNTIF('03_地点锚点'!$A$2:$A$501,'06_建筑锚点'!D221)=0),"建筑所属地点不存在；","")&amp;IF(AND('06_建筑锚点'!T221&lt;&gt;"",COUNTIF('07_动态状态'!$A$2:$A$501,'06_建筑锚点'!T221)=0),"运营状态编码不存在；","")&amp;IF(AND('06_建筑锚点'!A221&lt;&gt;"",COUNTIF('06_建筑锚点'!$A$2:$A$501,'06_建筑锚点'!A221)&gt;1),"ID重复；",""),"")</f>
        <v/>
      </c>
      <c r="G2221" s="14">
        <f>IF(F2221&lt;&gt;"","按字段批注、数据字典和来源记录修正后复核","")</f>
        <v/>
      </c>
      <c r="H2221" s="14">
        <f>IF(F2221&lt;&gt;"","待处理","")</f>
        <v/>
      </c>
    </row>
    <row r="2222">
      <c r="A2222" s="14">
        <f>IF(F2222&lt;&gt;"","ISSUE-"&amp;TEXT(ROW()-1,"00000"),"")</f>
        <v/>
      </c>
      <c r="B2222" s="14">
        <f>IF(F2222&lt;&gt;"","错误","")</f>
        <v/>
      </c>
      <c r="C2222" s="14">
        <f>IF('06_建筑锚点'!A222&lt;&gt;"","06_建筑锚点","")</f>
        <v/>
      </c>
      <c r="D2222" s="14">
        <f>IF('06_建筑锚点'!A222&lt;&gt;"",'06_建筑锚点'!A222,"")</f>
        <v/>
      </c>
      <c r="E2222" s="14">
        <f>IF(F2222&lt;&gt;"","综合校验","")</f>
        <v/>
      </c>
      <c r="F2222" s="14">
        <f>IF('06_建筑锚点'!A222&lt;&gt;"",IF('06_建筑锚点'!A222="","缺少建筑ID；","")&amp;IF('06_建筑锚点'!B222="","缺少建筑名称；","")&amp;IF('06_建筑锚点'!C222="","缺少建筑类型；","")&amp;IF('06_建筑锚点'!D222="","缺少所属地点ID；","")&amp;IF('06_建筑锚点'!F222="","缺少世界X；","")&amp;IF('06_建筑锚点'!G222="","缺少世界Y；","")&amp;IF(AND('06_建筑锚点'!F222&lt;&gt;"",OR('06_建筑锚点'!F222&lt;0,'06_建筑锚点'!F222&gt;WorldWidth)),"世界X越界；","")&amp;IF(AND('06_建筑锚点'!G222&lt;&gt;"",OR('06_建筑锚点'!G222&lt;0,'06_建筑锚点'!G222&gt;WorldHeight)),"世界Y越界；","")&amp;IF(AND('06_建筑锚点'!D222&lt;&gt;"",COUNTIF('03_地点锚点'!$A$2:$A$501,'06_建筑锚点'!D222)=0),"建筑所属地点不存在；","")&amp;IF(AND('06_建筑锚点'!T222&lt;&gt;"",COUNTIF('07_动态状态'!$A$2:$A$501,'06_建筑锚点'!T222)=0),"运营状态编码不存在；","")&amp;IF(AND('06_建筑锚点'!A222&lt;&gt;"",COUNTIF('06_建筑锚点'!$A$2:$A$501,'06_建筑锚点'!A222)&gt;1),"ID重复；",""),"")</f>
        <v/>
      </c>
      <c r="G2222" s="14">
        <f>IF(F2222&lt;&gt;"","按字段批注、数据字典和来源记录修正后复核","")</f>
        <v/>
      </c>
      <c r="H2222" s="14">
        <f>IF(F2222&lt;&gt;"","待处理","")</f>
        <v/>
      </c>
    </row>
    <row r="2223">
      <c r="A2223" s="14">
        <f>IF(F2223&lt;&gt;"","ISSUE-"&amp;TEXT(ROW()-1,"00000"),"")</f>
        <v/>
      </c>
      <c r="B2223" s="14">
        <f>IF(F2223&lt;&gt;"","错误","")</f>
        <v/>
      </c>
      <c r="C2223" s="14">
        <f>IF('06_建筑锚点'!A223&lt;&gt;"","06_建筑锚点","")</f>
        <v/>
      </c>
      <c r="D2223" s="14">
        <f>IF('06_建筑锚点'!A223&lt;&gt;"",'06_建筑锚点'!A223,"")</f>
        <v/>
      </c>
      <c r="E2223" s="14">
        <f>IF(F2223&lt;&gt;"","综合校验","")</f>
        <v/>
      </c>
      <c r="F2223" s="14">
        <f>IF('06_建筑锚点'!A223&lt;&gt;"",IF('06_建筑锚点'!A223="","缺少建筑ID；","")&amp;IF('06_建筑锚点'!B223="","缺少建筑名称；","")&amp;IF('06_建筑锚点'!C223="","缺少建筑类型；","")&amp;IF('06_建筑锚点'!D223="","缺少所属地点ID；","")&amp;IF('06_建筑锚点'!F223="","缺少世界X；","")&amp;IF('06_建筑锚点'!G223="","缺少世界Y；","")&amp;IF(AND('06_建筑锚点'!F223&lt;&gt;"",OR('06_建筑锚点'!F223&lt;0,'06_建筑锚点'!F223&gt;WorldWidth)),"世界X越界；","")&amp;IF(AND('06_建筑锚点'!G223&lt;&gt;"",OR('06_建筑锚点'!G223&lt;0,'06_建筑锚点'!G223&gt;WorldHeight)),"世界Y越界；","")&amp;IF(AND('06_建筑锚点'!D223&lt;&gt;"",COUNTIF('03_地点锚点'!$A$2:$A$501,'06_建筑锚点'!D223)=0),"建筑所属地点不存在；","")&amp;IF(AND('06_建筑锚点'!T223&lt;&gt;"",COUNTIF('07_动态状态'!$A$2:$A$501,'06_建筑锚点'!T223)=0),"运营状态编码不存在；","")&amp;IF(AND('06_建筑锚点'!A223&lt;&gt;"",COUNTIF('06_建筑锚点'!$A$2:$A$501,'06_建筑锚点'!A223)&gt;1),"ID重复；",""),"")</f>
        <v/>
      </c>
      <c r="G2223" s="14">
        <f>IF(F2223&lt;&gt;"","按字段批注、数据字典和来源记录修正后复核","")</f>
        <v/>
      </c>
      <c r="H2223" s="14">
        <f>IF(F2223&lt;&gt;"","待处理","")</f>
        <v/>
      </c>
    </row>
    <row r="2224">
      <c r="A2224" s="14">
        <f>IF(F2224&lt;&gt;"","ISSUE-"&amp;TEXT(ROW()-1,"00000"),"")</f>
        <v/>
      </c>
      <c r="B2224" s="14">
        <f>IF(F2224&lt;&gt;"","错误","")</f>
        <v/>
      </c>
      <c r="C2224" s="14">
        <f>IF('06_建筑锚点'!A224&lt;&gt;"","06_建筑锚点","")</f>
        <v/>
      </c>
      <c r="D2224" s="14">
        <f>IF('06_建筑锚点'!A224&lt;&gt;"",'06_建筑锚点'!A224,"")</f>
        <v/>
      </c>
      <c r="E2224" s="14">
        <f>IF(F2224&lt;&gt;"","综合校验","")</f>
        <v/>
      </c>
      <c r="F2224" s="14">
        <f>IF('06_建筑锚点'!A224&lt;&gt;"",IF('06_建筑锚点'!A224="","缺少建筑ID；","")&amp;IF('06_建筑锚点'!B224="","缺少建筑名称；","")&amp;IF('06_建筑锚点'!C224="","缺少建筑类型；","")&amp;IF('06_建筑锚点'!D224="","缺少所属地点ID；","")&amp;IF('06_建筑锚点'!F224="","缺少世界X；","")&amp;IF('06_建筑锚点'!G224="","缺少世界Y；","")&amp;IF(AND('06_建筑锚点'!F224&lt;&gt;"",OR('06_建筑锚点'!F224&lt;0,'06_建筑锚点'!F224&gt;WorldWidth)),"世界X越界；","")&amp;IF(AND('06_建筑锚点'!G224&lt;&gt;"",OR('06_建筑锚点'!G224&lt;0,'06_建筑锚点'!G224&gt;WorldHeight)),"世界Y越界；","")&amp;IF(AND('06_建筑锚点'!D224&lt;&gt;"",COUNTIF('03_地点锚点'!$A$2:$A$501,'06_建筑锚点'!D224)=0),"建筑所属地点不存在；","")&amp;IF(AND('06_建筑锚点'!T224&lt;&gt;"",COUNTIF('07_动态状态'!$A$2:$A$501,'06_建筑锚点'!T224)=0),"运营状态编码不存在；","")&amp;IF(AND('06_建筑锚点'!A224&lt;&gt;"",COUNTIF('06_建筑锚点'!$A$2:$A$501,'06_建筑锚点'!A224)&gt;1),"ID重复；",""),"")</f>
        <v/>
      </c>
      <c r="G2224" s="14">
        <f>IF(F2224&lt;&gt;"","按字段批注、数据字典和来源记录修正后复核","")</f>
        <v/>
      </c>
      <c r="H2224" s="14">
        <f>IF(F2224&lt;&gt;"","待处理","")</f>
        <v/>
      </c>
    </row>
    <row r="2225">
      <c r="A2225" s="14">
        <f>IF(F2225&lt;&gt;"","ISSUE-"&amp;TEXT(ROW()-1,"00000"),"")</f>
        <v/>
      </c>
      <c r="B2225" s="14">
        <f>IF(F2225&lt;&gt;"","错误","")</f>
        <v/>
      </c>
      <c r="C2225" s="14">
        <f>IF('06_建筑锚点'!A225&lt;&gt;"","06_建筑锚点","")</f>
        <v/>
      </c>
      <c r="D2225" s="14">
        <f>IF('06_建筑锚点'!A225&lt;&gt;"",'06_建筑锚点'!A225,"")</f>
        <v/>
      </c>
      <c r="E2225" s="14">
        <f>IF(F2225&lt;&gt;"","综合校验","")</f>
        <v/>
      </c>
      <c r="F2225" s="14">
        <f>IF('06_建筑锚点'!A225&lt;&gt;"",IF('06_建筑锚点'!A225="","缺少建筑ID；","")&amp;IF('06_建筑锚点'!B225="","缺少建筑名称；","")&amp;IF('06_建筑锚点'!C225="","缺少建筑类型；","")&amp;IF('06_建筑锚点'!D225="","缺少所属地点ID；","")&amp;IF('06_建筑锚点'!F225="","缺少世界X；","")&amp;IF('06_建筑锚点'!G225="","缺少世界Y；","")&amp;IF(AND('06_建筑锚点'!F225&lt;&gt;"",OR('06_建筑锚点'!F225&lt;0,'06_建筑锚点'!F225&gt;WorldWidth)),"世界X越界；","")&amp;IF(AND('06_建筑锚点'!G225&lt;&gt;"",OR('06_建筑锚点'!G225&lt;0,'06_建筑锚点'!G225&gt;WorldHeight)),"世界Y越界；","")&amp;IF(AND('06_建筑锚点'!D225&lt;&gt;"",COUNTIF('03_地点锚点'!$A$2:$A$501,'06_建筑锚点'!D225)=0),"建筑所属地点不存在；","")&amp;IF(AND('06_建筑锚点'!T225&lt;&gt;"",COUNTIF('07_动态状态'!$A$2:$A$501,'06_建筑锚点'!T225)=0),"运营状态编码不存在；","")&amp;IF(AND('06_建筑锚点'!A225&lt;&gt;"",COUNTIF('06_建筑锚点'!$A$2:$A$501,'06_建筑锚点'!A225)&gt;1),"ID重复；",""),"")</f>
        <v/>
      </c>
      <c r="G2225" s="14">
        <f>IF(F2225&lt;&gt;"","按字段批注、数据字典和来源记录修正后复核","")</f>
        <v/>
      </c>
      <c r="H2225" s="14">
        <f>IF(F2225&lt;&gt;"","待处理","")</f>
        <v/>
      </c>
    </row>
    <row r="2226">
      <c r="A2226" s="14">
        <f>IF(F2226&lt;&gt;"","ISSUE-"&amp;TEXT(ROW()-1,"00000"),"")</f>
        <v/>
      </c>
      <c r="B2226" s="14">
        <f>IF(F2226&lt;&gt;"","错误","")</f>
        <v/>
      </c>
      <c r="C2226" s="14">
        <f>IF('06_建筑锚点'!A226&lt;&gt;"","06_建筑锚点","")</f>
        <v/>
      </c>
      <c r="D2226" s="14">
        <f>IF('06_建筑锚点'!A226&lt;&gt;"",'06_建筑锚点'!A226,"")</f>
        <v/>
      </c>
      <c r="E2226" s="14">
        <f>IF(F2226&lt;&gt;"","综合校验","")</f>
        <v/>
      </c>
      <c r="F2226" s="14">
        <f>IF('06_建筑锚点'!A226&lt;&gt;"",IF('06_建筑锚点'!A226="","缺少建筑ID；","")&amp;IF('06_建筑锚点'!B226="","缺少建筑名称；","")&amp;IF('06_建筑锚点'!C226="","缺少建筑类型；","")&amp;IF('06_建筑锚点'!D226="","缺少所属地点ID；","")&amp;IF('06_建筑锚点'!F226="","缺少世界X；","")&amp;IF('06_建筑锚点'!G226="","缺少世界Y；","")&amp;IF(AND('06_建筑锚点'!F226&lt;&gt;"",OR('06_建筑锚点'!F226&lt;0,'06_建筑锚点'!F226&gt;WorldWidth)),"世界X越界；","")&amp;IF(AND('06_建筑锚点'!G226&lt;&gt;"",OR('06_建筑锚点'!G226&lt;0,'06_建筑锚点'!G226&gt;WorldHeight)),"世界Y越界；","")&amp;IF(AND('06_建筑锚点'!D226&lt;&gt;"",COUNTIF('03_地点锚点'!$A$2:$A$501,'06_建筑锚点'!D226)=0),"建筑所属地点不存在；","")&amp;IF(AND('06_建筑锚点'!T226&lt;&gt;"",COUNTIF('07_动态状态'!$A$2:$A$501,'06_建筑锚点'!T226)=0),"运营状态编码不存在；","")&amp;IF(AND('06_建筑锚点'!A226&lt;&gt;"",COUNTIF('06_建筑锚点'!$A$2:$A$501,'06_建筑锚点'!A226)&gt;1),"ID重复；",""),"")</f>
        <v/>
      </c>
      <c r="G2226" s="14">
        <f>IF(F2226&lt;&gt;"","按字段批注、数据字典和来源记录修正后复核","")</f>
        <v/>
      </c>
      <c r="H2226" s="14">
        <f>IF(F2226&lt;&gt;"","待处理","")</f>
        <v/>
      </c>
    </row>
    <row r="2227">
      <c r="A2227" s="14">
        <f>IF(F2227&lt;&gt;"","ISSUE-"&amp;TEXT(ROW()-1,"00000"),"")</f>
        <v/>
      </c>
      <c r="B2227" s="14">
        <f>IF(F2227&lt;&gt;"","错误","")</f>
        <v/>
      </c>
      <c r="C2227" s="14">
        <f>IF('06_建筑锚点'!A227&lt;&gt;"","06_建筑锚点","")</f>
        <v/>
      </c>
      <c r="D2227" s="14">
        <f>IF('06_建筑锚点'!A227&lt;&gt;"",'06_建筑锚点'!A227,"")</f>
        <v/>
      </c>
      <c r="E2227" s="14">
        <f>IF(F2227&lt;&gt;"","综合校验","")</f>
        <v/>
      </c>
      <c r="F2227" s="14">
        <f>IF('06_建筑锚点'!A227&lt;&gt;"",IF('06_建筑锚点'!A227="","缺少建筑ID；","")&amp;IF('06_建筑锚点'!B227="","缺少建筑名称；","")&amp;IF('06_建筑锚点'!C227="","缺少建筑类型；","")&amp;IF('06_建筑锚点'!D227="","缺少所属地点ID；","")&amp;IF('06_建筑锚点'!F227="","缺少世界X；","")&amp;IF('06_建筑锚点'!G227="","缺少世界Y；","")&amp;IF(AND('06_建筑锚点'!F227&lt;&gt;"",OR('06_建筑锚点'!F227&lt;0,'06_建筑锚点'!F227&gt;WorldWidth)),"世界X越界；","")&amp;IF(AND('06_建筑锚点'!G227&lt;&gt;"",OR('06_建筑锚点'!G227&lt;0,'06_建筑锚点'!G227&gt;WorldHeight)),"世界Y越界；","")&amp;IF(AND('06_建筑锚点'!D227&lt;&gt;"",COUNTIF('03_地点锚点'!$A$2:$A$501,'06_建筑锚点'!D227)=0),"建筑所属地点不存在；","")&amp;IF(AND('06_建筑锚点'!T227&lt;&gt;"",COUNTIF('07_动态状态'!$A$2:$A$501,'06_建筑锚点'!T227)=0),"运营状态编码不存在；","")&amp;IF(AND('06_建筑锚点'!A227&lt;&gt;"",COUNTIF('06_建筑锚点'!$A$2:$A$501,'06_建筑锚点'!A227)&gt;1),"ID重复；",""),"")</f>
        <v/>
      </c>
      <c r="G2227" s="14">
        <f>IF(F2227&lt;&gt;"","按字段批注、数据字典和来源记录修正后复核","")</f>
        <v/>
      </c>
      <c r="H2227" s="14">
        <f>IF(F2227&lt;&gt;"","待处理","")</f>
        <v/>
      </c>
    </row>
    <row r="2228">
      <c r="A2228" s="14">
        <f>IF(F2228&lt;&gt;"","ISSUE-"&amp;TEXT(ROW()-1,"00000"),"")</f>
        <v/>
      </c>
      <c r="B2228" s="14">
        <f>IF(F2228&lt;&gt;"","错误","")</f>
        <v/>
      </c>
      <c r="C2228" s="14">
        <f>IF('06_建筑锚点'!A228&lt;&gt;"","06_建筑锚点","")</f>
        <v/>
      </c>
      <c r="D2228" s="14">
        <f>IF('06_建筑锚点'!A228&lt;&gt;"",'06_建筑锚点'!A228,"")</f>
        <v/>
      </c>
      <c r="E2228" s="14">
        <f>IF(F2228&lt;&gt;"","综合校验","")</f>
        <v/>
      </c>
      <c r="F2228" s="14">
        <f>IF('06_建筑锚点'!A228&lt;&gt;"",IF('06_建筑锚点'!A228="","缺少建筑ID；","")&amp;IF('06_建筑锚点'!B228="","缺少建筑名称；","")&amp;IF('06_建筑锚点'!C228="","缺少建筑类型；","")&amp;IF('06_建筑锚点'!D228="","缺少所属地点ID；","")&amp;IF('06_建筑锚点'!F228="","缺少世界X；","")&amp;IF('06_建筑锚点'!G228="","缺少世界Y；","")&amp;IF(AND('06_建筑锚点'!F228&lt;&gt;"",OR('06_建筑锚点'!F228&lt;0,'06_建筑锚点'!F228&gt;WorldWidth)),"世界X越界；","")&amp;IF(AND('06_建筑锚点'!G228&lt;&gt;"",OR('06_建筑锚点'!G228&lt;0,'06_建筑锚点'!G228&gt;WorldHeight)),"世界Y越界；","")&amp;IF(AND('06_建筑锚点'!D228&lt;&gt;"",COUNTIF('03_地点锚点'!$A$2:$A$501,'06_建筑锚点'!D228)=0),"建筑所属地点不存在；","")&amp;IF(AND('06_建筑锚点'!T228&lt;&gt;"",COUNTIF('07_动态状态'!$A$2:$A$501,'06_建筑锚点'!T228)=0),"运营状态编码不存在；","")&amp;IF(AND('06_建筑锚点'!A228&lt;&gt;"",COUNTIF('06_建筑锚点'!$A$2:$A$501,'06_建筑锚点'!A228)&gt;1),"ID重复；",""),"")</f>
        <v/>
      </c>
      <c r="G2228" s="14">
        <f>IF(F2228&lt;&gt;"","按字段批注、数据字典和来源记录修正后复核","")</f>
        <v/>
      </c>
      <c r="H2228" s="14">
        <f>IF(F2228&lt;&gt;"","待处理","")</f>
        <v/>
      </c>
    </row>
    <row r="2229">
      <c r="A2229" s="14">
        <f>IF(F2229&lt;&gt;"","ISSUE-"&amp;TEXT(ROW()-1,"00000"),"")</f>
        <v/>
      </c>
      <c r="B2229" s="14">
        <f>IF(F2229&lt;&gt;"","错误","")</f>
        <v/>
      </c>
      <c r="C2229" s="14">
        <f>IF('06_建筑锚点'!A229&lt;&gt;"","06_建筑锚点","")</f>
        <v/>
      </c>
      <c r="D2229" s="14">
        <f>IF('06_建筑锚点'!A229&lt;&gt;"",'06_建筑锚点'!A229,"")</f>
        <v/>
      </c>
      <c r="E2229" s="14">
        <f>IF(F2229&lt;&gt;"","综合校验","")</f>
        <v/>
      </c>
      <c r="F2229" s="14">
        <f>IF('06_建筑锚点'!A229&lt;&gt;"",IF('06_建筑锚点'!A229="","缺少建筑ID；","")&amp;IF('06_建筑锚点'!B229="","缺少建筑名称；","")&amp;IF('06_建筑锚点'!C229="","缺少建筑类型；","")&amp;IF('06_建筑锚点'!D229="","缺少所属地点ID；","")&amp;IF('06_建筑锚点'!F229="","缺少世界X；","")&amp;IF('06_建筑锚点'!G229="","缺少世界Y；","")&amp;IF(AND('06_建筑锚点'!F229&lt;&gt;"",OR('06_建筑锚点'!F229&lt;0,'06_建筑锚点'!F229&gt;WorldWidth)),"世界X越界；","")&amp;IF(AND('06_建筑锚点'!G229&lt;&gt;"",OR('06_建筑锚点'!G229&lt;0,'06_建筑锚点'!G229&gt;WorldHeight)),"世界Y越界；","")&amp;IF(AND('06_建筑锚点'!D229&lt;&gt;"",COUNTIF('03_地点锚点'!$A$2:$A$501,'06_建筑锚点'!D229)=0),"建筑所属地点不存在；","")&amp;IF(AND('06_建筑锚点'!T229&lt;&gt;"",COUNTIF('07_动态状态'!$A$2:$A$501,'06_建筑锚点'!T229)=0),"运营状态编码不存在；","")&amp;IF(AND('06_建筑锚点'!A229&lt;&gt;"",COUNTIF('06_建筑锚点'!$A$2:$A$501,'06_建筑锚点'!A229)&gt;1),"ID重复；",""),"")</f>
        <v/>
      </c>
      <c r="G2229" s="14">
        <f>IF(F2229&lt;&gt;"","按字段批注、数据字典和来源记录修正后复核","")</f>
        <v/>
      </c>
      <c r="H2229" s="14">
        <f>IF(F2229&lt;&gt;"","待处理","")</f>
        <v/>
      </c>
    </row>
    <row r="2230">
      <c r="A2230" s="14">
        <f>IF(F2230&lt;&gt;"","ISSUE-"&amp;TEXT(ROW()-1,"00000"),"")</f>
        <v/>
      </c>
      <c r="B2230" s="14">
        <f>IF(F2230&lt;&gt;"","错误","")</f>
        <v/>
      </c>
      <c r="C2230" s="14">
        <f>IF('06_建筑锚点'!A230&lt;&gt;"","06_建筑锚点","")</f>
        <v/>
      </c>
      <c r="D2230" s="14">
        <f>IF('06_建筑锚点'!A230&lt;&gt;"",'06_建筑锚点'!A230,"")</f>
        <v/>
      </c>
      <c r="E2230" s="14">
        <f>IF(F2230&lt;&gt;"","综合校验","")</f>
        <v/>
      </c>
      <c r="F2230" s="14">
        <f>IF('06_建筑锚点'!A230&lt;&gt;"",IF('06_建筑锚点'!A230="","缺少建筑ID；","")&amp;IF('06_建筑锚点'!B230="","缺少建筑名称；","")&amp;IF('06_建筑锚点'!C230="","缺少建筑类型；","")&amp;IF('06_建筑锚点'!D230="","缺少所属地点ID；","")&amp;IF('06_建筑锚点'!F230="","缺少世界X；","")&amp;IF('06_建筑锚点'!G230="","缺少世界Y；","")&amp;IF(AND('06_建筑锚点'!F230&lt;&gt;"",OR('06_建筑锚点'!F230&lt;0,'06_建筑锚点'!F230&gt;WorldWidth)),"世界X越界；","")&amp;IF(AND('06_建筑锚点'!G230&lt;&gt;"",OR('06_建筑锚点'!G230&lt;0,'06_建筑锚点'!G230&gt;WorldHeight)),"世界Y越界；","")&amp;IF(AND('06_建筑锚点'!D230&lt;&gt;"",COUNTIF('03_地点锚点'!$A$2:$A$501,'06_建筑锚点'!D230)=0),"建筑所属地点不存在；","")&amp;IF(AND('06_建筑锚点'!T230&lt;&gt;"",COUNTIF('07_动态状态'!$A$2:$A$501,'06_建筑锚点'!T230)=0),"运营状态编码不存在；","")&amp;IF(AND('06_建筑锚点'!A230&lt;&gt;"",COUNTIF('06_建筑锚点'!$A$2:$A$501,'06_建筑锚点'!A230)&gt;1),"ID重复；",""),"")</f>
        <v/>
      </c>
      <c r="G2230" s="14">
        <f>IF(F2230&lt;&gt;"","按字段批注、数据字典和来源记录修正后复核","")</f>
        <v/>
      </c>
      <c r="H2230" s="14">
        <f>IF(F2230&lt;&gt;"","待处理","")</f>
        <v/>
      </c>
    </row>
    <row r="2231">
      <c r="A2231" s="14">
        <f>IF(F2231&lt;&gt;"","ISSUE-"&amp;TEXT(ROW()-1,"00000"),"")</f>
        <v/>
      </c>
      <c r="B2231" s="14">
        <f>IF(F2231&lt;&gt;"","错误","")</f>
        <v/>
      </c>
      <c r="C2231" s="14">
        <f>IF('06_建筑锚点'!A231&lt;&gt;"","06_建筑锚点","")</f>
        <v/>
      </c>
      <c r="D2231" s="14">
        <f>IF('06_建筑锚点'!A231&lt;&gt;"",'06_建筑锚点'!A231,"")</f>
        <v/>
      </c>
      <c r="E2231" s="14">
        <f>IF(F2231&lt;&gt;"","综合校验","")</f>
        <v/>
      </c>
      <c r="F2231" s="14">
        <f>IF('06_建筑锚点'!A231&lt;&gt;"",IF('06_建筑锚点'!A231="","缺少建筑ID；","")&amp;IF('06_建筑锚点'!B231="","缺少建筑名称；","")&amp;IF('06_建筑锚点'!C231="","缺少建筑类型；","")&amp;IF('06_建筑锚点'!D231="","缺少所属地点ID；","")&amp;IF('06_建筑锚点'!F231="","缺少世界X；","")&amp;IF('06_建筑锚点'!G231="","缺少世界Y；","")&amp;IF(AND('06_建筑锚点'!F231&lt;&gt;"",OR('06_建筑锚点'!F231&lt;0,'06_建筑锚点'!F231&gt;WorldWidth)),"世界X越界；","")&amp;IF(AND('06_建筑锚点'!G231&lt;&gt;"",OR('06_建筑锚点'!G231&lt;0,'06_建筑锚点'!G231&gt;WorldHeight)),"世界Y越界；","")&amp;IF(AND('06_建筑锚点'!D231&lt;&gt;"",COUNTIF('03_地点锚点'!$A$2:$A$501,'06_建筑锚点'!D231)=0),"建筑所属地点不存在；","")&amp;IF(AND('06_建筑锚点'!T231&lt;&gt;"",COUNTIF('07_动态状态'!$A$2:$A$501,'06_建筑锚点'!T231)=0),"运营状态编码不存在；","")&amp;IF(AND('06_建筑锚点'!A231&lt;&gt;"",COUNTIF('06_建筑锚点'!$A$2:$A$501,'06_建筑锚点'!A231)&gt;1),"ID重复；",""),"")</f>
        <v/>
      </c>
      <c r="G2231" s="14">
        <f>IF(F2231&lt;&gt;"","按字段批注、数据字典和来源记录修正后复核","")</f>
        <v/>
      </c>
      <c r="H2231" s="14">
        <f>IF(F2231&lt;&gt;"","待处理","")</f>
        <v/>
      </c>
    </row>
    <row r="2232">
      <c r="A2232" s="14">
        <f>IF(F2232&lt;&gt;"","ISSUE-"&amp;TEXT(ROW()-1,"00000"),"")</f>
        <v/>
      </c>
      <c r="B2232" s="14">
        <f>IF(F2232&lt;&gt;"","错误","")</f>
        <v/>
      </c>
      <c r="C2232" s="14">
        <f>IF('06_建筑锚点'!A232&lt;&gt;"","06_建筑锚点","")</f>
        <v/>
      </c>
      <c r="D2232" s="14">
        <f>IF('06_建筑锚点'!A232&lt;&gt;"",'06_建筑锚点'!A232,"")</f>
        <v/>
      </c>
      <c r="E2232" s="14">
        <f>IF(F2232&lt;&gt;"","综合校验","")</f>
        <v/>
      </c>
      <c r="F2232" s="14">
        <f>IF('06_建筑锚点'!A232&lt;&gt;"",IF('06_建筑锚点'!A232="","缺少建筑ID；","")&amp;IF('06_建筑锚点'!B232="","缺少建筑名称；","")&amp;IF('06_建筑锚点'!C232="","缺少建筑类型；","")&amp;IF('06_建筑锚点'!D232="","缺少所属地点ID；","")&amp;IF('06_建筑锚点'!F232="","缺少世界X；","")&amp;IF('06_建筑锚点'!G232="","缺少世界Y；","")&amp;IF(AND('06_建筑锚点'!F232&lt;&gt;"",OR('06_建筑锚点'!F232&lt;0,'06_建筑锚点'!F232&gt;WorldWidth)),"世界X越界；","")&amp;IF(AND('06_建筑锚点'!G232&lt;&gt;"",OR('06_建筑锚点'!G232&lt;0,'06_建筑锚点'!G232&gt;WorldHeight)),"世界Y越界；","")&amp;IF(AND('06_建筑锚点'!D232&lt;&gt;"",COUNTIF('03_地点锚点'!$A$2:$A$501,'06_建筑锚点'!D232)=0),"建筑所属地点不存在；","")&amp;IF(AND('06_建筑锚点'!T232&lt;&gt;"",COUNTIF('07_动态状态'!$A$2:$A$501,'06_建筑锚点'!T232)=0),"运营状态编码不存在；","")&amp;IF(AND('06_建筑锚点'!A232&lt;&gt;"",COUNTIF('06_建筑锚点'!$A$2:$A$501,'06_建筑锚点'!A232)&gt;1),"ID重复；",""),"")</f>
        <v/>
      </c>
      <c r="G2232" s="14">
        <f>IF(F2232&lt;&gt;"","按字段批注、数据字典和来源记录修正后复核","")</f>
        <v/>
      </c>
      <c r="H2232" s="14">
        <f>IF(F2232&lt;&gt;"","待处理","")</f>
        <v/>
      </c>
    </row>
    <row r="2233">
      <c r="A2233" s="14">
        <f>IF(F2233&lt;&gt;"","ISSUE-"&amp;TEXT(ROW()-1,"00000"),"")</f>
        <v/>
      </c>
      <c r="B2233" s="14">
        <f>IF(F2233&lt;&gt;"","错误","")</f>
        <v/>
      </c>
      <c r="C2233" s="14">
        <f>IF('06_建筑锚点'!A233&lt;&gt;"","06_建筑锚点","")</f>
        <v/>
      </c>
      <c r="D2233" s="14">
        <f>IF('06_建筑锚点'!A233&lt;&gt;"",'06_建筑锚点'!A233,"")</f>
        <v/>
      </c>
      <c r="E2233" s="14">
        <f>IF(F2233&lt;&gt;"","综合校验","")</f>
        <v/>
      </c>
      <c r="F2233" s="14">
        <f>IF('06_建筑锚点'!A233&lt;&gt;"",IF('06_建筑锚点'!A233="","缺少建筑ID；","")&amp;IF('06_建筑锚点'!B233="","缺少建筑名称；","")&amp;IF('06_建筑锚点'!C233="","缺少建筑类型；","")&amp;IF('06_建筑锚点'!D233="","缺少所属地点ID；","")&amp;IF('06_建筑锚点'!F233="","缺少世界X；","")&amp;IF('06_建筑锚点'!G233="","缺少世界Y；","")&amp;IF(AND('06_建筑锚点'!F233&lt;&gt;"",OR('06_建筑锚点'!F233&lt;0,'06_建筑锚点'!F233&gt;WorldWidth)),"世界X越界；","")&amp;IF(AND('06_建筑锚点'!G233&lt;&gt;"",OR('06_建筑锚点'!G233&lt;0,'06_建筑锚点'!G233&gt;WorldHeight)),"世界Y越界；","")&amp;IF(AND('06_建筑锚点'!D233&lt;&gt;"",COUNTIF('03_地点锚点'!$A$2:$A$501,'06_建筑锚点'!D233)=0),"建筑所属地点不存在；","")&amp;IF(AND('06_建筑锚点'!T233&lt;&gt;"",COUNTIF('07_动态状态'!$A$2:$A$501,'06_建筑锚点'!T233)=0),"运营状态编码不存在；","")&amp;IF(AND('06_建筑锚点'!A233&lt;&gt;"",COUNTIF('06_建筑锚点'!$A$2:$A$501,'06_建筑锚点'!A233)&gt;1),"ID重复；",""),"")</f>
        <v/>
      </c>
      <c r="G2233" s="14">
        <f>IF(F2233&lt;&gt;"","按字段批注、数据字典和来源记录修正后复核","")</f>
        <v/>
      </c>
      <c r="H2233" s="14">
        <f>IF(F2233&lt;&gt;"","待处理","")</f>
        <v/>
      </c>
    </row>
    <row r="2234">
      <c r="A2234" s="14">
        <f>IF(F2234&lt;&gt;"","ISSUE-"&amp;TEXT(ROW()-1,"00000"),"")</f>
        <v/>
      </c>
      <c r="B2234" s="14">
        <f>IF(F2234&lt;&gt;"","错误","")</f>
        <v/>
      </c>
      <c r="C2234" s="14">
        <f>IF('06_建筑锚点'!A234&lt;&gt;"","06_建筑锚点","")</f>
        <v/>
      </c>
      <c r="D2234" s="14">
        <f>IF('06_建筑锚点'!A234&lt;&gt;"",'06_建筑锚点'!A234,"")</f>
        <v/>
      </c>
      <c r="E2234" s="14">
        <f>IF(F2234&lt;&gt;"","综合校验","")</f>
        <v/>
      </c>
      <c r="F2234" s="14">
        <f>IF('06_建筑锚点'!A234&lt;&gt;"",IF('06_建筑锚点'!A234="","缺少建筑ID；","")&amp;IF('06_建筑锚点'!B234="","缺少建筑名称；","")&amp;IF('06_建筑锚点'!C234="","缺少建筑类型；","")&amp;IF('06_建筑锚点'!D234="","缺少所属地点ID；","")&amp;IF('06_建筑锚点'!F234="","缺少世界X；","")&amp;IF('06_建筑锚点'!G234="","缺少世界Y；","")&amp;IF(AND('06_建筑锚点'!F234&lt;&gt;"",OR('06_建筑锚点'!F234&lt;0,'06_建筑锚点'!F234&gt;WorldWidth)),"世界X越界；","")&amp;IF(AND('06_建筑锚点'!G234&lt;&gt;"",OR('06_建筑锚点'!G234&lt;0,'06_建筑锚点'!G234&gt;WorldHeight)),"世界Y越界；","")&amp;IF(AND('06_建筑锚点'!D234&lt;&gt;"",COUNTIF('03_地点锚点'!$A$2:$A$501,'06_建筑锚点'!D234)=0),"建筑所属地点不存在；","")&amp;IF(AND('06_建筑锚点'!T234&lt;&gt;"",COUNTIF('07_动态状态'!$A$2:$A$501,'06_建筑锚点'!T234)=0),"运营状态编码不存在；","")&amp;IF(AND('06_建筑锚点'!A234&lt;&gt;"",COUNTIF('06_建筑锚点'!$A$2:$A$501,'06_建筑锚点'!A234)&gt;1),"ID重复；",""),"")</f>
        <v/>
      </c>
      <c r="G2234" s="14">
        <f>IF(F2234&lt;&gt;"","按字段批注、数据字典和来源记录修正后复核","")</f>
        <v/>
      </c>
      <c r="H2234" s="14">
        <f>IF(F2234&lt;&gt;"","待处理","")</f>
        <v/>
      </c>
    </row>
    <row r="2235">
      <c r="A2235" s="14">
        <f>IF(F2235&lt;&gt;"","ISSUE-"&amp;TEXT(ROW()-1,"00000"),"")</f>
        <v/>
      </c>
      <c r="B2235" s="14">
        <f>IF(F2235&lt;&gt;"","错误","")</f>
        <v/>
      </c>
      <c r="C2235" s="14">
        <f>IF('06_建筑锚点'!A235&lt;&gt;"","06_建筑锚点","")</f>
        <v/>
      </c>
      <c r="D2235" s="14">
        <f>IF('06_建筑锚点'!A235&lt;&gt;"",'06_建筑锚点'!A235,"")</f>
        <v/>
      </c>
      <c r="E2235" s="14">
        <f>IF(F2235&lt;&gt;"","综合校验","")</f>
        <v/>
      </c>
      <c r="F2235" s="14">
        <f>IF('06_建筑锚点'!A235&lt;&gt;"",IF('06_建筑锚点'!A235="","缺少建筑ID；","")&amp;IF('06_建筑锚点'!B235="","缺少建筑名称；","")&amp;IF('06_建筑锚点'!C235="","缺少建筑类型；","")&amp;IF('06_建筑锚点'!D235="","缺少所属地点ID；","")&amp;IF('06_建筑锚点'!F235="","缺少世界X；","")&amp;IF('06_建筑锚点'!G235="","缺少世界Y；","")&amp;IF(AND('06_建筑锚点'!F235&lt;&gt;"",OR('06_建筑锚点'!F235&lt;0,'06_建筑锚点'!F235&gt;WorldWidth)),"世界X越界；","")&amp;IF(AND('06_建筑锚点'!G235&lt;&gt;"",OR('06_建筑锚点'!G235&lt;0,'06_建筑锚点'!G235&gt;WorldHeight)),"世界Y越界；","")&amp;IF(AND('06_建筑锚点'!D235&lt;&gt;"",COUNTIF('03_地点锚点'!$A$2:$A$501,'06_建筑锚点'!D235)=0),"建筑所属地点不存在；","")&amp;IF(AND('06_建筑锚点'!T235&lt;&gt;"",COUNTIF('07_动态状态'!$A$2:$A$501,'06_建筑锚点'!T235)=0),"运营状态编码不存在；","")&amp;IF(AND('06_建筑锚点'!A235&lt;&gt;"",COUNTIF('06_建筑锚点'!$A$2:$A$501,'06_建筑锚点'!A235)&gt;1),"ID重复；",""),"")</f>
        <v/>
      </c>
      <c r="G2235" s="14">
        <f>IF(F2235&lt;&gt;"","按字段批注、数据字典和来源记录修正后复核","")</f>
        <v/>
      </c>
      <c r="H2235" s="14">
        <f>IF(F2235&lt;&gt;"","待处理","")</f>
        <v/>
      </c>
    </row>
    <row r="2236">
      <c r="A2236" s="14">
        <f>IF(F2236&lt;&gt;"","ISSUE-"&amp;TEXT(ROW()-1,"00000"),"")</f>
        <v/>
      </c>
      <c r="B2236" s="14">
        <f>IF(F2236&lt;&gt;"","错误","")</f>
        <v/>
      </c>
      <c r="C2236" s="14">
        <f>IF('06_建筑锚点'!A236&lt;&gt;"","06_建筑锚点","")</f>
        <v/>
      </c>
      <c r="D2236" s="14">
        <f>IF('06_建筑锚点'!A236&lt;&gt;"",'06_建筑锚点'!A236,"")</f>
        <v/>
      </c>
      <c r="E2236" s="14">
        <f>IF(F2236&lt;&gt;"","综合校验","")</f>
        <v/>
      </c>
      <c r="F2236" s="14">
        <f>IF('06_建筑锚点'!A236&lt;&gt;"",IF('06_建筑锚点'!A236="","缺少建筑ID；","")&amp;IF('06_建筑锚点'!B236="","缺少建筑名称；","")&amp;IF('06_建筑锚点'!C236="","缺少建筑类型；","")&amp;IF('06_建筑锚点'!D236="","缺少所属地点ID；","")&amp;IF('06_建筑锚点'!F236="","缺少世界X；","")&amp;IF('06_建筑锚点'!G236="","缺少世界Y；","")&amp;IF(AND('06_建筑锚点'!F236&lt;&gt;"",OR('06_建筑锚点'!F236&lt;0,'06_建筑锚点'!F236&gt;WorldWidth)),"世界X越界；","")&amp;IF(AND('06_建筑锚点'!G236&lt;&gt;"",OR('06_建筑锚点'!G236&lt;0,'06_建筑锚点'!G236&gt;WorldHeight)),"世界Y越界；","")&amp;IF(AND('06_建筑锚点'!D236&lt;&gt;"",COUNTIF('03_地点锚点'!$A$2:$A$501,'06_建筑锚点'!D236)=0),"建筑所属地点不存在；","")&amp;IF(AND('06_建筑锚点'!T236&lt;&gt;"",COUNTIF('07_动态状态'!$A$2:$A$501,'06_建筑锚点'!T236)=0),"运营状态编码不存在；","")&amp;IF(AND('06_建筑锚点'!A236&lt;&gt;"",COUNTIF('06_建筑锚点'!$A$2:$A$501,'06_建筑锚点'!A236)&gt;1),"ID重复；",""),"")</f>
        <v/>
      </c>
      <c r="G2236" s="14">
        <f>IF(F2236&lt;&gt;"","按字段批注、数据字典和来源记录修正后复核","")</f>
        <v/>
      </c>
      <c r="H2236" s="14">
        <f>IF(F2236&lt;&gt;"","待处理","")</f>
        <v/>
      </c>
    </row>
    <row r="2237">
      <c r="A2237" s="14">
        <f>IF(F2237&lt;&gt;"","ISSUE-"&amp;TEXT(ROW()-1,"00000"),"")</f>
        <v/>
      </c>
      <c r="B2237" s="14">
        <f>IF(F2237&lt;&gt;"","错误","")</f>
        <v/>
      </c>
      <c r="C2237" s="14">
        <f>IF('06_建筑锚点'!A237&lt;&gt;"","06_建筑锚点","")</f>
        <v/>
      </c>
      <c r="D2237" s="14">
        <f>IF('06_建筑锚点'!A237&lt;&gt;"",'06_建筑锚点'!A237,"")</f>
        <v/>
      </c>
      <c r="E2237" s="14">
        <f>IF(F2237&lt;&gt;"","综合校验","")</f>
        <v/>
      </c>
      <c r="F2237" s="14">
        <f>IF('06_建筑锚点'!A237&lt;&gt;"",IF('06_建筑锚点'!A237="","缺少建筑ID；","")&amp;IF('06_建筑锚点'!B237="","缺少建筑名称；","")&amp;IF('06_建筑锚点'!C237="","缺少建筑类型；","")&amp;IF('06_建筑锚点'!D237="","缺少所属地点ID；","")&amp;IF('06_建筑锚点'!F237="","缺少世界X；","")&amp;IF('06_建筑锚点'!G237="","缺少世界Y；","")&amp;IF(AND('06_建筑锚点'!F237&lt;&gt;"",OR('06_建筑锚点'!F237&lt;0,'06_建筑锚点'!F237&gt;WorldWidth)),"世界X越界；","")&amp;IF(AND('06_建筑锚点'!G237&lt;&gt;"",OR('06_建筑锚点'!G237&lt;0,'06_建筑锚点'!G237&gt;WorldHeight)),"世界Y越界；","")&amp;IF(AND('06_建筑锚点'!D237&lt;&gt;"",COUNTIF('03_地点锚点'!$A$2:$A$501,'06_建筑锚点'!D237)=0),"建筑所属地点不存在；","")&amp;IF(AND('06_建筑锚点'!T237&lt;&gt;"",COUNTIF('07_动态状态'!$A$2:$A$501,'06_建筑锚点'!T237)=0),"运营状态编码不存在；","")&amp;IF(AND('06_建筑锚点'!A237&lt;&gt;"",COUNTIF('06_建筑锚点'!$A$2:$A$501,'06_建筑锚点'!A237)&gt;1),"ID重复；",""),"")</f>
        <v/>
      </c>
      <c r="G2237" s="14">
        <f>IF(F2237&lt;&gt;"","按字段批注、数据字典和来源记录修正后复核","")</f>
        <v/>
      </c>
      <c r="H2237" s="14">
        <f>IF(F2237&lt;&gt;"","待处理","")</f>
        <v/>
      </c>
    </row>
    <row r="2238">
      <c r="A2238" s="14">
        <f>IF(F2238&lt;&gt;"","ISSUE-"&amp;TEXT(ROW()-1,"00000"),"")</f>
        <v/>
      </c>
      <c r="B2238" s="14">
        <f>IF(F2238&lt;&gt;"","错误","")</f>
        <v/>
      </c>
      <c r="C2238" s="14">
        <f>IF('06_建筑锚点'!A238&lt;&gt;"","06_建筑锚点","")</f>
        <v/>
      </c>
      <c r="D2238" s="14">
        <f>IF('06_建筑锚点'!A238&lt;&gt;"",'06_建筑锚点'!A238,"")</f>
        <v/>
      </c>
      <c r="E2238" s="14">
        <f>IF(F2238&lt;&gt;"","综合校验","")</f>
        <v/>
      </c>
      <c r="F2238" s="14">
        <f>IF('06_建筑锚点'!A238&lt;&gt;"",IF('06_建筑锚点'!A238="","缺少建筑ID；","")&amp;IF('06_建筑锚点'!B238="","缺少建筑名称；","")&amp;IF('06_建筑锚点'!C238="","缺少建筑类型；","")&amp;IF('06_建筑锚点'!D238="","缺少所属地点ID；","")&amp;IF('06_建筑锚点'!F238="","缺少世界X；","")&amp;IF('06_建筑锚点'!G238="","缺少世界Y；","")&amp;IF(AND('06_建筑锚点'!F238&lt;&gt;"",OR('06_建筑锚点'!F238&lt;0,'06_建筑锚点'!F238&gt;WorldWidth)),"世界X越界；","")&amp;IF(AND('06_建筑锚点'!G238&lt;&gt;"",OR('06_建筑锚点'!G238&lt;0,'06_建筑锚点'!G238&gt;WorldHeight)),"世界Y越界；","")&amp;IF(AND('06_建筑锚点'!D238&lt;&gt;"",COUNTIF('03_地点锚点'!$A$2:$A$501,'06_建筑锚点'!D238)=0),"建筑所属地点不存在；","")&amp;IF(AND('06_建筑锚点'!T238&lt;&gt;"",COUNTIF('07_动态状态'!$A$2:$A$501,'06_建筑锚点'!T238)=0),"运营状态编码不存在；","")&amp;IF(AND('06_建筑锚点'!A238&lt;&gt;"",COUNTIF('06_建筑锚点'!$A$2:$A$501,'06_建筑锚点'!A238)&gt;1),"ID重复；",""),"")</f>
        <v/>
      </c>
      <c r="G2238" s="14">
        <f>IF(F2238&lt;&gt;"","按字段批注、数据字典和来源记录修正后复核","")</f>
        <v/>
      </c>
      <c r="H2238" s="14">
        <f>IF(F2238&lt;&gt;"","待处理","")</f>
        <v/>
      </c>
    </row>
    <row r="2239">
      <c r="A2239" s="14">
        <f>IF(F2239&lt;&gt;"","ISSUE-"&amp;TEXT(ROW()-1,"00000"),"")</f>
        <v/>
      </c>
      <c r="B2239" s="14">
        <f>IF(F2239&lt;&gt;"","错误","")</f>
        <v/>
      </c>
      <c r="C2239" s="14">
        <f>IF('06_建筑锚点'!A239&lt;&gt;"","06_建筑锚点","")</f>
        <v/>
      </c>
      <c r="D2239" s="14">
        <f>IF('06_建筑锚点'!A239&lt;&gt;"",'06_建筑锚点'!A239,"")</f>
        <v/>
      </c>
      <c r="E2239" s="14">
        <f>IF(F2239&lt;&gt;"","综合校验","")</f>
        <v/>
      </c>
      <c r="F2239" s="14">
        <f>IF('06_建筑锚点'!A239&lt;&gt;"",IF('06_建筑锚点'!A239="","缺少建筑ID；","")&amp;IF('06_建筑锚点'!B239="","缺少建筑名称；","")&amp;IF('06_建筑锚点'!C239="","缺少建筑类型；","")&amp;IF('06_建筑锚点'!D239="","缺少所属地点ID；","")&amp;IF('06_建筑锚点'!F239="","缺少世界X；","")&amp;IF('06_建筑锚点'!G239="","缺少世界Y；","")&amp;IF(AND('06_建筑锚点'!F239&lt;&gt;"",OR('06_建筑锚点'!F239&lt;0,'06_建筑锚点'!F239&gt;WorldWidth)),"世界X越界；","")&amp;IF(AND('06_建筑锚点'!G239&lt;&gt;"",OR('06_建筑锚点'!G239&lt;0,'06_建筑锚点'!G239&gt;WorldHeight)),"世界Y越界；","")&amp;IF(AND('06_建筑锚点'!D239&lt;&gt;"",COUNTIF('03_地点锚点'!$A$2:$A$501,'06_建筑锚点'!D239)=0),"建筑所属地点不存在；","")&amp;IF(AND('06_建筑锚点'!T239&lt;&gt;"",COUNTIF('07_动态状态'!$A$2:$A$501,'06_建筑锚点'!T239)=0),"运营状态编码不存在；","")&amp;IF(AND('06_建筑锚点'!A239&lt;&gt;"",COUNTIF('06_建筑锚点'!$A$2:$A$501,'06_建筑锚点'!A239)&gt;1),"ID重复；",""),"")</f>
        <v/>
      </c>
      <c r="G2239" s="14">
        <f>IF(F2239&lt;&gt;"","按字段批注、数据字典和来源记录修正后复核","")</f>
        <v/>
      </c>
      <c r="H2239" s="14">
        <f>IF(F2239&lt;&gt;"","待处理","")</f>
        <v/>
      </c>
    </row>
    <row r="2240">
      <c r="A2240" s="14">
        <f>IF(F2240&lt;&gt;"","ISSUE-"&amp;TEXT(ROW()-1,"00000"),"")</f>
        <v/>
      </c>
      <c r="B2240" s="14">
        <f>IF(F2240&lt;&gt;"","错误","")</f>
        <v/>
      </c>
      <c r="C2240" s="14">
        <f>IF('06_建筑锚点'!A240&lt;&gt;"","06_建筑锚点","")</f>
        <v/>
      </c>
      <c r="D2240" s="14">
        <f>IF('06_建筑锚点'!A240&lt;&gt;"",'06_建筑锚点'!A240,"")</f>
        <v/>
      </c>
      <c r="E2240" s="14">
        <f>IF(F2240&lt;&gt;"","综合校验","")</f>
        <v/>
      </c>
      <c r="F2240" s="14">
        <f>IF('06_建筑锚点'!A240&lt;&gt;"",IF('06_建筑锚点'!A240="","缺少建筑ID；","")&amp;IF('06_建筑锚点'!B240="","缺少建筑名称；","")&amp;IF('06_建筑锚点'!C240="","缺少建筑类型；","")&amp;IF('06_建筑锚点'!D240="","缺少所属地点ID；","")&amp;IF('06_建筑锚点'!F240="","缺少世界X；","")&amp;IF('06_建筑锚点'!G240="","缺少世界Y；","")&amp;IF(AND('06_建筑锚点'!F240&lt;&gt;"",OR('06_建筑锚点'!F240&lt;0,'06_建筑锚点'!F240&gt;WorldWidth)),"世界X越界；","")&amp;IF(AND('06_建筑锚点'!G240&lt;&gt;"",OR('06_建筑锚点'!G240&lt;0,'06_建筑锚点'!G240&gt;WorldHeight)),"世界Y越界；","")&amp;IF(AND('06_建筑锚点'!D240&lt;&gt;"",COUNTIF('03_地点锚点'!$A$2:$A$501,'06_建筑锚点'!D240)=0),"建筑所属地点不存在；","")&amp;IF(AND('06_建筑锚点'!T240&lt;&gt;"",COUNTIF('07_动态状态'!$A$2:$A$501,'06_建筑锚点'!T240)=0),"运营状态编码不存在；","")&amp;IF(AND('06_建筑锚点'!A240&lt;&gt;"",COUNTIF('06_建筑锚点'!$A$2:$A$501,'06_建筑锚点'!A240)&gt;1),"ID重复；",""),"")</f>
        <v/>
      </c>
      <c r="G2240" s="14">
        <f>IF(F2240&lt;&gt;"","按字段批注、数据字典和来源记录修正后复核","")</f>
        <v/>
      </c>
      <c r="H2240" s="14">
        <f>IF(F2240&lt;&gt;"","待处理","")</f>
        <v/>
      </c>
    </row>
    <row r="2241">
      <c r="A2241" s="14">
        <f>IF(F2241&lt;&gt;"","ISSUE-"&amp;TEXT(ROW()-1,"00000"),"")</f>
        <v/>
      </c>
      <c r="B2241" s="14">
        <f>IF(F2241&lt;&gt;"","错误","")</f>
        <v/>
      </c>
      <c r="C2241" s="14">
        <f>IF('06_建筑锚点'!A241&lt;&gt;"","06_建筑锚点","")</f>
        <v/>
      </c>
      <c r="D2241" s="14">
        <f>IF('06_建筑锚点'!A241&lt;&gt;"",'06_建筑锚点'!A241,"")</f>
        <v/>
      </c>
      <c r="E2241" s="14">
        <f>IF(F2241&lt;&gt;"","综合校验","")</f>
        <v/>
      </c>
      <c r="F2241" s="14">
        <f>IF('06_建筑锚点'!A241&lt;&gt;"",IF('06_建筑锚点'!A241="","缺少建筑ID；","")&amp;IF('06_建筑锚点'!B241="","缺少建筑名称；","")&amp;IF('06_建筑锚点'!C241="","缺少建筑类型；","")&amp;IF('06_建筑锚点'!D241="","缺少所属地点ID；","")&amp;IF('06_建筑锚点'!F241="","缺少世界X；","")&amp;IF('06_建筑锚点'!G241="","缺少世界Y；","")&amp;IF(AND('06_建筑锚点'!F241&lt;&gt;"",OR('06_建筑锚点'!F241&lt;0,'06_建筑锚点'!F241&gt;WorldWidth)),"世界X越界；","")&amp;IF(AND('06_建筑锚点'!G241&lt;&gt;"",OR('06_建筑锚点'!G241&lt;0,'06_建筑锚点'!G241&gt;WorldHeight)),"世界Y越界；","")&amp;IF(AND('06_建筑锚点'!D241&lt;&gt;"",COUNTIF('03_地点锚点'!$A$2:$A$501,'06_建筑锚点'!D241)=0),"建筑所属地点不存在；","")&amp;IF(AND('06_建筑锚点'!T241&lt;&gt;"",COUNTIF('07_动态状态'!$A$2:$A$501,'06_建筑锚点'!T241)=0),"运营状态编码不存在；","")&amp;IF(AND('06_建筑锚点'!A241&lt;&gt;"",COUNTIF('06_建筑锚点'!$A$2:$A$501,'06_建筑锚点'!A241)&gt;1),"ID重复；",""),"")</f>
        <v/>
      </c>
      <c r="G2241" s="14">
        <f>IF(F2241&lt;&gt;"","按字段批注、数据字典和来源记录修正后复核","")</f>
        <v/>
      </c>
      <c r="H2241" s="14">
        <f>IF(F2241&lt;&gt;"","待处理","")</f>
        <v/>
      </c>
    </row>
    <row r="2242">
      <c r="A2242" s="14">
        <f>IF(F2242&lt;&gt;"","ISSUE-"&amp;TEXT(ROW()-1,"00000"),"")</f>
        <v/>
      </c>
      <c r="B2242" s="14">
        <f>IF(F2242&lt;&gt;"","错误","")</f>
        <v/>
      </c>
      <c r="C2242" s="14">
        <f>IF('06_建筑锚点'!A242&lt;&gt;"","06_建筑锚点","")</f>
        <v/>
      </c>
      <c r="D2242" s="14">
        <f>IF('06_建筑锚点'!A242&lt;&gt;"",'06_建筑锚点'!A242,"")</f>
        <v/>
      </c>
      <c r="E2242" s="14">
        <f>IF(F2242&lt;&gt;"","综合校验","")</f>
        <v/>
      </c>
      <c r="F2242" s="14">
        <f>IF('06_建筑锚点'!A242&lt;&gt;"",IF('06_建筑锚点'!A242="","缺少建筑ID；","")&amp;IF('06_建筑锚点'!B242="","缺少建筑名称；","")&amp;IF('06_建筑锚点'!C242="","缺少建筑类型；","")&amp;IF('06_建筑锚点'!D242="","缺少所属地点ID；","")&amp;IF('06_建筑锚点'!F242="","缺少世界X；","")&amp;IF('06_建筑锚点'!G242="","缺少世界Y；","")&amp;IF(AND('06_建筑锚点'!F242&lt;&gt;"",OR('06_建筑锚点'!F242&lt;0,'06_建筑锚点'!F242&gt;WorldWidth)),"世界X越界；","")&amp;IF(AND('06_建筑锚点'!G242&lt;&gt;"",OR('06_建筑锚点'!G242&lt;0,'06_建筑锚点'!G242&gt;WorldHeight)),"世界Y越界；","")&amp;IF(AND('06_建筑锚点'!D242&lt;&gt;"",COUNTIF('03_地点锚点'!$A$2:$A$501,'06_建筑锚点'!D242)=0),"建筑所属地点不存在；","")&amp;IF(AND('06_建筑锚点'!T242&lt;&gt;"",COUNTIF('07_动态状态'!$A$2:$A$501,'06_建筑锚点'!T242)=0),"运营状态编码不存在；","")&amp;IF(AND('06_建筑锚点'!A242&lt;&gt;"",COUNTIF('06_建筑锚点'!$A$2:$A$501,'06_建筑锚点'!A242)&gt;1),"ID重复；",""),"")</f>
        <v/>
      </c>
      <c r="G2242" s="14">
        <f>IF(F2242&lt;&gt;"","按字段批注、数据字典和来源记录修正后复核","")</f>
        <v/>
      </c>
      <c r="H2242" s="14">
        <f>IF(F2242&lt;&gt;"","待处理","")</f>
        <v/>
      </c>
    </row>
    <row r="2243">
      <c r="A2243" s="14">
        <f>IF(F2243&lt;&gt;"","ISSUE-"&amp;TEXT(ROW()-1,"00000"),"")</f>
        <v/>
      </c>
      <c r="B2243" s="14">
        <f>IF(F2243&lt;&gt;"","错误","")</f>
        <v/>
      </c>
      <c r="C2243" s="14">
        <f>IF('06_建筑锚点'!A243&lt;&gt;"","06_建筑锚点","")</f>
        <v/>
      </c>
      <c r="D2243" s="14">
        <f>IF('06_建筑锚点'!A243&lt;&gt;"",'06_建筑锚点'!A243,"")</f>
        <v/>
      </c>
      <c r="E2243" s="14">
        <f>IF(F2243&lt;&gt;"","综合校验","")</f>
        <v/>
      </c>
      <c r="F2243" s="14">
        <f>IF('06_建筑锚点'!A243&lt;&gt;"",IF('06_建筑锚点'!A243="","缺少建筑ID；","")&amp;IF('06_建筑锚点'!B243="","缺少建筑名称；","")&amp;IF('06_建筑锚点'!C243="","缺少建筑类型；","")&amp;IF('06_建筑锚点'!D243="","缺少所属地点ID；","")&amp;IF('06_建筑锚点'!F243="","缺少世界X；","")&amp;IF('06_建筑锚点'!G243="","缺少世界Y；","")&amp;IF(AND('06_建筑锚点'!F243&lt;&gt;"",OR('06_建筑锚点'!F243&lt;0,'06_建筑锚点'!F243&gt;WorldWidth)),"世界X越界；","")&amp;IF(AND('06_建筑锚点'!G243&lt;&gt;"",OR('06_建筑锚点'!G243&lt;0,'06_建筑锚点'!G243&gt;WorldHeight)),"世界Y越界；","")&amp;IF(AND('06_建筑锚点'!D243&lt;&gt;"",COUNTIF('03_地点锚点'!$A$2:$A$501,'06_建筑锚点'!D243)=0),"建筑所属地点不存在；","")&amp;IF(AND('06_建筑锚点'!T243&lt;&gt;"",COUNTIF('07_动态状态'!$A$2:$A$501,'06_建筑锚点'!T243)=0),"运营状态编码不存在；","")&amp;IF(AND('06_建筑锚点'!A243&lt;&gt;"",COUNTIF('06_建筑锚点'!$A$2:$A$501,'06_建筑锚点'!A243)&gt;1),"ID重复；",""),"")</f>
        <v/>
      </c>
      <c r="G2243" s="14">
        <f>IF(F2243&lt;&gt;"","按字段批注、数据字典和来源记录修正后复核","")</f>
        <v/>
      </c>
      <c r="H2243" s="14">
        <f>IF(F2243&lt;&gt;"","待处理","")</f>
        <v/>
      </c>
    </row>
    <row r="2244">
      <c r="A2244" s="14">
        <f>IF(F2244&lt;&gt;"","ISSUE-"&amp;TEXT(ROW()-1,"00000"),"")</f>
        <v/>
      </c>
      <c r="B2244" s="14">
        <f>IF(F2244&lt;&gt;"","错误","")</f>
        <v/>
      </c>
      <c r="C2244" s="14">
        <f>IF('06_建筑锚点'!A244&lt;&gt;"","06_建筑锚点","")</f>
        <v/>
      </c>
      <c r="D2244" s="14">
        <f>IF('06_建筑锚点'!A244&lt;&gt;"",'06_建筑锚点'!A244,"")</f>
        <v/>
      </c>
      <c r="E2244" s="14">
        <f>IF(F2244&lt;&gt;"","综合校验","")</f>
        <v/>
      </c>
      <c r="F2244" s="14">
        <f>IF('06_建筑锚点'!A244&lt;&gt;"",IF('06_建筑锚点'!A244="","缺少建筑ID；","")&amp;IF('06_建筑锚点'!B244="","缺少建筑名称；","")&amp;IF('06_建筑锚点'!C244="","缺少建筑类型；","")&amp;IF('06_建筑锚点'!D244="","缺少所属地点ID；","")&amp;IF('06_建筑锚点'!F244="","缺少世界X；","")&amp;IF('06_建筑锚点'!G244="","缺少世界Y；","")&amp;IF(AND('06_建筑锚点'!F244&lt;&gt;"",OR('06_建筑锚点'!F244&lt;0,'06_建筑锚点'!F244&gt;WorldWidth)),"世界X越界；","")&amp;IF(AND('06_建筑锚点'!G244&lt;&gt;"",OR('06_建筑锚点'!G244&lt;0,'06_建筑锚点'!G244&gt;WorldHeight)),"世界Y越界；","")&amp;IF(AND('06_建筑锚点'!D244&lt;&gt;"",COUNTIF('03_地点锚点'!$A$2:$A$501,'06_建筑锚点'!D244)=0),"建筑所属地点不存在；","")&amp;IF(AND('06_建筑锚点'!T244&lt;&gt;"",COUNTIF('07_动态状态'!$A$2:$A$501,'06_建筑锚点'!T244)=0),"运营状态编码不存在；","")&amp;IF(AND('06_建筑锚点'!A244&lt;&gt;"",COUNTIF('06_建筑锚点'!$A$2:$A$501,'06_建筑锚点'!A244)&gt;1),"ID重复；",""),"")</f>
        <v/>
      </c>
      <c r="G2244" s="14">
        <f>IF(F2244&lt;&gt;"","按字段批注、数据字典和来源记录修正后复核","")</f>
        <v/>
      </c>
      <c r="H2244" s="14">
        <f>IF(F2244&lt;&gt;"","待处理","")</f>
        <v/>
      </c>
    </row>
    <row r="2245">
      <c r="A2245" s="14">
        <f>IF(F2245&lt;&gt;"","ISSUE-"&amp;TEXT(ROW()-1,"00000"),"")</f>
        <v/>
      </c>
      <c r="B2245" s="14">
        <f>IF(F2245&lt;&gt;"","错误","")</f>
        <v/>
      </c>
      <c r="C2245" s="14">
        <f>IF('06_建筑锚点'!A245&lt;&gt;"","06_建筑锚点","")</f>
        <v/>
      </c>
      <c r="D2245" s="14">
        <f>IF('06_建筑锚点'!A245&lt;&gt;"",'06_建筑锚点'!A245,"")</f>
        <v/>
      </c>
      <c r="E2245" s="14">
        <f>IF(F2245&lt;&gt;"","综合校验","")</f>
        <v/>
      </c>
      <c r="F2245" s="14">
        <f>IF('06_建筑锚点'!A245&lt;&gt;"",IF('06_建筑锚点'!A245="","缺少建筑ID；","")&amp;IF('06_建筑锚点'!B245="","缺少建筑名称；","")&amp;IF('06_建筑锚点'!C245="","缺少建筑类型；","")&amp;IF('06_建筑锚点'!D245="","缺少所属地点ID；","")&amp;IF('06_建筑锚点'!F245="","缺少世界X；","")&amp;IF('06_建筑锚点'!G245="","缺少世界Y；","")&amp;IF(AND('06_建筑锚点'!F245&lt;&gt;"",OR('06_建筑锚点'!F245&lt;0,'06_建筑锚点'!F245&gt;WorldWidth)),"世界X越界；","")&amp;IF(AND('06_建筑锚点'!G245&lt;&gt;"",OR('06_建筑锚点'!G245&lt;0,'06_建筑锚点'!G245&gt;WorldHeight)),"世界Y越界；","")&amp;IF(AND('06_建筑锚点'!D245&lt;&gt;"",COUNTIF('03_地点锚点'!$A$2:$A$501,'06_建筑锚点'!D245)=0),"建筑所属地点不存在；","")&amp;IF(AND('06_建筑锚点'!T245&lt;&gt;"",COUNTIF('07_动态状态'!$A$2:$A$501,'06_建筑锚点'!T245)=0),"运营状态编码不存在；","")&amp;IF(AND('06_建筑锚点'!A245&lt;&gt;"",COUNTIF('06_建筑锚点'!$A$2:$A$501,'06_建筑锚点'!A245)&gt;1),"ID重复；",""),"")</f>
        <v/>
      </c>
      <c r="G2245" s="14">
        <f>IF(F2245&lt;&gt;"","按字段批注、数据字典和来源记录修正后复核","")</f>
        <v/>
      </c>
      <c r="H2245" s="14">
        <f>IF(F2245&lt;&gt;"","待处理","")</f>
        <v/>
      </c>
    </row>
    <row r="2246">
      <c r="A2246" s="14">
        <f>IF(F2246&lt;&gt;"","ISSUE-"&amp;TEXT(ROW()-1,"00000"),"")</f>
        <v/>
      </c>
      <c r="B2246" s="14">
        <f>IF(F2246&lt;&gt;"","错误","")</f>
        <v/>
      </c>
      <c r="C2246" s="14">
        <f>IF('06_建筑锚点'!A246&lt;&gt;"","06_建筑锚点","")</f>
        <v/>
      </c>
      <c r="D2246" s="14">
        <f>IF('06_建筑锚点'!A246&lt;&gt;"",'06_建筑锚点'!A246,"")</f>
        <v/>
      </c>
      <c r="E2246" s="14">
        <f>IF(F2246&lt;&gt;"","综合校验","")</f>
        <v/>
      </c>
      <c r="F2246" s="14">
        <f>IF('06_建筑锚点'!A246&lt;&gt;"",IF('06_建筑锚点'!A246="","缺少建筑ID；","")&amp;IF('06_建筑锚点'!B246="","缺少建筑名称；","")&amp;IF('06_建筑锚点'!C246="","缺少建筑类型；","")&amp;IF('06_建筑锚点'!D246="","缺少所属地点ID；","")&amp;IF('06_建筑锚点'!F246="","缺少世界X；","")&amp;IF('06_建筑锚点'!G246="","缺少世界Y；","")&amp;IF(AND('06_建筑锚点'!F246&lt;&gt;"",OR('06_建筑锚点'!F246&lt;0,'06_建筑锚点'!F246&gt;WorldWidth)),"世界X越界；","")&amp;IF(AND('06_建筑锚点'!G246&lt;&gt;"",OR('06_建筑锚点'!G246&lt;0,'06_建筑锚点'!G246&gt;WorldHeight)),"世界Y越界；","")&amp;IF(AND('06_建筑锚点'!D246&lt;&gt;"",COUNTIF('03_地点锚点'!$A$2:$A$501,'06_建筑锚点'!D246)=0),"建筑所属地点不存在；","")&amp;IF(AND('06_建筑锚点'!T246&lt;&gt;"",COUNTIF('07_动态状态'!$A$2:$A$501,'06_建筑锚点'!T246)=0),"运营状态编码不存在；","")&amp;IF(AND('06_建筑锚点'!A246&lt;&gt;"",COUNTIF('06_建筑锚点'!$A$2:$A$501,'06_建筑锚点'!A246)&gt;1),"ID重复；",""),"")</f>
        <v/>
      </c>
      <c r="G2246" s="14">
        <f>IF(F2246&lt;&gt;"","按字段批注、数据字典和来源记录修正后复核","")</f>
        <v/>
      </c>
      <c r="H2246" s="14">
        <f>IF(F2246&lt;&gt;"","待处理","")</f>
        <v/>
      </c>
    </row>
    <row r="2247">
      <c r="A2247" s="14">
        <f>IF(F2247&lt;&gt;"","ISSUE-"&amp;TEXT(ROW()-1,"00000"),"")</f>
        <v/>
      </c>
      <c r="B2247" s="14">
        <f>IF(F2247&lt;&gt;"","错误","")</f>
        <v/>
      </c>
      <c r="C2247" s="14">
        <f>IF('06_建筑锚点'!A247&lt;&gt;"","06_建筑锚点","")</f>
        <v/>
      </c>
      <c r="D2247" s="14">
        <f>IF('06_建筑锚点'!A247&lt;&gt;"",'06_建筑锚点'!A247,"")</f>
        <v/>
      </c>
      <c r="E2247" s="14">
        <f>IF(F2247&lt;&gt;"","综合校验","")</f>
        <v/>
      </c>
      <c r="F2247" s="14">
        <f>IF('06_建筑锚点'!A247&lt;&gt;"",IF('06_建筑锚点'!A247="","缺少建筑ID；","")&amp;IF('06_建筑锚点'!B247="","缺少建筑名称；","")&amp;IF('06_建筑锚点'!C247="","缺少建筑类型；","")&amp;IF('06_建筑锚点'!D247="","缺少所属地点ID；","")&amp;IF('06_建筑锚点'!F247="","缺少世界X；","")&amp;IF('06_建筑锚点'!G247="","缺少世界Y；","")&amp;IF(AND('06_建筑锚点'!F247&lt;&gt;"",OR('06_建筑锚点'!F247&lt;0,'06_建筑锚点'!F247&gt;WorldWidth)),"世界X越界；","")&amp;IF(AND('06_建筑锚点'!G247&lt;&gt;"",OR('06_建筑锚点'!G247&lt;0,'06_建筑锚点'!G247&gt;WorldHeight)),"世界Y越界；","")&amp;IF(AND('06_建筑锚点'!D247&lt;&gt;"",COUNTIF('03_地点锚点'!$A$2:$A$501,'06_建筑锚点'!D247)=0),"建筑所属地点不存在；","")&amp;IF(AND('06_建筑锚点'!T247&lt;&gt;"",COUNTIF('07_动态状态'!$A$2:$A$501,'06_建筑锚点'!T247)=0),"运营状态编码不存在；","")&amp;IF(AND('06_建筑锚点'!A247&lt;&gt;"",COUNTIF('06_建筑锚点'!$A$2:$A$501,'06_建筑锚点'!A247)&gt;1),"ID重复；",""),"")</f>
        <v/>
      </c>
      <c r="G2247" s="14">
        <f>IF(F2247&lt;&gt;"","按字段批注、数据字典和来源记录修正后复核","")</f>
        <v/>
      </c>
      <c r="H2247" s="14">
        <f>IF(F2247&lt;&gt;"","待处理","")</f>
        <v/>
      </c>
    </row>
    <row r="2248">
      <c r="A2248" s="14">
        <f>IF(F2248&lt;&gt;"","ISSUE-"&amp;TEXT(ROW()-1,"00000"),"")</f>
        <v/>
      </c>
      <c r="B2248" s="14">
        <f>IF(F2248&lt;&gt;"","错误","")</f>
        <v/>
      </c>
      <c r="C2248" s="14">
        <f>IF('06_建筑锚点'!A248&lt;&gt;"","06_建筑锚点","")</f>
        <v/>
      </c>
      <c r="D2248" s="14">
        <f>IF('06_建筑锚点'!A248&lt;&gt;"",'06_建筑锚点'!A248,"")</f>
        <v/>
      </c>
      <c r="E2248" s="14">
        <f>IF(F2248&lt;&gt;"","综合校验","")</f>
        <v/>
      </c>
      <c r="F2248" s="14">
        <f>IF('06_建筑锚点'!A248&lt;&gt;"",IF('06_建筑锚点'!A248="","缺少建筑ID；","")&amp;IF('06_建筑锚点'!B248="","缺少建筑名称；","")&amp;IF('06_建筑锚点'!C248="","缺少建筑类型；","")&amp;IF('06_建筑锚点'!D248="","缺少所属地点ID；","")&amp;IF('06_建筑锚点'!F248="","缺少世界X；","")&amp;IF('06_建筑锚点'!G248="","缺少世界Y；","")&amp;IF(AND('06_建筑锚点'!F248&lt;&gt;"",OR('06_建筑锚点'!F248&lt;0,'06_建筑锚点'!F248&gt;WorldWidth)),"世界X越界；","")&amp;IF(AND('06_建筑锚点'!G248&lt;&gt;"",OR('06_建筑锚点'!G248&lt;0,'06_建筑锚点'!G248&gt;WorldHeight)),"世界Y越界；","")&amp;IF(AND('06_建筑锚点'!D248&lt;&gt;"",COUNTIF('03_地点锚点'!$A$2:$A$501,'06_建筑锚点'!D248)=0),"建筑所属地点不存在；","")&amp;IF(AND('06_建筑锚点'!T248&lt;&gt;"",COUNTIF('07_动态状态'!$A$2:$A$501,'06_建筑锚点'!T248)=0),"运营状态编码不存在；","")&amp;IF(AND('06_建筑锚点'!A248&lt;&gt;"",COUNTIF('06_建筑锚点'!$A$2:$A$501,'06_建筑锚点'!A248)&gt;1),"ID重复；",""),"")</f>
        <v/>
      </c>
      <c r="G2248" s="14">
        <f>IF(F2248&lt;&gt;"","按字段批注、数据字典和来源记录修正后复核","")</f>
        <v/>
      </c>
      <c r="H2248" s="14">
        <f>IF(F2248&lt;&gt;"","待处理","")</f>
        <v/>
      </c>
    </row>
    <row r="2249">
      <c r="A2249" s="14">
        <f>IF(F2249&lt;&gt;"","ISSUE-"&amp;TEXT(ROW()-1,"00000"),"")</f>
        <v/>
      </c>
      <c r="B2249" s="14">
        <f>IF(F2249&lt;&gt;"","错误","")</f>
        <v/>
      </c>
      <c r="C2249" s="14">
        <f>IF('06_建筑锚点'!A249&lt;&gt;"","06_建筑锚点","")</f>
        <v/>
      </c>
      <c r="D2249" s="14">
        <f>IF('06_建筑锚点'!A249&lt;&gt;"",'06_建筑锚点'!A249,"")</f>
        <v/>
      </c>
      <c r="E2249" s="14">
        <f>IF(F2249&lt;&gt;"","综合校验","")</f>
        <v/>
      </c>
      <c r="F2249" s="14">
        <f>IF('06_建筑锚点'!A249&lt;&gt;"",IF('06_建筑锚点'!A249="","缺少建筑ID；","")&amp;IF('06_建筑锚点'!B249="","缺少建筑名称；","")&amp;IF('06_建筑锚点'!C249="","缺少建筑类型；","")&amp;IF('06_建筑锚点'!D249="","缺少所属地点ID；","")&amp;IF('06_建筑锚点'!F249="","缺少世界X；","")&amp;IF('06_建筑锚点'!G249="","缺少世界Y；","")&amp;IF(AND('06_建筑锚点'!F249&lt;&gt;"",OR('06_建筑锚点'!F249&lt;0,'06_建筑锚点'!F249&gt;WorldWidth)),"世界X越界；","")&amp;IF(AND('06_建筑锚点'!G249&lt;&gt;"",OR('06_建筑锚点'!G249&lt;0,'06_建筑锚点'!G249&gt;WorldHeight)),"世界Y越界；","")&amp;IF(AND('06_建筑锚点'!D249&lt;&gt;"",COUNTIF('03_地点锚点'!$A$2:$A$501,'06_建筑锚点'!D249)=0),"建筑所属地点不存在；","")&amp;IF(AND('06_建筑锚点'!T249&lt;&gt;"",COUNTIF('07_动态状态'!$A$2:$A$501,'06_建筑锚点'!T249)=0),"运营状态编码不存在；","")&amp;IF(AND('06_建筑锚点'!A249&lt;&gt;"",COUNTIF('06_建筑锚点'!$A$2:$A$501,'06_建筑锚点'!A249)&gt;1),"ID重复；",""),"")</f>
        <v/>
      </c>
      <c r="G2249" s="14">
        <f>IF(F2249&lt;&gt;"","按字段批注、数据字典和来源记录修正后复核","")</f>
        <v/>
      </c>
      <c r="H2249" s="14">
        <f>IF(F2249&lt;&gt;"","待处理","")</f>
        <v/>
      </c>
    </row>
    <row r="2250">
      <c r="A2250" s="14">
        <f>IF(F2250&lt;&gt;"","ISSUE-"&amp;TEXT(ROW()-1,"00000"),"")</f>
        <v/>
      </c>
      <c r="B2250" s="14">
        <f>IF(F2250&lt;&gt;"","错误","")</f>
        <v/>
      </c>
      <c r="C2250" s="14">
        <f>IF('06_建筑锚点'!A250&lt;&gt;"","06_建筑锚点","")</f>
        <v/>
      </c>
      <c r="D2250" s="14">
        <f>IF('06_建筑锚点'!A250&lt;&gt;"",'06_建筑锚点'!A250,"")</f>
        <v/>
      </c>
      <c r="E2250" s="14">
        <f>IF(F2250&lt;&gt;"","综合校验","")</f>
        <v/>
      </c>
      <c r="F2250" s="14">
        <f>IF('06_建筑锚点'!A250&lt;&gt;"",IF('06_建筑锚点'!A250="","缺少建筑ID；","")&amp;IF('06_建筑锚点'!B250="","缺少建筑名称；","")&amp;IF('06_建筑锚点'!C250="","缺少建筑类型；","")&amp;IF('06_建筑锚点'!D250="","缺少所属地点ID；","")&amp;IF('06_建筑锚点'!F250="","缺少世界X；","")&amp;IF('06_建筑锚点'!G250="","缺少世界Y；","")&amp;IF(AND('06_建筑锚点'!F250&lt;&gt;"",OR('06_建筑锚点'!F250&lt;0,'06_建筑锚点'!F250&gt;WorldWidth)),"世界X越界；","")&amp;IF(AND('06_建筑锚点'!G250&lt;&gt;"",OR('06_建筑锚点'!G250&lt;0,'06_建筑锚点'!G250&gt;WorldHeight)),"世界Y越界；","")&amp;IF(AND('06_建筑锚点'!D250&lt;&gt;"",COUNTIF('03_地点锚点'!$A$2:$A$501,'06_建筑锚点'!D250)=0),"建筑所属地点不存在；","")&amp;IF(AND('06_建筑锚点'!T250&lt;&gt;"",COUNTIF('07_动态状态'!$A$2:$A$501,'06_建筑锚点'!T250)=0),"运营状态编码不存在；","")&amp;IF(AND('06_建筑锚点'!A250&lt;&gt;"",COUNTIF('06_建筑锚点'!$A$2:$A$501,'06_建筑锚点'!A250)&gt;1),"ID重复；",""),"")</f>
        <v/>
      </c>
      <c r="G2250" s="14">
        <f>IF(F2250&lt;&gt;"","按字段批注、数据字典和来源记录修正后复核","")</f>
        <v/>
      </c>
      <c r="H2250" s="14">
        <f>IF(F2250&lt;&gt;"","待处理","")</f>
        <v/>
      </c>
    </row>
    <row r="2251">
      <c r="A2251" s="14">
        <f>IF(F2251&lt;&gt;"","ISSUE-"&amp;TEXT(ROW()-1,"00000"),"")</f>
        <v/>
      </c>
      <c r="B2251" s="14">
        <f>IF(F2251&lt;&gt;"","错误","")</f>
        <v/>
      </c>
      <c r="C2251" s="14">
        <f>IF('06_建筑锚点'!A251&lt;&gt;"","06_建筑锚点","")</f>
        <v/>
      </c>
      <c r="D2251" s="14">
        <f>IF('06_建筑锚点'!A251&lt;&gt;"",'06_建筑锚点'!A251,"")</f>
        <v/>
      </c>
      <c r="E2251" s="14">
        <f>IF(F2251&lt;&gt;"","综合校验","")</f>
        <v/>
      </c>
      <c r="F2251" s="14">
        <f>IF('06_建筑锚点'!A251&lt;&gt;"",IF('06_建筑锚点'!A251="","缺少建筑ID；","")&amp;IF('06_建筑锚点'!B251="","缺少建筑名称；","")&amp;IF('06_建筑锚点'!C251="","缺少建筑类型；","")&amp;IF('06_建筑锚点'!D251="","缺少所属地点ID；","")&amp;IF('06_建筑锚点'!F251="","缺少世界X；","")&amp;IF('06_建筑锚点'!G251="","缺少世界Y；","")&amp;IF(AND('06_建筑锚点'!F251&lt;&gt;"",OR('06_建筑锚点'!F251&lt;0,'06_建筑锚点'!F251&gt;WorldWidth)),"世界X越界；","")&amp;IF(AND('06_建筑锚点'!G251&lt;&gt;"",OR('06_建筑锚点'!G251&lt;0,'06_建筑锚点'!G251&gt;WorldHeight)),"世界Y越界；","")&amp;IF(AND('06_建筑锚点'!D251&lt;&gt;"",COUNTIF('03_地点锚点'!$A$2:$A$501,'06_建筑锚点'!D251)=0),"建筑所属地点不存在；","")&amp;IF(AND('06_建筑锚点'!T251&lt;&gt;"",COUNTIF('07_动态状态'!$A$2:$A$501,'06_建筑锚点'!T251)=0),"运营状态编码不存在；","")&amp;IF(AND('06_建筑锚点'!A251&lt;&gt;"",COUNTIF('06_建筑锚点'!$A$2:$A$501,'06_建筑锚点'!A251)&gt;1),"ID重复；",""),"")</f>
        <v/>
      </c>
      <c r="G2251" s="14">
        <f>IF(F2251&lt;&gt;"","按字段批注、数据字典和来源记录修正后复核","")</f>
        <v/>
      </c>
      <c r="H2251" s="14">
        <f>IF(F2251&lt;&gt;"","待处理","")</f>
        <v/>
      </c>
    </row>
    <row r="2252">
      <c r="A2252" s="14">
        <f>IF(F2252&lt;&gt;"","ISSUE-"&amp;TEXT(ROW()-1,"00000"),"")</f>
        <v/>
      </c>
      <c r="B2252" s="14">
        <f>IF(F2252&lt;&gt;"","错误","")</f>
        <v/>
      </c>
      <c r="C2252" s="14">
        <f>IF('06_建筑锚点'!A252&lt;&gt;"","06_建筑锚点","")</f>
        <v/>
      </c>
      <c r="D2252" s="14">
        <f>IF('06_建筑锚点'!A252&lt;&gt;"",'06_建筑锚点'!A252,"")</f>
        <v/>
      </c>
      <c r="E2252" s="14">
        <f>IF(F2252&lt;&gt;"","综合校验","")</f>
        <v/>
      </c>
      <c r="F2252" s="14">
        <f>IF('06_建筑锚点'!A252&lt;&gt;"",IF('06_建筑锚点'!A252="","缺少建筑ID；","")&amp;IF('06_建筑锚点'!B252="","缺少建筑名称；","")&amp;IF('06_建筑锚点'!C252="","缺少建筑类型；","")&amp;IF('06_建筑锚点'!D252="","缺少所属地点ID；","")&amp;IF('06_建筑锚点'!F252="","缺少世界X；","")&amp;IF('06_建筑锚点'!G252="","缺少世界Y；","")&amp;IF(AND('06_建筑锚点'!F252&lt;&gt;"",OR('06_建筑锚点'!F252&lt;0,'06_建筑锚点'!F252&gt;WorldWidth)),"世界X越界；","")&amp;IF(AND('06_建筑锚点'!G252&lt;&gt;"",OR('06_建筑锚点'!G252&lt;0,'06_建筑锚点'!G252&gt;WorldHeight)),"世界Y越界；","")&amp;IF(AND('06_建筑锚点'!D252&lt;&gt;"",COUNTIF('03_地点锚点'!$A$2:$A$501,'06_建筑锚点'!D252)=0),"建筑所属地点不存在；","")&amp;IF(AND('06_建筑锚点'!T252&lt;&gt;"",COUNTIF('07_动态状态'!$A$2:$A$501,'06_建筑锚点'!T252)=0),"运营状态编码不存在；","")&amp;IF(AND('06_建筑锚点'!A252&lt;&gt;"",COUNTIF('06_建筑锚点'!$A$2:$A$501,'06_建筑锚点'!A252)&gt;1),"ID重复；",""),"")</f>
        <v/>
      </c>
      <c r="G2252" s="14">
        <f>IF(F2252&lt;&gt;"","按字段批注、数据字典和来源记录修正后复核","")</f>
        <v/>
      </c>
      <c r="H2252" s="14">
        <f>IF(F2252&lt;&gt;"","待处理","")</f>
        <v/>
      </c>
    </row>
    <row r="2253">
      <c r="A2253" s="14">
        <f>IF(F2253&lt;&gt;"","ISSUE-"&amp;TEXT(ROW()-1,"00000"),"")</f>
        <v/>
      </c>
      <c r="B2253" s="14">
        <f>IF(F2253&lt;&gt;"","错误","")</f>
        <v/>
      </c>
      <c r="C2253" s="14">
        <f>IF('06_建筑锚点'!A253&lt;&gt;"","06_建筑锚点","")</f>
        <v/>
      </c>
      <c r="D2253" s="14">
        <f>IF('06_建筑锚点'!A253&lt;&gt;"",'06_建筑锚点'!A253,"")</f>
        <v/>
      </c>
      <c r="E2253" s="14">
        <f>IF(F2253&lt;&gt;"","综合校验","")</f>
        <v/>
      </c>
      <c r="F2253" s="14">
        <f>IF('06_建筑锚点'!A253&lt;&gt;"",IF('06_建筑锚点'!A253="","缺少建筑ID；","")&amp;IF('06_建筑锚点'!B253="","缺少建筑名称；","")&amp;IF('06_建筑锚点'!C253="","缺少建筑类型；","")&amp;IF('06_建筑锚点'!D253="","缺少所属地点ID；","")&amp;IF('06_建筑锚点'!F253="","缺少世界X；","")&amp;IF('06_建筑锚点'!G253="","缺少世界Y；","")&amp;IF(AND('06_建筑锚点'!F253&lt;&gt;"",OR('06_建筑锚点'!F253&lt;0,'06_建筑锚点'!F253&gt;WorldWidth)),"世界X越界；","")&amp;IF(AND('06_建筑锚点'!G253&lt;&gt;"",OR('06_建筑锚点'!G253&lt;0,'06_建筑锚点'!G253&gt;WorldHeight)),"世界Y越界；","")&amp;IF(AND('06_建筑锚点'!D253&lt;&gt;"",COUNTIF('03_地点锚点'!$A$2:$A$501,'06_建筑锚点'!D253)=0),"建筑所属地点不存在；","")&amp;IF(AND('06_建筑锚点'!T253&lt;&gt;"",COUNTIF('07_动态状态'!$A$2:$A$501,'06_建筑锚点'!T253)=0),"运营状态编码不存在；","")&amp;IF(AND('06_建筑锚点'!A253&lt;&gt;"",COUNTIF('06_建筑锚点'!$A$2:$A$501,'06_建筑锚点'!A253)&gt;1),"ID重复；",""),"")</f>
        <v/>
      </c>
      <c r="G2253" s="14">
        <f>IF(F2253&lt;&gt;"","按字段批注、数据字典和来源记录修正后复核","")</f>
        <v/>
      </c>
      <c r="H2253" s="14">
        <f>IF(F2253&lt;&gt;"","待处理","")</f>
        <v/>
      </c>
    </row>
    <row r="2254">
      <c r="A2254" s="14">
        <f>IF(F2254&lt;&gt;"","ISSUE-"&amp;TEXT(ROW()-1,"00000"),"")</f>
        <v/>
      </c>
      <c r="B2254" s="14">
        <f>IF(F2254&lt;&gt;"","错误","")</f>
        <v/>
      </c>
      <c r="C2254" s="14">
        <f>IF('06_建筑锚点'!A254&lt;&gt;"","06_建筑锚点","")</f>
        <v/>
      </c>
      <c r="D2254" s="14">
        <f>IF('06_建筑锚点'!A254&lt;&gt;"",'06_建筑锚点'!A254,"")</f>
        <v/>
      </c>
      <c r="E2254" s="14">
        <f>IF(F2254&lt;&gt;"","综合校验","")</f>
        <v/>
      </c>
      <c r="F2254" s="14">
        <f>IF('06_建筑锚点'!A254&lt;&gt;"",IF('06_建筑锚点'!A254="","缺少建筑ID；","")&amp;IF('06_建筑锚点'!B254="","缺少建筑名称；","")&amp;IF('06_建筑锚点'!C254="","缺少建筑类型；","")&amp;IF('06_建筑锚点'!D254="","缺少所属地点ID；","")&amp;IF('06_建筑锚点'!F254="","缺少世界X；","")&amp;IF('06_建筑锚点'!G254="","缺少世界Y；","")&amp;IF(AND('06_建筑锚点'!F254&lt;&gt;"",OR('06_建筑锚点'!F254&lt;0,'06_建筑锚点'!F254&gt;WorldWidth)),"世界X越界；","")&amp;IF(AND('06_建筑锚点'!G254&lt;&gt;"",OR('06_建筑锚点'!G254&lt;0,'06_建筑锚点'!G254&gt;WorldHeight)),"世界Y越界；","")&amp;IF(AND('06_建筑锚点'!D254&lt;&gt;"",COUNTIF('03_地点锚点'!$A$2:$A$501,'06_建筑锚点'!D254)=0),"建筑所属地点不存在；","")&amp;IF(AND('06_建筑锚点'!T254&lt;&gt;"",COUNTIF('07_动态状态'!$A$2:$A$501,'06_建筑锚点'!T254)=0),"运营状态编码不存在；","")&amp;IF(AND('06_建筑锚点'!A254&lt;&gt;"",COUNTIF('06_建筑锚点'!$A$2:$A$501,'06_建筑锚点'!A254)&gt;1),"ID重复；",""),"")</f>
        <v/>
      </c>
      <c r="G2254" s="14">
        <f>IF(F2254&lt;&gt;"","按字段批注、数据字典和来源记录修正后复核","")</f>
        <v/>
      </c>
      <c r="H2254" s="14">
        <f>IF(F2254&lt;&gt;"","待处理","")</f>
        <v/>
      </c>
    </row>
    <row r="2255">
      <c r="A2255" s="14">
        <f>IF(F2255&lt;&gt;"","ISSUE-"&amp;TEXT(ROW()-1,"00000"),"")</f>
        <v/>
      </c>
      <c r="B2255" s="14">
        <f>IF(F2255&lt;&gt;"","错误","")</f>
        <v/>
      </c>
      <c r="C2255" s="14">
        <f>IF('06_建筑锚点'!A255&lt;&gt;"","06_建筑锚点","")</f>
        <v/>
      </c>
      <c r="D2255" s="14">
        <f>IF('06_建筑锚点'!A255&lt;&gt;"",'06_建筑锚点'!A255,"")</f>
        <v/>
      </c>
      <c r="E2255" s="14">
        <f>IF(F2255&lt;&gt;"","综合校验","")</f>
        <v/>
      </c>
      <c r="F2255" s="14">
        <f>IF('06_建筑锚点'!A255&lt;&gt;"",IF('06_建筑锚点'!A255="","缺少建筑ID；","")&amp;IF('06_建筑锚点'!B255="","缺少建筑名称；","")&amp;IF('06_建筑锚点'!C255="","缺少建筑类型；","")&amp;IF('06_建筑锚点'!D255="","缺少所属地点ID；","")&amp;IF('06_建筑锚点'!F255="","缺少世界X；","")&amp;IF('06_建筑锚点'!G255="","缺少世界Y；","")&amp;IF(AND('06_建筑锚点'!F255&lt;&gt;"",OR('06_建筑锚点'!F255&lt;0,'06_建筑锚点'!F255&gt;WorldWidth)),"世界X越界；","")&amp;IF(AND('06_建筑锚点'!G255&lt;&gt;"",OR('06_建筑锚点'!G255&lt;0,'06_建筑锚点'!G255&gt;WorldHeight)),"世界Y越界；","")&amp;IF(AND('06_建筑锚点'!D255&lt;&gt;"",COUNTIF('03_地点锚点'!$A$2:$A$501,'06_建筑锚点'!D255)=0),"建筑所属地点不存在；","")&amp;IF(AND('06_建筑锚点'!T255&lt;&gt;"",COUNTIF('07_动态状态'!$A$2:$A$501,'06_建筑锚点'!T255)=0),"运营状态编码不存在；","")&amp;IF(AND('06_建筑锚点'!A255&lt;&gt;"",COUNTIF('06_建筑锚点'!$A$2:$A$501,'06_建筑锚点'!A255)&gt;1),"ID重复；",""),"")</f>
        <v/>
      </c>
      <c r="G2255" s="14">
        <f>IF(F2255&lt;&gt;"","按字段批注、数据字典和来源记录修正后复核","")</f>
        <v/>
      </c>
      <c r="H2255" s="14">
        <f>IF(F2255&lt;&gt;"","待处理","")</f>
        <v/>
      </c>
    </row>
    <row r="2256">
      <c r="A2256" s="14">
        <f>IF(F2256&lt;&gt;"","ISSUE-"&amp;TEXT(ROW()-1,"00000"),"")</f>
        <v/>
      </c>
      <c r="B2256" s="14">
        <f>IF(F2256&lt;&gt;"","错误","")</f>
        <v/>
      </c>
      <c r="C2256" s="14">
        <f>IF('06_建筑锚点'!A256&lt;&gt;"","06_建筑锚点","")</f>
        <v/>
      </c>
      <c r="D2256" s="14">
        <f>IF('06_建筑锚点'!A256&lt;&gt;"",'06_建筑锚点'!A256,"")</f>
        <v/>
      </c>
      <c r="E2256" s="14">
        <f>IF(F2256&lt;&gt;"","综合校验","")</f>
        <v/>
      </c>
      <c r="F2256" s="14">
        <f>IF('06_建筑锚点'!A256&lt;&gt;"",IF('06_建筑锚点'!A256="","缺少建筑ID；","")&amp;IF('06_建筑锚点'!B256="","缺少建筑名称；","")&amp;IF('06_建筑锚点'!C256="","缺少建筑类型；","")&amp;IF('06_建筑锚点'!D256="","缺少所属地点ID；","")&amp;IF('06_建筑锚点'!F256="","缺少世界X；","")&amp;IF('06_建筑锚点'!G256="","缺少世界Y；","")&amp;IF(AND('06_建筑锚点'!F256&lt;&gt;"",OR('06_建筑锚点'!F256&lt;0,'06_建筑锚点'!F256&gt;WorldWidth)),"世界X越界；","")&amp;IF(AND('06_建筑锚点'!G256&lt;&gt;"",OR('06_建筑锚点'!G256&lt;0,'06_建筑锚点'!G256&gt;WorldHeight)),"世界Y越界；","")&amp;IF(AND('06_建筑锚点'!D256&lt;&gt;"",COUNTIF('03_地点锚点'!$A$2:$A$501,'06_建筑锚点'!D256)=0),"建筑所属地点不存在；","")&amp;IF(AND('06_建筑锚点'!T256&lt;&gt;"",COUNTIF('07_动态状态'!$A$2:$A$501,'06_建筑锚点'!T256)=0),"运营状态编码不存在；","")&amp;IF(AND('06_建筑锚点'!A256&lt;&gt;"",COUNTIF('06_建筑锚点'!$A$2:$A$501,'06_建筑锚点'!A256)&gt;1),"ID重复；",""),"")</f>
        <v/>
      </c>
      <c r="G2256" s="14">
        <f>IF(F2256&lt;&gt;"","按字段批注、数据字典和来源记录修正后复核","")</f>
        <v/>
      </c>
      <c r="H2256" s="14">
        <f>IF(F2256&lt;&gt;"","待处理","")</f>
        <v/>
      </c>
    </row>
    <row r="2257">
      <c r="A2257" s="14">
        <f>IF(F2257&lt;&gt;"","ISSUE-"&amp;TEXT(ROW()-1,"00000"),"")</f>
        <v/>
      </c>
      <c r="B2257" s="14">
        <f>IF(F2257&lt;&gt;"","错误","")</f>
        <v/>
      </c>
      <c r="C2257" s="14">
        <f>IF('06_建筑锚点'!A257&lt;&gt;"","06_建筑锚点","")</f>
        <v/>
      </c>
      <c r="D2257" s="14">
        <f>IF('06_建筑锚点'!A257&lt;&gt;"",'06_建筑锚点'!A257,"")</f>
        <v/>
      </c>
      <c r="E2257" s="14">
        <f>IF(F2257&lt;&gt;"","综合校验","")</f>
        <v/>
      </c>
      <c r="F2257" s="14">
        <f>IF('06_建筑锚点'!A257&lt;&gt;"",IF('06_建筑锚点'!A257="","缺少建筑ID；","")&amp;IF('06_建筑锚点'!B257="","缺少建筑名称；","")&amp;IF('06_建筑锚点'!C257="","缺少建筑类型；","")&amp;IF('06_建筑锚点'!D257="","缺少所属地点ID；","")&amp;IF('06_建筑锚点'!F257="","缺少世界X；","")&amp;IF('06_建筑锚点'!G257="","缺少世界Y；","")&amp;IF(AND('06_建筑锚点'!F257&lt;&gt;"",OR('06_建筑锚点'!F257&lt;0,'06_建筑锚点'!F257&gt;WorldWidth)),"世界X越界；","")&amp;IF(AND('06_建筑锚点'!G257&lt;&gt;"",OR('06_建筑锚点'!G257&lt;0,'06_建筑锚点'!G257&gt;WorldHeight)),"世界Y越界；","")&amp;IF(AND('06_建筑锚点'!D257&lt;&gt;"",COUNTIF('03_地点锚点'!$A$2:$A$501,'06_建筑锚点'!D257)=0),"建筑所属地点不存在；","")&amp;IF(AND('06_建筑锚点'!T257&lt;&gt;"",COUNTIF('07_动态状态'!$A$2:$A$501,'06_建筑锚点'!T257)=0),"运营状态编码不存在；","")&amp;IF(AND('06_建筑锚点'!A257&lt;&gt;"",COUNTIF('06_建筑锚点'!$A$2:$A$501,'06_建筑锚点'!A257)&gt;1),"ID重复；",""),"")</f>
        <v/>
      </c>
      <c r="G2257" s="14">
        <f>IF(F2257&lt;&gt;"","按字段批注、数据字典和来源记录修正后复核","")</f>
        <v/>
      </c>
      <c r="H2257" s="14">
        <f>IF(F2257&lt;&gt;"","待处理","")</f>
        <v/>
      </c>
    </row>
    <row r="2258">
      <c r="A2258" s="14">
        <f>IF(F2258&lt;&gt;"","ISSUE-"&amp;TEXT(ROW()-1,"00000"),"")</f>
        <v/>
      </c>
      <c r="B2258" s="14">
        <f>IF(F2258&lt;&gt;"","错误","")</f>
        <v/>
      </c>
      <c r="C2258" s="14">
        <f>IF('06_建筑锚点'!A258&lt;&gt;"","06_建筑锚点","")</f>
        <v/>
      </c>
      <c r="D2258" s="14">
        <f>IF('06_建筑锚点'!A258&lt;&gt;"",'06_建筑锚点'!A258,"")</f>
        <v/>
      </c>
      <c r="E2258" s="14">
        <f>IF(F2258&lt;&gt;"","综合校验","")</f>
        <v/>
      </c>
      <c r="F2258" s="14">
        <f>IF('06_建筑锚点'!A258&lt;&gt;"",IF('06_建筑锚点'!A258="","缺少建筑ID；","")&amp;IF('06_建筑锚点'!B258="","缺少建筑名称；","")&amp;IF('06_建筑锚点'!C258="","缺少建筑类型；","")&amp;IF('06_建筑锚点'!D258="","缺少所属地点ID；","")&amp;IF('06_建筑锚点'!F258="","缺少世界X；","")&amp;IF('06_建筑锚点'!G258="","缺少世界Y；","")&amp;IF(AND('06_建筑锚点'!F258&lt;&gt;"",OR('06_建筑锚点'!F258&lt;0,'06_建筑锚点'!F258&gt;WorldWidth)),"世界X越界；","")&amp;IF(AND('06_建筑锚点'!G258&lt;&gt;"",OR('06_建筑锚点'!G258&lt;0,'06_建筑锚点'!G258&gt;WorldHeight)),"世界Y越界；","")&amp;IF(AND('06_建筑锚点'!D258&lt;&gt;"",COUNTIF('03_地点锚点'!$A$2:$A$501,'06_建筑锚点'!D258)=0),"建筑所属地点不存在；","")&amp;IF(AND('06_建筑锚点'!T258&lt;&gt;"",COUNTIF('07_动态状态'!$A$2:$A$501,'06_建筑锚点'!T258)=0),"运营状态编码不存在；","")&amp;IF(AND('06_建筑锚点'!A258&lt;&gt;"",COUNTIF('06_建筑锚点'!$A$2:$A$501,'06_建筑锚点'!A258)&gt;1),"ID重复；",""),"")</f>
        <v/>
      </c>
      <c r="G2258" s="14">
        <f>IF(F2258&lt;&gt;"","按字段批注、数据字典和来源记录修正后复核","")</f>
        <v/>
      </c>
      <c r="H2258" s="14">
        <f>IF(F2258&lt;&gt;"","待处理","")</f>
        <v/>
      </c>
    </row>
    <row r="2259">
      <c r="A2259" s="14">
        <f>IF(F2259&lt;&gt;"","ISSUE-"&amp;TEXT(ROW()-1,"00000"),"")</f>
        <v/>
      </c>
      <c r="B2259" s="14">
        <f>IF(F2259&lt;&gt;"","错误","")</f>
        <v/>
      </c>
      <c r="C2259" s="14">
        <f>IF('06_建筑锚点'!A259&lt;&gt;"","06_建筑锚点","")</f>
        <v/>
      </c>
      <c r="D2259" s="14">
        <f>IF('06_建筑锚点'!A259&lt;&gt;"",'06_建筑锚点'!A259,"")</f>
        <v/>
      </c>
      <c r="E2259" s="14">
        <f>IF(F2259&lt;&gt;"","综合校验","")</f>
        <v/>
      </c>
      <c r="F2259" s="14">
        <f>IF('06_建筑锚点'!A259&lt;&gt;"",IF('06_建筑锚点'!A259="","缺少建筑ID；","")&amp;IF('06_建筑锚点'!B259="","缺少建筑名称；","")&amp;IF('06_建筑锚点'!C259="","缺少建筑类型；","")&amp;IF('06_建筑锚点'!D259="","缺少所属地点ID；","")&amp;IF('06_建筑锚点'!F259="","缺少世界X；","")&amp;IF('06_建筑锚点'!G259="","缺少世界Y；","")&amp;IF(AND('06_建筑锚点'!F259&lt;&gt;"",OR('06_建筑锚点'!F259&lt;0,'06_建筑锚点'!F259&gt;WorldWidth)),"世界X越界；","")&amp;IF(AND('06_建筑锚点'!G259&lt;&gt;"",OR('06_建筑锚点'!G259&lt;0,'06_建筑锚点'!G259&gt;WorldHeight)),"世界Y越界；","")&amp;IF(AND('06_建筑锚点'!D259&lt;&gt;"",COUNTIF('03_地点锚点'!$A$2:$A$501,'06_建筑锚点'!D259)=0),"建筑所属地点不存在；","")&amp;IF(AND('06_建筑锚点'!T259&lt;&gt;"",COUNTIF('07_动态状态'!$A$2:$A$501,'06_建筑锚点'!T259)=0),"运营状态编码不存在；","")&amp;IF(AND('06_建筑锚点'!A259&lt;&gt;"",COUNTIF('06_建筑锚点'!$A$2:$A$501,'06_建筑锚点'!A259)&gt;1),"ID重复；",""),"")</f>
        <v/>
      </c>
      <c r="G2259" s="14">
        <f>IF(F2259&lt;&gt;"","按字段批注、数据字典和来源记录修正后复核","")</f>
        <v/>
      </c>
      <c r="H2259" s="14">
        <f>IF(F2259&lt;&gt;"","待处理","")</f>
        <v/>
      </c>
    </row>
    <row r="2260">
      <c r="A2260" s="14">
        <f>IF(F2260&lt;&gt;"","ISSUE-"&amp;TEXT(ROW()-1,"00000"),"")</f>
        <v/>
      </c>
      <c r="B2260" s="14">
        <f>IF(F2260&lt;&gt;"","错误","")</f>
        <v/>
      </c>
      <c r="C2260" s="14">
        <f>IF('06_建筑锚点'!A260&lt;&gt;"","06_建筑锚点","")</f>
        <v/>
      </c>
      <c r="D2260" s="14">
        <f>IF('06_建筑锚点'!A260&lt;&gt;"",'06_建筑锚点'!A260,"")</f>
        <v/>
      </c>
      <c r="E2260" s="14">
        <f>IF(F2260&lt;&gt;"","综合校验","")</f>
        <v/>
      </c>
      <c r="F2260" s="14">
        <f>IF('06_建筑锚点'!A260&lt;&gt;"",IF('06_建筑锚点'!A260="","缺少建筑ID；","")&amp;IF('06_建筑锚点'!B260="","缺少建筑名称；","")&amp;IF('06_建筑锚点'!C260="","缺少建筑类型；","")&amp;IF('06_建筑锚点'!D260="","缺少所属地点ID；","")&amp;IF('06_建筑锚点'!F260="","缺少世界X；","")&amp;IF('06_建筑锚点'!G260="","缺少世界Y；","")&amp;IF(AND('06_建筑锚点'!F260&lt;&gt;"",OR('06_建筑锚点'!F260&lt;0,'06_建筑锚点'!F260&gt;WorldWidth)),"世界X越界；","")&amp;IF(AND('06_建筑锚点'!G260&lt;&gt;"",OR('06_建筑锚点'!G260&lt;0,'06_建筑锚点'!G260&gt;WorldHeight)),"世界Y越界；","")&amp;IF(AND('06_建筑锚点'!D260&lt;&gt;"",COUNTIF('03_地点锚点'!$A$2:$A$501,'06_建筑锚点'!D260)=0),"建筑所属地点不存在；","")&amp;IF(AND('06_建筑锚点'!T260&lt;&gt;"",COUNTIF('07_动态状态'!$A$2:$A$501,'06_建筑锚点'!T260)=0),"运营状态编码不存在；","")&amp;IF(AND('06_建筑锚点'!A260&lt;&gt;"",COUNTIF('06_建筑锚点'!$A$2:$A$501,'06_建筑锚点'!A260)&gt;1),"ID重复；",""),"")</f>
        <v/>
      </c>
      <c r="G2260" s="14">
        <f>IF(F2260&lt;&gt;"","按字段批注、数据字典和来源记录修正后复核","")</f>
        <v/>
      </c>
      <c r="H2260" s="14">
        <f>IF(F2260&lt;&gt;"","待处理","")</f>
        <v/>
      </c>
    </row>
    <row r="2261">
      <c r="A2261" s="14">
        <f>IF(F2261&lt;&gt;"","ISSUE-"&amp;TEXT(ROW()-1,"00000"),"")</f>
        <v/>
      </c>
      <c r="B2261" s="14">
        <f>IF(F2261&lt;&gt;"","错误","")</f>
        <v/>
      </c>
      <c r="C2261" s="14">
        <f>IF('06_建筑锚点'!A261&lt;&gt;"","06_建筑锚点","")</f>
        <v/>
      </c>
      <c r="D2261" s="14">
        <f>IF('06_建筑锚点'!A261&lt;&gt;"",'06_建筑锚点'!A261,"")</f>
        <v/>
      </c>
      <c r="E2261" s="14">
        <f>IF(F2261&lt;&gt;"","综合校验","")</f>
        <v/>
      </c>
      <c r="F2261" s="14">
        <f>IF('06_建筑锚点'!A261&lt;&gt;"",IF('06_建筑锚点'!A261="","缺少建筑ID；","")&amp;IF('06_建筑锚点'!B261="","缺少建筑名称；","")&amp;IF('06_建筑锚点'!C261="","缺少建筑类型；","")&amp;IF('06_建筑锚点'!D261="","缺少所属地点ID；","")&amp;IF('06_建筑锚点'!F261="","缺少世界X；","")&amp;IF('06_建筑锚点'!G261="","缺少世界Y；","")&amp;IF(AND('06_建筑锚点'!F261&lt;&gt;"",OR('06_建筑锚点'!F261&lt;0,'06_建筑锚点'!F261&gt;WorldWidth)),"世界X越界；","")&amp;IF(AND('06_建筑锚点'!G261&lt;&gt;"",OR('06_建筑锚点'!G261&lt;0,'06_建筑锚点'!G261&gt;WorldHeight)),"世界Y越界；","")&amp;IF(AND('06_建筑锚点'!D261&lt;&gt;"",COUNTIF('03_地点锚点'!$A$2:$A$501,'06_建筑锚点'!D261)=0),"建筑所属地点不存在；","")&amp;IF(AND('06_建筑锚点'!T261&lt;&gt;"",COUNTIF('07_动态状态'!$A$2:$A$501,'06_建筑锚点'!T261)=0),"运营状态编码不存在；","")&amp;IF(AND('06_建筑锚点'!A261&lt;&gt;"",COUNTIF('06_建筑锚点'!$A$2:$A$501,'06_建筑锚点'!A261)&gt;1),"ID重复；",""),"")</f>
        <v/>
      </c>
      <c r="G2261" s="14">
        <f>IF(F2261&lt;&gt;"","按字段批注、数据字典和来源记录修正后复核","")</f>
        <v/>
      </c>
      <c r="H2261" s="14">
        <f>IF(F2261&lt;&gt;"","待处理","")</f>
        <v/>
      </c>
    </row>
    <row r="2262">
      <c r="A2262" s="14">
        <f>IF(F2262&lt;&gt;"","ISSUE-"&amp;TEXT(ROW()-1,"00000"),"")</f>
        <v/>
      </c>
      <c r="B2262" s="14">
        <f>IF(F2262&lt;&gt;"","错误","")</f>
        <v/>
      </c>
      <c r="C2262" s="14">
        <f>IF('06_建筑锚点'!A262&lt;&gt;"","06_建筑锚点","")</f>
        <v/>
      </c>
      <c r="D2262" s="14">
        <f>IF('06_建筑锚点'!A262&lt;&gt;"",'06_建筑锚点'!A262,"")</f>
        <v/>
      </c>
      <c r="E2262" s="14">
        <f>IF(F2262&lt;&gt;"","综合校验","")</f>
        <v/>
      </c>
      <c r="F2262" s="14">
        <f>IF('06_建筑锚点'!A262&lt;&gt;"",IF('06_建筑锚点'!A262="","缺少建筑ID；","")&amp;IF('06_建筑锚点'!B262="","缺少建筑名称；","")&amp;IF('06_建筑锚点'!C262="","缺少建筑类型；","")&amp;IF('06_建筑锚点'!D262="","缺少所属地点ID；","")&amp;IF('06_建筑锚点'!F262="","缺少世界X；","")&amp;IF('06_建筑锚点'!G262="","缺少世界Y；","")&amp;IF(AND('06_建筑锚点'!F262&lt;&gt;"",OR('06_建筑锚点'!F262&lt;0,'06_建筑锚点'!F262&gt;WorldWidth)),"世界X越界；","")&amp;IF(AND('06_建筑锚点'!G262&lt;&gt;"",OR('06_建筑锚点'!G262&lt;0,'06_建筑锚点'!G262&gt;WorldHeight)),"世界Y越界；","")&amp;IF(AND('06_建筑锚点'!D262&lt;&gt;"",COUNTIF('03_地点锚点'!$A$2:$A$501,'06_建筑锚点'!D262)=0),"建筑所属地点不存在；","")&amp;IF(AND('06_建筑锚点'!T262&lt;&gt;"",COUNTIF('07_动态状态'!$A$2:$A$501,'06_建筑锚点'!T262)=0),"运营状态编码不存在；","")&amp;IF(AND('06_建筑锚点'!A262&lt;&gt;"",COUNTIF('06_建筑锚点'!$A$2:$A$501,'06_建筑锚点'!A262)&gt;1),"ID重复；",""),"")</f>
        <v/>
      </c>
      <c r="G2262" s="14">
        <f>IF(F2262&lt;&gt;"","按字段批注、数据字典和来源记录修正后复核","")</f>
        <v/>
      </c>
      <c r="H2262" s="14">
        <f>IF(F2262&lt;&gt;"","待处理","")</f>
        <v/>
      </c>
    </row>
    <row r="2263">
      <c r="A2263" s="14">
        <f>IF(F2263&lt;&gt;"","ISSUE-"&amp;TEXT(ROW()-1,"00000"),"")</f>
        <v/>
      </c>
      <c r="B2263" s="14">
        <f>IF(F2263&lt;&gt;"","错误","")</f>
        <v/>
      </c>
      <c r="C2263" s="14">
        <f>IF('06_建筑锚点'!A263&lt;&gt;"","06_建筑锚点","")</f>
        <v/>
      </c>
      <c r="D2263" s="14">
        <f>IF('06_建筑锚点'!A263&lt;&gt;"",'06_建筑锚点'!A263,"")</f>
        <v/>
      </c>
      <c r="E2263" s="14">
        <f>IF(F2263&lt;&gt;"","综合校验","")</f>
        <v/>
      </c>
      <c r="F2263" s="14">
        <f>IF('06_建筑锚点'!A263&lt;&gt;"",IF('06_建筑锚点'!A263="","缺少建筑ID；","")&amp;IF('06_建筑锚点'!B263="","缺少建筑名称；","")&amp;IF('06_建筑锚点'!C263="","缺少建筑类型；","")&amp;IF('06_建筑锚点'!D263="","缺少所属地点ID；","")&amp;IF('06_建筑锚点'!F263="","缺少世界X；","")&amp;IF('06_建筑锚点'!G263="","缺少世界Y；","")&amp;IF(AND('06_建筑锚点'!F263&lt;&gt;"",OR('06_建筑锚点'!F263&lt;0,'06_建筑锚点'!F263&gt;WorldWidth)),"世界X越界；","")&amp;IF(AND('06_建筑锚点'!G263&lt;&gt;"",OR('06_建筑锚点'!G263&lt;0,'06_建筑锚点'!G263&gt;WorldHeight)),"世界Y越界；","")&amp;IF(AND('06_建筑锚点'!D263&lt;&gt;"",COUNTIF('03_地点锚点'!$A$2:$A$501,'06_建筑锚点'!D263)=0),"建筑所属地点不存在；","")&amp;IF(AND('06_建筑锚点'!T263&lt;&gt;"",COUNTIF('07_动态状态'!$A$2:$A$501,'06_建筑锚点'!T263)=0),"运营状态编码不存在；","")&amp;IF(AND('06_建筑锚点'!A263&lt;&gt;"",COUNTIF('06_建筑锚点'!$A$2:$A$501,'06_建筑锚点'!A263)&gt;1),"ID重复；",""),"")</f>
        <v/>
      </c>
      <c r="G2263" s="14">
        <f>IF(F2263&lt;&gt;"","按字段批注、数据字典和来源记录修正后复核","")</f>
        <v/>
      </c>
      <c r="H2263" s="14">
        <f>IF(F2263&lt;&gt;"","待处理","")</f>
        <v/>
      </c>
    </row>
    <row r="2264">
      <c r="A2264" s="14">
        <f>IF(F2264&lt;&gt;"","ISSUE-"&amp;TEXT(ROW()-1,"00000"),"")</f>
        <v/>
      </c>
      <c r="B2264" s="14">
        <f>IF(F2264&lt;&gt;"","错误","")</f>
        <v/>
      </c>
      <c r="C2264" s="14">
        <f>IF('06_建筑锚点'!A264&lt;&gt;"","06_建筑锚点","")</f>
        <v/>
      </c>
      <c r="D2264" s="14">
        <f>IF('06_建筑锚点'!A264&lt;&gt;"",'06_建筑锚点'!A264,"")</f>
        <v/>
      </c>
      <c r="E2264" s="14">
        <f>IF(F2264&lt;&gt;"","综合校验","")</f>
        <v/>
      </c>
      <c r="F2264" s="14">
        <f>IF('06_建筑锚点'!A264&lt;&gt;"",IF('06_建筑锚点'!A264="","缺少建筑ID；","")&amp;IF('06_建筑锚点'!B264="","缺少建筑名称；","")&amp;IF('06_建筑锚点'!C264="","缺少建筑类型；","")&amp;IF('06_建筑锚点'!D264="","缺少所属地点ID；","")&amp;IF('06_建筑锚点'!F264="","缺少世界X；","")&amp;IF('06_建筑锚点'!G264="","缺少世界Y；","")&amp;IF(AND('06_建筑锚点'!F264&lt;&gt;"",OR('06_建筑锚点'!F264&lt;0,'06_建筑锚点'!F264&gt;WorldWidth)),"世界X越界；","")&amp;IF(AND('06_建筑锚点'!G264&lt;&gt;"",OR('06_建筑锚点'!G264&lt;0,'06_建筑锚点'!G264&gt;WorldHeight)),"世界Y越界；","")&amp;IF(AND('06_建筑锚点'!D264&lt;&gt;"",COUNTIF('03_地点锚点'!$A$2:$A$501,'06_建筑锚点'!D264)=0),"建筑所属地点不存在；","")&amp;IF(AND('06_建筑锚点'!T264&lt;&gt;"",COUNTIF('07_动态状态'!$A$2:$A$501,'06_建筑锚点'!T264)=0),"运营状态编码不存在；","")&amp;IF(AND('06_建筑锚点'!A264&lt;&gt;"",COUNTIF('06_建筑锚点'!$A$2:$A$501,'06_建筑锚点'!A264)&gt;1),"ID重复；",""),"")</f>
        <v/>
      </c>
      <c r="G2264" s="14">
        <f>IF(F2264&lt;&gt;"","按字段批注、数据字典和来源记录修正后复核","")</f>
        <v/>
      </c>
      <c r="H2264" s="14">
        <f>IF(F2264&lt;&gt;"","待处理","")</f>
        <v/>
      </c>
    </row>
    <row r="2265">
      <c r="A2265" s="14">
        <f>IF(F2265&lt;&gt;"","ISSUE-"&amp;TEXT(ROW()-1,"00000"),"")</f>
        <v/>
      </c>
      <c r="B2265" s="14">
        <f>IF(F2265&lt;&gt;"","错误","")</f>
        <v/>
      </c>
      <c r="C2265" s="14">
        <f>IF('06_建筑锚点'!A265&lt;&gt;"","06_建筑锚点","")</f>
        <v/>
      </c>
      <c r="D2265" s="14">
        <f>IF('06_建筑锚点'!A265&lt;&gt;"",'06_建筑锚点'!A265,"")</f>
        <v/>
      </c>
      <c r="E2265" s="14">
        <f>IF(F2265&lt;&gt;"","综合校验","")</f>
        <v/>
      </c>
      <c r="F2265" s="14">
        <f>IF('06_建筑锚点'!A265&lt;&gt;"",IF('06_建筑锚点'!A265="","缺少建筑ID；","")&amp;IF('06_建筑锚点'!B265="","缺少建筑名称；","")&amp;IF('06_建筑锚点'!C265="","缺少建筑类型；","")&amp;IF('06_建筑锚点'!D265="","缺少所属地点ID；","")&amp;IF('06_建筑锚点'!F265="","缺少世界X；","")&amp;IF('06_建筑锚点'!G265="","缺少世界Y；","")&amp;IF(AND('06_建筑锚点'!F265&lt;&gt;"",OR('06_建筑锚点'!F265&lt;0,'06_建筑锚点'!F265&gt;WorldWidth)),"世界X越界；","")&amp;IF(AND('06_建筑锚点'!G265&lt;&gt;"",OR('06_建筑锚点'!G265&lt;0,'06_建筑锚点'!G265&gt;WorldHeight)),"世界Y越界；","")&amp;IF(AND('06_建筑锚点'!D265&lt;&gt;"",COUNTIF('03_地点锚点'!$A$2:$A$501,'06_建筑锚点'!D265)=0),"建筑所属地点不存在；","")&amp;IF(AND('06_建筑锚点'!T265&lt;&gt;"",COUNTIF('07_动态状态'!$A$2:$A$501,'06_建筑锚点'!T265)=0),"运营状态编码不存在；","")&amp;IF(AND('06_建筑锚点'!A265&lt;&gt;"",COUNTIF('06_建筑锚点'!$A$2:$A$501,'06_建筑锚点'!A265)&gt;1),"ID重复；",""),"")</f>
        <v/>
      </c>
      <c r="G2265" s="14">
        <f>IF(F2265&lt;&gt;"","按字段批注、数据字典和来源记录修正后复核","")</f>
        <v/>
      </c>
      <c r="H2265" s="14">
        <f>IF(F2265&lt;&gt;"","待处理","")</f>
        <v/>
      </c>
    </row>
    <row r="2266">
      <c r="A2266" s="14">
        <f>IF(F2266&lt;&gt;"","ISSUE-"&amp;TEXT(ROW()-1,"00000"),"")</f>
        <v/>
      </c>
      <c r="B2266" s="14">
        <f>IF(F2266&lt;&gt;"","错误","")</f>
        <v/>
      </c>
      <c r="C2266" s="14">
        <f>IF('06_建筑锚点'!A266&lt;&gt;"","06_建筑锚点","")</f>
        <v/>
      </c>
      <c r="D2266" s="14">
        <f>IF('06_建筑锚点'!A266&lt;&gt;"",'06_建筑锚点'!A266,"")</f>
        <v/>
      </c>
      <c r="E2266" s="14">
        <f>IF(F2266&lt;&gt;"","综合校验","")</f>
        <v/>
      </c>
      <c r="F2266" s="14">
        <f>IF('06_建筑锚点'!A266&lt;&gt;"",IF('06_建筑锚点'!A266="","缺少建筑ID；","")&amp;IF('06_建筑锚点'!B266="","缺少建筑名称；","")&amp;IF('06_建筑锚点'!C266="","缺少建筑类型；","")&amp;IF('06_建筑锚点'!D266="","缺少所属地点ID；","")&amp;IF('06_建筑锚点'!F266="","缺少世界X；","")&amp;IF('06_建筑锚点'!G266="","缺少世界Y；","")&amp;IF(AND('06_建筑锚点'!F266&lt;&gt;"",OR('06_建筑锚点'!F266&lt;0,'06_建筑锚点'!F266&gt;WorldWidth)),"世界X越界；","")&amp;IF(AND('06_建筑锚点'!G266&lt;&gt;"",OR('06_建筑锚点'!G266&lt;0,'06_建筑锚点'!G266&gt;WorldHeight)),"世界Y越界；","")&amp;IF(AND('06_建筑锚点'!D266&lt;&gt;"",COUNTIF('03_地点锚点'!$A$2:$A$501,'06_建筑锚点'!D266)=0),"建筑所属地点不存在；","")&amp;IF(AND('06_建筑锚点'!T266&lt;&gt;"",COUNTIF('07_动态状态'!$A$2:$A$501,'06_建筑锚点'!T266)=0),"运营状态编码不存在；","")&amp;IF(AND('06_建筑锚点'!A266&lt;&gt;"",COUNTIF('06_建筑锚点'!$A$2:$A$501,'06_建筑锚点'!A266)&gt;1),"ID重复；",""),"")</f>
        <v/>
      </c>
      <c r="G2266" s="14">
        <f>IF(F2266&lt;&gt;"","按字段批注、数据字典和来源记录修正后复核","")</f>
        <v/>
      </c>
      <c r="H2266" s="14">
        <f>IF(F2266&lt;&gt;"","待处理","")</f>
        <v/>
      </c>
    </row>
    <row r="2267">
      <c r="A2267" s="14">
        <f>IF(F2267&lt;&gt;"","ISSUE-"&amp;TEXT(ROW()-1,"00000"),"")</f>
        <v/>
      </c>
      <c r="B2267" s="14">
        <f>IF(F2267&lt;&gt;"","错误","")</f>
        <v/>
      </c>
      <c r="C2267" s="14">
        <f>IF('06_建筑锚点'!A267&lt;&gt;"","06_建筑锚点","")</f>
        <v/>
      </c>
      <c r="D2267" s="14">
        <f>IF('06_建筑锚点'!A267&lt;&gt;"",'06_建筑锚点'!A267,"")</f>
        <v/>
      </c>
      <c r="E2267" s="14">
        <f>IF(F2267&lt;&gt;"","综合校验","")</f>
        <v/>
      </c>
      <c r="F2267" s="14">
        <f>IF('06_建筑锚点'!A267&lt;&gt;"",IF('06_建筑锚点'!A267="","缺少建筑ID；","")&amp;IF('06_建筑锚点'!B267="","缺少建筑名称；","")&amp;IF('06_建筑锚点'!C267="","缺少建筑类型；","")&amp;IF('06_建筑锚点'!D267="","缺少所属地点ID；","")&amp;IF('06_建筑锚点'!F267="","缺少世界X；","")&amp;IF('06_建筑锚点'!G267="","缺少世界Y；","")&amp;IF(AND('06_建筑锚点'!F267&lt;&gt;"",OR('06_建筑锚点'!F267&lt;0,'06_建筑锚点'!F267&gt;WorldWidth)),"世界X越界；","")&amp;IF(AND('06_建筑锚点'!G267&lt;&gt;"",OR('06_建筑锚点'!G267&lt;0,'06_建筑锚点'!G267&gt;WorldHeight)),"世界Y越界；","")&amp;IF(AND('06_建筑锚点'!D267&lt;&gt;"",COUNTIF('03_地点锚点'!$A$2:$A$501,'06_建筑锚点'!D267)=0),"建筑所属地点不存在；","")&amp;IF(AND('06_建筑锚点'!T267&lt;&gt;"",COUNTIF('07_动态状态'!$A$2:$A$501,'06_建筑锚点'!T267)=0),"运营状态编码不存在；","")&amp;IF(AND('06_建筑锚点'!A267&lt;&gt;"",COUNTIF('06_建筑锚点'!$A$2:$A$501,'06_建筑锚点'!A267)&gt;1),"ID重复；",""),"")</f>
        <v/>
      </c>
      <c r="G2267" s="14">
        <f>IF(F2267&lt;&gt;"","按字段批注、数据字典和来源记录修正后复核","")</f>
        <v/>
      </c>
      <c r="H2267" s="14">
        <f>IF(F2267&lt;&gt;"","待处理","")</f>
        <v/>
      </c>
    </row>
    <row r="2268">
      <c r="A2268" s="14">
        <f>IF(F2268&lt;&gt;"","ISSUE-"&amp;TEXT(ROW()-1,"00000"),"")</f>
        <v/>
      </c>
      <c r="B2268" s="14">
        <f>IF(F2268&lt;&gt;"","错误","")</f>
        <v/>
      </c>
      <c r="C2268" s="14">
        <f>IF('06_建筑锚点'!A268&lt;&gt;"","06_建筑锚点","")</f>
        <v/>
      </c>
      <c r="D2268" s="14">
        <f>IF('06_建筑锚点'!A268&lt;&gt;"",'06_建筑锚点'!A268,"")</f>
        <v/>
      </c>
      <c r="E2268" s="14">
        <f>IF(F2268&lt;&gt;"","综合校验","")</f>
        <v/>
      </c>
      <c r="F2268" s="14">
        <f>IF('06_建筑锚点'!A268&lt;&gt;"",IF('06_建筑锚点'!A268="","缺少建筑ID；","")&amp;IF('06_建筑锚点'!B268="","缺少建筑名称；","")&amp;IF('06_建筑锚点'!C268="","缺少建筑类型；","")&amp;IF('06_建筑锚点'!D268="","缺少所属地点ID；","")&amp;IF('06_建筑锚点'!F268="","缺少世界X；","")&amp;IF('06_建筑锚点'!G268="","缺少世界Y；","")&amp;IF(AND('06_建筑锚点'!F268&lt;&gt;"",OR('06_建筑锚点'!F268&lt;0,'06_建筑锚点'!F268&gt;WorldWidth)),"世界X越界；","")&amp;IF(AND('06_建筑锚点'!G268&lt;&gt;"",OR('06_建筑锚点'!G268&lt;0,'06_建筑锚点'!G268&gt;WorldHeight)),"世界Y越界；","")&amp;IF(AND('06_建筑锚点'!D268&lt;&gt;"",COUNTIF('03_地点锚点'!$A$2:$A$501,'06_建筑锚点'!D268)=0),"建筑所属地点不存在；","")&amp;IF(AND('06_建筑锚点'!T268&lt;&gt;"",COUNTIF('07_动态状态'!$A$2:$A$501,'06_建筑锚点'!T268)=0),"运营状态编码不存在；","")&amp;IF(AND('06_建筑锚点'!A268&lt;&gt;"",COUNTIF('06_建筑锚点'!$A$2:$A$501,'06_建筑锚点'!A268)&gt;1),"ID重复；",""),"")</f>
        <v/>
      </c>
      <c r="G2268" s="14">
        <f>IF(F2268&lt;&gt;"","按字段批注、数据字典和来源记录修正后复核","")</f>
        <v/>
      </c>
      <c r="H2268" s="14">
        <f>IF(F2268&lt;&gt;"","待处理","")</f>
        <v/>
      </c>
    </row>
    <row r="2269">
      <c r="A2269" s="14">
        <f>IF(F2269&lt;&gt;"","ISSUE-"&amp;TEXT(ROW()-1,"00000"),"")</f>
        <v/>
      </c>
      <c r="B2269" s="14">
        <f>IF(F2269&lt;&gt;"","错误","")</f>
        <v/>
      </c>
      <c r="C2269" s="14">
        <f>IF('06_建筑锚点'!A269&lt;&gt;"","06_建筑锚点","")</f>
        <v/>
      </c>
      <c r="D2269" s="14">
        <f>IF('06_建筑锚点'!A269&lt;&gt;"",'06_建筑锚点'!A269,"")</f>
        <v/>
      </c>
      <c r="E2269" s="14">
        <f>IF(F2269&lt;&gt;"","综合校验","")</f>
        <v/>
      </c>
      <c r="F2269" s="14">
        <f>IF('06_建筑锚点'!A269&lt;&gt;"",IF('06_建筑锚点'!A269="","缺少建筑ID；","")&amp;IF('06_建筑锚点'!B269="","缺少建筑名称；","")&amp;IF('06_建筑锚点'!C269="","缺少建筑类型；","")&amp;IF('06_建筑锚点'!D269="","缺少所属地点ID；","")&amp;IF('06_建筑锚点'!F269="","缺少世界X；","")&amp;IF('06_建筑锚点'!G269="","缺少世界Y；","")&amp;IF(AND('06_建筑锚点'!F269&lt;&gt;"",OR('06_建筑锚点'!F269&lt;0,'06_建筑锚点'!F269&gt;WorldWidth)),"世界X越界；","")&amp;IF(AND('06_建筑锚点'!G269&lt;&gt;"",OR('06_建筑锚点'!G269&lt;0,'06_建筑锚点'!G269&gt;WorldHeight)),"世界Y越界；","")&amp;IF(AND('06_建筑锚点'!D269&lt;&gt;"",COUNTIF('03_地点锚点'!$A$2:$A$501,'06_建筑锚点'!D269)=0),"建筑所属地点不存在；","")&amp;IF(AND('06_建筑锚点'!T269&lt;&gt;"",COUNTIF('07_动态状态'!$A$2:$A$501,'06_建筑锚点'!T269)=0),"运营状态编码不存在；","")&amp;IF(AND('06_建筑锚点'!A269&lt;&gt;"",COUNTIF('06_建筑锚点'!$A$2:$A$501,'06_建筑锚点'!A269)&gt;1),"ID重复；",""),"")</f>
        <v/>
      </c>
      <c r="G2269" s="14">
        <f>IF(F2269&lt;&gt;"","按字段批注、数据字典和来源记录修正后复核","")</f>
        <v/>
      </c>
      <c r="H2269" s="14">
        <f>IF(F2269&lt;&gt;"","待处理","")</f>
        <v/>
      </c>
    </row>
    <row r="2270">
      <c r="A2270" s="14">
        <f>IF(F2270&lt;&gt;"","ISSUE-"&amp;TEXT(ROW()-1,"00000"),"")</f>
        <v/>
      </c>
      <c r="B2270" s="14">
        <f>IF(F2270&lt;&gt;"","错误","")</f>
        <v/>
      </c>
      <c r="C2270" s="14">
        <f>IF('06_建筑锚点'!A270&lt;&gt;"","06_建筑锚点","")</f>
        <v/>
      </c>
      <c r="D2270" s="14">
        <f>IF('06_建筑锚点'!A270&lt;&gt;"",'06_建筑锚点'!A270,"")</f>
        <v/>
      </c>
      <c r="E2270" s="14">
        <f>IF(F2270&lt;&gt;"","综合校验","")</f>
        <v/>
      </c>
      <c r="F2270" s="14">
        <f>IF('06_建筑锚点'!A270&lt;&gt;"",IF('06_建筑锚点'!A270="","缺少建筑ID；","")&amp;IF('06_建筑锚点'!B270="","缺少建筑名称；","")&amp;IF('06_建筑锚点'!C270="","缺少建筑类型；","")&amp;IF('06_建筑锚点'!D270="","缺少所属地点ID；","")&amp;IF('06_建筑锚点'!F270="","缺少世界X；","")&amp;IF('06_建筑锚点'!G270="","缺少世界Y；","")&amp;IF(AND('06_建筑锚点'!F270&lt;&gt;"",OR('06_建筑锚点'!F270&lt;0,'06_建筑锚点'!F270&gt;WorldWidth)),"世界X越界；","")&amp;IF(AND('06_建筑锚点'!G270&lt;&gt;"",OR('06_建筑锚点'!G270&lt;0,'06_建筑锚点'!G270&gt;WorldHeight)),"世界Y越界；","")&amp;IF(AND('06_建筑锚点'!D270&lt;&gt;"",COUNTIF('03_地点锚点'!$A$2:$A$501,'06_建筑锚点'!D270)=0),"建筑所属地点不存在；","")&amp;IF(AND('06_建筑锚点'!T270&lt;&gt;"",COUNTIF('07_动态状态'!$A$2:$A$501,'06_建筑锚点'!T270)=0),"运营状态编码不存在；","")&amp;IF(AND('06_建筑锚点'!A270&lt;&gt;"",COUNTIF('06_建筑锚点'!$A$2:$A$501,'06_建筑锚点'!A270)&gt;1),"ID重复；",""),"")</f>
        <v/>
      </c>
      <c r="G2270" s="14">
        <f>IF(F2270&lt;&gt;"","按字段批注、数据字典和来源记录修正后复核","")</f>
        <v/>
      </c>
      <c r="H2270" s="14">
        <f>IF(F2270&lt;&gt;"","待处理","")</f>
        <v/>
      </c>
    </row>
    <row r="2271">
      <c r="A2271" s="14">
        <f>IF(F2271&lt;&gt;"","ISSUE-"&amp;TEXT(ROW()-1,"00000"),"")</f>
        <v/>
      </c>
      <c r="B2271" s="14">
        <f>IF(F2271&lt;&gt;"","错误","")</f>
        <v/>
      </c>
      <c r="C2271" s="14">
        <f>IF('06_建筑锚点'!A271&lt;&gt;"","06_建筑锚点","")</f>
        <v/>
      </c>
      <c r="D2271" s="14">
        <f>IF('06_建筑锚点'!A271&lt;&gt;"",'06_建筑锚点'!A271,"")</f>
        <v/>
      </c>
      <c r="E2271" s="14">
        <f>IF(F2271&lt;&gt;"","综合校验","")</f>
        <v/>
      </c>
      <c r="F2271" s="14">
        <f>IF('06_建筑锚点'!A271&lt;&gt;"",IF('06_建筑锚点'!A271="","缺少建筑ID；","")&amp;IF('06_建筑锚点'!B271="","缺少建筑名称；","")&amp;IF('06_建筑锚点'!C271="","缺少建筑类型；","")&amp;IF('06_建筑锚点'!D271="","缺少所属地点ID；","")&amp;IF('06_建筑锚点'!F271="","缺少世界X；","")&amp;IF('06_建筑锚点'!G271="","缺少世界Y；","")&amp;IF(AND('06_建筑锚点'!F271&lt;&gt;"",OR('06_建筑锚点'!F271&lt;0,'06_建筑锚点'!F271&gt;WorldWidth)),"世界X越界；","")&amp;IF(AND('06_建筑锚点'!G271&lt;&gt;"",OR('06_建筑锚点'!G271&lt;0,'06_建筑锚点'!G271&gt;WorldHeight)),"世界Y越界；","")&amp;IF(AND('06_建筑锚点'!D271&lt;&gt;"",COUNTIF('03_地点锚点'!$A$2:$A$501,'06_建筑锚点'!D271)=0),"建筑所属地点不存在；","")&amp;IF(AND('06_建筑锚点'!T271&lt;&gt;"",COUNTIF('07_动态状态'!$A$2:$A$501,'06_建筑锚点'!T271)=0),"运营状态编码不存在；","")&amp;IF(AND('06_建筑锚点'!A271&lt;&gt;"",COUNTIF('06_建筑锚点'!$A$2:$A$501,'06_建筑锚点'!A271)&gt;1),"ID重复；",""),"")</f>
        <v/>
      </c>
      <c r="G2271" s="14">
        <f>IF(F2271&lt;&gt;"","按字段批注、数据字典和来源记录修正后复核","")</f>
        <v/>
      </c>
      <c r="H2271" s="14">
        <f>IF(F2271&lt;&gt;"","待处理","")</f>
        <v/>
      </c>
    </row>
    <row r="2272">
      <c r="A2272" s="14">
        <f>IF(F2272&lt;&gt;"","ISSUE-"&amp;TEXT(ROW()-1,"00000"),"")</f>
        <v/>
      </c>
      <c r="B2272" s="14">
        <f>IF(F2272&lt;&gt;"","错误","")</f>
        <v/>
      </c>
      <c r="C2272" s="14">
        <f>IF('06_建筑锚点'!A272&lt;&gt;"","06_建筑锚点","")</f>
        <v/>
      </c>
      <c r="D2272" s="14">
        <f>IF('06_建筑锚点'!A272&lt;&gt;"",'06_建筑锚点'!A272,"")</f>
        <v/>
      </c>
      <c r="E2272" s="14">
        <f>IF(F2272&lt;&gt;"","综合校验","")</f>
        <v/>
      </c>
      <c r="F2272" s="14">
        <f>IF('06_建筑锚点'!A272&lt;&gt;"",IF('06_建筑锚点'!A272="","缺少建筑ID；","")&amp;IF('06_建筑锚点'!B272="","缺少建筑名称；","")&amp;IF('06_建筑锚点'!C272="","缺少建筑类型；","")&amp;IF('06_建筑锚点'!D272="","缺少所属地点ID；","")&amp;IF('06_建筑锚点'!F272="","缺少世界X；","")&amp;IF('06_建筑锚点'!G272="","缺少世界Y；","")&amp;IF(AND('06_建筑锚点'!F272&lt;&gt;"",OR('06_建筑锚点'!F272&lt;0,'06_建筑锚点'!F272&gt;WorldWidth)),"世界X越界；","")&amp;IF(AND('06_建筑锚点'!G272&lt;&gt;"",OR('06_建筑锚点'!G272&lt;0,'06_建筑锚点'!G272&gt;WorldHeight)),"世界Y越界；","")&amp;IF(AND('06_建筑锚点'!D272&lt;&gt;"",COUNTIF('03_地点锚点'!$A$2:$A$501,'06_建筑锚点'!D272)=0),"建筑所属地点不存在；","")&amp;IF(AND('06_建筑锚点'!T272&lt;&gt;"",COUNTIF('07_动态状态'!$A$2:$A$501,'06_建筑锚点'!T272)=0),"运营状态编码不存在；","")&amp;IF(AND('06_建筑锚点'!A272&lt;&gt;"",COUNTIF('06_建筑锚点'!$A$2:$A$501,'06_建筑锚点'!A272)&gt;1),"ID重复；",""),"")</f>
        <v/>
      </c>
      <c r="G2272" s="14">
        <f>IF(F2272&lt;&gt;"","按字段批注、数据字典和来源记录修正后复核","")</f>
        <v/>
      </c>
      <c r="H2272" s="14">
        <f>IF(F2272&lt;&gt;"","待处理","")</f>
        <v/>
      </c>
    </row>
    <row r="2273">
      <c r="A2273" s="14">
        <f>IF(F2273&lt;&gt;"","ISSUE-"&amp;TEXT(ROW()-1,"00000"),"")</f>
        <v/>
      </c>
      <c r="B2273" s="14">
        <f>IF(F2273&lt;&gt;"","错误","")</f>
        <v/>
      </c>
      <c r="C2273" s="14">
        <f>IF('06_建筑锚点'!A273&lt;&gt;"","06_建筑锚点","")</f>
        <v/>
      </c>
      <c r="D2273" s="14">
        <f>IF('06_建筑锚点'!A273&lt;&gt;"",'06_建筑锚点'!A273,"")</f>
        <v/>
      </c>
      <c r="E2273" s="14">
        <f>IF(F2273&lt;&gt;"","综合校验","")</f>
        <v/>
      </c>
      <c r="F2273" s="14">
        <f>IF('06_建筑锚点'!A273&lt;&gt;"",IF('06_建筑锚点'!A273="","缺少建筑ID；","")&amp;IF('06_建筑锚点'!B273="","缺少建筑名称；","")&amp;IF('06_建筑锚点'!C273="","缺少建筑类型；","")&amp;IF('06_建筑锚点'!D273="","缺少所属地点ID；","")&amp;IF('06_建筑锚点'!F273="","缺少世界X；","")&amp;IF('06_建筑锚点'!G273="","缺少世界Y；","")&amp;IF(AND('06_建筑锚点'!F273&lt;&gt;"",OR('06_建筑锚点'!F273&lt;0,'06_建筑锚点'!F273&gt;WorldWidth)),"世界X越界；","")&amp;IF(AND('06_建筑锚点'!G273&lt;&gt;"",OR('06_建筑锚点'!G273&lt;0,'06_建筑锚点'!G273&gt;WorldHeight)),"世界Y越界；","")&amp;IF(AND('06_建筑锚点'!D273&lt;&gt;"",COUNTIF('03_地点锚点'!$A$2:$A$501,'06_建筑锚点'!D273)=0),"建筑所属地点不存在；","")&amp;IF(AND('06_建筑锚点'!T273&lt;&gt;"",COUNTIF('07_动态状态'!$A$2:$A$501,'06_建筑锚点'!T273)=0),"运营状态编码不存在；","")&amp;IF(AND('06_建筑锚点'!A273&lt;&gt;"",COUNTIF('06_建筑锚点'!$A$2:$A$501,'06_建筑锚点'!A273)&gt;1),"ID重复；",""),"")</f>
        <v/>
      </c>
      <c r="G2273" s="14">
        <f>IF(F2273&lt;&gt;"","按字段批注、数据字典和来源记录修正后复核","")</f>
        <v/>
      </c>
      <c r="H2273" s="14">
        <f>IF(F2273&lt;&gt;"","待处理","")</f>
        <v/>
      </c>
    </row>
    <row r="2274">
      <c r="A2274" s="14">
        <f>IF(F2274&lt;&gt;"","ISSUE-"&amp;TEXT(ROW()-1,"00000"),"")</f>
        <v/>
      </c>
      <c r="B2274" s="14">
        <f>IF(F2274&lt;&gt;"","错误","")</f>
        <v/>
      </c>
      <c r="C2274" s="14">
        <f>IF('06_建筑锚点'!A274&lt;&gt;"","06_建筑锚点","")</f>
        <v/>
      </c>
      <c r="D2274" s="14">
        <f>IF('06_建筑锚点'!A274&lt;&gt;"",'06_建筑锚点'!A274,"")</f>
        <v/>
      </c>
      <c r="E2274" s="14">
        <f>IF(F2274&lt;&gt;"","综合校验","")</f>
        <v/>
      </c>
      <c r="F2274" s="14">
        <f>IF('06_建筑锚点'!A274&lt;&gt;"",IF('06_建筑锚点'!A274="","缺少建筑ID；","")&amp;IF('06_建筑锚点'!B274="","缺少建筑名称；","")&amp;IF('06_建筑锚点'!C274="","缺少建筑类型；","")&amp;IF('06_建筑锚点'!D274="","缺少所属地点ID；","")&amp;IF('06_建筑锚点'!F274="","缺少世界X；","")&amp;IF('06_建筑锚点'!G274="","缺少世界Y；","")&amp;IF(AND('06_建筑锚点'!F274&lt;&gt;"",OR('06_建筑锚点'!F274&lt;0,'06_建筑锚点'!F274&gt;WorldWidth)),"世界X越界；","")&amp;IF(AND('06_建筑锚点'!G274&lt;&gt;"",OR('06_建筑锚点'!G274&lt;0,'06_建筑锚点'!G274&gt;WorldHeight)),"世界Y越界；","")&amp;IF(AND('06_建筑锚点'!D274&lt;&gt;"",COUNTIF('03_地点锚点'!$A$2:$A$501,'06_建筑锚点'!D274)=0),"建筑所属地点不存在；","")&amp;IF(AND('06_建筑锚点'!T274&lt;&gt;"",COUNTIF('07_动态状态'!$A$2:$A$501,'06_建筑锚点'!T274)=0),"运营状态编码不存在；","")&amp;IF(AND('06_建筑锚点'!A274&lt;&gt;"",COUNTIF('06_建筑锚点'!$A$2:$A$501,'06_建筑锚点'!A274)&gt;1),"ID重复；",""),"")</f>
        <v/>
      </c>
      <c r="G2274" s="14">
        <f>IF(F2274&lt;&gt;"","按字段批注、数据字典和来源记录修正后复核","")</f>
        <v/>
      </c>
      <c r="H2274" s="14">
        <f>IF(F2274&lt;&gt;"","待处理","")</f>
        <v/>
      </c>
    </row>
    <row r="2275">
      <c r="A2275" s="14">
        <f>IF(F2275&lt;&gt;"","ISSUE-"&amp;TEXT(ROW()-1,"00000"),"")</f>
        <v/>
      </c>
      <c r="B2275" s="14">
        <f>IF(F2275&lt;&gt;"","错误","")</f>
        <v/>
      </c>
      <c r="C2275" s="14">
        <f>IF('06_建筑锚点'!A275&lt;&gt;"","06_建筑锚点","")</f>
        <v/>
      </c>
      <c r="D2275" s="14">
        <f>IF('06_建筑锚点'!A275&lt;&gt;"",'06_建筑锚点'!A275,"")</f>
        <v/>
      </c>
      <c r="E2275" s="14">
        <f>IF(F2275&lt;&gt;"","综合校验","")</f>
        <v/>
      </c>
      <c r="F2275" s="14">
        <f>IF('06_建筑锚点'!A275&lt;&gt;"",IF('06_建筑锚点'!A275="","缺少建筑ID；","")&amp;IF('06_建筑锚点'!B275="","缺少建筑名称；","")&amp;IF('06_建筑锚点'!C275="","缺少建筑类型；","")&amp;IF('06_建筑锚点'!D275="","缺少所属地点ID；","")&amp;IF('06_建筑锚点'!F275="","缺少世界X；","")&amp;IF('06_建筑锚点'!G275="","缺少世界Y；","")&amp;IF(AND('06_建筑锚点'!F275&lt;&gt;"",OR('06_建筑锚点'!F275&lt;0,'06_建筑锚点'!F275&gt;WorldWidth)),"世界X越界；","")&amp;IF(AND('06_建筑锚点'!G275&lt;&gt;"",OR('06_建筑锚点'!G275&lt;0,'06_建筑锚点'!G275&gt;WorldHeight)),"世界Y越界；","")&amp;IF(AND('06_建筑锚点'!D275&lt;&gt;"",COUNTIF('03_地点锚点'!$A$2:$A$501,'06_建筑锚点'!D275)=0),"建筑所属地点不存在；","")&amp;IF(AND('06_建筑锚点'!T275&lt;&gt;"",COUNTIF('07_动态状态'!$A$2:$A$501,'06_建筑锚点'!T275)=0),"运营状态编码不存在；","")&amp;IF(AND('06_建筑锚点'!A275&lt;&gt;"",COUNTIF('06_建筑锚点'!$A$2:$A$501,'06_建筑锚点'!A275)&gt;1),"ID重复；",""),"")</f>
        <v/>
      </c>
      <c r="G2275" s="14">
        <f>IF(F2275&lt;&gt;"","按字段批注、数据字典和来源记录修正后复核","")</f>
        <v/>
      </c>
      <c r="H2275" s="14">
        <f>IF(F2275&lt;&gt;"","待处理","")</f>
        <v/>
      </c>
    </row>
    <row r="2276">
      <c r="A2276" s="14">
        <f>IF(F2276&lt;&gt;"","ISSUE-"&amp;TEXT(ROW()-1,"00000"),"")</f>
        <v/>
      </c>
      <c r="B2276" s="14">
        <f>IF(F2276&lt;&gt;"","错误","")</f>
        <v/>
      </c>
      <c r="C2276" s="14">
        <f>IF('06_建筑锚点'!A276&lt;&gt;"","06_建筑锚点","")</f>
        <v/>
      </c>
      <c r="D2276" s="14">
        <f>IF('06_建筑锚点'!A276&lt;&gt;"",'06_建筑锚点'!A276,"")</f>
        <v/>
      </c>
      <c r="E2276" s="14">
        <f>IF(F2276&lt;&gt;"","综合校验","")</f>
        <v/>
      </c>
      <c r="F2276" s="14">
        <f>IF('06_建筑锚点'!A276&lt;&gt;"",IF('06_建筑锚点'!A276="","缺少建筑ID；","")&amp;IF('06_建筑锚点'!B276="","缺少建筑名称；","")&amp;IF('06_建筑锚点'!C276="","缺少建筑类型；","")&amp;IF('06_建筑锚点'!D276="","缺少所属地点ID；","")&amp;IF('06_建筑锚点'!F276="","缺少世界X；","")&amp;IF('06_建筑锚点'!G276="","缺少世界Y；","")&amp;IF(AND('06_建筑锚点'!F276&lt;&gt;"",OR('06_建筑锚点'!F276&lt;0,'06_建筑锚点'!F276&gt;WorldWidth)),"世界X越界；","")&amp;IF(AND('06_建筑锚点'!G276&lt;&gt;"",OR('06_建筑锚点'!G276&lt;0,'06_建筑锚点'!G276&gt;WorldHeight)),"世界Y越界；","")&amp;IF(AND('06_建筑锚点'!D276&lt;&gt;"",COUNTIF('03_地点锚点'!$A$2:$A$501,'06_建筑锚点'!D276)=0),"建筑所属地点不存在；","")&amp;IF(AND('06_建筑锚点'!T276&lt;&gt;"",COUNTIF('07_动态状态'!$A$2:$A$501,'06_建筑锚点'!T276)=0),"运营状态编码不存在；","")&amp;IF(AND('06_建筑锚点'!A276&lt;&gt;"",COUNTIF('06_建筑锚点'!$A$2:$A$501,'06_建筑锚点'!A276)&gt;1),"ID重复；",""),"")</f>
        <v/>
      </c>
      <c r="G2276" s="14">
        <f>IF(F2276&lt;&gt;"","按字段批注、数据字典和来源记录修正后复核","")</f>
        <v/>
      </c>
      <c r="H2276" s="14">
        <f>IF(F2276&lt;&gt;"","待处理","")</f>
        <v/>
      </c>
    </row>
    <row r="2277">
      <c r="A2277" s="14">
        <f>IF(F2277&lt;&gt;"","ISSUE-"&amp;TEXT(ROW()-1,"00000"),"")</f>
        <v/>
      </c>
      <c r="B2277" s="14">
        <f>IF(F2277&lt;&gt;"","错误","")</f>
        <v/>
      </c>
      <c r="C2277" s="14">
        <f>IF('06_建筑锚点'!A277&lt;&gt;"","06_建筑锚点","")</f>
        <v/>
      </c>
      <c r="D2277" s="14">
        <f>IF('06_建筑锚点'!A277&lt;&gt;"",'06_建筑锚点'!A277,"")</f>
        <v/>
      </c>
      <c r="E2277" s="14">
        <f>IF(F2277&lt;&gt;"","综合校验","")</f>
        <v/>
      </c>
      <c r="F2277" s="14">
        <f>IF('06_建筑锚点'!A277&lt;&gt;"",IF('06_建筑锚点'!A277="","缺少建筑ID；","")&amp;IF('06_建筑锚点'!B277="","缺少建筑名称；","")&amp;IF('06_建筑锚点'!C277="","缺少建筑类型；","")&amp;IF('06_建筑锚点'!D277="","缺少所属地点ID；","")&amp;IF('06_建筑锚点'!F277="","缺少世界X；","")&amp;IF('06_建筑锚点'!G277="","缺少世界Y；","")&amp;IF(AND('06_建筑锚点'!F277&lt;&gt;"",OR('06_建筑锚点'!F277&lt;0,'06_建筑锚点'!F277&gt;WorldWidth)),"世界X越界；","")&amp;IF(AND('06_建筑锚点'!G277&lt;&gt;"",OR('06_建筑锚点'!G277&lt;0,'06_建筑锚点'!G277&gt;WorldHeight)),"世界Y越界；","")&amp;IF(AND('06_建筑锚点'!D277&lt;&gt;"",COUNTIF('03_地点锚点'!$A$2:$A$501,'06_建筑锚点'!D277)=0),"建筑所属地点不存在；","")&amp;IF(AND('06_建筑锚点'!T277&lt;&gt;"",COUNTIF('07_动态状态'!$A$2:$A$501,'06_建筑锚点'!T277)=0),"运营状态编码不存在；","")&amp;IF(AND('06_建筑锚点'!A277&lt;&gt;"",COUNTIF('06_建筑锚点'!$A$2:$A$501,'06_建筑锚点'!A277)&gt;1),"ID重复；",""),"")</f>
        <v/>
      </c>
      <c r="G2277" s="14">
        <f>IF(F2277&lt;&gt;"","按字段批注、数据字典和来源记录修正后复核","")</f>
        <v/>
      </c>
      <c r="H2277" s="14">
        <f>IF(F2277&lt;&gt;"","待处理","")</f>
        <v/>
      </c>
    </row>
    <row r="2278">
      <c r="A2278" s="14">
        <f>IF(F2278&lt;&gt;"","ISSUE-"&amp;TEXT(ROW()-1,"00000"),"")</f>
        <v/>
      </c>
      <c r="B2278" s="14">
        <f>IF(F2278&lt;&gt;"","错误","")</f>
        <v/>
      </c>
      <c r="C2278" s="14">
        <f>IF('06_建筑锚点'!A278&lt;&gt;"","06_建筑锚点","")</f>
        <v/>
      </c>
      <c r="D2278" s="14">
        <f>IF('06_建筑锚点'!A278&lt;&gt;"",'06_建筑锚点'!A278,"")</f>
        <v/>
      </c>
      <c r="E2278" s="14">
        <f>IF(F2278&lt;&gt;"","综合校验","")</f>
        <v/>
      </c>
      <c r="F2278" s="14">
        <f>IF('06_建筑锚点'!A278&lt;&gt;"",IF('06_建筑锚点'!A278="","缺少建筑ID；","")&amp;IF('06_建筑锚点'!B278="","缺少建筑名称；","")&amp;IF('06_建筑锚点'!C278="","缺少建筑类型；","")&amp;IF('06_建筑锚点'!D278="","缺少所属地点ID；","")&amp;IF('06_建筑锚点'!F278="","缺少世界X；","")&amp;IF('06_建筑锚点'!G278="","缺少世界Y；","")&amp;IF(AND('06_建筑锚点'!F278&lt;&gt;"",OR('06_建筑锚点'!F278&lt;0,'06_建筑锚点'!F278&gt;WorldWidth)),"世界X越界；","")&amp;IF(AND('06_建筑锚点'!G278&lt;&gt;"",OR('06_建筑锚点'!G278&lt;0,'06_建筑锚点'!G278&gt;WorldHeight)),"世界Y越界；","")&amp;IF(AND('06_建筑锚点'!D278&lt;&gt;"",COUNTIF('03_地点锚点'!$A$2:$A$501,'06_建筑锚点'!D278)=0),"建筑所属地点不存在；","")&amp;IF(AND('06_建筑锚点'!T278&lt;&gt;"",COUNTIF('07_动态状态'!$A$2:$A$501,'06_建筑锚点'!T278)=0),"运营状态编码不存在；","")&amp;IF(AND('06_建筑锚点'!A278&lt;&gt;"",COUNTIF('06_建筑锚点'!$A$2:$A$501,'06_建筑锚点'!A278)&gt;1),"ID重复；",""),"")</f>
        <v/>
      </c>
      <c r="G2278" s="14">
        <f>IF(F2278&lt;&gt;"","按字段批注、数据字典和来源记录修正后复核","")</f>
        <v/>
      </c>
      <c r="H2278" s="14">
        <f>IF(F2278&lt;&gt;"","待处理","")</f>
        <v/>
      </c>
    </row>
    <row r="2279">
      <c r="A2279" s="14">
        <f>IF(F2279&lt;&gt;"","ISSUE-"&amp;TEXT(ROW()-1,"00000"),"")</f>
        <v/>
      </c>
      <c r="B2279" s="14">
        <f>IF(F2279&lt;&gt;"","错误","")</f>
        <v/>
      </c>
      <c r="C2279" s="14">
        <f>IF('06_建筑锚点'!A279&lt;&gt;"","06_建筑锚点","")</f>
        <v/>
      </c>
      <c r="D2279" s="14">
        <f>IF('06_建筑锚点'!A279&lt;&gt;"",'06_建筑锚点'!A279,"")</f>
        <v/>
      </c>
      <c r="E2279" s="14">
        <f>IF(F2279&lt;&gt;"","综合校验","")</f>
        <v/>
      </c>
      <c r="F2279" s="14">
        <f>IF('06_建筑锚点'!A279&lt;&gt;"",IF('06_建筑锚点'!A279="","缺少建筑ID；","")&amp;IF('06_建筑锚点'!B279="","缺少建筑名称；","")&amp;IF('06_建筑锚点'!C279="","缺少建筑类型；","")&amp;IF('06_建筑锚点'!D279="","缺少所属地点ID；","")&amp;IF('06_建筑锚点'!F279="","缺少世界X；","")&amp;IF('06_建筑锚点'!G279="","缺少世界Y；","")&amp;IF(AND('06_建筑锚点'!F279&lt;&gt;"",OR('06_建筑锚点'!F279&lt;0,'06_建筑锚点'!F279&gt;WorldWidth)),"世界X越界；","")&amp;IF(AND('06_建筑锚点'!G279&lt;&gt;"",OR('06_建筑锚点'!G279&lt;0,'06_建筑锚点'!G279&gt;WorldHeight)),"世界Y越界；","")&amp;IF(AND('06_建筑锚点'!D279&lt;&gt;"",COUNTIF('03_地点锚点'!$A$2:$A$501,'06_建筑锚点'!D279)=0),"建筑所属地点不存在；","")&amp;IF(AND('06_建筑锚点'!T279&lt;&gt;"",COUNTIF('07_动态状态'!$A$2:$A$501,'06_建筑锚点'!T279)=0),"运营状态编码不存在；","")&amp;IF(AND('06_建筑锚点'!A279&lt;&gt;"",COUNTIF('06_建筑锚点'!$A$2:$A$501,'06_建筑锚点'!A279)&gt;1),"ID重复；",""),"")</f>
        <v/>
      </c>
      <c r="G2279" s="14">
        <f>IF(F2279&lt;&gt;"","按字段批注、数据字典和来源记录修正后复核","")</f>
        <v/>
      </c>
      <c r="H2279" s="14">
        <f>IF(F2279&lt;&gt;"","待处理","")</f>
        <v/>
      </c>
    </row>
    <row r="2280">
      <c r="A2280" s="14">
        <f>IF(F2280&lt;&gt;"","ISSUE-"&amp;TEXT(ROW()-1,"00000"),"")</f>
        <v/>
      </c>
      <c r="B2280" s="14">
        <f>IF(F2280&lt;&gt;"","错误","")</f>
        <v/>
      </c>
      <c r="C2280" s="14">
        <f>IF('06_建筑锚点'!A280&lt;&gt;"","06_建筑锚点","")</f>
        <v/>
      </c>
      <c r="D2280" s="14">
        <f>IF('06_建筑锚点'!A280&lt;&gt;"",'06_建筑锚点'!A280,"")</f>
        <v/>
      </c>
      <c r="E2280" s="14">
        <f>IF(F2280&lt;&gt;"","综合校验","")</f>
        <v/>
      </c>
      <c r="F2280" s="14">
        <f>IF('06_建筑锚点'!A280&lt;&gt;"",IF('06_建筑锚点'!A280="","缺少建筑ID；","")&amp;IF('06_建筑锚点'!B280="","缺少建筑名称；","")&amp;IF('06_建筑锚点'!C280="","缺少建筑类型；","")&amp;IF('06_建筑锚点'!D280="","缺少所属地点ID；","")&amp;IF('06_建筑锚点'!F280="","缺少世界X；","")&amp;IF('06_建筑锚点'!G280="","缺少世界Y；","")&amp;IF(AND('06_建筑锚点'!F280&lt;&gt;"",OR('06_建筑锚点'!F280&lt;0,'06_建筑锚点'!F280&gt;WorldWidth)),"世界X越界；","")&amp;IF(AND('06_建筑锚点'!G280&lt;&gt;"",OR('06_建筑锚点'!G280&lt;0,'06_建筑锚点'!G280&gt;WorldHeight)),"世界Y越界；","")&amp;IF(AND('06_建筑锚点'!D280&lt;&gt;"",COUNTIF('03_地点锚点'!$A$2:$A$501,'06_建筑锚点'!D280)=0),"建筑所属地点不存在；","")&amp;IF(AND('06_建筑锚点'!T280&lt;&gt;"",COUNTIF('07_动态状态'!$A$2:$A$501,'06_建筑锚点'!T280)=0),"运营状态编码不存在；","")&amp;IF(AND('06_建筑锚点'!A280&lt;&gt;"",COUNTIF('06_建筑锚点'!$A$2:$A$501,'06_建筑锚点'!A280)&gt;1),"ID重复；",""),"")</f>
        <v/>
      </c>
      <c r="G2280" s="14">
        <f>IF(F2280&lt;&gt;"","按字段批注、数据字典和来源记录修正后复核","")</f>
        <v/>
      </c>
      <c r="H2280" s="14">
        <f>IF(F2280&lt;&gt;"","待处理","")</f>
        <v/>
      </c>
    </row>
    <row r="2281">
      <c r="A2281" s="14">
        <f>IF(F2281&lt;&gt;"","ISSUE-"&amp;TEXT(ROW()-1,"00000"),"")</f>
        <v/>
      </c>
      <c r="B2281" s="14">
        <f>IF(F2281&lt;&gt;"","错误","")</f>
        <v/>
      </c>
      <c r="C2281" s="14">
        <f>IF('06_建筑锚点'!A281&lt;&gt;"","06_建筑锚点","")</f>
        <v/>
      </c>
      <c r="D2281" s="14">
        <f>IF('06_建筑锚点'!A281&lt;&gt;"",'06_建筑锚点'!A281,"")</f>
        <v/>
      </c>
      <c r="E2281" s="14">
        <f>IF(F2281&lt;&gt;"","综合校验","")</f>
        <v/>
      </c>
      <c r="F2281" s="14">
        <f>IF('06_建筑锚点'!A281&lt;&gt;"",IF('06_建筑锚点'!A281="","缺少建筑ID；","")&amp;IF('06_建筑锚点'!B281="","缺少建筑名称；","")&amp;IF('06_建筑锚点'!C281="","缺少建筑类型；","")&amp;IF('06_建筑锚点'!D281="","缺少所属地点ID；","")&amp;IF('06_建筑锚点'!F281="","缺少世界X；","")&amp;IF('06_建筑锚点'!G281="","缺少世界Y；","")&amp;IF(AND('06_建筑锚点'!F281&lt;&gt;"",OR('06_建筑锚点'!F281&lt;0,'06_建筑锚点'!F281&gt;WorldWidth)),"世界X越界；","")&amp;IF(AND('06_建筑锚点'!G281&lt;&gt;"",OR('06_建筑锚点'!G281&lt;0,'06_建筑锚点'!G281&gt;WorldHeight)),"世界Y越界；","")&amp;IF(AND('06_建筑锚点'!D281&lt;&gt;"",COUNTIF('03_地点锚点'!$A$2:$A$501,'06_建筑锚点'!D281)=0),"建筑所属地点不存在；","")&amp;IF(AND('06_建筑锚点'!T281&lt;&gt;"",COUNTIF('07_动态状态'!$A$2:$A$501,'06_建筑锚点'!T281)=0),"运营状态编码不存在；","")&amp;IF(AND('06_建筑锚点'!A281&lt;&gt;"",COUNTIF('06_建筑锚点'!$A$2:$A$501,'06_建筑锚点'!A281)&gt;1),"ID重复；",""),"")</f>
        <v/>
      </c>
      <c r="G2281" s="14">
        <f>IF(F2281&lt;&gt;"","按字段批注、数据字典和来源记录修正后复核","")</f>
        <v/>
      </c>
      <c r="H2281" s="14">
        <f>IF(F2281&lt;&gt;"","待处理","")</f>
        <v/>
      </c>
    </row>
    <row r="2282">
      <c r="A2282" s="14">
        <f>IF(F2282&lt;&gt;"","ISSUE-"&amp;TEXT(ROW()-1,"00000"),"")</f>
        <v/>
      </c>
      <c r="B2282" s="14">
        <f>IF(F2282&lt;&gt;"","错误","")</f>
        <v/>
      </c>
      <c r="C2282" s="14">
        <f>IF('06_建筑锚点'!A282&lt;&gt;"","06_建筑锚点","")</f>
        <v/>
      </c>
      <c r="D2282" s="14">
        <f>IF('06_建筑锚点'!A282&lt;&gt;"",'06_建筑锚点'!A282,"")</f>
        <v/>
      </c>
      <c r="E2282" s="14">
        <f>IF(F2282&lt;&gt;"","综合校验","")</f>
        <v/>
      </c>
      <c r="F2282" s="14">
        <f>IF('06_建筑锚点'!A282&lt;&gt;"",IF('06_建筑锚点'!A282="","缺少建筑ID；","")&amp;IF('06_建筑锚点'!B282="","缺少建筑名称；","")&amp;IF('06_建筑锚点'!C282="","缺少建筑类型；","")&amp;IF('06_建筑锚点'!D282="","缺少所属地点ID；","")&amp;IF('06_建筑锚点'!F282="","缺少世界X；","")&amp;IF('06_建筑锚点'!G282="","缺少世界Y；","")&amp;IF(AND('06_建筑锚点'!F282&lt;&gt;"",OR('06_建筑锚点'!F282&lt;0,'06_建筑锚点'!F282&gt;WorldWidth)),"世界X越界；","")&amp;IF(AND('06_建筑锚点'!G282&lt;&gt;"",OR('06_建筑锚点'!G282&lt;0,'06_建筑锚点'!G282&gt;WorldHeight)),"世界Y越界；","")&amp;IF(AND('06_建筑锚点'!D282&lt;&gt;"",COUNTIF('03_地点锚点'!$A$2:$A$501,'06_建筑锚点'!D282)=0),"建筑所属地点不存在；","")&amp;IF(AND('06_建筑锚点'!T282&lt;&gt;"",COUNTIF('07_动态状态'!$A$2:$A$501,'06_建筑锚点'!T282)=0),"运营状态编码不存在；","")&amp;IF(AND('06_建筑锚点'!A282&lt;&gt;"",COUNTIF('06_建筑锚点'!$A$2:$A$501,'06_建筑锚点'!A282)&gt;1),"ID重复；",""),"")</f>
        <v/>
      </c>
      <c r="G2282" s="14">
        <f>IF(F2282&lt;&gt;"","按字段批注、数据字典和来源记录修正后复核","")</f>
        <v/>
      </c>
      <c r="H2282" s="14">
        <f>IF(F2282&lt;&gt;"","待处理","")</f>
        <v/>
      </c>
    </row>
    <row r="2283">
      <c r="A2283" s="14">
        <f>IF(F2283&lt;&gt;"","ISSUE-"&amp;TEXT(ROW()-1,"00000"),"")</f>
        <v/>
      </c>
      <c r="B2283" s="14">
        <f>IF(F2283&lt;&gt;"","错误","")</f>
        <v/>
      </c>
      <c r="C2283" s="14">
        <f>IF('06_建筑锚点'!A283&lt;&gt;"","06_建筑锚点","")</f>
        <v/>
      </c>
      <c r="D2283" s="14">
        <f>IF('06_建筑锚点'!A283&lt;&gt;"",'06_建筑锚点'!A283,"")</f>
        <v/>
      </c>
      <c r="E2283" s="14">
        <f>IF(F2283&lt;&gt;"","综合校验","")</f>
        <v/>
      </c>
      <c r="F2283" s="14">
        <f>IF('06_建筑锚点'!A283&lt;&gt;"",IF('06_建筑锚点'!A283="","缺少建筑ID；","")&amp;IF('06_建筑锚点'!B283="","缺少建筑名称；","")&amp;IF('06_建筑锚点'!C283="","缺少建筑类型；","")&amp;IF('06_建筑锚点'!D283="","缺少所属地点ID；","")&amp;IF('06_建筑锚点'!F283="","缺少世界X；","")&amp;IF('06_建筑锚点'!G283="","缺少世界Y；","")&amp;IF(AND('06_建筑锚点'!F283&lt;&gt;"",OR('06_建筑锚点'!F283&lt;0,'06_建筑锚点'!F283&gt;WorldWidth)),"世界X越界；","")&amp;IF(AND('06_建筑锚点'!G283&lt;&gt;"",OR('06_建筑锚点'!G283&lt;0,'06_建筑锚点'!G283&gt;WorldHeight)),"世界Y越界；","")&amp;IF(AND('06_建筑锚点'!D283&lt;&gt;"",COUNTIF('03_地点锚点'!$A$2:$A$501,'06_建筑锚点'!D283)=0),"建筑所属地点不存在；","")&amp;IF(AND('06_建筑锚点'!T283&lt;&gt;"",COUNTIF('07_动态状态'!$A$2:$A$501,'06_建筑锚点'!T283)=0),"运营状态编码不存在；","")&amp;IF(AND('06_建筑锚点'!A283&lt;&gt;"",COUNTIF('06_建筑锚点'!$A$2:$A$501,'06_建筑锚点'!A283)&gt;1),"ID重复；",""),"")</f>
        <v/>
      </c>
      <c r="G2283" s="14">
        <f>IF(F2283&lt;&gt;"","按字段批注、数据字典和来源记录修正后复核","")</f>
        <v/>
      </c>
      <c r="H2283" s="14">
        <f>IF(F2283&lt;&gt;"","待处理","")</f>
        <v/>
      </c>
    </row>
    <row r="2284">
      <c r="A2284" s="14">
        <f>IF(F2284&lt;&gt;"","ISSUE-"&amp;TEXT(ROW()-1,"00000"),"")</f>
        <v/>
      </c>
      <c r="B2284" s="14">
        <f>IF(F2284&lt;&gt;"","错误","")</f>
        <v/>
      </c>
      <c r="C2284" s="14">
        <f>IF('06_建筑锚点'!A284&lt;&gt;"","06_建筑锚点","")</f>
        <v/>
      </c>
      <c r="D2284" s="14">
        <f>IF('06_建筑锚点'!A284&lt;&gt;"",'06_建筑锚点'!A284,"")</f>
        <v/>
      </c>
      <c r="E2284" s="14">
        <f>IF(F2284&lt;&gt;"","综合校验","")</f>
        <v/>
      </c>
      <c r="F2284" s="14">
        <f>IF('06_建筑锚点'!A284&lt;&gt;"",IF('06_建筑锚点'!A284="","缺少建筑ID；","")&amp;IF('06_建筑锚点'!B284="","缺少建筑名称；","")&amp;IF('06_建筑锚点'!C284="","缺少建筑类型；","")&amp;IF('06_建筑锚点'!D284="","缺少所属地点ID；","")&amp;IF('06_建筑锚点'!F284="","缺少世界X；","")&amp;IF('06_建筑锚点'!G284="","缺少世界Y；","")&amp;IF(AND('06_建筑锚点'!F284&lt;&gt;"",OR('06_建筑锚点'!F284&lt;0,'06_建筑锚点'!F284&gt;WorldWidth)),"世界X越界；","")&amp;IF(AND('06_建筑锚点'!G284&lt;&gt;"",OR('06_建筑锚点'!G284&lt;0,'06_建筑锚点'!G284&gt;WorldHeight)),"世界Y越界；","")&amp;IF(AND('06_建筑锚点'!D284&lt;&gt;"",COUNTIF('03_地点锚点'!$A$2:$A$501,'06_建筑锚点'!D284)=0),"建筑所属地点不存在；","")&amp;IF(AND('06_建筑锚点'!T284&lt;&gt;"",COUNTIF('07_动态状态'!$A$2:$A$501,'06_建筑锚点'!T284)=0),"运营状态编码不存在；","")&amp;IF(AND('06_建筑锚点'!A284&lt;&gt;"",COUNTIF('06_建筑锚点'!$A$2:$A$501,'06_建筑锚点'!A284)&gt;1),"ID重复；",""),"")</f>
        <v/>
      </c>
      <c r="G2284" s="14">
        <f>IF(F2284&lt;&gt;"","按字段批注、数据字典和来源记录修正后复核","")</f>
        <v/>
      </c>
      <c r="H2284" s="14">
        <f>IF(F2284&lt;&gt;"","待处理","")</f>
        <v/>
      </c>
    </row>
    <row r="2285">
      <c r="A2285" s="14">
        <f>IF(F2285&lt;&gt;"","ISSUE-"&amp;TEXT(ROW()-1,"00000"),"")</f>
        <v/>
      </c>
      <c r="B2285" s="14">
        <f>IF(F2285&lt;&gt;"","错误","")</f>
        <v/>
      </c>
      <c r="C2285" s="14">
        <f>IF('06_建筑锚点'!A285&lt;&gt;"","06_建筑锚点","")</f>
        <v/>
      </c>
      <c r="D2285" s="14">
        <f>IF('06_建筑锚点'!A285&lt;&gt;"",'06_建筑锚点'!A285,"")</f>
        <v/>
      </c>
      <c r="E2285" s="14">
        <f>IF(F2285&lt;&gt;"","综合校验","")</f>
        <v/>
      </c>
      <c r="F2285" s="14">
        <f>IF('06_建筑锚点'!A285&lt;&gt;"",IF('06_建筑锚点'!A285="","缺少建筑ID；","")&amp;IF('06_建筑锚点'!B285="","缺少建筑名称；","")&amp;IF('06_建筑锚点'!C285="","缺少建筑类型；","")&amp;IF('06_建筑锚点'!D285="","缺少所属地点ID；","")&amp;IF('06_建筑锚点'!F285="","缺少世界X；","")&amp;IF('06_建筑锚点'!G285="","缺少世界Y；","")&amp;IF(AND('06_建筑锚点'!F285&lt;&gt;"",OR('06_建筑锚点'!F285&lt;0,'06_建筑锚点'!F285&gt;WorldWidth)),"世界X越界；","")&amp;IF(AND('06_建筑锚点'!G285&lt;&gt;"",OR('06_建筑锚点'!G285&lt;0,'06_建筑锚点'!G285&gt;WorldHeight)),"世界Y越界；","")&amp;IF(AND('06_建筑锚点'!D285&lt;&gt;"",COUNTIF('03_地点锚点'!$A$2:$A$501,'06_建筑锚点'!D285)=0),"建筑所属地点不存在；","")&amp;IF(AND('06_建筑锚点'!T285&lt;&gt;"",COUNTIF('07_动态状态'!$A$2:$A$501,'06_建筑锚点'!T285)=0),"运营状态编码不存在；","")&amp;IF(AND('06_建筑锚点'!A285&lt;&gt;"",COUNTIF('06_建筑锚点'!$A$2:$A$501,'06_建筑锚点'!A285)&gt;1),"ID重复；",""),"")</f>
        <v/>
      </c>
      <c r="G2285" s="14">
        <f>IF(F2285&lt;&gt;"","按字段批注、数据字典和来源记录修正后复核","")</f>
        <v/>
      </c>
      <c r="H2285" s="14">
        <f>IF(F2285&lt;&gt;"","待处理","")</f>
        <v/>
      </c>
    </row>
    <row r="2286">
      <c r="A2286" s="14">
        <f>IF(F2286&lt;&gt;"","ISSUE-"&amp;TEXT(ROW()-1,"00000"),"")</f>
        <v/>
      </c>
      <c r="B2286" s="14">
        <f>IF(F2286&lt;&gt;"","错误","")</f>
        <v/>
      </c>
      <c r="C2286" s="14">
        <f>IF('06_建筑锚点'!A286&lt;&gt;"","06_建筑锚点","")</f>
        <v/>
      </c>
      <c r="D2286" s="14">
        <f>IF('06_建筑锚点'!A286&lt;&gt;"",'06_建筑锚点'!A286,"")</f>
        <v/>
      </c>
      <c r="E2286" s="14">
        <f>IF(F2286&lt;&gt;"","综合校验","")</f>
        <v/>
      </c>
      <c r="F2286" s="14">
        <f>IF('06_建筑锚点'!A286&lt;&gt;"",IF('06_建筑锚点'!A286="","缺少建筑ID；","")&amp;IF('06_建筑锚点'!B286="","缺少建筑名称；","")&amp;IF('06_建筑锚点'!C286="","缺少建筑类型；","")&amp;IF('06_建筑锚点'!D286="","缺少所属地点ID；","")&amp;IF('06_建筑锚点'!F286="","缺少世界X；","")&amp;IF('06_建筑锚点'!G286="","缺少世界Y；","")&amp;IF(AND('06_建筑锚点'!F286&lt;&gt;"",OR('06_建筑锚点'!F286&lt;0,'06_建筑锚点'!F286&gt;WorldWidth)),"世界X越界；","")&amp;IF(AND('06_建筑锚点'!G286&lt;&gt;"",OR('06_建筑锚点'!G286&lt;0,'06_建筑锚点'!G286&gt;WorldHeight)),"世界Y越界；","")&amp;IF(AND('06_建筑锚点'!D286&lt;&gt;"",COUNTIF('03_地点锚点'!$A$2:$A$501,'06_建筑锚点'!D286)=0),"建筑所属地点不存在；","")&amp;IF(AND('06_建筑锚点'!T286&lt;&gt;"",COUNTIF('07_动态状态'!$A$2:$A$501,'06_建筑锚点'!T286)=0),"运营状态编码不存在；","")&amp;IF(AND('06_建筑锚点'!A286&lt;&gt;"",COUNTIF('06_建筑锚点'!$A$2:$A$501,'06_建筑锚点'!A286)&gt;1),"ID重复；",""),"")</f>
        <v/>
      </c>
      <c r="G2286" s="14">
        <f>IF(F2286&lt;&gt;"","按字段批注、数据字典和来源记录修正后复核","")</f>
        <v/>
      </c>
      <c r="H2286" s="14">
        <f>IF(F2286&lt;&gt;"","待处理","")</f>
        <v/>
      </c>
    </row>
    <row r="2287">
      <c r="A2287" s="14">
        <f>IF(F2287&lt;&gt;"","ISSUE-"&amp;TEXT(ROW()-1,"00000"),"")</f>
        <v/>
      </c>
      <c r="B2287" s="14">
        <f>IF(F2287&lt;&gt;"","错误","")</f>
        <v/>
      </c>
      <c r="C2287" s="14">
        <f>IF('06_建筑锚点'!A287&lt;&gt;"","06_建筑锚点","")</f>
        <v/>
      </c>
      <c r="D2287" s="14">
        <f>IF('06_建筑锚点'!A287&lt;&gt;"",'06_建筑锚点'!A287,"")</f>
        <v/>
      </c>
      <c r="E2287" s="14">
        <f>IF(F2287&lt;&gt;"","综合校验","")</f>
        <v/>
      </c>
      <c r="F2287" s="14">
        <f>IF('06_建筑锚点'!A287&lt;&gt;"",IF('06_建筑锚点'!A287="","缺少建筑ID；","")&amp;IF('06_建筑锚点'!B287="","缺少建筑名称；","")&amp;IF('06_建筑锚点'!C287="","缺少建筑类型；","")&amp;IF('06_建筑锚点'!D287="","缺少所属地点ID；","")&amp;IF('06_建筑锚点'!F287="","缺少世界X；","")&amp;IF('06_建筑锚点'!G287="","缺少世界Y；","")&amp;IF(AND('06_建筑锚点'!F287&lt;&gt;"",OR('06_建筑锚点'!F287&lt;0,'06_建筑锚点'!F287&gt;WorldWidth)),"世界X越界；","")&amp;IF(AND('06_建筑锚点'!G287&lt;&gt;"",OR('06_建筑锚点'!G287&lt;0,'06_建筑锚点'!G287&gt;WorldHeight)),"世界Y越界；","")&amp;IF(AND('06_建筑锚点'!D287&lt;&gt;"",COUNTIF('03_地点锚点'!$A$2:$A$501,'06_建筑锚点'!D287)=0),"建筑所属地点不存在；","")&amp;IF(AND('06_建筑锚点'!T287&lt;&gt;"",COUNTIF('07_动态状态'!$A$2:$A$501,'06_建筑锚点'!T287)=0),"运营状态编码不存在；","")&amp;IF(AND('06_建筑锚点'!A287&lt;&gt;"",COUNTIF('06_建筑锚点'!$A$2:$A$501,'06_建筑锚点'!A287)&gt;1),"ID重复；",""),"")</f>
        <v/>
      </c>
      <c r="G2287" s="14">
        <f>IF(F2287&lt;&gt;"","按字段批注、数据字典和来源记录修正后复核","")</f>
        <v/>
      </c>
      <c r="H2287" s="14">
        <f>IF(F2287&lt;&gt;"","待处理","")</f>
        <v/>
      </c>
    </row>
    <row r="2288">
      <c r="A2288" s="14">
        <f>IF(F2288&lt;&gt;"","ISSUE-"&amp;TEXT(ROW()-1,"00000"),"")</f>
        <v/>
      </c>
      <c r="B2288" s="14">
        <f>IF(F2288&lt;&gt;"","错误","")</f>
        <v/>
      </c>
      <c r="C2288" s="14">
        <f>IF('06_建筑锚点'!A288&lt;&gt;"","06_建筑锚点","")</f>
        <v/>
      </c>
      <c r="D2288" s="14">
        <f>IF('06_建筑锚点'!A288&lt;&gt;"",'06_建筑锚点'!A288,"")</f>
        <v/>
      </c>
      <c r="E2288" s="14">
        <f>IF(F2288&lt;&gt;"","综合校验","")</f>
        <v/>
      </c>
      <c r="F2288" s="14">
        <f>IF('06_建筑锚点'!A288&lt;&gt;"",IF('06_建筑锚点'!A288="","缺少建筑ID；","")&amp;IF('06_建筑锚点'!B288="","缺少建筑名称；","")&amp;IF('06_建筑锚点'!C288="","缺少建筑类型；","")&amp;IF('06_建筑锚点'!D288="","缺少所属地点ID；","")&amp;IF('06_建筑锚点'!F288="","缺少世界X；","")&amp;IF('06_建筑锚点'!G288="","缺少世界Y；","")&amp;IF(AND('06_建筑锚点'!F288&lt;&gt;"",OR('06_建筑锚点'!F288&lt;0,'06_建筑锚点'!F288&gt;WorldWidth)),"世界X越界；","")&amp;IF(AND('06_建筑锚点'!G288&lt;&gt;"",OR('06_建筑锚点'!G288&lt;0,'06_建筑锚点'!G288&gt;WorldHeight)),"世界Y越界；","")&amp;IF(AND('06_建筑锚点'!D288&lt;&gt;"",COUNTIF('03_地点锚点'!$A$2:$A$501,'06_建筑锚点'!D288)=0),"建筑所属地点不存在；","")&amp;IF(AND('06_建筑锚点'!T288&lt;&gt;"",COUNTIF('07_动态状态'!$A$2:$A$501,'06_建筑锚点'!T288)=0),"运营状态编码不存在；","")&amp;IF(AND('06_建筑锚点'!A288&lt;&gt;"",COUNTIF('06_建筑锚点'!$A$2:$A$501,'06_建筑锚点'!A288)&gt;1),"ID重复；",""),"")</f>
        <v/>
      </c>
      <c r="G2288" s="14">
        <f>IF(F2288&lt;&gt;"","按字段批注、数据字典和来源记录修正后复核","")</f>
        <v/>
      </c>
      <c r="H2288" s="14">
        <f>IF(F2288&lt;&gt;"","待处理","")</f>
        <v/>
      </c>
    </row>
    <row r="2289">
      <c r="A2289" s="14">
        <f>IF(F2289&lt;&gt;"","ISSUE-"&amp;TEXT(ROW()-1,"00000"),"")</f>
        <v/>
      </c>
      <c r="B2289" s="14">
        <f>IF(F2289&lt;&gt;"","错误","")</f>
        <v/>
      </c>
      <c r="C2289" s="14">
        <f>IF('06_建筑锚点'!A289&lt;&gt;"","06_建筑锚点","")</f>
        <v/>
      </c>
      <c r="D2289" s="14">
        <f>IF('06_建筑锚点'!A289&lt;&gt;"",'06_建筑锚点'!A289,"")</f>
        <v/>
      </c>
      <c r="E2289" s="14">
        <f>IF(F2289&lt;&gt;"","综合校验","")</f>
        <v/>
      </c>
      <c r="F2289" s="14">
        <f>IF('06_建筑锚点'!A289&lt;&gt;"",IF('06_建筑锚点'!A289="","缺少建筑ID；","")&amp;IF('06_建筑锚点'!B289="","缺少建筑名称；","")&amp;IF('06_建筑锚点'!C289="","缺少建筑类型；","")&amp;IF('06_建筑锚点'!D289="","缺少所属地点ID；","")&amp;IF('06_建筑锚点'!F289="","缺少世界X；","")&amp;IF('06_建筑锚点'!G289="","缺少世界Y；","")&amp;IF(AND('06_建筑锚点'!F289&lt;&gt;"",OR('06_建筑锚点'!F289&lt;0,'06_建筑锚点'!F289&gt;WorldWidth)),"世界X越界；","")&amp;IF(AND('06_建筑锚点'!G289&lt;&gt;"",OR('06_建筑锚点'!G289&lt;0,'06_建筑锚点'!G289&gt;WorldHeight)),"世界Y越界；","")&amp;IF(AND('06_建筑锚点'!D289&lt;&gt;"",COUNTIF('03_地点锚点'!$A$2:$A$501,'06_建筑锚点'!D289)=0),"建筑所属地点不存在；","")&amp;IF(AND('06_建筑锚点'!T289&lt;&gt;"",COUNTIF('07_动态状态'!$A$2:$A$501,'06_建筑锚点'!T289)=0),"运营状态编码不存在；","")&amp;IF(AND('06_建筑锚点'!A289&lt;&gt;"",COUNTIF('06_建筑锚点'!$A$2:$A$501,'06_建筑锚点'!A289)&gt;1),"ID重复；",""),"")</f>
        <v/>
      </c>
      <c r="G2289" s="14">
        <f>IF(F2289&lt;&gt;"","按字段批注、数据字典和来源记录修正后复核","")</f>
        <v/>
      </c>
      <c r="H2289" s="14">
        <f>IF(F2289&lt;&gt;"","待处理","")</f>
        <v/>
      </c>
    </row>
    <row r="2290">
      <c r="A2290" s="14">
        <f>IF(F2290&lt;&gt;"","ISSUE-"&amp;TEXT(ROW()-1,"00000"),"")</f>
        <v/>
      </c>
      <c r="B2290" s="14">
        <f>IF(F2290&lt;&gt;"","错误","")</f>
        <v/>
      </c>
      <c r="C2290" s="14">
        <f>IF('06_建筑锚点'!A290&lt;&gt;"","06_建筑锚点","")</f>
        <v/>
      </c>
      <c r="D2290" s="14">
        <f>IF('06_建筑锚点'!A290&lt;&gt;"",'06_建筑锚点'!A290,"")</f>
        <v/>
      </c>
      <c r="E2290" s="14">
        <f>IF(F2290&lt;&gt;"","综合校验","")</f>
        <v/>
      </c>
      <c r="F2290" s="14">
        <f>IF('06_建筑锚点'!A290&lt;&gt;"",IF('06_建筑锚点'!A290="","缺少建筑ID；","")&amp;IF('06_建筑锚点'!B290="","缺少建筑名称；","")&amp;IF('06_建筑锚点'!C290="","缺少建筑类型；","")&amp;IF('06_建筑锚点'!D290="","缺少所属地点ID；","")&amp;IF('06_建筑锚点'!F290="","缺少世界X；","")&amp;IF('06_建筑锚点'!G290="","缺少世界Y；","")&amp;IF(AND('06_建筑锚点'!F290&lt;&gt;"",OR('06_建筑锚点'!F290&lt;0,'06_建筑锚点'!F290&gt;WorldWidth)),"世界X越界；","")&amp;IF(AND('06_建筑锚点'!G290&lt;&gt;"",OR('06_建筑锚点'!G290&lt;0,'06_建筑锚点'!G290&gt;WorldHeight)),"世界Y越界；","")&amp;IF(AND('06_建筑锚点'!D290&lt;&gt;"",COUNTIF('03_地点锚点'!$A$2:$A$501,'06_建筑锚点'!D290)=0),"建筑所属地点不存在；","")&amp;IF(AND('06_建筑锚点'!T290&lt;&gt;"",COUNTIF('07_动态状态'!$A$2:$A$501,'06_建筑锚点'!T290)=0),"运营状态编码不存在；","")&amp;IF(AND('06_建筑锚点'!A290&lt;&gt;"",COUNTIF('06_建筑锚点'!$A$2:$A$501,'06_建筑锚点'!A290)&gt;1),"ID重复；",""),"")</f>
        <v/>
      </c>
      <c r="G2290" s="14">
        <f>IF(F2290&lt;&gt;"","按字段批注、数据字典和来源记录修正后复核","")</f>
        <v/>
      </c>
      <c r="H2290" s="14">
        <f>IF(F2290&lt;&gt;"","待处理","")</f>
        <v/>
      </c>
    </row>
    <row r="2291">
      <c r="A2291" s="14">
        <f>IF(F2291&lt;&gt;"","ISSUE-"&amp;TEXT(ROW()-1,"00000"),"")</f>
        <v/>
      </c>
      <c r="B2291" s="14">
        <f>IF(F2291&lt;&gt;"","错误","")</f>
        <v/>
      </c>
      <c r="C2291" s="14">
        <f>IF('06_建筑锚点'!A291&lt;&gt;"","06_建筑锚点","")</f>
        <v/>
      </c>
      <c r="D2291" s="14">
        <f>IF('06_建筑锚点'!A291&lt;&gt;"",'06_建筑锚点'!A291,"")</f>
        <v/>
      </c>
      <c r="E2291" s="14">
        <f>IF(F2291&lt;&gt;"","综合校验","")</f>
        <v/>
      </c>
      <c r="F2291" s="14">
        <f>IF('06_建筑锚点'!A291&lt;&gt;"",IF('06_建筑锚点'!A291="","缺少建筑ID；","")&amp;IF('06_建筑锚点'!B291="","缺少建筑名称；","")&amp;IF('06_建筑锚点'!C291="","缺少建筑类型；","")&amp;IF('06_建筑锚点'!D291="","缺少所属地点ID；","")&amp;IF('06_建筑锚点'!F291="","缺少世界X；","")&amp;IF('06_建筑锚点'!G291="","缺少世界Y；","")&amp;IF(AND('06_建筑锚点'!F291&lt;&gt;"",OR('06_建筑锚点'!F291&lt;0,'06_建筑锚点'!F291&gt;WorldWidth)),"世界X越界；","")&amp;IF(AND('06_建筑锚点'!G291&lt;&gt;"",OR('06_建筑锚点'!G291&lt;0,'06_建筑锚点'!G291&gt;WorldHeight)),"世界Y越界；","")&amp;IF(AND('06_建筑锚点'!D291&lt;&gt;"",COUNTIF('03_地点锚点'!$A$2:$A$501,'06_建筑锚点'!D291)=0),"建筑所属地点不存在；","")&amp;IF(AND('06_建筑锚点'!T291&lt;&gt;"",COUNTIF('07_动态状态'!$A$2:$A$501,'06_建筑锚点'!T291)=0),"运营状态编码不存在；","")&amp;IF(AND('06_建筑锚点'!A291&lt;&gt;"",COUNTIF('06_建筑锚点'!$A$2:$A$501,'06_建筑锚点'!A291)&gt;1),"ID重复；",""),"")</f>
        <v/>
      </c>
      <c r="G2291" s="14">
        <f>IF(F2291&lt;&gt;"","按字段批注、数据字典和来源记录修正后复核","")</f>
        <v/>
      </c>
      <c r="H2291" s="14">
        <f>IF(F2291&lt;&gt;"","待处理","")</f>
        <v/>
      </c>
    </row>
    <row r="2292">
      <c r="A2292" s="14">
        <f>IF(F2292&lt;&gt;"","ISSUE-"&amp;TEXT(ROW()-1,"00000"),"")</f>
        <v/>
      </c>
      <c r="B2292" s="14">
        <f>IF(F2292&lt;&gt;"","错误","")</f>
        <v/>
      </c>
      <c r="C2292" s="14">
        <f>IF('06_建筑锚点'!A292&lt;&gt;"","06_建筑锚点","")</f>
        <v/>
      </c>
      <c r="D2292" s="14">
        <f>IF('06_建筑锚点'!A292&lt;&gt;"",'06_建筑锚点'!A292,"")</f>
        <v/>
      </c>
      <c r="E2292" s="14">
        <f>IF(F2292&lt;&gt;"","综合校验","")</f>
        <v/>
      </c>
      <c r="F2292" s="14">
        <f>IF('06_建筑锚点'!A292&lt;&gt;"",IF('06_建筑锚点'!A292="","缺少建筑ID；","")&amp;IF('06_建筑锚点'!B292="","缺少建筑名称；","")&amp;IF('06_建筑锚点'!C292="","缺少建筑类型；","")&amp;IF('06_建筑锚点'!D292="","缺少所属地点ID；","")&amp;IF('06_建筑锚点'!F292="","缺少世界X；","")&amp;IF('06_建筑锚点'!G292="","缺少世界Y；","")&amp;IF(AND('06_建筑锚点'!F292&lt;&gt;"",OR('06_建筑锚点'!F292&lt;0,'06_建筑锚点'!F292&gt;WorldWidth)),"世界X越界；","")&amp;IF(AND('06_建筑锚点'!G292&lt;&gt;"",OR('06_建筑锚点'!G292&lt;0,'06_建筑锚点'!G292&gt;WorldHeight)),"世界Y越界；","")&amp;IF(AND('06_建筑锚点'!D292&lt;&gt;"",COUNTIF('03_地点锚点'!$A$2:$A$501,'06_建筑锚点'!D292)=0),"建筑所属地点不存在；","")&amp;IF(AND('06_建筑锚点'!T292&lt;&gt;"",COUNTIF('07_动态状态'!$A$2:$A$501,'06_建筑锚点'!T292)=0),"运营状态编码不存在；","")&amp;IF(AND('06_建筑锚点'!A292&lt;&gt;"",COUNTIF('06_建筑锚点'!$A$2:$A$501,'06_建筑锚点'!A292)&gt;1),"ID重复；",""),"")</f>
        <v/>
      </c>
      <c r="G2292" s="14">
        <f>IF(F2292&lt;&gt;"","按字段批注、数据字典和来源记录修正后复核","")</f>
        <v/>
      </c>
      <c r="H2292" s="14">
        <f>IF(F2292&lt;&gt;"","待处理","")</f>
        <v/>
      </c>
    </row>
    <row r="2293">
      <c r="A2293" s="14">
        <f>IF(F2293&lt;&gt;"","ISSUE-"&amp;TEXT(ROW()-1,"00000"),"")</f>
        <v/>
      </c>
      <c r="B2293" s="14">
        <f>IF(F2293&lt;&gt;"","错误","")</f>
        <v/>
      </c>
      <c r="C2293" s="14">
        <f>IF('06_建筑锚点'!A293&lt;&gt;"","06_建筑锚点","")</f>
        <v/>
      </c>
      <c r="D2293" s="14">
        <f>IF('06_建筑锚点'!A293&lt;&gt;"",'06_建筑锚点'!A293,"")</f>
        <v/>
      </c>
      <c r="E2293" s="14">
        <f>IF(F2293&lt;&gt;"","综合校验","")</f>
        <v/>
      </c>
      <c r="F2293" s="14">
        <f>IF('06_建筑锚点'!A293&lt;&gt;"",IF('06_建筑锚点'!A293="","缺少建筑ID；","")&amp;IF('06_建筑锚点'!B293="","缺少建筑名称；","")&amp;IF('06_建筑锚点'!C293="","缺少建筑类型；","")&amp;IF('06_建筑锚点'!D293="","缺少所属地点ID；","")&amp;IF('06_建筑锚点'!F293="","缺少世界X；","")&amp;IF('06_建筑锚点'!G293="","缺少世界Y；","")&amp;IF(AND('06_建筑锚点'!F293&lt;&gt;"",OR('06_建筑锚点'!F293&lt;0,'06_建筑锚点'!F293&gt;WorldWidth)),"世界X越界；","")&amp;IF(AND('06_建筑锚点'!G293&lt;&gt;"",OR('06_建筑锚点'!G293&lt;0,'06_建筑锚点'!G293&gt;WorldHeight)),"世界Y越界；","")&amp;IF(AND('06_建筑锚点'!D293&lt;&gt;"",COUNTIF('03_地点锚点'!$A$2:$A$501,'06_建筑锚点'!D293)=0),"建筑所属地点不存在；","")&amp;IF(AND('06_建筑锚点'!T293&lt;&gt;"",COUNTIF('07_动态状态'!$A$2:$A$501,'06_建筑锚点'!T293)=0),"运营状态编码不存在；","")&amp;IF(AND('06_建筑锚点'!A293&lt;&gt;"",COUNTIF('06_建筑锚点'!$A$2:$A$501,'06_建筑锚点'!A293)&gt;1),"ID重复；",""),"")</f>
        <v/>
      </c>
      <c r="G2293" s="14">
        <f>IF(F2293&lt;&gt;"","按字段批注、数据字典和来源记录修正后复核","")</f>
        <v/>
      </c>
      <c r="H2293" s="14">
        <f>IF(F2293&lt;&gt;"","待处理","")</f>
        <v/>
      </c>
    </row>
    <row r="2294">
      <c r="A2294" s="14">
        <f>IF(F2294&lt;&gt;"","ISSUE-"&amp;TEXT(ROW()-1,"00000"),"")</f>
        <v/>
      </c>
      <c r="B2294" s="14">
        <f>IF(F2294&lt;&gt;"","错误","")</f>
        <v/>
      </c>
      <c r="C2294" s="14">
        <f>IF('06_建筑锚点'!A294&lt;&gt;"","06_建筑锚点","")</f>
        <v/>
      </c>
      <c r="D2294" s="14">
        <f>IF('06_建筑锚点'!A294&lt;&gt;"",'06_建筑锚点'!A294,"")</f>
        <v/>
      </c>
      <c r="E2294" s="14">
        <f>IF(F2294&lt;&gt;"","综合校验","")</f>
        <v/>
      </c>
      <c r="F2294" s="14">
        <f>IF('06_建筑锚点'!A294&lt;&gt;"",IF('06_建筑锚点'!A294="","缺少建筑ID；","")&amp;IF('06_建筑锚点'!B294="","缺少建筑名称；","")&amp;IF('06_建筑锚点'!C294="","缺少建筑类型；","")&amp;IF('06_建筑锚点'!D294="","缺少所属地点ID；","")&amp;IF('06_建筑锚点'!F294="","缺少世界X；","")&amp;IF('06_建筑锚点'!G294="","缺少世界Y；","")&amp;IF(AND('06_建筑锚点'!F294&lt;&gt;"",OR('06_建筑锚点'!F294&lt;0,'06_建筑锚点'!F294&gt;WorldWidth)),"世界X越界；","")&amp;IF(AND('06_建筑锚点'!G294&lt;&gt;"",OR('06_建筑锚点'!G294&lt;0,'06_建筑锚点'!G294&gt;WorldHeight)),"世界Y越界；","")&amp;IF(AND('06_建筑锚点'!D294&lt;&gt;"",COUNTIF('03_地点锚点'!$A$2:$A$501,'06_建筑锚点'!D294)=0),"建筑所属地点不存在；","")&amp;IF(AND('06_建筑锚点'!T294&lt;&gt;"",COUNTIF('07_动态状态'!$A$2:$A$501,'06_建筑锚点'!T294)=0),"运营状态编码不存在；","")&amp;IF(AND('06_建筑锚点'!A294&lt;&gt;"",COUNTIF('06_建筑锚点'!$A$2:$A$501,'06_建筑锚点'!A294)&gt;1),"ID重复；",""),"")</f>
        <v/>
      </c>
      <c r="G2294" s="14">
        <f>IF(F2294&lt;&gt;"","按字段批注、数据字典和来源记录修正后复核","")</f>
        <v/>
      </c>
      <c r="H2294" s="14">
        <f>IF(F2294&lt;&gt;"","待处理","")</f>
        <v/>
      </c>
    </row>
    <row r="2295">
      <c r="A2295" s="14">
        <f>IF(F2295&lt;&gt;"","ISSUE-"&amp;TEXT(ROW()-1,"00000"),"")</f>
        <v/>
      </c>
      <c r="B2295" s="14">
        <f>IF(F2295&lt;&gt;"","错误","")</f>
        <v/>
      </c>
      <c r="C2295" s="14">
        <f>IF('06_建筑锚点'!A295&lt;&gt;"","06_建筑锚点","")</f>
        <v/>
      </c>
      <c r="D2295" s="14">
        <f>IF('06_建筑锚点'!A295&lt;&gt;"",'06_建筑锚点'!A295,"")</f>
        <v/>
      </c>
      <c r="E2295" s="14">
        <f>IF(F2295&lt;&gt;"","综合校验","")</f>
        <v/>
      </c>
      <c r="F2295" s="14">
        <f>IF('06_建筑锚点'!A295&lt;&gt;"",IF('06_建筑锚点'!A295="","缺少建筑ID；","")&amp;IF('06_建筑锚点'!B295="","缺少建筑名称；","")&amp;IF('06_建筑锚点'!C295="","缺少建筑类型；","")&amp;IF('06_建筑锚点'!D295="","缺少所属地点ID；","")&amp;IF('06_建筑锚点'!F295="","缺少世界X；","")&amp;IF('06_建筑锚点'!G295="","缺少世界Y；","")&amp;IF(AND('06_建筑锚点'!F295&lt;&gt;"",OR('06_建筑锚点'!F295&lt;0,'06_建筑锚点'!F295&gt;WorldWidth)),"世界X越界；","")&amp;IF(AND('06_建筑锚点'!G295&lt;&gt;"",OR('06_建筑锚点'!G295&lt;0,'06_建筑锚点'!G295&gt;WorldHeight)),"世界Y越界；","")&amp;IF(AND('06_建筑锚点'!D295&lt;&gt;"",COUNTIF('03_地点锚点'!$A$2:$A$501,'06_建筑锚点'!D295)=0),"建筑所属地点不存在；","")&amp;IF(AND('06_建筑锚点'!T295&lt;&gt;"",COUNTIF('07_动态状态'!$A$2:$A$501,'06_建筑锚点'!T295)=0),"运营状态编码不存在；","")&amp;IF(AND('06_建筑锚点'!A295&lt;&gt;"",COUNTIF('06_建筑锚点'!$A$2:$A$501,'06_建筑锚点'!A295)&gt;1),"ID重复；",""),"")</f>
        <v/>
      </c>
      <c r="G2295" s="14">
        <f>IF(F2295&lt;&gt;"","按字段批注、数据字典和来源记录修正后复核","")</f>
        <v/>
      </c>
      <c r="H2295" s="14">
        <f>IF(F2295&lt;&gt;"","待处理","")</f>
        <v/>
      </c>
    </row>
    <row r="2296">
      <c r="A2296" s="14">
        <f>IF(F2296&lt;&gt;"","ISSUE-"&amp;TEXT(ROW()-1,"00000"),"")</f>
        <v/>
      </c>
      <c r="B2296" s="14">
        <f>IF(F2296&lt;&gt;"","错误","")</f>
        <v/>
      </c>
      <c r="C2296" s="14">
        <f>IF('06_建筑锚点'!A296&lt;&gt;"","06_建筑锚点","")</f>
        <v/>
      </c>
      <c r="D2296" s="14">
        <f>IF('06_建筑锚点'!A296&lt;&gt;"",'06_建筑锚点'!A296,"")</f>
        <v/>
      </c>
      <c r="E2296" s="14">
        <f>IF(F2296&lt;&gt;"","综合校验","")</f>
        <v/>
      </c>
      <c r="F2296" s="14">
        <f>IF('06_建筑锚点'!A296&lt;&gt;"",IF('06_建筑锚点'!A296="","缺少建筑ID；","")&amp;IF('06_建筑锚点'!B296="","缺少建筑名称；","")&amp;IF('06_建筑锚点'!C296="","缺少建筑类型；","")&amp;IF('06_建筑锚点'!D296="","缺少所属地点ID；","")&amp;IF('06_建筑锚点'!F296="","缺少世界X；","")&amp;IF('06_建筑锚点'!G296="","缺少世界Y；","")&amp;IF(AND('06_建筑锚点'!F296&lt;&gt;"",OR('06_建筑锚点'!F296&lt;0,'06_建筑锚点'!F296&gt;WorldWidth)),"世界X越界；","")&amp;IF(AND('06_建筑锚点'!G296&lt;&gt;"",OR('06_建筑锚点'!G296&lt;0,'06_建筑锚点'!G296&gt;WorldHeight)),"世界Y越界；","")&amp;IF(AND('06_建筑锚点'!D296&lt;&gt;"",COUNTIF('03_地点锚点'!$A$2:$A$501,'06_建筑锚点'!D296)=0),"建筑所属地点不存在；","")&amp;IF(AND('06_建筑锚点'!T296&lt;&gt;"",COUNTIF('07_动态状态'!$A$2:$A$501,'06_建筑锚点'!T296)=0),"运营状态编码不存在；","")&amp;IF(AND('06_建筑锚点'!A296&lt;&gt;"",COUNTIF('06_建筑锚点'!$A$2:$A$501,'06_建筑锚点'!A296)&gt;1),"ID重复；",""),"")</f>
        <v/>
      </c>
      <c r="G2296" s="14">
        <f>IF(F2296&lt;&gt;"","按字段批注、数据字典和来源记录修正后复核","")</f>
        <v/>
      </c>
      <c r="H2296" s="14">
        <f>IF(F2296&lt;&gt;"","待处理","")</f>
        <v/>
      </c>
    </row>
    <row r="2297">
      <c r="A2297" s="14">
        <f>IF(F2297&lt;&gt;"","ISSUE-"&amp;TEXT(ROW()-1,"00000"),"")</f>
        <v/>
      </c>
      <c r="B2297" s="14">
        <f>IF(F2297&lt;&gt;"","错误","")</f>
        <v/>
      </c>
      <c r="C2297" s="14">
        <f>IF('06_建筑锚点'!A297&lt;&gt;"","06_建筑锚点","")</f>
        <v/>
      </c>
      <c r="D2297" s="14">
        <f>IF('06_建筑锚点'!A297&lt;&gt;"",'06_建筑锚点'!A297,"")</f>
        <v/>
      </c>
      <c r="E2297" s="14">
        <f>IF(F2297&lt;&gt;"","综合校验","")</f>
        <v/>
      </c>
      <c r="F2297" s="14">
        <f>IF('06_建筑锚点'!A297&lt;&gt;"",IF('06_建筑锚点'!A297="","缺少建筑ID；","")&amp;IF('06_建筑锚点'!B297="","缺少建筑名称；","")&amp;IF('06_建筑锚点'!C297="","缺少建筑类型；","")&amp;IF('06_建筑锚点'!D297="","缺少所属地点ID；","")&amp;IF('06_建筑锚点'!F297="","缺少世界X；","")&amp;IF('06_建筑锚点'!G297="","缺少世界Y；","")&amp;IF(AND('06_建筑锚点'!F297&lt;&gt;"",OR('06_建筑锚点'!F297&lt;0,'06_建筑锚点'!F297&gt;WorldWidth)),"世界X越界；","")&amp;IF(AND('06_建筑锚点'!G297&lt;&gt;"",OR('06_建筑锚点'!G297&lt;0,'06_建筑锚点'!G297&gt;WorldHeight)),"世界Y越界；","")&amp;IF(AND('06_建筑锚点'!D297&lt;&gt;"",COUNTIF('03_地点锚点'!$A$2:$A$501,'06_建筑锚点'!D297)=0),"建筑所属地点不存在；","")&amp;IF(AND('06_建筑锚点'!T297&lt;&gt;"",COUNTIF('07_动态状态'!$A$2:$A$501,'06_建筑锚点'!T297)=0),"运营状态编码不存在；","")&amp;IF(AND('06_建筑锚点'!A297&lt;&gt;"",COUNTIF('06_建筑锚点'!$A$2:$A$501,'06_建筑锚点'!A297)&gt;1),"ID重复；",""),"")</f>
        <v/>
      </c>
      <c r="G2297" s="14">
        <f>IF(F2297&lt;&gt;"","按字段批注、数据字典和来源记录修正后复核","")</f>
        <v/>
      </c>
      <c r="H2297" s="14">
        <f>IF(F2297&lt;&gt;"","待处理","")</f>
        <v/>
      </c>
    </row>
    <row r="2298">
      <c r="A2298" s="14">
        <f>IF(F2298&lt;&gt;"","ISSUE-"&amp;TEXT(ROW()-1,"00000"),"")</f>
        <v/>
      </c>
      <c r="B2298" s="14">
        <f>IF(F2298&lt;&gt;"","错误","")</f>
        <v/>
      </c>
      <c r="C2298" s="14">
        <f>IF('06_建筑锚点'!A298&lt;&gt;"","06_建筑锚点","")</f>
        <v/>
      </c>
      <c r="D2298" s="14">
        <f>IF('06_建筑锚点'!A298&lt;&gt;"",'06_建筑锚点'!A298,"")</f>
        <v/>
      </c>
      <c r="E2298" s="14">
        <f>IF(F2298&lt;&gt;"","综合校验","")</f>
        <v/>
      </c>
      <c r="F2298" s="14">
        <f>IF('06_建筑锚点'!A298&lt;&gt;"",IF('06_建筑锚点'!A298="","缺少建筑ID；","")&amp;IF('06_建筑锚点'!B298="","缺少建筑名称；","")&amp;IF('06_建筑锚点'!C298="","缺少建筑类型；","")&amp;IF('06_建筑锚点'!D298="","缺少所属地点ID；","")&amp;IF('06_建筑锚点'!F298="","缺少世界X；","")&amp;IF('06_建筑锚点'!G298="","缺少世界Y；","")&amp;IF(AND('06_建筑锚点'!F298&lt;&gt;"",OR('06_建筑锚点'!F298&lt;0,'06_建筑锚点'!F298&gt;WorldWidth)),"世界X越界；","")&amp;IF(AND('06_建筑锚点'!G298&lt;&gt;"",OR('06_建筑锚点'!G298&lt;0,'06_建筑锚点'!G298&gt;WorldHeight)),"世界Y越界；","")&amp;IF(AND('06_建筑锚点'!D298&lt;&gt;"",COUNTIF('03_地点锚点'!$A$2:$A$501,'06_建筑锚点'!D298)=0),"建筑所属地点不存在；","")&amp;IF(AND('06_建筑锚点'!T298&lt;&gt;"",COUNTIF('07_动态状态'!$A$2:$A$501,'06_建筑锚点'!T298)=0),"运营状态编码不存在；","")&amp;IF(AND('06_建筑锚点'!A298&lt;&gt;"",COUNTIF('06_建筑锚点'!$A$2:$A$501,'06_建筑锚点'!A298)&gt;1),"ID重复；",""),"")</f>
        <v/>
      </c>
      <c r="G2298" s="14">
        <f>IF(F2298&lt;&gt;"","按字段批注、数据字典和来源记录修正后复核","")</f>
        <v/>
      </c>
      <c r="H2298" s="14">
        <f>IF(F2298&lt;&gt;"","待处理","")</f>
        <v/>
      </c>
    </row>
    <row r="2299">
      <c r="A2299" s="14">
        <f>IF(F2299&lt;&gt;"","ISSUE-"&amp;TEXT(ROW()-1,"00000"),"")</f>
        <v/>
      </c>
      <c r="B2299" s="14">
        <f>IF(F2299&lt;&gt;"","错误","")</f>
        <v/>
      </c>
      <c r="C2299" s="14">
        <f>IF('06_建筑锚点'!A299&lt;&gt;"","06_建筑锚点","")</f>
        <v/>
      </c>
      <c r="D2299" s="14">
        <f>IF('06_建筑锚点'!A299&lt;&gt;"",'06_建筑锚点'!A299,"")</f>
        <v/>
      </c>
      <c r="E2299" s="14">
        <f>IF(F2299&lt;&gt;"","综合校验","")</f>
        <v/>
      </c>
      <c r="F2299" s="14">
        <f>IF('06_建筑锚点'!A299&lt;&gt;"",IF('06_建筑锚点'!A299="","缺少建筑ID；","")&amp;IF('06_建筑锚点'!B299="","缺少建筑名称；","")&amp;IF('06_建筑锚点'!C299="","缺少建筑类型；","")&amp;IF('06_建筑锚点'!D299="","缺少所属地点ID；","")&amp;IF('06_建筑锚点'!F299="","缺少世界X；","")&amp;IF('06_建筑锚点'!G299="","缺少世界Y；","")&amp;IF(AND('06_建筑锚点'!F299&lt;&gt;"",OR('06_建筑锚点'!F299&lt;0,'06_建筑锚点'!F299&gt;WorldWidth)),"世界X越界；","")&amp;IF(AND('06_建筑锚点'!G299&lt;&gt;"",OR('06_建筑锚点'!G299&lt;0,'06_建筑锚点'!G299&gt;WorldHeight)),"世界Y越界；","")&amp;IF(AND('06_建筑锚点'!D299&lt;&gt;"",COUNTIF('03_地点锚点'!$A$2:$A$501,'06_建筑锚点'!D299)=0),"建筑所属地点不存在；","")&amp;IF(AND('06_建筑锚点'!T299&lt;&gt;"",COUNTIF('07_动态状态'!$A$2:$A$501,'06_建筑锚点'!T299)=0),"运营状态编码不存在；","")&amp;IF(AND('06_建筑锚点'!A299&lt;&gt;"",COUNTIF('06_建筑锚点'!$A$2:$A$501,'06_建筑锚点'!A299)&gt;1),"ID重复；",""),"")</f>
        <v/>
      </c>
      <c r="G2299" s="14">
        <f>IF(F2299&lt;&gt;"","按字段批注、数据字典和来源记录修正后复核","")</f>
        <v/>
      </c>
      <c r="H2299" s="14">
        <f>IF(F2299&lt;&gt;"","待处理","")</f>
        <v/>
      </c>
    </row>
    <row r="2300">
      <c r="A2300" s="14">
        <f>IF(F2300&lt;&gt;"","ISSUE-"&amp;TEXT(ROW()-1,"00000"),"")</f>
        <v/>
      </c>
      <c r="B2300" s="14">
        <f>IF(F2300&lt;&gt;"","错误","")</f>
        <v/>
      </c>
      <c r="C2300" s="14">
        <f>IF('06_建筑锚点'!A300&lt;&gt;"","06_建筑锚点","")</f>
        <v/>
      </c>
      <c r="D2300" s="14">
        <f>IF('06_建筑锚点'!A300&lt;&gt;"",'06_建筑锚点'!A300,"")</f>
        <v/>
      </c>
      <c r="E2300" s="14">
        <f>IF(F2300&lt;&gt;"","综合校验","")</f>
        <v/>
      </c>
      <c r="F2300" s="14">
        <f>IF('06_建筑锚点'!A300&lt;&gt;"",IF('06_建筑锚点'!A300="","缺少建筑ID；","")&amp;IF('06_建筑锚点'!B300="","缺少建筑名称；","")&amp;IF('06_建筑锚点'!C300="","缺少建筑类型；","")&amp;IF('06_建筑锚点'!D300="","缺少所属地点ID；","")&amp;IF('06_建筑锚点'!F300="","缺少世界X；","")&amp;IF('06_建筑锚点'!G300="","缺少世界Y；","")&amp;IF(AND('06_建筑锚点'!F300&lt;&gt;"",OR('06_建筑锚点'!F300&lt;0,'06_建筑锚点'!F300&gt;WorldWidth)),"世界X越界；","")&amp;IF(AND('06_建筑锚点'!G300&lt;&gt;"",OR('06_建筑锚点'!G300&lt;0,'06_建筑锚点'!G300&gt;WorldHeight)),"世界Y越界；","")&amp;IF(AND('06_建筑锚点'!D300&lt;&gt;"",COUNTIF('03_地点锚点'!$A$2:$A$501,'06_建筑锚点'!D300)=0),"建筑所属地点不存在；","")&amp;IF(AND('06_建筑锚点'!T300&lt;&gt;"",COUNTIF('07_动态状态'!$A$2:$A$501,'06_建筑锚点'!T300)=0),"运营状态编码不存在；","")&amp;IF(AND('06_建筑锚点'!A300&lt;&gt;"",COUNTIF('06_建筑锚点'!$A$2:$A$501,'06_建筑锚点'!A300)&gt;1),"ID重复；",""),"")</f>
        <v/>
      </c>
      <c r="G2300" s="14">
        <f>IF(F2300&lt;&gt;"","按字段批注、数据字典和来源记录修正后复核","")</f>
        <v/>
      </c>
      <c r="H2300" s="14">
        <f>IF(F2300&lt;&gt;"","待处理","")</f>
        <v/>
      </c>
    </row>
    <row r="2301">
      <c r="A2301" s="14">
        <f>IF(F2301&lt;&gt;"","ISSUE-"&amp;TEXT(ROW()-1,"00000"),"")</f>
        <v/>
      </c>
      <c r="B2301" s="14">
        <f>IF(F2301&lt;&gt;"","错误","")</f>
        <v/>
      </c>
      <c r="C2301" s="14">
        <f>IF('06_建筑锚点'!A301&lt;&gt;"","06_建筑锚点","")</f>
        <v/>
      </c>
      <c r="D2301" s="14">
        <f>IF('06_建筑锚点'!A301&lt;&gt;"",'06_建筑锚点'!A301,"")</f>
        <v/>
      </c>
      <c r="E2301" s="14">
        <f>IF(F2301&lt;&gt;"","综合校验","")</f>
        <v/>
      </c>
      <c r="F2301" s="14">
        <f>IF('06_建筑锚点'!A301&lt;&gt;"",IF('06_建筑锚点'!A301="","缺少建筑ID；","")&amp;IF('06_建筑锚点'!B301="","缺少建筑名称；","")&amp;IF('06_建筑锚点'!C301="","缺少建筑类型；","")&amp;IF('06_建筑锚点'!D301="","缺少所属地点ID；","")&amp;IF('06_建筑锚点'!F301="","缺少世界X；","")&amp;IF('06_建筑锚点'!G301="","缺少世界Y；","")&amp;IF(AND('06_建筑锚点'!F301&lt;&gt;"",OR('06_建筑锚点'!F301&lt;0,'06_建筑锚点'!F301&gt;WorldWidth)),"世界X越界；","")&amp;IF(AND('06_建筑锚点'!G301&lt;&gt;"",OR('06_建筑锚点'!G301&lt;0,'06_建筑锚点'!G301&gt;WorldHeight)),"世界Y越界；","")&amp;IF(AND('06_建筑锚点'!D301&lt;&gt;"",COUNTIF('03_地点锚点'!$A$2:$A$501,'06_建筑锚点'!D301)=0),"建筑所属地点不存在；","")&amp;IF(AND('06_建筑锚点'!T301&lt;&gt;"",COUNTIF('07_动态状态'!$A$2:$A$501,'06_建筑锚点'!T301)=0),"运营状态编码不存在；","")&amp;IF(AND('06_建筑锚点'!A301&lt;&gt;"",COUNTIF('06_建筑锚点'!$A$2:$A$501,'06_建筑锚点'!A301)&gt;1),"ID重复；",""),"")</f>
        <v/>
      </c>
      <c r="G2301" s="14">
        <f>IF(F2301&lt;&gt;"","按字段批注、数据字典和来源记录修正后复核","")</f>
        <v/>
      </c>
      <c r="H2301" s="14">
        <f>IF(F2301&lt;&gt;"","待处理","")</f>
        <v/>
      </c>
    </row>
    <row r="2302">
      <c r="A2302" s="14">
        <f>IF(F2302&lt;&gt;"","ISSUE-"&amp;TEXT(ROW()-1,"00000"),"")</f>
        <v/>
      </c>
      <c r="B2302" s="14">
        <f>IF(F2302&lt;&gt;"","错误","")</f>
        <v/>
      </c>
      <c r="C2302" s="14">
        <f>IF('06_建筑锚点'!A302&lt;&gt;"","06_建筑锚点","")</f>
        <v/>
      </c>
      <c r="D2302" s="14">
        <f>IF('06_建筑锚点'!A302&lt;&gt;"",'06_建筑锚点'!A302,"")</f>
        <v/>
      </c>
      <c r="E2302" s="14">
        <f>IF(F2302&lt;&gt;"","综合校验","")</f>
        <v/>
      </c>
      <c r="F2302" s="14">
        <f>IF('06_建筑锚点'!A302&lt;&gt;"",IF('06_建筑锚点'!A302="","缺少建筑ID；","")&amp;IF('06_建筑锚点'!B302="","缺少建筑名称；","")&amp;IF('06_建筑锚点'!C302="","缺少建筑类型；","")&amp;IF('06_建筑锚点'!D302="","缺少所属地点ID；","")&amp;IF('06_建筑锚点'!F302="","缺少世界X；","")&amp;IF('06_建筑锚点'!G302="","缺少世界Y；","")&amp;IF(AND('06_建筑锚点'!F302&lt;&gt;"",OR('06_建筑锚点'!F302&lt;0,'06_建筑锚点'!F302&gt;WorldWidth)),"世界X越界；","")&amp;IF(AND('06_建筑锚点'!G302&lt;&gt;"",OR('06_建筑锚点'!G302&lt;0,'06_建筑锚点'!G302&gt;WorldHeight)),"世界Y越界；","")&amp;IF(AND('06_建筑锚点'!D302&lt;&gt;"",COUNTIF('03_地点锚点'!$A$2:$A$501,'06_建筑锚点'!D302)=0),"建筑所属地点不存在；","")&amp;IF(AND('06_建筑锚点'!T302&lt;&gt;"",COUNTIF('07_动态状态'!$A$2:$A$501,'06_建筑锚点'!T302)=0),"运营状态编码不存在；","")&amp;IF(AND('06_建筑锚点'!A302&lt;&gt;"",COUNTIF('06_建筑锚点'!$A$2:$A$501,'06_建筑锚点'!A302)&gt;1),"ID重复；",""),"")</f>
        <v/>
      </c>
      <c r="G2302" s="14">
        <f>IF(F2302&lt;&gt;"","按字段批注、数据字典和来源记录修正后复核","")</f>
        <v/>
      </c>
      <c r="H2302" s="14">
        <f>IF(F2302&lt;&gt;"","待处理","")</f>
        <v/>
      </c>
    </row>
    <row r="2303">
      <c r="A2303" s="14">
        <f>IF(F2303&lt;&gt;"","ISSUE-"&amp;TEXT(ROW()-1,"00000"),"")</f>
        <v/>
      </c>
      <c r="B2303" s="14">
        <f>IF(F2303&lt;&gt;"","错误","")</f>
        <v/>
      </c>
      <c r="C2303" s="14">
        <f>IF('06_建筑锚点'!A303&lt;&gt;"","06_建筑锚点","")</f>
        <v/>
      </c>
      <c r="D2303" s="14">
        <f>IF('06_建筑锚点'!A303&lt;&gt;"",'06_建筑锚点'!A303,"")</f>
        <v/>
      </c>
      <c r="E2303" s="14">
        <f>IF(F2303&lt;&gt;"","综合校验","")</f>
        <v/>
      </c>
      <c r="F2303" s="14">
        <f>IF('06_建筑锚点'!A303&lt;&gt;"",IF('06_建筑锚点'!A303="","缺少建筑ID；","")&amp;IF('06_建筑锚点'!B303="","缺少建筑名称；","")&amp;IF('06_建筑锚点'!C303="","缺少建筑类型；","")&amp;IF('06_建筑锚点'!D303="","缺少所属地点ID；","")&amp;IF('06_建筑锚点'!F303="","缺少世界X；","")&amp;IF('06_建筑锚点'!G303="","缺少世界Y；","")&amp;IF(AND('06_建筑锚点'!F303&lt;&gt;"",OR('06_建筑锚点'!F303&lt;0,'06_建筑锚点'!F303&gt;WorldWidth)),"世界X越界；","")&amp;IF(AND('06_建筑锚点'!G303&lt;&gt;"",OR('06_建筑锚点'!G303&lt;0,'06_建筑锚点'!G303&gt;WorldHeight)),"世界Y越界；","")&amp;IF(AND('06_建筑锚点'!D303&lt;&gt;"",COUNTIF('03_地点锚点'!$A$2:$A$501,'06_建筑锚点'!D303)=0),"建筑所属地点不存在；","")&amp;IF(AND('06_建筑锚点'!T303&lt;&gt;"",COUNTIF('07_动态状态'!$A$2:$A$501,'06_建筑锚点'!T303)=0),"运营状态编码不存在；","")&amp;IF(AND('06_建筑锚点'!A303&lt;&gt;"",COUNTIF('06_建筑锚点'!$A$2:$A$501,'06_建筑锚点'!A303)&gt;1),"ID重复；",""),"")</f>
        <v/>
      </c>
      <c r="G2303" s="14">
        <f>IF(F2303&lt;&gt;"","按字段批注、数据字典和来源记录修正后复核","")</f>
        <v/>
      </c>
      <c r="H2303" s="14">
        <f>IF(F2303&lt;&gt;"","待处理","")</f>
        <v/>
      </c>
    </row>
    <row r="2304">
      <c r="A2304" s="14">
        <f>IF(F2304&lt;&gt;"","ISSUE-"&amp;TEXT(ROW()-1,"00000"),"")</f>
        <v/>
      </c>
      <c r="B2304" s="14">
        <f>IF(F2304&lt;&gt;"","错误","")</f>
        <v/>
      </c>
      <c r="C2304" s="14">
        <f>IF('06_建筑锚点'!A304&lt;&gt;"","06_建筑锚点","")</f>
        <v/>
      </c>
      <c r="D2304" s="14">
        <f>IF('06_建筑锚点'!A304&lt;&gt;"",'06_建筑锚点'!A304,"")</f>
        <v/>
      </c>
      <c r="E2304" s="14">
        <f>IF(F2304&lt;&gt;"","综合校验","")</f>
        <v/>
      </c>
      <c r="F2304" s="14">
        <f>IF('06_建筑锚点'!A304&lt;&gt;"",IF('06_建筑锚点'!A304="","缺少建筑ID；","")&amp;IF('06_建筑锚点'!B304="","缺少建筑名称；","")&amp;IF('06_建筑锚点'!C304="","缺少建筑类型；","")&amp;IF('06_建筑锚点'!D304="","缺少所属地点ID；","")&amp;IF('06_建筑锚点'!F304="","缺少世界X；","")&amp;IF('06_建筑锚点'!G304="","缺少世界Y；","")&amp;IF(AND('06_建筑锚点'!F304&lt;&gt;"",OR('06_建筑锚点'!F304&lt;0,'06_建筑锚点'!F304&gt;WorldWidth)),"世界X越界；","")&amp;IF(AND('06_建筑锚点'!G304&lt;&gt;"",OR('06_建筑锚点'!G304&lt;0,'06_建筑锚点'!G304&gt;WorldHeight)),"世界Y越界；","")&amp;IF(AND('06_建筑锚点'!D304&lt;&gt;"",COUNTIF('03_地点锚点'!$A$2:$A$501,'06_建筑锚点'!D304)=0),"建筑所属地点不存在；","")&amp;IF(AND('06_建筑锚点'!T304&lt;&gt;"",COUNTIF('07_动态状态'!$A$2:$A$501,'06_建筑锚点'!T304)=0),"运营状态编码不存在；","")&amp;IF(AND('06_建筑锚点'!A304&lt;&gt;"",COUNTIF('06_建筑锚点'!$A$2:$A$501,'06_建筑锚点'!A304)&gt;1),"ID重复；",""),"")</f>
        <v/>
      </c>
      <c r="G2304" s="14">
        <f>IF(F2304&lt;&gt;"","按字段批注、数据字典和来源记录修正后复核","")</f>
        <v/>
      </c>
      <c r="H2304" s="14">
        <f>IF(F2304&lt;&gt;"","待处理","")</f>
        <v/>
      </c>
    </row>
    <row r="2305">
      <c r="A2305" s="14">
        <f>IF(F2305&lt;&gt;"","ISSUE-"&amp;TEXT(ROW()-1,"00000"),"")</f>
        <v/>
      </c>
      <c r="B2305" s="14">
        <f>IF(F2305&lt;&gt;"","错误","")</f>
        <v/>
      </c>
      <c r="C2305" s="14">
        <f>IF('06_建筑锚点'!A305&lt;&gt;"","06_建筑锚点","")</f>
        <v/>
      </c>
      <c r="D2305" s="14">
        <f>IF('06_建筑锚点'!A305&lt;&gt;"",'06_建筑锚点'!A305,"")</f>
        <v/>
      </c>
      <c r="E2305" s="14">
        <f>IF(F2305&lt;&gt;"","综合校验","")</f>
        <v/>
      </c>
      <c r="F2305" s="14">
        <f>IF('06_建筑锚点'!A305&lt;&gt;"",IF('06_建筑锚点'!A305="","缺少建筑ID；","")&amp;IF('06_建筑锚点'!B305="","缺少建筑名称；","")&amp;IF('06_建筑锚点'!C305="","缺少建筑类型；","")&amp;IF('06_建筑锚点'!D305="","缺少所属地点ID；","")&amp;IF('06_建筑锚点'!F305="","缺少世界X；","")&amp;IF('06_建筑锚点'!G305="","缺少世界Y；","")&amp;IF(AND('06_建筑锚点'!F305&lt;&gt;"",OR('06_建筑锚点'!F305&lt;0,'06_建筑锚点'!F305&gt;WorldWidth)),"世界X越界；","")&amp;IF(AND('06_建筑锚点'!G305&lt;&gt;"",OR('06_建筑锚点'!G305&lt;0,'06_建筑锚点'!G305&gt;WorldHeight)),"世界Y越界；","")&amp;IF(AND('06_建筑锚点'!D305&lt;&gt;"",COUNTIF('03_地点锚点'!$A$2:$A$501,'06_建筑锚点'!D305)=0),"建筑所属地点不存在；","")&amp;IF(AND('06_建筑锚点'!T305&lt;&gt;"",COUNTIF('07_动态状态'!$A$2:$A$501,'06_建筑锚点'!T305)=0),"运营状态编码不存在；","")&amp;IF(AND('06_建筑锚点'!A305&lt;&gt;"",COUNTIF('06_建筑锚点'!$A$2:$A$501,'06_建筑锚点'!A305)&gt;1),"ID重复；",""),"")</f>
        <v/>
      </c>
      <c r="G2305" s="14">
        <f>IF(F2305&lt;&gt;"","按字段批注、数据字典和来源记录修正后复核","")</f>
        <v/>
      </c>
      <c r="H2305" s="14">
        <f>IF(F2305&lt;&gt;"","待处理","")</f>
        <v/>
      </c>
    </row>
    <row r="2306">
      <c r="A2306" s="14">
        <f>IF(F2306&lt;&gt;"","ISSUE-"&amp;TEXT(ROW()-1,"00000"),"")</f>
        <v/>
      </c>
      <c r="B2306" s="14">
        <f>IF(F2306&lt;&gt;"","错误","")</f>
        <v/>
      </c>
      <c r="C2306" s="14">
        <f>IF('06_建筑锚点'!A306&lt;&gt;"","06_建筑锚点","")</f>
        <v/>
      </c>
      <c r="D2306" s="14">
        <f>IF('06_建筑锚点'!A306&lt;&gt;"",'06_建筑锚点'!A306,"")</f>
        <v/>
      </c>
      <c r="E2306" s="14">
        <f>IF(F2306&lt;&gt;"","综合校验","")</f>
        <v/>
      </c>
      <c r="F2306" s="14">
        <f>IF('06_建筑锚点'!A306&lt;&gt;"",IF('06_建筑锚点'!A306="","缺少建筑ID；","")&amp;IF('06_建筑锚点'!B306="","缺少建筑名称；","")&amp;IF('06_建筑锚点'!C306="","缺少建筑类型；","")&amp;IF('06_建筑锚点'!D306="","缺少所属地点ID；","")&amp;IF('06_建筑锚点'!F306="","缺少世界X；","")&amp;IF('06_建筑锚点'!G306="","缺少世界Y；","")&amp;IF(AND('06_建筑锚点'!F306&lt;&gt;"",OR('06_建筑锚点'!F306&lt;0,'06_建筑锚点'!F306&gt;WorldWidth)),"世界X越界；","")&amp;IF(AND('06_建筑锚点'!G306&lt;&gt;"",OR('06_建筑锚点'!G306&lt;0,'06_建筑锚点'!G306&gt;WorldHeight)),"世界Y越界；","")&amp;IF(AND('06_建筑锚点'!D306&lt;&gt;"",COUNTIF('03_地点锚点'!$A$2:$A$501,'06_建筑锚点'!D306)=0),"建筑所属地点不存在；","")&amp;IF(AND('06_建筑锚点'!T306&lt;&gt;"",COUNTIF('07_动态状态'!$A$2:$A$501,'06_建筑锚点'!T306)=0),"运营状态编码不存在；","")&amp;IF(AND('06_建筑锚点'!A306&lt;&gt;"",COUNTIF('06_建筑锚点'!$A$2:$A$501,'06_建筑锚点'!A306)&gt;1),"ID重复；",""),"")</f>
        <v/>
      </c>
      <c r="G2306" s="14">
        <f>IF(F2306&lt;&gt;"","按字段批注、数据字典和来源记录修正后复核","")</f>
        <v/>
      </c>
      <c r="H2306" s="14">
        <f>IF(F2306&lt;&gt;"","待处理","")</f>
        <v/>
      </c>
    </row>
    <row r="2307">
      <c r="A2307" s="14">
        <f>IF(F2307&lt;&gt;"","ISSUE-"&amp;TEXT(ROW()-1,"00000"),"")</f>
        <v/>
      </c>
      <c r="B2307" s="14">
        <f>IF(F2307&lt;&gt;"","错误","")</f>
        <v/>
      </c>
      <c r="C2307" s="14">
        <f>IF('06_建筑锚点'!A307&lt;&gt;"","06_建筑锚点","")</f>
        <v/>
      </c>
      <c r="D2307" s="14">
        <f>IF('06_建筑锚点'!A307&lt;&gt;"",'06_建筑锚点'!A307,"")</f>
        <v/>
      </c>
      <c r="E2307" s="14">
        <f>IF(F2307&lt;&gt;"","综合校验","")</f>
        <v/>
      </c>
      <c r="F2307" s="14">
        <f>IF('06_建筑锚点'!A307&lt;&gt;"",IF('06_建筑锚点'!A307="","缺少建筑ID；","")&amp;IF('06_建筑锚点'!B307="","缺少建筑名称；","")&amp;IF('06_建筑锚点'!C307="","缺少建筑类型；","")&amp;IF('06_建筑锚点'!D307="","缺少所属地点ID；","")&amp;IF('06_建筑锚点'!F307="","缺少世界X；","")&amp;IF('06_建筑锚点'!G307="","缺少世界Y；","")&amp;IF(AND('06_建筑锚点'!F307&lt;&gt;"",OR('06_建筑锚点'!F307&lt;0,'06_建筑锚点'!F307&gt;WorldWidth)),"世界X越界；","")&amp;IF(AND('06_建筑锚点'!G307&lt;&gt;"",OR('06_建筑锚点'!G307&lt;0,'06_建筑锚点'!G307&gt;WorldHeight)),"世界Y越界；","")&amp;IF(AND('06_建筑锚点'!D307&lt;&gt;"",COUNTIF('03_地点锚点'!$A$2:$A$501,'06_建筑锚点'!D307)=0),"建筑所属地点不存在；","")&amp;IF(AND('06_建筑锚点'!T307&lt;&gt;"",COUNTIF('07_动态状态'!$A$2:$A$501,'06_建筑锚点'!T307)=0),"运营状态编码不存在；","")&amp;IF(AND('06_建筑锚点'!A307&lt;&gt;"",COUNTIF('06_建筑锚点'!$A$2:$A$501,'06_建筑锚点'!A307)&gt;1),"ID重复；",""),"")</f>
        <v/>
      </c>
      <c r="G2307" s="14">
        <f>IF(F2307&lt;&gt;"","按字段批注、数据字典和来源记录修正后复核","")</f>
        <v/>
      </c>
      <c r="H2307" s="14">
        <f>IF(F2307&lt;&gt;"","待处理","")</f>
        <v/>
      </c>
    </row>
    <row r="2308">
      <c r="A2308" s="14">
        <f>IF(F2308&lt;&gt;"","ISSUE-"&amp;TEXT(ROW()-1,"00000"),"")</f>
        <v/>
      </c>
      <c r="B2308" s="14">
        <f>IF(F2308&lt;&gt;"","错误","")</f>
        <v/>
      </c>
      <c r="C2308" s="14">
        <f>IF('06_建筑锚点'!A308&lt;&gt;"","06_建筑锚点","")</f>
        <v/>
      </c>
      <c r="D2308" s="14">
        <f>IF('06_建筑锚点'!A308&lt;&gt;"",'06_建筑锚点'!A308,"")</f>
        <v/>
      </c>
      <c r="E2308" s="14">
        <f>IF(F2308&lt;&gt;"","综合校验","")</f>
        <v/>
      </c>
      <c r="F2308" s="14">
        <f>IF('06_建筑锚点'!A308&lt;&gt;"",IF('06_建筑锚点'!A308="","缺少建筑ID；","")&amp;IF('06_建筑锚点'!B308="","缺少建筑名称；","")&amp;IF('06_建筑锚点'!C308="","缺少建筑类型；","")&amp;IF('06_建筑锚点'!D308="","缺少所属地点ID；","")&amp;IF('06_建筑锚点'!F308="","缺少世界X；","")&amp;IF('06_建筑锚点'!G308="","缺少世界Y；","")&amp;IF(AND('06_建筑锚点'!F308&lt;&gt;"",OR('06_建筑锚点'!F308&lt;0,'06_建筑锚点'!F308&gt;WorldWidth)),"世界X越界；","")&amp;IF(AND('06_建筑锚点'!G308&lt;&gt;"",OR('06_建筑锚点'!G308&lt;0,'06_建筑锚点'!G308&gt;WorldHeight)),"世界Y越界；","")&amp;IF(AND('06_建筑锚点'!D308&lt;&gt;"",COUNTIF('03_地点锚点'!$A$2:$A$501,'06_建筑锚点'!D308)=0),"建筑所属地点不存在；","")&amp;IF(AND('06_建筑锚点'!T308&lt;&gt;"",COUNTIF('07_动态状态'!$A$2:$A$501,'06_建筑锚点'!T308)=0),"运营状态编码不存在；","")&amp;IF(AND('06_建筑锚点'!A308&lt;&gt;"",COUNTIF('06_建筑锚点'!$A$2:$A$501,'06_建筑锚点'!A308)&gt;1),"ID重复；",""),"")</f>
        <v/>
      </c>
      <c r="G2308" s="14">
        <f>IF(F2308&lt;&gt;"","按字段批注、数据字典和来源记录修正后复核","")</f>
        <v/>
      </c>
      <c r="H2308" s="14">
        <f>IF(F2308&lt;&gt;"","待处理","")</f>
        <v/>
      </c>
    </row>
    <row r="2309">
      <c r="A2309" s="14">
        <f>IF(F2309&lt;&gt;"","ISSUE-"&amp;TEXT(ROW()-1,"00000"),"")</f>
        <v/>
      </c>
      <c r="B2309" s="14">
        <f>IF(F2309&lt;&gt;"","错误","")</f>
        <v/>
      </c>
      <c r="C2309" s="14">
        <f>IF('06_建筑锚点'!A309&lt;&gt;"","06_建筑锚点","")</f>
        <v/>
      </c>
      <c r="D2309" s="14">
        <f>IF('06_建筑锚点'!A309&lt;&gt;"",'06_建筑锚点'!A309,"")</f>
        <v/>
      </c>
      <c r="E2309" s="14">
        <f>IF(F2309&lt;&gt;"","综合校验","")</f>
        <v/>
      </c>
      <c r="F2309" s="14">
        <f>IF('06_建筑锚点'!A309&lt;&gt;"",IF('06_建筑锚点'!A309="","缺少建筑ID；","")&amp;IF('06_建筑锚点'!B309="","缺少建筑名称；","")&amp;IF('06_建筑锚点'!C309="","缺少建筑类型；","")&amp;IF('06_建筑锚点'!D309="","缺少所属地点ID；","")&amp;IF('06_建筑锚点'!F309="","缺少世界X；","")&amp;IF('06_建筑锚点'!G309="","缺少世界Y；","")&amp;IF(AND('06_建筑锚点'!F309&lt;&gt;"",OR('06_建筑锚点'!F309&lt;0,'06_建筑锚点'!F309&gt;WorldWidth)),"世界X越界；","")&amp;IF(AND('06_建筑锚点'!G309&lt;&gt;"",OR('06_建筑锚点'!G309&lt;0,'06_建筑锚点'!G309&gt;WorldHeight)),"世界Y越界；","")&amp;IF(AND('06_建筑锚点'!D309&lt;&gt;"",COUNTIF('03_地点锚点'!$A$2:$A$501,'06_建筑锚点'!D309)=0),"建筑所属地点不存在；","")&amp;IF(AND('06_建筑锚点'!T309&lt;&gt;"",COUNTIF('07_动态状态'!$A$2:$A$501,'06_建筑锚点'!T309)=0),"运营状态编码不存在；","")&amp;IF(AND('06_建筑锚点'!A309&lt;&gt;"",COUNTIF('06_建筑锚点'!$A$2:$A$501,'06_建筑锚点'!A309)&gt;1),"ID重复；",""),"")</f>
        <v/>
      </c>
      <c r="G2309" s="14">
        <f>IF(F2309&lt;&gt;"","按字段批注、数据字典和来源记录修正后复核","")</f>
        <v/>
      </c>
      <c r="H2309" s="14">
        <f>IF(F2309&lt;&gt;"","待处理","")</f>
        <v/>
      </c>
    </row>
    <row r="2310">
      <c r="A2310" s="14">
        <f>IF(F2310&lt;&gt;"","ISSUE-"&amp;TEXT(ROW()-1,"00000"),"")</f>
        <v/>
      </c>
      <c r="B2310" s="14">
        <f>IF(F2310&lt;&gt;"","错误","")</f>
        <v/>
      </c>
      <c r="C2310" s="14">
        <f>IF('06_建筑锚点'!A310&lt;&gt;"","06_建筑锚点","")</f>
        <v/>
      </c>
      <c r="D2310" s="14">
        <f>IF('06_建筑锚点'!A310&lt;&gt;"",'06_建筑锚点'!A310,"")</f>
        <v/>
      </c>
      <c r="E2310" s="14">
        <f>IF(F2310&lt;&gt;"","综合校验","")</f>
        <v/>
      </c>
      <c r="F2310" s="14">
        <f>IF('06_建筑锚点'!A310&lt;&gt;"",IF('06_建筑锚点'!A310="","缺少建筑ID；","")&amp;IF('06_建筑锚点'!B310="","缺少建筑名称；","")&amp;IF('06_建筑锚点'!C310="","缺少建筑类型；","")&amp;IF('06_建筑锚点'!D310="","缺少所属地点ID；","")&amp;IF('06_建筑锚点'!F310="","缺少世界X；","")&amp;IF('06_建筑锚点'!G310="","缺少世界Y；","")&amp;IF(AND('06_建筑锚点'!F310&lt;&gt;"",OR('06_建筑锚点'!F310&lt;0,'06_建筑锚点'!F310&gt;WorldWidth)),"世界X越界；","")&amp;IF(AND('06_建筑锚点'!G310&lt;&gt;"",OR('06_建筑锚点'!G310&lt;0,'06_建筑锚点'!G310&gt;WorldHeight)),"世界Y越界；","")&amp;IF(AND('06_建筑锚点'!D310&lt;&gt;"",COUNTIF('03_地点锚点'!$A$2:$A$501,'06_建筑锚点'!D310)=0),"建筑所属地点不存在；","")&amp;IF(AND('06_建筑锚点'!T310&lt;&gt;"",COUNTIF('07_动态状态'!$A$2:$A$501,'06_建筑锚点'!T310)=0),"运营状态编码不存在；","")&amp;IF(AND('06_建筑锚点'!A310&lt;&gt;"",COUNTIF('06_建筑锚点'!$A$2:$A$501,'06_建筑锚点'!A310)&gt;1),"ID重复；",""),"")</f>
        <v/>
      </c>
      <c r="G2310" s="14">
        <f>IF(F2310&lt;&gt;"","按字段批注、数据字典和来源记录修正后复核","")</f>
        <v/>
      </c>
      <c r="H2310" s="14">
        <f>IF(F2310&lt;&gt;"","待处理","")</f>
        <v/>
      </c>
    </row>
    <row r="2311">
      <c r="A2311" s="14">
        <f>IF(F2311&lt;&gt;"","ISSUE-"&amp;TEXT(ROW()-1,"00000"),"")</f>
        <v/>
      </c>
      <c r="B2311" s="14">
        <f>IF(F2311&lt;&gt;"","错误","")</f>
        <v/>
      </c>
      <c r="C2311" s="14">
        <f>IF('06_建筑锚点'!A311&lt;&gt;"","06_建筑锚点","")</f>
        <v/>
      </c>
      <c r="D2311" s="14">
        <f>IF('06_建筑锚点'!A311&lt;&gt;"",'06_建筑锚点'!A311,"")</f>
        <v/>
      </c>
      <c r="E2311" s="14">
        <f>IF(F2311&lt;&gt;"","综合校验","")</f>
        <v/>
      </c>
      <c r="F2311" s="14">
        <f>IF('06_建筑锚点'!A311&lt;&gt;"",IF('06_建筑锚点'!A311="","缺少建筑ID；","")&amp;IF('06_建筑锚点'!B311="","缺少建筑名称；","")&amp;IF('06_建筑锚点'!C311="","缺少建筑类型；","")&amp;IF('06_建筑锚点'!D311="","缺少所属地点ID；","")&amp;IF('06_建筑锚点'!F311="","缺少世界X；","")&amp;IF('06_建筑锚点'!G311="","缺少世界Y；","")&amp;IF(AND('06_建筑锚点'!F311&lt;&gt;"",OR('06_建筑锚点'!F311&lt;0,'06_建筑锚点'!F311&gt;WorldWidth)),"世界X越界；","")&amp;IF(AND('06_建筑锚点'!G311&lt;&gt;"",OR('06_建筑锚点'!G311&lt;0,'06_建筑锚点'!G311&gt;WorldHeight)),"世界Y越界；","")&amp;IF(AND('06_建筑锚点'!D311&lt;&gt;"",COUNTIF('03_地点锚点'!$A$2:$A$501,'06_建筑锚点'!D311)=0),"建筑所属地点不存在；","")&amp;IF(AND('06_建筑锚点'!T311&lt;&gt;"",COUNTIF('07_动态状态'!$A$2:$A$501,'06_建筑锚点'!T311)=0),"运营状态编码不存在；","")&amp;IF(AND('06_建筑锚点'!A311&lt;&gt;"",COUNTIF('06_建筑锚点'!$A$2:$A$501,'06_建筑锚点'!A311)&gt;1),"ID重复；",""),"")</f>
        <v/>
      </c>
      <c r="G2311" s="14">
        <f>IF(F2311&lt;&gt;"","按字段批注、数据字典和来源记录修正后复核","")</f>
        <v/>
      </c>
      <c r="H2311" s="14">
        <f>IF(F2311&lt;&gt;"","待处理","")</f>
        <v/>
      </c>
    </row>
    <row r="2312">
      <c r="A2312" s="14">
        <f>IF(F2312&lt;&gt;"","ISSUE-"&amp;TEXT(ROW()-1,"00000"),"")</f>
        <v/>
      </c>
      <c r="B2312" s="14">
        <f>IF(F2312&lt;&gt;"","错误","")</f>
        <v/>
      </c>
      <c r="C2312" s="14">
        <f>IF('06_建筑锚点'!A312&lt;&gt;"","06_建筑锚点","")</f>
        <v/>
      </c>
      <c r="D2312" s="14">
        <f>IF('06_建筑锚点'!A312&lt;&gt;"",'06_建筑锚点'!A312,"")</f>
        <v/>
      </c>
      <c r="E2312" s="14">
        <f>IF(F2312&lt;&gt;"","综合校验","")</f>
        <v/>
      </c>
      <c r="F2312" s="14">
        <f>IF('06_建筑锚点'!A312&lt;&gt;"",IF('06_建筑锚点'!A312="","缺少建筑ID；","")&amp;IF('06_建筑锚点'!B312="","缺少建筑名称；","")&amp;IF('06_建筑锚点'!C312="","缺少建筑类型；","")&amp;IF('06_建筑锚点'!D312="","缺少所属地点ID；","")&amp;IF('06_建筑锚点'!F312="","缺少世界X；","")&amp;IF('06_建筑锚点'!G312="","缺少世界Y；","")&amp;IF(AND('06_建筑锚点'!F312&lt;&gt;"",OR('06_建筑锚点'!F312&lt;0,'06_建筑锚点'!F312&gt;WorldWidth)),"世界X越界；","")&amp;IF(AND('06_建筑锚点'!G312&lt;&gt;"",OR('06_建筑锚点'!G312&lt;0,'06_建筑锚点'!G312&gt;WorldHeight)),"世界Y越界；","")&amp;IF(AND('06_建筑锚点'!D312&lt;&gt;"",COUNTIF('03_地点锚点'!$A$2:$A$501,'06_建筑锚点'!D312)=0),"建筑所属地点不存在；","")&amp;IF(AND('06_建筑锚点'!T312&lt;&gt;"",COUNTIF('07_动态状态'!$A$2:$A$501,'06_建筑锚点'!T312)=0),"运营状态编码不存在；","")&amp;IF(AND('06_建筑锚点'!A312&lt;&gt;"",COUNTIF('06_建筑锚点'!$A$2:$A$501,'06_建筑锚点'!A312)&gt;1),"ID重复；",""),"")</f>
        <v/>
      </c>
      <c r="G2312" s="14">
        <f>IF(F2312&lt;&gt;"","按字段批注、数据字典和来源记录修正后复核","")</f>
        <v/>
      </c>
      <c r="H2312" s="14">
        <f>IF(F2312&lt;&gt;"","待处理","")</f>
        <v/>
      </c>
    </row>
    <row r="2313">
      <c r="A2313" s="14">
        <f>IF(F2313&lt;&gt;"","ISSUE-"&amp;TEXT(ROW()-1,"00000"),"")</f>
        <v/>
      </c>
      <c r="B2313" s="14">
        <f>IF(F2313&lt;&gt;"","错误","")</f>
        <v/>
      </c>
      <c r="C2313" s="14">
        <f>IF('06_建筑锚点'!A313&lt;&gt;"","06_建筑锚点","")</f>
        <v/>
      </c>
      <c r="D2313" s="14">
        <f>IF('06_建筑锚点'!A313&lt;&gt;"",'06_建筑锚点'!A313,"")</f>
        <v/>
      </c>
      <c r="E2313" s="14">
        <f>IF(F2313&lt;&gt;"","综合校验","")</f>
        <v/>
      </c>
      <c r="F2313" s="14">
        <f>IF('06_建筑锚点'!A313&lt;&gt;"",IF('06_建筑锚点'!A313="","缺少建筑ID；","")&amp;IF('06_建筑锚点'!B313="","缺少建筑名称；","")&amp;IF('06_建筑锚点'!C313="","缺少建筑类型；","")&amp;IF('06_建筑锚点'!D313="","缺少所属地点ID；","")&amp;IF('06_建筑锚点'!F313="","缺少世界X；","")&amp;IF('06_建筑锚点'!G313="","缺少世界Y；","")&amp;IF(AND('06_建筑锚点'!F313&lt;&gt;"",OR('06_建筑锚点'!F313&lt;0,'06_建筑锚点'!F313&gt;WorldWidth)),"世界X越界；","")&amp;IF(AND('06_建筑锚点'!G313&lt;&gt;"",OR('06_建筑锚点'!G313&lt;0,'06_建筑锚点'!G313&gt;WorldHeight)),"世界Y越界；","")&amp;IF(AND('06_建筑锚点'!D313&lt;&gt;"",COUNTIF('03_地点锚点'!$A$2:$A$501,'06_建筑锚点'!D313)=0),"建筑所属地点不存在；","")&amp;IF(AND('06_建筑锚点'!T313&lt;&gt;"",COUNTIF('07_动态状态'!$A$2:$A$501,'06_建筑锚点'!T313)=0),"运营状态编码不存在；","")&amp;IF(AND('06_建筑锚点'!A313&lt;&gt;"",COUNTIF('06_建筑锚点'!$A$2:$A$501,'06_建筑锚点'!A313)&gt;1),"ID重复；",""),"")</f>
        <v/>
      </c>
      <c r="G2313" s="14">
        <f>IF(F2313&lt;&gt;"","按字段批注、数据字典和来源记录修正后复核","")</f>
        <v/>
      </c>
      <c r="H2313" s="14">
        <f>IF(F2313&lt;&gt;"","待处理","")</f>
        <v/>
      </c>
    </row>
    <row r="2314">
      <c r="A2314" s="14">
        <f>IF(F2314&lt;&gt;"","ISSUE-"&amp;TEXT(ROW()-1,"00000"),"")</f>
        <v/>
      </c>
      <c r="B2314" s="14">
        <f>IF(F2314&lt;&gt;"","错误","")</f>
        <v/>
      </c>
      <c r="C2314" s="14">
        <f>IF('06_建筑锚点'!A314&lt;&gt;"","06_建筑锚点","")</f>
        <v/>
      </c>
      <c r="D2314" s="14">
        <f>IF('06_建筑锚点'!A314&lt;&gt;"",'06_建筑锚点'!A314,"")</f>
        <v/>
      </c>
      <c r="E2314" s="14">
        <f>IF(F2314&lt;&gt;"","综合校验","")</f>
        <v/>
      </c>
      <c r="F2314" s="14">
        <f>IF('06_建筑锚点'!A314&lt;&gt;"",IF('06_建筑锚点'!A314="","缺少建筑ID；","")&amp;IF('06_建筑锚点'!B314="","缺少建筑名称；","")&amp;IF('06_建筑锚点'!C314="","缺少建筑类型；","")&amp;IF('06_建筑锚点'!D314="","缺少所属地点ID；","")&amp;IF('06_建筑锚点'!F314="","缺少世界X；","")&amp;IF('06_建筑锚点'!G314="","缺少世界Y；","")&amp;IF(AND('06_建筑锚点'!F314&lt;&gt;"",OR('06_建筑锚点'!F314&lt;0,'06_建筑锚点'!F314&gt;WorldWidth)),"世界X越界；","")&amp;IF(AND('06_建筑锚点'!G314&lt;&gt;"",OR('06_建筑锚点'!G314&lt;0,'06_建筑锚点'!G314&gt;WorldHeight)),"世界Y越界；","")&amp;IF(AND('06_建筑锚点'!D314&lt;&gt;"",COUNTIF('03_地点锚点'!$A$2:$A$501,'06_建筑锚点'!D314)=0),"建筑所属地点不存在；","")&amp;IF(AND('06_建筑锚点'!T314&lt;&gt;"",COUNTIF('07_动态状态'!$A$2:$A$501,'06_建筑锚点'!T314)=0),"运营状态编码不存在；","")&amp;IF(AND('06_建筑锚点'!A314&lt;&gt;"",COUNTIF('06_建筑锚点'!$A$2:$A$501,'06_建筑锚点'!A314)&gt;1),"ID重复；",""),"")</f>
        <v/>
      </c>
      <c r="G2314" s="14">
        <f>IF(F2314&lt;&gt;"","按字段批注、数据字典和来源记录修正后复核","")</f>
        <v/>
      </c>
      <c r="H2314" s="14">
        <f>IF(F2314&lt;&gt;"","待处理","")</f>
        <v/>
      </c>
    </row>
    <row r="2315">
      <c r="A2315" s="14">
        <f>IF(F2315&lt;&gt;"","ISSUE-"&amp;TEXT(ROW()-1,"00000"),"")</f>
        <v/>
      </c>
      <c r="B2315" s="14">
        <f>IF(F2315&lt;&gt;"","错误","")</f>
        <v/>
      </c>
      <c r="C2315" s="14">
        <f>IF('06_建筑锚点'!A315&lt;&gt;"","06_建筑锚点","")</f>
        <v/>
      </c>
      <c r="D2315" s="14">
        <f>IF('06_建筑锚点'!A315&lt;&gt;"",'06_建筑锚点'!A315,"")</f>
        <v/>
      </c>
      <c r="E2315" s="14">
        <f>IF(F2315&lt;&gt;"","综合校验","")</f>
        <v/>
      </c>
      <c r="F2315" s="14">
        <f>IF('06_建筑锚点'!A315&lt;&gt;"",IF('06_建筑锚点'!A315="","缺少建筑ID；","")&amp;IF('06_建筑锚点'!B315="","缺少建筑名称；","")&amp;IF('06_建筑锚点'!C315="","缺少建筑类型；","")&amp;IF('06_建筑锚点'!D315="","缺少所属地点ID；","")&amp;IF('06_建筑锚点'!F315="","缺少世界X；","")&amp;IF('06_建筑锚点'!G315="","缺少世界Y；","")&amp;IF(AND('06_建筑锚点'!F315&lt;&gt;"",OR('06_建筑锚点'!F315&lt;0,'06_建筑锚点'!F315&gt;WorldWidth)),"世界X越界；","")&amp;IF(AND('06_建筑锚点'!G315&lt;&gt;"",OR('06_建筑锚点'!G315&lt;0,'06_建筑锚点'!G315&gt;WorldHeight)),"世界Y越界；","")&amp;IF(AND('06_建筑锚点'!D315&lt;&gt;"",COUNTIF('03_地点锚点'!$A$2:$A$501,'06_建筑锚点'!D315)=0),"建筑所属地点不存在；","")&amp;IF(AND('06_建筑锚点'!T315&lt;&gt;"",COUNTIF('07_动态状态'!$A$2:$A$501,'06_建筑锚点'!T315)=0),"运营状态编码不存在；","")&amp;IF(AND('06_建筑锚点'!A315&lt;&gt;"",COUNTIF('06_建筑锚点'!$A$2:$A$501,'06_建筑锚点'!A315)&gt;1),"ID重复；",""),"")</f>
        <v/>
      </c>
      <c r="G2315" s="14">
        <f>IF(F2315&lt;&gt;"","按字段批注、数据字典和来源记录修正后复核","")</f>
        <v/>
      </c>
      <c r="H2315" s="14">
        <f>IF(F2315&lt;&gt;"","待处理","")</f>
        <v/>
      </c>
    </row>
    <row r="2316">
      <c r="A2316" s="14">
        <f>IF(F2316&lt;&gt;"","ISSUE-"&amp;TEXT(ROW()-1,"00000"),"")</f>
        <v/>
      </c>
      <c r="B2316" s="14">
        <f>IF(F2316&lt;&gt;"","错误","")</f>
        <v/>
      </c>
      <c r="C2316" s="14">
        <f>IF('06_建筑锚点'!A316&lt;&gt;"","06_建筑锚点","")</f>
        <v/>
      </c>
      <c r="D2316" s="14">
        <f>IF('06_建筑锚点'!A316&lt;&gt;"",'06_建筑锚点'!A316,"")</f>
        <v/>
      </c>
      <c r="E2316" s="14">
        <f>IF(F2316&lt;&gt;"","综合校验","")</f>
        <v/>
      </c>
      <c r="F2316" s="14">
        <f>IF('06_建筑锚点'!A316&lt;&gt;"",IF('06_建筑锚点'!A316="","缺少建筑ID；","")&amp;IF('06_建筑锚点'!B316="","缺少建筑名称；","")&amp;IF('06_建筑锚点'!C316="","缺少建筑类型；","")&amp;IF('06_建筑锚点'!D316="","缺少所属地点ID；","")&amp;IF('06_建筑锚点'!F316="","缺少世界X；","")&amp;IF('06_建筑锚点'!G316="","缺少世界Y；","")&amp;IF(AND('06_建筑锚点'!F316&lt;&gt;"",OR('06_建筑锚点'!F316&lt;0,'06_建筑锚点'!F316&gt;WorldWidth)),"世界X越界；","")&amp;IF(AND('06_建筑锚点'!G316&lt;&gt;"",OR('06_建筑锚点'!G316&lt;0,'06_建筑锚点'!G316&gt;WorldHeight)),"世界Y越界；","")&amp;IF(AND('06_建筑锚点'!D316&lt;&gt;"",COUNTIF('03_地点锚点'!$A$2:$A$501,'06_建筑锚点'!D316)=0),"建筑所属地点不存在；","")&amp;IF(AND('06_建筑锚点'!T316&lt;&gt;"",COUNTIF('07_动态状态'!$A$2:$A$501,'06_建筑锚点'!T316)=0),"运营状态编码不存在；","")&amp;IF(AND('06_建筑锚点'!A316&lt;&gt;"",COUNTIF('06_建筑锚点'!$A$2:$A$501,'06_建筑锚点'!A316)&gt;1),"ID重复；",""),"")</f>
        <v/>
      </c>
      <c r="G2316" s="14">
        <f>IF(F2316&lt;&gt;"","按字段批注、数据字典和来源记录修正后复核","")</f>
        <v/>
      </c>
      <c r="H2316" s="14">
        <f>IF(F2316&lt;&gt;"","待处理","")</f>
        <v/>
      </c>
    </row>
    <row r="2317">
      <c r="A2317" s="14">
        <f>IF(F2317&lt;&gt;"","ISSUE-"&amp;TEXT(ROW()-1,"00000"),"")</f>
        <v/>
      </c>
      <c r="B2317" s="14">
        <f>IF(F2317&lt;&gt;"","错误","")</f>
        <v/>
      </c>
      <c r="C2317" s="14">
        <f>IF('06_建筑锚点'!A317&lt;&gt;"","06_建筑锚点","")</f>
        <v/>
      </c>
      <c r="D2317" s="14">
        <f>IF('06_建筑锚点'!A317&lt;&gt;"",'06_建筑锚点'!A317,"")</f>
        <v/>
      </c>
      <c r="E2317" s="14">
        <f>IF(F2317&lt;&gt;"","综合校验","")</f>
        <v/>
      </c>
      <c r="F2317" s="14">
        <f>IF('06_建筑锚点'!A317&lt;&gt;"",IF('06_建筑锚点'!A317="","缺少建筑ID；","")&amp;IF('06_建筑锚点'!B317="","缺少建筑名称；","")&amp;IF('06_建筑锚点'!C317="","缺少建筑类型；","")&amp;IF('06_建筑锚点'!D317="","缺少所属地点ID；","")&amp;IF('06_建筑锚点'!F317="","缺少世界X；","")&amp;IF('06_建筑锚点'!G317="","缺少世界Y；","")&amp;IF(AND('06_建筑锚点'!F317&lt;&gt;"",OR('06_建筑锚点'!F317&lt;0,'06_建筑锚点'!F317&gt;WorldWidth)),"世界X越界；","")&amp;IF(AND('06_建筑锚点'!G317&lt;&gt;"",OR('06_建筑锚点'!G317&lt;0,'06_建筑锚点'!G317&gt;WorldHeight)),"世界Y越界；","")&amp;IF(AND('06_建筑锚点'!D317&lt;&gt;"",COUNTIF('03_地点锚点'!$A$2:$A$501,'06_建筑锚点'!D317)=0),"建筑所属地点不存在；","")&amp;IF(AND('06_建筑锚点'!T317&lt;&gt;"",COUNTIF('07_动态状态'!$A$2:$A$501,'06_建筑锚点'!T317)=0),"运营状态编码不存在；","")&amp;IF(AND('06_建筑锚点'!A317&lt;&gt;"",COUNTIF('06_建筑锚点'!$A$2:$A$501,'06_建筑锚点'!A317)&gt;1),"ID重复；",""),"")</f>
        <v/>
      </c>
      <c r="G2317" s="14">
        <f>IF(F2317&lt;&gt;"","按字段批注、数据字典和来源记录修正后复核","")</f>
        <v/>
      </c>
      <c r="H2317" s="14">
        <f>IF(F2317&lt;&gt;"","待处理","")</f>
        <v/>
      </c>
    </row>
    <row r="2318">
      <c r="A2318" s="14">
        <f>IF(F2318&lt;&gt;"","ISSUE-"&amp;TEXT(ROW()-1,"00000"),"")</f>
        <v/>
      </c>
      <c r="B2318" s="14">
        <f>IF(F2318&lt;&gt;"","错误","")</f>
        <v/>
      </c>
      <c r="C2318" s="14">
        <f>IF('06_建筑锚点'!A318&lt;&gt;"","06_建筑锚点","")</f>
        <v/>
      </c>
      <c r="D2318" s="14">
        <f>IF('06_建筑锚点'!A318&lt;&gt;"",'06_建筑锚点'!A318,"")</f>
        <v/>
      </c>
      <c r="E2318" s="14">
        <f>IF(F2318&lt;&gt;"","综合校验","")</f>
        <v/>
      </c>
      <c r="F2318" s="14">
        <f>IF('06_建筑锚点'!A318&lt;&gt;"",IF('06_建筑锚点'!A318="","缺少建筑ID；","")&amp;IF('06_建筑锚点'!B318="","缺少建筑名称；","")&amp;IF('06_建筑锚点'!C318="","缺少建筑类型；","")&amp;IF('06_建筑锚点'!D318="","缺少所属地点ID；","")&amp;IF('06_建筑锚点'!F318="","缺少世界X；","")&amp;IF('06_建筑锚点'!G318="","缺少世界Y；","")&amp;IF(AND('06_建筑锚点'!F318&lt;&gt;"",OR('06_建筑锚点'!F318&lt;0,'06_建筑锚点'!F318&gt;WorldWidth)),"世界X越界；","")&amp;IF(AND('06_建筑锚点'!G318&lt;&gt;"",OR('06_建筑锚点'!G318&lt;0,'06_建筑锚点'!G318&gt;WorldHeight)),"世界Y越界；","")&amp;IF(AND('06_建筑锚点'!D318&lt;&gt;"",COUNTIF('03_地点锚点'!$A$2:$A$501,'06_建筑锚点'!D318)=0),"建筑所属地点不存在；","")&amp;IF(AND('06_建筑锚点'!T318&lt;&gt;"",COUNTIF('07_动态状态'!$A$2:$A$501,'06_建筑锚点'!T318)=0),"运营状态编码不存在；","")&amp;IF(AND('06_建筑锚点'!A318&lt;&gt;"",COUNTIF('06_建筑锚点'!$A$2:$A$501,'06_建筑锚点'!A318)&gt;1),"ID重复；",""),"")</f>
        <v/>
      </c>
      <c r="G2318" s="14">
        <f>IF(F2318&lt;&gt;"","按字段批注、数据字典和来源记录修正后复核","")</f>
        <v/>
      </c>
      <c r="H2318" s="14">
        <f>IF(F2318&lt;&gt;"","待处理","")</f>
        <v/>
      </c>
    </row>
    <row r="2319">
      <c r="A2319" s="14">
        <f>IF(F2319&lt;&gt;"","ISSUE-"&amp;TEXT(ROW()-1,"00000"),"")</f>
        <v/>
      </c>
      <c r="B2319" s="14">
        <f>IF(F2319&lt;&gt;"","错误","")</f>
        <v/>
      </c>
      <c r="C2319" s="14">
        <f>IF('06_建筑锚点'!A319&lt;&gt;"","06_建筑锚点","")</f>
        <v/>
      </c>
      <c r="D2319" s="14">
        <f>IF('06_建筑锚点'!A319&lt;&gt;"",'06_建筑锚点'!A319,"")</f>
        <v/>
      </c>
      <c r="E2319" s="14">
        <f>IF(F2319&lt;&gt;"","综合校验","")</f>
        <v/>
      </c>
      <c r="F2319" s="14">
        <f>IF('06_建筑锚点'!A319&lt;&gt;"",IF('06_建筑锚点'!A319="","缺少建筑ID；","")&amp;IF('06_建筑锚点'!B319="","缺少建筑名称；","")&amp;IF('06_建筑锚点'!C319="","缺少建筑类型；","")&amp;IF('06_建筑锚点'!D319="","缺少所属地点ID；","")&amp;IF('06_建筑锚点'!F319="","缺少世界X；","")&amp;IF('06_建筑锚点'!G319="","缺少世界Y；","")&amp;IF(AND('06_建筑锚点'!F319&lt;&gt;"",OR('06_建筑锚点'!F319&lt;0,'06_建筑锚点'!F319&gt;WorldWidth)),"世界X越界；","")&amp;IF(AND('06_建筑锚点'!G319&lt;&gt;"",OR('06_建筑锚点'!G319&lt;0,'06_建筑锚点'!G319&gt;WorldHeight)),"世界Y越界；","")&amp;IF(AND('06_建筑锚点'!D319&lt;&gt;"",COUNTIF('03_地点锚点'!$A$2:$A$501,'06_建筑锚点'!D319)=0),"建筑所属地点不存在；","")&amp;IF(AND('06_建筑锚点'!T319&lt;&gt;"",COUNTIF('07_动态状态'!$A$2:$A$501,'06_建筑锚点'!T319)=0),"运营状态编码不存在；","")&amp;IF(AND('06_建筑锚点'!A319&lt;&gt;"",COUNTIF('06_建筑锚点'!$A$2:$A$501,'06_建筑锚点'!A319)&gt;1),"ID重复；",""),"")</f>
        <v/>
      </c>
      <c r="G2319" s="14">
        <f>IF(F2319&lt;&gt;"","按字段批注、数据字典和来源记录修正后复核","")</f>
        <v/>
      </c>
      <c r="H2319" s="14">
        <f>IF(F2319&lt;&gt;"","待处理","")</f>
        <v/>
      </c>
    </row>
    <row r="2320">
      <c r="A2320" s="14">
        <f>IF(F2320&lt;&gt;"","ISSUE-"&amp;TEXT(ROW()-1,"00000"),"")</f>
        <v/>
      </c>
      <c r="B2320" s="14">
        <f>IF(F2320&lt;&gt;"","错误","")</f>
        <v/>
      </c>
      <c r="C2320" s="14">
        <f>IF('06_建筑锚点'!A320&lt;&gt;"","06_建筑锚点","")</f>
        <v/>
      </c>
      <c r="D2320" s="14">
        <f>IF('06_建筑锚点'!A320&lt;&gt;"",'06_建筑锚点'!A320,"")</f>
        <v/>
      </c>
      <c r="E2320" s="14">
        <f>IF(F2320&lt;&gt;"","综合校验","")</f>
        <v/>
      </c>
      <c r="F2320" s="14">
        <f>IF('06_建筑锚点'!A320&lt;&gt;"",IF('06_建筑锚点'!A320="","缺少建筑ID；","")&amp;IF('06_建筑锚点'!B320="","缺少建筑名称；","")&amp;IF('06_建筑锚点'!C320="","缺少建筑类型；","")&amp;IF('06_建筑锚点'!D320="","缺少所属地点ID；","")&amp;IF('06_建筑锚点'!F320="","缺少世界X；","")&amp;IF('06_建筑锚点'!G320="","缺少世界Y；","")&amp;IF(AND('06_建筑锚点'!F320&lt;&gt;"",OR('06_建筑锚点'!F320&lt;0,'06_建筑锚点'!F320&gt;WorldWidth)),"世界X越界；","")&amp;IF(AND('06_建筑锚点'!G320&lt;&gt;"",OR('06_建筑锚点'!G320&lt;0,'06_建筑锚点'!G320&gt;WorldHeight)),"世界Y越界；","")&amp;IF(AND('06_建筑锚点'!D320&lt;&gt;"",COUNTIF('03_地点锚点'!$A$2:$A$501,'06_建筑锚点'!D320)=0),"建筑所属地点不存在；","")&amp;IF(AND('06_建筑锚点'!T320&lt;&gt;"",COUNTIF('07_动态状态'!$A$2:$A$501,'06_建筑锚点'!T320)=0),"运营状态编码不存在；","")&amp;IF(AND('06_建筑锚点'!A320&lt;&gt;"",COUNTIF('06_建筑锚点'!$A$2:$A$501,'06_建筑锚点'!A320)&gt;1),"ID重复；",""),"")</f>
        <v/>
      </c>
      <c r="G2320" s="14">
        <f>IF(F2320&lt;&gt;"","按字段批注、数据字典和来源记录修正后复核","")</f>
        <v/>
      </c>
      <c r="H2320" s="14">
        <f>IF(F2320&lt;&gt;"","待处理","")</f>
        <v/>
      </c>
    </row>
    <row r="2321">
      <c r="A2321" s="14">
        <f>IF(F2321&lt;&gt;"","ISSUE-"&amp;TEXT(ROW()-1,"00000"),"")</f>
        <v/>
      </c>
      <c r="B2321" s="14">
        <f>IF(F2321&lt;&gt;"","错误","")</f>
        <v/>
      </c>
      <c r="C2321" s="14">
        <f>IF('06_建筑锚点'!A321&lt;&gt;"","06_建筑锚点","")</f>
        <v/>
      </c>
      <c r="D2321" s="14">
        <f>IF('06_建筑锚点'!A321&lt;&gt;"",'06_建筑锚点'!A321,"")</f>
        <v/>
      </c>
      <c r="E2321" s="14">
        <f>IF(F2321&lt;&gt;"","综合校验","")</f>
        <v/>
      </c>
      <c r="F2321" s="14">
        <f>IF('06_建筑锚点'!A321&lt;&gt;"",IF('06_建筑锚点'!A321="","缺少建筑ID；","")&amp;IF('06_建筑锚点'!B321="","缺少建筑名称；","")&amp;IF('06_建筑锚点'!C321="","缺少建筑类型；","")&amp;IF('06_建筑锚点'!D321="","缺少所属地点ID；","")&amp;IF('06_建筑锚点'!F321="","缺少世界X；","")&amp;IF('06_建筑锚点'!G321="","缺少世界Y；","")&amp;IF(AND('06_建筑锚点'!F321&lt;&gt;"",OR('06_建筑锚点'!F321&lt;0,'06_建筑锚点'!F321&gt;WorldWidth)),"世界X越界；","")&amp;IF(AND('06_建筑锚点'!G321&lt;&gt;"",OR('06_建筑锚点'!G321&lt;0,'06_建筑锚点'!G321&gt;WorldHeight)),"世界Y越界；","")&amp;IF(AND('06_建筑锚点'!D321&lt;&gt;"",COUNTIF('03_地点锚点'!$A$2:$A$501,'06_建筑锚点'!D321)=0),"建筑所属地点不存在；","")&amp;IF(AND('06_建筑锚点'!T321&lt;&gt;"",COUNTIF('07_动态状态'!$A$2:$A$501,'06_建筑锚点'!T321)=0),"运营状态编码不存在；","")&amp;IF(AND('06_建筑锚点'!A321&lt;&gt;"",COUNTIF('06_建筑锚点'!$A$2:$A$501,'06_建筑锚点'!A321)&gt;1),"ID重复；",""),"")</f>
        <v/>
      </c>
      <c r="G2321" s="14">
        <f>IF(F2321&lt;&gt;"","按字段批注、数据字典和来源记录修正后复核","")</f>
        <v/>
      </c>
      <c r="H2321" s="14">
        <f>IF(F2321&lt;&gt;"","待处理","")</f>
        <v/>
      </c>
    </row>
    <row r="2322">
      <c r="A2322" s="14">
        <f>IF(F2322&lt;&gt;"","ISSUE-"&amp;TEXT(ROW()-1,"00000"),"")</f>
        <v/>
      </c>
      <c r="B2322" s="14">
        <f>IF(F2322&lt;&gt;"","错误","")</f>
        <v/>
      </c>
      <c r="C2322" s="14">
        <f>IF('06_建筑锚点'!A322&lt;&gt;"","06_建筑锚点","")</f>
        <v/>
      </c>
      <c r="D2322" s="14">
        <f>IF('06_建筑锚点'!A322&lt;&gt;"",'06_建筑锚点'!A322,"")</f>
        <v/>
      </c>
      <c r="E2322" s="14">
        <f>IF(F2322&lt;&gt;"","综合校验","")</f>
        <v/>
      </c>
      <c r="F2322" s="14">
        <f>IF('06_建筑锚点'!A322&lt;&gt;"",IF('06_建筑锚点'!A322="","缺少建筑ID；","")&amp;IF('06_建筑锚点'!B322="","缺少建筑名称；","")&amp;IF('06_建筑锚点'!C322="","缺少建筑类型；","")&amp;IF('06_建筑锚点'!D322="","缺少所属地点ID；","")&amp;IF('06_建筑锚点'!F322="","缺少世界X；","")&amp;IF('06_建筑锚点'!G322="","缺少世界Y；","")&amp;IF(AND('06_建筑锚点'!F322&lt;&gt;"",OR('06_建筑锚点'!F322&lt;0,'06_建筑锚点'!F322&gt;WorldWidth)),"世界X越界；","")&amp;IF(AND('06_建筑锚点'!G322&lt;&gt;"",OR('06_建筑锚点'!G322&lt;0,'06_建筑锚点'!G322&gt;WorldHeight)),"世界Y越界；","")&amp;IF(AND('06_建筑锚点'!D322&lt;&gt;"",COUNTIF('03_地点锚点'!$A$2:$A$501,'06_建筑锚点'!D322)=0),"建筑所属地点不存在；","")&amp;IF(AND('06_建筑锚点'!T322&lt;&gt;"",COUNTIF('07_动态状态'!$A$2:$A$501,'06_建筑锚点'!T322)=0),"运营状态编码不存在；","")&amp;IF(AND('06_建筑锚点'!A322&lt;&gt;"",COUNTIF('06_建筑锚点'!$A$2:$A$501,'06_建筑锚点'!A322)&gt;1),"ID重复；",""),"")</f>
        <v/>
      </c>
      <c r="G2322" s="14">
        <f>IF(F2322&lt;&gt;"","按字段批注、数据字典和来源记录修正后复核","")</f>
        <v/>
      </c>
      <c r="H2322" s="14">
        <f>IF(F2322&lt;&gt;"","待处理","")</f>
        <v/>
      </c>
    </row>
    <row r="2323">
      <c r="A2323" s="14">
        <f>IF(F2323&lt;&gt;"","ISSUE-"&amp;TEXT(ROW()-1,"00000"),"")</f>
        <v/>
      </c>
      <c r="B2323" s="14">
        <f>IF(F2323&lt;&gt;"","错误","")</f>
        <v/>
      </c>
      <c r="C2323" s="14">
        <f>IF('06_建筑锚点'!A323&lt;&gt;"","06_建筑锚点","")</f>
        <v/>
      </c>
      <c r="D2323" s="14">
        <f>IF('06_建筑锚点'!A323&lt;&gt;"",'06_建筑锚点'!A323,"")</f>
        <v/>
      </c>
      <c r="E2323" s="14">
        <f>IF(F2323&lt;&gt;"","综合校验","")</f>
        <v/>
      </c>
      <c r="F2323" s="14">
        <f>IF('06_建筑锚点'!A323&lt;&gt;"",IF('06_建筑锚点'!A323="","缺少建筑ID；","")&amp;IF('06_建筑锚点'!B323="","缺少建筑名称；","")&amp;IF('06_建筑锚点'!C323="","缺少建筑类型；","")&amp;IF('06_建筑锚点'!D323="","缺少所属地点ID；","")&amp;IF('06_建筑锚点'!F323="","缺少世界X；","")&amp;IF('06_建筑锚点'!G323="","缺少世界Y；","")&amp;IF(AND('06_建筑锚点'!F323&lt;&gt;"",OR('06_建筑锚点'!F323&lt;0,'06_建筑锚点'!F323&gt;WorldWidth)),"世界X越界；","")&amp;IF(AND('06_建筑锚点'!G323&lt;&gt;"",OR('06_建筑锚点'!G323&lt;0,'06_建筑锚点'!G323&gt;WorldHeight)),"世界Y越界；","")&amp;IF(AND('06_建筑锚点'!D323&lt;&gt;"",COUNTIF('03_地点锚点'!$A$2:$A$501,'06_建筑锚点'!D323)=0),"建筑所属地点不存在；","")&amp;IF(AND('06_建筑锚点'!T323&lt;&gt;"",COUNTIF('07_动态状态'!$A$2:$A$501,'06_建筑锚点'!T323)=0),"运营状态编码不存在；","")&amp;IF(AND('06_建筑锚点'!A323&lt;&gt;"",COUNTIF('06_建筑锚点'!$A$2:$A$501,'06_建筑锚点'!A323)&gt;1),"ID重复；",""),"")</f>
        <v/>
      </c>
      <c r="G2323" s="14">
        <f>IF(F2323&lt;&gt;"","按字段批注、数据字典和来源记录修正后复核","")</f>
        <v/>
      </c>
      <c r="H2323" s="14">
        <f>IF(F2323&lt;&gt;"","待处理","")</f>
        <v/>
      </c>
    </row>
    <row r="2324">
      <c r="A2324" s="14">
        <f>IF(F2324&lt;&gt;"","ISSUE-"&amp;TEXT(ROW()-1,"00000"),"")</f>
        <v/>
      </c>
      <c r="B2324" s="14">
        <f>IF(F2324&lt;&gt;"","错误","")</f>
        <v/>
      </c>
      <c r="C2324" s="14">
        <f>IF('06_建筑锚点'!A324&lt;&gt;"","06_建筑锚点","")</f>
        <v/>
      </c>
      <c r="D2324" s="14">
        <f>IF('06_建筑锚点'!A324&lt;&gt;"",'06_建筑锚点'!A324,"")</f>
        <v/>
      </c>
      <c r="E2324" s="14">
        <f>IF(F2324&lt;&gt;"","综合校验","")</f>
        <v/>
      </c>
      <c r="F2324" s="14">
        <f>IF('06_建筑锚点'!A324&lt;&gt;"",IF('06_建筑锚点'!A324="","缺少建筑ID；","")&amp;IF('06_建筑锚点'!B324="","缺少建筑名称；","")&amp;IF('06_建筑锚点'!C324="","缺少建筑类型；","")&amp;IF('06_建筑锚点'!D324="","缺少所属地点ID；","")&amp;IF('06_建筑锚点'!F324="","缺少世界X；","")&amp;IF('06_建筑锚点'!G324="","缺少世界Y；","")&amp;IF(AND('06_建筑锚点'!F324&lt;&gt;"",OR('06_建筑锚点'!F324&lt;0,'06_建筑锚点'!F324&gt;WorldWidth)),"世界X越界；","")&amp;IF(AND('06_建筑锚点'!G324&lt;&gt;"",OR('06_建筑锚点'!G324&lt;0,'06_建筑锚点'!G324&gt;WorldHeight)),"世界Y越界；","")&amp;IF(AND('06_建筑锚点'!D324&lt;&gt;"",COUNTIF('03_地点锚点'!$A$2:$A$501,'06_建筑锚点'!D324)=0),"建筑所属地点不存在；","")&amp;IF(AND('06_建筑锚点'!T324&lt;&gt;"",COUNTIF('07_动态状态'!$A$2:$A$501,'06_建筑锚点'!T324)=0),"运营状态编码不存在；","")&amp;IF(AND('06_建筑锚点'!A324&lt;&gt;"",COUNTIF('06_建筑锚点'!$A$2:$A$501,'06_建筑锚点'!A324)&gt;1),"ID重复；",""),"")</f>
        <v/>
      </c>
      <c r="G2324" s="14">
        <f>IF(F2324&lt;&gt;"","按字段批注、数据字典和来源记录修正后复核","")</f>
        <v/>
      </c>
      <c r="H2324" s="14">
        <f>IF(F2324&lt;&gt;"","待处理","")</f>
        <v/>
      </c>
    </row>
    <row r="2325">
      <c r="A2325" s="14">
        <f>IF(F2325&lt;&gt;"","ISSUE-"&amp;TEXT(ROW()-1,"00000"),"")</f>
        <v/>
      </c>
      <c r="B2325" s="14">
        <f>IF(F2325&lt;&gt;"","错误","")</f>
        <v/>
      </c>
      <c r="C2325" s="14">
        <f>IF('06_建筑锚点'!A325&lt;&gt;"","06_建筑锚点","")</f>
        <v/>
      </c>
      <c r="D2325" s="14">
        <f>IF('06_建筑锚点'!A325&lt;&gt;"",'06_建筑锚点'!A325,"")</f>
        <v/>
      </c>
      <c r="E2325" s="14">
        <f>IF(F2325&lt;&gt;"","综合校验","")</f>
        <v/>
      </c>
      <c r="F2325" s="14">
        <f>IF('06_建筑锚点'!A325&lt;&gt;"",IF('06_建筑锚点'!A325="","缺少建筑ID；","")&amp;IF('06_建筑锚点'!B325="","缺少建筑名称；","")&amp;IF('06_建筑锚点'!C325="","缺少建筑类型；","")&amp;IF('06_建筑锚点'!D325="","缺少所属地点ID；","")&amp;IF('06_建筑锚点'!F325="","缺少世界X；","")&amp;IF('06_建筑锚点'!G325="","缺少世界Y；","")&amp;IF(AND('06_建筑锚点'!F325&lt;&gt;"",OR('06_建筑锚点'!F325&lt;0,'06_建筑锚点'!F325&gt;WorldWidth)),"世界X越界；","")&amp;IF(AND('06_建筑锚点'!G325&lt;&gt;"",OR('06_建筑锚点'!G325&lt;0,'06_建筑锚点'!G325&gt;WorldHeight)),"世界Y越界；","")&amp;IF(AND('06_建筑锚点'!D325&lt;&gt;"",COUNTIF('03_地点锚点'!$A$2:$A$501,'06_建筑锚点'!D325)=0),"建筑所属地点不存在；","")&amp;IF(AND('06_建筑锚点'!T325&lt;&gt;"",COUNTIF('07_动态状态'!$A$2:$A$501,'06_建筑锚点'!T325)=0),"运营状态编码不存在；","")&amp;IF(AND('06_建筑锚点'!A325&lt;&gt;"",COUNTIF('06_建筑锚点'!$A$2:$A$501,'06_建筑锚点'!A325)&gt;1),"ID重复；",""),"")</f>
        <v/>
      </c>
      <c r="G2325" s="14">
        <f>IF(F2325&lt;&gt;"","按字段批注、数据字典和来源记录修正后复核","")</f>
        <v/>
      </c>
      <c r="H2325" s="14">
        <f>IF(F2325&lt;&gt;"","待处理","")</f>
        <v/>
      </c>
    </row>
    <row r="2326">
      <c r="A2326" s="14">
        <f>IF(F2326&lt;&gt;"","ISSUE-"&amp;TEXT(ROW()-1,"00000"),"")</f>
        <v/>
      </c>
      <c r="B2326" s="14">
        <f>IF(F2326&lt;&gt;"","错误","")</f>
        <v/>
      </c>
      <c r="C2326" s="14">
        <f>IF('06_建筑锚点'!A326&lt;&gt;"","06_建筑锚点","")</f>
        <v/>
      </c>
      <c r="D2326" s="14">
        <f>IF('06_建筑锚点'!A326&lt;&gt;"",'06_建筑锚点'!A326,"")</f>
        <v/>
      </c>
      <c r="E2326" s="14">
        <f>IF(F2326&lt;&gt;"","综合校验","")</f>
        <v/>
      </c>
      <c r="F2326" s="14">
        <f>IF('06_建筑锚点'!A326&lt;&gt;"",IF('06_建筑锚点'!A326="","缺少建筑ID；","")&amp;IF('06_建筑锚点'!B326="","缺少建筑名称；","")&amp;IF('06_建筑锚点'!C326="","缺少建筑类型；","")&amp;IF('06_建筑锚点'!D326="","缺少所属地点ID；","")&amp;IF('06_建筑锚点'!F326="","缺少世界X；","")&amp;IF('06_建筑锚点'!G326="","缺少世界Y；","")&amp;IF(AND('06_建筑锚点'!F326&lt;&gt;"",OR('06_建筑锚点'!F326&lt;0,'06_建筑锚点'!F326&gt;WorldWidth)),"世界X越界；","")&amp;IF(AND('06_建筑锚点'!G326&lt;&gt;"",OR('06_建筑锚点'!G326&lt;0,'06_建筑锚点'!G326&gt;WorldHeight)),"世界Y越界；","")&amp;IF(AND('06_建筑锚点'!D326&lt;&gt;"",COUNTIF('03_地点锚点'!$A$2:$A$501,'06_建筑锚点'!D326)=0),"建筑所属地点不存在；","")&amp;IF(AND('06_建筑锚点'!T326&lt;&gt;"",COUNTIF('07_动态状态'!$A$2:$A$501,'06_建筑锚点'!T326)=0),"运营状态编码不存在；","")&amp;IF(AND('06_建筑锚点'!A326&lt;&gt;"",COUNTIF('06_建筑锚点'!$A$2:$A$501,'06_建筑锚点'!A326)&gt;1),"ID重复；",""),"")</f>
        <v/>
      </c>
      <c r="G2326" s="14">
        <f>IF(F2326&lt;&gt;"","按字段批注、数据字典和来源记录修正后复核","")</f>
        <v/>
      </c>
      <c r="H2326" s="14">
        <f>IF(F2326&lt;&gt;"","待处理","")</f>
        <v/>
      </c>
    </row>
    <row r="2327">
      <c r="A2327" s="14">
        <f>IF(F2327&lt;&gt;"","ISSUE-"&amp;TEXT(ROW()-1,"00000"),"")</f>
        <v/>
      </c>
      <c r="B2327" s="14">
        <f>IF(F2327&lt;&gt;"","错误","")</f>
        <v/>
      </c>
      <c r="C2327" s="14">
        <f>IF('06_建筑锚点'!A327&lt;&gt;"","06_建筑锚点","")</f>
        <v/>
      </c>
      <c r="D2327" s="14">
        <f>IF('06_建筑锚点'!A327&lt;&gt;"",'06_建筑锚点'!A327,"")</f>
        <v/>
      </c>
      <c r="E2327" s="14">
        <f>IF(F2327&lt;&gt;"","综合校验","")</f>
        <v/>
      </c>
      <c r="F2327" s="14">
        <f>IF('06_建筑锚点'!A327&lt;&gt;"",IF('06_建筑锚点'!A327="","缺少建筑ID；","")&amp;IF('06_建筑锚点'!B327="","缺少建筑名称；","")&amp;IF('06_建筑锚点'!C327="","缺少建筑类型；","")&amp;IF('06_建筑锚点'!D327="","缺少所属地点ID；","")&amp;IF('06_建筑锚点'!F327="","缺少世界X；","")&amp;IF('06_建筑锚点'!G327="","缺少世界Y；","")&amp;IF(AND('06_建筑锚点'!F327&lt;&gt;"",OR('06_建筑锚点'!F327&lt;0,'06_建筑锚点'!F327&gt;WorldWidth)),"世界X越界；","")&amp;IF(AND('06_建筑锚点'!G327&lt;&gt;"",OR('06_建筑锚点'!G327&lt;0,'06_建筑锚点'!G327&gt;WorldHeight)),"世界Y越界；","")&amp;IF(AND('06_建筑锚点'!D327&lt;&gt;"",COUNTIF('03_地点锚点'!$A$2:$A$501,'06_建筑锚点'!D327)=0),"建筑所属地点不存在；","")&amp;IF(AND('06_建筑锚点'!T327&lt;&gt;"",COUNTIF('07_动态状态'!$A$2:$A$501,'06_建筑锚点'!T327)=0),"运营状态编码不存在；","")&amp;IF(AND('06_建筑锚点'!A327&lt;&gt;"",COUNTIF('06_建筑锚点'!$A$2:$A$501,'06_建筑锚点'!A327)&gt;1),"ID重复；",""),"")</f>
        <v/>
      </c>
      <c r="G2327" s="14">
        <f>IF(F2327&lt;&gt;"","按字段批注、数据字典和来源记录修正后复核","")</f>
        <v/>
      </c>
      <c r="H2327" s="14">
        <f>IF(F2327&lt;&gt;"","待处理","")</f>
        <v/>
      </c>
    </row>
    <row r="2328">
      <c r="A2328" s="14">
        <f>IF(F2328&lt;&gt;"","ISSUE-"&amp;TEXT(ROW()-1,"00000"),"")</f>
        <v/>
      </c>
      <c r="B2328" s="14">
        <f>IF(F2328&lt;&gt;"","错误","")</f>
        <v/>
      </c>
      <c r="C2328" s="14">
        <f>IF('06_建筑锚点'!A328&lt;&gt;"","06_建筑锚点","")</f>
        <v/>
      </c>
      <c r="D2328" s="14">
        <f>IF('06_建筑锚点'!A328&lt;&gt;"",'06_建筑锚点'!A328,"")</f>
        <v/>
      </c>
      <c r="E2328" s="14">
        <f>IF(F2328&lt;&gt;"","综合校验","")</f>
        <v/>
      </c>
      <c r="F2328" s="14">
        <f>IF('06_建筑锚点'!A328&lt;&gt;"",IF('06_建筑锚点'!A328="","缺少建筑ID；","")&amp;IF('06_建筑锚点'!B328="","缺少建筑名称；","")&amp;IF('06_建筑锚点'!C328="","缺少建筑类型；","")&amp;IF('06_建筑锚点'!D328="","缺少所属地点ID；","")&amp;IF('06_建筑锚点'!F328="","缺少世界X；","")&amp;IF('06_建筑锚点'!G328="","缺少世界Y；","")&amp;IF(AND('06_建筑锚点'!F328&lt;&gt;"",OR('06_建筑锚点'!F328&lt;0,'06_建筑锚点'!F328&gt;WorldWidth)),"世界X越界；","")&amp;IF(AND('06_建筑锚点'!G328&lt;&gt;"",OR('06_建筑锚点'!G328&lt;0,'06_建筑锚点'!G328&gt;WorldHeight)),"世界Y越界；","")&amp;IF(AND('06_建筑锚点'!D328&lt;&gt;"",COUNTIF('03_地点锚点'!$A$2:$A$501,'06_建筑锚点'!D328)=0),"建筑所属地点不存在；","")&amp;IF(AND('06_建筑锚点'!T328&lt;&gt;"",COUNTIF('07_动态状态'!$A$2:$A$501,'06_建筑锚点'!T328)=0),"运营状态编码不存在；","")&amp;IF(AND('06_建筑锚点'!A328&lt;&gt;"",COUNTIF('06_建筑锚点'!$A$2:$A$501,'06_建筑锚点'!A328)&gt;1),"ID重复；",""),"")</f>
        <v/>
      </c>
      <c r="G2328" s="14">
        <f>IF(F2328&lt;&gt;"","按字段批注、数据字典和来源记录修正后复核","")</f>
        <v/>
      </c>
      <c r="H2328" s="14">
        <f>IF(F2328&lt;&gt;"","待处理","")</f>
        <v/>
      </c>
    </row>
    <row r="2329">
      <c r="A2329" s="14">
        <f>IF(F2329&lt;&gt;"","ISSUE-"&amp;TEXT(ROW()-1,"00000"),"")</f>
        <v/>
      </c>
      <c r="B2329" s="14">
        <f>IF(F2329&lt;&gt;"","错误","")</f>
        <v/>
      </c>
      <c r="C2329" s="14">
        <f>IF('06_建筑锚点'!A329&lt;&gt;"","06_建筑锚点","")</f>
        <v/>
      </c>
      <c r="D2329" s="14">
        <f>IF('06_建筑锚点'!A329&lt;&gt;"",'06_建筑锚点'!A329,"")</f>
        <v/>
      </c>
      <c r="E2329" s="14">
        <f>IF(F2329&lt;&gt;"","综合校验","")</f>
        <v/>
      </c>
      <c r="F2329" s="14">
        <f>IF('06_建筑锚点'!A329&lt;&gt;"",IF('06_建筑锚点'!A329="","缺少建筑ID；","")&amp;IF('06_建筑锚点'!B329="","缺少建筑名称；","")&amp;IF('06_建筑锚点'!C329="","缺少建筑类型；","")&amp;IF('06_建筑锚点'!D329="","缺少所属地点ID；","")&amp;IF('06_建筑锚点'!F329="","缺少世界X；","")&amp;IF('06_建筑锚点'!G329="","缺少世界Y；","")&amp;IF(AND('06_建筑锚点'!F329&lt;&gt;"",OR('06_建筑锚点'!F329&lt;0,'06_建筑锚点'!F329&gt;WorldWidth)),"世界X越界；","")&amp;IF(AND('06_建筑锚点'!G329&lt;&gt;"",OR('06_建筑锚点'!G329&lt;0,'06_建筑锚点'!G329&gt;WorldHeight)),"世界Y越界；","")&amp;IF(AND('06_建筑锚点'!D329&lt;&gt;"",COUNTIF('03_地点锚点'!$A$2:$A$501,'06_建筑锚点'!D329)=0),"建筑所属地点不存在；","")&amp;IF(AND('06_建筑锚点'!T329&lt;&gt;"",COUNTIF('07_动态状态'!$A$2:$A$501,'06_建筑锚点'!T329)=0),"运营状态编码不存在；","")&amp;IF(AND('06_建筑锚点'!A329&lt;&gt;"",COUNTIF('06_建筑锚点'!$A$2:$A$501,'06_建筑锚点'!A329)&gt;1),"ID重复；",""),"")</f>
        <v/>
      </c>
      <c r="G2329" s="14">
        <f>IF(F2329&lt;&gt;"","按字段批注、数据字典和来源记录修正后复核","")</f>
        <v/>
      </c>
      <c r="H2329" s="14">
        <f>IF(F2329&lt;&gt;"","待处理","")</f>
        <v/>
      </c>
    </row>
    <row r="2330">
      <c r="A2330" s="14">
        <f>IF(F2330&lt;&gt;"","ISSUE-"&amp;TEXT(ROW()-1,"00000"),"")</f>
        <v/>
      </c>
      <c r="B2330" s="14">
        <f>IF(F2330&lt;&gt;"","错误","")</f>
        <v/>
      </c>
      <c r="C2330" s="14">
        <f>IF('06_建筑锚点'!A330&lt;&gt;"","06_建筑锚点","")</f>
        <v/>
      </c>
      <c r="D2330" s="14">
        <f>IF('06_建筑锚点'!A330&lt;&gt;"",'06_建筑锚点'!A330,"")</f>
        <v/>
      </c>
      <c r="E2330" s="14">
        <f>IF(F2330&lt;&gt;"","综合校验","")</f>
        <v/>
      </c>
      <c r="F2330" s="14">
        <f>IF('06_建筑锚点'!A330&lt;&gt;"",IF('06_建筑锚点'!A330="","缺少建筑ID；","")&amp;IF('06_建筑锚点'!B330="","缺少建筑名称；","")&amp;IF('06_建筑锚点'!C330="","缺少建筑类型；","")&amp;IF('06_建筑锚点'!D330="","缺少所属地点ID；","")&amp;IF('06_建筑锚点'!F330="","缺少世界X；","")&amp;IF('06_建筑锚点'!G330="","缺少世界Y；","")&amp;IF(AND('06_建筑锚点'!F330&lt;&gt;"",OR('06_建筑锚点'!F330&lt;0,'06_建筑锚点'!F330&gt;WorldWidth)),"世界X越界；","")&amp;IF(AND('06_建筑锚点'!G330&lt;&gt;"",OR('06_建筑锚点'!G330&lt;0,'06_建筑锚点'!G330&gt;WorldHeight)),"世界Y越界；","")&amp;IF(AND('06_建筑锚点'!D330&lt;&gt;"",COUNTIF('03_地点锚点'!$A$2:$A$501,'06_建筑锚点'!D330)=0),"建筑所属地点不存在；","")&amp;IF(AND('06_建筑锚点'!T330&lt;&gt;"",COUNTIF('07_动态状态'!$A$2:$A$501,'06_建筑锚点'!T330)=0),"运营状态编码不存在；","")&amp;IF(AND('06_建筑锚点'!A330&lt;&gt;"",COUNTIF('06_建筑锚点'!$A$2:$A$501,'06_建筑锚点'!A330)&gt;1),"ID重复；",""),"")</f>
        <v/>
      </c>
      <c r="G2330" s="14">
        <f>IF(F2330&lt;&gt;"","按字段批注、数据字典和来源记录修正后复核","")</f>
        <v/>
      </c>
      <c r="H2330" s="14">
        <f>IF(F2330&lt;&gt;"","待处理","")</f>
        <v/>
      </c>
    </row>
    <row r="2331">
      <c r="A2331" s="14">
        <f>IF(F2331&lt;&gt;"","ISSUE-"&amp;TEXT(ROW()-1,"00000"),"")</f>
        <v/>
      </c>
      <c r="B2331" s="14">
        <f>IF(F2331&lt;&gt;"","错误","")</f>
        <v/>
      </c>
      <c r="C2331" s="14">
        <f>IF('06_建筑锚点'!A331&lt;&gt;"","06_建筑锚点","")</f>
        <v/>
      </c>
      <c r="D2331" s="14">
        <f>IF('06_建筑锚点'!A331&lt;&gt;"",'06_建筑锚点'!A331,"")</f>
        <v/>
      </c>
      <c r="E2331" s="14">
        <f>IF(F2331&lt;&gt;"","综合校验","")</f>
        <v/>
      </c>
      <c r="F2331" s="14">
        <f>IF('06_建筑锚点'!A331&lt;&gt;"",IF('06_建筑锚点'!A331="","缺少建筑ID；","")&amp;IF('06_建筑锚点'!B331="","缺少建筑名称；","")&amp;IF('06_建筑锚点'!C331="","缺少建筑类型；","")&amp;IF('06_建筑锚点'!D331="","缺少所属地点ID；","")&amp;IF('06_建筑锚点'!F331="","缺少世界X；","")&amp;IF('06_建筑锚点'!G331="","缺少世界Y；","")&amp;IF(AND('06_建筑锚点'!F331&lt;&gt;"",OR('06_建筑锚点'!F331&lt;0,'06_建筑锚点'!F331&gt;WorldWidth)),"世界X越界；","")&amp;IF(AND('06_建筑锚点'!G331&lt;&gt;"",OR('06_建筑锚点'!G331&lt;0,'06_建筑锚点'!G331&gt;WorldHeight)),"世界Y越界；","")&amp;IF(AND('06_建筑锚点'!D331&lt;&gt;"",COUNTIF('03_地点锚点'!$A$2:$A$501,'06_建筑锚点'!D331)=0),"建筑所属地点不存在；","")&amp;IF(AND('06_建筑锚点'!T331&lt;&gt;"",COUNTIF('07_动态状态'!$A$2:$A$501,'06_建筑锚点'!T331)=0),"运营状态编码不存在；","")&amp;IF(AND('06_建筑锚点'!A331&lt;&gt;"",COUNTIF('06_建筑锚点'!$A$2:$A$501,'06_建筑锚点'!A331)&gt;1),"ID重复；",""),"")</f>
        <v/>
      </c>
      <c r="G2331" s="14">
        <f>IF(F2331&lt;&gt;"","按字段批注、数据字典和来源记录修正后复核","")</f>
        <v/>
      </c>
      <c r="H2331" s="14">
        <f>IF(F2331&lt;&gt;"","待处理","")</f>
        <v/>
      </c>
    </row>
    <row r="2332">
      <c r="A2332" s="14">
        <f>IF(F2332&lt;&gt;"","ISSUE-"&amp;TEXT(ROW()-1,"00000"),"")</f>
        <v/>
      </c>
      <c r="B2332" s="14">
        <f>IF(F2332&lt;&gt;"","错误","")</f>
        <v/>
      </c>
      <c r="C2332" s="14">
        <f>IF('06_建筑锚点'!A332&lt;&gt;"","06_建筑锚点","")</f>
        <v/>
      </c>
      <c r="D2332" s="14">
        <f>IF('06_建筑锚点'!A332&lt;&gt;"",'06_建筑锚点'!A332,"")</f>
        <v/>
      </c>
      <c r="E2332" s="14">
        <f>IF(F2332&lt;&gt;"","综合校验","")</f>
        <v/>
      </c>
      <c r="F2332" s="14">
        <f>IF('06_建筑锚点'!A332&lt;&gt;"",IF('06_建筑锚点'!A332="","缺少建筑ID；","")&amp;IF('06_建筑锚点'!B332="","缺少建筑名称；","")&amp;IF('06_建筑锚点'!C332="","缺少建筑类型；","")&amp;IF('06_建筑锚点'!D332="","缺少所属地点ID；","")&amp;IF('06_建筑锚点'!F332="","缺少世界X；","")&amp;IF('06_建筑锚点'!G332="","缺少世界Y；","")&amp;IF(AND('06_建筑锚点'!F332&lt;&gt;"",OR('06_建筑锚点'!F332&lt;0,'06_建筑锚点'!F332&gt;WorldWidth)),"世界X越界；","")&amp;IF(AND('06_建筑锚点'!G332&lt;&gt;"",OR('06_建筑锚点'!G332&lt;0,'06_建筑锚点'!G332&gt;WorldHeight)),"世界Y越界；","")&amp;IF(AND('06_建筑锚点'!D332&lt;&gt;"",COUNTIF('03_地点锚点'!$A$2:$A$501,'06_建筑锚点'!D332)=0),"建筑所属地点不存在；","")&amp;IF(AND('06_建筑锚点'!T332&lt;&gt;"",COUNTIF('07_动态状态'!$A$2:$A$501,'06_建筑锚点'!T332)=0),"运营状态编码不存在；","")&amp;IF(AND('06_建筑锚点'!A332&lt;&gt;"",COUNTIF('06_建筑锚点'!$A$2:$A$501,'06_建筑锚点'!A332)&gt;1),"ID重复；",""),"")</f>
        <v/>
      </c>
      <c r="G2332" s="14">
        <f>IF(F2332&lt;&gt;"","按字段批注、数据字典和来源记录修正后复核","")</f>
        <v/>
      </c>
      <c r="H2332" s="14">
        <f>IF(F2332&lt;&gt;"","待处理","")</f>
        <v/>
      </c>
    </row>
    <row r="2333">
      <c r="A2333" s="14">
        <f>IF(F2333&lt;&gt;"","ISSUE-"&amp;TEXT(ROW()-1,"00000"),"")</f>
        <v/>
      </c>
      <c r="B2333" s="14">
        <f>IF(F2333&lt;&gt;"","错误","")</f>
        <v/>
      </c>
      <c r="C2333" s="14">
        <f>IF('06_建筑锚点'!A333&lt;&gt;"","06_建筑锚点","")</f>
        <v/>
      </c>
      <c r="D2333" s="14">
        <f>IF('06_建筑锚点'!A333&lt;&gt;"",'06_建筑锚点'!A333,"")</f>
        <v/>
      </c>
      <c r="E2333" s="14">
        <f>IF(F2333&lt;&gt;"","综合校验","")</f>
        <v/>
      </c>
      <c r="F2333" s="14">
        <f>IF('06_建筑锚点'!A333&lt;&gt;"",IF('06_建筑锚点'!A333="","缺少建筑ID；","")&amp;IF('06_建筑锚点'!B333="","缺少建筑名称；","")&amp;IF('06_建筑锚点'!C333="","缺少建筑类型；","")&amp;IF('06_建筑锚点'!D333="","缺少所属地点ID；","")&amp;IF('06_建筑锚点'!F333="","缺少世界X；","")&amp;IF('06_建筑锚点'!G333="","缺少世界Y；","")&amp;IF(AND('06_建筑锚点'!F333&lt;&gt;"",OR('06_建筑锚点'!F333&lt;0,'06_建筑锚点'!F333&gt;WorldWidth)),"世界X越界；","")&amp;IF(AND('06_建筑锚点'!G333&lt;&gt;"",OR('06_建筑锚点'!G333&lt;0,'06_建筑锚点'!G333&gt;WorldHeight)),"世界Y越界；","")&amp;IF(AND('06_建筑锚点'!D333&lt;&gt;"",COUNTIF('03_地点锚点'!$A$2:$A$501,'06_建筑锚点'!D333)=0),"建筑所属地点不存在；","")&amp;IF(AND('06_建筑锚点'!T333&lt;&gt;"",COUNTIF('07_动态状态'!$A$2:$A$501,'06_建筑锚点'!T333)=0),"运营状态编码不存在；","")&amp;IF(AND('06_建筑锚点'!A333&lt;&gt;"",COUNTIF('06_建筑锚点'!$A$2:$A$501,'06_建筑锚点'!A333)&gt;1),"ID重复；",""),"")</f>
        <v/>
      </c>
      <c r="G2333" s="14">
        <f>IF(F2333&lt;&gt;"","按字段批注、数据字典和来源记录修正后复核","")</f>
        <v/>
      </c>
      <c r="H2333" s="14">
        <f>IF(F2333&lt;&gt;"","待处理","")</f>
        <v/>
      </c>
    </row>
    <row r="2334">
      <c r="A2334" s="14">
        <f>IF(F2334&lt;&gt;"","ISSUE-"&amp;TEXT(ROW()-1,"00000"),"")</f>
        <v/>
      </c>
      <c r="B2334" s="14">
        <f>IF(F2334&lt;&gt;"","错误","")</f>
        <v/>
      </c>
      <c r="C2334" s="14">
        <f>IF('06_建筑锚点'!A334&lt;&gt;"","06_建筑锚点","")</f>
        <v/>
      </c>
      <c r="D2334" s="14">
        <f>IF('06_建筑锚点'!A334&lt;&gt;"",'06_建筑锚点'!A334,"")</f>
        <v/>
      </c>
      <c r="E2334" s="14">
        <f>IF(F2334&lt;&gt;"","综合校验","")</f>
        <v/>
      </c>
      <c r="F2334" s="14">
        <f>IF('06_建筑锚点'!A334&lt;&gt;"",IF('06_建筑锚点'!A334="","缺少建筑ID；","")&amp;IF('06_建筑锚点'!B334="","缺少建筑名称；","")&amp;IF('06_建筑锚点'!C334="","缺少建筑类型；","")&amp;IF('06_建筑锚点'!D334="","缺少所属地点ID；","")&amp;IF('06_建筑锚点'!F334="","缺少世界X；","")&amp;IF('06_建筑锚点'!G334="","缺少世界Y；","")&amp;IF(AND('06_建筑锚点'!F334&lt;&gt;"",OR('06_建筑锚点'!F334&lt;0,'06_建筑锚点'!F334&gt;WorldWidth)),"世界X越界；","")&amp;IF(AND('06_建筑锚点'!G334&lt;&gt;"",OR('06_建筑锚点'!G334&lt;0,'06_建筑锚点'!G334&gt;WorldHeight)),"世界Y越界；","")&amp;IF(AND('06_建筑锚点'!D334&lt;&gt;"",COUNTIF('03_地点锚点'!$A$2:$A$501,'06_建筑锚点'!D334)=0),"建筑所属地点不存在；","")&amp;IF(AND('06_建筑锚点'!T334&lt;&gt;"",COUNTIF('07_动态状态'!$A$2:$A$501,'06_建筑锚点'!T334)=0),"运营状态编码不存在；","")&amp;IF(AND('06_建筑锚点'!A334&lt;&gt;"",COUNTIF('06_建筑锚点'!$A$2:$A$501,'06_建筑锚点'!A334)&gt;1),"ID重复；",""),"")</f>
        <v/>
      </c>
      <c r="G2334" s="14">
        <f>IF(F2334&lt;&gt;"","按字段批注、数据字典和来源记录修正后复核","")</f>
        <v/>
      </c>
      <c r="H2334" s="14">
        <f>IF(F2334&lt;&gt;"","待处理","")</f>
        <v/>
      </c>
    </row>
    <row r="2335">
      <c r="A2335" s="14">
        <f>IF(F2335&lt;&gt;"","ISSUE-"&amp;TEXT(ROW()-1,"00000"),"")</f>
        <v/>
      </c>
      <c r="B2335" s="14">
        <f>IF(F2335&lt;&gt;"","错误","")</f>
        <v/>
      </c>
      <c r="C2335" s="14">
        <f>IF('06_建筑锚点'!A335&lt;&gt;"","06_建筑锚点","")</f>
        <v/>
      </c>
      <c r="D2335" s="14">
        <f>IF('06_建筑锚点'!A335&lt;&gt;"",'06_建筑锚点'!A335,"")</f>
        <v/>
      </c>
      <c r="E2335" s="14">
        <f>IF(F2335&lt;&gt;"","综合校验","")</f>
        <v/>
      </c>
      <c r="F2335" s="14">
        <f>IF('06_建筑锚点'!A335&lt;&gt;"",IF('06_建筑锚点'!A335="","缺少建筑ID；","")&amp;IF('06_建筑锚点'!B335="","缺少建筑名称；","")&amp;IF('06_建筑锚点'!C335="","缺少建筑类型；","")&amp;IF('06_建筑锚点'!D335="","缺少所属地点ID；","")&amp;IF('06_建筑锚点'!F335="","缺少世界X；","")&amp;IF('06_建筑锚点'!G335="","缺少世界Y；","")&amp;IF(AND('06_建筑锚点'!F335&lt;&gt;"",OR('06_建筑锚点'!F335&lt;0,'06_建筑锚点'!F335&gt;WorldWidth)),"世界X越界；","")&amp;IF(AND('06_建筑锚点'!G335&lt;&gt;"",OR('06_建筑锚点'!G335&lt;0,'06_建筑锚点'!G335&gt;WorldHeight)),"世界Y越界；","")&amp;IF(AND('06_建筑锚点'!D335&lt;&gt;"",COUNTIF('03_地点锚点'!$A$2:$A$501,'06_建筑锚点'!D335)=0),"建筑所属地点不存在；","")&amp;IF(AND('06_建筑锚点'!T335&lt;&gt;"",COUNTIF('07_动态状态'!$A$2:$A$501,'06_建筑锚点'!T335)=0),"运营状态编码不存在；","")&amp;IF(AND('06_建筑锚点'!A335&lt;&gt;"",COUNTIF('06_建筑锚点'!$A$2:$A$501,'06_建筑锚点'!A335)&gt;1),"ID重复；",""),"")</f>
        <v/>
      </c>
      <c r="G2335" s="14">
        <f>IF(F2335&lt;&gt;"","按字段批注、数据字典和来源记录修正后复核","")</f>
        <v/>
      </c>
      <c r="H2335" s="14">
        <f>IF(F2335&lt;&gt;"","待处理","")</f>
        <v/>
      </c>
    </row>
    <row r="2336">
      <c r="A2336" s="14">
        <f>IF(F2336&lt;&gt;"","ISSUE-"&amp;TEXT(ROW()-1,"00000"),"")</f>
        <v/>
      </c>
      <c r="B2336" s="14">
        <f>IF(F2336&lt;&gt;"","错误","")</f>
        <v/>
      </c>
      <c r="C2336" s="14">
        <f>IF('06_建筑锚点'!A336&lt;&gt;"","06_建筑锚点","")</f>
        <v/>
      </c>
      <c r="D2336" s="14">
        <f>IF('06_建筑锚点'!A336&lt;&gt;"",'06_建筑锚点'!A336,"")</f>
        <v/>
      </c>
      <c r="E2336" s="14">
        <f>IF(F2336&lt;&gt;"","综合校验","")</f>
        <v/>
      </c>
      <c r="F2336" s="14">
        <f>IF('06_建筑锚点'!A336&lt;&gt;"",IF('06_建筑锚点'!A336="","缺少建筑ID；","")&amp;IF('06_建筑锚点'!B336="","缺少建筑名称；","")&amp;IF('06_建筑锚点'!C336="","缺少建筑类型；","")&amp;IF('06_建筑锚点'!D336="","缺少所属地点ID；","")&amp;IF('06_建筑锚点'!F336="","缺少世界X；","")&amp;IF('06_建筑锚点'!G336="","缺少世界Y；","")&amp;IF(AND('06_建筑锚点'!F336&lt;&gt;"",OR('06_建筑锚点'!F336&lt;0,'06_建筑锚点'!F336&gt;WorldWidth)),"世界X越界；","")&amp;IF(AND('06_建筑锚点'!G336&lt;&gt;"",OR('06_建筑锚点'!G336&lt;0,'06_建筑锚点'!G336&gt;WorldHeight)),"世界Y越界；","")&amp;IF(AND('06_建筑锚点'!D336&lt;&gt;"",COUNTIF('03_地点锚点'!$A$2:$A$501,'06_建筑锚点'!D336)=0),"建筑所属地点不存在；","")&amp;IF(AND('06_建筑锚点'!T336&lt;&gt;"",COUNTIF('07_动态状态'!$A$2:$A$501,'06_建筑锚点'!T336)=0),"运营状态编码不存在；","")&amp;IF(AND('06_建筑锚点'!A336&lt;&gt;"",COUNTIF('06_建筑锚点'!$A$2:$A$501,'06_建筑锚点'!A336)&gt;1),"ID重复；",""),"")</f>
        <v/>
      </c>
      <c r="G2336" s="14">
        <f>IF(F2336&lt;&gt;"","按字段批注、数据字典和来源记录修正后复核","")</f>
        <v/>
      </c>
      <c r="H2336" s="14">
        <f>IF(F2336&lt;&gt;"","待处理","")</f>
        <v/>
      </c>
    </row>
    <row r="2337">
      <c r="A2337" s="14">
        <f>IF(F2337&lt;&gt;"","ISSUE-"&amp;TEXT(ROW()-1,"00000"),"")</f>
        <v/>
      </c>
      <c r="B2337" s="14">
        <f>IF(F2337&lt;&gt;"","错误","")</f>
        <v/>
      </c>
      <c r="C2337" s="14">
        <f>IF('06_建筑锚点'!A337&lt;&gt;"","06_建筑锚点","")</f>
        <v/>
      </c>
      <c r="D2337" s="14">
        <f>IF('06_建筑锚点'!A337&lt;&gt;"",'06_建筑锚点'!A337,"")</f>
        <v/>
      </c>
      <c r="E2337" s="14">
        <f>IF(F2337&lt;&gt;"","综合校验","")</f>
        <v/>
      </c>
      <c r="F2337" s="14">
        <f>IF('06_建筑锚点'!A337&lt;&gt;"",IF('06_建筑锚点'!A337="","缺少建筑ID；","")&amp;IF('06_建筑锚点'!B337="","缺少建筑名称；","")&amp;IF('06_建筑锚点'!C337="","缺少建筑类型；","")&amp;IF('06_建筑锚点'!D337="","缺少所属地点ID；","")&amp;IF('06_建筑锚点'!F337="","缺少世界X；","")&amp;IF('06_建筑锚点'!G337="","缺少世界Y；","")&amp;IF(AND('06_建筑锚点'!F337&lt;&gt;"",OR('06_建筑锚点'!F337&lt;0,'06_建筑锚点'!F337&gt;WorldWidth)),"世界X越界；","")&amp;IF(AND('06_建筑锚点'!G337&lt;&gt;"",OR('06_建筑锚点'!G337&lt;0,'06_建筑锚点'!G337&gt;WorldHeight)),"世界Y越界；","")&amp;IF(AND('06_建筑锚点'!D337&lt;&gt;"",COUNTIF('03_地点锚点'!$A$2:$A$501,'06_建筑锚点'!D337)=0),"建筑所属地点不存在；","")&amp;IF(AND('06_建筑锚点'!T337&lt;&gt;"",COUNTIF('07_动态状态'!$A$2:$A$501,'06_建筑锚点'!T337)=0),"运营状态编码不存在；","")&amp;IF(AND('06_建筑锚点'!A337&lt;&gt;"",COUNTIF('06_建筑锚点'!$A$2:$A$501,'06_建筑锚点'!A337)&gt;1),"ID重复；",""),"")</f>
        <v/>
      </c>
      <c r="G2337" s="14">
        <f>IF(F2337&lt;&gt;"","按字段批注、数据字典和来源记录修正后复核","")</f>
        <v/>
      </c>
      <c r="H2337" s="14">
        <f>IF(F2337&lt;&gt;"","待处理","")</f>
        <v/>
      </c>
    </row>
    <row r="2338">
      <c r="A2338" s="14">
        <f>IF(F2338&lt;&gt;"","ISSUE-"&amp;TEXT(ROW()-1,"00000"),"")</f>
        <v/>
      </c>
      <c r="B2338" s="14">
        <f>IF(F2338&lt;&gt;"","错误","")</f>
        <v/>
      </c>
      <c r="C2338" s="14">
        <f>IF('06_建筑锚点'!A338&lt;&gt;"","06_建筑锚点","")</f>
        <v/>
      </c>
      <c r="D2338" s="14">
        <f>IF('06_建筑锚点'!A338&lt;&gt;"",'06_建筑锚点'!A338,"")</f>
        <v/>
      </c>
      <c r="E2338" s="14">
        <f>IF(F2338&lt;&gt;"","综合校验","")</f>
        <v/>
      </c>
      <c r="F2338" s="14">
        <f>IF('06_建筑锚点'!A338&lt;&gt;"",IF('06_建筑锚点'!A338="","缺少建筑ID；","")&amp;IF('06_建筑锚点'!B338="","缺少建筑名称；","")&amp;IF('06_建筑锚点'!C338="","缺少建筑类型；","")&amp;IF('06_建筑锚点'!D338="","缺少所属地点ID；","")&amp;IF('06_建筑锚点'!F338="","缺少世界X；","")&amp;IF('06_建筑锚点'!G338="","缺少世界Y；","")&amp;IF(AND('06_建筑锚点'!F338&lt;&gt;"",OR('06_建筑锚点'!F338&lt;0,'06_建筑锚点'!F338&gt;WorldWidth)),"世界X越界；","")&amp;IF(AND('06_建筑锚点'!G338&lt;&gt;"",OR('06_建筑锚点'!G338&lt;0,'06_建筑锚点'!G338&gt;WorldHeight)),"世界Y越界；","")&amp;IF(AND('06_建筑锚点'!D338&lt;&gt;"",COUNTIF('03_地点锚点'!$A$2:$A$501,'06_建筑锚点'!D338)=0),"建筑所属地点不存在；","")&amp;IF(AND('06_建筑锚点'!T338&lt;&gt;"",COUNTIF('07_动态状态'!$A$2:$A$501,'06_建筑锚点'!T338)=0),"运营状态编码不存在；","")&amp;IF(AND('06_建筑锚点'!A338&lt;&gt;"",COUNTIF('06_建筑锚点'!$A$2:$A$501,'06_建筑锚点'!A338)&gt;1),"ID重复；",""),"")</f>
        <v/>
      </c>
      <c r="G2338" s="14">
        <f>IF(F2338&lt;&gt;"","按字段批注、数据字典和来源记录修正后复核","")</f>
        <v/>
      </c>
      <c r="H2338" s="14">
        <f>IF(F2338&lt;&gt;"","待处理","")</f>
        <v/>
      </c>
    </row>
    <row r="2339">
      <c r="A2339" s="14">
        <f>IF(F2339&lt;&gt;"","ISSUE-"&amp;TEXT(ROW()-1,"00000"),"")</f>
        <v/>
      </c>
      <c r="B2339" s="14">
        <f>IF(F2339&lt;&gt;"","错误","")</f>
        <v/>
      </c>
      <c r="C2339" s="14">
        <f>IF('06_建筑锚点'!A339&lt;&gt;"","06_建筑锚点","")</f>
        <v/>
      </c>
      <c r="D2339" s="14">
        <f>IF('06_建筑锚点'!A339&lt;&gt;"",'06_建筑锚点'!A339,"")</f>
        <v/>
      </c>
      <c r="E2339" s="14">
        <f>IF(F2339&lt;&gt;"","综合校验","")</f>
        <v/>
      </c>
      <c r="F2339" s="14">
        <f>IF('06_建筑锚点'!A339&lt;&gt;"",IF('06_建筑锚点'!A339="","缺少建筑ID；","")&amp;IF('06_建筑锚点'!B339="","缺少建筑名称；","")&amp;IF('06_建筑锚点'!C339="","缺少建筑类型；","")&amp;IF('06_建筑锚点'!D339="","缺少所属地点ID；","")&amp;IF('06_建筑锚点'!F339="","缺少世界X；","")&amp;IF('06_建筑锚点'!G339="","缺少世界Y；","")&amp;IF(AND('06_建筑锚点'!F339&lt;&gt;"",OR('06_建筑锚点'!F339&lt;0,'06_建筑锚点'!F339&gt;WorldWidth)),"世界X越界；","")&amp;IF(AND('06_建筑锚点'!G339&lt;&gt;"",OR('06_建筑锚点'!G339&lt;0,'06_建筑锚点'!G339&gt;WorldHeight)),"世界Y越界；","")&amp;IF(AND('06_建筑锚点'!D339&lt;&gt;"",COUNTIF('03_地点锚点'!$A$2:$A$501,'06_建筑锚点'!D339)=0),"建筑所属地点不存在；","")&amp;IF(AND('06_建筑锚点'!T339&lt;&gt;"",COUNTIF('07_动态状态'!$A$2:$A$501,'06_建筑锚点'!T339)=0),"运营状态编码不存在；","")&amp;IF(AND('06_建筑锚点'!A339&lt;&gt;"",COUNTIF('06_建筑锚点'!$A$2:$A$501,'06_建筑锚点'!A339)&gt;1),"ID重复；",""),"")</f>
        <v/>
      </c>
      <c r="G2339" s="14">
        <f>IF(F2339&lt;&gt;"","按字段批注、数据字典和来源记录修正后复核","")</f>
        <v/>
      </c>
      <c r="H2339" s="14">
        <f>IF(F2339&lt;&gt;"","待处理","")</f>
        <v/>
      </c>
    </row>
    <row r="2340">
      <c r="A2340" s="14">
        <f>IF(F2340&lt;&gt;"","ISSUE-"&amp;TEXT(ROW()-1,"00000"),"")</f>
        <v/>
      </c>
      <c r="B2340" s="14">
        <f>IF(F2340&lt;&gt;"","错误","")</f>
        <v/>
      </c>
      <c r="C2340" s="14">
        <f>IF('06_建筑锚点'!A340&lt;&gt;"","06_建筑锚点","")</f>
        <v/>
      </c>
      <c r="D2340" s="14">
        <f>IF('06_建筑锚点'!A340&lt;&gt;"",'06_建筑锚点'!A340,"")</f>
        <v/>
      </c>
      <c r="E2340" s="14">
        <f>IF(F2340&lt;&gt;"","综合校验","")</f>
        <v/>
      </c>
      <c r="F2340" s="14">
        <f>IF('06_建筑锚点'!A340&lt;&gt;"",IF('06_建筑锚点'!A340="","缺少建筑ID；","")&amp;IF('06_建筑锚点'!B340="","缺少建筑名称；","")&amp;IF('06_建筑锚点'!C340="","缺少建筑类型；","")&amp;IF('06_建筑锚点'!D340="","缺少所属地点ID；","")&amp;IF('06_建筑锚点'!F340="","缺少世界X；","")&amp;IF('06_建筑锚点'!G340="","缺少世界Y；","")&amp;IF(AND('06_建筑锚点'!F340&lt;&gt;"",OR('06_建筑锚点'!F340&lt;0,'06_建筑锚点'!F340&gt;WorldWidth)),"世界X越界；","")&amp;IF(AND('06_建筑锚点'!G340&lt;&gt;"",OR('06_建筑锚点'!G340&lt;0,'06_建筑锚点'!G340&gt;WorldHeight)),"世界Y越界；","")&amp;IF(AND('06_建筑锚点'!D340&lt;&gt;"",COUNTIF('03_地点锚点'!$A$2:$A$501,'06_建筑锚点'!D340)=0),"建筑所属地点不存在；","")&amp;IF(AND('06_建筑锚点'!T340&lt;&gt;"",COUNTIF('07_动态状态'!$A$2:$A$501,'06_建筑锚点'!T340)=0),"运营状态编码不存在；","")&amp;IF(AND('06_建筑锚点'!A340&lt;&gt;"",COUNTIF('06_建筑锚点'!$A$2:$A$501,'06_建筑锚点'!A340)&gt;1),"ID重复；",""),"")</f>
        <v/>
      </c>
      <c r="G2340" s="14">
        <f>IF(F2340&lt;&gt;"","按字段批注、数据字典和来源记录修正后复核","")</f>
        <v/>
      </c>
      <c r="H2340" s="14">
        <f>IF(F2340&lt;&gt;"","待处理","")</f>
        <v/>
      </c>
    </row>
    <row r="2341">
      <c r="A2341" s="14">
        <f>IF(F2341&lt;&gt;"","ISSUE-"&amp;TEXT(ROW()-1,"00000"),"")</f>
        <v/>
      </c>
      <c r="B2341" s="14">
        <f>IF(F2341&lt;&gt;"","错误","")</f>
        <v/>
      </c>
      <c r="C2341" s="14">
        <f>IF('06_建筑锚点'!A341&lt;&gt;"","06_建筑锚点","")</f>
        <v/>
      </c>
      <c r="D2341" s="14">
        <f>IF('06_建筑锚点'!A341&lt;&gt;"",'06_建筑锚点'!A341,"")</f>
        <v/>
      </c>
      <c r="E2341" s="14">
        <f>IF(F2341&lt;&gt;"","综合校验","")</f>
        <v/>
      </c>
      <c r="F2341" s="14">
        <f>IF('06_建筑锚点'!A341&lt;&gt;"",IF('06_建筑锚点'!A341="","缺少建筑ID；","")&amp;IF('06_建筑锚点'!B341="","缺少建筑名称；","")&amp;IF('06_建筑锚点'!C341="","缺少建筑类型；","")&amp;IF('06_建筑锚点'!D341="","缺少所属地点ID；","")&amp;IF('06_建筑锚点'!F341="","缺少世界X；","")&amp;IF('06_建筑锚点'!G341="","缺少世界Y；","")&amp;IF(AND('06_建筑锚点'!F341&lt;&gt;"",OR('06_建筑锚点'!F341&lt;0,'06_建筑锚点'!F341&gt;WorldWidth)),"世界X越界；","")&amp;IF(AND('06_建筑锚点'!G341&lt;&gt;"",OR('06_建筑锚点'!G341&lt;0,'06_建筑锚点'!G341&gt;WorldHeight)),"世界Y越界；","")&amp;IF(AND('06_建筑锚点'!D341&lt;&gt;"",COUNTIF('03_地点锚点'!$A$2:$A$501,'06_建筑锚点'!D341)=0),"建筑所属地点不存在；","")&amp;IF(AND('06_建筑锚点'!T341&lt;&gt;"",COUNTIF('07_动态状态'!$A$2:$A$501,'06_建筑锚点'!T341)=0),"运营状态编码不存在；","")&amp;IF(AND('06_建筑锚点'!A341&lt;&gt;"",COUNTIF('06_建筑锚点'!$A$2:$A$501,'06_建筑锚点'!A341)&gt;1),"ID重复；",""),"")</f>
        <v/>
      </c>
      <c r="G2341" s="14">
        <f>IF(F2341&lt;&gt;"","按字段批注、数据字典和来源记录修正后复核","")</f>
        <v/>
      </c>
      <c r="H2341" s="14">
        <f>IF(F2341&lt;&gt;"","待处理","")</f>
        <v/>
      </c>
    </row>
    <row r="2342">
      <c r="A2342" s="14">
        <f>IF(F2342&lt;&gt;"","ISSUE-"&amp;TEXT(ROW()-1,"00000"),"")</f>
        <v/>
      </c>
      <c r="B2342" s="14">
        <f>IF(F2342&lt;&gt;"","错误","")</f>
        <v/>
      </c>
      <c r="C2342" s="14">
        <f>IF('06_建筑锚点'!A342&lt;&gt;"","06_建筑锚点","")</f>
        <v/>
      </c>
      <c r="D2342" s="14">
        <f>IF('06_建筑锚点'!A342&lt;&gt;"",'06_建筑锚点'!A342,"")</f>
        <v/>
      </c>
      <c r="E2342" s="14">
        <f>IF(F2342&lt;&gt;"","综合校验","")</f>
        <v/>
      </c>
      <c r="F2342" s="14">
        <f>IF('06_建筑锚点'!A342&lt;&gt;"",IF('06_建筑锚点'!A342="","缺少建筑ID；","")&amp;IF('06_建筑锚点'!B342="","缺少建筑名称；","")&amp;IF('06_建筑锚点'!C342="","缺少建筑类型；","")&amp;IF('06_建筑锚点'!D342="","缺少所属地点ID；","")&amp;IF('06_建筑锚点'!F342="","缺少世界X；","")&amp;IF('06_建筑锚点'!G342="","缺少世界Y；","")&amp;IF(AND('06_建筑锚点'!F342&lt;&gt;"",OR('06_建筑锚点'!F342&lt;0,'06_建筑锚点'!F342&gt;WorldWidth)),"世界X越界；","")&amp;IF(AND('06_建筑锚点'!G342&lt;&gt;"",OR('06_建筑锚点'!G342&lt;0,'06_建筑锚点'!G342&gt;WorldHeight)),"世界Y越界；","")&amp;IF(AND('06_建筑锚点'!D342&lt;&gt;"",COUNTIF('03_地点锚点'!$A$2:$A$501,'06_建筑锚点'!D342)=0),"建筑所属地点不存在；","")&amp;IF(AND('06_建筑锚点'!T342&lt;&gt;"",COUNTIF('07_动态状态'!$A$2:$A$501,'06_建筑锚点'!T342)=0),"运营状态编码不存在；","")&amp;IF(AND('06_建筑锚点'!A342&lt;&gt;"",COUNTIF('06_建筑锚点'!$A$2:$A$501,'06_建筑锚点'!A342)&gt;1),"ID重复；",""),"")</f>
        <v/>
      </c>
      <c r="G2342" s="14">
        <f>IF(F2342&lt;&gt;"","按字段批注、数据字典和来源记录修正后复核","")</f>
        <v/>
      </c>
      <c r="H2342" s="14">
        <f>IF(F2342&lt;&gt;"","待处理","")</f>
        <v/>
      </c>
    </row>
    <row r="2343">
      <c r="A2343" s="14">
        <f>IF(F2343&lt;&gt;"","ISSUE-"&amp;TEXT(ROW()-1,"00000"),"")</f>
        <v/>
      </c>
      <c r="B2343" s="14">
        <f>IF(F2343&lt;&gt;"","错误","")</f>
        <v/>
      </c>
      <c r="C2343" s="14">
        <f>IF('06_建筑锚点'!A343&lt;&gt;"","06_建筑锚点","")</f>
        <v/>
      </c>
      <c r="D2343" s="14">
        <f>IF('06_建筑锚点'!A343&lt;&gt;"",'06_建筑锚点'!A343,"")</f>
        <v/>
      </c>
      <c r="E2343" s="14">
        <f>IF(F2343&lt;&gt;"","综合校验","")</f>
        <v/>
      </c>
      <c r="F2343" s="14">
        <f>IF('06_建筑锚点'!A343&lt;&gt;"",IF('06_建筑锚点'!A343="","缺少建筑ID；","")&amp;IF('06_建筑锚点'!B343="","缺少建筑名称；","")&amp;IF('06_建筑锚点'!C343="","缺少建筑类型；","")&amp;IF('06_建筑锚点'!D343="","缺少所属地点ID；","")&amp;IF('06_建筑锚点'!F343="","缺少世界X；","")&amp;IF('06_建筑锚点'!G343="","缺少世界Y；","")&amp;IF(AND('06_建筑锚点'!F343&lt;&gt;"",OR('06_建筑锚点'!F343&lt;0,'06_建筑锚点'!F343&gt;WorldWidth)),"世界X越界；","")&amp;IF(AND('06_建筑锚点'!G343&lt;&gt;"",OR('06_建筑锚点'!G343&lt;0,'06_建筑锚点'!G343&gt;WorldHeight)),"世界Y越界；","")&amp;IF(AND('06_建筑锚点'!D343&lt;&gt;"",COUNTIF('03_地点锚点'!$A$2:$A$501,'06_建筑锚点'!D343)=0),"建筑所属地点不存在；","")&amp;IF(AND('06_建筑锚点'!T343&lt;&gt;"",COUNTIF('07_动态状态'!$A$2:$A$501,'06_建筑锚点'!T343)=0),"运营状态编码不存在；","")&amp;IF(AND('06_建筑锚点'!A343&lt;&gt;"",COUNTIF('06_建筑锚点'!$A$2:$A$501,'06_建筑锚点'!A343)&gt;1),"ID重复；",""),"")</f>
        <v/>
      </c>
      <c r="G2343" s="14">
        <f>IF(F2343&lt;&gt;"","按字段批注、数据字典和来源记录修正后复核","")</f>
        <v/>
      </c>
      <c r="H2343" s="14">
        <f>IF(F2343&lt;&gt;"","待处理","")</f>
        <v/>
      </c>
    </row>
    <row r="2344">
      <c r="A2344" s="14">
        <f>IF(F2344&lt;&gt;"","ISSUE-"&amp;TEXT(ROW()-1,"00000"),"")</f>
        <v/>
      </c>
      <c r="B2344" s="14">
        <f>IF(F2344&lt;&gt;"","错误","")</f>
        <v/>
      </c>
      <c r="C2344" s="14">
        <f>IF('06_建筑锚点'!A344&lt;&gt;"","06_建筑锚点","")</f>
        <v/>
      </c>
      <c r="D2344" s="14">
        <f>IF('06_建筑锚点'!A344&lt;&gt;"",'06_建筑锚点'!A344,"")</f>
        <v/>
      </c>
      <c r="E2344" s="14">
        <f>IF(F2344&lt;&gt;"","综合校验","")</f>
        <v/>
      </c>
      <c r="F2344" s="14">
        <f>IF('06_建筑锚点'!A344&lt;&gt;"",IF('06_建筑锚点'!A344="","缺少建筑ID；","")&amp;IF('06_建筑锚点'!B344="","缺少建筑名称；","")&amp;IF('06_建筑锚点'!C344="","缺少建筑类型；","")&amp;IF('06_建筑锚点'!D344="","缺少所属地点ID；","")&amp;IF('06_建筑锚点'!F344="","缺少世界X；","")&amp;IF('06_建筑锚点'!G344="","缺少世界Y；","")&amp;IF(AND('06_建筑锚点'!F344&lt;&gt;"",OR('06_建筑锚点'!F344&lt;0,'06_建筑锚点'!F344&gt;WorldWidth)),"世界X越界；","")&amp;IF(AND('06_建筑锚点'!G344&lt;&gt;"",OR('06_建筑锚点'!G344&lt;0,'06_建筑锚点'!G344&gt;WorldHeight)),"世界Y越界；","")&amp;IF(AND('06_建筑锚点'!D344&lt;&gt;"",COUNTIF('03_地点锚点'!$A$2:$A$501,'06_建筑锚点'!D344)=0),"建筑所属地点不存在；","")&amp;IF(AND('06_建筑锚点'!T344&lt;&gt;"",COUNTIF('07_动态状态'!$A$2:$A$501,'06_建筑锚点'!T344)=0),"运营状态编码不存在；","")&amp;IF(AND('06_建筑锚点'!A344&lt;&gt;"",COUNTIF('06_建筑锚点'!$A$2:$A$501,'06_建筑锚点'!A344)&gt;1),"ID重复；",""),"")</f>
        <v/>
      </c>
      <c r="G2344" s="14">
        <f>IF(F2344&lt;&gt;"","按字段批注、数据字典和来源记录修正后复核","")</f>
        <v/>
      </c>
      <c r="H2344" s="14">
        <f>IF(F2344&lt;&gt;"","待处理","")</f>
        <v/>
      </c>
    </row>
    <row r="2345">
      <c r="A2345" s="14">
        <f>IF(F2345&lt;&gt;"","ISSUE-"&amp;TEXT(ROW()-1,"00000"),"")</f>
        <v/>
      </c>
      <c r="B2345" s="14">
        <f>IF(F2345&lt;&gt;"","错误","")</f>
        <v/>
      </c>
      <c r="C2345" s="14">
        <f>IF('06_建筑锚点'!A345&lt;&gt;"","06_建筑锚点","")</f>
        <v/>
      </c>
      <c r="D2345" s="14">
        <f>IF('06_建筑锚点'!A345&lt;&gt;"",'06_建筑锚点'!A345,"")</f>
        <v/>
      </c>
      <c r="E2345" s="14">
        <f>IF(F2345&lt;&gt;"","综合校验","")</f>
        <v/>
      </c>
      <c r="F2345" s="14">
        <f>IF('06_建筑锚点'!A345&lt;&gt;"",IF('06_建筑锚点'!A345="","缺少建筑ID；","")&amp;IF('06_建筑锚点'!B345="","缺少建筑名称；","")&amp;IF('06_建筑锚点'!C345="","缺少建筑类型；","")&amp;IF('06_建筑锚点'!D345="","缺少所属地点ID；","")&amp;IF('06_建筑锚点'!F345="","缺少世界X；","")&amp;IF('06_建筑锚点'!G345="","缺少世界Y；","")&amp;IF(AND('06_建筑锚点'!F345&lt;&gt;"",OR('06_建筑锚点'!F345&lt;0,'06_建筑锚点'!F345&gt;WorldWidth)),"世界X越界；","")&amp;IF(AND('06_建筑锚点'!G345&lt;&gt;"",OR('06_建筑锚点'!G345&lt;0,'06_建筑锚点'!G345&gt;WorldHeight)),"世界Y越界；","")&amp;IF(AND('06_建筑锚点'!D345&lt;&gt;"",COUNTIF('03_地点锚点'!$A$2:$A$501,'06_建筑锚点'!D345)=0),"建筑所属地点不存在；","")&amp;IF(AND('06_建筑锚点'!T345&lt;&gt;"",COUNTIF('07_动态状态'!$A$2:$A$501,'06_建筑锚点'!T345)=0),"运营状态编码不存在；","")&amp;IF(AND('06_建筑锚点'!A345&lt;&gt;"",COUNTIF('06_建筑锚点'!$A$2:$A$501,'06_建筑锚点'!A345)&gt;1),"ID重复；",""),"")</f>
        <v/>
      </c>
      <c r="G2345" s="14">
        <f>IF(F2345&lt;&gt;"","按字段批注、数据字典和来源记录修正后复核","")</f>
        <v/>
      </c>
      <c r="H2345" s="14">
        <f>IF(F2345&lt;&gt;"","待处理","")</f>
        <v/>
      </c>
    </row>
    <row r="2346">
      <c r="A2346" s="14">
        <f>IF(F2346&lt;&gt;"","ISSUE-"&amp;TEXT(ROW()-1,"00000"),"")</f>
        <v/>
      </c>
      <c r="B2346" s="14">
        <f>IF(F2346&lt;&gt;"","错误","")</f>
        <v/>
      </c>
      <c r="C2346" s="14">
        <f>IF('06_建筑锚点'!A346&lt;&gt;"","06_建筑锚点","")</f>
        <v/>
      </c>
      <c r="D2346" s="14">
        <f>IF('06_建筑锚点'!A346&lt;&gt;"",'06_建筑锚点'!A346,"")</f>
        <v/>
      </c>
      <c r="E2346" s="14">
        <f>IF(F2346&lt;&gt;"","综合校验","")</f>
        <v/>
      </c>
      <c r="F2346" s="14">
        <f>IF('06_建筑锚点'!A346&lt;&gt;"",IF('06_建筑锚点'!A346="","缺少建筑ID；","")&amp;IF('06_建筑锚点'!B346="","缺少建筑名称；","")&amp;IF('06_建筑锚点'!C346="","缺少建筑类型；","")&amp;IF('06_建筑锚点'!D346="","缺少所属地点ID；","")&amp;IF('06_建筑锚点'!F346="","缺少世界X；","")&amp;IF('06_建筑锚点'!G346="","缺少世界Y；","")&amp;IF(AND('06_建筑锚点'!F346&lt;&gt;"",OR('06_建筑锚点'!F346&lt;0,'06_建筑锚点'!F346&gt;WorldWidth)),"世界X越界；","")&amp;IF(AND('06_建筑锚点'!G346&lt;&gt;"",OR('06_建筑锚点'!G346&lt;0,'06_建筑锚点'!G346&gt;WorldHeight)),"世界Y越界；","")&amp;IF(AND('06_建筑锚点'!D346&lt;&gt;"",COUNTIF('03_地点锚点'!$A$2:$A$501,'06_建筑锚点'!D346)=0),"建筑所属地点不存在；","")&amp;IF(AND('06_建筑锚点'!T346&lt;&gt;"",COUNTIF('07_动态状态'!$A$2:$A$501,'06_建筑锚点'!T346)=0),"运营状态编码不存在；","")&amp;IF(AND('06_建筑锚点'!A346&lt;&gt;"",COUNTIF('06_建筑锚点'!$A$2:$A$501,'06_建筑锚点'!A346)&gt;1),"ID重复；",""),"")</f>
        <v/>
      </c>
      <c r="G2346" s="14">
        <f>IF(F2346&lt;&gt;"","按字段批注、数据字典和来源记录修正后复核","")</f>
        <v/>
      </c>
      <c r="H2346" s="14">
        <f>IF(F2346&lt;&gt;"","待处理","")</f>
        <v/>
      </c>
    </row>
    <row r="2347">
      <c r="A2347" s="14">
        <f>IF(F2347&lt;&gt;"","ISSUE-"&amp;TEXT(ROW()-1,"00000"),"")</f>
        <v/>
      </c>
      <c r="B2347" s="14">
        <f>IF(F2347&lt;&gt;"","错误","")</f>
        <v/>
      </c>
      <c r="C2347" s="14">
        <f>IF('06_建筑锚点'!A347&lt;&gt;"","06_建筑锚点","")</f>
        <v/>
      </c>
      <c r="D2347" s="14">
        <f>IF('06_建筑锚点'!A347&lt;&gt;"",'06_建筑锚点'!A347,"")</f>
        <v/>
      </c>
      <c r="E2347" s="14">
        <f>IF(F2347&lt;&gt;"","综合校验","")</f>
        <v/>
      </c>
      <c r="F2347" s="14">
        <f>IF('06_建筑锚点'!A347&lt;&gt;"",IF('06_建筑锚点'!A347="","缺少建筑ID；","")&amp;IF('06_建筑锚点'!B347="","缺少建筑名称；","")&amp;IF('06_建筑锚点'!C347="","缺少建筑类型；","")&amp;IF('06_建筑锚点'!D347="","缺少所属地点ID；","")&amp;IF('06_建筑锚点'!F347="","缺少世界X；","")&amp;IF('06_建筑锚点'!G347="","缺少世界Y；","")&amp;IF(AND('06_建筑锚点'!F347&lt;&gt;"",OR('06_建筑锚点'!F347&lt;0,'06_建筑锚点'!F347&gt;WorldWidth)),"世界X越界；","")&amp;IF(AND('06_建筑锚点'!G347&lt;&gt;"",OR('06_建筑锚点'!G347&lt;0,'06_建筑锚点'!G347&gt;WorldHeight)),"世界Y越界；","")&amp;IF(AND('06_建筑锚点'!D347&lt;&gt;"",COUNTIF('03_地点锚点'!$A$2:$A$501,'06_建筑锚点'!D347)=0),"建筑所属地点不存在；","")&amp;IF(AND('06_建筑锚点'!T347&lt;&gt;"",COUNTIF('07_动态状态'!$A$2:$A$501,'06_建筑锚点'!T347)=0),"运营状态编码不存在；","")&amp;IF(AND('06_建筑锚点'!A347&lt;&gt;"",COUNTIF('06_建筑锚点'!$A$2:$A$501,'06_建筑锚点'!A347)&gt;1),"ID重复；",""),"")</f>
        <v/>
      </c>
      <c r="G2347" s="14">
        <f>IF(F2347&lt;&gt;"","按字段批注、数据字典和来源记录修正后复核","")</f>
        <v/>
      </c>
      <c r="H2347" s="14">
        <f>IF(F2347&lt;&gt;"","待处理","")</f>
        <v/>
      </c>
    </row>
    <row r="2348">
      <c r="A2348" s="14">
        <f>IF(F2348&lt;&gt;"","ISSUE-"&amp;TEXT(ROW()-1,"00000"),"")</f>
        <v/>
      </c>
      <c r="B2348" s="14">
        <f>IF(F2348&lt;&gt;"","错误","")</f>
        <v/>
      </c>
      <c r="C2348" s="14">
        <f>IF('06_建筑锚点'!A348&lt;&gt;"","06_建筑锚点","")</f>
        <v/>
      </c>
      <c r="D2348" s="14">
        <f>IF('06_建筑锚点'!A348&lt;&gt;"",'06_建筑锚点'!A348,"")</f>
        <v/>
      </c>
      <c r="E2348" s="14">
        <f>IF(F2348&lt;&gt;"","综合校验","")</f>
        <v/>
      </c>
      <c r="F2348" s="14">
        <f>IF('06_建筑锚点'!A348&lt;&gt;"",IF('06_建筑锚点'!A348="","缺少建筑ID；","")&amp;IF('06_建筑锚点'!B348="","缺少建筑名称；","")&amp;IF('06_建筑锚点'!C348="","缺少建筑类型；","")&amp;IF('06_建筑锚点'!D348="","缺少所属地点ID；","")&amp;IF('06_建筑锚点'!F348="","缺少世界X；","")&amp;IF('06_建筑锚点'!G348="","缺少世界Y；","")&amp;IF(AND('06_建筑锚点'!F348&lt;&gt;"",OR('06_建筑锚点'!F348&lt;0,'06_建筑锚点'!F348&gt;WorldWidth)),"世界X越界；","")&amp;IF(AND('06_建筑锚点'!G348&lt;&gt;"",OR('06_建筑锚点'!G348&lt;0,'06_建筑锚点'!G348&gt;WorldHeight)),"世界Y越界；","")&amp;IF(AND('06_建筑锚点'!D348&lt;&gt;"",COUNTIF('03_地点锚点'!$A$2:$A$501,'06_建筑锚点'!D348)=0),"建筑所属地点不存在；","")&amp;IF(AND('06_建筑锚点'!T348&lt;&gt;"",COUNTIF('07_动态状态'!$A$2:$A$501,'06_建筑锚点'!T348)=0),"运营状态编码不存在；","")&amp;IF(AND('06_建筑锚点'!A348&lt;&gt;"",COUNTIF('06_建筑锚点'!$A$2:$A$501,'06_建筑锚点'!A348)&gt;1),"ID重复；",""),"")</f>
        <v/>
      </c>
      <c r="G2348" s="14">
        <f>IF(F2348&lt;&gt;"","按字段批注、数据字典和来源记录修正后复核","")</f>
        <v/>
      </c>
      <c r="H2348" s="14">
        <f>IF(F2348&lt;&gt;"","待处理","")</f>
        <v/>
      </c>
    </row>
    <row r="2349">
      <c r="A2349" s="14">
        <f>IF(F2349&lt;&gt;"","ISSUE-"&amp;TEXT(ROW()-1,"00000"),"")</f>
        <v/>
      </c>
      <c r="B2349" s="14">
        <f>IF(F2349&lt;&gt;"","错误","")</f>
        <v/>
      </c>
      <c r="C2349" s="14">
        <f>IF('06_建筑锚点'!A349&lt;&gt;"","06_建筑锚点","")</f>
        <v/>
      </c>
      <c r="D2349" s="14">
        <f>IF('06_建筑锚点'!A349&lt;&gt;"",'06_建筑锚点'!A349,"")</f>
        <v/>
      </c>
      <c r="E2349" s="14">
        <f>IF(F2349&lt;&gt;"","综合校验","")</f>
        <v/>
      </c>
      <c r="F2349" s="14">
        <f>IF('06_建筑锚点'!A349&lt;&gt;"",IF('06_建筑锚点'!A349="","缺少建筑ID；","")&amp;IF('06_建筑锚点'!B349="","缺少建筑名称；","")&amp;IF('06_建筑锚点'!C349="","缺少建筑类型；","")&amp;IF('06_建筑锚点'!D349="","缺少所属地点ID；","")&amp;IF('06_建筑锚点'!F349="","缺少世界X；","")&amp;IF('06_建筑锚点'!G349="","缺少世界Y；","")&amp;IF(AND('06_建筑锚点'!F349&lt;&gt;"",OR('06_建筑锚点'!F349&lt;0,'06_建筑锚点'!F349&gt;WorldWidth)),"世界X越界；","")&amp;IF(AND('06_建筑锚点'!G349&lt;&gt;"",OR('06_建筑锚点'!G349&lt;0,'06_建筑锚点'!G349&gt;WorldHeight)),"世界Y越界；","")&amp;IF(AND('06_建筑锚点'!D349&lt;&gt;"",COUNTIF('03_地点锚点'!$A$2:$A$501,'06_建筑锚点'!D349)=0),"建筑所属地点不存在；","")&amp;IF(AND('06_建筑锚点'!T349&lt;&gt;"",COUNTIF('07_动态状态'!$A$2:$A$501,'06_建筑锚点'!T349)=0),"运营状态编码不存在；","")&amp;IF(AND('06_建筑锚点'!A349&lt;&gt;"",COUNTIF('06_建筑锚点'!$A$2:$A$501,'06_建筑锚点'!A349)&gt;1),"ID重复；",""),"")</f>
        <v/>
      </c>
      <c r="G2349" s="14">
        <f>IF(F2349&lt;&gt;"","按字段批注、数据字典和来源记录修正后复核","")</f>
        <v/>
      </c>
      <c r="H2349" s="14">
        <f>IF(F2349&lt;&gt;"","待处理","")</f>
        <v/>
      </c>
    </row>
    <row r="2350">
      <c r="A2350" s="14">
        <f>IF(F2350&lt;&gt;"","ISSUE-"&amp;TEXT(ROW()-1,"00000"),"")</f>
        <v/>
      </c>
      <c r="B2350" s="14">
        <f>IF(F2350&lt;&gt;"","错误","")</f>
        <v/>
      </c>
      <c r="C2350" s="14">
        <f>IF('06_建筑锚点'!A350&lt;&gt;"","06_建筑锚点","")</f>
        <v/>
      </c>
      <c r="D2350" s="14">
        <f>IF('06_建筑锚点'!A350&lt;&gt;"",'06_建筑锚点'!A350,"")</f>
        <v/>
      </c>
      <c r="E2350" s="14">
        <f>IF(F2350&lt;&gt;"","综合校验","")</f>
        <v/>
      </c>
      <c r="F2350" s="14">
        <f>IF('06_建筑锚点'!A350&lt;&gt;"",IF('06_建筑锚点'!A350="","缺少建筑ID；","")&amp;IF('06_建筑锚点'!B350="","缺少建筑名称；","")&amp;IF('06_建筑锚点'!C350="","缺少建筑类型；","")&amp;IF('06_建筑锚点'!D350="","缺少所属地点ID；","")&amp;IF('06_建筑锚点'!F350="","缺少世界X；","")&amp;IF('06_建筑锚点'!G350="","缺少世界Y；","")&amp;IF(AND('06_建筑锚点'!F350&lt;&gt;"",OR('06_建筑锚点'!F350&lt;0,'06_建筑锚点'!F350&gt;WorldWidth)),"世界X越界；","")&amp;IF(AND('06_建筑锚点'!G350&lt;&gt;"",OR('06_建筑锚点'!G350&lt;0,'06_建筑锚点'!G350&gt;WorldHeight)),"世界Y越界；","")&amp;IF(AND('06_建筑锚点'!D350&lt;&gt;"",COUNTIF('03_地点锚点'!$A$2:$A$501,'06_建筑锚点'!D350)=0),"建筑所属地点不存在；","")&amp;IF(AND('06_建筑锚点'!T350&lt;&gt;"",COUNTIF('07_动态状态'!$A$2:$A$501,'06_建筑锚点'!T350)=0),"运营状态编码不存在；","")&amp;IF(AND('06_建筑锚点'!A350&lt;&gt;"",COUNTIF('06_建筑锚点'!$A$2:$A$501,'06_建筑锚点'!A350)&gt;1),"ID重复；",""),"")</f>
        <v/>
      </c>
      <c r="G2350" s="14">
        <f>IF(F2350&lt;&gt;"","按字段批注、数据字典和来源记录修正后复核","")</f>
        <v/>
      </c>
      <c r="H2350" s="14">
        <f>IF(F2350&lt;&gt;"","待处理","")</f>
        <v/>
      </c>
    </row>
    <row r="2351">
      <c r="A2351" s="14">
        <f>IF(F2351&lt;&gt;"","ISSUE-"&amp;TEXT(ROW()-1,"00000"),"")</f>
        <v/>
      </c>
      <c r="B2351" s="14">
        <f>IF(F2351&lt;&gt;"","错误","")</f>
        <v/>
      </c>
      <c r="C2351" s="14">
        <f>IF('06_建筑锚点'!A351&lt;&gt;"","06_建筑锚点","")</f>
        <v/>
      </c>
      <c r="D2351" s="14">
        <f>IF('06_建筑锚点'!A351&lt;&gt;"",'06_建筑锚点'!A351,"")</f>
        <v/>
      </c>
      <c r="E2351" s="14">
        <f>IF(F2351&lt;&gt;"","综合校验","")</f>
        <v/>
      </c>
      <c r="F2351" s="14">
        <f>IF('06_建筑锚点'!A351&lt;&gt;"",IF('06_建筑锚点'!A351="","缺少建筑ID；","")&amp;IF('06_建筑锚点'!B351="","缺少建筑名称；","")&amp;IF('06_建筑锚点'!C351="","缺少建筑类型；","")&amp;IF('06_建筑锚点'!D351="","缺少所属地点ID；","")&amp;IF('06_建筑锚点'!F351="","缺少世界X；","")&amp;IF('06_建筑锚点'!G351="","缺少世界Y；","")&amp;IF(AND('06_建筑锚点'!F351&lt;&gt;"",OR('06_建筑锚点'!F351&lt;0,'06_建筑锚点'!F351&gt;WorldWidth)),"世界X越界；","")&amp;IF(AND('06_建筑锚点'!G351&lt;&gt;"",OR('06_建筑锚点'!G351&lt;0,'06_建筑锚点'!G351&gt;WorldHeight)),"世界Y越界；","")&amp;IF(AND('06_建筑锚点'!D351&lt;&gt;"",COUNTIF('03_地点锚点'!$A$2:$A$501,'06_建筑锚点'!D351)=0),"建筑所属地点不存在；","")&amp;IF(AND('06_建筑锚点'!T351&lt;&gt;"",COUNTIF('07_动态状态'!$A$2:$A$501,'06_建筑锚点'!T351)=0),"运营状态编码不存在；","")&amp;IF(AND('06_建筑锚点'!A351&lt;&gt;"",COUNTIF('06_建筑锚点'!$A$2:$A$501,'06_建筑锚点'!A351)&gt;1),"ID重复；",""),"")</f>
        <v/>
      </c>
      <c r="G2351" s="14">
        <f>IF(F2351&lt;&gt;"","按字段批注、数据字典和来源记录修正后复核","")</f>
        <v/>
      </c>
      <c r="H2351" s="14">
        <f>IF(F2351&lt;&gt;"","待处理","")</f>
        <v/>
      </c>
    </row>
    <row r="2352">
      <c r="A2352" s="14">
        <f>IF(F2352&lt;&gt;"","ISSUE-"&amp;TEXT(ROW()-1,"00000"),"")</f>
        <v/>
      </c>
      <c r="B2352" s="14">
        <f>IF(F2352&lt;&gt;"","错误","")</f>
        <v/>
      </c>
      <c r="C2352" s="14">
        <f>IF('06_建筑锚点'!A352&lt;&gt;"","06_建筑锚点","")</f>
        <v/>
      </c>
      <c r="D2352" s="14">
        <f>IF('06_建筑锚点'!A352&lt;&gt;"",'06_建筑锚点'!A352,"")</f>
        <v/>
      </c>
      <c r="E2352" s="14">
        <f>IF(F2352&lt;&gt;"","综合校验","")</f>
        <v/>
      </c>
      <c r="F2352" s="14">
        <f>IF('06_建筑锚点'!A352&lt;&gt;"",IF('06_建筑锚点'!A352="","缺少建筑ID；","")&amp;IF('06_建筑锚点'!B352="","缺少建筑名称；","")&amp;IF('06_建筑锚点'!C352="","缺少建筑类型；","")&amp;IF('06_建筑锚点'!D352="","缺少所属地点ID；","")&amp;IF('06_建筑锚点'!F352="","缺少世界X；","")&amp;IF('06_建筑锚点'!G352="","缺少世界Y；","")&amp;IF(AND('06_建筑锚点'!F352&lt;&gt;"",OR('06_建筑锚点'!F352&lt;0,'06_建筑锚点'!F352&gt;WorldWidth)),"世界X越界；","")&amp;IF(AND('06_建筑锚点'!G352&lt;&gt;"",OR('06_建筑锚点'!G352&lt;0,'06_建筑锚点'!G352&gt;WorldHeight)),"世界Y越界；","")&amp;IF(AND('06_建筑锚点'!D352&lt;&gt;"",COUNTIF('03_地点锚点'!$A$2:$A$501,'06_建筑锚点'!D352)=0),"建筑所属地点不存在；","")&amp;IF(AND('06_建筑锚点'!T352&lt;&gt;"",COUNTIF('07_动态状态'!$A$2:$A$501,'06_建筑锚点'!T352)=0),"运营状态编码不存在；","")&amp;IF(AND('06_建筑锚点'!A352&lt;&gt;"",COUNTIF('06_建筑锚点'!$A$2:$A$501,'06_建筑锚点'!A352)&gt;1),"ID重复；",""),"")</f>
        <v/>
      </c>
      <c r="G2352" s="14">
        <f>IF(F2352&lt;&gt;"","按字段批注、数据字典和来源记录修正后复核","")</f>
        <v/>
      </c>
      <c r="H2352" s="14">
        <f>IF(F2352&lt;&gt;"","待处理","")</f>
        <v/>
      </c>
    </row>
    <row r="2353">
      <c r="A2353" s="14">
        <f>IF(F2353&lt;&gt;"","ISSUE-"&amp;TEXT(ROW()-1,"00000"),"")</f>
        <v/>
      </c>
      <c r="B2353" s="14">
        <f>IF(F2353&lt;&gt;"","错误","")</f>
        <v/>
      </c>
      <c r="C2353" s="14">
        <f>IF('06_建筑锚点'!A353&lt;&gt;"","06_建筑锚点","")</f>
        <v/>
      </c>
      <c r="D2353" s="14">
        <f>IF('06_建筑锚点'!A353&lt;&gt;"",'06_建筑锚点'!A353,"")</f>
        <v/>
      </c>
      <c r="E2353" s="14">
        <f>IF(F2353&lt;&gt;"","综合校验","")</f>
        <v/>
      </c>
      <c r="F2353" s="14">
        <f>IF('06_建筑锚点'!A353&lt;&gt;"",IF('06_建筑锚点'!A353="","缺少建筑ID；","")&amp;IF('06_建筑锚点'!B353="","缺少建筑名称；","")&amp;IF('06_建筑锚点'!C353="","缺少建筑类型；","")&amp;IF('06_建筑锚点'!D353="","缺少所属地点ID；","")&amp;IF('06_建筑锚点'!F353="","缺少世界X；","")&amp;IF('06_建筑锚点'!G353="","缺少世界Y；","")&amp;IF(AND('06_建筑锚点'!F353&lt;&gt;"",OR('06_建筑锚点'!F353&lt;0,'06_建筑锚点'!F353&gt;WorldWidth)),"世界X越界；","")&amp;IF(AND('06_建筑锚点'!G353&lt;&gt;"",OR('06_建筑锚点'!G353&lt;0,'06_建筑锚点'!G353&gt;WorldHeight)),"世界Y越界；","")&amp;IF(AND('06_建筑锚点'!D353&lt;&gt;"",COUNTIF('03_地点锚点'!$A$2:$A$501,'06_建筑锚点'!D353)=0),"建筑所属地点不存在；","")&amp;IF(AND('06_建筑锚点'!T353&lt;&gt;"",COUNTIF('07_动态状态'!$A$2:$A$501,'06_建筑锚点'!T353)=0),"运营状态编码不存在；","")&amp;IF(AND('06_建筑锚点'!A353&lt;&gt;"",COUNTIF('06_建筑锚点'!$A$2:$A$501,'06_建筑锚点'!A353)&gt;1),"ID重复；",""),"")</f>
        <v/>
      </c>
      <c r="G2353" s="14">
        <f>IF(F2353&lt;&gt;"","按字段批注、数据字典和来源记录修正后复核","")</f>
        <v/>
      </c>
      <c r="H2353" s="14">
        <f>IF(F2353&lt;&gt;"","待处理","")</f>
        <v/>
      </c>
    </row>
    <row r="2354">
      <c r="A2354" s="14">
        <f>IF(F2354&lt;&gt;"","ISSUE-"&amp;TEXT(ROW()-1,"00000"),"")</f>
        <v/>
      </c>
      <c r="B2354" s="14">
        <f>IF(F2354&lt;&gt;"","错误","")</f>
        <v/>
      </c>
      <c r="C2354" s="14">
        <f>IF('06_建筑锚点'!A354&lt;&gt;"","06_建筑锚点","")</f>
        <v/>
      </c>
      <c r="D2354" s="14">
        <f>IF('06_建筑锚点'!A354&lt;&gt;"",'06_建筑锚点'!A354,"")</f>
        <v/>
      </c>
      <c r="E2354" s="14">
        <f>IF(F2354&lt;&gt;"","综合校验","")</f>
        <v/>
      </c>
      <c r="F2354" s="14">
        <f>IF('06_建筑锚点'!A354&lt;&gt;"",IF('06_建筑锚点'!A354="","缺少建筑ID；","")&amp;IF('06_建筑锚点'!B354="","缺少建筑名称；","")&amp;IF('06_建筑锚点'!C354="","缺少建筑类型；","")&amp;IF('06_建筑锚点'!D354="","缺少所属地点ID；","")&amp;IF('06_建筑锚点'!F354="","缺少世界X；","")&amp;IF('06_建筑锚点'!G354="","缺少世界Y；","")&amp;IF(AND('06_建筑锚点'!F354&lt;&gt;"",OR('06_建筑锚点'!F354&lt;0,'06_建筑锚点'!F354&gt;WorldWidth)),"世界X越界；","")&amp;IF(AND('06_建筑锚点'!G354&lt;&gt;"",OR('06_建筑锚点'!G354&lt;0,'06_建筑锚点'!G354&gt;WorldHeight)),"世界Y越界；","")&amp;IF(AND('06_建筑锚点'!D354&lt;&gt;"",COUNTIF('03_地点锚点'!$A$2:$A$501,'06_建筑锚点'!D354)=0),"建筑所属地点不存在；","")&amp;IF(AND('06_建筑锚点'!T354&lt;&gt;"",COUNTIF('07_动态状态'!$A$2:$A$501,'06_建筑锚点'!T354)=0),"运营状态编码不存在；","")&amp;IF(AND('06_建筑锚点'!A354&lt;&gt;"",COUNTIF('06_建筑锚点'!$A$2:$A$501,'06_建筑锚点'!A354)&gt;1),"ID重复；",""),"")</f>
        <v/>
      </c>
      <c r="G2354" s="14">
        <f>IF(F2354&lt;&gt;"","按字段批注、数据字典和来源记录修正后复核","")</f>
        <v/>
      </c>
      <c r="H2354" s="14">
        <f>IF(F2354&lt;&gt;"","待处理","")</f>
        <v/>
      </c>
    </row>
    <row r="2355">
      <c r="A2355" s="14">
        <f>IF(F2355&lt;&gt;"","ISSUE-"&amp;TEXT(ROW()-1,"00000"),"")</f>
        <v/>
      </c>
      <c r="B2355" s="14">
        <f>IF(F2355&lt;&gt;"","错误","")</f>
        <v/>
      </c>
      <c r="C2355" s="14">
        <f>IF('06_建筑锚点'!A355&lt;&gt;"","06_建筑锚点","")</f>
        <v/>
      </c>
      <c r="D2355" s="14">
        <f>IF('06_建筑锚点'!A355&lt;&gt;"",'06_建筑锚点'!A355,"")</f>
        <v/>
      </c>
      <c r="E2355" s="14">
        <f>IF(F2355&lt;&gt;"","综合校验","")</f>
        <v/>
      </c>
      <c r="F2355" s="14">
        <f>IF('06_建筑锚点'!A355&lt;&gt;"",IF('06_建筑锚点'!A355="","缺少建筑ID；","")&amp;IF('06_建筑锚点'!B355="","缺少建筑名称；","")&amp;IF('06_建筑锚点'!C355="","缺少建筑类型；","")&amp;IF('06_建筑锚点'!D355="","缺少所属地点ID；","")&amp;IF('06_建筑锚点'!F355="","缺少世界X；","")&amp;IF('06_建筑锚点'!G355="","缺少世界Y；","")&amp;IF(AND('06_建筑锚点'!F355&lt;&gt;"",OR('06_建筑锚点'!F355&lt;0,'06_建筑锚点'!F355&gt;WorldWidth)),"世界X越界；","")&amp;IF(AND('06_建筑锚点'!G355&lt;&gt;"",OR('06_建筑锚点'!G355&lt;0,'06_建筑锚点'!G355&gt;WorldHeight)),"世界Y越界；","")&amp;IF(AND('06_建筑锚点'!D355&lt;&gt;"",COUNTIF('03_地点锚点'!$A$2:$A$501,'06_建筑锚点'!D355)=0),"建筑所属地点不存在；","")&amp;IF(AND('06_建筑锚点'!T355&lt;&gt;"",COUNTIF('07_动态状态'!$A$2:$A$501,'06_建筑锚点'!T355)=0),"运营状态编码不存在；","")&amp;IF(AND('06_建筑锚点'!A355&lt;&gt;"",COUNTIF('06_建筑锚点'!$A$2:$A$501,'06_建筑锚点'!A355)&gt;1),"ID重复；",""),"")</f>
        <v/>
      </c>
      <c r="G2355" s="14">
        <f>IF(F2355&lt;&gt;"","按字段批注、数据字典和来源记录修正后复核","")</f>
        <v/>
      </c>
      <c r="H2355" s="14">
        <f>IF(F2355&lt;&gt;"","待处理","")</f>
        <v/>
      </c>
    </row>
    <row r="2356">
      <c r="A2356" s="14">
        <f>IF(F2356&lt;&gt;"","ISSUE-"&amp;TEXT(ROW()-1,"00000"),"")</f>
        <v/>
      </c>
      <c r="B2356" s="14">
        <f>IF(F2356&lt;&gt;"","错误","")</f>
        <v/>
      </c>
      <c r="C2356" s="14">
        <f>IF('06_建筑锚点'!A356&lt;&gt;"","06_建筑锚点","")</f>
        <v/>
      </c>
      <c r="D2356" s="14">
        <f>IF('06_建筑锚点'!A356&lt;&gt;"",'06_建筑锚点'!A356,"")</f>
        <v/>
      </c>
      <c r="E2356" s="14">
        <f>IF(F2356&lt;&gt;"","综合校验","")</f>
        <v/>
      </c>
      <c r="F2356" s="14">
        <f>IF('06_建筑锚点'!A356&lt;&gt;"",IF('06_建筑锚点'!A356="","缺少建筑ID；","")&amp;IF('06_建筑锚点'!B356="","缺少建筑名称；","")&amp;IF('06_建筑锚点'!C356="","缺少建筑类型；","")&amp;IF('06_建筑锚点'!D356="","缺少所属地点ID；","")&amp;IF('06_建筑锚点'!F356="","缺少世界X；","")&amp;IF('06_建筑锚点'!G356="","缺少世界Y；","")&amp;IF(AND('06_建筑锚点'!F356&lt;&gt;"",OR('06_建筑锚点'!F356&lt;0,'06_建筑锚点'!F356&gt;WorldWidth)),"世界X越界；","")&amp;IF(AND('06_建筑锚点'!G356&lt;&gt;"",OR('06_建筑锚点'!G356&lt;0,'06_建筑锚点'!G356&gt;WorldHeight)),"世界Y越界；","")&amp;IF(AND('06_建筑锚点'!D356&lt;&gt;"",COUNTIF('03_地点锚点'!$A$2:$A$501,'06_建筑锚点'!D356)=0),"建筑所属地点不存在；","")&amp;IF(AND('06_建筑锚点'!T356&lt;&gt;"",COUNTIF('07_动态状态'!$A$2:$A$501,'06_建筑锚点'!T356)=0),"运营状态编码不存在；","")&amp;IF(AND('06_建筑锚点'!A356&lt;&gt;"",COUNTIF('06_建筑锚点'!$A$2:$A$501,'06_建筑锚点'!A356)&gt;1),"ID重复；",""),"")</f>
        <v/>
      </c>
      <c r="G2356" s="14">
        <f>IF(F2356&lt;&gt;"","按字段批注、数据字典和来源记录修正后复核","")</f>
        <v/>
      </c>
      <c r="H2356" s="14">
        <f>IF(F2356&lt;&gt;"","待处理","")</f>
        <v/>
      </c>
    </row>
    <row r="2357">
      <c r="A2357" s="14">
        <f>IF(F2357&lt;&gt;"","ISSUE-"&amp;TEXT(ROW()-1,"00000"),"")</f>
        <v/>
      </c>
      <c r="B2357" s="14">
        <f>IF(F2357&lt;&gt;"","错误","")</f>
        <v/>
      </c>
      <c r="C2357" s="14">
        <f>IF('06_建筑锚点'!A357&lt;&gt;"","06_建筑锚点","")</f>
        <v/>
      </c>
      <c r="D2357" s="14">
        <f>IF('06_建筑锚点'!A357&lt;&gt;"",'06_建筑锚点'!A357,"")</f>
        <v/>
      </c>
      <c r="E2357" s="14">
        <f>IF(F2357&lt;&gt;"","综合校验","")</f>
        <v/>
      </c>
      <c r="F2357" s="14">
        <f>IF('06_建筑锚点'!A357&lt;&gt;"",IF('06_建筑锚点'!A357="","缺少建筑ID；","")&amp;IF('06_建筑锚点'!B357="","缺少建筑名称；","")&amp;IF('06_建筑锚点'!C357="","缺少建筑类型；","")&amp;IF('06_建筑锚点'!D357="","缺少所属地点ID；","")&amp;IF('06_建筑锚点'!F357="","缺少世界X；","")&amp;IF('06_建筑锚点'!G357="","缺少世界Y；","")&amp;IF(AND('06_建筑锚点'!F357&lt;&gt;"",OR('06_建筑锚点'!F357&lt;0,'06_建筑锚点'!F357&gt;WorldWidth)),"世界X越界；","")&amp;IF(AND('06_建筑锚点'!G357&lt;&gt;"",OR('06_建筑锚点'!G357&lt;0,'06_建筑锚点'!G357&gt;WorldHeight)),"世界Y越界；","")&amp;IF(AND('06_建筑锚点'!D357&lt;&gt;"",COUNTIF('03_地点锚点'!$A$2:$A$501,'06_建筑锚点'!D357)=0),"建筑所属地点不存在；","")&amp;IF(AND('06_建筑锚点'!T357&lt;&gt;"",COUNTIF('07_动态状态'!$A$2:$A$501,'06_建筑锚点'!T357)=0),"运营状态编码不存在；","")&amp;IF(AND('06_建筑锚点'!A357&lt;&gt;"",COUNTIF('06_建筑锚点'!$A$2:$A$501,'06_建筑锚点'!A357)&gt;1),"ID重复；",""),"")</f>
        <v/>
      </c>
      <c r="G2357" s="14">
        <f>IF(F2357&lt;&gt;"","按字段批注、数据字典和来源记录修正后复核","")</f>
        <v/>
      </c>
      <c r="H2357" s="14">
        <f>IF(F2357&lt;&gt;"","待处理","")</f>
        <v/>
      </c>
    </row>
    <row r="2358">
      <c r="A2358" s="14">
        <f>IF(F2358&lt;&gt;"","ISSUE-"&amp;TEXT(ROW()-1,"00000"),"")</f>
        <v/>
      </c>
      <c r="B2358" s="14">
        <f>IF(F2358&lt;&gt;"","错误","")</f>
        <v/>
      </c>
      <c r="C2358" s="14">
        <f>IF('06_建筑锚点'!A358&lt;&gt;"","06_建筑锚点","")</f>
        <v/>
      </c>
      <c r="D2358" s="14">
        <f>IF('06_建筑锚点'!A358&lt;&gt;"",'06_建筑锚点'!A358,"")</f>
        <v/>
      </c>
      <c r="E2358" s="14">
        <f>IF(F2358&lt;&gt;"","综合校验","")</f>
        <v/>
      </c>
      <c r="F2358" s="14">
        <f>IF('06_建筑锚点'!A358&lt;&gt;"",IF('06_建筑锚点'!A358="","缺少建筑ID；","")&amp;IF('06_建筑锚点'!B358="","缺少建筑名称；","")&amp;IF('06_建筑锚点'!C358="","缺少建筑类型；","")&amp;IF('06_建筑锚点'!D358="","缺少所属地点ID；","")&amp;IF('06_建筑锚点'!F358="","缺少世界X；","")&amp;IF('06_建筑锚点'!G358="","缺少世界Y；","")&amp;IF(AND('06_建筑锚点'!F358&lt;&gt;"",OR('06_建筑锚点'!F358&lt;0,'06_建筑锚点'!F358&gt;WorldWidth)),"世界X越界；","")&amp;IF(AND('06_建筑锚点'!G358&lt;&gt;"",OR('06_建筑锚点'!G358&lt;0,'06_建筑锚点'!G358&gt;WorldHeight)),"世界Y越界；","")&amp;IF(AND('06_建筑锚点'!D358&lt;&gt;"",COUNTIF('03_地点锚点'!$A$2:$A$501,'06_建筑锚点'!D358)=0),"建筑所属地点不存在；","")&amp;IF(AND('06_建筑锚点'!T358&lt;&gt;"",COUNTIF('07_动态状态'!$A$2:$A$501,'06_建筑锚点'!T358)=0),"运营状态编码不存在；","")&amp;IF(AND('06_建筑锚点'!A358&lt;&gt;"",COUNTIF('06_建筑锚点'!$A$2:$A$501,'06_建筑锚点'!A358)&gt;1),"ID重复；",""),"")</f>
        <v/>
      </c>
      <c r="G2358" s="14">
        <f>IF(F2358&lt;&gt;"","按字段批注、数据字典和来源记录修正后复核","")</f>
        <v/>
      </c>
      <c r="H2358" s="14">
        <f>IF(F2358&lt;&gt;"","待处理","")</f>
        <v/>
      </c>
    </row>
    <row r="2359">
      <c r="A2359" s="14">
        <f>IF(F2359&lt;&gt;"","ISSUE-"&amp;TEXT(ROW()-1,"00000"),"")</f>
        <v/>
      </c>
      <c r="B2359" s="14">
        <f>IF(F2359&lt;&gt;"","错误","")</f>
        <v/>
      </c>
      <c r="C2359" s="14">
        <f>IF('06_建筑锚点'!A359&lt;&gt;"","06_建筑锚点","")</f>
        <v/>
      </c>
      <c r="D2359" s="14">
        <f>IF('06_建筑锚点'!A359&lt;&gt;"",'06_建筑锚点'!A359,"")</f>
        <v/>
      </c>
      <c r="E2359" s="14">
        <f>IF(F2359&lt;&gt;"","综合校验","")</f>
        <v/>
      </c>
      <c r="F2359" s="14">
        <f>IF('06_建筑锚点'!A359&lt;&gt;"",IF('06_建筑锚点'!A359="","缺少建筑ID；","")&amp;IF('06_建筑锚点'!B359="","缺少建筑名称；","")&amp;IF('06_建筑锚点'!C359="","缺少建筑类型；","")&amp;IF('06_建筑锚点'!D359="","缺少所属地点ID；","")&amp;IF('06_建筑锚点'!F359="","缺少世界X；","")&amp;IF('06_建筑锚点'!G359="","缺少世界Y；","")&amp;IF(AND('06_建筑锚点'!F359&lt;&gt;"",OR('06_建筑锚点'!F359&lt;0,'06_建筑锚点'!F359&gt;WorldWidth)),"世界X越界；","")&amp;IF(AND('06_建筑锚点'!G359&lt;&gt;"",OR('06_建筑锚点'!G359&lt;0,'06_建筑锚点'!G359&gt;WorldHeight)),"世界Y越界；","")&amp;IF(AND('06_建筑锚点'!D359&lt;&gt;"",COUNTIF('03_地点锚点'!$A$2:$A$501,'06_建筑锚点'!D359)=0),"建筑所属地点不存在；","")&amp;IF(AND('06_建筑锚点'!T359&lt;&gt;"",COUNTIF('07_动态状态'!$A$2:$A$501,'06_建筑锚点'!T359)=0),"运营状态编码不存在；","")&amp;IF(AND('06_建筑锚点'!A359&lt;&gt;"",COUNTIF('06_建筑锚点'!$A$2:$A$501,'06_建筑锚点'!A359)&gt;1),"ID重复；",""),"")</f>
        <v/>
      </c>
      <c r="G2359" s="14">
        <f>IF(F2359&lt;&gt;"","按字段批注、数据字典和来源记录修正后复核","")</f>
        <v/>
      </c>
      <c r="H2359" s="14">
        <f>IF(F2359&lt;&gt;"","待处理","")</f>
        <v/>
      </c>
    </row>
    <row r="2360">
      <c r="A2360" s="14">
        <f>IF(F2360&lt;&gt;"","ISSUE-"&amp;TEXT(ROW()-1,"00000"),"")</f>
        <v/>
      </c>
      <c r="B2360" s="14">
        <f>IF(F2360&lt;&gt;"","错误","")</f>
        <v/>
      </c>
      <c r="C2360" s="14">
        <f>IF('06_建筑锚点'!A360&lt;&gt;"","06_建筑锚点","")</f>
        <v/>
      </c>
      <c r="D2360" s="14">
        <f>IF('06_建筑锚点'!A360&lt;&gt;"",'06_建筑锚点'!A360,"")</f>
        <v/>
      </c>
      <c r="E2360" s="14">
        <f>IF(F2360&lt;&gt;"","综合校验","")</f>
        <v/>
      </c>
      <c r="F2360" s="14">
        <f>IF('06_建筑锚点'!A360&lt;&gt;"",IF('06_建筑锚点'!A360="","缺少建筑ID；","")&amp;IF('06_建筑锚点'!B360="","缺少建筑名称；","")&amp;IF('06_建筑锚点'!C360="","缺少建筑类型；","")&amp;IF('06_建筑锚点'!D360="","缺少所属地点ID；","")&amp;IF('06_建筑锚点'!F360="","缺少世界X；","")&amp;IF('06_建筑锚点'!G360="","缺少世界Y；","")&amp;IF(AND('06_建筑锚点'!F360&lt;&gt;"",OR('06_建筑锚点'!F360&lt;0,'06_建筑锚点'!F360&gt;WorldWidth)),"世界X越界；","")&amp;IF(AND('06_建筑锚点'!G360&lt;&gt;"",OR('06_建筑锚点'!G360&lt;0,'06_建筑锚点'!G360&gt;WorldHeight)),"世界Y越界；","")&amp;IF(AND('06_建筑锚点'!D360&lt;&gt;"",COUNTIF('03_地点锚点'!$A$2:$A$501,'06_建筑锚点'!D360)=0),"建筑所属地点不存在；","")&amp;IF(AND('06_建筑锚点'!T360&lt;&gt;"",COUNTIF('07_动态状态'!$A$2:$A$501,'06_建筑锚点'!T360)=0),"运营状态编码不存在；","")&amp;IF(AND('06_建筑锚点'!A360&lt;&gt;"",COUNTIF('06_建筑锚点'!$A$2:$A$501,'06_建筑锚点'!A360)&gt;1),"ID重复；",""),"")</f>
        <v/>
      </c>
      <c r="G2360" s="14">
        <f>IF(F2360&lt;&gt;"","按字段批注、数据字典和来源记录修正后复核","")</f>
        <v/>
      </c>
      <c r="H2360" s="14">
        <f>IF(F2360&lt;&gt;"","待处理","")</f>
        <v/>
      </c>
    </row>
    <row r="2361">
      <c r="A2361" s="14">
        <f>IF(F2361&lt;&gt;"","ISSUE-"&amp;TEXT(ROW()-1,"00000"),"")</f>
        <v/>
      </c>
      <c r="B2361" s="14">
        <f>IF(F2361&lt;&gt;"","错误","")</f>
        <v/>
      </c>
      <c r="C2361" s="14">
        <f>IF('06_建筑锚点'!A361&lt;&gt;"","06_建筑锚点","")</f>
        <v/>
      </c>
      <c r="D2361" s="14">
        <f>IF('06_建筑锚点'!A361&lt;&gt;"",'06_建筑锚点'!A361,"")</f>
        <v/>
      </c>
      <c r="E2361" s="14">
        <f>IF(F2361&lt;&gt;"","综合校验","")</f>
        <v/>
      </c>
      <c r="F2361" s="14">
        <f>IF('06_建筑锚点'!A361&lt;&gt;"",IF('06_建筑锚点'!A361="","缺少建筑ID；","")&amp;IF('06_建筑锚点'!B361="","缺少建筑名称；","")&amp;IF('06_建筑锚点'!C361="","缺少建筑类型；","")&amp;IF('06_建筑锚点'!D361="","缺少所属地点ID；","")&amp;IF('06_建筑锚点'!F361="","缺少世界X；","")&amp;IF('06_建筑锚点'!G361="","缺少世界Y；","")&amp;IF(AND('06_建筑锚点'!F361&lt;&gt;"",OR('06_建筑锚点'!F361&lt;0,'06_建筑锚点'!F361&gt;WorldWidth)),"世界X越界；","")&amp;IF(AND('06_建筑锚点'!G361&lt;&gt;"",OR('06_建筑锚点'!G361&lt;0,'06_建筑锚点'!G361&gt;WorldHeight)),"世界Y越界；","")&amp;IF(AND('06_建筑锚点'!D361&lt;&gt;"",COUNTIF('03_地点锚点'!$A$2:$A$501,'06_建筑锚点'!D361)=0),"建筑所属地点不存在；","")&amp;IF(AND('06_建筑锚点'!T361&lt;&gt;"",COUNTIF('07_动态状态'!$A$2:$A$501,'06_建筑锚点'!T361)=0),"运营状态编码不存在；","")&amp;IF(AND('06_建筑锚点'!A361&lt;&gt;"",COUNTIF('06_建筑锚点'!$A$2:$A$501,'06_建筑锚点'!A361)&gt;1),"ID重复；",""),"")</f>
        <v/>
      </c>
      <c r="G2361" s="14">
        <f>IF(F2361&lt;&gt;"","按字段批注、数据字典和来源记录修正后复核","")</f>
        <v/>
      </c>
      <c r="H2361" s="14">
        <f>IF(F2361&lt;&gt;"","待处理","")</f>
        <v/>
      </c>
    </row>
    <row r="2362">
      <c r="A2362" s="14">
        <f>IF(F2362&lt;&gt;"","ISSUE-"&amp;TEXT(ROW()-1,"00000"),"")</f>
        <v/>
      </c>
      <c r="B2362" s="14">
        <f>IF(F2362&lt;&gt;"","错误","")</f>
        <v/>
      </c>
      <c r="C2362" s="14">
        <f>IF('06_建筑锚点'!A362&lt;&gt;"","06_建筑锚点","")</f>
        <v/>
      </c>
      <c r="D2362" s="14">
        <f>IF('06_建筑锚点'!A362&lt;&gt;"",'06_建筑锚点'!A362,"")</f>
        <v/>
      </c>
      <c r="E2362" s="14">
        <f>IF(F2362&lt;&gt;"","综合校验","")</f>
        <v/>
      </c>
      <c r="F2362" s="14">
        <f>IF('06_建筑锚点'!A362&lt;&gt;"",IF('06_建筑锚点'!A362="","缺少建筑ID；","")&amp;IF('06_建筑锚点'!B362="","缺少建筑名称；","")&amp;IF('06_建筑锚点'!C362="","缺少建筑类型；","")&amp;IF('06_建筑锚点'!D362="","缺少所属地点ID；","")&amp;IF('06_建筑锚点'!F362="","缺少世界X；","")&amp;IF('06_建筑锚点'!G362="","缺少世界Y；","")&amp;IF(AND('06_建筑锚点'!F362&lt;&gt;"",OR('06_建筑锚点'!F362&lt;0,'06_建筑锚点'!F362&gt;WorldWidth)),"世界X越界；","")&amp;IF(AND('06_建筑锚点'!G362&lt;&gt;"",OR('06_建筑锚点'!G362&lt;0,'06_建筑锚点'!G362&gt;WorldHeight)),"世界Y越界；","")&amp;IF(AND('06_建筑锚点'!D362&lt;&gt;"",COUNTIF('03_地点锚点'!$A$2:$A$501,'06_建筑锚点'!D362)=0),"建筑所属地点不存在；","")&amp;IF(AND('06_建筑锚点'!T362&lt;&gt;"",COUNTIF('07_动态状态'!$A$2:$A$501,'06_建筑锚点'!T362)=0),"运营状态编码不存在；","")&amp;IF(AND('06_建筑锚点'!A362&lt;&gt;"",COUNTIF('06_建筑锚点'!$A$2:$A$501,'06_建筑锚点'!A362)&gt;1),"ID重复；",""),"")</f>
        <v/>
      </c>
      <c r="G2362" s="14">
        <f>IF(F2362&lt;&gt;"","按字段批注、数据字典和来源记录修正后复核","")</f>
        <v/>
      </c>
      <c r="H2362" s="14">
        <f>IF(F2362&lt;&gt;"","待处理","")</f>
        <v/>
      </c>
    </row>
    <row r="2363">
      <c r="A2363" s="14">
        <f>IF(F2363&lt;&gt;"","ISSUE-"&amp;TEXT(ROW()-1,"00000"),"")</f>
        <v/>
      </c>
      <c r="B2363" s="14">
        <f>IF(F2363&lt;&gt;"","错误","")</f>
        <v/>
      </c>
      <c r="C2363" s="14">
        <f>IF('06_建筑锚点'!A363&lt;&gt;"","06_建筑锚点","")</f>
        <v/>
      </c>
      <c r="D2363" s="14">
        <f>IF('06_建筑锚点'!A363&lt;&gt;"",'06_建筑锚点'!A363,"")</f>
        <v/>
      </c>
      <c r="E2363" s="14">
        <f>IF(F2363&lt;&gt;"","综合校验","")</f>
        <v/>
      </c>
      <c r="F2363" s="14">
        <f>IF('06_建筑锚点'!A363&lt;&gt;"",IF('06_建筑锚点'!A363="","缺少建筑ID；","")&amp;IF('06_建筑锚点'!B363="","缺少建筑名称；","")&amp;IF('06_建筑锚点'!C363="","缺少建筑类型；","")&amp;IF('06_建筑锚点'!D363="","缺少所属地点ID；","")&amp;IF('06_建筑锚点'!F363="","缺少世界X；","")&amp;IF('06_建筑锚点'!G363="","缺少世界Y；","")&amp;IF(AND('06_建筑锚点'!F363&lt;&gt;"",OR('06_建筑锚点'!F363&lt;0,'06_建筑锚点'!F363&gt;WorldWidth)),"世界X越界；","")&amp;IF(AND('06_建筑锚点'!G363&lt;&gt;"",OR('06_建筑锚点'!G363&lt;0,'06_建筑锚点'!G363&gt;WorldHeight)),"世界Y越界；","")&amp;IF(AND('06_建筑锚点'!D363&lt;&gt;"",COUNTIF('03_地点锚点'!$A$2:$A$501,'06_建筑锚点'!D363)=0),"建筑所属地点不存在；","")&amp;IF(AND('06_建筑锚点'!T363&lt;&gt;"",COUNTIF('07_动态状态'!$A$2:$A$501,'06_建筑锚点'!T363)=0),"运营状态编码不存在；","")&amp;IF(AND('06_建筑锚点'!A363&lt;&gt;"",COUNTIF('06_建筑锚点'!$A$2:$A$501,'06_建筑锚点'!A363)&gt;1),"ID重复；",""),"")</f>
        <v/>
      </c>
      <c r="G2363" s="14">
        <f>IF(F2363&lt;&gt;"","按字段批注、数据字典和来源记录修正后复核","")</f>
        <v/>
      </c>
      <c r="H2363" s="14">
        <f>IF(F2363&lt;&gt;"","待处理","")</f>
        <v/>
      </c>
    </row>
    <row r="2364">
      <c r="A2364" s="14">
        <f>IF(F2364&lt;&gt;"","ISSUE-"&amp;TEXT(ROW()-1,"00000"),"")</f>
        <v/>
      </c>
      <c r="B2364" s="14">
        <f>IF(F2364&lt;&gt;"","错误","")</f>
        <v/>
      </c>
      <c r="C2364" s="14">
        <f>IF('06_建筑锚点'!A364&lt;&gt;"","06_建筑锚点","")</f>
        <v/>
      </c>
      <c r="D2364" s="14">
        <f>IF('06_建筑锚点'!A364&lt;&gt;"",'06_建筑锚点'!A364,"")</f>
        <v/>
      </c>
      <c r="E2364" s="14">
        <f>IF(F2364&lt;&gt;"","综合校验","")</f>
        <v/>
      </c>
      <c r="F2364" s="14">
        <f>IF('06_建筑锚点'!A364&lt;&gt;"",IF('06_建筑锚点'!A364="","缺少建筑ID；","")&amp;IF('06_建筑锚点'!B364="","缺少建筑名称；","")&amp;IF('06_建筑锚点'!C364="","缺少建筑类型；","")&amp;IF('06_建筑锚点'!D364="","缺少所属地点ID；","")&amp;IF('06_建筑锚点'!F364="","缺少世界X；","")&amp;IF('06_建筑锚点'!G364="","缺少世界Y；","")&amp;IF(AND('06_建筑锚点'!F364&lt;&gt;"",OR('06_建筑锚点'!F364&lt;0,'06_建筑锚点'!F364&gt;WorldWidth)),"世界X越界；","")&amp;IF(AND('06_建筑锚点'!G364&lt;&gt;"",OR('06_建筑锚点'!G364&lt;0,'06_建筑锚点'!G364&gt;WorldHeight)),"世界Y越界；","")&amp;IF(AND('06_建筑锚点'!D364&lt;&gt;"",COUNTIF('03_地点锚点'!$A$2:$A$501,'06_建筑锚点'!D364)=0),"建筑所属地点不存在；","")&amp;IF(AND('06_建筑锚点'!T364&lt;&gt;"",COUNTIF('07_动态状态'!$A$2:$A$501,'06_建筑锚点'!T364)=0),"运营状态编码不存在；","")&amp;IF(AND('06_建筑锚点'!A364&lt;&gt;"",COUNTIF('06_建筑锚点'!$A$2:$A$501,'06_建筑锚点'!A364)&gt;1),"ID重复；",""),"")</f>
        <v/>
      </c>
      <c r="G2364" s="14">
        <f>IF(F2364&lt;&gt;"","按字段批注、数据字典和来源记录修正后复核","")</f>
        <v/>
      </c>
      <c r="H2364" s="14">
        <f>IF(F2364&lt;&gt;"","待处理","")</f>
        <v/>
      </c>
    </row>
    <row r="2365">
      <c r="A2365" s="14">
        <f>IF(F2365&lt;&gt;"","ISSUE-"&amp;TEXT(ROW()-1,"00000"),"")</f>
        <v/>
      </c>
      <c r="B2365" s="14">
        <f>IF(F2365&lt;&gt;"","错误","")</f>
        <v/>
      </c>
      <c r="C2365" s="14">
        <f>IF('06_建筑锚点'!A365&lt;&gt;"","06_建筑锚点","")</f>
        <v/>
      </c>
      <c r="D2365" s="14">
        <f>IF('06_建筑锚点'!A365&lt;&gt;"",'06_建筑锚点'!A365,"")</f>
        <v/>
      </c>
      <c r="E2365" s="14">
        <f>IF(F2365&lt;&gt;"","综合校验","")</f>
        <v/>
      </c>
      <c r="F2365" s="14">
        <f>IF('06_建筑锚点'!A365&lt;&gt;"",IF('06_建筑锚点'!A365="","缺少建筑ID；","")&amp;IF('06_建筑锚点'!B365="","缺少建筑名称；","")&amp;IF('06_建筑锚点'!C365="","缺少建筑类型；","")&amp;IF('06_建筑锚点'!D365="","缺少所属地点ID；","")&amp;IF('06_建筑锚点'!F365="","缺少世界X；","")&amp;IF('06_建筑锚点'!G365="","缺少世界Y；","")&amp;IF(AND('06_建筑锚点'!F365&lt;&gt;"",OR('06_建筑锚点'!F365&lt;0,'06_建筑锚点'!F365&gt;WorldWidth)),"世界X越界；","")&amp;IF(AND('06_建筑锚点'!G365&lt;&gt;"",OR('06_建筑锚点'!G365&lt;0,'06_建筑锚点'!G365&gt;WorldHeight)),"世界Y越界；","")&amp;IF(AND('06_建筑锚点'!D365&lt;&gt;"",COUNTIF('03_地点锚点'!$A$2:$A$501,'06_建筑锚点'!D365)=0),"建筑所属地点不存在；","")&amp;IF(AND('06_建筑锚点'!T365&lt;&gt;"",COUNTIF('07_动态状态'!$A$2:$A$501,'06_建筑锚点'!T365)=0),"运营状态编码不存在；","")&amp;IF(AND('06_建筑锚点'!A365&lt;&gt;"",COUNTIF('06_建筑锚点'!$A$2:$A$501,'06_建筑锚点'!A365)&gt;1),"ID重复；",""),"")</f>
        <v/>
      </c>
      <c r="G2365" s="14">
        <f>IF(F2365&lt;&gt;"","按字段批注、数据字典和来源记录修正后复核","")</f>
        <v/>
      </c>
      <c r="H2365" s="14">
        <f>IF(F2365&lt;&gt;"","待处理","")</f>
        <v/>
      </c>
    </row>
    <row r="2366">
      <c r="A2366" s="14">
        <f>IF(F2366&lt;&gt;"","ISSUE-"&amp;TEXT(ROW()-1,"00000"),"")</f>
        <v/>
      </c>
      <c r="B2366" s="14">
        <f>IF(F2366&lt;&gt;"","错误","")</f>
        <v/>
      </c>
      <c r="C2366" s="14">
        <f>IF('06_建筑锚点'!A366&lt;&gt;"","06_建筑锚点","")</f>
        <v/>
      </c>
      <c r="D2366" s="14">
        <f>IF('06_建筑锚点'!A366&lt;&gt;"",'06_建筑锚点'!A366,"")</f>
        <v/>
      </c>
      <c r="E2366" s="14">
        <f>IF(F2366&lt;&gt;"","综合校验","")</f>
        <v/>
      </c>
      <c r="F2366" s="14">
        <f>IF('06_建筑锚点'!A366&lt;&gt;"",IF('06_建筑锚点'!A366="","缺少建筑ID；","")&amp;IF('06_建筑锚点'!B366="","缺少建筑名称；","")&amp;IF('06_建筑锚点'!C366="","缺少建筑类型；","")&amp;IF('06_建筑锚点'!D366="","缺少所属地点ID；","")&amp;IF('06_建筑锚点'!F366="","缺少世界X；","")&amp;IF('06_建筑锚点'!G366="","缺少世界Y；","")&amp;IF(AND('06_建筑锚点'!F366&lt;&gt;"",OR('06_建筑锚点'!F366&lt;0,'06_建筑锚点'!F366&gt;WorldWidth)),"世界X越界；","")&amp;IF(AND('06_建筑锚点'!G366&lt;&gt;"",OR('06_建筑锚点'!G366&lt;0,'06_建筑锚点'!G366&gt;WorldHeight)),"世界Y越界；","")&amp;IF(AND('06_建筑锚点'!D366&lt;&gt;"",COUNTIF('03_地点锚点'!$A$2:$A$501,'06_建筑锚点'!D366)=0),"建筑所属地点不存在；","")&amp;IF(AND('06_建筑锚点'!T366&lt;&gt;"",COUNTIF('07_动态状态'!$A$2:$A$501,'06_建筑锚点'!T366)=0),"运营状态编码不存在；","")&amp;IF(AND('06_建筑锚点'!A366&lt;&gt;"",COUNTIF('06_建筑锚点'!$A$2:$A$501,'06_建筑锚点'!A366)&gt;1),"ID重复；",""),"")</f>
        <v/>
      </c>
      <c r="G2366" s="14">
        <f>IF(F2366&lt;&gt;"","按字段批注、数据字典和来源记录修正后复核","")</f>
        <v/>
      </c>
      <c r="H2366" s="14">
        <f>IF(F2366&lt;&gt;"","待处理","")</f>
        <v/>
      </c>
    </row>
    <row r="2367">
      <c r="A2367" s="14">
        <f>IF(F2367&lt;&gt;"","ISSUE-"&amp;TEXT(ROW()-1,"00000"),"")</f>
        <v/>
      </c>
      <c r="B2367" s="14">
        <f>IF(F2367&lt;&gt;"","错误","")</f>
        <v/>
      </c>
      <c r="C2367" s="14">
        <f>IF('06_建筑锚点'!A367&lt;&gt;"","06_建筑锚点","")</f>
        <v/>
      </c>
      <c r="D2367" s="14">
        <f>IF('06_建筑锚点'!A367&lt;&gt;"",'06_建筑锚点'!A367,"")</f>
        <v/>
      </c>
      <c r="E2367" s="14">
        <f>IF(F2367&lt;&gt;"","综合校验","")</f>
        <v/>
      </c>
      <c r="F2367" s="14">
        <f>IF('06_建筑锚点'!A367&lt;&gt;"",IF('06_建筑锚点'!A367="","缺少建筑ID；","")&amp;IF('06_建筑锚点'!B367="","缺少建筑名称；","")&amp;IF('06_建筑锚点'!C367="","缺少建筑类型；","")&amp;IF('06_建筑锚点'!D367="","缺少所属地点ID；","")&amp;IF('06_建筑锚点'!F367="","缺少世界X；","")&amp;IF('06_建筑锚点'!G367="","缺少世界Y；","")&amp;IF(AND('06_建筑锚点'!F367&lt;&gt;"",OR('06_建筑锚点'!F367&lt;0,'06_建筑锚点'!F367&gt;WorldWidth)),"世界X越界；","")&amp;IF(AND('06_建筑锚点'!G367&lt;&gt;"",OR('06_建筑锚点'!G367&lt;0,'06_建筑锚点'!G367&gt;WorldHeight)),"世界Y越界；","")&amp;IF(AND('06_建筑锚点'!D367&lt;&gt;"",COUNTIF('03_地点锚点'!$A$2:$A$501,'06_建筑锚点'!D367)=0),"建筑所属地点不存在；","")&amp;IF(AND('06_建筑锚点'!T367&lt;&gt;"",COUNTIF('07_动态状态'!$A$2:$A$501,'06_建筑锚点'!T367)=0),"运营状态编码不存在；","")&amp;IF(AND('06_建筑锚点'!A367&lt;&gt;"",COUNTIF('06_建筑锚点'!$A$2:$A$501,'06_建筑锚点'!A367)&gt;1),"ID重复；",""),"")</f>
        <v/>
      </c>
      <c r="G2367" s="14">
        <f>IF(F2367&lt;&gt;"","按字段批注、数据字典和来源记录修正后复核","")</f>
        <v/>
      </c>
      <c r="H2367" s="14">
        <f>IF(F2367&lt;&gt;"","待处理","")</f>
        <v/>
      </c>
    </row>
    <row r="2368">
      <c r="A2368" s="14">
        <f>IF(F2368&lt;&gt;"","ISSUE-"&amp;TEXT(ROW()-1,"00000"),"")</f>
        <v/>
      </c>
      <c r="B2368" s="14">
        <f>IF(F2368&lt;&gt;"","错误","")</f>
        <v/>
      </c>
      <c r="C2368" s="14">
        <f>IF('06_建筑锚点'!A368&lt;&gt;"","06_建筑锚点","")</f>
        <v/>
      </c>
      <c r="D2368" s="14">
        <f>IF('06_建筑锚点'!A368&lt;&gt;"",'06_建筑锚点'!A368,"")</f>
        <v/>
      </c>
      <c r="E2368" s="14">
        <f>IF(F2368&lt;&gt;"","综合校验","")</f>
        <v/>
      </c>
      <c r="F2368" s="14">
        <f>IF('06_建筑锚点'!A368&lt;&gt;"",IF('06_建筑锚点'!A368="","缺少建筑ID；","")&amp;IF('06_建筑锚点'!B368="","缺少建筑名称；","")&amp;IF('06_建筑锚点'!C368="","缺少建筑类型；","")&amp;IF('06_建筑锚点'!D368="","缺少所属地点ID；","")&amp;IF('06_建筑锚点'!F368="","缺少世界X；","")&amp;IF('06_建筑锚点'!G368="","缺少世界Y；","")&amp;IF(AND('06_建筑锚点'!F368&lt;&gt;"",OR('06_建筑锚点'!F368&lt;0,'06_建筑锚点'!F368&gt;WorldWidth)),"世界X越界；","")&amp;IF(AND('06_建筑锚点'!G368&lt;&gt;"",OR('06_建筑锚点'!G368&lt;0,'06_建筑锚点'!G368&gt;WorldHeight)),"世界Y越界；","")&amp;IF(AND('06_建筑锚点'!D368&lt;&gt;"",COUNTIF('03_地点锚点'!$A$2:$A$501,'06_建筑锚点'!D368)=0),"建筑所属地点不存在；","")&amp;IF(AND('06_建筑锚点'!T368&lt;&gt;"",COUNTIF('07_动态状态'!$A$2:$A$501,'06_建筑锚点'!T368)=0),"运营状态编码不存在；","")&amp;IF(AND('06_建筑锚点'!A368&lt;&gt;"",COUNTIF('06_建筑锚点'!$A$2:$A$501,'06_建筑锚点'!A368)&gt;1),"ID重复；",""),"")</f>
        <v/>
      </c>
      <c r="G2368" s="14">
        <f>IF(F2368&lt;&gt;"","按字段批注、数据字典和来源记录修正后复核","")</f>
        <v/>
      </c>
      <c r="H2368" s="14">
        <f>IF(F2368&lt;&gt;"","待处理","")</f>
        <v/>
      </c>
    </row>
    <row r="2369">
      <c r="A2369" s="14">
        <f>IF(F2369&lt;&gt;"","ISSUE-"&amp;TEXT(ROW()-1,"00000"),"")</f>
        <v/>
      </c>
      <c r="B2369" s="14">
        <f>IF(F2369&lt;&gt;"","错误","")</f>
        <v/>
      </c>
      <c r="C2369" s="14">
        <f>IF('06_建筑锚点'!A369&lt;&gt;"","06_建筑锚点","")</f>
        <v/>
      </c>
      <c r="D2369" s="14">
        <f>IF('06_建筑锚点'!A369&lt;&gt;"",'06_建筑锚点'!A369,"")</f>
        <v/>
      </c>
      <c r="E2369" s="14">
        <f>IF(F2369&lt;&gt;"","综合校验","")</f>
        <v/>
      </c>
      <c r="F2369" s="14">
        <f>IF('06_建筑锚点'!A369&lt;&gt;"",IF('06_建筑锚点'!A369="","缺少建筑ID；","")&amp;IF('06_建筑锚点'!B369="","缺少建筑名称；","")&amp;IF('06_建筑锚点'!C369="","缺少建筑类型；","")&amp;IF('06_建筑锚点'!D369="","缺少所属地点ID；","")&amp;IF('06_建筑锚点'!F369="","缺少世界X；","")&amp;IF('06_建筑锚点'!G369="","缺少世界Y；","")&amp;IF(AND('06_建筑锚点'!F369&lt;&gt;"",OR('06_建筑锚点'!F369&lt;0,'06_建筑锚点'!F369&gt;WorldWidth)),"世界X越界；","")&amp;IF(AND('06_建筑锚点'!G369&lt;&gt;"",OR('06_建筑锚点'!G369&lt;0,'06_建筑锚点'!G369&gt;WorldHeight)),"世界Y越界；","")&amp;IF(AND('06_建筑锚点'!D369&lt;&gt;"",COUNTIF('03_地点锚点'!$A$2:$A$501,'06_建筑锚点'!D369)=0),"建筑所属地点不存在；","")&amp;IF(AND('06_建筑锚点'!T369&lt;&gt;"",COUNTIF('07_动态状态'!$A$2:$A$501,'06_建筑锚点'!T369)=0),"运营状态编码不存在；","")&amp;IF(AND('06_建筑锚点'!A369&lt;&gt;"",COUNTIF('06_建筑锚点'!$A$2:$A$501,'06_建筑锚点'!A369)&gt;1),"ID重复；",""),"")</f>
        <v/>
      </c>
      <c r="G2369" s="14">
        <f>IF(F2369&lt;&gt;"","按字段批注、数据字典和来源记录修正后复核","")</f>
        <v/>
      </c>
      <c r="H2369" s="14">
        <f>IF(F2369&lt;&gt;"","待处理","")</f>
        <v/>
      </c>
    </row>
    <row r="2370">
      <c r="A2370" s="14">
        <f>IF(F2370&lt;&gt;"","ISSUE-"&amp;TEXT(ROW()-1,"00000"),"")</f>
        <v/>
      </c>
      <c r="B2370" s="14">
        <f>IF(F2370&lt;&gt;"","错误","")</f>
        <v/>
      </c>
      <c r="C2370" s="14">
        <f>IF('06_建筑锚点'!A370&lt;&gt;"","06_建筑锚点","")</f>
        <v/>
      </c>
      <c r="D2370" s="14">
        <f>IF('06_建筑锚点'!A370&lt;&gt;"",'06_建筑锚点'!A370,"")</f>
        <v/>
      </c>
      <c r="E2370" s="14">
        <f>IF(F2370&lt;&gt;"","综合校验","")</f>
        <v/>
      </c>
      <c r="F2370" s="14">
        <f>IF('06_建筑锚点'!A370&lt;&gt;"",IF('06_建筑锚点'!A370="","缺少建筑ID；","")&amp;IF('06_建筑锚点'!B370="","缺少建筑名称；","")&amp;IF('06_建筑锚点'!C370="","缺少建筑类型；","")&amp;IF('06_建筑锚点'!D370="","缺少所属地点ID；","")&amp;IF('06_建筑锚点'!F370="","缺少世界X；","")&amp;IF('06_建筑锚点'!G370="","缺少世界Y；","")&amp;IF(AND('06_建筑锚点'!F370&lt;&gt;"",OR('06_建筑锚点'!F370&lt;0,'06_建筑锚点'!F370&gt;WorldWidth)),"世界X越界；","")&amp;IF(AND('06_建筑锚点'!G370&lt;&gt;"",OR('06_建筑锚点'!G370&lt;0,'06_建筑锚点'!G370&gt;WorldHeight)),"世界Y越界；","")&amp;IF(AND('06_建筑锚点'!D370&lt;&gt;"",COUNTIF('03_地点锚点'!$A$2:$A$501,'06_建筑锚点'!D370)=0),"建筑所属地点不存在；","")&amp;IF(AND('06_建筑锚点'!T370&lt;&gt;"",COUNTIF('07_动态状态'!$A$2:$A$501,'06_建筑锚点'!T370)=0),"运营状态编码不存在；","")&amp;IF(AND('06_建筑锚点'!A370&lt;&gt;"",COUNTIF('06_建筑锚点'!$A$2:$A$501,'06_建筑锚点'!A370)&gt;1),"ID重复；",""),"")</f>
        <v/>
      </c>
      <c r="G2370" s="14">
        <f>IF(F2370&lt;&gt;"","按字段批注、数据字典和来源记录修正后复核","")</f>
        <v/>
      </c>
      <c r="H2370" s="14">
        <f>IF(F2370&lt;&gt;"","待处理","")</f>
        <v/>
      </c>
    </row>
    <row r="2371">
      <c r="A2371" s="14">
        <f>IF(F2371&lt;&gt;"","ISSUE-"&amp;TEXT(ROW()-1,"00000"),"")</f>
        <v/>
      </c>
      <c r="B2371" s="14">
        <f>IF(F2371&lt;&gt;"","错误","")</f>
        <v/>
      </c>
      <c r="C2371" s="14">
        <f>IF('06_建筑锚点'!A371&lt;&gt;"","06_建筑锚点","")</f>
        <v/>
      </c>
      <c r="D2371" s="14">
        <f>IF('06_建筑锚点'!A371&lt;&gt;"",'06_建筑锚点'!A371,"")</f>
        <v/>
      </c>
      <c r="E2371" s="14">
        <f>IF(F2371&lt;&gt;"","综合校验","")</f>
        <v/>
      </c>
      <c r="F2371" s="14">
        <f>IF('06_建筑锚点'!A371&lt;&gt;"",IF('06_建筑锚点'!A371="","缺少建筑ID；","")&amp;IF('06_建筑锚点'!B371="","缺少建筑名称；","")&amp;IF('06_建筑锚点'!C371="","缺少建筑类型；","")&amp;IF('06_建筑锚点'!D371="","缺少所属地点ID；","")&amp;IF('06_建筑锚点'!F371="","缺少世界X；","")&amp;IF('06_建筑锚点'!G371="","缺少世界Y；","")&amp;IF(AND('06_建筑锚点'!F371&lt;&gt;"",OR('06_建筑锚点'!F371&lt;0,'06_建筑锚点'!F371&gt;WorldWidth)),"世界X越界；","")&amp;IF(AND('06_建筑锚点'!G371&lt;&gt;"",OR('06_建筑锚点'!G371&lt;0,'06_建筑锚点'!G371&gt;WorldHeight)),"世界Y越界；","")&amp;IF(AND('06_建筑锚点'!D371&lt;&gt;"",COUNTIF('03_地点锚点'!$A$2:$A$501,'06_建筑锚点'!D371)=0),"建筑所属地点不存在；","")&amp;IF(AND('06_建筑锚点'!T371&lt;&gt;"",COUNTIF('07_动态状态'!$A$2:$A$501,'06_建筑锚点'!T371)=0),"运营状态编码不存在；","")&amp;IF(AND('06_建筑锚点'!A371&lt;&gt;"",COUNTIF('06_建筑锚点'!$A$2:$A$501,'06_建筑锚点'!A371)&gt;1),"ID重复；",""),"")</f>
        <v/>
      </c>
      <c r="G2371" s="14">
        <f>IF(F2371&lt;&gt;"","按字段批注、数据字典和来源记录修正后复核","")</f>
        <v/>
      </c>
      <c r="H2371" s="14">
        <f>IF(F2371&lt;&gt;"","待处理","")</f>
        <v/>
      </c>
    </row>
    <row r="2372">
      <c r="A2372" s="14">
        <f>IF(F2372&lt;&gt;"","ISSUE-"&amp;TEXT(ROW()-1,"00000"),"")</f>
        <v/>
      </c>
      <c r="B2372" s="14">
        <f>IF(F2372&lt;&gt;"","错误","")</f>
        <v/>
      </c>
      <c r="C2372" s="14">
        <f>IF('06_建筑锚点'!A372&lt;&gt;"","06_建筑锚点","")</f>
        <v/>
      </c>
      <c r="D2372" s="14">
        <f>IF('06_建筑锚点'!A372&lt;&gt;"",'06_建筑锚点'!A372,"")</f>
        <v/>
      </c>
      <c r="E2372" s="14">
        <f>IF(F2372&lt;&gt;"","综合校验","")</f>
        <v/>
      </c>
      <c r="F2372" s="14">
        <f>IF('06_建筑锚点'!A372&lt;&gt;"",IF('06_建筑锚点'!A372="","缺少建筑ID；","")&amp;IF('06_建筑锚点'!B372="","缺少建筑名称；","")&amp;IF('06_建筑锚点'!C372="","缺少建筑类型；","")&amp;IF('06_建筑锚点'!D372="","缺少所属地点ID；","")&amp;IF('06_建筑锚点'!F372="","缺少世界X；","")&amp;IF('06_建筑锚点'!G372="","缺少世界Y；","")&amp;IF(AND('06_建筑锚点'!F372&lt;&gt;"",OR('06_建筑锚点'!F372&lt;0,'06_建筑锚点'!F372&gt;WorldWidth)),"世界X越界；","")&amp;IF(AND('06_建筑锚点'!G372&lt;&gt;"",OR('06_建筑锚点'!G372&lt;0,'06_建筑锚点'!G372&gt;WorldHeight)),"世界Y越界；","")&amp;IF(AND('06_建筑锚点'!D372&lt;&gt;"",COUNTIF('03_地点锚点'!$A$2:$A$501,'06_建筑锚点'!D372)=0),"建筑所属地点不存在；","")&amp;IF(AND('06_建筑锚点'!T372&lt;&gt;"",COUNTIF('07_动态状态'!$A$2:$A$501,'06_建筑锚点'!T372)=0),"运营状态编码不存在；","")&amp;IF(AND('06_建筑锚点'!A372&lt;&gt;"",COUNTIF('06_建筑锚点'!$A$2:$A$501,'06_建筑锚点'!A372)&gt;1),"ID重复；",""),"")</f>
        <v/>
      </c>
      <c r="G2372" s="14">
        <f>IF(F2372&lt;&gt;"","按字段批注、数据字典和来源记录修正后复核","")</f>
        <v/>
      </c>
      <c r="H2372" s="14">
        <f>IF(F2372&lt;&gt;"","待处理","")</f>
        <v/>
      </c>
    </row>
    <row r="2373">
      <c r="A2373" s="14">
        <f>IF(F2373&lt;&gt;"","ISSUE-"&amp;TEXT(ROW()-1,"00000"),"")</f>
        <v/>
      </c>
      <c r="B2373" s="14">
        <f>IF(F2373&lt;&gt;"","错误","")</f>
        <v/>
      </c>
      <c r="C2373" s="14">
        <f>IF('06_建筑锚点'!A373&lt;&gt;"","06_建筑锚点","")</f>
        <v/>
      </c>
      <c r="D2373" s="14">
        <f>IF('06_建筑锚点'!A373&lt;&gt;"",'06_建筑锚点'!A373,"")</f>
        <v/>
      </c>
      <c r="E2373" s="14">
        <f>IF(F2373&lt;&gt;"","综合校验","")</f>
        <v/>
      </c>
      <c r="F2373" s="14">
        <f>IF('06_建筑锚点'!A373&lt;&gt;"",IF('06_建筑锚点'!A373="","缺少建筑ID；","")&amp;IF('06_建筑锚点'!B373="","缺少建筑名称；","")&amp;IF('06_建筑锚点'!C373="","缺少建筑类型；","")&amp;IF('06_建筑锚点'!D373="","缺少所属地点ID；","")&amp;IF('06_建筑锚点'!F373="","缺少世界X；","")&amp;IF('06_建筑锚点'!G373="","缺少世界Y；","")&amp;IF(AND('06_建筑锚点'!F373&lt;&gt;"",OR('06_建筑锚点'!F373&lt;0,'06_建筑锚点'!F373&gt;WorldWidth)),"世界X越界；","")&amp;IF(AND('06_建筑锚点'!G373&lt;&gt;"",OR('06_建筑锚点'!G373&lt;0,'06_建筑锚点'!G373&gt;WorldHeight)),"世界Y越界；","")&amp;IF(AND('06_建筑锚点'!D373&lt;&gt;"",COUNTIF('03_地点锚点'!$A$2:$A$501,'06_建筑锚点'!D373)=0),"建筑所属地点不存在；","")&amp;IF(AND('06_建筑锚点'!T373&lt;&gt;"",COUNTIF('07_动态状态'!$A$2:$A$501,'06_建筑锚点'!T373)=0),"运营状态编码不存在；","")&amp;IF(AND('06_建筑锚点'!A373&lt;&gt;"",COUNTIF('06_建筑锚点'!$A$2:$A$501,'06_建筑锚点'!A373)&gt;1),"ID重复；",""),"")</f>
        <v/>
      </c>
      <c r="G2373" s="14">
        <f>IF(F2373&lt;&gt;"","按字段批注、数据字典和来源记录修正后复核","")</f>
        <v/>
      </c>
      <c r="H2373" s="14">
        <f>IF(F2373&lt;&gt;"","待处理","")</f>
        <v/>
      </c>
    </row>
    <row r="2374">
      <c r="A2374" s="14">
        <f>IF(F2374&lt;&gt;"","ISSUE-"&amp;TEXT(ROW()-1,"00000"),"")</f>
        <v/>
      </c>
      <c r="B2374" s="14">
        <f>IF(F2374&lt;&gt;"","错误","")</f>
        <v/>
      </c>
      <c r="C2374" s="14">
        <f>IF('06_建筑锚点'!A374&lt;&gt;"","06_建筑锚点","")</f>
        <v/>
      </c>
      <c r="D2374" s="14">
        <f>IF('06_建筑锚点'!A374&lt;&gt;"",'06_建筑锚点'!A374,"")</f>
        <v/>
      </c>
      <c r="E2374" s="14">
        <f>IF(F2374&lt;&gt;"","综合校验","")</f>
        <v/>
      </c>
      <c r="F2374" s="14">
        <f>IF('06_建筑锚点'!A374&lt;&gt;"",IF('06_建筑锚点'!A374="","缺少建筑ID；","")&amp;IF('06_建筑锚点'!B374="","缺少建筑名称；","")&amp;IF('06_建筑锚点'!C374="","缺少建筑类型；","")&amp;IF('06_建筑锚点'!D374="","缺少所属地点ID；","")&amp;IF('06_建筑锚点'!F374="","缺少世界X；","")&amp;IF('06_建筑锚点'!G374="","缺少世界Y；","")&amp;IF(AND('06_建筑锚点'!F374&lt;&gt;"",OR('06_建筑锚点'!F374&lt;0,'06_建筑锚点'!F374&gt;WorldWidth)),"世界X越界；","")&amp;IF(AND('06_建筑锚点'!G374&lt;&gt;"",OR('06_建筑锚点'!G374&lt;0,'06_建筑锚点'!G374&gt;WorldHeight)),"世界Y越界；","")&amp;IF(AND('06_建筑锚点'!D374&lt;&gt;"",COUNTIF('03_地点锚点'!$A$2:$A$501,'06_建筑锚点'!D374)=0),"建筑所属地点不存在；","")&amp;IF(AND('06_建筑锚点'!T374&lt;&gt;"",COUNTIF('07_动态状态'!$A$2:$A$501,'06_建筑锚点'!T374)=0),"运营状态编码不存在；","")&amp;IF(AND('06_建筑锚点'!A374&lt;&gt;"",COUNTIF('06_建筑锚点'!$A$2:$A$501,'06_建筑锚点'!A374)&gt;1),"ID重复；",""),"")</f>
        <v/>
      </c>
      <c r="G2374" s="14">
        <f>IF(F2374&lt;&gt;"","按字段批注、数据字典和来源记录修正后复核","")</f>
        <v/>
      </c>
      <c r="H2374" s="14">
        <f>IF(F2374&lt;&gt;"","待处理","")</f>
        <v/>
      </c>
    </row>
    <row r="2375">
      <c r="A2375" s="14">
        <f>IF(F2375&lt;&gt;"","ISSUE-"&amp;TEXT(ROW()-1,"00000"),"")</f>
        <v/>
      </c>
      <c r="B2375" s="14">
        <f>IF(F2375&lt;&gt;"","错误","")</f>
        <v/>
      </c>
      <c r="C2375" s="14">
        <f>IF('06_建筑锚点'!A375&lt;&gt;"","06_建筑锚点","")</f>
        <v/>
      </c>
      <c r="D2375" s="14">
        <f>IF('06_建筑锚点'!A375&lt;&gt;"",'06_建筑锚点'!A375,"")</f>
        <v/>
      </c>
      <c r="E2375" s="14">
        <f>IF(F2375&lt;&gt;"","综合校验","")</f>
        <v/>
      </c>
      <c r="F2375" s="14">
        <f>IF('06_建筑锚点'!A375&lt;&gt;"",IF('06_建筑锚点'!A375="","缺少建筑ID；","")&amp;IF('06_建筑锚点'!B375="","缺少建筑名称；","")&amp;IF('06_建筑锚点'!C375="","缺少建筑类型；","")&amp;IF('06_建筑锚点'!D375="","缺少所属地点ID；","")&amp;IF('06_建筑锚点'!F375="","缺少世界X；","")&amp;IF('06_建筑锚点'!G375="","缺少世界Y；","")&amp;IF(AND('06_建筑锚点'!F375&lt;&gt;"",OR('06_建筑锚点'!F375&lt;0,'06_建筑锚点'!F375&gt;WorldWidth)),"世界X越界；","")&amp;IF(AND('06_建筑锚点'!G375&lt;&gt;"",OR('06_建筑锚点'!G375&lt;0,'06_建筑锚点'!G375&gt;WorldHeight)),"世界Y越界；","")&amp;IF(AND('06_建筑锚点'!D375&lt;&gt;"",COUNTIF('03_地点锚点'!$A$2:$A$501,'06_建筑锚点'!D375)=0),"建筑所属地点不存在；","")&amp;IF(AND('06_建筑锚点'!T375&lt;&gt;"",COUNTIF('07_动态状态'!$A$2:$A$501,'06_建筑锚点'!T375)=0),"运营状态编码不存在；","")&amp;IF(AND('06_建筑锚点'!A375&lt;&gt;"",COUNTIF('06_建筑锚点'!$A$2:$A$501,'06_建筑锚点'!A375)&gt;1),"ID重复；",""),"")</f>
        <v/>
      </c>
      <c r="G2375" s="14">
        <f>IF(F2375&lt;&gt;"","按字段批注、数据字典和来源记录修正后复核","")</f>
        <v/>
      </c>
      <c r="H2375" s="14">
        <f>IF(F2375&lt;&gt;"","待处理","")</f>
        <v/>
      </c>
    </row>
    <row r="2376">
      <c r="A2376" s="14">
        <f>IF(F2376&lt;&gt;"","ISSUE-"&amp;TEXT(ROW()-1,"00000"),"")</f>
        <v/>
      </c>
      <c r="B2376" s="14">
        <f>IF(F2376&lt;&gt;"","错误","")</f>
        <v/>
      </c>
      <c r="C2376" s="14">
        <f>IF('06_建筑锚点'!A376&lt;&gt;"","06_建筑锚点","")</f>
        <v/>
      </c>
      <c r="D2376" s="14">
        <f>IF('06_建筑锚点'!A376&lt;&gt;"",'06_建筑锚点'!A376,"")</f>
        <v/>
      </c>
      <c r="E2376" s="14">
        <f>IF(F2376&lt;&gt;"","综合校验","")</f>
        <v/>
      </c>
      <c r="F2376" s="14">
        <f>IF('06_建筑锚点'!A376&lt;&gt;"",IF('06_建筑锚点'!A376="","缺少建筑ID；","")&amp;IF('06_建筑锚点'!B376="","缺少建筑名称；","")&amp;IF('06_建筑锚点'!C376="","缺少建筑类型；","")&amp;IF('06_建筑锚点'!D376="","缺少所属地点ID；","")&amp;IF('06_建筑锚点'!F376="","缺少世界X；","")&amp;IF('06_建筑锚点'!G376="","缺少世界Y；","")&amp;IF(AND('06_建筑锚点'!F376&lt;&gt;"",OR('06_建筑锚点'!F376&lt;0,'06_建筑锚点'!F376&gt;WorldWidth)),"世界X越界；","")&amp;IF(AND('06_建筑锚点'!G376&lt;&gt;"",OR('06_建筑锚点'!G376&lt;0,'06_建筑锚点'!G376&gt;WorldHeight)),"世界Y越界；","")&amp;IF(AND('06_建筑锚点'!D376&lt;&gt;"",COUNTIF('03_地点锚点'!$A$2:$A$501,'06_建筑锚点'!D376)=0),"建筑所属地点不存在；","")&amp;IF(AND('06_建筑锚点'!T376&lt;&gt;"",COUNTIF('07_动态状态'!$A$2:$A$501,'06_建筑锚点'!T376)=0),"运营状态编码不存在；","")&amp;IF(AND('06_建筑锚点'!A376&lt;&gt;"",COUNTIF('06_建筑锚点'!$A$2:$A$501,'06_建筑锚点'!A376)&gt;1),"ID重复；",""),"")</f>
        <v/>
      </c>
      <c r="G2376" s="14">
        <f>IF(F2376&lt;&gt;"","按字段批注、数据字典和来源记录修正后复核","")</f>
        <v/>
      </c>
      <c r="H2376" s="14">
        <f>IF(F2376&lt;&gt;"","待处理","")</f>
        <v/>
      </c>
    </row>
    <row r="2377">
      <c r="A2377" s="14">
        <f>IF(F2377&lt;&gt;"","ISSUE-"&amp;TEXT(ROW()-1,"00000"),"")</f>
        <v/>
      </c>
      <c r="B2377" s="14">
        <f>IF(F2377&lt;&gt;"","错误","")</f>
        <v/>
      </c>
      <c r="C2377" s="14">
        <f>IF('06_建筑锚点'!A377&lt;&gt;"","06_建筑锚点","")</f>
        <v/>
      </c>
      <c r="D2377" s="14">
        <f>IF('06_建筑锚点'!A377&lt;&gt;"",'06_建筑锚点'!A377,"")</f>
        <v/>
      </c>
      <c r="E2377" s="14">
        <f>IF(F2377&lt;&gt;"","综合校验","")</f>
        <v/>
      </c>
      <c r="F2377" s="14">
        <f>IF('06_建筑锚点'!A377&lt;&gt;"",IF('06_建筑锚点'!A377="","缺少建筑ID；","")&amp;IF('06_建筑锚点'!B377="","缺少建筑名称；","")&amp;IF('06_建筑锚点'!C377="","缺少建筑类型；","")&amp;IF('06_建筑锚点'!D377="","缺少所属地点ID；","")&amp;IF('06_建筑锚点'!F377="","缺少世界X；","")&amp;IF('06_建筑锚点'!G377="","缺少世界Y；","")&amp;IF(AND('06_建筑锚点'!F377&lt;&gt;"",OR('06_建筑锚点'!F377&lt;0,'06_建筑锚点'!F377&gt;WorldWidth)),"世界X越界；","")&amp;IF(AND('06_建筑锚点'!G377&lt;&gt;"",OR('06_建筑锚点'!G377&lt;0,'06_建筑锚点'!G377&gt;WorldHeight)),"世界Y越界；","")&amp;IF(AND('06_建筑锚点'!D377&lt;&gt;"",COUNTIF('03_地点锚点'!$A$2:$A$501,'06_建筑锚点'!D377)=0),"建筑所属地点不存在；","")&amp;IF(AND('06_建筑锚点'!T377&lt;&gt;"",COUNTIF('07_动态状态'!$A$2:$A$501,'06_建筑锚点'!T377)=0),"运营状态编码不存在；","")&amp;IF(AND('06_建筑锚点'!A377&lt;&gt;"",COUNTIF('06_建筑锚点'!$A$2:$A$501,'06_建筑锚点'!A377)&gt;1),"ID重复；",""),"")</f>
        <v/>
      </c>
      <c r="G2377" s="14">
        <f>IF(F2377&lt;&gt;"","按字段批注、数据字典和来源记录修正后复核","")</f>
        <v/>
      </c>
      <c r="H2377" s="14">
        <f>IF(F2377&lt;&gt;"","待处理","")</f>
        <v/>
      </c>
    </row>
    <row r="2378">
      <c r="A2378" s="14">
        <f>IF(F2378&lt;&gt;"","ISSUE-"&amp;TEXT(ROW()-1,"00000"),"")</f>
        <v/>
      </c>
      <c r="B2378" s="14">
        <f>IF(F2378&lt;&gt;"","错误","")</f>
        <v/>
      </c>
      <c r="C2378" s="14">
        <f>IF('06_建筑锚点'!A378&lt;&gt;"","06_建筑锚点","")</f>
        <v/>
      </c>
      <c r="D2378" s="14">
        <f>IF('06_建筑锚点'!A378&lt;&gt;"",'06_建筑锚点'!A378,"")</f>
        <v/>
      </c>
      <c r="E2378" s="14">
        <f>IF(F2378&lt;&gt;"","综合校验","")</f>
        <v/>
      </c>
      <c r="F2378" s="14">
        <f>IF('06_建筑锚点'!A378&lt;&gt;"",IF('06_建筑锚点'!A378="","缺少建筑ID；","")&amp;IF('06_建筑锚点'!B378="","缺少建筑名称；","")&amp;IF('06_建筑锚点'!C378="","缺少建筑类型；","")&amp;IF('06_建筑锚点'!D378="","缺少所属地点ID；","")&amp;IF('06_建筑锚点'!F378="","缺少世界X；","")&amp;IF('06_建筑锚点'!G378="","缺少世界Y；","")&amp;IF(AND('06_建筑锚点'!F378&lt;&gt;"",OR('06_建筑锚点'!F378&lt;0,'06_建筑锚点'!F378&gt;WorldWidth)),"世界X越界；","")&amp;IF(AND('06_建筑锚点'!G378&lt;&gt;"",OR('06_建筑锚点'!G378&lt;0,'06_建筑锚点'!G378&gt;WorldHeight)),"世界Y越界；","")&amp;IF(AND('06_建筑锚点'!D378&lt;&gt;"",COUNTIF('03_地点锚点'!$A$2:$A$501,'06_建筑锚点'!D378)=0),"建筑所属地点不存在；","")&amp;IF(AND('06_建筑锚点'!T378&lt;&gt;"",COUNTIF('07_动态状态'!$A$2:$A$501,'06_建筑锚点'!T378)=0),"运营状态编码不存在；","")&amp;IF(AND('06_建筑锚点'!A378&lt;&gt;"",COUNTIF('06_建筑锚点'!$A$2:$A$501,'06_建筑锚点'!A378)&gt;1),"ID重复；",""),"")</f>
        <v/>
      </c>
      <c r="G2378" s="14">
        <f>IF(F2378&lt;&gt;"","按字段批注、数据字典和来源记录修正后复核","")</f>
        <v/>
      </c>
      <c r="H2378" s="14">
        <f>IF(F2378&lt;&gt;"","待处理","")</f>
        <v/>
      </c>
    </row>
    <row r="2379">
      <c r="A2379" s="14">
        <f>IF(F2379&lt;&gt;"","ISSUE-"&amp;TEXT(ROW()-1,"00000"),"")</f>
        <v/>
      </c>
      <c r="B2379" s="14">
        <f>IF(F2379&lt;&gt;"","错误","")</f>
        <v/>
      </c>
      <c r="C2379" s="14">
        <f>IF('06_建筑锚点'!A379&lt;&gt;"","06_建筑锚点","")</f>
        <v/>
      </c>
      <c r="D2379" s="14">
        <f>IF('06_建筑锚点'!A379&lt;&gt;"",'06_建筑锚点'!A379,"")</f>
        <v/>
      </c>
      <c r="E2379" s="14">
        <f>IF(F2379&lt;&gt;"","综合校验","")</f>
        <v/>
      </c>
      <c r="F2379" s="14">
        <f>IF('06_建筑锚点'!A379&lt;&gt;"",IF('06_建筑锚点'!A379="","缺少建筑ID；","")&amp;IF('06_建筑锚点'!B379="","缺少建筑名称；","")&amp;IF('06_建筑锚点'!C379="","缺少建筑类型；","")&amp;IF('06_建筑锚点'!D379="","缺少所属地点ID；","")&amp;IF('06_建筑锚点'!F379="","缺少世界X；","")&amp;IF('06_建筑锚点'!G379="","缺少世界Y；","")&amp;IF(AND('06_建筑锚点'!F379&lt;&gt;"",OR('06_建筑锚点'!F379&lt;0,'06_建筑锚点'!F379&gt;WorldWidth)),"世界X越界；","")&amp;IF(AND('06_建筑锚点'!G379&lt;&gt;"",OR('06_建筑锚点'!G379&lt;0,'06_建筑锚点'!G379&gt;WorldHeight)),"世界Y越界；","")&amp;IF(AND('06_建筑锚点'!D379&lt;&gt;"",COUNTIF('03_地点锚点'!$A$2:$A$501,'06_建筑锚点'!D379)=0),"建筑所属地点不存在；","")&amp;IF(AND('06_建筑锚点'!T379&lt;&gt;"",COUNTIF('07_动态状态'!$A$2:$A$501,'06_建筑锚点'!T379)=0),"运营状态编码不存在；","")&amp;IF(AND('06_建筑锚点'!A379&lt;&gt;"",COUNTIF('06_建筑锚点'!$A$2:$A$501,'06_建筑锚点'!A379)&gt;1),"ID重复；",""),"")</f>
        <v/>
      </c>
      <c r="G2379" s="14">
        <f>IF(F2379&lt;&gt;"","按字段批注、数据字典和来源记录修正后复核","")</f>
        <v/>
      </c>
      <c r="H2379" s="14">
        <f>IF(F2379&lt;&gt;"","待处理","")</f>
        <v/>
      </c>
    </row>
    <row r="2380">
      <c r="A2380" s="14">
        <f>IF(F2380&lt;&gt;"","ISSUE-"&amp;TEXT(ROW()-1,"00000"),"")</f>
        <v/>
      </c>
      <c r="B2380" s="14">
        <f>IF(F2380&lt;&gt;"","错误","")</f>
        <v/>
      </c>
      <c r="C2380" s="14">
        <f>IF('06_建筑锚点'!A380&lt;&gt;"","06_建筑锚点","")</f>
        <v/>
      </c>
      <c r="D2380" s="14">
        <f>IF('06_建筑锚点'!A380&lt;&gt;"",'06_建筑锚点'!A380,"")</f>
        <v/>
      </c>
      <c r="E2380" s="14">
        <f>IF(F2380&lt;&gt;"","综合校验","")</f>
        <v/>
      </c>
      <c r="F2380" s="14">
        <f>IF('06_建筑锚点'!A380&lt;&gt;"",IF('06_建筑锚点'!A380="","缺少建筑ID；","")&amp;IF('06_建筑锚点'!B380="","缺少建筑名称；","")&amp;IF('06_建筑锚点'!C380="","缺少建筑类型；","")&amp;IF('06_建筑锚点'!D380="","缺少所属地点ID；","")&amp;IF('06_建筑锚点'!F380="","缺少世界X；","")&amp;IF('06_建筑锚点'!G380="","缺少世界Y；","")&amp;IF(AND('06_建筑锚点'!F380&lt;&gt;"",OR('06_建筑锚点'!F380&lt;0,'06_建筑锚点'!F380&gt;WorldWidth)),"世界X越界；","")&amp;IF(AND('06_建筑锚点'!G380&lt;&gt;"",OR('06_建筑锚点'!G380&lt;0,'06_建筑锚点'!G380&gt;WorldHeight)),"世界Y越界；","")&amp;IF(AND('06_建筑锚点'!D380&lt;&gt;"",COUNTIF('03_地点锚点'!$A$2:$A$501,'06_建筑锚点'!D380)=0),"建筑所属地点不存在；","")&amp;IF(AND('06_建筑锚点'!T380&lt;&gt;"",COUNTIF('07_动态状态'!$A$2:$A$501,'06_建筑锚点'!T380)=0),"运营状态编码不存在；","")&amp;IF(AND('06_建筑锚点'!A380&lt;&gt;"",COUNTIF('06_建筑锚点'!$A$2:$A$501,'06_建筑锚点'!A380)&gt;1),"ID重复；",""),"")</f>
        <v/>
      </c>
      <c r="G2380" s="14">
        <f>IF(F2380&lt;&gt;"","按字段批注、数据字典和来源记录修正后复核","")</f>
        <v/>
      </c>
      <c r="H2380" s="14">
        <f>IF(F2380&lt;&gt;"","待处理","")</f>
        <v/>
      </c>
    </row>
    <row r="2381">
      <c r="A2381" s="14">
        <f>IF(F2381&lt;&gt;"","ISSUE-"&amp;TEXT(ROW()-1,"00000"),"")</f>
        <v/>
      </c>
      <c r="B2381" s="14">
        <f>IF(F2381&lt;&gt;"","错误","")</f>
        <v/>
      </c>
      <c r="C2381" s="14">
        <f>IF('06_建筑锚点'!A381&lt;&gt;"","06_建筑锚点","")</f>
        <v/>
      </c>
      <c r="D2381" s="14">
        <f>IF('06_建筑锚点'!A381&lt;&gt;"",'06_建筑锚点'!A381,"")</f>
        <v/>
      </c>
      <c r="E2381" s="14">
        <f>IF(F2381&lt;&gt;"","综合校验","")</f>
        <v/>
      </c>
      <c r="F2381" s="14">
        <f>IF('06_建筑锚点'!A381&lt;&gt;"",IF('06_建筑锚点'!A381="","缺少建筑ID；","")&amp;IF('06_建筑锚点'!B381="","缺少建筑名称；","")&amp;IF('06_建筑锚点'!C381="","缺少建筑类型；","")&amp;IF('06_建筑锚点'!D381="","缺少所属地点ID；","")&amp;IF('06_建筑锚点'!F381="","缺少世界X；","")&amp;IF('06_建筑锚点'!G381="","缺少世界Y；","")&amp;IF(AND('06_建筑锚点'!F381&lt;&gt;"",OR('06_建筑锚点'!F381&lt;0,'06_建筑锚点'!F381&gt;WorldWidth)),"世界X越界；","")&amp;IF(AND('06_建筑锚点'!G381&lt;&gt;"",OR('06_建筑锚点'!G381&lt;0,'06_建筑锚点'!G381&gt;WorldHeight)),"世界Y越界；","")&amp;IF(AND('06_建筑锚点'!D381&lt;&gt;"",COUNTIF('03_地点锚点'!$A$2:$A$501,'06_建筑锚点'!D381)=0),"建筑所属地点不存在；","")&amp;IF(AND('06_建筑锚点'!T381&lt;&gt;"",COUNTIF('07_动态状态'!$A$2:$A$501,'06_建筑锚点'!T381)=0),"运营状态编码不存在；","")&amp;IF(AND('06_建筑锚点'!A381&lt;&gt;"",COUNTIF('06_建筑锚点'!$A$2:$A$501,'06_建筑锚点'!A381)&gt;1),"ID重复；",""),"")</f>
        <v/>
      </c>
      <c r="G2381" s="14">
        <f>IF(F2381&lt;&gt;"","按字段批注、数据字典和来源记录修正后复核","")</f>
        <v/>
      </c>
      <c r="H2381" s="14">
        <f>IF(F2381&lt;&gt;"","待处理","")</f>
        <v/>
      </c>
    </row>
    <row r="2382">
      <c r="A2382" s="14">
        <f>IF(F2382&lt;&gt;"","ISSUE-"&amp;TEXT(ROW()-1,"00000"),"")</f>
        <v/>
      </c>
      <c r="B2382" s="14">
        <f>IF(F2382&lt;&gt;"","错误","")</f>
        <v/>
      </c>
      <c r="C2382" s="14">
        <f>IF('06_建筑锚点'!A382&lt;&gt;"","06_建筑锚点","")</f>
        <v/>
      </c>
      <c r="D2382" s="14">
        <f>IF('06_建筑锚点'!A382&lt;&gt;"",'06_建筑锚点'!A382,"")</f>
        <v/>
      </c>
      <c r="E2382" s="14">
        <f>IF(F2382&lt;&gt;"","综合校验","")</f>
        <v/>
      </c>
      <c r="F2382" s="14">
        <f>IF('06_建筑锚点'!A382&lt;&gt;"",IF('06_建筑锚点'!A382="","缺少建筑ID；","")&amp;IF('06_建筑锚点'!B382="","缺少建筑名称；","")&amp;IF('06_建筑锚点'!C382="","缺少建筑类型；","")&amp;IF('06_建筑锚点'!D382="","缺少所属地点ID；","")&amp;IF('06_建筑锚点'!F382="","缺少世界X；","")&amp;IF('06_建筑锚点'!G382="","缺少世界Y；","")&amp;IF(AND('06_建筑锚点'!F382&lt;&gt;"",OR('06_建筑锚点'!F382&lt;0,'06_建筑锚点'!F382&gt;WorldWidth)),"世界X越界；","")&amp;IF(AND('06_建筑锚点'!G382&lt;&gt;"",OR('06_建筑锚点'!G382&lt;0,'06_建筑锚点'!G382&gt;WorldHeight)),"世界Y越界；","")&amp;IF(AND('06_建筑锚点'!D382&lt;&gt;"",COUNTIF('03_地点锚点'!$A$2:$A$501,'06_建筑锚点'!D382)=0),"建筑所属地点不存在；","")&amp;IF(AND('06_建筑锚点'!T382&lt;&gt;"",COUNTIF('07_动态状态'!$A$2:$A$501,'06_建筑锚点'!T382)=0),"运营状态编码不存在；","")&amp;IF(AND('06_建筑锚点'!A382&lt;&gt;"",COUNTIF('06_建筑锚点'!$A$2:$A$501,'06_建筑锚点'!A382)&gt;1),"ID重复；",""),"")</f>
        <v/>
      </c>
      <c r="G2382" s="14">
        <f>IF(F2382&lt;&gt;"","按字段批注、数据字典和来源记录修正后复核","")</f>
        <v/>
      </c>
      <c r="H2382" s="14">
        <f>IF(F2382&lt;&gt;"","待处理","")</f>
        <v/>
      </c>
    </row>
    <row r="2383">
      <c r="A2383" s="14">
        <f>IF(F2383&lt;&gt;"","ISSUE-"&amp;TEXT(ROW()-1,"00000"),"")</f>
        <v/>
      </c>
      <c r="B2383" s="14">
        <f>IF(F2383&lt;&gt;"","错误","")</f>
        <v/>
      </c>
      <c r="C2383" s="14">
        <f>IF('06_建筑锚点'!A383&lt;&gt;"","06_建筑锚点","")</f>
        <v/>
      </c>
      <c r="D2383" s="14">
        <f>IF('06_建筑锚点'!A383&lt;&gt;"",'06_建筑锚点'!A383,"")</f>
        <v/>
      </c>
      <c r="E2383" s="14">
        <f>IF(F2383&lt;&gt;"","综合校验","")</f>
        <v/>
      </c>
      <c r="F2383" s="14">
        <f>IF('06_建筑锚点'!A383&lt;&gt;"",IF('06_建筑锚点'!A383="","缺少建筑ID；","")&amp;IF('06_建筑锚点'!B383="","缺少建筑名称；","")&amp;IF('06_建筑锚点'!C383="","缺少建筑类型；","")&amp;IF('06_建筑锚点'!D383="","缺少所属地点ID；","")&amp;IF('06_建筑锚点'!F383="","缺少世界X；","")&amp;IF('06_建筑锚点'!G383="","缺少世界Y；","")&amp;IF(AND('06_建筑锚点'!F383&lt;&gt;"",OR('06_建筑锚点'!F383&lt;0,'06_建筑锚点'!F383&gt;WorldWidth)),"世界X越界；","")&amp;IF(AND('06_建筑锚点'!G383&lt;&gt;"",OR('06_建筑锚点'!G383&lt;0,'06_建筑锚点'!G383&gt;WorldHeight)),"世界Y越界；","")&amp;IF(AND('06_建筑锚点'!D383&lt;&gt;"",COUNTIF('03_地点锚点'!$A$2:$A$501,'06_建筑锚点'!D383)=0),"建筑所属地点不存在；","")&amp;IF(AND('06_建筑锚点'!T383&lt;&gt;"",COUNTIF('07_动态状态'!$A$2:$A$501,'06_建筑锚点'!T383)=0),"运营状态编码不存在；","")&amp;IF(AND('06_建筑锚点'!A383&lt;&gt;"",COUNTIF('06_建筑锚点'!$A$2:$A$501,'06_建筑锚点'!A383)&gt;1),"ID重复；",""),"")</f>
        <v/>
      </c>
      <c r="G2383" s="14">
        <f>IF(F2383&lt;&gt;"","按字段批注、数据字典和来源记录修正后复核","")</f>
        <v/>
      </c>
      <c r="H2383" s="14">
        <f>IF(F2383&lt;&gt;"","待处理","")</f>
        <v/>
      </c>
    </row>
    <row r="2384">
      <c r="A2384" s="14">
        <f>IF(F2384&lt;&gt;"","ISSUE-"&amp;TEXT(ROW()-1,"00000"),"")</f>
        <v/>
      </c>
      <c r="B2384" s="14">
        <f>IF(F2384&lt;&gt;"","错误","")</f>
        <v/>
      </c>
      <c r="C2384" s="14">
        <f>IF('06_建筑锚点'!A384&lt;&gt;"","06_建筑锚点","")</f>
        <v/>
      </c>
      <c r="D2384" s="14">
        <f>IF('06_建筑锚点'!A384&lt;&gt;"",'06_建筑锚点'!A384,"")</f>
        <v/>
      </c>
      <c r="E2384" s="14">
        <f>IF(F2384&lt;&gt;"","综合校验","")</f>
        <v/>
      </c>
      <c r="F2384" s="14">
        <f>IF('06_建筑锚点'!A384&lt;&gt;"",IF('06_建筑锚点'!A384="","缺少建筑ID；","")&amp;IF('06_建筑锚点'!B384="","缺少建筑名称；","")&amp;IF('06_建筑锚点'!C384="","缺少建筑类型；","")&amp;IF('06_建筑锚点'!D384="","缺少所属地点ID；","")&amp;IF('06_建筑锚点'!F384="","缺少世界X；","")&amp;IF('06_建筑锚点'!G384="","缺少世界Y；","")&amp;IF(AND('06_建筑锚点'!F384&lt;&gt;"",OR('06_建筑锚点'!F384&lt;0,'06_建筑锚点'!F384&gt;WorldWidth)),"世界X越界；","")&amp;IF(AND('06_建筑锚点'!G384&lt;&gt;"",OR('06_建筑锚点'!G384&lt;0,'06_建筑锚点'!G384&gt;WorldHeight)),"世界Y越界；","")&amp;IF(AND('06_建筑锚点'!D384&lt;&gt;"",COUNTIF('03_地点锚点'!$A$2:$A$501,'06_建筑锚点'!D384)=0),"建筑所属地点不存在；","")&amp;IF(AND('06_建筑锚点'!T384&lt;&gt;"",COUNTIF('07_动态状态'!$A$2:$A$501,'06_建筑锚点'!T384)=0),"运营状态编码不存在；","")&amp;IF(AND('06_建筑锚点'!A384&lt;&gt;"",COUNTIF('06_建筑锚点'!$A$2:$A$501,'06_建筑锚点'!A384)&gt;1),"ID重复；",""),"")</f>
        <v/>
      </c>
      <c r="G2384" s="14">
        <f>IF(F2384&lt;&gt;"","按字段批注、数据字典和来源记录修正后复核","")</f>
        <v/>
      </c>
      <c r="H2384" s="14">
        <f>IF(F2384&lt;&gt;"","待处理","")</f>
        <v/>
      </c>
    </row>
    <row r="2385">
      <c r="A2385" s="14">
        <f>IF(F2385&lt;&gt;"","ISSUE-"&amp;TEXT(ROW()-1,"00000"),"")</f>
        <v/>
      </c>
      <c r="B2385" s="14">
        <f>IF(F2385&lt;&gt;"","错误","")</f>
        <v/>
      </c>
      <c r="C2385" s="14">
        <f>IF('06_建筑锚点'!A385&lt;&gt;"","06_建筑锚点","")</f>
        <v/>
      </c>
      <c r="D2385" s="14">
        <f>IF('06_建筑锚点'!A385&lt;&gt;"",'06_建筑锚点'!A385,"")</f>
        <v/>
      </c>
      <c r="E2385" s="14">
        <f>IF(F2385&lt;&gt;"","综合校验","")</f>
        <v/>
      </c>
      <c r="F2385" s="14">
        <f>IF('06_建筑锚点'!A385&lt;&gt;"",IF('06_建筑锚点'!A385="","缺少建筑ID；","")&amp;IF('06_建筑锚点'!B385="","缺少建筑名称；","")&amp;IF('06_建筑锚点'!C385="","缺少建筑类型；","")&amp;IF('06_建筑锚点'!D385="","缺少所属地点ID；","")&amp;IF('06_建筑锚点'!F385="","缺少世界X；","")&amp;IF('06_建筑锚点'!G385="","缺少世界Y；","")&amp;IF(AND('06_建筑锚点'!F385&lt;&gt;"",OR('06_建筑锚点'!F385&lt;0,'06_建筑锚点'!F385&gt;WorldWidth)),"世界X越界；","")&amp;IF(AND('06_建筑锚点'!G385&lt;&gt;"",OR('06_建筑锚点'!G385&lt;0,'06_建筑锚点'!G385&gt;WorldHeight)),"世界Y越界；","")&amp;IF(AND('06_建筑锚点'!D385&lt;&gt;"",COUNTIF('03_地点锚点'!$A$2:$A$501,'06_建筑锚点'!D385)=0),"建筑所属地点不存在；","")&amp;IF(AND('06_建筑锚点'!T385&lt;&gt;"",COUNTIF('07_动态状态'!$A$2:$A$501,'06_建筑锚点'!T385)=0),"运营状态编码不存在；","")&amp;IF(AND('06_建筑锚点'!A385&lt;&gt;"",COUNTIF('06_建筑锚点'!$A$2:$A$501,'06_建筑锚点'!A385)&gt;1),"ID重复；",""),"")</f>
        <v/>
      </c>
      <c r="G2385" s="14">
        <f>IF(F2385&lt;&gt;"","按字段批注、数据字典和来源记录修正后复核","")</f>
        <v/>
      </c>
      <c r="H2385" s="14">
        <f>IF(F2385&lt;&gt;"","待处理","")</f>
        <v/>
      </c>
    </row>
    <row r="2386">
      <c r="A2386" s="14">
        <f>IF(F2386&lt;&gt;"","ISSUE-"&amp;TEXT(ROW()-1,"00000"),"")</f>
        <v/>
      </c>
      <c r="B2386" s="14">
        <f>IF(F2386&lt;&gt;"","错误","")</f>
        <v/>
      </c>
      <c r="C2386" s="14">
        <f>IF('06_建筑锚点'!A386&lt;&gt;"","06_建筑锚点","")</f>
        <v/>
      </c>
      <c r="D2386" s="14">
        <f>IF('06_建筑锚点'!A386&lt;&gt;"",'06_建筑锚点'!A386,"")</f>
        <v/>
      </c>
      <c r="E2386" s="14">
        <f>IF(F2386&lt;&gt;"","综合校验","")</f>
        <v/>
      </c>
      <c r="F2386" s="14">
        <f>IF('06_建筑锚点'!A386&lt;&gt;"",IF('06_建筑锚点'!A386="","缺少建筑ID；","")&amp;IF('06_建筑锚点'!B386="","缺少建筑名称；","")&amp;IF('06_建筑锚点'!C386="","缺少建筑类型；","")&amp;IF('06_建筑锚点'!D386="","缺少所属地点ID；","")&amp;IF('06_建筑锚点'!F386="","缺少世界X；","")&amp;IF('06_建筑锚点'!G386="","缺少世界Y；","")&amp;IF(AND('06_建筑锚点'!F386&lt;&gt;"",OR('06_建筑锚点'!F386&lt;0,'06_建筑锚点'!F386&gt;WorldWidth)),"世界X越界；","")&amp;IF(AND('06_建筑锚点'!G386&lt;&gt;"",OR('06_建筑锚点'!G386&lt;0,'06_建筑锚点'!G386&gt;WorldHeight)),"世界Y越界；","")&amp;IF(AND('06_建筑锚点'!D386&lt;&gt;"",COUNTIF('03_地点锚点'!$A$2:$A$501,'06_建筑锚点'!D386)=0),"建筑所属地点不存在；","")&amp;IF(AND('06_建筑锚点'!T386&lt;&gt;"",COUNTIF('07_动态状态'!$A$2:$A$501,'06_建筑锚点'!T386)=0),"运营状态编码不存在；","")&amp;IF(AND('06_建筑锚点'!A386&lt;&gt;"",COUNTIF('06_建筑锚点'!$A$2:$A$501,'06_建筑锚点'!A386)&gt;1),"ID重复；",""),"")</f>
        <v/>
      </c>
      <c r="G2386" s="14">
        <f>IF(F2386&lt;&gt;"","按字段批注、数据字典和来源记录修正后复核","")</f>
        <v/>
      </c>
      <c r="H2386" s="14">
        <f>IF(F2386&lt;&gt;"","待处理","")</f>
        <v/>
      </c>
    </row>
    <row r="2387">
      <c r="A2387" s="14">
        <f>IF(F2387&lt;&gt;"","ISSUE-"&amp;TEXT(ROW()-1,"00000"),"")</f>
        <v/>
      </c>
      <c r="B2387" s="14">
        <f>IF(F2387&lt;&gt;"","错误","")</f>
        <v/>
      </c>
      <c r="C2387" s="14">
        <f>IF('06_建筑锚点'!A387&lt;&gt;"","06_建筑锚点","")</f>
        <v/>
      </c>
      <c r="D2387" s="14">
        <f>IF('06_建筑锚点'!A387&lt;&gt;"",'06_建筑锚点'!A387,"")</f>
        <v/>
      </c>
      <c r="E2387" s="14">
        <f>IF(F2387&lt;&gt;"","综合校验","")</f>
        <v/>
      </c>
      <c r="F2387" s="14">
        <f>IF('06_建筑锚点'!A387&lt;&gt;"",IF('06_建筑锚点'!A387="","缺少建筑ID；","")&amp;IF('06_建筑锚点'!B387="","缺少建筑名称；","")&amp;IF('06_建筑锚点'!C387="","缺少建筑类型；","")&amp;IF('06_建筑锚点'!D387="","缺少所属地点ID；","")&amp;IF('06_建筑锚点'!F387="","缺少世界X；","")&amp;IF('06_建筑锚点'!G387="","缺少世界Y；","")&amp;IF(AND('06_建筑锚点'!F387&lt;&gt;"",OR('06_建筑锚点'!F387&lt;0,'06_建筑锚点'!F387&gt;WorldWidth)),"世界X越界；","")&amp;IF(AND('06_建筑锚点'!G387&lt;&gt;"",OR('06_建筑锚点'!G387&lt;0,'06_建筑锚点'!G387&gt;WorldHeight)),"世界Y越界；","")&amp;IF(AND('06_建筑锚点'!D387&lt;&gt;"",COUNTIF('03_地点锚点'!$A$2:$A$501,'06_建筑锚点'!D387)=0),"建筑所属地点不存在；","")&amp;IF(AND('06_建筑锚点'!T387&lt;&gt;"",COUNTIF('07_动态状态'!$A$2:$A$501,'06_建筑锚点'!T387)=0),"运营状态编码不存在；","")&amp;IF(AND('06_建筑锚点'!A387&lt;&gt;"",COUNTIF('06_建筑锚点'!$A$2:$A$501,'06_建筑锚点'!A387)&gt;1),"ID重复；",""),"")</f>
        <v/>
      </c>
      <c r="G2387" s="14">
        <f>IF(F2387&lt;&gt;"","按字段批注、数据字典和来源记录修正后复核","")</f>
        <v/>
      </c>
      <c r="H2387" s="14">
        <f>IF(F2387&lt;&gt;"","待处理","")</f>
        <v/>
      </c>
    </row>
    <row r="2388">
      <c r="A2388" s="14">
        <f>IF(F2388&lt;&gt;"","ISSUE-"&amp;TEXT(ROW()-1,"00000"),"")</f>
        <v/>
      </c>
      <c r="B2388" s="14">
        <f>IF(F2388&lt;&gt;"","错误","")</f>
        <v/>
      </c>
      <c r="C2388" s="14">
        <f>IF('06_建筑锚点'!A388&lt;&gt;"","06_建筑锚点","")</f>
        <v/>
      </c>
      <c r="D2388" s="14">
        <f>IF('06_建筑锚点'!A388&lt;&gt;"",'06_建筑锚点'!A388,"")</f>
        <v/>
      </c>
      <c r="E2388" s="14">
        <f>IF(F2388&lt;&gt;"","综合校验","")</f>
        <v/>
      </c>
      <c r="F2388" s="14">
        <f>IF('06_建筑锚点'!A388&lt;&gt;"",IF('06_建筑锚点'!A388="","缺少建筑ID；","")&amp;IF('06_建筑锚点'!B388="","缺少建筑名称；","")&amp;IF('06_建筑锚点'!C388="","缺少建筑类型；","")&amp;IF('06_建筑锚点'!D388="","缺少所属地点ID；","")&amp;IF('06_建筑锚点'!F388="","缺少世界X；","")&amp;IF('06_建筑锚点'!G388="","缺少世界Y；","")&amp;IF(AND('06_建筑锚点'!F388&lt;&gt;"",OR('06_建筑锚点'!F388&lt;0,'06_建筑锚点'!F388&gt;WorldWidth)),"世界X越界；","")&amp;IF(AND('06_建筑锚点'!G388&lt;&gt;"",OR('06_建筑锚点'!G388&lt;0,'06_建筑锚点'!G388&gt;WorldHeight)),"世界Y越界；","")&amp;IF(AND('06_建筑锚点'!D388&lt;&gt;"",COUNTIF('03_地点锚点'!$A$2:$A$501,'06_建筑锚点'!D388)=0),"建筑所属地点不存在；","")&amp;IF(AND('06_建筑锚点'!T388&lt;&gt;"",COUNTIF('07_动态状态'!$A$2:$A$501,'06_建筑锚点'!T388)=0),"运营状态编码不存在；","")&amp;IF(AND('06_建筑锚点'!A388&lt;&gt;"",COUNTIF('06_建筑锚点'!$A$2:$A$501,'06_建筑锚点'!A388)&gt;1),"ID重复；",""),"")</f>
        <v/>
      </c>
      <c r="G2388" s="14">
        <f>IF(F2388&lt;&gt;"","按字段批注、数据字典和来源记录修正后复核","")</f>
        <v/>
      </c>
      <c r="H2388" s="14">
        <f>IF(F2388&lt;&gt;"","待处理","")</f>
        <v/>
      </c>
    </row>
    <row r="2389">
      <c r="A2389" s="14">
        <f>IF(F2389&lt;&gt;"","ISSUE-"&amp;TEXT(ROW()-1,"00000"),"")</f>
        <v/>
      </c>
      <c r="B2389" s="14">
        <f>IF(F2389&lt;&gt;"","错误","")</f>
        <v/>
      </c>
      <c r="C2389" s="14">
        <f>IF('06_建筑锚点'!A389&lt;&gt;"","06_建筑锚点","")</f>
        <v/>
      </c>
      <c r="D2389" s="14">
        <f>IF('06_建筑锚点'!A389&lt;&gt;"",'06_建筑锚点'!A389,"")</f>
        <v/>
      </c>
      <c r="E2389" s="14">
        <f>IF(F2389&lt;&gt;"","综合校验","")</f>
        <v/>
      </c>
      <c r="F2389" s="14">
        <f>IF('06_建筑锚点'!A389&lt;&gt;"",IF('06_建筑锚点'!A389="","缺少建筑ID；","")&amp;IF('06_建筑锚点'!B389="","缺少建筑名称；","")&amp;IF('06_建筑锚点'!C389="","缺少建筑类型；","")&amp;IF('06_建筑锚点'!D389="","缺少所属地点ID；","")&amp;IF('06_建筑锚点'!F389="","缺少世界X；","")&amp;IF('06_建筑锚点'!G389="","缺少世界Y；","")&amp;IF(AND('06_建筑锚点'!F389&lt;&gt;"",OR('06_建筑锚点'!F389&lt;0,'06_建筑锚点'!F389&gt;WorldWidth)),"世界X越界；","")&amp;IF(AND('06_建筑锚点'!G389&lt;&gt;"",OR('06_建筑锚点'!G389&lt;0,'06_建筑锚点'!G389&gt;WorldHeight)),"世界Y越界；","")&amp;IF(AND('06_建筑锚点'!D389&lt;&gt;"",COUNTIF('03_地点锚点'!$A$2:$A$501,'06_建筑锚点'!D389)=0),"建筑所属地点不存在；","")&amp;IF(AND('06_建筑锚点'!T389&lt;&gt;"",COUNTIF('07_动态状态'!$A$2:$A$501,'06_建筑锚点'!T389)=0),"运营状态编码不存在；","")&amp;IF(AND('06_建筑锚点'!A389&lt;&gt;"",COUNTIF('06_建筑锚点'!$A$2:$A$501,'06_建筑锚点'!A389)&gt;1),"ID重复；",""),"")</f>
        <v/>
      </c>
      <c r="G2389" s="14">
        <f>IF(F2389&lt;&gt;"","按字段批注、数据字典和来源记录修正后复核","")</f>
        <v/>
      </c>
      <c r="H2389" s="14">
        <f>IF(F2389&lt;&gt;"","待处理","")</f>
        <v/>
      </c>
    </row>
    <row r="2390">
      <c r="A2390" s="14">
        <f>IF(F2390&lt;&gt;"","ISSUE-"&amp;TEXT(ROW()-1,"00000"),"")</f>
        <v/>
      </c>
      <c r="B2390" s="14">
        <f>IF(F2390&lt;&gt;"","错误","")</f>
        <v/>
      </c>
      <c r="C2390" s="14">
        <f>IF('06_建筑锚点'!A390&lt;&gt;"","06_建筑锚点","")</f>
        <v/>
      </c>
      <c r="D2390" s="14">
        <f>IF('06_建筑锚点'!A390&lt;&gt;"",'06_建筑锚点'!A390,"")</f>
        <v/>
      </c>
      <c r="E2390" s="14">
        <f>IF(F2390&lt;&gt;"","综合校验","")</f>
        <v/>
      </c>
      <c r="F2390" s="14">
        <f>IF('06_建筑锚点'!A390&lt;&gt;"",IF('06_建筑锚点'!A390="","缺少建筑ID；","")&amp;IF('06_建筑锚点'!B390="","缺少建筑名称；","")&amp;IF('06_建筑锚点'!C390="","缺少建筑类型；","")&amp;IF('06_建筑锚点'!D390="","缺少所属地点ID；","")&amp;IF('06_建筑锚点'!F390="","缺少世界X；","")&amp;IF('06_建筑锚点'!G390="","缺少世界Y；","")&amp;IF(AND('06_建筑锚点'!F390&lt;&gt;"",OR('06_建筑锚点'!F390&lt;0,'06_建筑锚点'!F390&gt;WorldWidth)),"世界X越界；","")&amp;IF(AND('06_建筑锚点'!G390&lt;&gt;"",OR('06_建筑锚点'!G390&lt;0,'06_建筑锚点'!G390&gt;WorldHeight)),"世界Y越界；","")&amp;IF(AND('06_建筑锚点'!D390&lt;&gt;"",COUNTIF('03_地点锚点'!$A$2:$A$501,'06_建筑锚点'!D390)=0),"建筑所属地点不存在；","")&amp;IF(AND('06_建筑锚点'!T390&lt;&gt;"",COUNTIF('07_动态状态'!$A$2:$A$501,'06_建筑锚点'!T390)=0),"运营状态编码不存在；","")&amp;IF(AND('06_建筑锚点'!A390&lt;&gt;"",COUNTIF('06_建筑锚点'!$A$2:$A$501,'06_建筑锚点'!A390)&gt;1),"ID重复；",""),"")</f>
        <v/>
      </c>
      <c r="G2390" s="14">
        <f>IF(F2390&lt;&gt;"","按字段批注、数据字典和来源记录修正后复核","")</f>
        <v/>
      </c>
      <c r="H2390" s="14">
        <f>IF(F2390&lt;&gt;"","待处理","")</f>
        <v/>
      </c>
    </row>
    <row r="2391">
      <c r="A2391" s="14">
        <f>IF(F2391&lt;&gt;"","ISSUE-"&amp;TEXT(ROW()-1,"00000"),"")</f>
        <v/>
      </c>
      <c r="B2391" s="14">
        <f>IF(F2391&lt;&gt;"","错误","")</f>
        <v/>
      </c>
      <c r="C2391" s="14">
        <f>IF('06_建筑锚点'!A391&lt;&gt;"","06_建筑锚点","")</f>
        <v/>
      </c>
      <c r="D2391" s="14">
        <f>IF('06_建筑锚点'!A391&lt;&gt;"",'06_建筑锚点'!A391,"")</f>
        <v/>
      </c>
      <c r="E2391" s="14">
        <f>IF(F2391&lt;&gt;"","综合校验","")</f>
        <v/>
      </c>
      <c r="F2391" s="14">
        <f>IF('06_建筑锚点'!A391&lt;&gt;"",IF('06_建筑锚点'!A391="","缺少建筑ID；","")&amp;IF('06_建筑锚点'!B391="","缺少建筑名称；","")&amp;IF('06_建筑锚点'!C391="","缺少建筑类型；","")&amp;IF('06_建筑锚点'!D391="","缺少所属地点ID；","")&amp;IF('06_建筑锚点'!F391="","缺少世界X；","")&amp;IF('06_建筑锚点'!G391="","缺少世界Y；","")&amp;IF(AND('06_建筑锚点'!F391&lt;&gt;"",OR('06_建筑锚点'!F391&lt;0,'06_建筑锚点'!F391&gt;WorldWidth)),"世界X越界；","")&amp;IF(AND('06_建筑锚点'!G391&lt;&gt;"",OR('06_建筑锚点'!G391&lt;0,'06_建筑锚点'!G391&gt;WorldHeight)),"世界Y越界；","")&amp;IF(AND('06_建筑锚点'!D391&lt;&gt;"",COUNTIF('03_地点锚点'!$A$2:$A$501,'06_建筑锚点'!D391)=0),"建筑所属地点不存在；","")&amp;IF(AND('06_建筑锚点'!T391&lt;&gt;"",COUNTIF('07_动态状态'!$A$2:$A$501,'06_建筑锚点'!T391)=0),"运营状态编码不存在；","")&amp;IF(AND('06_建筑锚点'!A391&lt;&gt;"",COUNTIF('06_建筑锚点'!$A$2:$A$501,'06_建筑锚点'!A391)&gt;1),"ID重复；",""),"")</f>
        <v/>
      </c>
      <c r="G2391" s="14">
        <f>IF(F2391&lt;&gt;"","按字段批注、数据字典和来源记录修正后复核","")</f>
        <v/>
      </c>
      <c r="H2391" s="14">
        <f>IF(F2391&lt;&gt;"","待处理","")</f>
        <v/>
      </c>
    </row>
    <row r="2392">
      <c r="A2392" s="14">
        <f>IF(F2392&lt;&gt;"","ISSUE-"&amp;TEXT(ROW()-1,"00000"),"")</f>
        <v/>
      </c>
      <c r="B2392" s="14">
        <f>IF(F2392&lt;&gt;"","错误","")</f>
        <v/>
      </c>
      <c r="C2392" s="14">
        <f>IF('06_建筑锚点'!A392&lt;&gt;"","06_建筑锚点","")</f>
        <v/>
      </c>
      <c r="D2392" s="14">
        <f>IF('06_建筑锚点'!A392&lt;&gt;"",'06_建筑锚点'!A392,"")</f>
        <v/>
      </c>
      <c r="E2392" s="14">
        <f>IF(F2392&lt;&gt;"","综合校验","")</f>
        <v/>
      </c>
      <c r="F2392" s="14">
        <f>IF('06_建筑锚点'!A392&lt;&gt;"",IF('06_建筑锚点'!A392="","缺少建筑ID；","")&amp;IF('06_建筑锚点'!B392="","缺少建筑名称；","")&amp;IF('06_建筑锚点'!C392="","缺少建筑类型；","")&amp;IF('06_建筑锚点'!D392="","缺少所属地点ID；","")&amp;IF('06_建筑锚点'!F392="","缺少世界X；","")&amp;IF('06_建筑锚点'!G392="","缺少世界Y；","")&amp;IF(AND('06_建筑锚点'!F392&lt;&gt;"",OR('06_建筑锚点'!F392&lt;0,'06_建筑锚点'!F392&gt;WorldWidth)),"世界X越界；","")&amp;IF(AND('06_建筑锚点'!G392&lt;&gt;"",OR('06_建筑锚点'!G392&lt;0,'06_建筑锚点'!G392&gt;WorldHeight)),"世界Y越界；","")&amp;IF(AND('06_建筑锚点'!D392&lt;&gt;"",COUNTIF('03_地点锚点'!$A$2:$A$501,'06_建筑锚点'!D392)=0),"建筑所属地点不存在；","")&amp;IF(AND('06_建筑锚点'!T392&lt;&gt;"",COUNTIF('07_动态状态'!$A$2:$A$501,'06_建筑锚点'!T392)=0),"运营状态编码不存在；","")&amp;IF(AND('06_建筑锚点'!A392&lt;&gt;"",COUNTIF('06_建筑锚点'!$A$2:$A$501,'06_建筑锚点'!A392)&gt;1),"ID重复；",""),"")</f>
        <v/>
      </c>
      <c r="G2392" s="14">
        <f>IF(F2392&lt;&gt;"","按字段批注、数据字典和来源记录修正后复核","")</f>
        <v/>
      </c>
      <c r="H2392" s="14">
        <f>IF(F2392&lt;&gt;"","待处理","")</f>
        <v/>
      </c>
    </row>
    <row r="2393">
      <c r="A2393" s="14">
        <f>IF(F2393&lt;&gt;"","ISSUE-"&amp;TEXT(ROW()-1,"00000"),"")</f>
        <v/>
      </c>
      <c r="B2393" s="14">
        <f>IF(F2393&lt;&gt;"","错误","")</f>
        <v/>
      </c>
      <c r="C2393" s="14">
        <f>IF('06_建筑锚点'!A393&lt;&gt;"","06_建筑锚点","")</f>
        <v/>
      </c>
      <c r="D2393" s="14">
        <f>IF('06_建筑锚点'!A393&lt;&gt;"",'06_建筑锚点'!A393,"")</f>
        <v/>
      </c>
      <c r="E2393" s="14">
        <f>IF(F2393&lt;&gt;"","综合校验","")</f>
        <v/>
      </c>
      <c r="F2393" s="14">
        <f>IF('06_建筑锚点'!A393&lt;&gt;"",IF('06_建筑锚点'!A393="","缺少建筑ID；","")&amp;IF('06_建筑锚点'!B393="","缺少建筑名称；","")&amp;IF('06_建筑锚点'!C393="","缺少建筑类型；","")&amp;IF('06_建筑锚点'!D393="","缺少所属地点ID；","")&amp;IF('06_建筑锚点'!F393="","缺少世界X；","")&amp;IF('06_建筑锚点'!G393="","缺少世界Y；","")&amp;IF(AND('06_建筑锚点'!F393&lt;&gt;"",OR('06_建筑锚点'!F393&lt;0,'06_建筑锚点'!F393&gt;WorldWidth)),"世界X越界；","")&amp;IF(AND('06_建筑锚点'!G393&lt;&gt;"",OR('06_建筑锚点'!G393&lt;0,'06_建筑锚点'!G393&gt;WorldHeight)),"世界Y越界；","")&amp;IF(AND('06_建筑锚点'!D393&lt;&gt;"",COUNTIF('03_地点锚点'!$A$2:$A$501,'06_建筑锚点'!D393)=0),"建筑所属地点不存在；","")&amp;IF(AND('06_建筑锚点'!T393&lt;&gt;"",COUNTIF('07_动态状态'!$A$2:$A$501,'06_建筑锚点'!T393)=0),"运营状态编码不存在；","")&amp;IF(AND('06_建筑锚点'!A393&lt;&gt;"",COUNTIF('06_建筑锚点'!$A$2:$A$501,'06_建筑锚点'!A393)&gt;1),"ID重复；",""),"")</f>
        <v/>
      </c>
      <c r="G2393" s="14">
        <f>IF(F2393&lt;&gt;"","按字段批注、数据字典和来源记录修正后复核","")</f>
        <v/>
      </c>
      <c r="H2393" s="14">
        <f>IF(F2393&lt;&gt;"","待处理","")</f>
        <v/>
      </c>
    </row>
    <row r="2394">
      <c r="A2394" s="14">
        <f>IF(F2394&lt;&gt;"","ISSUE-"&amp;TEXT(ROW()-1,"00000"),"")</f>
        <v/>
      </c>
      <c r="B2394" s="14">
        <f>IF(F2394&lt;&gt;"","错误","")</f>
        <v/>
      </c>
      <c r="C2394" s="14">
        <f>IF('06_建筑锚点'!A394&lt;&gt;"","06_建筑锚点","")</f>
        <v/>
      </c>
      <c r="D2394" s="14">
        <f>IF('06_建筑锚点'!A394&lt;&gt;"",'06_建筑锚点'!A394,"")</f>
        <v/>
      </c>
      <c r="E2394" s="14">
        <f>IF(F2394&lt;&gt;"","综合校验","")</f>
        <v/>
      </c>
      <c r="F2394" s="14">
        <f>IF('06_建筑锚点'!A394&lt;&gt;"",IF('06_建筑锚点'!A394="","缺少建筑ID；","")&amp;IF('06_建筑锚点'!B394="","缺少建筑名称；","")&amp;IF('06_建筑锚点'!C394="","缺少建筑类型；","")&amp;IF('06_建筑锚点'!D394="","缺少所属地点ID；","")&amp;IF('06_建筑锚点'!F394="","缺少世界X；","")&amp;IF('06_建筑锚点'!G394="","缺少世界Y；","")&amp;IF(AND('06_建筑锚点'!F394&lt;&gt;"",OR('06_建筑锚点'!F394&lt;0,'06_建筑锚点'!F394&gt;WorldWidth)),"世界X越界；","")&amp;IF(AND('06_建筑锚点'!G394&lt;&gt;"",OR('06_建筑锚点'!G394&lt;0,'06_建筑锚点'!G394&gt;WorldHeight)),"世界Y越界；","")&amp;IF(AND('06_建筑锚点'!D394&lt;&gt;"",COUNTIF('03_地点锚点'!$A$2:$A$501,'06_建筑锚点'!D394)=0),"建筑所属地点不存在；","")&amp;IF(AND('06_建筑锚点'!T394&lt;&gt;"",COUNTIF('07_动态状态'!$A$2:$A$501,'06_建筑锚点'!T394)=0),"运营状态编码不存在；","")&amp;IF(AND('06_建筑锚点'!A394&lt;&gt;"",COUNTIF('06_建筑锚点'!$A$2:$A$501,'06_建筑锚点'!A394)&gt;1),"ID重复；",""),"")</f>
        <v/>
      </c>
      <c r="G2394" s="14">
        <f>IF(F2394&lt;&gt;"","按字段批注、数据字典和来源记录修正后复核","")</f>
        <v/>
      </c>
      <c r="H2394" s="14">
        <f>IF(F2394&lt;&gt;"","待处理","")</f>
        <v/>
      </c>
    </row>
    <row r="2395">
      <c r="A2395" s="14">
        <f>IF(F2395&lt;&gt;"","ISSUE-"&amp;TEXT(ROW()-1,"00000"),"")</f>
        <v/>
      </c>
      <c r="B2395" s="14">
        <f>IF(F2395&lt;&gt;"","错误","")</f>
        <v/>
      </c>
      <c r="C2395" s="14">
        <f>IF('06_建筑锚点'!A395&lt;&gt;"","06_建筑锚点","")</f>
        <v/>
      </c>
      <c r="D2395" s="14">
        <f>IF('06_建筑锚点'!A395&lt;&gt;"",'06_建筑锚点'!A395,"")</f>
        <v/>
      </c>
      <c r="E2395" s="14">
        <f>IF(F2395&lt;&gt;"","综合校验","")</f>
        <v/>
      </c>
      <c r="F2395" s="14">
        <f>IF('06_建筑锚点'!A395&lt;&gt;"",IF('06_建筑锚点'!A395="","缺少建筑ID；","")&amp;IF('06_建筑锚点'!B395="","缺少建筑名称；","")&amp;IF('06_建筑锚点'!C395="","缺少建筑类型；","")&amp;IF('06_建筑锚点'!D395="","缺少所属地点ID；","")&amp;IF('06_建筑锚点'!F395="","缺少世界X；","")&amp;IF('06_建筑锚点'!G395="","缺少世界Y；","")&amp;IF(AND('06_建筑锚点'!F395&lt;&gt;"",OR('06_建筑锚点'!F395&lt;0,'06_建筑锚点'!F395&gt;WorldWidth)),"世界X越界；","")&amp;IF(AND('06_建筑锚点'!G395&lt;&gt;"",OR('06_建筑锚点'!G395&lt;0,'06_建筑锚点'!G395&gt;WorldHeight)),"世界Y越界；","")&amp;IF(AND('06_建筑锚点'!D395&lt;&gt;"",COUNTIF('03_地点锚点'!$A$2:$A$501,'06_建筑锚点'!D395)=0),"建筑所属地点不存在；","")&amp;IF(AND('06_建筑锚点'!T395&lt;&gt;"",COUNTIF('07_动态状态'!$A$2:$A$501,'06_建筑锚点'!T395)=0),"运营状态编码不存在；","")&amp;IF(AND('06_建筑锚点'!A395&lt;&gt;"",COUNTIF('06_建筑锚点'!$A$2:$A$501,'06_建筑锚点'!A395)&gt;1),"ID重复；",""),"")</f>
        <v/>
      </c>
      <c r="G2395" s="14">
        <f>IF(F2395&lt;&gt;"","按字段批注、数据字典和来源记录修正后复核","")</f>
        <v/>
      </c>
      <c r="H2395" s="14">
        <f>IF(F2395&lt;&gt;"","待处理","")</f>
        <v/>
      </c>
    </row>
    <row r="2396">
      <c r="A2396" s="14">
        <f>IF(F2396&lt;&gt;"","ISSUE-"&amp;TEXT(ROW()-1,"00000"),"")</f>
        <v/>
      </c>
      <c r="B2396" s="14">
        <f>IF(F2396&lt;&gt;"","错误","")</f>
        <v/>
      </c>
      <c r="C2396" s="14">
        <f>IF('06_建筑锚点'!A396&lt;&gt;"","06_建筑锚点","")</f>
        <v/>
      </c>
      <c r="D2396" s="14">
        <f>IF('06_建筑锚点'!A396&lt;&gt;"",'06_建筑锚点'!A396,"")</f>
        <v/>
      </c>
      <c r="E2396" s="14">
        <f>IF(F2396&lt;&gt;"","综合校验","")</f>
        <v/>
      </c>
      <c r="F2396" s="14">
        <f>IF('06_建筑锚点'!A396&lt;&gt;"",IF('06_建筑锚点'!A396="","缺少建筑ID；","")&amp;IF('06_建筑锚点'!B396="","缺少建筑名称；","")&amp;IF('06_建筑锚点'!C396="","缺少建筑类型；","")&amp;IF('06_建筑锚点'!D396="","缺少所属地点ID；","")&amp;IF('06_建筑锚点'!F396="","缺少世界X；","")&amp;IF('06_建筑锚点'!G396="","缺少世界Y；","")&amp;IF(AND('06_建筑锚点'!F396&lt;&gt;"",OR('06_建筑锚点'!F396&lt;0,'06_建筑锚点'!F396&gt;WorldWidth)),"世界X越界；","")&amp;IF(AND('06_建筑锚点'!G396&lt;&gt;"",OR('06_建筑锚点'!G396&lt;0,'06_建筑锚点'!G396&gt;WorldHeight)),"世界Y越界；","")&amp;IF(AND('06_建筑锚点'!D396&lt;&gt;"",COUNTIF('03_地点锚点'!$A$2:$A$501,'06_建筑锚点'!D396)=0),"建筑所属地点不存在；","")&amp;IF(AND('06_建筑锚点'!T396&lt;&gt;"",COUNTIF('07_动态状态'!$A$2:$A$501,'06_建筑锚点'!T396)=0),"运营状态编码不存在；","")&amp;IF(AND('06_建筑锚点'!A396&lt;&gt;"",COUNTIF('06_建筑锚点'!$A$2:$A$501,'06_建筑锚点'!A396)&gt;1),"ID重复；",""),"")</f>
        <v/>
      </c>
      <c r="G2396" s="14">
        <f>IF(F2396&lt;&gt;"","按字段批注、数据字典和来源记录修正后复核","")</f>
        <v/>
      </c>
      <c r="H2396" s="14">
        <f>IF(F2396&lt;&gt;"","待处理","")</f>
        <v/>
      </c>
    </row>
    <row r="2397">
      <c r="A2397" s="14">
        <f>IF(F2397&lt;&gt;"","ISSUE-"&amp;TEXT(ROW()-1,"00000"),"")</f>
        <v/>
      </c>
      <c r="B2397" s="14">
        <f>IF(F2397&lt;&gt;"","错误","")</f>
        <v/>
      </c>
      <c r="C2397" s="14">
        <f>IF('06_建筑锚点'!A397&lt;&gt;"","06_建筑锚点","")</f>
        <v/>
      </c>
      <c r="D2397" s="14">
        <f>IF('06_建筑锚点'!A397&lt;&gt;"",'06_建筑锚点'!A397,"")</f>
        <v/>
      </c>
      <c r="E2397" s="14">
        <f>IF(F2397&lt;&gt;"","综合校验","")</f>
        <v/>
      </c>
      <c r="F2397" s="14">
        <f>IF('06_建筑锚点'!A397&lt;&gt;"",IF('06_建筑锚点'!A397="","缺少建筑ID；","")&amp;IF('06_建筑锚点'!B397="","缺少建筑名称；","")&amp;IF('06_建筑锚点'!C397="","缺少建筑类型；","")&amp;IF('06_建筑锚点'!D397="","缺少所属地点ID；","")&amp;IF('06_建筑锚点'!F397="","缺少世界X；","")&amp;IF('06_建筑锚点'!G397="","缺少世界Y；","")&amp;IF(AND('06_建筑锚点'!F397&lt;&gt;"",OR('06_建筑锚点'!F397&lt;0,'06_建筑锚点'!F397&gt;WorldWidth)),"世界X越界；","")&amp;IF(AND('06_建筑锚点'!G397&lt;&gt;"",OR('06_建筑锚点'!G397&lt;0,'06_建筑锚点'!G397&gt;WorldHeight)),"世界Y越界；","")&amp;IF(AND('06_建筑锚点'!D397&lt;&gt;"",COUNTIF('03_地点锚点'!$A$2:$A$501,'06_建筑锚点'!D397)=0),"建筑所属地点不存在；","")&amp;IF(AND('06_建筑锚点'!T397&lt;&gt;"",COUNTIF('07_动态状态'!$A$2:$A$501,'06_建筑锚点'!T397)=0),"运营状态编码不存在；","")&amp;IF(AND('06_建筑锚点'!A397&lt;&gt;"",COUNTIF('06_建筑锚点'!$A$2:$A$501,'06_建筑锚点'!A397)&gt;1),"ID重复；",""),"")</f>
        <v/>
      </c>
      <c r="G2397" s="14">
        <f>IF(F2397&lt;&gt;"","按字段批注、数据字典和来源记录修正后复核","")</f>
        <v/>
      </c>
      <c r="H2397" s="14">
        <f>IF(F2397&lt;&gt;"","待处理","")</f>
        <v/>
      </c>
    </row>
    <row r="2398">
      <c r="A2398" s="14">
        <f>IF(F2398&lt;&gt;"","ISSUE-"&amp;TEXT(ROW()-1,"00000"),"")</f>
        <v/>
      </c>
      <c r="B2398" s="14">
        <f>IF(F2398&lt;&gt;"","错误","")</f>
        <v/>
      </c>
      <c r="C2398" s="14">
        <f>IF('06_建筑锚点'!A398&lt;&gt;"","06_建筑锚点","")</f>
        <v/>
      </c>
      <c r="D2398" s="14">
        <f>IF('06_建筑锚点'!A398&lt;&gt;"",'06_建筑锚点'!A398,"")</f>
        <v/>
      </c>
      <c r="E2398" s="14">
        <f>IF(F2398&lt;&gt;"","综合校验","")</f>
        <v/>
      </c>
      <c r="F2398" s="14">
        <f>IF('06_建筑锚点'!A398&lt;&gt;"",IF('06_建筑锚点'!A398="","缺少建筑ID；","")&amp;IF('06_建筑锚点'!B398="","缺少建筑名称；","")&amp;IF('06_建筑锚点'!C398="","缺少建筑类型；","")&amp;IF('06_建筑锚点'!D398="","缺少所属地点ID；","")&amp;IF('06_建筑锚点'!F398="","缺少世界X；","")&amp;IF('06_建筑锚点'!G398="","缺少世界Y；","")&amp;IF(AND('06_建筑锚点'!F398&lt;&gt;"",OR('06_建筑锚点'!F398&lt;0,'06_建筑锚点'!F398&gt;WorldWidth)),"世界X越界；","")&amp;IF(AND('06_建筑锚点'!G398&lt;&gt;"",OR('06_建筑锚点'!G398&lt;0,'06_建筑锚点'!G398&gt;WorldHeight)),"世界Y越界；","")&amp;IF(AND('06_建筑锚点'!D398&lt;&gt;"",COUNTIF('03_地点锚点'!$A$2:$A$501,'06_建筑锚点'!D398)=0),"建筑所属地点不存在；","")&amp;IF(AND('06_建筑锚点'!T398&lt;&gt;"",COUNTIF('07_动态状态'!$A$2:$A$501,'06_建筑锚点'!T398)=0),"运营状态编码不存在；","")&amp;IF(AND('06_建筑锚点'!A398&lt;&gt;"",COUNTIF('06_建筑锚点'!$A$2:$A$501,'06_建筑锚点'!A398)&gt;1),"ID重复；",""),"")</f>
        <v/>
      </c>
      <c r="G2398" s="14">
        <f>IF(F2398&lt;&gt;"","按字段批注、数据字典和来源记录修正后复核","")</f>
        <v/>
      </c>
      <c r="H2398" s="14">
        <f>IF(F2398&lt;&gt;"","待处理","")</f>
        <v/>
      </c>
    </row>
    <row r="2399">
      <c r="A2399" s="14">
        <f>IF(F2399&lt;&gt;"","ISSUE-"&amp;TEXT(ROW()-1,"00000"),"")</f>
        <v/>
      </c>
      <c r="B2399" s="14">
        <f>IF(F2399&lt;&gt;"","错误","")</f>
        <v/>
      </c>
      <c r="C2399" s="14">
        <f>IF('06_建筑锚点'!A399&lt;&gt;"","06_建筑锚点","")</f>
        <v/>
      </c>
      <c r="D2399" s="14">
        <f>IF('06_建筑锚点'!A399&lt;&gt;"",'06_建筑锚点'!A399,"")</f>
        <v/>
      </c>
      <c r="E2399" s="14">
        <f>IF(F2399&lt;&gt;"","综合校验","")</f>
        <v/>
      </c>
      <c r="F2399" s="14">
        <f>IF('06_建筑锚点'!A399&lt;&gt;"",IF('06_建筑锚点'!A399="","缺少建筑ID；","")&amp;IF('06_建筑锚点'!B399="","缺少建筑名称；","")&amp;IF('06_建筑锚点'!C399="","缺少建筑类型；","")&amp;IF('06_建筑锚点'!D399="","缺少所属地点ID；","")&amp;IF('06_建筑锚点'!F399="","缺少世界X；","")&amp;IF('06_建筑锚点'!G399="","缺少世界Y；","")&amp;IF(AND('06_建筑锚点'!F399&lt;&gt;"",OR('06_建筑锚点'!F399&lt;0,'06_建筑锚点'!F399&gt;WorldWidth)),"世界X越界；","")&amp;IF(AND('06_建筑锚点'!G399&lt;&gt;"",OR('06_建筑锚点'!G399&lt;0,'06_建筑锚点'!G399&gt;WorldHeight)),"世界Y越界；","")&amp;IF(AND('06_建筑锚点'!D399&lt;&gt;"",COUNTIF('03_地点锚点'!$A$2:$A$501,'06_建筑锚点'!D399)=0),"建筑所属地点不存在；","")&amp;IF(AND('06_建筑锚点'!T399&lt;&gt;"",COUNTIF('07_动态状态'!$A$2:$A$501,'06_建筑锚点'!T399)=0),"运营状态编码不存在；","")&amp;IF(AND('06_建筑锚点'!A399&lt;&gt;"",COUNTIF('06_建筑锚点'!$A$2:$A$501,'06_建筑锚点'!A399)&gt;1),"ID重复；",""),"")</f>
        <v/>
      </c>
      <c r="G2399" s="14">
        <f>IF(F2399&lt;&gt;"","按字段批注、数据字典和来源记录修正后复核","")</f>
        <v/>
      </c>
      <c r="H2399" s="14">
        <f>IF(F2399&lt;&gt;"","待处理","")</f>
        <v/>
      </c>
    </row>
    <row r="2400">
      <c r="A2400" s="14">
        <f>IF(F2400&lt;&gt;"","ISSUE-"&amp;TEXT(ROW()-1,"00000"),"")</f>
        <v/>
      </c>
      <c r="B2400" s="14">
        <f>IF(F2400&lt;&gt;"","错误","")</f>
        <v/>
      </c>
      <c r="C2400" s="14">
        <f>IF('06_建筑锚点'!A400&lt;&gt;"","06_建筑锚点","")</f>
        <v/>
      </c>
      <c r="D2400" s="14">
        <f>IF('06_建筑锚点'!A400&lt;&gt;"",'06_建筑锚点'!A400,"")</f>
        <v/>
      </c>
      <c r="E2400" s="14">
        <f>IF(F2400&lt;&gt;"","综合校验","")</f>
        <v/>
      </c>
      <c r="F2400" s="14">
        <f>IF('06_建筑锚点'!A400&lt;&gt;"",IF('06_建筑锚点'!A400="","缺少建筑ID；","")&amp;IF('06_建筑锚点'!B400="","缺少建筑名称；","")&amp;IF('06_建筑锚点'!C400="","缺少建筑类型；","")&amp;IF('06_建筑锚点'!D400="","缺少所属地点ID；","")&amp;IF('06_建筑锚点'!F400="","缺少世界X；","")&amp;IF('06_建筑锚点'!G400="","缺少世界Y；","")&amp;IF(AND('06_建筑锚点'!F400&lt;&gt;"",OR('06_建筑锚点'!F400&lt;0,'06_建筑锚点'!F400&gt;WorldWidth)),"世界X越界；","")&amp;IF(AND('06_建筑锚点'!G400&lt;&gt;"",OR('06_建筑锚点'!G400&lt;0,'06_建筑锚点'!G400&gt;WorldHeight)),"世界Y越界；","")&amp;IF(AND('06_建筑锚点'!D400&lt;&gt;"",COUNTIF('03_地点锚点'!$A$2:$A$501,'06_建筑锚点'!D400)=0),"建筑所属地点不存在；","")&amp;IF(AND('06_建筑锚点'!T400&lt;&gt;"",COUNTIF('07_动态状态'!$A$2:$A$501,'06_建筑锚点'!T400)=0),"运营状态编码不存在；","")&amp;IF(AND('06_建筑锚点'!A400&lt;&gt;"",COUNTIF('06_建筑锚点'!$A$2:$A$501,'06_建筑锚点'!A400)&gt;1),"ID重复；",""),"")</f>
        <v/>
      </c>
      <c r="G2400" s="14">
        <f>IF(F2400&lt;&gt;"","按字段批注、数据字典和来源记录修正后复核","")</f>
        <v/>
      </c>
      <c r="H2400" s="14">
        <f>IF(F2400&lt;&gt;"","待处理","")</f>
        <v/>
      </c>
    </row>
    <row r="2401">
      <c r="A2401" s="14">
        <f>IF(F2401&lt;&gt;"","ISSUE-"&amp;TEXT(ROW()-1,"00000"),"")</f>
        <v/>
      </c>
      <c r="B2401" s="14">
        <f>IF(F2401&lt;&gt;"","错误","")</f>
        <v/>
      </c>
      <c r="C2401" s="14">
        <f>IF('06_建筑锚点'!A401&lt;&gt;"","06_建筑锚点","")</f>
        <v/>
      </c>
      <c r="D2401" s="14">
        <f>IF('06_建筑锚点'!A401&lt;&gt;"",'06_建筑锚点'!A401,"")</f>
        <v/>
      </c>
      <c r="E2401" s="14">
        <f>IF(F2401&lt;&gt;"","综合校验","")</f>
        <v/>
      </c>
      <c r="F2401" s="14">
        <f>IF('06_建筑锚点'!A401&lt;&gt;"",IF('06_建筑锚点'!A401="","缺少建筑ID；","")&amp;IF('06_建筑锚点'!B401="","缺少建筑名称；","")&amp;IF('06_建筑锚点'!C401="","缺少建筑类型；","")&amp;IF('06_建筑锚点'!D401="","缺少所属地点ID；","")&amp;IF('06_建筑锚点'!F401="","缺少世界X；","")&amp;IF('06_建筑锚点'!G401="","缺少世界Y；","")&amp;IF(AND('06_建筑锚点'!F401&lt;&gt;"",OR('06_建筑锚点'!F401&lt;0,'06_建筑锚点'!F401&gt;WorldWidth)),"世界X越界；","")&amp;IF(AND('06_建筑锚点'!G401&lt;&gt;"",OR('06_建筑锚点'!G401&lt;0,'06_建筑锚点'!G401&gt;WorldHeight)),"世界Y越界；","")&amp;IF(AND('06_建筑锚点'!D401&lt;&gt;"",COUNTIF('03_地点锚点'!$A$2:$A$501,'06_建筑锚点'!D401)=0),"建筑所属地点不存在；","")&amp;IF(AND('06_建筑锚点'!T401&lt;&gt;"",COUNTIF('07_动态状态'!$A$2:$A$501,'06_建筑锚点'!T401)=0),"运营状态编码不存在；","")&amp;IF(AND('06_建筑锚点'!A401&lt;&gt;"",COUNTIF('06_建筑锚点'!$A$2:$A$501,'06_建筑锚点'!A401)&gt;1),"ID重复；",""),"")</f>
        <v/>
      </c>
      <c r="G2401" s="14">
        <f>IF(F2401&lt;&gt;"","按字段批注、数据字典和来源记录修正后复核","")</f>
        <v/>
      </c>
      <c r="H2401" s="14">
        <f>IF(F2401&lt;&gt;"","待处理","")</f>
        <v/>
      </c>
    </row>
    <row r="2402">
      <c r="A2402" s="14">
        <f>IF(F2402&lt;&gt;"","ISSUE-"&amp;TEXT(ROW()-1,"00000"),"")</f>
        <v/>
      </c>
      <c r="B2402" s="14">
        <f>IF(F2402&lt;&gt;"","错误","")</f>
        <v/>
      </c>
      <c r="C2402" s="14">
        <f>IF('06_建筑锚点'!A402&lt;&gt;"","06_建筑锚点","")</f>
        <v/>
      </c>
      <c r="D2402" s="14">
        <f>IF('06_建筑锚点'!A402&lt;&gt;"",'06_建筑锚点'!A402,"")</f>
        <v/>
      </c>
      <c r="E2402" s="14">
        <f>IF(F2402&lt;&gt;"","综合校验","")</f>
        <v/>
      </c>
      <c r="F2402" s="14">
        <f>IF('06_建筑锚点'!A402&lt;&gt;"",IF('06_建筑锚点'!A402="","缺少建筑ID；","")&amp;IF('06_建筑锚点'!B402="","缺少建筑名称；","")&amp;IF('06_建筑锚点'!C402="","缺少建筑类型；","")&amp;IF('06_建筑锚点'!D402="","缺少所属地点ID；","")&amp;IF('06_建筑锚点'!F402="","缺少世界X；","")&amp;IF('06_建筑锚点'!G402="","缺少世界Y；","")&amp;IF(AND('06_建筑锚点'!F402&lt;&gt;"",OR('06_建筑锚点'!F402&lt;0,'06_建筑锚点'!F402&gt;WorldWidth)),"世界X越界；","")&amp;IF(AND('06_建筑锚点'!G402&lt;&gt;"",OR('06_建筑锚点'!G402&lt;0,'06_建筑锚点'!G402&gt;WorldHeight)),"世界Y越界；","")&amp;IF(AND('06_建筑锚点'!D402&lt;&gt;"",COUNTIF('03_地点锚点'!$A$2:$A$501,'06_建筑锚点'!D402)=0),"建筑所属地点不存在；","")&amp;IF(AND('06_建筑锚点'!T402&lt;&gt;"",COUNTIF('07_动态状态'!$A$2:$A$501,'06_建筑锚点'!T402)=0),"运营状态编码不存在；","")&amp;IF(AND('06_建筑锚点'!A402&lt;&gt;"",COUNTIF('06_建筑锚点'!$A$2:$A$501,'06_建筑锚点'!A402)&gt;1),"ID重复；",""),"")</f>
        <v/>
      </c>
      <c r="G2402" s="14">
        <f>IF(F2402&lt;&gt;"","按字段批注、数据字典和来源记录修正后复核","")</f>
        <v/>
      </c>
      <c r="H2402" s="14">
        <f>IF(F2402&lt;&gt;"","待处理","")</f>
        <v/>
      </c>
    </row>
    <row r="2403">
      <c r="A2403" s="14">
        <f>IF(F2403&lt;&gt;"","ISSUE-"&amp;TEXT(ROW()-1,"00000"),"")</f>
        <v/>
      </c>
      <c r="B2403" s="14">
        <f>IF(F2403&lt;&gt;"","错误","")</f>
        <v/>
      </c>
      <c r="C2403" s="14">
        <f>IF('06_建筑锚点'!A403&lt;&gt;"","06_建筑锚点","")</f>
        <v/>
      </c>
      <c r="D2403" s="14">
        <f>IF('06_建筑锚点'!A403&lt;&gt;"",'06_建筑锚点'!A403,"")</f>
        <v/>
      </c>
      <c r="E2403" s="14">
        <f>IF(F2403&lt;&gt;"","综合校验","")</f>
        <v/>
      </c>
      <c r="F2403" s="14">
        <f>IF('06_建筑锚点'!A403&lt;&gt;"",IF('06_建筑锚点'!A403="","缺少建筑ID；","")&amp;IF('06_建筑锚点'!B403="","缺少建筑名称；","")&amp;IF('06_建筑锚点'!C403="","缺少建筑类型；","")&amp;IF('06_建筑锚点'!D403="","缺少所属地点ID；","")&amp;IF('06_建筑锚点'!F403="","缺少世界X；","")&amp;IF('06_建筑锚点'!G403="","缺少世界Y；","")&amp;IF(AND('06_建筑锚点'!F403&lt;&gt;"",OR('06_建筑锚点'!F403&lt;0,'06_建筑锚点'!F403&gt;WorldWidth)),"世界X越界；","")&amp;IF(AND('06_建筑锚点'!G403&lt;&gt;"",OR('06_建筑锚点'!G403&lt;0,'06_建筑锚点'!G403&gt;WorldHeight)),"世界Y越界；","")&amp;IF(AND('06_建筑锚点'!D403&lt;&gt;"",COUNTIF('03_地点锚点'!$A$2:$A$501,'06_建筑锚点'!D403)=0),"建筑所属地点不存在；","")&amp;IF(AND('06_建筑锚点'!T403&lt;&gt;"",COUNTIF('07_动态状态'!$A$2:$A$501,'06_建筑锚点'!T403)=0),"运营状态编码不存在；","")&amp;IF(AND('06_建筑锚点'!A403&lt;&gt;"",COUNTIF('06_建筑锚点'!$A$2:$A$501,'06_建筑锚点'!A403)&gt;1),"ID重复；",""),"")</f>
        <v/>
      </c>
      <c r="G2403" s="14">
        <f>IF(F2403&lt;&gt;"","按字段批注、数据字典和来源记录修正后复核","")</f>
        <v/>
      </c>
      <c r="H2403" s="14">
        <f>IF(F2403&lt;&gt;"","待处理","")</f>
        <v/>
      </c>
    </row>
    <row r="2404">
      <c r="A2404" s="14">
        <f>IF(F2404&lt;&gt;"","ISSUE-"&amp;TEXT(ROW()-1,"00000"),"")</f>
        <v/>
      </c>
      <c r="B2404" s="14">
        <f>IF(F2404&lt;&gt;"","错误","")</f>
        <v/>
      </c>
      <c r="C2404" s="14">
        <f>IF('06_建筑锚点'!A404&lt;&gt;"","06_建筑锚点","")</f>
        <v/>
      </c>
      <c r="D2404" s="14">
        <f>IF('06_建筑锚点'!A404&lt;&gt;"",'06_建筑锚点'!A404,"")</f>
        <v/>
      </c>
      <c r="E2404" s="14">
        <f>IF(F2404&lt;&gt;"","综合校验","")</f>
        <v/>
      </c>
      <c r="F2404" s="14">
        <f>IF('06_建筑锚点'!A404&lt;&gt;"",IF('06_建筑锚点'!A404="","缺少建筑ID；","")&amp;IF('06_建筑锚点'!B404="","缺少建筑名称；","")&amp;IF('06_建筑锚点'!C404="","缺少建筑类型；","")&amp;IF('06_建筑锚点'!D404="","缺少所属地点ID；","")&amp;IF('06_建筑锚点'!F404="","缺少世界X；","")&amp;IF('06_建筑锚点'!G404="","缺少世界Y；","")&amp;IF(AND('06_建筑锚点'!F404&lt;&gt;"",OR('06_建筑锚点'!F404&lt;0,'06_建筑锚点'!F404&gt;WorldWidth)),"世界X越界；","")&amp;IF(AND('06_建筑锚点'!G404&lt;&gt;"",OR('06_建筑锚点'!G404&lt;0,'06_建筑锚点'!G404&gt;WorldHeight)),"世界Y越界；","")&amp;IF(AND('06_建筑锚点'!D404&lt;&gt;"",COUNTIF('03_地点锚点'!$A$2:$A$501,'06_建筑锚点'!D404)=0),"建筑所属地点不存在；","")&amp;IF(AND('06_建筑锚点'!T404&lt;&gt;"",COUNTIF('07_动态状态'!$A$2:$A$501,'06_建筑锚点'!T404)=0),"运营状态编码不存在；","")&amp;IF(AND('06_建筑锚点'!A404&lt;&gt;"",COUNTIF('06_建筑锚点'!$A$2:$A$501,'06_建筑锚点'!A404)&gt;1),"ID重复；",""),"")</f>
        <v/>
      </c>
      <c r="G2404" s="14">
        <f>IF(F2404&lt;&gt;"","按字段批注、数据字典和来源记录修正后复核","")</f>
        <v/>
      </c>
      <c r="H2404" s="14">
        <f>IF(F2404&lt;&gt;"","待处理","")</f>
        <v/>
      </c>
    </row>
    <row r="2405">
      <c r="A2405" s="14">
        <f>IF(F2405&lt;&gt;"","ISSUE-"&amp;TEXT(ROW()-1,"00000"),"")</f>
        <v/>
      </c>
      <c r="B2405" s="14">
        <f>IF(F2405&lt;&gt;"","错误","")</f>
        <v/>
      </c>
      <c r="C2405" s="14">
        <f>IF('06_建筑锚点'!A405&lt;&gt;"","06_建筑锚点","")</f>
        <v/>
      </c>
      <c r="D2405" s="14">
        <f>IF('06_建筑锚点'!A405&lt;&gt;"",'06_建筑锚点'!A405,"")</f>
        <v/>
      </c>
      <c r="E2405" s="14">
        <f>IF(F2405&lt;&gt;"","综合校验","")</f>
        <v/>
      </c>
      <c r="F2405" s="14">
        <f>IF('06_建筑锚点'!A405&lt;&gt;"",IF('06_建筑锚点'!A405="","缺少建筑ID；","")&amp;IF('06_建筑锚点'!B405="","缺少建筑名称；","")&amp;IF('06_建筑锚点'!C405="","缺少建筑类型；","")&amp;IF('06_建筑锚点'!D405="","缺少所属地点ID；","")&amp;IF('06_建筑锚点'!F405="","缺少世界X；","")&amp;IF('06_建筑锚点'!G405="","缺少世界Y；","")&amp;IF(AND('06_建筑锚点'!F405&lt;&gt;"",OR('06_建筑锚点'!F405&lt;0,'06_建筑锚点'!F405&gt;WorldWidth)),"世界X越界；","")&amp;IF(AND('06_建筑锚点'!G405&lt;&gt;"",OR('06_建筑锚点'!G405&lt;0,'06_建筑锚点'!G405&gt;WorldHeight)),"世界Y越界；","")&amp;IF(AND('06_建筑锚点'!D405&lt;&gt;"",COUNTIF('03_地点锚点'!$A$2:$A$501,'06_建筑锚点'!D405)=0),"建筑所属地点不存在；","")&amp;IF(AND('06_建筑锚点'!T405&lt;&gt;"",COUNTIF('07_动态状态'!$A$2:$A$501,'06_建筑锚点'!T405)=0),"运营状态编码不存在；","")&amp;IF(AND('06_建筑锚点'!A405&lt;&gt;"",COUNTIF('06_建筑锚点'!$A$2:$A$501,'06_建筑锚点'!A405)&gt;1),"ID重复；",""),"")</f>
        <v/>
      </c>
      <c r="G2405" s="14">
        <f>IF(F2405&lt;&gt;"","按字段批注、数据字典和来源记录修正后复核","")</f>
        <v/>
      </c>
      <c r="H2405" s="14">
        <f>IF(F2405&lt;&gt;"","待处理","")</f>
        <v/>
      </c>
    </row>
    <row r="2406">
      <c r="A2406" s="14">
        <f>IF(F2406&lt;&gt;"","ISSUE-"&amp;TEXT(ROW()-1,"00000"),"")</f>
        <v/>
      </c>
      <c r="B2406" s="14">
        <f>IF(F2406&lt;&gt;"","错误","")</f>
        <v/>
      </c>
      <c r="C2406" s="14">
        <f>IF('06_建筑锚点'!A406&lt;&gt;"","06_建筑锚点","")</f>
        <v/>
      </c>
      <c r="D2406" s="14">
        <f>IF('06_建筑锚点'!A406&lt;&gt;"",'06_建筑锚点'!A406,"")</f>
        <v/>
      </c>
      <c r="E2406" s="14">
        <f>IF(F2406&lt;&gt;"","综合校验","")</f>
        <v/>
      </c>
      <c r="F2406" s="14">
        <f>IF('06_建筑锚点'!A406&lt;&gt;"",IF('06_建筑锚点'!A406="","缺少建筑ID；","")&amp;IF('06_建筑锚点'!B406="","缺少建筑名称；","")&amp;IF('06_建筑锚点'!C406="","缺少建筑类型；","")&amp;IF('06_建筑锚点'!D406="","缺少所属地点ID；","")&amp;IF('06_建筑锚点'!F406="","缺少世界X；","")&amp;IF('06_建筑锚点'!G406="","缺少世界Y；","")&amp;IF(AND('06_建筑锚点'!F406&lt;&gt;"",OR('06_建筑锚点'!F406&lt;0,'06_建筑锚点'!F406&gt;WorldWidth)),"世界X越界；","")&amp;IF(AND('06_建筑锚点'!G406&lt;&gt;"",OR('06_建筑锚点'!G406&lt;0,'06_建筑锚点'!G406&gt;WorldHeight)),"世界Y越界；","")&amp;IF(AND('06_建筑锚点'!D406&lt;&gt;"",COUNTIF('03_地点锚点'!$A$2:$A$501,'06_建筑锚点'!D406)=0),"建筑所属地点不存在；","")&amp;IF(AND('06_建筑锚点'!T406&lt;&gt;"",COUNTIF('07_动态状态'!$A$2:$A$501,'06_建筑锚点'!T406)=0),"运营状态编码不存在；","")&amp;IF(AND('06_建筑锚点'!A406&lt;&gt;"",COUNTIF('06_建筑锚点'!$A$2:$A$501,'06_建筑锚点'!A406)&gt;1),"ID重复；",""),"")</f>
        <v/>
      </c>
      <c r="G2406" s="14">
        <f>IF(F2406&lt;&gt;"","按字段批注、数据字典和来源记录修正后复核","")</f>
        <v/>
      </c>
      <c r="H2406" s="14">
        <f>IF(F2406&lt;&gt;"","待处理","")</f>
        <v/>
      </c>
    </row>
    <row r="2407">
      <c r="A2407" s="14">
        <f>IF(F2407&lt;&gt;"","ISSUE-"&amp;TEXT(ROW()-1,"00000"),"")</f>
        <v/>
      </c>
      <c r="B2407" s="14">
        <f>IF(F2407&lt;&gt;"","错误","")</f>
        <v/>
      </c>
      <c r="C2407" s="14">
        <f>IF('06_建筑锚点'!A407&lt;&gt;"","06_建筑锚点","")</f>
        <v/>
      </c>
      <c r="D2407" s="14">
        <f>IF('06_建筑锚点'!A407&lt;&gt;"",'06_建筑锚点'!A407,"")</f>
        <v/>
      </c>
      <c r="E2407" s="14">
        <f>IF(F2407&lt;&gt;"","综合校验","")</f>
        <v/>
      </c>
      <c r="F2407" s="14">
        <f>IF('06_建筑锚点'!A407&lt;&gt;"",IF('06_建筑锚点'!A407="","缺少建筑ID；","")&amp;IF('06_建筑锚点'!B407="","缺少建筑名称；","")&amp;IF('06_建筑锚点'!C407="","缺少建筑类型；","")&amp;IF('06_建筑锚点'!D407="","缺少所属地点ID；","")&amp;IF('06_建筑锚点'!F407="","缺少世界X；","")&amp;IF('06_建筑锚点'!G407="","缺少世界Y；","")&amp;IF(AND('06_建筑锚点'!F407&lt;&gt;"",OR('06_建筑锚点'!F407&lt;0,'06_建筑锚点'!F407&gt;WorldWidth)),"世界X越界；","")&amp;IF(AND('06_建筑锚点'!G407&lt;&gt;"",OR('06_建筑锚点'!G407&lt;0,'06_建筑锚点'!G407&gt;WorldHeight)),"世界Y越界；","")&amp;IF(AND('06_建筑锚点'!D407&lt;&gt;"",COUNTIF('03_地点锚点'!$A$2:$A$501,'06_建筑锚点'!D407)=0),"建筑所属地点不存在；","")&amp;IF(AND('06_建筑锚点'!T407&lt;&gt;"",COUNTIF('07_动态状态'!$A$2:$A$501,'06_建筑锚点'!T407)=0),"运营状态编码不存在；","")&amp;IF(AND('06_建筑锚点'!A407&lt;&gt;"",COUNTIF('06_建筑锚点'!$A$2:$A$501,'06_建筑锚点'!A407)&gt;1),"ID重复；",""),"")</f>
        <v/>
      </c>
      <c r="G2407" s="14">
        <f>IF(F2407&lt;&gt;"","按字段批注、数据字典和来源记录修正后复核","")</f>
        <v/>
      </c>
      <c r="H2407" s="14">
        <f>IF(F2407&lt;&gt;"","待处理","")</f>
        <v/>
      </c>
    </row>
    <row r="2408">
      <c r="A2408" s="14">
        <f>IF(F2408&lt;&gt;"","ISSUE-"&amp;TEXT(ROW()-1,"00000"),"")</f>
        <v/>
      </c>
      <c r="B2408" s="14">
        <f>IF(F2408&lt;&gt;"","错误","")</f>
        <v/>
      </c>
      <c r="C2408" s="14">
        <f>IF('06_建筑锚点'!A408&lt;&gt;"","06_建筑锚点","")</f>
        <v/>
      </c>
      <c r="D2408" s="14">
        <f>IF('06_建筑锚点'!A408&lt;&gt;"",'06_建筑锚点'!A408,"")</f>
        <v/>
      </c>
      <c r="E2408" s="14">
        <f>IF(F2408&lt;&gt;"","综合校验","")</f>
        <v/>
      </c>
      <c r="F2408" s="14">
        <f>IF('06_建筑锚点'!A408&lt;&gt;"",IF('06_建筑锚点'!A408="","缺少建筑ID；","")&amp;IF('06_建筑锚点'!B408="","缺少建筑名称；","")&amp;IF('06_建筑锚点'!C408="","缺少建筑类型；","")&amp;IF('06_建筑锚点'!D408="","缺少所属地点ID；","")&amp;IF('06_建筑锚点'!F408="","缺少世界X；","")&amp;IF('06_建筑锚点'!G408="","缺少世界Y；","")&amp;IF(AND('06_建筑锚点'!F408&lt;&gt;"",OR('06_建筑锚点'!F408&lt;0,'06_建筑锚点'!F408&gt;WorldWidth)),"世界X越界；","")&amp;IF(AND('06_建筑锚点'!G408&lt;&gt;"",OR('06_建筑锚点'!G408&lt;0,'06_建筑锚点'!G408&gt;WorldHeight)),"世界Y越界；","")&amp;IF(AND('06_建筑锚点'!D408&lt;&gt;"",COUNTIF('03_地点锚点'!$A$2:$A$501,'06_建筑锚点'!D408)=0),"建筑所属地点不存在；","")&amp;IF(AND('06_建筑锚点'!T408&lt;&gt;"",COUNTIF('07_动态状态'!$A$2:$A$501,'06_建筑锚点'!T408)=0),"运营状态编码不存在；","")&amp;IF(AND('06_建筑锚点'!A408&lt;&gt;"",COUNTIF('06_建筑锚点'!$A$2:$A$501,'06_建筑锚点'!A408)&gt;1),"ID重复；",""),"")</f>
        <v/>
      </c>
      <c r="G2408" s="14">
        <f>IF(F2408&lt;&gt;"","按字段批注、数据字典和来源记录修正后复核","")</f>
        <v/>
      </c>
      <c r="H2408" s="14">
        <f>IF(F2408&lt;&gt;"","待处理","")</f>
        <v/>
      </c>
    </row>
    <row r="2409">
      <c r="A2409" s="14">
        <f>IF(F2409&lt;&gt;"","ISSUE-"&amp;TEXT(ROW()-1,"00000"),"")</f>
        <v/>
      </c>
      <c r="B2409" s="14">
        <f>IF(F2409&lt;&gt;"","错误","")</f>
        <v/>
      </c>
      <c r="C2409" s="14">
        <f>IF('06_建筑锚点'!A409&lt;&gt;"","06_建筑锚点","")</f>
        <v/>
      </c>
      <c r="D2409" s="14">
        <f>IF('06_建筑锚点'!A409&lt;&gt;"",'06_建筑锚点'!A409,"")</f>
        <v/>
      </c>
      <c r="E2409" s="14">
        <f>IF(F2409&lt;&gt;"","综合校验","")</f>
        <v/>
      </c>
      <c r="F2409" s="14">
        <f>IF('06_建筑锚点'!A409&lt;&gt;"",IF('06_建筑锚点'!A409="","缺少建筑ID；","")&amp;IF('06_建筑锚点'!B409="","缺少建筑名称；","")&amp;IF('06_建筑锚点'!C409="","缺少建筑类型；","")&amp;IF('06_建筑锚点'!D409="","缺少所属地点ID；","")&amp;IF('06_建筑锚点'!F409="","缺少世界X；","")&amp;IF('06_建筑锚点'!G409="","缺少世界Y；","")&amp;IF(AND('06_建筑锚点'!F409&lt;&gt;"",OR('06_建筑锚点'!F409&lt;0,'06_建筑锚点'!F409&gt;WorldWidth)),"世界X越界；","")&amp;IF(AND('06_建筑锚点'!G409&lt;&gt;"",OR('06_建筑锚点'!G409&lt;0,'06_建筑锚点'!G409&gt;WorldHeight)),"世界Y越界；","")&amp;IF(AND('06_建筑锚点'!D409&lt;&gt;"",COUNTIF('03_地点锚点'!$A$2:$A$501,'06_建筑锚点'!D409)=0),"建筑所属地点不存在；","")&amp;IF(AND('06_建筑锚点'!T409&lt;&gt;"",COUNTIF('07_动态状态'!$A$2:$A$501,'06_建筑锚点'!T409)=0),"运营状态编码不存在；","")&amp;IF(AND('06_建筑锚点'!A409&lt;&gt;"",COUNTIF('06_建筑锚点'!$A$2:$A$501,'06_建筑锚点'!A409)&gt;1),"ID重复；",""),"")</f>
        <v/>
      </c>
      <c r="G2409" s="14">
        <f>IF(F2409&lt;&gt;"","按字段批注、数据字典和来源记录修正后复核","")</f>
        <v/>
      </c>
      <c r="H2409" s="14">
        <f>IF(F2409&lt;&gt;"","待处理","")</f>
        <v/>
      </c>
    </row>
    <row r="2410">
      <c r="A2410" s="14">
        <f>IF(F2410&lt;&gt;"","ISSUE-"&amp;TEXT(ROW()-1,"00000"),"")</f>
        <v/>
      </c>
      <c r="B2410" s="14">
        <f>IF(F2410&lt;&gt;"","错误","")</f>
        <v/>
      </c>
      <c r="C2410" s="14">
        <f>IF('06_建筑锚点'!A410&lt;&gt;"","06_建筑锚点","")</f>
        <v/>
      </c>
      <c r="D2410" s="14">
        <f>IF('06_建筑锚点'!A410&lt;&gt;"",'06_建筑锚点'!A410,"")</f>
        <v/>
      </c>
      <c r="E2410" s="14">
        <f>IF(F2410&lt;&gt;"","综合校验","")</f>
        <v/>
      </c>
      <c r="F2410" s="14">
        <f>IF('06_建筑锚点'!A410&lt;&gt;"",IF('06_建筑锚点'!A410="","缺少建筑ID；","")&amp;IF('06_建筑锚点'!B410="","缺少建筑名称；","")&amp;IF('06_建筑锚点'!C410="","缺少建筑类型；","")&amp;IF('06_建筑锚点'!D410="","缺少所属地点ID；","")&amp;IF('06_建筑锚点'!F410="","缺少世界X；","")&amp;IF('06_建筑锚点'!G410="","缺少世界Y；","")&amp;IF(AND('06_建筑锚点'!F410&lt;&gt;"",OR('06_建筑锚点'!F410&lt;0,'06_建筑锚点'!F410&gt;WorldWidth)),"世界X越界；","")&amp;IF(AND('06_建筑锚点'!G410&lt;&gt;"",OR('06_建筑锚点'!G410&lt;0,'06_建筑锚点'!G410&gt;WorldHeight)),"世界Y越界；","")&amp;IF(AND('06_建筑锚点'!D410&lt;&gt;"",COUNTIF('03_地点锚点'!$A$2:$A$501,'06_建筑锚点'!D410)=0),"建筑所属地点不存在；","")&amp;IF(AND('06_建筑锚点'!T410&lt;&gt;"",COUNTIF('07_动态状态'!$A$2:$A$501,'06_建筑锚点'!T410)=0),"运营状态编码不存在；","")&amp;IF(AND('06_建筑锚点'!A410&lt;&gt;"",COUNTIF('06_建筑锚点'!$A$2:$A$501,'06_建筑锚点'!A410)&gt;1),"ID重复；",""),"")</f>
        <v/>
      </c>
      <c r="G2410" s="14">
        <f>IF(F2410&lt;&gt;"","按字段批注、数据字典和来源记录修正后复核","")</f>
        <v/>
      </c>
      <c r="H2410" s="14">
        <f>IF(F2410&lt;&gt;"","待处理","")</f>
        <v/>
      </c>
    </row>
    <row r="2411">
      <c r="A2411" s="14">
        <f>IF(F2411&lt;&gt;"","ISSUE-"&amp;TEXT(ROW()-1,"00000"),"")</f>
        <v/>
      </c>
      <c r="B2411" s="14">
        <f>IF(F2411&lt;&gt;"","错误","")</f>
        <v/>
      </c>
      <c r="C2411" s="14">
        <f>IF('06_建筑锚点'!A411&lt;&gt;"","06_建筑锚点","")</f>
        <v/>
      </c>
      <c r="D2411" s="14">
        <f>IF('06_建筑锚点'!A411&lt;&gt;"",'06_建筑锚点'!A411,"")</f>
        <v/>
      </c>
      <c r="E2411" s="14">
        <f>IF(F2411&lt;&gt;"","综合校验","")</f>
        <v/>
      </c>
      <c r="F2411" s="14">
        <f>IF('06_建筑锚点'!A411&lt;&gt;"",IF('06_建筑锚点'!A411="","缺少建筑ID；","")&amp;IF('06_建筑锚点'!B411="","缺少建筑名称；","")&amp;IF('06_建筑锚点'!C411="","缺少建筑类型；","")&amp;IF('06_建筑锚点'!D411="","缺少所属地点ID；","")&amp;IF('06_建筑锚点'!F411="","缺少世界X；","")&amp;IF('06_建筑锚点'!G411="","缺少世界Y；","")&amp;IF(AND('06_建筑锚点'!F411&lt;&gt;"",OR('06_建筑锚点'!F411&lt;0,'06_建筑锚点'!F411&gt;WorldWidth)),"世界X越界；","")&amp;IF(AND('06_建筑锚点'!G411&lt;&gt;"",OR('06_建筑锚点'!G411&lt;0,'06_建筑锚点'!G411&gt;WorldHeight)),"世界Y越界；","")&amp;IF(AND('06_建筑锚点'!D411&lt;&gt;"",COUNTIF('03_地点锚点'!$A$2:$A$501,'06_建筑锚点'!D411)=0),"建筑所属地点不存在；","")&amp;IF(AND('06_建筑锚点'!T411&lt;&gt;"",COUNTIF('07_动态状态'!$A$2:$A$501,'06_建筑锚点'!T411)=0),"运营状态编码不存在；","")&amp;IF(AND('06_建筑锚点'!A411&lt;&gt;"",COUNTIF('06_建筑锚点'!$A$2:$A$501,'06_建筑锚点'!A411)&gt;1),"ID重复；",""),"")</f>
        <v/>
      </c>
      <c r="G2411" s="14">
        <f>IF(F2411&lt;&gt;"","按字段批注、数据字典和来源记录修正后复核","")</f>
        <v/>
      </c>
      <c r="H2411" s="14">
        <f>IF(F2411&lt;&gt;"","待处理","")</f>
        <v/>
      </c>
    </row>
    <row r="2412">
      <c r="A2412" s="14">
        <f>IF(F2412&lt;&gt;"","ISSUE-"&amp;TEXT(ROW()-1,"00000"),"")</f>
        <v/>
      </c>
      <c r="B2412" s="14">
        <f>IF(F2412&lt;&gt;"","错误","")</f>
        <v/>
      </c>
      <c r="C2412" s="14">
        <f>IF('06_建筑锚点'!A412&lt;&gt;"","06_建筑锚点","")</f>
        <v/>
      </c>
      <c r="D2412" s="14">
        <f>IF('06_建筑锚点'!A412&lt;&gt;"",'06_建筑锚点'!A412,"")</f>
        <v/>
      </c>
      <c r="E2412" s="14">
        <f>IF(F2412&lt;&gt;"","综合校验","")</f>
        <v/>
      </c>
      <c r="F2412" s="14">
        <f>IF('06_建筑锚点'!A412&lt;&gt;"",IF('06_建筑锚点'!A412="","缺少建筑ID；","")&amp;IF('06_建筑锚点'!B412="","缺少建筑名称；","")&amp;IF('06_建筑锚点'!C412="","缺少建筑类型；","")&amp;IF('06_建筑锚点'!D412="","缺少所属地点ID；","")&amp;IF('06_建筑锚点'!F412="","缺少世界X；","")&amp;IF('06_建筑锚点'!G412="","缺少世界Y；","")&amp;IF(AND('06_建筑锚点'!F412&lt;&gt;"",OR('06_建筑锚点'!F412&lt;0,'06_建筑锚点'!F412&gt;WorldWidth)),"世界X越界；","")&amp;IF(AND('06_建筑锚点'!G412&lt;&gt;"",OR('06_建筑锚点'!G412&lt;0,'06_建筑锚点'!G412&gt;WorldHeight)),"世界Y越界；","")&amp;IF(AND('06_建筑锚点'!D412&lt;&gt;"",COUNTIF('03_地点锚点'!$A$2:$A$501,'06_建筑锚点'!D412)=0),"建筑所属地点不存在；","")&amp;IF(AND('06_建筑锚点'!T412&lt;&gt;"",COUNTIF('07_动态状态'!$A$2:$A$501,'06_建筑锚点'!T412)=0),"运营状态编码不存在；","")&amp;IF(AND('06_建筑锚点'!A412&lt;&gt;"",COUNTIF('06_建筑锚点'!$A$2:$A$501,'06_建筑锚点'!A412)&gt;1),"ID重复；",""),"")</f>
        <v/>
      </c>
      <c r="G2412" s="14">
        <f>IF(F2412&lt;&gt;"","按字段批注、数据字典和来源记录修正后复核","")</f>
        <v/>
      </c>
      <c r="H2412" s="14">
        <f>IF(F2412&lt;&gt;"","待处理","")</f>
        <v/>
      </c>
    </row>
    <row r="2413">
      <c r="A2413" s="14">
        <f>IF(F2413&lt;&gt;"","ISSUE-"&amp;TEXT(ROW()-1,"00000"),"")</f>
        <v/>
      </c>
      <c r="B2413" s="14">
        <f>IF(F2413&lt;&gt;"","错误","")</f>
        <v/>
      </c>
      <c r="C2413" s="14">
        <f>IF('06_建筑锚点'!A413&lt;&gt;"","06_建筑锚点","")</f>
        <v/>
      </c>
      <c r="D2413" s="14">
        <f>IF('06_建筑锚点'!A413&lt;&gt;"",'06_建筑锚点'!A413,"")</f>
        <v/>
      </c>
      <c r="E2413" s="14">
        <f>IF(F2413&lt;&gt;"","综合校验","")</f>
        <v/>
      </c>
      <c r="F2413" s="14">
        <f>IF('06_建筑锚点'!A413&lt;&gt;"",IF('06_建筑锚点'!A413="","缺少建筑ID；","")&amp;IF('06_建筑锚点'!B413="","缺少建筑名称；","")&amp;IF('06_建筑锚点'!C413="","缺少建筑类型；","")&amp;IF('06_建筑锚点'!D413="","缺少所属地点ID；","")&amp;IF('06_建筑锚点'!F413="","缺少世界X；","")&amp;IF('06_建筑锚点'!G413="","缺少世界Y；","")&amp;IF(AND('06_建筑锚点'!F413&lt;&gt;"",OR('06_建筑锚点'!F413&lt;0,'06_建筑锚点'!F413&gt;WorldWidth)),"世界X越界；","")&amp;IF(AND('06_建筑锚点'!G413&lt;&gt;"",OR('06_建筑锚点'!G413&lt;0,'06_建筑锚点'!G413&gt;WorldHeight)),"世界Y越界；","")&amp;IF(AND('06_建筑锚点'!D413&lt;&gt;"",COUNTIF('03_地点锚点'!$A$2:$A$501,'06_建筑锚点'!D413)=0),"建筑所属地点不存在；","")&amp;IF(AND('06_建筑锚点'!T413&lt;&gt;"",COUNTIF('07_动态状态'!$A$2:$A$501,'06_建筑锚点'!T413)=0),"运营状态编码不存在；","")&amp;IF(AND('06_建筑锚点'!A413&lt;&gt;"",COUNTIF('06_建筑锚点'!$A$2:$A$501,'06_建筑锚点'!A413)&gt;1),"ID重复；",""),"")</f>
        <v/>
      </c>
      <c r="G2413" s="14">
        <f>IF(F2413&lt;&gt;"","按字段批注、数据字典和来源记录修正后复核","")</f>
        <v/>
      </c>
      <c r="H2413" s="14">
        <f>IF(F2413&lt;&gt;"","待处理","")</f>
        <v/>
      </c>
    </row>
    <row r="2414">
      <c r="A2414" s="14">
        <f>IF(F2414&lt;&gt;"","ISSUE-"&amp;TEXT(ROW()-1,"00000"),"")</f>
        <v/>
      </c>
      <c r="B2414" s="14">
        <f>IF(F2414&lt;&gt;"","错误","")</f>
        <v/>
      </c>
      <c r="C2414" s="14">
        <f>IF('06_建筑锚点'!A414&lt;&gt;"","06_建筑锚点","")</f>
        <v/>
      </c>
      <c r="D2414" s="14">
        <f>IF('06_建筑锚点'!A414&lt;&gt;"",'06_建筑锚点'!A414,"")</f>
        <v/>
      </c>
      <c r="E2414" s="14">
        <f>IF(F2414&lt;&gt;"","综合校验","")</f>
        <v/>
      </c>
      <c r="F2414" s="14">
        <f>IF('06_建筑锚点'!A414&lt;&gt;"",IF('06_建筑锚点'!A414="","缺少建筑ID；","")&amp;IF('06_建筑锚点'!B414="","缺少建筑名称；","")&amp;IF('06_建筑锚点'!C414="","缺少建筑类型；","")&amp;IF('06_建筑锚点'!D414="","缺少所属地点ID；","")&amp;IF('06_建筑锚点'!F414="","缺少世界X；","")&amp;IF('06_建筑锚点'!G414="","缺少世界Y；","")&amp;IF(AND('06_建筑锚点'!F414&lt;&gt;"",OR('06_建筑锚点'!F414&lt;0,'06_建筑锚点'!F414&gt;WorldWidth)),"世界X越界；","")&amp;IF(AND('06_建筑锚点'!G414&lt;&gt;"",OR('06_建筑锚点'!G414&lt;0,'06_建筑锚点'!G414&gt;WorldHeight)),"世界Y越界；","")&amp;IF(AND('06_建筑锚点'!D414&lt;&gt;"",COUNTIF('03_地点锚点'!$A$2:$A$501,'06_建筑锚点'!D414)=0),"建筑所属地点不存在；","")&amp;IF(AND('06_建筑锚点'!T414&lt;&gt;"",COUNTIF('07_动态状态'!$A$2:$A$501,'06_建筑锚点'!T414)=0),"运营状态编码不存在；","")&amp;IF(AND('06_建筑锚点'!A414&lt;&gt;"",COUNTIF('06_建筑锚点'!$A$2:$A$501,'06_建筑锚点'!A414)&gt;1),"ID重复；",""),"")</f>
        <v/>
      </c>
      <c r="G2414" s="14">
        <f>IF(F2414&lt;&gt;"","按字段批注、数据字典和来源记录修正后复核","")</f>
        <v/>
      </c>
      <c r="H2414" s="14">
        <f>IF(F2414&lt;&gt;"","待处理","")</f>
        <v/>
      </c>
    </row>
    <row r="2415">
      <c r="A2415" s="14">
        <f>IF(F2415&lt;&gt;"","ISSUE-"&amp;TEXT(ROW()-1,"00000"),"")</f>
        <v/>
      </c>
      <c r="B2415" s="14">
        <f>IF(F2415&lt;&gt;"","错误","")</f>
        <v/>
      </c>
      <c r="C2415" s="14">
        <f>IF('06_建筑锚点'!A415&lt;&gt;"","06_建筑锚点","")</f>
        <v/>
      </c>
      <c r="D2415" s="14">
        <f>IF('06_建筑锚点'!A415&lt;&gt;"",'06_建筑锚点'!A415,"")</f>
        <v/>
      </c>
      <c r="E2415" s="14">
        <f>IF(F2415&lt;&gt;"","综合校验","")</f>
        <v/>
      </c>
      <c r="F2415" s="14">
        <f>IF('06_建筑锚点'!A415&lt;&gt;"",IF('06_建筑锚点'!A415="","缺少建筑ID；","")&amp;IF('06_建筑锚点'!B415="","缺少建筑名称；","")&amp;IF('06_建筑锚点'!C415="","缺少建筑类型；","")&amp;IF('06_建筑锚点'!D415="","缺少所属地点ID；","")&amp;IF('06_建筑锚点'!F415="","缺少世界X；","")&amp;IF('06_建筑锚点'!G415="","缺少世界Y；","")&amp;IF(AND('06_建筑锚点'!F415&lt;&gt;"",OR('06_建筑锚点'!F415&lt;0,'06_建筑锚点'!F415&gt;WorldWidth)),"世界X越界；","")&amp;IF(AND('06_建筑锚点'!G415&lt;&gt;"",OR('06_建筑锚点'!G415&lt;0,'06_建筑锚点'!G415&gt;WorldHeight)),"世界Y越界；","")&amp;IF(AND('06_建筑锚点'!D415&lt;&gt;"",COUNTIF('03_地点锚点'!$A$2:$A$501,'06_建筑锚点'!D415)=0),"建筑所属地点不存在；","")&amp;IF(AND('06_建筑锚点'!T415&lt;&gt;"",COUNTIF('07_动态状态'!$A$2:$A$501,'06_建筑锚点'!T415)=0),"运营状态编码不存在；","")&amp;IF(AND('06_建筑锚点'!A415&lt;&gt;"",COUNTIF('06_建筑锚点'!$A$2:$A$501,'06_建筑锚点'!A415)&gt;1),"ID重复；",""),"")</f>
        <v/>
      </c>
      <c r="G2415" s="14">
        <f>IF(F2415&lt;&gt;"","按字段批注、数据字典和来源记录修正后复核","")</f>
        <v/>
      </c>
      <c r="H2415" s="14">
        <f>IF(F2415&lt;&gt;"","待处理","")</f>
        <v/>
      </c>
    </row>
    <row r="2416">
      <c r="A2416" s="14">
        <f>IF(F2416&lt;&gt;"","ISSUE-"&amp;TEXT(ROW()-1,"00000"),"")</f>
        <v/>
      </c>
      <c r="B2416" s="14">
        <f>IF(F2416&lt;&gt;"","错误","")</f>
        <v/>
      </c>
      <c r="C2416" s="14">
        <f>IF('06_建筑锚点'!A416&lt;&gt;"","06_建筑锚点","")</f>
        <v/>
      </c>
      <c r="D2416" s="14">
        <f>IF('06_建筑锚点'!A416&lt;&gt;"",'06_建筑锚点'!A416,"")</f>
        <v/>
      </c>
      <c r="E2416" s="14">
        <f>IF(F2416&lt;&gt;"","综合校验","")</f>
        <v/>
      </c>
      <c r="F2416" s="14">
        <f>IF('06_建筑锚点'!A416&lt;&gt;"",IF('06_建筑锚点'!A416="","缺少建筑ID；","")&amp;IF('06_建筑锚点'!B416="","缺少建筑名称；","")&amp;IF('06_建筑锚点'!C416="","缺少建筑类型；","")&amp;IF('06_建筑锚点'!D416="","缺少所属地点ID；","")&amp;IF('06_建筑锚点'!F416="","缺少世界X；","")&amp;IF('06_建筑锚点'!G416="","缺少世界Y；","")&amp;IF(AND('06_建筑锚点'!F416&lt;&gt;"",OR('06_建筑锚点'!F416&lt;0,'06_建筑锚点'!F416&gt;WorldWidth)),"世界X越界；","")&amp;IF(AND('06_建筑锚点'!G416&lt;&gt;"",OR('06_建筑锚点'!G416&lt;0,'06_建筑锚点'!G416&gt;WorldHeight)),"世界Y越界；","")&amp;IF(AND('06_建筑锚点'!D416&lt;&gt;"",COUNTIF('03_地点锚点'!$A$2:$A$501,'06_建筑锚点'!D416)=0),"建筑所属地点不存在；","")&amp;IF(AND('06_建筑锚点'!T416&lt;&gt;"",COUNTIF('07_动态状态'!$A$2:$A$501,'06_建筑锚点'!T416)=0),"运营状态编码不存在；","")&amp;IF(AND('06_建筑锚点'!A416&lt;&gt;"",COUNTIF('06_建筑锚点'!$A$2:$A$501,'06_建筑锚点'!A416)&gt;1),"ID重复；",""),"")</f>
        <v/>
      </c>
      <c r="G2416" s="14">
        <f>IF(F2416&lt;&gt;"","按字段批注、数据字典和来源记录修正后复核","")</f>
        <v/>
      </c>
      <c r="H2416" s="14">
        <f>IF(F2416&lt;&gt;"","待处理","")</f>
        <v/>
      </c>
    </row>
    <row r="2417">
      <c r="A2417" s="14">
        <f>IF(F2417&lt;&gt;"","ISSUE-"&amp;TEXT(ROW()-1,"00000"),"")</f>
        <v/>
      </c>
      <c r="B2417" s="14">
        <f>IF(F2417&lt;&gt;"","错误","")</f>
        <v/>
      </c>
      <c r="C2417" s="14">
        <f>IF('06_建筑锚点'!A417&lt;&gt;"","06_建筑锚点","")</f>
        <v/>
      </c>
      <c r="D2417" s="14">
        <f>IF('06_建筑锚点'!A417&lt;&gt;"",'06_建筑锚点'!A417,"")</f>
        <v/>
      </c>
      <c r="E2417" s="14">
        <f>IF(F2417&lt;&gt;"","综合校验","")</f>
        <v/>
      </c>
      <c r="F2417" s="14">
        <f>IF('06_建筑锚点'!A417&lt;&gt;"",IF('06_建筑锚点'!A417="","缺少建筑ID；","")&amp;IF('06_建筑锚点'!B417="","缺少建筑名称；","")&amp;IF('06_建筑锚点'!C417="","缺少建筑类型；","")&amp;IF('06_建筑锚点'!D417="","缺少所属地点ID；","")&amp;IF('06_建筑锚点'!F417="","缺少世界X；","")&amp;IF('06_建筑锚点'!G417="","缺少世界Y；","")&amp;IF(AND('06_建筑锚点'!F417&lt;&gt;"",OR('06_建筑锚点'!F417&lt;0,'06_建筑锚点'!F417&gt;WorldWidth)),"世界X越界；","")&amp;IF(AND('06_建筑锚点'!G417&lt;&gt;"",OR('06_建筑锚点'!G417&lt;0,'06_建筑锚点'!G417&gt;WorldHeight)),"世界Y越界；","")&amp;IF(AND('06_建筑锚点'!D417&lt;&gt;"",COUNTIF('03_地点锚点'!$A$2:$A$501,'06_建筑锚点'!D417)=0),"建筑所属地点不存在；","")&amp;IF(AND('06_建筑锚点'!T417&lt;&gt;"",COUNTIF('07_动态状态'!$A$2:$A$501,'06_建筑锚点'!T417)=0),"运营状态编码不存在；","")&amp;IF(AND('06_建筑锚点'!A417&lt;&gt;"",COUNTIF('06_建筑锚点'!$A$2:$A$501,'06_建筑锚点'!A417)&gt;1),"ID重复；",""),"")</f>
        <v/>
      </c>
      <c r="G2417" s="14">
        <f>IF(F2417&lt;&gt;"","按字段批注、数据字典和来源记录修正后复核","")</f>
        <v/>
      </c>
      <c r="H2417" s="14">
        <f>IF(F2417&lt;&gt;"","待处理","")</f>
        <v/>
      </c>
    </row>
    <row r="2418">
      <c r="A2418" s="14">
        <f>IF(F2418&lt;&gt;"","ISSUE-"&amp;TEXT(ROW()-1,"00000"),"")</f>
        <v/>
      </c>
      <c r="B2418" s="14">
        <f>IF(F2418&lt;&gt;"","错误","")</f>
        <v/>
      </c>
      <c r="C2418" s="14">
        <f>IF('06_建筑锚点'!A418&lt;&gt;"","06_建筑锚点","")</f>
        <v/>
      </c>
      <c r="D2418" s="14">
        <f>IF('06_建筑锚点'!A418&lt;&gt;"",'06_建筑锚点'!A418,"")</f>
        <v/>
      </c>
      <c r="E2418" s="14">
        <f>IF(F2418&lt;&gt;"","综合校验","")</f>
        <v/>
      </c>
      <c r="F2418" s="14">
        <f>IF('06_建筑锚点'!A418&lt;&gt;"",IF('06_建筑锚点'!A418="","缺少建筑ID；","")&amp;IF('06_建筑锚点'!B418="","缺少建筑名称；","")&amp;IF('06_建筑锚点'!C418="","缺少建筑类型；","")&amp;IF('06_建筑锚点'!D418="","缺少所属地点ID；","")&amp;IF('06_建筑锚点'!F418="","缺少世界X；","")&amp;IF('06_建筑锚点'!G418="","缺少世界Y；","")&amp;IF(AND('06_建筑锚点'!F418&lt;&gt;"",OR('06_建筑锚点'!F418&lt;0,'06_建筑锚点'!F418&gt;WorldWidth)),"世界X越界；","")&amp;IF(AND('06_建筑锚点'!G418&lt;&gt;"",OR('06_建筑锚点'!G418&lt;0,'06_建筑锚点'!G418&gt;WorldHeight)),"世界Y越界；","")&amp;IF(AND('06_建筑锚点'!D418&lt;&gt;"",COUNTIF('03_地点锚点'!$A$2:$A$501,'06_建筑锚点'!D418)=0),"建筑所属地点不存在；","")&amp;IF(AND('06_建筑锚点'!T418&lt;&gt;"",COUNTIF('07_动态状态'!$A$2:$A$501,'06_建筑锚点'!T418)=0),"运营状态编码不存在；","")&amp;IF(AND('06_建筑锚点'!A418&lt;&gt;"",COUNTIF('06_建筑锚点'!$A$2:$A$501,'06_建筑锚点'!A418)&gt;1),"ID重复；",""),"")</f>
        <v/>
      </c>
      <c r="G2418" s="14">
        <f>IF(F2418&lt;&gt;"","按字段批注、数据字典和来源记录修正后复核","")</f>
        <v/>
      </c>
      <c r="H2418" s="14">
        <f>IF(F2418&lt;&gt;"","待处理","")</f>
        <v/>
      </c>
    </row>
    <row r="2419">
      <c r="A2419" s="14">
        <f>IF(F2419&lt;&gt;"","ISSUE-"&amp;TEXT(ROW()-1,"00000"),"")</f>
        <v/>
      </c>
      <c r="B2419" s="14">
        <f>IF(F2419&lt;&gt;"","错误","")</f>
        <v/>
      </c>
      <c r="C2419" s="14">
        <f>IF('06_建筑锚点'!A419&lt;&gt;"","06_建筑锚点","")</f>
        <v/>
      </c>
      <c r="D2419" s="14">
        <f>IF('06_建筑锚点'!A419&lt;&gt;"",'06_建筑锚点'!A419,"")</f>
        <v/>
      </c>
      <c r="E2419" s="14">
        <f>IF(F2419&lt;&gt;"","综合校验","")</f>
        <v/>
      </c>
      <c r="F2419" s="14">
        <f>IF('06_建筑锚点'!A419&lt;&gt;"",IF('06_建筑锚点'!A419="","缺少建筑ID；","")&amp;IF('06_建筑锚点'!B419="","缺少建筑名称；","")&amp;IF('06_建筑锚点'!C419="","缺少建筑类型；","")&amp;IF('06_建筑锚点'!D419="","缺少所属地点ID；","")&amp;IF('06_建筑锚点'!F419="","缺少世界X；","")&amp;IF('06_建筑锚点'!G419="","缺少世界Y；","")&amp;IF(AND('06_建筑锚点'!F419&lt;&gt;"",OR('06_建筑锚点'!F419&lt;0,'06_建筑锚点'!F419&gt;WorldWidth)),"世界X越界；","")&amp;IF(AND('06_建筑锚点'!G419&lt;&gt;"",OR('06_建筑锚点'!G419&lt;0,'06_建筑锚点'!G419&gt;WorldHeight)),"世界Y越界；","")&amp;IF(AND('06_建筑锚点'!D419&lt;&gt;"",COUNTIF('03_地点锚点'!$A$2:$A$501,'06_建筑锚点'!D419)=0),"建筑所属地点不存在；","")&amp;IF(AND('06_建筑锚点'!T419&lt;&gt;"",COUNTIF('07_动态状态'!$A$2:$A$501,'06_建筑锚点'!T419)=0),"运营状态编码不存在；","")&amp;IF(AND('06_建筑锚点'!A419&lt;&gt;"",COUNTIF('06_建筑锚点'!$A$2:$A$501,'06_建筑锚点'!A419)&gt;1),"ID重复；",""),"")</f>
        <v/>
      </c>
      <c r="G2419" s="14">
        <f>IF(F2419&lt;&gt;"","按字段批注、数据字典和来源记录修正后复核","")</f>
        <v/>
      </c>
      <c r="H2419" s="14">
        <f>IF(F2419&lt;&gt;"","待处理","")</f>
        <v/>
      </c>
    </row>
    <row r="2420">
      <c r="A2420" s="14">
        <f>IF(F2420&lt;&gt;"","ISSUE-"&amp;TEXT(ROW()-1,"00000"),"")</f>
        <v/>
      </c>
      <c r="B2420" s="14">
        <f>IF(F2420&lt;&gt;"","错误","")</f>
        <v/>
      </c>
      <c r="C2420" s="14">
        <f>IF('06_建筑锚点'!A420&lt;&gt;"","06_建筑锚点","")</f>
        <v/>
      </c>
      <c r="D2420" s="14">
        <f>IF('06_建筑锚点'!A420&lt;&gt;"",'06_建筑锚点'!A420,"")</f>
        <v/>
      </c>
      <c r="E2420" s="14">
        <f>IF(F2420&lt;&gt;"","综合校验","")</f>
        <v/>
      </c>
      <c r="F2420" s="14">
        <f>IF('06_建筑锚点'!A420&lt;&gt;"",IF('06_建筑锚点'!A420="","缺少建筑ID；","")&amp;IF('06_建筑锚点'!B420="","缺少建筑名称；","")&amp;IF('06_建筑锚点'!C420="","缺少建筑类型；","")&amp;IF('06_建筑锚点'!D420="","缺少所属地点ID；","")&amp;IF('06_建筑锚点'!F420="","缺少世界X；","")&amp;IF('06_建筑锚点'!G420="","缺少世界Y；","")&amp;IF(AND('06_建筑锚点'!F420&lt;&gt;"",OR('06_建筑锚点'!F420&lt;0,'06_建筑锚点'!F420&gt;WorldWidth)),"世界X越界；","")&amp;IF(AND('06_建筑锚点'!G420&lt;&gt;"",OR('06_建筑锚点'!G420&lt;0,'06_建筑锚点'!G420&gt;WorldHeight)),"世界Y越界；","")&amp;IF(AND('06_建筑锚点'!D420&lt;&gt;"",COUNTIF('03_地点锚点'!$A$2:$A$501,'06_建筑锚点'!D420)=0),"建筑所属地点不存在；","")&amp;IF(AND('06_建筑锚点'!T420&lt;&gt;"",COUNTIF('07_动态状态'!$A$2:$A$501,'06_建筑锚点'!T420)=0),"运营状态编码不存在；","")&amp;IF(AND('06_建筑锚点'!A420&lt;&gt;"",COUNTIF('06_建筑锚点'!$A$2:$A$501,'06_建筑锚点'!A420)&gt;1),"ID重复；",""),"")</f>
        <v/>
      </c>
      <c r="G2420" s="14">
        <f>IF(F2420&lt;&gt;"","按字段批注、数据字典和来源记录修正后复核","")</f>
        <v/>
      </c>
      <c r="H2420" s="14">
        <f>IF(F2420&lt;&gt;"","待处理","")</f>
        <v/>
      </c>
    </row>
    <row r="2421">
      <c r="A2421" s="14">
        <f>IF(F2421&lt;&gt;"","ISSUE-"&amp;TEXT(ROW()-1,"00000"),"")</f>
        <v/>
      </c>
      <c r="B2421" s="14">
        <f>IF(F2421&lt;&gt;"","错误","")</f>
        <v/>
      </c>
      <c r="C2421" s="14">
        <f>IF('06_建筑锚点'!A421&lt;&gt;"","06_建筑锚点","")</f>
        <v/>
      </c>
      <c r="D2421" s="14">
        <f>IF('06_建筑锚点'!A421&lt;&gt;"",'06_建筑锚点'!A421,"")</f>
        <v/>
      </c>
      <c r="E2421" s="14">
        <f>IF(F2421&lt;&gt;"","综合校验","")</f>
        <v/>
      </c>
      <c r="F2421" s="14">
        <f>IF('06_建筑锚点'!A421&lt;&gt;"",IF('06_建筑锚点'!A421="","缺少建筑ID；","")&amp;IF('06_建筑锚点'!B421="","缺少建筑名称；","")&amp;IF('06_建筑锚点'!C421="","缺少建筑类型；","")&amp;IF('06_建筑锚点'!D421="","缺少所属地点ID；","")&amp;IF('06_建筑锚点'!F421="","缺少世界X；","")&amp;IF('06_建筑锚点'!G421="","缺少世界Y；","")&amp;IF(AND('06_建筑锚点'!F421&lt;&gt;"",OR('06_建筑锚点'!F421&lt;0,'06_建筑锚点'!F421&gt;WorldWidth)),"世界X越界；","")&amp;IF(AND('06_建筑锚点'!G421&lt;&gt;"",OR('06_建筑锚点'!G421&lt;0,'06_建筑锚点'!G421&gt;WorldHeight)),"世界Y越界；","")&amp;IF(AND('06_建筑锚点'!D421&lt;&gt;"",COUNTIF('03_地点锚点'!$A$2:$A$501,'06_建筑锚点'!D421)=0),"建筑所属地点不存在；","")&amp;IF(AND('06_建筑锚点'!T421&lt;&gt;"",COUNTIF('07_动态状态'!$A$2:$A$501,'06_建筑锚点'!T421)=0),"运营状态编码不存在；","")&amp;IF(AND('06_建筑锚点'!A421&lt;&gt;"",COUNTIF('06_建筑锚点'!$A$2:$A$501,'06_建筑锚点'!A421)&gt;1),"ID重复；",""),"")</f>
        <v/>
      </c>
      <c r="G2421" s="14">
        <f>IF(F2421&lt;&gt;"","按字段批注、数据字典和来源记录修正后复核","")</f>
        <v/>
      </c>
      <c r="H2421" s="14">
        <f>IF(F2421&lt;&gt;"","待处理","")</f>
        <v/>
      </c>
    </row>
    <row r="2422">
      <c r="A2422" s="14">
        <f>IF(F2422&lt;&gt;"","ISSUE-"&amp;TEXT(ROW()-1,"00000"),"")</f>
        <v/>
      </c>
      <c r="B2422" s="14">
        <f>IF(F2422&lt;&gt;"","错误","")</f>
        <v/>
      </c>
      <c r="C2422" s="14">
        <f>IF('06_建筑锚点'!A422&lt;&gt;"","06_建筑锚点","")</f>
        <v/>
      </c>
      <c r="D2422" s="14">
        <f>IF('06_建筑锚点'!A422&lt;&gt;"",'06_建筑锚点'!A422,"")</f>
        <v/>
      </c>
      <c r="E2422" s="14">
        <f>IF(F2422&lt;&gt;"","综合校验","")</f>
        <v/>
      </c>
      <c r="F2422" s="14">
        <f>IF('06_建筑锚点'!A422&lt;&gt;"",IF('06_建筑锚点'!A422="","缺少建筑ID；","")&amp;IF('06_建筑锚点'!B422="","缺少建筑名称；","")&amp;IF('06_建筑锚点'!C422="","缺少建筑类型；","")&amp;IF('06_建筑锚点'!D422="","缺少所属地点ID；","")&amp;IF('06_建筑锚点'!F422="","缺少世界X；","")&amp;IF('06_建筑锚点'!G422="","缺少世界Y；","")&amp;IF(AND('06_建筑锚点'!F422&lt;&gt;"",OR('06_建筑锚点'!F422&lt;0,'06_建筑锚点'!F422&gt;WorldWidth)),"世界X越界；","")&amp;IF(AND('06_建筑锚点'!G422&lt;&gt;"",OR('06_建筑锚点'!G422&lt;0,'06_建筑锚点'!G422&gt;WorldHeight)),"世界Y越界；","")&amp;IF(AND('06_建筑锚点'!D422&lt;&gt;"",COUNTIF('03_地点锚点'!$A$2:$A$501,'06_建筑锚点'!D422)=0),"建筑所属地点不存在；","")&amp;IF(AND('06_建筑锚点'!T422&lt;&gt;"",COUNTIF('07_动态状态'!$A$2:$A$501,'06_建筑锚点'!T422)=0),"运营状态编码不存在；","")&amp;IF(AND('06_建筑锚点'!A422&lt;&gt;"",COUNTIF('06_建筑锚点'!$A$2:$A$501,'06_建筑锚点'!A422)&gt;1),"ID重复；",""),"")</f>
        <v/>
      </c>
      <c r="G2422" s="14">
        <f>IF(F2422&lt;&gt;"","按字段批注、数据字典和来源记录修正后复核","")</f>
        <v/>
      </c>
      <c r="H2422" s="14">
        <f>IF(F2422&lt;&gt;"","待处理","")</f>
        <v/>
      </c>
    </row>
    <row r="2423">
      <c r="A2423" s="14">
        <f>IF(F2423&lt;&gt;"","ISSUE-"&amp;TEXT(ROW()-1,"00000"),"")</f>
        <v/>
      </c>
      <c r="B2423" s="14">
        <f>IF(F2423&lt;&gt;"","错误","")</f>
        <v/>
      </c>
      <c r="C2423" s="14">
        <f>IF('06_建筑锚点'!A423&lt;&gt;"","06_建筑锚点","")</f>
        <v/>
      </c>
      <c r="D2423" s="14">
        <f>IF('06_建筑锚点'!A423&lt;&gt;"",'06_建筑锚点'!A423,"")</f>
        <v/>
      </c>
      <c r="E2423" s="14">
        <f>IF(F2423&lt;&gt;"","综合校验","")</f>
        <v/>
      </c>
      <c r="F2423" s="14">
        <f>IF('06_建筑锚点'!A423&lt;&gt;"",IF('06_建筑锚点'!A423="","缺少建筑ID；","")&amp;IF('06_建筑锚点'!B423="","缺少建筑名称；","")&amp;IF('06_建筑锚点'!C423="","缺少建筑类型；","")&amp;IF('06_建筑锚点'!D423="","缺少所属地点ID；","")&amp;IF('06_建筑锚点'!F423="","缺少世界X；","")&amp;IF('06_建筑锚点'!G423="","缺少世界Y；","")&amp;IF(AND('06_建筑锚点'!F423&lt;&gt;"",OR('06_建筑锚点'!F423&lt;0,'06_建筑锚点'!F423&gt;WorldWidth)),"世界X越界；","")&amp;IF(AND('06_建筑锚点'!G423&lt;&gt;"",OR('06_建筑锚点'!G423&lt;0,'06_建筑锚点'!G423&gt;WorldHeight)),"世界Y越界；","")&amp;IF(AND('06_建筑锚点'!D423&lt;&gt;"",COUNTIF('03_地点锚点'!$A$2:$A$501,'06_建筑锚点'!D423)=0),"建筑所属地点不存在；","")&amp;IF(AND('06_建筑锚点'!T423&lt;&gt;"",COUNTIF('07_动态状态'!$A$2:$A$501,'06_建筑锚点'!T423)=0),"运营状态编码不存在；","")&amp;IF(AND('06_建筑锚点'!A423&lt;&gt;"",COUNTIF('06_建筑锚点'!$A$2:$A$501,'06_建筑锚点'!A423)&gt;1),"ID重复；",""),"")</f>
        <v/>
      </c>
      <c r="G2423" s="14">
        <f>IF(F2423&lt;&gt;"","按字段批注、数据字典和来源记录修正后复核","")</f>
        <v/>
      </c>
      <c r="H2423" s="14">
        <f>IF(F2423&lt;&gt;"","待处理","")</f>
        <v/>
      </c>
    </row>
    <row r="2424">
      <c r="A2424" s="14">
        <f>IF(F2424&lt;&gt;"","ISSUE-"&amp;TEXT(ROW()-1,"00000"),"")</f>
        <v/>
      </c>
      <c r="B2424" s="14">
        <f>IF(F2424&lt;&gt;"","错误","")</f>
        <v/>
      </c>
      <c r="C2424" s="14">
        <f>IF('06_建筑锚点'!A424&lt;&gt;"","06_建筑锚点","")</f>
        <v/>
      </c>
      <c r="D2424" s="14">
        <f>IF('06_建筑锚点'!A424&lt;&gt;"",'06_建筑锚点'!A424,"")</f>
        <v/>
      </c>
      <c r="E2424" s="14">
        <f>IF(F2424&lt;&gt;"","综合校验","")</f>
        <v/>
      </c>
      <c r="F2424" s="14">
        <f>IF('06_建筑锚点'!A424&lt;&gt;"",IF('06_建筑锚点'!A424="","缺少建筑ID；","")&amp;IF('06_建筑锚点'!B424="","缺少建筑名称；","")&amp;IF('06_建筑锚点'!C424="","缺少建筑类型；","")&amp;IF('06_建筑锚点'!D424="","缺少所属地点ID；","")&amp;IF('06_建筑锚点'!F424="","缺少世界X；","")&amp;IF('06_建筑锚点'!G424="","缺少世界Y；","")&amp;IF(AND('06_建筑锚点'!F424&lt;&gt;"",OR('06_建筑锚点'!F424&lt;0,'06_建筑锚点'!F424&gt;WorldWidth)),"世界X越界；","")&amp;IF(AND('06_建筑锚点'!G424&lt;&gt;"",OR('06_建筑锚点'!G424&lt;0,'06_建筑锚点'!G424&gt;WorldHeight)),"世界Y越界；","")&amp;IF(AND('06_建筑锚点'!D424&lt;&gt;"",COUNTIF('03_地点锚点'!$A$2:$A$501,'06_建筑锚点'!D424)=0),"建筑所属地点不存在；","")&amp;IF(AND('06_建筑锚点'!T424&lt;&gt;"",COUNTIF('07_动态状态'!$A$2:$A$501,'06_建筑锚点'!T424)=0),"运营状态编码不存在；","")&amp;IF(AND('06_建筑锚点'!A424&lt;&gt;"",COUNTIF('06_建筑锚点'!$A$2:$A$501,'06_建筑锚点'!A424)&gt;1),"ID重复；",""),"")</f>
        <v/>
      </c>
      <c r="G2424" s="14">
        <f>IF(F2424&lt;&gt;"","按字段批注、数据字典和来源记录修正后复核","")</f>
        <v/>
      </c>
      <c r="H2424" s="14">
        <f>IF(F2424&lt;&gt;"","待处理","")</f>
        <v/>
      </c>
    </row>
    <row r="2425">
      <c r="A2425" s="14">
        <f>IF(F2425&lt;&gt;"","ISSUE-"&amp;TEXT(ROW()-1,"00000"),"")</f>
        <v/>
      </c>
      <c r="B2425" s="14">
        <f>IF(F2425&lt;&gt;"","错误","")</f>
        <v/>
      </c>
      <c r="C2425" s="14">
        <f>IF('06_建筑锚点'!A425&lt;&gt;"","06_建筑锚点","")</f>
        <v/>
      </c>
      <c r="D2425" s="14">
        <f>IF('06_建筑锚点'!A425&lt;&gt;"",'06_建筑锚点'!A425,"")</f>
        <v/>
      </c>
      <c r="E2425" s="14">
        <f>IF(F2425&lt;&gt;"","综合校验","")</f>
        <v/>
      </c>
      <c r="F2425" s="14">
        <f>IF('06_建筑锚点'!A425&lt;&gt;"",IF('06_建筑锚点'!A425="","缺少建筑ID；","")&amp;IF('06_建筑锚点'!B425="","缺少建筑名称；","")&amp;IF('06_建筑锚点'!C425="","缺少建筑类型；","")&amp;IF('06_建筑锚点'!D425="","缺少所属地点ID；","")&amp;IF('06_建筑锚点'!F425="","缺少世界X；","")&amp;IF('06_建筑锚点'!G425="","缺少世界Y；","")&amp;IF(AND('06_建筑锚点'!F425&lt;&gt;"",OR('06_建筑锚点'!F425&lt;0,'06_建筑锚点'!F425&gt;WorldWidth)),"世界X越界；","")&amp;IF(AND('06_建筑锚点'!G425&lt;&gt;"",OR('06_建筑锚点'!G425&lt;0,'06_建筑锚点'!G425&gt;WorldHeight)),"世界Y越界；","")&amp;IF(AND('06_建筑锚点'!D425&lt;&gt;"",COUNTIF('03_地点锚点'!$A$2:$A$501,'06_建筑锚点'!D425)=0),"建筑所属地点不存在；","")&amp;IF(AND('06_建筑锚点'!T425&lt;&gt;"",COUNTIF('07_动态状态'!$A$2:$A$501,'06_建筑锚点'!T425)=0),"运营状态编码不存在；","")&amp;IF(AND('06_建筑锚点'!A425&lt;&gt;"",COUNTIF('06_建筑锚点'!$A$2:$A$501,'06_建筑锚点'!A425)&gt;1),"ID重复；",""),"")</f>
        <v/>
      </c>
      <c r="G2425" s="14">
        <f>IF(F2425&lt;&gt;"","按字段批注、数据字典和来源记录修正后复核","")</f>
        <v/>
      </c>
      <c r="H2425" s="14">
        <f>IF(F2425&lt;&gt;"","待处理","")</f>
        <v/>
      </c>
    </row>
    <row r="2426">
      <c r="A2426" s="14">
        <f>IF(F2426&lt;&gt;"","ISSUE-"&amp;TEXT(ROW()-1,"00000"),"")</f>
        <v/>
      </c>
      <c r="B2426" s="14">
        <f>IF(F2426&lt;&gt;"","错误","")</f>
        <v/>
      </c>
      <c r="C2426" s="14">
        <f>IF('06_建筑锚点'!A426&lt;&gt;"","06_建筑锚点","")</f>
        <v/>
      </c>
      <c r="D2426" s="14">
        <f>IF('06_建筑锚点'!A426&lt;&gt;"",'06_建筑锚点'!A426,"")</f>
        <v/>
      </c>
      <c r="E2426" s="14">
        <f>IF(F2426&lt;&gt;"","综合校验","")</f>
        <v/>
      </c>
      <c r="F2426" s="14">
        <f>IF('06_建筑锚点'!A426&lt;&gt;"",IF('06_建筑锚点'!A426="","缺少建筑ID；","")&amp;IF('06_建筑锚点'!B426="","缺少建筑名称；","")&amp;IF('06_建筑锚点'!C426="","缺少建筑类型；","")&amp;IF('06_建筑锚点'!D426="","缺少所属地点ID；","")&amp;IF('06_建筑锚点'!F426="","缺少世界X；","")&amp;IF('06_建筑锚点'!G426="","缺少世界Y；","")&amp;IF(AND('06_建筑锚点'!F426&lt;&gt;"",OR('06_建筑锚点'!F426&lt;0,'06_建筑锚点'!F426&gt;WorldWidth)),"世界X越界；","")&amp;IF(AND('06_建筑锚点'!G426&lt;&gt;"",OR('06_建筑锚点'!G426&lt;0,'06_建筑锚点'!G426&gt;WorldHeight)),"世界Y越界；","")&amp;IF(AND('06_建筑锚点'!D426&lt;&gt;"",COUNTIF('03_地点锚点'!$A$2:$A$501,'06_建筑锚点'!D426)=0),"建筑所属地点不存在；","")&amp;IF(AND('06_建筑锚点'!T426&lt;&gt;"",COUNTIF('07_动态状态'!$A$2:$A$501,'06_建筑锚点'!T426)=0),"运营状态编码不存在；","")&amp;IF(AND('06_建筑锚点'!A426&lt;&gt;"",COUNTIF('06_建筑锚点'!$A$2:$A$501,'06_建筑锚点'!A426)&gt;1),"ID重复；",""),"")</f>
        <v/>
      </c>
      <c r="G2426" s="14">
        <f>IF(F2426&lt;&gt;"","按字段批注、数据字典和来源记录修正后复核","")</f>
        <v/>
      </c>
      <c r="H2426" s="14">
        <f>IF(F2426&lt;&gt;"","待处理","")</f>
        <v/>
      </c>
    </row>
    <row r="2427">
      <c r="A2427" s="14">
        <f>IF(F2427&lt;&gt;"","ISSUE-"&amp;TEXT(ROW()-1,"00000"),"")</f>
        <v/>
      </c>
      <c r="B2427" s="14">
        <f>IF(F2427&lt;&gt;"","错误","")</f>
        <v/>
      </c>
      <c r="C2427" s="14">
        <f>IF('06_建筑锚点'!A427&lt;&gt;"","06_建筑锚点","")</f>
        <v/>
      </c>
      <c r="D2427" s="14">
        <f>IF('06_建筑锚点'!A427&lt;&gt;"",'06_建筑锚点'!A427,"")</f>
        <v/>
      </c>
      <c r="E2427" s="14">
        <f>IF(F2427&lt;&gt;"","综合校验","")</f>
        <v/>
      </c>
      <c r="F2427" s="14">
        <f>IF('06_建筑锚点'!A427&lt;&gt;"",IF('06_建筑锚点'!A427="","缺少建筑ID；","")&amp;IF('06_建筑锚点'!B427="","缺少建筑名称；","")&amp;IF('06_建筑锚点'!C427="","缺少建筑类型；","")&amp;IF('06_建筑锚点'!D427="","缺少所属地点ID；","")&amp;IF('06_建筑锚点'!F427="","缺少世界X；","")&amp;IF('06_建筑锚点'!G427="","缺少世界Y；","")&amp;IF(AND('06_建筑锚点'!F427&lt;&gt;"",OR('06_建筑锚点'!F427&lt;0,'06_建筑锚点'!F427&gt;WorldWidth)),"世界X越界；","")&amp;IF(AND('06_建筑锚点'!G427&lt;&gt;"",OR('06_建筑锚点'!G427&lt;0,'06_建筑锚点'!G427&gt;WorldHeight)),"世界Y越界；","")&amp;IF(AND('06_建筑锚点'!D427&lt;&gt;"",COUNTIF('03_地点锚点'!$A$2:$A$501,'06_建筑锚点'!D427)=0),"建筑所属地点不存在；","")&amp;IF(AND('06_建筑锚点'!T427&lt;&gt;"",COUNTIF('07_动态状态'!$A$2:$A$501,'06_建筑锚点'!T427)=0),"运营状态编码不存在；","")&amp;IF(AND('06_建筑锚点'!A427&lt;&gt;"",COUNTIF('06_建筑锚点'!$A$2:$A$501,'06_建筑锚点'!A427)&gt;1),"ID重复；",""),"")</f>
        <v/>
      </c>
      <c r="G2427" s="14">
        <f>IF(F2427&lt;&gt;"","按字段批注、数据字典和来源记录修正后复核","")</f>
        <v/>
      </c>
      <c r="H2427" s="14">
        <f>IF(F2427&lt;&gt;"","待处理","")</f>
        <v/>
      </c>
    </row>
    <row r="2428">
      <c r="A2428" s="14">
        <f>IF(F2428&lt;&gt;"","ISSUE-"&amp;TEXT(ROW()-1,"00000"),"")</f>
        <v/>
      </c>
      <c r="B2428" s="14">
        <f>IF(F2428&lt;&gt;"","错误","")</f>
        <v/>
      </c>
      <c r="C2428" s="14">
        <f>IF('06_建筑锚点'!A428&lt;&gt;"","06_建筑锚点","")</f>
        <v/>
      </c>
      <c r="D2428" s="14">
        <f>IF('06_建筑锚点'!A428&lt;&gt;"",'06_建筑锚点'!A428,"")</f>
        <v/>
      </c>
      <c r="E2428" s="14">
        <f>IF(F2428&lt;&gt;"","综合校验","")</f>
        <v/>
      </c>
      <c r="F2428" s="14">
        <f>IF('06_建筑锚点'!A428&lt;&gt;"",IF('06_建筑锚点'!A428="","缺少建筑ID；","")&amp;IF('06_建筑锚点'!B428="","缺少建筑名称；","")&amp;IF('06_建筑锚点'!C428="","缺少建筑类型；","")&amp;IF('06_建筑锚点'!D428="","缺少所属地点ID；","")&amp;IF('06_建筑锚点'!F428="","缺少世界X；","")&amp;IF('06_建筑锚点'!G428="","缺少世界Y；","")&amp;IF(AND('06_建筑锚点'!F428&lt;&gt;"",OR('06_建筑锚点'!F428&lt;0,'06_建筑锚点'!F428&gt;WorldWidth)),"世界X越界；","")&amp;IF(AND('06_建筑锚点'!G428&lt;&gt;"",OR('06_建筑锚点'!G428&lt;0,'06_建筑锚点'!G428&gt;WorldHeight)),"世界Y越界；","")&amp;IF(AND('06_建筑锚点'!D428&lt;&gt;"",COUNTIF('03_地点锚点'!$A$2:$A$501,'06_建筑锚点'!D428)=0),"建筑所属地点不存在；","")&amp;IF(AND('06_建筑锚点'!T428&lt;&gt;"",COUNTIF('07_动态状态'!$A$2:$A$501,'06_建筑锚点'!T428)=0),"运营状态编码不存在；","")&amp;IF(AND('06_建筑锚点'!A428&lt;&gt;"",COUNTIF('06_建筑锚点'!$A$2:$A$501,'06_建筑锚点'!A428)&gt;1),"ID重复；",""),"")</f>
        <v/>
      </c>
      <c r="G2428" s="14">
        <f>IF(F2428&lt;&gt;"","按字段批注、数据字典和来源记录修正后复核","")</f>
        <v/>
      </c>
      <c r="H2428" s="14">
        <f>IF(F2428&lt;&gt;"","待处理","")</f>
        <v/>
      </c>
    </row>
    <row r="2429">
      <c r="A2429" s="14">
        <f>IF(F2429&lt;&gt;"","ISSUE-"&amp;TEXT(ROW()-1,"00000"),"")</f>
        <v/>
      </c>
      <c r="B2429" s="14">
        <f>IF(F2429&lt;&gt;"","错误","")</f>
        <v/>
      </c>
      <c r="C2429" s="14">
        <f>IF('06_建筑锚点'!A429&lt;&gt;"","06_建筑锚点","")</f>
        <v/>
      </c>
      <c r="D2429" s="14">
        <f>IF('06_建筑锚点'!A429&lt;&gt;"",'06_建筑锚点'!A429,"")</f>
        <v/>
      </c>
      <c r="E2429" s="14">
        <f>IF(F2429&lt;&gt;"","综合校验","")</f>
        <v/>
      </c>
      <c r="F2429" s="14">
        <f>IF('06_建筑锚点'!A429&lt;&gt;"",IF('06_建筑锚点'!A429="","缺少建筑ID；","")&amp;IF('06_建筑锚点'!B429="","缺少建筑名称；","")&amp;IF('06_建筑锚点'!C429="","缺少建筑类型；","")&amp;IF('06_建筑锚点'!D429="","缺少所属地点ID；","")&amp;IF('06_建筑锚点'!F429="","缺少世界X；","")&amp;IF('06_建筑锚点'!G429="","缺少世界Y；","")&amp;IF(AND('06_建筑锚点'!F429&lt;&gt;"",OR('06_建筑锚点'!F429&lt;0,'06_建筑锚点'!F429&gt;WorldWidth)),"世界X越界；","")&amp;IF(AND('06_建筑锚点'!G429&lt;&gt;"",OR('06_建筑锚点'!G429&lt;0,'06_建筑锚点'!G429&gt;WorldHeight)),"世界Y越界；","")&amp;IF(AND('06_建筑锚点'!D429&lt;&gt;"",COUNTIF('03_地点锚点'!$A$2:$A$501,'06_建筑锚点'!D429)=0),"建筑所属地点不存在；","")&amp;IF(AND('06_建筑锚点'!T429&lt;&gt;"",COUNTIF('07_动态状态'!$A$2:$A$501,'06_建筑锚点'!T429)=0),"运营状态编码不存在；","")&amp;IF(AND('06_建筑锚点'!A429&lt;&gt;"",COUNTIF('06_建筑锚点'!$A$2:$A$501,'06_建筑锚点'!A429)&gt;1),"ID重复；",""),"")</f>
        <v/>
      </c>
      <c r="G2429" s="14">
        <f>IF(F2429&lt;&gt;"","按字段批注、数据字典和来源记录修正后复核","")</f>
        <v/>
      </c>
      <c r="H2429" s="14">
        <f>IF(F2429&lt;&gt;"","待处理","")</f>
        <v/>
      </c>
    </row>
    <row r="2430">
      <c r="A2430" s="14">
        <f>IF(F2430&lt;&gt;"","ISSUE-"&amp;TEXT(ROW()-1,"00000"),"")</f>
        <v/>
      </c>
      <c r="B2430" s="14">
        <f>IF(F2430&lt;&gt;"","错误","")</f>
        <v/>
      </c>
      <c r="C2430" s="14">
        <f>IF('06_建筑锚点'!A430&lt;&gt;"","06_建筑锚点","")</f>
        <v/>
      </c>
      <c r="D2430" s="14">
        <f>IF('06_建筑锚点'!A430&lt;&gt;"",'06_建筑锚点'!A430,"")</f>
        <v/>
      </c>
      <c r="E2430" s="14">
        <f>IF(F2430&lt;&gt;"","综合校验","")</f>
        <v/>
      </c>
      <c r="F2430" s="14">
        <f>IF('06_建筑锚点'!A430&lt;&gt;"",IF('06_建筑锚点'!A430="","缺少建筑ID；","")&amp;IF('06_建筑锚点'!B430="","缺少建筑名称；","")&amp;IF('06_建筑锚点'!C430="","缺少建筑类型；","")&amp;IF('06_建筑锚点'!D430="","缺少所属地点ID；","")&amp;IF('06_建筑锚点'!F430="","缺少世界X；","")&amp;IF('06_建筑锚点'!G430="","缺少世界Y；","")&amp;IF(AND('06_建筑锚点'!F430&lt;&gt;"",OR('06_建筑锚点'!F430&lt;0,'06_建筑锚点'!F430&gt;WorldWidth)),"世界X越界；","")&amp;IF(AND('06_建筑锚点'!G430&lt;&gt;"",OR('06_建筑锚点'!G430&lt;0,'06_建筑锚点'!G430&gt;WorldHeight)),"世界Y越界；","")&amp;IF(AND('06_建筑锚点'!D430&lt;&gt;"",COUNTIF('03_地点锚点'!$A$2:$A$501,'06_建筑锚点'!D430)=0),"建筑所属地点不存在；","")&amp;IF(AND('06_建筑锚点'!T430&lt;&gt;"",COUNTIF('07_动态状态'!$A$2:$A$501,'06_建筑锚点'!T430)=0),"运营状态编码不存在；","")&amp;IF(AND('06_建筑锚点'!A430&lt;&gt;"",COUNTIF('06_建筑锚点'!$A$2:$A$501,'06_建筑锚点'!A430)&gt;1),"ID重复；",""),"")</f>
        <v/>
      </c>
      <c r="G2430" s="14">
        <f>IF(F2430&lt;&gt;"","按字段批注、数据字典和来源记录修正后复核","")</f>
        <v/>
      </c>
      <c r="H2430" s="14">
        <f>IF(F2430&lt;&gt;"","待处理","")</f>
        <v/>
      </c>
    </row>
    <row r="2431">
      <c r="A2431" s="14">
        <f>IF(F2431&lt;&gt;"","ISSUE-"&amp;TEXT(ROW()-1,"00000"),"")</f>
        <v/>
      </c>
      <c r="B2431" s="14">
        <f>IF(F2431&lt;&gt;"","错误","")</f>
        <v/>
      </c>
      <c r="C2431" s="14">
        <f>IF('06_建筑锚点'!A431&lt;&gt;"","06_建筑锚点","")</f>
        <v/>
      </c>
      <c r="D2431" s="14">
        <f>IF('06_建筑锚点'!A431&lt;&gt;"",'06_建筑锚点'!A431,"")</f>
        <v/>
      </c>
      <c r="E2431" s="14">
        <f>IF(F2431&lt;&gt;"","综合校验","")</f>
        <v/>
      </c>
      <c r="F2431" s="14">
        <f>IF('06_建筑锚点'!A431&lt;&gt;"",IF('06_建筑锚点'!A431="","缺少建筑ID；","")&amp;IF('06_建筑锚点'!B431="","缺少建筑名称；","")&amp;IF('06_建筑锚点'!C431="","缺少建筑类型；","")&amp;IF('06_建筑锚点'!D431="","缺少所属地点ID；","")&amp;IF('06_建筑锚点'!F431="","缺少世界X；","")&amp;IF('06_建筑锚点'!G431="","缺少世界Y；","")&amp;IF(AND('06_建筑锚点'!F431&lt;&gt;"",OR('06_建筑锚点'!F431&lt;0,'06_建筑锚点'!F431&gt;WorldWidth)),"世界X越界；","")&amp;IF(AND('06_建筑锚点'!G431&lt;&gt;"",OR('06_建筑锚点'!G431&lt;0,'06_建筑锚点'!G431&gt;WorldHeight)),"世界Y越界；","")&amp;IF(AND('06_建筑锚点'!D431&lt;&gt;"",COUNTIF('03_地点锚点'!$A$2:$A$501,'06_建筑锚点'!D431)=0),"建筑所属地点不存在；","")&amp;IF(AND('06_建筑锚点'!T431&lt;&gt;"",COUNTIF('07_动态状态'!$A$2:$A$501,'06_建筑锚点'!T431)=0),"运营状态编码不存在；","")&amp;IF(AND('06_建筑锚点'!A431&lt;&gt;"",COUNTIF('06_建筑锚点'!$A$2:$A$501,'06_建筑锚点'!A431)&gt;1),"ID重复；",""),"")</f>
        <v/>
      </c>
      <c r="G2431" s="14">
        <f>IF(F2431&lt;&gt;"","按字段批注、数据字典和来源记录修正后复核","")</f>
        <v/>
      </c>
      <c r="H2431" s="14">
        <f>IF(F2431&lt;&gt;"","待处理","")</f>
        <v/>
      </c>
    </row>
    <row r="2432">
      <c r="A2432" s="14">
        <f>IF(F2432&lt;&gt;"","ISSUE-"&amp;TEXT(ROW()-1,"00000"),"")</f>
        <v/>
      </c>
      <c r="B2432" s="14">
        <f>IF(F2432&lt;&gt;"","错误","")</f>
        <v/>
      </c>
      <c r="C2432" s="14">
        <f>IF('06_建筑锚点'!A432&lt;&gt;"","06_建筑锚点","")</f>
        <v/>
      </c>
      <c r="D2432" s="14">
        <f>IF('06_建筑锚点'!A432&lt;&gt;"",'06_建筑锚点'!A432,"")</f>
        <v/>
      </c>
      <c r="E2432" s="14">
        <f>IF(F2432&lt;&gt;"","综合校验","")</f>
        <v/>
      </c>
      <c r="F2432" s="14">
        <f>IF('06_建筑锚点'!A432&lt;&gt;"",IF('06_建筑锚点'!A432="","缺少建筑ID；","")&amp;IF('06_建筑锚点'!B432="","缺少建筑名称；","")&amp;IF('06_建筑锚点'!C432="","缺少建筑类型；","")&amp;IF('06_建筑锚点'!D432="","缺少所属地点ID；","")&amp;IF('06_建筑锚点'!F432="","缺少世界X；","")&amp;IF('06_建筑锚点'!G432="","缺少世界Y；","")&amp;IF(AND('06_建筑锚点'!F432&lt;&gt;"",OR('06_建筑锚点'!F432&lt;0,'06_建筑锚点'!F432&gt;WorldWidth)),"世界X越界；","")&amp;IF(AND('06_建筑锚点'!G432&lt;&gt;"",OR('06_建筑锚点'!G432&lt;0,'06_建筑锚点'!G432&gt;WorldHeight)),"世界Y越界；","")&amp;IF(AND('06_建筑锚点'!D432&lt;&gt;"",COUNTIF('03_地点锚点'!$A$2:$A$501,'06_建筑锚点'!D432)=0),"建筑所属地点不存在；","")&amp;IF(AND('06_建筑锚点'!T432&lt;&gt;"",COUNTIF('07_动态状态'!$A$2:$A$501,'06_建筑锚点'!T432)=0),"运营状态编码不存在；","")&amp;IF(AND('06_建筑锚点'!A432&lt;&gt;"",COUNTIF('06_建筑锚点'!$A$2:$A$501,'06_建筑锚点'!A432)&gt;1),"ID重复；",""),"")</f>
        <v/>
      </c>
      <c r="G2432" s="14">
        <f>IF(F2432&lt;&gt;"","按字段批注、数据字典和来源记录修正后复核","")</f>
        <v/>
      </c>
      <c r="H2432" s="14">
        <f>IF(F2432&lt;&gt;"","待处理","")</f>
        <v/>
      </c>
    </row>
    <row r="2433">
      <c r="A2433" s="14">
        <f>IF(F2433&lt;&gt;"","ISSUE-"&amp;TEXT(ROW()-1,"00000"),"")</f>
        <v/>
      </c>
      <c r="B2433" s="14">
        <f>IF(F2433&lt;&gt;"","错误","")</f>
        <v/>
      </c>
      <c r="C2433" s="14">
        <f>IF('06_建筑锚点'!A433&lt;&gt;"","06_建筑锚点","")</f>
        <v/>
      </c>
      <c r="D2433" s="14">
        <f>IF('06_建筑锚点'!A433&lt;&gt;"",'06_建筑锚点'!A433,"")</f>
        <v/>
      </c>
      <c r="E2433" s="14">
        <f>IF(F2433&lt;&gt;"","综合校验","")</f>
        <v/>
      </c>
      <c r="F2433" s="14">
        <f>IF('06_建筑锚点'!A433&lt;&gt;"",IF('06_建筑锚点'!A433="","缺少建筑ID；","")&amp;IF('06_建筑锚点'!B433="","缺少建筑名称；","")&amp;IF('06_建筑锚点'!C433="","缺少建筑类型；","")&amp;IF('06_建筑锚点'!D433="","缺少所属地点ID；","")&amp;IF('06_建筑锚点'!F433="","缺少世界X；","")&amp;IF('06_建筑锚点'!G433="","缺少世界Y；","")&amp;IF(AND('06_建筑锚点'!F433&lt;&gt;"",OR('06_建筑锚点'!F433&lt;0,'06_建筑锚点'!F433&gt;WorldWidth)),"世界X越界；","")&amp;IF(AND('06_建筑锚点'!G433&lt;&gt;"",OR('06_建筑锚点'!G433&lt;0,'06_建筑锚点'!G433&gt;WorldHeight)),"世界Y越界；","")&amp;IF(AND('06_建筑锚点'!D433&lt;&gt;"",COUNTIF('03_地点锚点'!$A$2:$A$501,'06_建筑锚点'!D433)=0),"建筑所属地点不存在；","")&amp;IF(AND('06_建筑锚点'!T433&lt;&gt;"",COUNTIF('07_动态状态'!$A$2:$A$501,'06_建筑锚点'!T433)=0),"运营状态编码不存在；","")&amp;IF(AND('06_建筑锚点'!A433&lt;&gt;"",COUNTIF('06_建筑锚点'!$A$2:$A$501,'06_建筑锚点'!A433)&gt;1),"ID重复；",""),"")</f>
        <v/>
      </c>
      <c r="G2433" s="14">
        <f>IF(F2433&lt;&gt;"","按字段批注、数据字典和来源记录修正后复核","")</f>
        <v/>
      </c>
      <c r="H2433" s="14">
        <f>IF(F2433&lt;&gt;"","待处理","")</f>
        <v/>
      </c>
    </row>
    <row r="2434">
      <c r="A2434" s="14">
        <f>IF(F2434&lt;&gt;"","ISSUE-"&amp;TEXT(ROW()-1,"00000"),"")</f>
        <v/>
      </c>
      <c r="B2434" s="14">
        <f>IF(F2434&lt;&gt;"","错误","")</f>
        <v/>
      </c>
      <c r="C2434" s="14">
        <f>IF('06_建筑锚点'!A434&lt;&gt;"","06_建筑锚点","")</f>
        <v/>
      </c>
      <c r="D2434" s="14">
        <f>IF('06_建筑锚点'!A434&lt;&gt;"",'06_建筑锚点'!A434,"")</f>
        <v/>
      </c>
      <c r="E2434" s="14">
        <f>IF(F2434&lt;&gt;"","综合校验","")</f>
        <v/>
      </c>
      <c r="F2434" s="14">
        <f>IF('06_建筑锚点'!A434&lt;&gt;"",IF('06_建筑锚点'!A434="","缺少建筑ID；","")&amp;IF('06_建筑锚点'!B434="","缺少建筑名称；","")&amp;IF('06_建筑锚点'!C434="","缺少建筑类型；","")&amp;IF('06_建筑锚点'!D434="","缺少所属地点ID；","")&amp;IF('06_建筑锚点'!F434="","缺少世界X；","")&amp;IF('06_建筑锚点'!G434="","缺少世界Y；","")&amp;IF(AND('06_建筑锚点'!F434&lt;&gt;"",OR('06_建筑锚点'!F434&lt;0,'06_建筑锚点'!F434&gt;WorldWidth)),"世界X越界；","")&amp;IF(AND('06_建筑锚点'!G434&lt;&gt;"",OR('06_建筑锚点'!G434&lt;0,'06_建筑锚点'!G434&gt;WorldHeight)),"世界Y越界；","")&amp;IF(AND('06_建筑锚点'!D434&lt;&gt;"",COUNTIF('03_地点锚点'!$A$2:$A$501,'06_建筑锚点'!D434)=0),"建筑所属地点不存在；","")&amp;IF(AND('06_建筑锚点'!T434&lt;&gt;"",COUNTIF('07_动态状态'!$A$2:$A$501,'06_建筑锚点'!T434)=0),"运营状态编码不存在；","")&amp;IF(AND('06_建筑锚点'!A434&lt;&gt;"",COUNTIF('06_建筑锚点'!$A$2:$A$501,'06_建筑锚点'!A434)&gt;1),"ID重复；",""),"")</f>
        <v/>
      </c>
      <c r="G2434" s="14">
        <f>IF(F2434&lt;&gt;"","按字段批注、数据字典和来源记录修正后复核","")</f>
        <v/>
      </c>
      <c r="H2434" s="14">
        <f>IF(F2434&lt;&gt;"","待处理","")</f>
        <v/>
      </c>
    </row>
    <row r="2435">
      <c r="A2435" s="14">
        <f>IF(F2435&lt;&gt;"","ISSUE-"&amp;TEXT(ROW()-1,"00000"),"")</f>
        <v/>
      </c>
      <c r="B2435" s="14">
        <f>IF(F2435&lt;&gt;"","错误","")</f>
        <v/>
      </c>
      <c r="C2435" s="14">
        <f>IF('06_建筑锚点'!A435&lt;&gt;"","06_建筑锚点","")</f>
        <v/>
      </c>
      <c r="D2435" s="14">
        <f>IF('06_建筑锚点'!A435&lt;&gt;"",'06_建筑锚点'!A435,"")</f>
        <v/>
      </c>
      <c r="E2435" s="14">
        <f>IF(F2435&lt;&gt;"","综合校验","")</f>
        <v/>
      </c>
      <c r="F2435" s="14">
        <f>IF('06_建筑锚点'!A435&lt;&gt;"",IF('06_建筑锚点'!A435="","缺少建筑ID；","")&amp;IF('06_建筑锚点'!B435="","缺少建筑名称；","")&amp;IF('06_建筑锚点'!C435="","缺少建筑类型；","")&amp;IF('06_建筑锚点'!D435="","缺少所属地点ID；","")&amp;IF('06_建筑锚点'!F435="","缺少世界X；","")&amp;IF('06_建筑锚点'!G435="","缺少世界Y；","")&amp;IF(AND('06_建筑锚点'!F435&lt;&gt;"",OR('06_建筑锚点'!F435&lt;0,'06_建筑锚点'!F435&gt;WorldWidth)),"世界X越界；","")&amp;IF(AND('06_建筑锚点'!G435&lt;&gt;"",OR('06_建筑锚点'!G435&lt;0,'06_建筑锚点'!G435&gt;WorldHeight)),"世界Y越界；","")&amp;IF(AND('06_建筑锚点'!D435&lt;&gt;"",COUNTIF('03_地点锚点'!$A$2:$A$501,'06_建筑锚点'!D435)=0),"建筑所属地点不存在；","")&amp;IF(AND('06_建筑锚点'!T435&lt;&gt;"",COUNTIF('07_动态状态'!$A$2:$A$501,'06_建筑锚点'!T435)=0),"运营状态编码不存在；","")&amp;IF(AND('06_建筑锚点'!A435&lt;&gt;"",COUNTIF('06_建筑锚点'!$A$2:$A$501,'06_建筑锚点'!A435)&gt;1),"ID重复；",""),"")</f>
        <v/>
      </c>
      <c r="G2435" s="14">
        <f>IF(F2435&lt;&gt;"","按字段批注、数据字典和来源记录修正后复核","")</f>
        <v/>
      </c>
      <c r="H2435" s="14">
        <f>IF(F2435&lt;&gt;"","待处理","")</f>
        <v/>
      </c>
    </row>
    <row r="2436">
      <c r="A2436" s="14">
        <f>IF(F2436&lt;&gt;"","ISSUE-"&amp;TEXT(ROW()-1,"00000"),"")</f>
        <v/>
      </c>
      <c r="B2436" s="14">
        <f>IF(F2436&lt;&gt;"","错误","")</f>
        <v/>
      </c>
      <c r="C2436" s="14">
        <f>IF('06_建筑锚点'!A436&lt;&gt;"","06_建筑锚点","")</f>
        <v/>
      </c>
      <c r="D2436" s="14">
        <f>IF('06_建筑锚点'!A436&lt;&gt;"",'06_建筑锚点'!A436,"")</f>
        <v/>
      </c>
      <c r="E2436" s="14">
        <f>IF(F2436&lt;&gt;"","综合校验","")</f>
        <v/>
      </c>
      <c r="F2436" s="14">
        <f>IF('06_建筑锚点'!A436&lt;&gt;"",IF('06_建筑锚点'!A436="","缺少建筑ID；","")&amp;IF('06_建筑锚点'!B436="","缺少建筑名称；","")&amp;IF('06_建筑锚点'!C436="","缺少建筑类型；","")&amp;IF('06_建筑锚点'!D436="","缺少所属地点ID；","")&amp;IF('06_建筑锚点'!F436="","缺少世界X；","")&amp;IF('06_建筑锚点'!G436="","缺少世界Y；","")&amp;IF(AND('06_建筑锚点'!F436&lt;&gt;"",OR('06_建筑锚点'!F436&lt;0,'06_建筑锚点'!F436&gt;WorldWidth)),"世界X越界；","")&amp;IF(AND('06_建筑锚点'!G436&lt;&gt;"",OR('06_建筑锚点'!G436&lt;0,'06_建筑锚点'!G436&gt;WorldHeight)),"世界Y越界；","")&amp;IF(AND('06_建筑锚点'!D436&lt;&gt;"",COUNTIF('03_地点锚点'!$A$2:$A$501,'06_建筑锚点'!D436)=0),"建筑所属地点不存在；","")&amp;IF(AND('06_建筑锚点'!T436&lt;&gt;"",COUNTIF('07_动态状态'!$A$2:$A$501,'06_建筑锚点'!T436)=0),"运营状态编码不存在；","")&amp;IF(AND('06_建筑锚点'!A436&lt;&gt;"",COUNTIF('06_建筑锚点'!$A$2:$A$501,'06_建筑锚点'!A436)&gt;1),"ID重复；",""),"")</f>
        <v/>
      </c>
      <c r="G2436" s="14">
        <f>IF(F2436&lt;&gt;"","按字段批注、数据字典和来源记录修正后复核","")</f>
        <v/>
      </c>
      <c r="H2436" s="14">
        <f>IF(F2436&lt;&gt;"","待处理","")</f>
        <v/>
      </c>
    </row>
    <row r="2437">
      <c r="A2437" s="14">
        <f>IF(F2437&lt;&gt;"","ISSUE-"&amp;TEXT(ROW()-1,"00000"),"")</f>
        <v/>
      </c>
      <c r="B2437" s="14">
        <f>IF(F2437&lt;&gt;"","错误","")</f>
        <v/>
      </c>
      <c r="C2437" s="14">
        <f>IF('06_建筑锚点'!A437&lt;&gt;"","06_建筑锚点","")</f>
        <v/>
      </c>
      <c r="D2437" s="14">
        <f>IF('06_建筑锚点'!A437&lt;&gt;"",'06_建筑锚点'!A437,"")</f>
        <v/>
      </c>
      <c r="E2437" s="14">
        <f>IF(F2437&lt;&gt;"","综合校验","")</f>
        <v/>
      </c>
      <c r="F2437" s="14">
        <f>IF('06_建筑锚点'!A437&lt;&gt;"",IF('06_建筑锚点'!A437="","缺少建筑ID；","")&amp;IF('06_建筑锚点'!B437="","缺少建筑名称；","")&amp;IF('06_建筑锚点'!C437="","缺少建筑类型；","")&amp;IF('06_建筑锚点'!D437="","缺少所属地点ID；","")&amp;IF('06_建筑锚点'!F437="","缺少世界X；","")&amp;IF('06_建筑锚点'!G437="","缺少世界Y；","")&amp;IF(AND('06_建筑锚点'!F437&lt;&gt;"",OR('06_建筑锚点'!F437&lt;0,'06_建筑锚点'!F437&gt;WorldWidth)),"世界X越界；","")&amp;IF(AND('06_建筑锚点'!G437&lt;&gt;"",OR('06_建筑锚点'!G437&lt;0,'06_建筑锚点'!G437&gt;WorldHeight)),"世界Y越界；","")&amp;IF(AND('06_建筑锚点'!D437&lt;&gt;"",COUNTIF('03_地点锚点'!$A$2:$A$501,'06_建筑锚点'!D437)=0),"建筑所属地点不存在；","")&amp;IF(AND('06_建筑锚点'!T437&lt;&gt;"",COUNTIF('07_动态状态'!$A$2:$A$501,'06_建筑锚点'!T437)=0),"运营状态编码不存在；","")&amp;IF(AND('06_建筑锚点'!A437&lt;&gt;"",COUNTIF('06_建筑锚点'!$A$2:$A$501,'06_建筑锚点'!A437)&gt;1),"ID重复；",""),"")</f>
        <v/>
      </c>
      <c r="G2437" s="14">
        <f>IF(F2437&lt;&gt;"","按字段批注、数据字典和来源记录修正后复核","")</f>
        <v/>
      </c>
      <c r="H2437" s="14">
        <f>IF(F2437&lt;&gt;"","待处理","")</f>
        <v/>
      </c>
    </row>
    <row r="2438">
      <c r="A2438" s="14">
        <f>IF(F2438&lt;&gt;"","ISSUE-"&amp;TEXT(ROW()-1,"00000"),"")</f>
        <v/>
      </c>
      <c r="B2438" s="14">
        <f>IF(F2438&lt;&gt;"","错误","")</f>
        <v/>
      </c>
      <c r="C2438" s="14">
        <f>IF('06_建筑锚点'!A438&lt;&gt;"","06_建筑锚点","")</f>
        <v/>
      </c>
      <c r="D2438" s="14">
        <f>IF('06_建筑锚点'!A438&lt;&gt;"",'06_建筑锚点'!A438,"")</f>
        <v/>
      </c>
      <c r="E2438" s="14">
        <f>IF(F2438&lt;&gt;"","综合校验","")</f>
        <v/>
      </c>
      <c r="F2438" s="14">
        <f>IF('06_建筑锚点'!A438&lt;&gt;"",IF('06_建筑锚点'!A438="","缺少建筑ID；","")&amp;IF('06_建筑锚点'!B438="","缺少建筑名称；","")&amp;IF('06_建筑锚点'!C438="","缺少建筑类型；","")&amp;IF('06_建筑锚点'!D438="","缺少所属地点ID；","")&amp;IF('06_建筑锚点'!F438="","缺少世界X；","")&amp;IF('06_建筑锚点'!G438="","缺少世界Y；","")&amp;IF(AND('06_建筑锚点'!F438&lt;&gt;"",OR('06_建筑锚点'!F438&lt;0,'06_建筑锚点'!F438&gt;WorldWidth)),"世界X越界；","")&amp;IF(AND('06_建筑锚点'!G438&lt;&gt;"",OR('06_建筑锚点'!G438&lt;0,'06_建筑锚点'!G438&gt;WorldHeight)),"世界Y越界；","")&amp;IF(AND('06_建筑锚点'!D438&lt;&gt;"",COUNTIF('03_地点锚点'!$A$2:$A$501,'06_建筑锚点'!D438)=0),"建筑所属地点不存在；","")&amp;IF(AND('06_建筑锚点'!T438&lt;&gt;"",COUNTIF('07_动态状态'!$A$2:$A$501,'06_建筑锚点'!T438)=0),"运营状态编码不存在；","")&amp;IF(AND('06_建筑锚点'!A438&lt;&gt;"",COUNTIF('06_建筑锚点'!$A$2:$A$501,'06_建筑锚点'!A438)&gt;1),"ID重复；",""),"")</f>
        <v/>
      </c>
      <c r="G2438" s="14">
        <f>IF(F2438&lt;&gt;"","按字段批注、数据字典和来源记录修正后复核","")</f>
        <v/>
      </c>
      <c r="H2438" s="14">
        <f>IF(F2438&lt;&gt;"","待处理","")</f>
        <v/>
      </c>
    </row>
    <row r="2439">
      <c r="A2439" s="14">
        <f>IF(F2439&lt;&gt;"","ISSUE-"&amp;TEXT(ROW()-1,"00000"),"")</f>
        <v/>
      </c>
      <c r="B2439" s="14">
        <f>IF(F2439&lt;&gt;"","错误","")</f>
        <v/>
      </c>
      <c r="C2439" s="14">
        <f>IF('06_建筑锚点'!A439&lt;&gt;"","06_建筑锚点","")</f>
        <v/>
      </c>
      <c r="D2439" s="14">
        <f>IF('06_建筑锚点'!A439&lt;&gt;"",'06_建筑锚点'!A439,"")</f>
        <v/>
      </c>
      <c r="E2439" s="14">
        <f>IF(F2439&lt;&gt;"","综合校验","")</f>
        <v/>
      </c>
      <c r="F2439" s="14">
        <f>IF('06_建筑锚点'!A439&lt;&gt;"",IF('06_建筑锚点'!A439="","缺少建筑ID；","")&amp;IF('06_建筑锚点'!B439="","缺少建筑名称；","")&amp;IF('06_建筑锚点'!C439="","缺少建筑类型；","")&amp;IF('06_建筑锚点'!D439="","缺少所属地点ID；","")&amp;IF('06_建筑锚点'!F439="","缺少世界X；","")&amp;IF('06_建筑锚点'!G439="","缺少世界Y；","")&amp;IF(AND('06_建筑锚点'!F439&lt;&gt;"",OR('06_建筑锚点'!F439&lt;0,'06_建筑锚点'!F439&gt;WorldWidth)),"世界X越界；","")&amp;IF(AND('06_建筑锚点'!G439&lt;&gt;"",OR('06_建筑锚点'!G439&lt;0,'06_建筑锚点'!G439&gt;WorldHeight)),"世界Y越界；","")&amp;IF(AND('06_建筑锚点'!D439&lt;&gt;"",COUNTIF('03_地点锚点'!$A$2:$A$501,'06_建筑锚点'!D439)=0),"建筑所属地点不存在；","")&amp;IF(AND('06_建筑锚点'!T439&lt;&gt;"",COUNTIF('07_动态状态'!$A$2:$A$501,'06_建筑锚点'!T439)=0),"运营状态编码不存在；","")&amp;IF(AND('06_建筑锚点'!A439&lt;&gt;"",COUNTIF('06_建筑锚点'!$A$2:$A$501,'06_建筑锚点'!A439)&gt;1),"ID重复；",""),"")</f>
        <v/>
      </c>
      <c r="G2439" s="14">
        <f>IF(F2439&lt;&gt;"","按字段批注、数据字典和来源记录修正后复核","")</f>
        <v/>
      </c>
      <c r="H2439" s="14">
        <f>IF(F2439&lt;&gt;"","待处理","")</f>
        <v/>
      </c>
    </row>
    <row r="2440">
      <c r="A2440" s="14">
        <f>IF(F2440&lt;&gt;"","ISSUE-"&amp;TEXT(ROW()-1,"00000"),"")</f>
        <v/>
      </c>
      <c r="B2440" s="14">
        <f>IF(F2440&lt;&gt;"","错误","")</f>
        <v/>
      </c>
      <c r="C2440" s="14">
        <f>IF('06_建筑锚点'!A440&lt;&gt;"","06_建筑锚点","")</f>
        <v/>
      </c>
      <c r="D2440" s="14">
        <f>IF('06_建筑锚点'!A440&lt;&gt;"",'06_建筑锚点'!A440,"")</f>
        <v/>
      </c>
      <c r="E2440" s="14">
        <f>IF(F2440&lt;&gt;"","综合校验","")</f>
        <v/>
      </c>
      <c r="F2440" s="14">
        <f>IF('06_建筑锚点'!A440&lt;&gt;"",IF('06_建筑锚点'!A440="","缺少建筑ID；","")&amp;IF('06_建筑锚点'!B440="","缺少建筑名称；","")&amp;IF('06_建筑锚点'!C440="","缺少建筑类型；","")&amp;IF('06_建筑锚点'!D440="","缺少所属地点ID；","")&amp;IF('06_建筑锚点'!F440="","缺少世界X；","")&amp;IF('06_建筑锚点'!G440="","缺少世界Y；","")&amp;IF(AND('06_建筑锚点'!F440&lt;&gt;"",OR('06_建筑锚点'!F440&lt;0,'06_建筑锚点'!F440&gt;WorldWidth)),"世界X越界；","")&amp;IF(AND('06_建筑锚点'!G440&lt;&gt;"",OR('06_建筑锚点'!G440&lt;0,'06_建筑锚点'!G440&gt;WorldHeight)),"世界Y越界；","")&amp;IF(AND('06_建筑锚点'!D440&lt;&gt;"",COUNTIF('03_地点锚点'!$A$2:$A$501,'06_建筑锚点'!D440)=0),"建筑所属地点不存在；","")&amp;IF(AND('06_建筑锚点'!T440&lt;&gt;"",COUNTIF('07_动态状态'!$A$2:$A$501,'06_建筑锚点'!T440)=0),"运营状态编码不存在；","")&amp;IF(AND('06_建筑锚点'!A440&lt;&gt;"",COUNTIF('06_建筑锚点'!$A$2:$A$501,'06_建筑锚点'!A440)&gt;1),"ID重复；",""),"")</f>
        <v/>
      </c>
      <c r="G2440" s="14">
        <f>IF(F2440&lt;&gt;"","按字段批注、数据字典和来源记录修正后复核","")</f>
        <v/>
      </c>
      <c r="H2440" s="14">
        <f>IF(F2440&lt;&gt;"","待处理","")</f>
        <v/>
      </c>
    </row>
    <row r="2441">
      <c r="A2441" s="14">
        <f>IF(F2441&lt;&gt;"","ISSUE-"&amp;TEXT(ROW()-1,"00000"),"")</f>
        <v/>
      </c>
      <c r="B2441" s="14">
        <f>IF(F2441&lt;&gt;"","错误","")</f>
        <v/>
      </c>
      <c r="C2441" s="14">
        <f>IF('06_建筑锚点'!A441&lt;&gt;"","06_建筑锚点","")</f>
        <v/>
      </c>
      <c r="D2441" s="14">
        <f>IF('06_建筑锚点'!A441&lt;&gt;"",'06_建筑锚点'!A441,"")</f>
        <v/>
      </c>
      <c r="E2441" s="14">
        <f>IF(F2441&lt;&gt;"","综合校验","")</f>
        <v/>
      </c>
      <c r="F2441" s="14">
        <f>IF('06_建筑锚点'!A441&lt;&gt;"",IF('06_建筑锚点'!A441="","缺少建筑ID；","")&amp;IF('06_建筑锚点'!B441="","缺少建筑名称；","")&amp;IF('06_建筑锚点'!C441="","缺少建筑类型；","")&amp;IF('06_建筑锚点'!D441="","缺少所属地点ID；","")&amp;IF('06_建筑锚点'!F441="","缺少世界X；","")&amp;IF('06_建筑锚点'!G441="","缺少世界Y；","")&amp;IF(AND('06_建筑锚点'!F441&lt;&gt;"",OR('06_建筑锚点'!F441&lt;0,'06_建筑锚点'!F441&gt;WorldWidth)),"世界X越界；","")&amp;IF(AND('06_建筑锚点'!G441&lt;&gt;"",OR('06_建筑锚点'!G441&lt;0,'06_建筑锚点'!G441&gt;WorldHeight)),"世界Y越界；","")&amp;IF(AND('06_建筑锚点'!D441&lt;&gt;"",COUNTIF('03_地点锚点'!$A$2:$A$501,'06_建筑锚点'!D441)=0),"建筑所属地点不存在；","")&amp;IF(AND('06_建筑锚点'!T441&lt;&gt;"",COUNTIF('07_动态状态'!$A$2:$A$501,'06_建筑锚点'!T441)=0),"运营状态编码不存在；","")&amp;IF(AND('06_建筑锚点'!A441&lt;&gt;"",COUNTIF('06_建筑锚点'!$A$2:$A$501,'06_建筑锚点'!A441)&gt;1),"ID重复；",""),"")</f>
        <v/>
      </c>
      <c r="G2441" s="14">
        <f>IF(F2441&lt;&gt;"","按字段批注、数据字典和来源记录修正后复核","")</f>
        <v/>
      </c>
      <c r="H2441" s="14">
        <f>IF(F2441&lt;&gt;"","待处理","")</f>
        <v/>
      </c>
    </row>
    <row r="2442">
      <c r="A2442" s="14">
        <f>IF(F2442&lt;&gt;"","ISSUE-"&amp;TEXT(ROW()-1,"00000"),"")</f>
        <v/>
      </c>
      <c r="B2442" s="14">
        <f>IF(F2442&lt;&gt;"","错误","")</f>
        <v/>
      </c>
      <c r="C2442" s="14">
        <f>IF('06_建筑锚点'!A442&lt;&gt;"","06_建筑锚点","")</f>
        <v/>
      </c>
      <c r="D2442" s="14">
        <f>IF('06_建筑锚点'!A442&lt;&gt;"",'06_建筑锚点'!A442,"")</f>
        <v/>
      </c>
      <c r="E2442" s="14">
        <f>IF(F2442&lt;&gt;"","综合校验","")</f>
        <v/>
      </c>
      <c r="F2442" s="14">
        <f>IF('06_建筑锚点'!A442&lt;&gt;"",IF('06_建筑锚点'!A442="","缺少建筑ID；","")&amp;IF('06_建筑锚点'!B442="","缺少建筑名称；","")&amp;IF('06_建筑锚点'!C442="","缺少建筑类型；","")&amp;IF('06_建筑锚点'!D442="","缺少所属地点ID；","")&amp;IF('06_建筑锚点'!F442="","缺少世界X；","")&amp;IF('06_建筑锚点'!G442="","缺少世界Y；","")&amp;IF(AND('06_建筑锚点'!F442&lt;&gt;"",OR('06_建筑锚点'!F442&lt;0,'06_建筑锚点'!F442&gt;WorldWidth)),"世界X越界；","")&amp;IF(AND('06_建筑锚点'!G442&lt;&gt;"",OR('06_建筑锚点'!G442&lt;0,'06_建筑锚点'!G442&gt;WorldHeight)),"世界Y越界；","")&amp;IF(AND('06_建筑锚点'!D442&lt;&gt;"",COUNTIF('03_地点锚点'!$A$2:$A$501,'06_建筑锚点'!D442)=0),"建筑所属地点不存在；","")&amp;IF(AND('06_建筑锚点'!T442&lt;&gt;"",COUNTIF('07_动态状态'!$A$2:$A$501,'06_建筑锚点'!T442)=0),"运营状态编码不存在；","")&amp;IF(AND('06_建筑锚点'!A442&lt;&gt;"",COUNTIF('06_建筑锚点'!$A$2:$A$501,'06_建筑锚点'!A442)&gt;1),"ID重复；",""),"")</f>
        <v/>
      </c>
      <c r="G2442" s="14">
        <f>IF(F2442&lt;&gt;"","按字段批注、数据字典和来源记录修正后复核","")</f>
        <v/>
      </c>
      <c r="H2442" s="14">
        <f>IF(F2442&lt;&gt;"","待处理","")</f>
        <v/>
      </c>
    </row>
    <row r="2443">
      <c r="A2443" s="14">
        <f>IF(F2443&lt;&gt;"","ISSUE-"&amp;TEXT(ROW()-1,"00000"),"")</f>
        <v/>
      </c>
      <c r="B2443" s="14">
        <f>IF(F2443&lt;&gt;"","错误","")</f>
        <v/>
      </c>
      <c r="C2443" s="14">
        <f>IF('06_建筑锚点'!A443&lt;&gt;"","06_建筑锚点","")</f>
        <v/>
      </c>
      <c r="D2443" s="14">
        <f>IF('06_建筑锚点'!A443&lt;&gt;"",'06_建筑锚点'!A443,"")</f>
        <v/>
      </c>
      <c r="E2443" s="14">
        <f>IF(F2443&lt;&gt;"","综合校验","")</f>
        <v/>
      </c>
      <c r="F2443" s="14">
        <f>IF('06_建筑锚点'!A443&lt;&gt;"",IF('06_建筑锚点'!A443="","缺少建筑ID；","")&amp;IF('06_建筑锚点'!B443="","缺少建筑名称；","")&amp;IF('06_建筑锚点'!C443="","缺少建筑类型；","")&amp;IF('06_建筑锚点'!D443="","缺少所属地点ID；","")&amp;IF('06_建筑锚点'!F443="","缺少世界X；","")&amp;IF('06_建筑锚点'!G443="","缺少世界Y；","")&amp;IF(AND('06_建筑锚点'!F443&lt;&gt;"",OR('06_建筑锚点'!F443&lt;0,'06_建筑锚点'!F443&gt;WorldWidth)),"世界X越界；","")&amp;IF(AND('06_建筑锚点'!G443&lt;&gt;"",OR('06_建筑锚点'!G443&lt;0,'06_建筑锚点'!G443&gt;WorldHeight)),"世界Y越界；","")&amp;IF(AND('06_建筑锚点'!D443&lt;&gt;"",COUNTIF('03_地点锚点'!$A$2:$A$501,'06_建筑锚点'!D443)=0),"建筑所属地点不存在；","")&amp;IF(AND('06_建筑锚点'!T443&lt;&gt;"",COUNTIF('07_动态状态'!$A$2:$A$501,'06_建筑锚点'!T443)=0),"运营状态编码不存在；","")&amp;IF(AND('06_建筑锚点'!A443&lt;&gt;"",COUNTIF('06_建筑锚点'!$A$2:$A$501,'06_建筑锚点'!A443)&gt;1),"ID重复；",""),"")</f>
        <v/>
      </c>
      <c r="G2443" s="14">
        <f>IF(F2443&lt;&gt;"","按字段批注、数据字典和来源记录修正后复核","")</f>
        <v/>
      </c>
      <c r="H2443" s="14">
        <f>IF(F2443&lt;&gt;"","待处理","")</f>
        <v/>
      </c>
    </row>
    <row r="2444">
      <c r="A2444" s="14">
        <f>IF(F2444&lt;&gt;"","ISSUE-"&amp;TEXT(ROW()-1,"00000"),"")</f>
        <v/>
      </c>
      <c r="B2444" s="14">
        <f>IF(F2444&lt;&gt;"","错误","")</f>
        <v/>
      </c>
      <c r="C2444" s="14">
        <f>IF('06_建筑锚点'!A444&lt;&gt;"","06_建筑锚点","")</f>
        <v/>
      </c>
      <c r="D2444" s="14">
        <f>IF('06_建筑锚点'!A444&lt;&gt;"",'06_建筑锚点'!A444,"")</f>
        <v/>
      </c>
      <c r="E2444" s="14">
        <f>IF(F2444&lt;&gt;"","综合校验","")</f>
        <v/>
      </c>
      <c r="F2444" s="14">
        <f>IF('06_建筑锚点'!A444&lt;&gt;"",IF('06_建筑锚点'!A444="","缺少建筑ID；","")&amp;IF('06_建筑锚点'!B444="","缺少建筑名称；","")&amp;IF('06_建筑锚点'!C444="","缺少建筑类型；","")&amp;IF('06_建筑锚点'!D444="","缺少所属地点ID；","")&amp;IF('06_建筑锚点'!F444="","缺少世界X；","")&amp;IF('06_建筑锚点'!G444="","缺少世界Y；","")&amp;IF(AND('06_建筑锚点'!F444&lt;&gt;"",OR('06_建筑锚点'!F444&lt;0,'06_建筑锚点'!F444&gt;WorldWidth)),"世界X越界；","")&amp;IF(AND('06_建筑锚点'!G444&lt;&gt;"",OR('06_建筑锚点'!G444&lt;0,'06_建筑锚点'!G444&gt;WorldHeight)),"世界Y越界；","")&amp;IF(AND('06_建筑锚点'!D444&lt;&gt;"",COUNTIF('03_地点锚点'!$A$2:$A$501,'06_建筑锚点'!D444)=0),"建筑所属地点不存在；","")&amp;IF(AND('06_建筑锚点'!T444&lt;&gt;"",COUNTIF('07_动态状态'!$A$2:$A$501,'06_建筑锚点'!T444)=0),"运营状态编码不存在；","")&amp;IF(AND('06_建筑锚点'!A444&lt;&gt;"",COUNTIF('06_建筑锚点'!$A$2:$A$501,'06_建筑锚点'!A444)&gt;1),"ID重复；",""),"")</f>
        <v/>
      </c>
      <c r="G2444" s="14">
        <f>IF(F2444&lt;&gt;"","按字段批注、数据字典和来源记录修正后复核","")</f>
        <v/>
      </c>
      <c r="H2444" s="14">
        <f>IF(F2444&lt;&gt;"","待处理","")</f>
        <v/>
      </c>
    </row>
    <row r="2445">
      <c r="A2445" s="14">
        <f>IF(F2445&lt;&gt;"","ISSUE-"&amp;TEXT(ROW()-1,"00000"),"")</f>
        <v/>
      </c>
      <c r="B2445" s="14">
        <f>IF(F2445&lt;&gt;"","错误","")</f>
        <v/>
      </c>
      <c r="C2445" s="14">
        <f>IF('06_建筑锚点'!A445&lt;&gt;"","06_建筑锚点","")</f>
        <v/>
      </c>
      <c r="D2445" s="14">
        <f>IF('06_建筑锚点'!A445&lt;&gt;"",'06_建筑锚点'!A445,"")</f>
        <v/>
      </c>
      <c r="E2445" s="14">
        <f>IF(F2445&lt;&gt;"","综合校验","")</f>
        <v/>
      </c>
      <c r="F2445" s="14">
        <f>IF('06_建筑锚点'!A445&lt;&gt;"",IF('06_建筑锚点'!A445="","缺少建筑ID；","")&amp;IF('06_建筑锚点'!B445="","缺少建筑名称；","")&amp;IF('06_建筑锚点'!C445="","缺少建筑类型；","")&amp;IF('06_建筑锚点'!D445="","缺少所属地点ID；","")&amp;IF('06_建筑锚点'!F445="","缺少世界X；","")&amp;IF('06_建筑锚点'!G445="","缺少世界Y；","")&amp;IF(AND('06_建筑锚点'!F445&lt;&gt;"",OR('06_建筑锚点'!F445&lt;0,'06_建筑锚点'!F445&gt;WorldWidth)),"世界X越界；","")&amp;IF(AND('06_建筑锚点'!G445&lt;&gt;"",OR('06_建筑锚点'!G445&lt;0,'06_建筑锚点'!G445&gt;WorldHeight)),"世界Y越界；","")&amp;IF(AND('06_建筑锚点'!D445&lt;&gt;"",COUNTIF('03_地点锚点'!$A$2:$A$501,'06_建筑锚点'!D445)=0),"建筑所属地点不存在；","")&amp;IF(AND('06_建筑锚点'!T445&lt;&gt;"",COUNTIF('07_动态状态'!$A$2:$A$501,'06_建筑锚点'!T445)=0),"运营状态编码不存在；","")&amp;IF(AND('06_建筑锚点'!A445&lt;&gt;"",COUNTIF('06_建筑锚点'!$A$2:$A$501,'06_建筑锚点'!A445)&gt;1),"ID重复；",""),"")</f>
        <v/>
      </c>
      <c r="G2445" s="14">
        <f>IF(F2445&lt;&gt;"","按字段批注、数据字典和来源记录修正后复核","")</f>
        <v/>
      </c>
      <c r="H2445" s="14">
        <f>IF(F2445&lt;&gt;"","待处理","")</f>
        <v/>
      </c>
    </row>
    <row r="2446">
      <c r="A2446" s="14">
        <f>IF(F2446&lt;&gt;"","ISSUE-"&amp;TEXT(ROW()-1,"00000"),"")</f>
        <v/>
      </c>
      <c r="B2446" s="14">
        <f>IF(F2446&lt;&gt;"","错误","")</f>
        <v/>
      </c>
      <c r="C2446" s="14">
        <f>IF('06_建筑锚点'!A446&lt;&gt;"","06_建筑锚点","")</f>
        <v/>
      </c>
      <c r="D2446" s="14">
        <f>IF('06_建筑锚点'!A446&lt;&gt;"",'06_建筑锚点'!A446,"")</f>
        <v/>
      </c>
      <c r="E2446" s="14">
        <f>IF(F2446&lt;&gt;"","综合校验","")</f>
        <v/>
      </c>
      <c r="F2446" s="14">
        <f>IF('06_建筑锚点'!A446&lt;&gt;"",IF('06_建筑锚点'!A446="","缺少建筑ID；","")&amp;IF('06_建筑锚点'!B446="","缺少建筑名称；","")&amp;IF('06_建筑锚点'!C446="","缺少建筑类型；","")&amp;IF('06_建筑锚点'!D446="","缺少所属地点ID；","")&amp;IF('06_建筑锚点'!F446="","缺少世界X；","")&amp;IF('06_建筑锚点'!G446="","缺少世界Y；","")&amp;IF(AND('06_建筑锚点'!F446&lt;&gt;"",OR('06_建筑锚点'!F446&lt;0,'06_建筑锚点'!F446&gt;WorldWidth)),"世界X越界；","")&amp;IF(AND('06_建筑锚点'!G446&lt;&gt;"",OR('06_建筑锚点'!G446&lt;0,'06_建筑锚点'!G446&gt;WorldHeight)),"世界Y越界；","")&amp;IF(AND('06_建筑锚点'!D446&lt;&gt;"",COUNTIF('03_地点锚点'!$A$2:$A$501,'06_建筑锚点'!D446)=0),"建筑所属地点不存在；","")&amp;IF(AND('06_建筑锚点'!T446&lt;&gt;"",COUNTIF('07_动态状态'!$A$2:$A$501,'06_建筑锚点'!T446)=0),"运营状态编码不存在；","")&amp;IF(AND('06_建筑锚点'!A446&lt;&gt;"",COUNTIF('06_建筑锚点'!$A$2:$A$501,'06_建筑锚点'!A446)&gt;1),"ID重复；",""),"")</f>
        <v/>
      </c>
      <c r="G2446" s="14">
        <f>IF(F2446&lt;&gt;"","按字段批注、数据字典和来源记录修正后复核","")</f>
        <v/>
      </c>
      <c r="H2446" s="14">
        <f>IF(F2446&lt;&gt;"","待处理","")</f>
        <v/>
      </c>
    </row>
    <row r="2447">
      <c r="A2447" s="14">
        <f>IF(F2447&lt;&gt;"","ISSUE-"&amp;TEXT(ROW()-1,"00000"),"")</f>
        <v/>
      </c>
      <c r="B2447" s="14">
        <f>IF(F2447&lt;&gt;"","错误","")</f>
        <v/>
      </c>
      <c r="C2447" s="14">
        <f>IF('06_建筑锚点'!A447&lt;&gt;"","06_建筑锚点","")</f>
        <v/>
      </c>
      <c r="D2447" s="14">
        <f>IF('06_建筑锚点'!A447&lt;&gt;"",'06_建筑锚点'!A447,"")</f>
        <v/>
      </c>
      <c r="E2447" s="14">
        <f>IF(F2447&lt;&gt;"","综合校验","")</f>
        <v/>
      </c>
      <c r="F2447" s="14">
        <f>IF('06_建筑锚点'!A447&lt;&gt;"",IF('06_建筑锚点'!A447="","缺少建筑ID；","")&amp;IF('06_建筑锚点'!B447="","缺少建筑名称；","")&amp;IF('06_建筑锚点'!C447="","缺少建筑类型；","")&amp;IF('06_建筑锚点'!D447="","缺少所属地点ID；","")&amp;IF('06_建筑锚点'!F447="","缺少世界X；","")&amp;IF('06_建筑锚点'!G447="","缺少世界Y；","")&amp;IF(AND('06_建筑锚点'!F447&lt;&gt;"",OR('06_建筑锚点'!F447&lt;0,'06_建筑锚点'!F447&gt;WorldWidth)),"世界X越界；","")&amp;IF(AND('06_建筑锚点'!G447&lt;&gt;"",OR('06_建筑锚点'!G447&lt;0,'06_建筑锚点'!G447&gt;WorldHeight)),"世界Y越界；","")&amp;IF(AND('06_建筑锚点'!D447&lt;&gt;"",COUNTIF('03_地点锚点'!$A$2:$A$501,'06_建筑锚点'!D447)=0),"建筑所属地点不存在；","")&amp;IF(AND('06_建筑锚点'!T447&lt;&gt;"",COUNTIF('07_动态状态'!$A$2:$A$501,'06_建筑锚点'!T447)=0),"运营状态编码不存在；","")&amp;IF(AND('06_建筑锚点'!A447&lt;&gt;"",COUNTIF('06_建筑锚点'!$A$2:$A$501,'06_建筑锚点'!A447)&gt;1),"ID重复；",""),"")</f>
        <v/>
      </c>
      <c r="G2447" s="14">
        <f>IF(F2447&lt;&gt;"","按字段批注、数据字典和来源记录修正后复核","")</f>
        <v/>
      </c>
      <c r="H2447" s="14">
        <f>IF(F2447&lt;&gt;"","待处理","")</f>
        <v/>
      </c>
    </row>
    <row r="2448">
      <c r="A2448" s="14">
        <f>IF(F2448&lt;&gt;"","ISSUE-"&amp;TEXT(ROW()-1,"00000"),"")</f>
        <v/>
      </c>
      <c r="B2448" s="14">
        <f>IF(F2448&lt;&gt;"","错误","")</f>
        <v/>
      </c>
      <c r="C2448" s="14">
        <f>IF('06_建筑锚点'!A448&lt;&gt;"","06_建筑锚点","")</f>
        <v/>
      </c>
      <c r="D2448" s="14">
        <f>IF('06_建筑锚点'!A448&lt;&gt;"",'06_建筑锚点'!A448,"")</f>
        <v/>
      </c>
      <c r="E2448" s="14">
        <f>IF(F2448&lt;&gt;"","综合校验","")</f>
        <v/>
      </c>
      <c r="F2448" s="14">
        <f>IF('06_建筑锚点'!A448&lt;&gt;"",IF('06_建筑锚点'!A448="","缺少建筑ID；","")&amp;IF('06_建筑锚点'!B448="","缺少建筑名称；","")&amp;IF('06_建筑锚点'!C448="","缺少建筑类型；","")&amp;IF('06_建筑锚点'!D448="","缺少所属地点ID；","")&amp;IF('06_建筑锚点'!F448="","缺少世界X；","")&amp;IF('06_建筑锚点'!G448="","缺少世界Y；","")&amp;IF(AND('06_建筑锚点'!F448&lt;&gt;"",OR('06_建筑锚点'!F448&lt;0,'06_建筑锚点'!F448&gt;WorldWidth)),"世界X越界；","")&amp;IF(AND('06_建筑锚点'!G448&lt;&gt;"",OR('06_建筑锚点'!G448&lt;0,'06_建筑锚点'!G448&gt;WorldHeight)),"世界Y越界；","")&amp;IF(AND('06_建筑锚点'!D448&lt;&gt;"",COUNTIF('03_地点锚点'!$A$2:$A$501,'06_建筑锚点'!D448)=0),"建筑所属地点不存在；","")&amp;IF(AND('06_建筑锚点'!T448&lt;&gt;"",COUNTIF('07_动态状态'!$A$2:$A$501,'06_建筑锚点'!T448)=0),"运营状态编码不存在；","")&amp;IF(AND('06_建筑锚点'!A448&lt;&gt;"",COUNTIF('06_建筑锚点'!$A$2:$A$501,'06_建筑锚点'!A448)&gt;1),"ID重复；",""),"")</f>
        <v/>
      </c>
      <c r="G2448" s="14">
        <f>IF(F2448&lt;&gt;"","按字段批注、数据字典和来源记录修正后复核","")</f>
        <v/>
      </c>
      <c r="H2448" s="14">
        <f>IF(F2448&lt;&gt;"","待处理","")</f>
        <v/>
      </c>
    </row>
    <row r="2449">
      <c r="A2449" s="14">
        <f>IF(F2449&lt;&gt;"","ISSUE-"&amp;TEXT(ROW()-1,"00000"),"")</f>
        <v/>
      </c>
      <c r="B2449" s="14">
        <f>IF(F2449&lt;&gt;"","错误","")</f>
        <v/>
      </c>
      <c r="C2449" s="14">
        <f>IF('06_建筑锚点'!A449&lt;&gt;"","06_建筑锚点","")</f>
        <v/>
      </c>
      <c r="D2449" s="14">
        <f>IF('06_建筑锚点'!A449&lt;&gt;"",'06_建筑锚点'!A449,"")</f>
        <v/>
      </c>
      <c r="E2449" s="14">
        <f>IF(F2449&lt;&gt;"","综合校验","")</f>
        <v/>
      </c>
      <c r="F2449" s="14">
        <f>IF('06_建筑锚点'!A449&lt;&gt;"",IF('06_建筑锚点'!A449="","缺少建筑ID；","")&amp;IF('06_建筑锚点'!B449="","缺少建筑名称；","")&amp;IF('06_建筑锚点'!C449="","缺少建筑类型；","")&amp;IF('06_建筑锚点'!D449="","缺少所属地点ID；","")&amp;IF('06_建筑锚点'!F449="","缺少世界X；","")&amp;IF('06_建筑锚点'!G449="","缺少世界Y；","")&amp;IF(AND('06_建筑锚点'!F449&lt;&gt;"",OR('06_建筑锚点'!F449&lt;0,'06_建筑锚点'!F449&gt;WorldWidth)),"世界X越界；","")&amp;IF(AND('06_建筑锚点'!G449&lt;&gt;"",OR('06_建筑锚点'!G449&lt;0,'06_建筑锚点'!G449&gt;WorldHeight)),"世界Y越界；","")&amp;IF(AND('06_建筑锚点'!D449&lt;&gt;"",COUNTIF('03_地点锚点'!$A$2:$A$501,'06_建筑锚点'!D449)=0),"建筑所属地点不存在；","")&amp;IF(AND('06_建筑锚点'!T449&lt;&gt;"",COUNTIF('07_动态状态'!$A$2:$A$501,'06_建筑锚点'!T449)=0),"运营状态编码不存在；","")&amp;IF(AND('06_建筑锚点'!A449&lt;&gt;"",COUNTIF('06_建筑锚点'!$A$2:$A$501,'06_建筑锚点'!A449)&gt;1),"ID重复；",""),"")</f>
        <v/>
      </c>
      <c r="G2449" s="14">
        <f>IF(F2449&lt;&gt;"","按字段批注、数据字典和来源记录修正后复核","")</f>
        <v/>
      </c>
      <c r="H2449" s="14">
        <f>IF(F2449&lt;&gt;"","待处理","")</f>
        <v/>
      </c>
    </row>
    <row r="2450">
      <c r="A2450" s="14">
        <f>IF(F2450&lt;&gt;"","ISSUE-"&amp;TEXT(ROW()-1,"00000"),"")</f>
        <v/>
      </c>
      <c r="B2450" s="14">
        <f>IF(F2450&lt;&gt;"","错误","")</f>
        <v/>
      </c>
      <c r="C2450" s="14">
        <f>IF('06_建筑锚点'!A450&lt;&gt;"","06_建筑锚点","")</f>
        <v/>
      </c>
      <c r="D2450" s="14">
        <f>IF('06_建筑锚点'!A450&lt;&gt;"",'06_建筑锚点'!A450,"")</f>
        <v/>
      </c>
      <c r="E2450" s="14">
        <f>IF(F2450&lt;&gt;"","综合校验","")</f>
        <v/>
      </c>
      <c r="F2450" s="14">
        <f>IF('06_建筑锚点'!A450&lt;&gt;"",IF('06_建筑锚点'!A450="","缺少建筑ID；","")&amp;IF('06_建筑锚点'!B450="","缺少建筑名称；","")&amp;IF('06_建筑锚点'!C450="","缺少建筑类型；","")&amp;IF('06_建筑锚点'!D450="","缺少所属地点ID；","")&amp;IF('06_建筑锚点'!F450="","缺少世界X；","")&amp;IF('06_建筑锚点'!G450="","缺少世界Y；","")&amp;IF(AND('06_建筑锚点'!F450&lt;&gt;"",OR('06_建筑锚点'!F450&lt;0,'06_建筑锚点'!F450&gt;WorldWidth)),"世界X越界；","")&amp;IF(AND('06_建筑锚点'!G450&lt;&gt;"",OR('06_建筑锚点'!G450&lt;0,'06_建筑锚点'!G450&gt;WorldHeight)),"世界Y越界；","")&amp;IF(AND('06_建筑锚点'!D450&lt;&gt;"",COUNTIF('03_地点锚点'!$A$2:$A$501,'06_建筑锚点'!D450)=0),"建筑所属地点不存在；","")&amp;IF(AND('06_建筑锚点'!T450&lt;&gt;"",COUNTIF('07_动态状态'!$A$2:$A$501,'06_建筑锚点'!T450)=0),"运营状态编码不存在；","")&amp;IF(AND('06_建筑锚点'!A450&lt;&gt;"",COUNTIF('06_建筑锚点'!$A$2:$A$501,'06_建筑锚点'!A450)&gt;1),"ID重复；",""),"")</f>
        <v/>
      </c>
      <c r="G2450" s="14">
        <f>IF(F2450&lt;&gt;"","按字段批注、数据字典和来源记录修正后复核","")</f>
        <v/>
      </c>
      <c r="H2450" s="14">
        <f>IF(F2450&lt;&gt;"","待处理","")</f>
        <v/>
      </c>
    </row>
    <row r="2451">
      <c r="A2451" s="14">
        <f>IF(F2451&lt;&gt;"","ISSUE-"&amp;TEXT(ROW()-1,"00000"),"")</f>
        <v/>
      </c>
      <c r="B2451" s="14">
        <f>IF(F2451&lt;&gt;"","错误","")</f>
        <v/>
      </c>
      <c r="C2451" s="14">
        <f>IF('06_建筑锚点'!A451&lt;&gt;"","06_建筑锚点","")</f>
        <v/>
      </c>
      <c r="D2451" s="14">
        <f>IF('06_建筑锚点'!A451&lt;&gt;"",'06_建筑锚点'!A451,"")</f>
        <v/>
      </c>
      <c r="E2451" s="14">
        <f>IF(F2451&lt;&gt;"","综合校验","")</f>
        <v/>
      </c>
      <c r="F2451" s="14">
        <f>IF('06_建筑锚点'!A451&lt;&gt;"",IF('06_建筑锚点'!A451="","缺少建筑ID；","")&amp;IF('06_建筑锚点'!B451="","缺少建筑名称；","")&amp;IF('06_建筑锚点'!C451="","缺少建筑类型；","")&amp;IF('06_建筑锚点'!D451="","缺少所属地点ID；","")&amp;IF('06_建筑锚点'!F451="","缺少世界X；","")&amp;IF('06_建筑锚点'!G451="","缺少世界Y；","")&amp;IF(AND('06_建筑锚点'!F451&lt;&gt;"",OR('06_建筑锚点'!F451&lt;0,'06_建筑锚点'!F451&gt;WorldWidth)),"世界X越界；","")&amp;IF(AND('06_建筑锚点'!G451&lt;&gt;"",OR('06_建筑锚点'!G451&lt;0,'06_建筑锚点'!G451&gt;WorldHeight)),"世界Y越界；","")&amp;IF(AND('06_建筑锚点'!D451&lt;&gt;"",COUNTIF('03_地点锚点'!$A$2:$A$501,'06_建筑锚点'!D451)=0),"建筑所属地点不存在；","")&amp;IF(AND('06_建筑锚点'!T451&lt;&gt;"",COUNTIF('07_动态状态'!$A$2:$A$501,'06_建筑锚点'!T451)=0),"运营状态编码不存在；","")&amp;IF(AND('06_建筑锚点'!A451&lt;&gt;"",COUNTIF('06_建筑锚点'!$A$2:$A$501,'06_建筑锚点'!A451)&gt;1),"ID重复；",""),"")</f>
        <v/>
      </c>
      <c r="G2451" s="14">
        <f>IF(F2451&lt;&gt;"","按字段批注、数据字典和来源记录修正后复核","")</f>
        <v/>
      </c>
      <c r="H2451" s="14">
        <f>IF(F2451&lt;&gt;"","待处理","")</f>
        <v/>
      </c>
    </row>
    <row r="2452">
      <c r="A2452" s="14">
        <f>IF(F2452&lt;&gt;"","ISSUE-"&amp;TEXT(ROW()-1,"00000"),"")</f>
        <v/>
      </c>
      <c r="B2452" s="14">
        <f>IF(F2452&lt;&gt;"","错误","")</f>
        <v/>
      </c>
      <c r="C2452" s="14">
        <f>IF('06_建筑锚点'!A452&lt;&gt;"","06_建筑锚点","")</f>
        <v/>
      </c>
      <c r="D2452" s="14">
        <f>IF('06_建筑锚点'!A452&lt;&gt;"",'06_建筑锚点'!A452,"")</f>
        <v/>
      </c>
      <c r="E2452" s="14">
        <f>IF(F2452&lt;&gt;"","综合校验","")</f>
        <v/>
      </c>
      <c r="F2452" s="14">
        <f>IF('06_建筑锚点'!A452&lt;&gt;"",IF('06_建筑锚点'!A452="","缺少建筑ID；","")&amp;IF('06_建筑锚点'!B452="","缺少建筑名称；","")&amp;IF('06_建筑锚点'!C452="","缺少建筑类型；","")&amp;IF('06_建筑锚点'!D452="","缺少所属地点ID；","")&amp;IF('06_建筑锚点'!F452="","缺少世界X；","")&amp;IF('06_建筑锚点'!G452="","缺少世界Y；","")&amp;IF(AND('06_建筑锚点'!F452&lt;&gt;"",OR('06_建筑锚点'!F452&lt;0,'06_建筑锚点'!F452&gt;WorldWidth)),"世界X越界；","")&amp;IF(AND('06_建筑锚点'!G452&lt;&gt;"",OR('06_建筑锚点'!G452&lt;0,'06_建筑锚点'!G452&gt;WorldHeight)),"世界Y越界；","")&amp;IF(AND('06_建筑锚点'!D452&lt;&gt;"",COUNTIF('03_地点锚点'!$A$2:$A$501,'06_建筑锚点'!D452)=0),"建筑所属地点不存在；","")&amp;IF(AND('06_建筑锚点'!T452&lt;&gt;"",COUNTIF('07_动态状态'!$A$2:$A$501,'06_建筑锚点'!T452)=0),"运营状态编码不存在；","")&amp;IF(AND('06_建筑锚点'!A452&lt;&gt;"",COUNTIF('06_建筑锚点'!$A$2:$A$501,'06_建筑锚点'!A452)&gt;1),"ID重复；",""),"")</f>
        <v/>
      </c>
      <c r="G2452" s="14">
        <f>IF(F2452&lt;&gt;"","按字段批注、数据字典和来源记录修正后复核","")</f>
        <v/>
      </c>
      <c r="H2452" s="14">
        <f>IF(F2452&lt;&gt;"","待处理","")</f>
        <v/>
      </c>
    </row>
    <row r="2453">
      <c r="A2453" s="14">
        <f>IF(F2453&lt;&gt;"","ISSUE-"&amp;TEXT(ROW()-1,"00000"),"")</f>
        <v/>
      </c>
      <c r="B2453" s="14">
        <f>IF(F2453&lt;&gt;"","错误","")</f>
        <v/>
      </c>
      <c r="C2453" s="14">
        <f>IF('06_建筑锚点'!A453&lt;&gt;"","06_建筑锚点","")</f>
        <v/>
      </c>
      <c r="D2453" s="14">
        <f>IF('06_建筑锚点'!A453&lt;&gt;"",'06_建筑锚点'!A453,"")</f>
        <v/>
      </c>
      <c r="E2453" s="14">
        <f>IF(F2453&lt;&gt;"","综合校验","")</f>
        <v/>
      </c>
      <c r="F2453" s="14">
        <f>IF('06_建筑锚点'!A453&lt;&gt;"",IF('06_建筑锚点'!A453="","缺少建筑ID；","")&amp;IF('06_建筑锚点'!B453="","缺少建筑名称；","")&amp;IF('06_建筑锚点'!C453="","缺少建筑类型；","")&amp;IF('06_建筑锚点'!D453="","缺少所属地点ID；","")&amp;IF('06_建筑锚点'!F453="","缺少世界X；","")&amp;IF('06_建筑锚点'!G453="","缺少世界Y；","")&amp;IF(AND('06_建筑锚点'!F453&lt;&gt;"",OR('06_建筑锚点'!F453&lt;0,'06_建筑锚点'!F453&gt;WorldWidth)),"世界X越界；","")&amp;IF(AND('06_建筑锚点'!G453&lt;&gt;"",OR('06_建筑锚点'!G453&lt;0,'06_建筑锚点'!G453&gt;WorldHeight)),"世界Y越界；","")&amp;IF(AND('06_建筑锚点'!D453&lt;&gt;"",COUNTIF('03_地点锚点'!$A$2:$A$501,'06_建筑锚点'!D453)=0),"建筑所属地点不存在；","")&amp;IF(AND('06_建筑锚点'!T453&lt;&gt;"",COUNTIF('07_动态状态'!$A$2:$A$501,'06_建筑锚点'!T453)=0),"运营状态编码不存在；","")&amp;IF(AND('06_建筑锚点'!A453&lt;&gt;"",COUNTIF('06_建筑锚点'!$A$2:$A$501,'06_建筑锚点'!A453)&gt;1),"ID重复；",""),"")</f>
        <v/>
      </c>
      <c r="G2453" s="14">
        <f>IF(F2453&lt;&gt;"","按字段批注、数据字典和来源记录修正后复核","")</f>
        <v/>
      </c>
      <c r="H2453" s="14">
        <f>IF(F2453&lt;&gt;"","待处理","")</f>
        <v/>
      </c>
    </row>
    <row r="2454">
      <c r="A2454" s="14">
        <f>IF(F2454&lt;&gt;"","ISSUE-"&amp;TEXT(ROW()-1,"00000"),"")</f>
        <v/>
      </c>
      <c r="B2454" s="14">
        <f>IF(F2454&lt;&gt;"","错误","")</f>
        <v/>
      </c>
      <c r="C2454" s="14">
        <f>IF('06_建筑锚点'!A454&lt;&gt;"","06_建筑锚点","")</f>
        <v/>
      </c>
      <c r="D2454" s="14">
        <f>IF('06_建筑锚点'!A454&lt;&gt;"",'06_建筑锚点'!A454,"")</f>
        <v/>
      </c>
      <c r="E2454" s="14">
        <f>IF(F2454&lt;&gt;"","综合校验","")</f>
        <v/>
      </c>
      <c r="F2454" s="14">
        <f>IF('06_建筑锚点'!A454&lt;&gt;"",IF('06_建筑锚点'!A454="","缺少建筑ID；","")&amp;IF('06_建筑锚点'!B454="","缺少建筑名称；","")&amp;IF('06_建筑锚点'!C454="","缺少建筑类型；","")&amp;IF('06_建筑锚点'!D454="","缺少所属地点ID；","")&amp;IF('06_建筑锚点'!F454="","缺少世界X；","")&amp;IF('06_建筑锚点'!G454="","缺少世界Y；","")&amp;IF(AND('06_建筑锚点'!F454&lt;&gt;"",OR('06_建筑锚点'!F454&lt;0,'06_建筑锚点'!F454&gt;WorldWidth)),"世界X越界；","")&amp;IF(AND('06_建筑锚点'!G454&lt;&gt;"",OR('06_建筑锚点'!G454&lt;0,'06_建筑锚点'!G454&gt;WorldHeight)),"世界Y越界；","")&amp;IF(AND('06_建筑锚点'!D454&lt;&gt;"",COUNTIF('03_地点锚点'!$A$2:$A$501,'06_建筑锚点'!D454)=0),"建筑所属地点不存在；","")&amp;IF(AND('06_建筑锚点'!T454&lt;&gt;"",COUNTIF('07_动态状态'!$A$2:$A$501,'06_建筑锚点'!T454)=0),"运营状态编码不存在；","")&amp;IF(AND('06_建筑锚点'!A454&lt;&gt;"",COUNTIF('06_建筑锚点'!$A$2:$A$501,'06_建筑锚点'!A454)&gt;1),"ID重复；",""),"")</f>
        <v/>
      </c>
      <c r="G2454" s="14">
        <f>IF(F2454&lt;&gt;"","按字段批注、数据字典和来源记录修正后复核","")</f>
        <v/>
      </c>
      <c r="H2454" s="14">
        <f>IF(F2454&lt;&gt;"","待处理","")</f>
        <v/>
      </c>
    </row>
    <row r="2455">
      <c r="A2455" s="14">
        <f>IF(F2455&lt;&gt;"","ISSUE-"&amp;TEXT(ROW()-1,"00000"),"")</f>
        <v/>
      </c>
      <c r="B2455" s="14">
        <f>IF(F2455&lt;&gt;"","错误","")</f>
        <v/>
      </c>
      <c r="C2455" s="14">
        <f>IF('06_建筑锚点'!A455&lt;&gt;"","06_建筑锚点","")</f>
        <v/>
      </c>
      <c r="D2455" s="14">
        <f>IF('06_建筑锚点'!A455&lt;&gt;"",'06_建筑锚点'!A455,"")</f>
        <v/>
      </c>
      <c r="E2455" s="14">
        <f>IF(F2455&lt;&gt;"","综合校验","")</f>
        <v/>
      </c>
      <c r="F2455" s="14">
        <f>IF('06_建筑锚点'!A455&lt;&gt;"",IF('06_建筑锚点'!A455="","缺少建筑ID；","")&amp;IF('06_建筑锚点'!B455="","缺少建筑名称；","")&amp;IF('06_建筑锚点'!C455="","缺少建筑类型；","")&amp;IF('06_建筑锚点'!D455="","缺少所属地点ID；","")&amp;IF('06_建筑锚点'!F455="","缺少世界X；","")&amp;IF('06_建筑锚点'!G455="","缺少世界Y；","")&amp;IF(AND('06_建筑锚点'!F455&lt;&gt;"",OR('06_建筑锚点'!F455&lt;0,'06_建筑锚点'!F455&gt;WorldWidth)),"世界X越界；","")&amp;IF(AND('06_建筑锚点'!G455&lt;&gt;"",OR('06_建筑锚点'!G455&lt;0,'06_建筑锚点'!G455&gt;WorldHeight)),"世界Y越界；","")&amp;IF(AND('06_建筑锚点'!D455&lt;&gt;"",COUNTIF('03_地点锚点'!$A$2:$A$501,'06_建筑锚点'!D455)=0),"建筑所属地点不存在；","")&amp;IF(AND('06_建筑锚点'!T455&lt;&gt;"",COUNTIF('07_动态状态'!$A$2:$A$501,'06_建筑锚点'!T455)=0),"运营状态编码不存在；","")&amp;IF(AND('06_建筑锚点'!A455&lt;&gt;"",COUNTIF('06_建筑锚点'!$A$2:$A$501,'06_建筑锚点'!A455)&gt;1),"ID重复；",""),"")</f>
        <v/>
      </c>
      <c r="G2455" s="14">
        <f>IF(F2455&lt;&gt;"","按字段批注、数据字典和来源记录修正后复核","")</f>
        <v/>
      </c>
      <c r="H2455" s="14">
        <f>IF(F2455&lt;&gt;"","待处理","")</f>
        <v/>
      </c>
    </row>
    <row r="2456">
      <c r="A2456" s="14">
        <f>IF(F2456&lt;&gt;"","ISSUE-"&amp;TEXT(ROW()-1,"00000"),"")</f>
        <v/>
      </c>
      <c r="B2456" s="14">
        <f>IF(F2456&lt;&gt;"","错误","")</f>
        <v/>
      </c>
      <c r="C2456" s="14">
        <f>IF('06_建筑锚点'!A456&lt;&gt;"","06_建筑锚点","")</f>
        <v/>
      </c>
      <c r="D2456" s="14">
        <f>IF('06_建筑锚点'!A456&lt;&gt;"",'06_建筑锚点'!A456,"")</f>
        <v/>
      </c>
      <c r="E2456" s="14">
        <f>IF(F2456&lt;&gt;"","综合校验","")</f>
        <v/>
      </c>
      <c r="F2456" s="14">
        <f>IF('06_建筑锚点'!A456&lt;&gt;"",IF('06_建筑锚点'!A456="","缺少建筑ID；","")&amp;IF('06_建筑锚点'!B456="","缺少建筑名称；","")&amp;IF('06_建筑锚点'!C456="","缺少建筑类型；","")&amp;IF('06_建筑锚点'!D456="","缺少所属地点ID；","")&amp;IF('06_建筑锚点'!F456="","缺少世界X；","")&amp;IF('06_建筑锚点'!G456="","缺少世界Y；","")&amp;IF(AND('06_建筑锚点'!F456&lt;&gt;"",OR('06_建筑锚点'!F456&lt;0,'06_建筑锚点'!F456&gt;WorldWidth)),"世界X越界；","")&amp;IF(AND('06_建筑锚点'!G456&lt;&gt;"",OR('06_建筑锚点'!G456&lt;0,'06_建筑锚点'!G456&gt;WorldHeight)),"世界Y越界；","")&amp;IF(AND('06_建筑锚点'!D456&lt;&gt;"",COUNTIF('03_地点锚点'!$A$2:$A$501,'06_建筑锚点'!D456)=0),"建筑所属地点不存在；","")&amp;IF(AND('06_建筑锚点'!T456&lt;&gt;"",COUNTIF('07_动态状态'!$A$2:$A$501,'06_建筑锚点'!T456)=0),"运营状态编码不存在；","")&amp;IF(AND('06_建筑锚点'!A456&lt;&gt;"",COUNTIF('06_建筑锚点'!$A$2:$A$501,'06_建筑锚点'!A456)&gt;1),"ID重复；",""),"")</f>
        <v/>
      </c>
      <c r="G2456" s="14">
        <f>IF(F2456&lt;&gt;"","按字段批注、数据字典和来源记录修正后复核","")</f>
        <v/>
      </c>
      <c r="H2456" s="14">
        <f>IF(F2456&lt;&gt;"","待处理","")</f>
        <v/>
      </c>
    </row>
    <row r="2457">
      <c r="A2457" s="14">
        <f>IF(F2457&lt;&gt;"","ISSUE-"&amp;TEXT(ROW()-1,"00000"),"")</f>
        <v/>
      </c>
      <c r="B2457" s="14">
        <f>IF(F2457&lt;&gt;"","错误","")</f>
        <v/>
      </c>
      <c r="C2457" s="14">
        <f>IF('06_建筑锚点'!A457&lt;&gt;"","06_建筑锚点","")</f>
        <v/>
      </c>
      <c r="D2457" s="14">
        <f>IF('06_建筑锚点'!A457&lt;&gt;"",'06_建筑锚点'!A457,"")</f>
        <v/>
      </c>
      <c r="E2457" s="14">
        <f>IF(F2457&lt;&gt;"","综合校验","")</f>
        <v/>
      </c>
      <c r="F2457" s="14">
        <f>IF('06_建筑锚点'!A457&lt;&gt;"",IF('06_建筑锚点'!A457="","缺少建筑ID；","")&amp;IF('06_建筑锚点'!B457="","缺少建筑名称；","")&amp;IF('06_建筑锚点'!C457="","缺少建筑类型；","")&amp;IF('06_建筑锚点'!D457="","缺少所属地点ID；","")&amp;IF('06_建筑锚点'!F457="","缺少世界X；","")&amp;IF('06_建筑锚点'!G457="","缺少世界Y；","")&amp;IF(AND('06_建筑锚点'!F457&lt;&gt;"",OR('06_建筑锚点'!F457&lt;0,'06_建筑锚点'!F457&gt;WorldWidth)),"世界X越界；","")&amp;IF(AND('06_建筑锚点'!G457&lt;&gt;"",OR('06_建筑锚点'!G457&lt;0,'06_建筑锚点'!G457&gt;WorldHeight)),"世界Y越界；","")&amp;IF(AND('06_建筑锚点'!D457&lt;&gt;"",COUNTIF('03_地点锚点'!$A$2:$A$501,'06_建筑锚点'!D457)=0),"建筑所属地点不存在；","")&amp;IF(AND('06_建筑锚点'!T457&lt;&gt;"",COUNTIF('07_动态状态'!$A$2:$A$501,'06_建筑锚点'!T457)=0),"运营状态编码不存在；","")&amp;IF(AND('06_建筑锚点'!A457&lt;&gt;"",COUNTIF('06_建筑锚点'!$A$2:$A$501,'06_建筑锚点'!A457)&gt;1),"ID重复；",""),"")</f>
        <v/>
      </c>
      <c r="G2457" s="14">
        <f>IF(F2457&lt;&gt;"","按字段批注、数据字典和来源记录修正后复核","")</f>
        <v/>
      </c>
      <c r="H2457" s="14">
        <f>IF(F2457&lt;&gt;"","待处理","")</f>
        <v/>
      </c>
    </row>
    <row r="2458">
      <c r="A2458" s="14">
        <f>IF(F2458&lt;&gt;"","ISSUE-"&amp;TEXT(ROW()-1,"00000"),"")</f>
        <v/>
      </c>
      <c r="B2458" s="14">
        <f>IF(F2458&lt;&gt;"","错误","")</f>
        <v/>
      </c>
      <c r="C2458" s="14">
        <f>IF('06_建筑锚点'!A458&lt;&gt;"","06_建筑锚点","")</f>
        <v/>
      </c>
      <c r="D2458" s="14">
        <f>IF('06_建筑锚点'!A458&lt;&gt;"",'06_建筑锚点'!A458,"")</f>
        <v/>
      </c>
      <c r="E2458" s="14">
        <f>IF(F2458&lt;&gt;"","综合校验","")</f>
        <v/>
      </c>
      <c r="F2458" s="14">
        <f>IF('06_建筑锚点'!A458&lt;&gt;"",IF('06_建筑锚点'!A458="","缺少建筑ID；","")&amp;IF('06_建筑锚点'!B458="","缺少建筑名称；","")&amp;IF('06_建筑锚点'!C458="","缺少建筑类型；","")&amp;IF('06_建筑锚点'!D458="","缺少所属地点ID；","")&amp;IF('06_建筑锚点'!F458="","缺少世界X；","")&amp;IF('06_建筑锚点'!G458="","缺少世界Y；","")&amp;IF(AND('06_建筑锚点'!F458&lt;&gt;"",OR('06_建筑锚点'!F458&lt;0,'06_建筑锚点'!F458&gt;WorldWidth)),"世界X越界；","")&amp;IF(AND('06_建筑锚点'!G458&lt;&gt;"",OR('06_建筑锚点'!G458&lt;0,'06_建筑锚点'!G458&gt;WorldHeight)),"世界Y越界；","")&amp;IF(AND('06_建筑锚点'!D458&lt;&gt;"",COUNTIF('03_地点锚点'!$A$2:$A$501,'06_建筑锚点'!D458)=0),"建筑所属地点不存在；","")&amp;IF(AND('06_建筑锚点'!T458&lt;&gt;"",COUNTIF('07_动态状态'!$A$2:$A$501,'06_建筑锚点'!T458)=0),"运营状态编码不存在；","")&amp;IF(AND('06_建筑锚点'!A458&lt;&gt;"",COUNTIF('06_建筑锚点'!$A$2:$A$501,'06_建筑锚点'!A458)&gt;1),"ID重复；",""),"")</f>
        <v/>
      </c>
      <c r="G2458" s="14">
        <f>IF(F2458&lt;&gt;"","按字段批注、数据字典和来源记录修正后复核","")</f>
        <v/>
      </c>
      <c r="H2458" s="14">
        <f>IF(F2458&lt;&gt;"","待处理","")</f>
        <v/>
      </c>
    </row>
    <row r="2459">
      <c r="A2459" s="14">
        <f>IF(F2459&lt;&gt;"","ISSUE-"&amp;TEXT(ROW()-1,"00000"),"")</f>
        <v/>
      </c>
      <c r="B2459" s="14">
        <f>IF(F2459&lt;&gt;"","错误","")</f>
        <v/>
      </c>
      <c r="C2459" s="14">
        <f>IF('06_建筑锚点'!A459&lt;&gt;"","06_建筑锚点","")</f>
        <v/>
      </c>
      <c r="D2459" s="14">
        <f>IF('06_建筑锚点'!A459&lt;&gt;"",'06_建筑锚点'!A459,"")</f>
        <v/>
      </c>
      <c r="E2459" s="14">
        <f>IF(F2459&lt;&gt;"","综合校验","")</f>
        <v/>
      </c>
      <c r="F2459" s="14">
        <f>IF('06_建筑锚点'!A459&lt;&gt;"",IF('06_建筑锚点'!A459="","缺少建筑ID；","")&amp;IF('06_建筑锚点'!B459="","缺少建筑名称；","")&amp;IF('06_建筑锚点'!C459="","缺少建筑类型；","")&amp;IF('06_建筑锚点'!D459="","缺少所属地点ID；","")&amp;IF('06_建筑锚点'!F459="","缺少世界X；","")&amp;IF('06_建筑锚点'!G459="","缺少世界Y；","")&amp;IF(AND('06_建筑锚点'!F459&lt;&gt;"",OR('06_建筑锚点'!F459&lt;0,'06_建筑锚点'!F459&gt;WorldWidth)),"世界X越界；","")&amp;IF(AND('06_建筑锚点'!G459&lt;&gt;"",OR('06_建筑锚点'!G459&lt;0,'06_建筑锚点'!G459&gt;WorldHeight)),"世界Y越界；","")&amp;IF(AND('06_建筑锚点'!D459&lt;&gt;"",COUNTIF('03_地点锚点'!$A$2:$A$501,'06_建筑锚点'!D459)=0),"建筑所属地点不存在；","")&amp;IF(AND('06_建筑锚点'!T459&lt;&gt;"",COUNTIF('07_动态状态'!$A$2:$A$501,'06_建筑锚点'!T459)=0),"运营状态编码不存在；","")&amp;IF(AND('06_建筑锚点'!A459&lt;&gt;"",COUNTIF('06_建筑锚点'!$A$2:$A$501,'06_建筑锚点'!A459)&gt;1),"ID重复；",""),"")</f>
        <v/>
      </c>
      <c r="G2459" s="14">
        <f>IF(F2459&lt;&gt;"","按字段批注、数据字典和来源记录修正后复核","")</f>
        <v/>
      </c>
      <c r="H2459" s="14">
        <f>IF(F2459&lt;&gt;"","待处理","")</f>
        <v/>
      </c>
    </row>
    <row r="2460">
      <c r="A2460" s="14">
        <f>IF(F2460&lt;&gt;"","ISSUE-"&amp;TEXT(ROW()-1,"00000"),"")</f>
        <v/>
      </c>
      <c r="B2460" s="14">
        <f>IF(F2460&lt;&gt;"","错误","")</f>
        <v/>
      </c>
      <c r="C2460" s="14">
        <f>IF('06_建筑锚点'!A460&lt;&gt;"","06_建筑锚点","")</f>
        <v/>
      </c>
      <c r="D2460" s="14">
        <f>IF('06_建筑锚点'!A460&lt;&gt;"",'06_建筑锚点'!A460,"")</f>
        <v/>
      </c>
      <c r="E2460" s="14">
        <f>IF(F2460&lt;&gt;"","综合校验","")</f>
        <v/>
      </c>
      <c r="F2460" s="14">
        <f>IF('06_建筑锚点'!A460&lt;&gt;"",IF('06_建筑锚点'!A460="","缺少建筑ID；","")&amp;IF('06_建筑锚点'!B460="","缺少建筑名称；","")&amp;IF('06_建筑锚点'!C460="","缺少建筑类型；","")&amp;IF('06_建筑锚点'!D460="","缺少所属地点ID；","")&amp;IF('06_建筑锚点'!F460="","缺少世界X；","")&amp;IF('06_建筑锚点'!G460="","缺少世界Y；","")&amp;IF(AND('06_建筑锚点'!F460&lt;&gt;"",OR('06_建筑锚点'!F460&lt;0,'06_建筑锚点'!F460&gt;WorldWidth)),"世界X越界；","")&amp;IF(AND('06_建筑锚点'!G460&lt;&gt;"",OR('06_建筑锚点'!G460&lt;0,'06_建筑锚点'!G460&gt;WorldHeight)),"世界Y越界；","")&amp;IF(AND('06_建筑锚点'!D460&lt;&gt;"",COUNTIF('03_地点锚点'!$A$2:$A$501,'06_建筑锚点'!D460)=0),"建筑所属地点不存在；","")&amp;IF(AND('06_建筑锚点'!T460&lt;&gt;"",COUNTIF('07_动态状态'!$A$2:$A$501,'06_建筑锚点'!T460)=0),"运营状态编码不存在；","")&amp;IF(AND('06_建筑锚点'!A460&lt;&gt;"",COUNTIF('06_建筑锚点'!$A$2:$A$501,'06_建筑锚点'!A460)&gt;1),"ID重复；",""),"")</f>
        <v/>
      </c>
      <c r="G2460" s="14">
        <f>IF(F2460&lt;&gt;"","按字段批注、数据字典和来源记录修正后复核","")</f>
        <v/>
      </c>
      <c r="H2460" s="14">
        <f>IF(F2460&lt;&gt;"","待处理","")</f>
        <v/>
      </c>
    </row>
    <row r="2461">
      <c r="A2461" s="14">
        <f>IF(F2461&lt;&gt;"","ISSUE-"&amp;TEXT(ROW()-1,"00000"),"")</f>
        <v/>
      </c>
      <c r="B2461" s="14">
        <f>IF(F2461&lt;&gt;"","错误","")</f>
        <v/>
      </c>
      <c r="C2461" s="14">
        <f>IF('06_建筑锚点'!A461&lt;&gt;"","06_建筑锚点","")</f>
        <v/>
      </c>
      <c r="D2461" s="14">
        <f>IF('06_建筑锚点'!A461&lt;&gt;"",'06_建筑锚点'!A461,"")</f>
        <v/>
      </c>
      <c r="E2461" s="14">
        <f>IF(F2461&lt;&gt;"","综合校验","")</f>
        <v/>
      </c>
      <c r="F2461" s="14">
        <f>IF('06_建筑锚点'!A461&lt;&gt;"",IF('06_建筑锚点'!A461="","缺少建筑ID；","")&amp;IF('06_建筑锚点'!B461="","缺少建筑名称；","")&amp;IF('06_建筑锚点'!C461="","缺少建筑类型；","")&amp;IF('06_建筑锚点'!D461="","缺少所属地点ID；","")&amp;IF('06_建筑锚点'!F461="","缺少世界X；","")&amp;IF('06_建筑锚点'!G461="","缺少世界Y；","")&amp;IF(AND('06_建筑锚点'!F461&lt;&gt;"",OR('06_建筑锚点'!F461&lt;0,'06_建筑锚点'!F461&gt;WorldWidth)),"世界X越界；","")&amp;IF(AND('06_建筑锚点'!G461&lt;&gt;"",OR('06_建筑锚点'!G461&lt;0,'06_建筑锚点'!G461&gt;WorldHeight)),"世界Y越界；","")&amp;IF(AND('06_建筑锚点'!D461&lt;&gt;"",COUNTIF('03_地点锚点'!$A$2:$A$501,'06_建筑锚点'!D461)=0),"建筑所属地点不存在；","")&amp;IF(AND('06_建筑锚点'!T461&lt;&gt;"",COUNTIF('07_动态状态'!$A$2:$A$501,'06_建筑锚点'!T461)=0),"运营状态编码不存在；","")&amp;IF(AND('06_建筑锚点'!A461&lt;&gt;"",COUNTIF('06_建筑锚点'!$A$2:$A$501,'06_建筑锚点'!A461)&gt;1),"ID重复；",""),"")</f>
        <v/>
      </c>
      <c r="G2461" s="14">
        <f>IF(F2461&lt;&gt;"","按字段批注、数据字典和来源记录修正后复核","")</f>
        <v/>
      </c>
      <c r="H2461" s="14">
        <f>IF(F2461&lt;&gt;"","待处理","")</f>
        <v/>
      </c>
    </row>
    <row r="2462">
      <c r="A2462" s="14">
        <f>IF(F2462&lt;&gt;"","ISSUE-"&amp;TEXT(ROW()-1,"00000"),"")</f>
        <v/>
      </c>
      <c r="B2462" s="14">
        <f>IF(F2462&lt;&gt;"","错误","")</f>
        <v/>
      </c>
      <c r="C2462" s="14">
        <f>IF('06_建筑锚点'!A462&lt;&gt;"","06_建筑锚点","")</f>
        <v/>
      </c>
      <c r="D2462" s="14">
        <f>IF('06_建筑锚点'!A462&lt;&gt;"",'06_建筑锚点'!A462,"")</f>
        <v/>
      </c>
      <c r="E2462" s="14">
        <f>IF(F2462&lt;&gt;"","综合校验","")</f>
        <v/>
      </c>
      <c r="F2462" s="14">
        <f>IF('06_建筑锚点'!A462&lt;&gt;"",IF('06_建筑锚点'!A462="","缺少建筑ID；","")&amp;IF('06_建筑锚点'!B462="","缺少建筑名称；","")&amp;IF('06_建筑锚点'!C462="","缺少建筑类型；","")&amp;IF('06_建筑锚点'!D462="","缺少所属地点ID；","")&amp;IF('06_建筑锚点'!F462="","缺少世界X；","")&amp;IF('06_建筑锚点'!G462="","缺少世界Y；","")&amp;IF(AND('06_建筑锚点'!F462&lt;&gt;"",OR('06_建筑锚点'!F462&lt;0,'06_建筑锚点'!F462&gt;WorldWidth)),"世界X越界；","")&amp;IF(AND('06_建筑锚点'!G462&lt;&gt;"",OR('06_建筑锚点'!G462&lt;0,'06_建筑锚点'!G462&gt;WorldHeight)),"世界Y越界；","")&amp;IF(AND('06_建筑锚点'!D462&lt;&gt;"",COUNTIF('03_地点锚点'!$A$2:$A$501,'06_建筑锚点'!D462)=0),"建筑所属地点不存在；","")&amp;IF(AND('06_建筑锚点'!T462&lt;&gt;"",COUNTIF('07_动态状态'!$A$2:$A$501,'06_建筑锚点'!T462)=0),"运营状态编码不存在；","")&amp;IF(AND('06_建筑锚点'!A462&lt;&gt;"",COUNTIF('06_建筑锚点'!$A$2:$A$501,'06_建筑锚点'!A462)&gt;1),"ID重复；",""),"")</f>
        <v/>
      </c>
      <c r="G2462" s="14">
        <f>IF(F2462&lt;&gt;"","按字段批注、数据字典和来源记录修正后复核","")</f>
        <v/>
      </c>
      <c r="H2462" s="14">
        <f>IF(F2462&lt;&gt;"","待处理","")</f>
        <v/>
      </c>
    </row>
    <row r="2463">
      <c r="A2463" s="14">
        <f>IF(F2463&lt;&gt;"","ISSUE-"&amp;TEXT(ROW()-1,"00000"),"")</f>
        <v/>
      </c>
      <c r="B2463" s="14">
        <f>IF(F2463&lt;&gt;"","错误","")</f>
        <v/>
      </c>
      <c r="C2463" s="14">
        <f>IF('06_建筑锚点'!A463&lt;&gt;"","06_建筑锚点","")</f>
        <v/>
      </c>
      <c r="D2463" s="14">
        <f>IF('06_建筑锚点'!A463&lt;&gt;"",'06_建筑锚点'!A463,"")</f>
        <v/>
      </c>
      <c r="E2463" s="14">
        <f>IF(F2463&lt;&gt;"","综合校验","")</f>
        <v/>
      </c>
      <c r="F2463" s="14">
        <f>IF('06_建筑锚点'!A463&lt;&gt;"",IF('06_建筑锚点'!A463="","缺少建筑ID；","")&amp;IF('06_建筑锚点'!B463="","缺少建筑名称；","")&amp;IF('06_建筑锚点'!C463="","缺少建筑类型；","")&amp;IF('06_建筑锚点'!D463="","缺少所属地点ID；","")&amp;IF('06_建筑锚点'!F463="","缺少世界X；","")&amp;IF('06_建筑锚点'!G463="","缺少世界Y；","")&amp;IF(AND('06_建筑锚点'!F463&lt;&gt;"",OR('06_建筑锚点'!F463&lt;0,'06_建筑锚点'!F463&gt;WorldWidth)),"世界X越界；","")&amp;IF(AND('06_建筑锚点'!G463&lt;&gt;"",OR('06_建筑锚点'!G463&lt;0,'06_建筑锚点'!G463&gt;WorldHeight)),"世界Y越界；","")&amp;IF(AND('06_建筑锚点'!D463&lt;&gt;"",COUNTIF('03_地点锚点'!$A$2:$A$501,'06_建筑锚点'!D463)=0),"建筑所属地点不存在；","")&amp;IF(AND('06_建筑锚点'!T463&lt;&gt;"",COUNTIF('07_动态状态'!$A$2:$A$501,'06_建筑锚点'!T463)=0),"运营状态编码不存在；","")&amp;IF(AND('06_建筑锚点'!A463&lt;&gt;"",COUNTIF('06_建筑锚点'!$A$2:$A$501,'06_建筑锚点'!A463)&gt;1),"ID重复；",""),"")</f>
        <v/>
      </c>
      <c r="G2463" s="14">
        <f>IF(F2463&lt;&gt;"","按字段批注、数据字典和来源记录修正后复核","")</f>
        <v/>
      </c>
      <c r="H2463" s="14">
        <f>IF(F2463&lt;&gt;"","待处理","")</f>
        <v/>
      </c>
    </row>
    <row r="2464">
      <c r="A2464" s="14">
        <f>IF(F2464&lt;&gt;"","ISSUE-"&amp;TEXT(ROW()-1,"00000"),"")</f>
        <v/>
      </c>
      <c r="B2464" s="14">
        <f>IF(F2464&lt;&gt;"","错误","")</f>
        <v/>
      </c>
      <c r="C2464" s="14">
        <f>IF('06_建筑锚点'!A464&lt;&gt;"","06_建筑锚点","")</f>
        <v/>
      </c>
      <c r="D2464" s="14">
        <f>IF('06_建筑锚点'!A464&lt;&gt;"",'06_建筑锚点'!A464,"")</f>
        <v/>
      </c>
      <c r="E2464" s="14">
        <f>IF(F2464&lt;&gt;"","综合校验","")</f>
        <v/>
      </c>
      <c r="F2464" s="14">
        <f>IF('06_建筑锚点'!A464&lt;&gt;"",IF('06_建筑锚点'!A464="","缺少建筑ID；","")&amp;IF('06_建筑锚点'!B464="","缺少建筑名称；","")&amp;IF('06_建筑锚点'!C464="","缺少建筑类型；","")&amp;IF('06_建筑锚点'!D464="","缺少所属地点ID；","")&amp;IF('06_建筑锚点'!F464="","缺少世界X；","")&amp;IF('06_建筑锚点'!G464="","缺少世界Y；","")&amp;IF(AND('06_建筑锚点'!F464&lt;&gt;"",OR('06_建筑锚点'!F464&lt;0,'06_建筑锚点'!F464&gt;WorldWidth)),"世界X越界；","")&amp;IF(AND('06_建筑锚点'!G464&lt;&gt;"",OR('06_建筑锚点'!G464&lt;0,'06_建筑锚点'!G464&gt;WorldHeight)),"世界Y越界；","")&amp;IF(AND('06_建筑锚点'!D464&lt;&gt;"",COUNTIF('03_地点锚点'!$A$2:$A$501,'06_建筑锚点'!D464)=0),"建筑所属地点不存在；","")&amp;IF(AND('06_建筑锚点'!T464&lt;&gt;"",COUNTIF('07_动态状态'!$A$2:$A$501,'06_建筑锚点'!T464)=0),"运营状态编码不存在；","")&amp;IF(AND('06_建筑锚点'!A464&lt;&gt;"",COUNTIF('06_建筑锚点'!$A$2:$A$501,'06_建筑锚点'!A464)&gt;1),"ID重复；",""),"")</f>
        <v/>
      </c>
      <c r="G2464" s="14">
        <f>IF(F2464&lt;&gt;"","按字段批注、数据字典和来源记录修正后复核","")</f>
        <v/>
      </c>
      <c r="H2464" s="14">
        <f>IF(F2464&lt;&gt;"","待处理","")</f>
        <v/>
      </c>
    </row>
    <row r="2465">
      <c r="A2465" s="14">
        <f>IF(F2465&lt;&gt;"","ISSUE-"&amp;TEXT(ROW()-1,"00000"),"")</f>
        <v/>
      </c>
      <c r="B2465" s="14">
        <f>IF(F2465&lt;&gt;"","错误","")</f>
        <v/>
      </c>
      <c r="C2465" s="14">
        <f>IF('06_建筑锚点'!A465&lt;&gt;"","06_建筑锚点","")</f>
        <v/>
      </c>
      <c r="D2465" s="14">
        <f>IF('06_建筑锚点'!A465&lt;&gt;"",'06_建筑锚点'!A465,"")</f>
        <v/>
      </c>
      <c r="E2465" s="14">
        <f>IF(F2465&lt;&gt;"","综合校验","")</f>
        <v/>
      </c>
      <c r="F2465" s="14">
        <f>IF('06_建筑锚点'!A465&lt;&gt;"",IF('06_建筑锚点'!A465="","缺少建筑ID；","")&amp;IF('06_建筑锚点'!B465="","缺少建筑名称；","")&amp;IF('06_建筑锚点'!C465="","缺少建筑类型；","")&amp;IF('06_建筑锚点'!D465="","缺少所属地点ID；","")&amp;IF('06_建筑锚点'!F465="","缺少世界X；","")&amp;IF('06_建筑锚点'!G465="","缺少世界Y；","")&amp;IF(AND('06_建筑锚点'!F465&lt;&gt;"",OR('06_建筑锚点'!F465&lt;0,'06_建筑锚点'!F465&gt;WorldWidth)),"世界X越界；","")&amp;IF(AND('06_建筑锚点'!G465&lt;&gt;"",OR('06_建筑锚点'!G465&lt;0,'06_建筑锚点'!G465&gt;WorldHeight)),"世界Y越界；","")&amp;IF(AND('06_建筑锚点'!D465&lt;&gt;"",COUNTIF('03_地点锚点'!$A$2:$A$501,'06_建筑锚点'!D465)=0),"建筑所属地点不存在；","")&amp;IF(AND('06_建筑锚点'!T465&lt;&gt;"",COUNTIF('07_动态状态'!$A$2:$A$501,'06_建筑锚点'!T465)=0),"运营状态编码不存在；","")&amp;IF(AND('06_建筑锚点'!A465&lt;&gt;"",COUNTIF('06_建筑锚点'!$A$2:$A$501,'06_建筑锚点'!A465)&gt;1),"ID重复；",""),"")</f>
        <v/>
      </c>
      <c r="G2465" s="14">
        <f>IF(F2465&lt;&gt;"","按字段批注、数据字典和来源记录修正后复核","")</f>
        <v/>
      </c>
      <c r="H2465" s="14">
        <f>IF(F2465&lt;&gt;"","待处理","")</f>
        <v/>
      </c>
    </row>
    <row r="2466">
      <c r="A2466" s="14">
        <f>IF(F2466&lt;&gt;"","ISSUE-"&amp;TEXT(ROW()-1,"00000"),"")</f>
        <v/>
      </c>
      <c r="B2466" s="14">
        <f>IF(F2466&lt;&gt;"","错误","")</f>
        <v/>
      </c>
      <c r="C2466" s="14">
        <f>IF('06_建筑锚点'!A466&lt;&gt;"","06_建筑锚点","")</f>
        <v/>
      </c>
      <c r="D2466" s="14">
        <f>IF('06_建筑锚点'!A466&lt;&gt;"",'06_建筑锚点'!A466,"")</f>
        <v/>
      </c>
      <c r="E2466" s="14">
        <f>IF(F2466&lt;&gt;"","综合校验","")</f>
        <v/>
      </c>
      <c r="F2466" s="14">
        <f>IF('06_建筑锚点'!A466&lt;&gt;"",IF('06_建筑锚点'!A466="","缺少建筑ID；","")&amp;IF('06_建筑锚点'!B466="","缺少建筑名称；","")&amp;IF('06_建筑锚点'!C466="","缺少建筑类型；","")&amp;IF('06_建筑锚点'!D466="","缺少所属地点ID；","")&amp;IF('06_建筑锚点'!F466="","缺少世界X；","")&amp;IF('06_建筑锚点'!G466="","缺少世界Y；","")&amp;IF(AND('06_建筑锚点'!F466&lt;&gt;"",OR('06_建筑锚点'!F466&lt;0,'06_建筑锚点'!F466&gt;WorldWidth)),"世界X越界；","")&amp;IF(AND('06_建筑锚点'!G466&lt;&gt;"",OR('06_建筑锚点'!G466&lt;0,'06_建筑锚点'!G466&gt;WorldHeight)),"世界Y越界；","")&amp;IF(AND('06_建筑锚点'!D466&lt;&gt;"",COUNTIF('03_地点锚点'!$A$2:$A$501,'06_建筑锚点'!D466)=0),"建筑所属地点不存在；","")&amp;IF(AND('06_建筑锚点'!T466&lt;&gt;"",COUNTIF('07_动态状态'!$A$2:$A$501,'06_建筑锚点'!T466)=0),"运营状态编码不存在；","")&amp;IF(AND('06_建筑锚点'!A466&lt;&gt;"",COUNTIF('06_建筑锚点'!$A$2:$A$501,'06_建筑锚点'!A466)&gt;1),"ID重复；",""),"")</f>
        <v/>
      </c>
      <c r="G2466" s="14">
        <f>IF(F2466&lt;&gt;"","按字段批注、数据字典和来源记录修正后复核","")</f>
        <v/>
      </c>
      <c r="H2466" s="14">
        <f>IF(F2466&lt;&gt;"","待处理","")</f>
        <v/>
      </c>
    </row>
    <row r="2467">
      <c r="A2467" s="14">
        <f>IF(F2467&lt;&gt;"","ISSUE-"&amp;TEXT(ROW()-1,"00000"),"")</f>
        <v/>
      </c>
      <c r="B2467" s="14">
        <f>IF(F2467&lt;&gt;"","错误","")</f>
        <v/>
      </c>
      <c r="C2467" s="14">
        <f>IF('06_建筑锚点'!A467&lt;&gt;"","06_建筑锚点","")</f>
        <v/>
      </c>
      <c r="D2467" s="14">
        <f>IF('06_建筑锚点'!A467&lt;&gt;"",'06_建筑锚点'!A467,"")</f>
        <v/>
      </c>
      <c r="E2467" s="14">
        <f>IF(F2467&lt;&gt;"","综合校验","")</f>
        <v/>
      </c>
      <c r="F2467" s="14">
        <f>IF('06_建筑锚点'!A467&lt;&gt;"",IF('06_建筑锚点'!A467="","缺少建筑ID；","")&amp;IF('06_建筑锚点'!B467="","缺少建筑名称；","")&amp;IF('06_建筑锚点'!C467="","缺少建筑类型；","")&amp;IF('06_建筑锚点'!D467="","缺少所属地点ID；","")&amp;IF('06_建筑锚点'!F467="","缺少世界X；","")&amp;IF('06_建筑锚点'!G467="","缺少世界Y；","")&amp;IF(AND('06_建筑锚点'!F467&lt;&gt;"",OR('06_建筑锚点'!F467&lt;0,'06_建筑锚点'!F467&gt;WorldWidth)),"世界X越界；","")&amp;IF(AND('06_建筑锚点'!G467&lt;&gt;"",OR('06_建筑锚点'!G467&lt;0,'06_建筑锚点'!G467&gt;WorldHeight)),"世界Y越界；","")&amp;IF(AND('06_建筑锚点'!D467&lt;&gt;"",COUNTIF('03_地点锚点'!$A$2:$A$501,'06_建筑锚点'!D467)=0),"建筑所属地点不存在；","")&amp;IF(AND('06_建筑锚点'!T467&lt;&gt;"",COUNTIF('07_动态状态'!$A$2:$A$501,'06_建筑锚点'!T467)=0),"运营状态编码不存在；","")&amp;IF(AND('06_建筑锚点'!A467&lt;&gt;"",COUNTIF('06_建筑锚点'!$A$2:$A$501,'06_建筑锚点'!A467)&gt;1),"ID重复；",""),"")</f>
        <v/>
      </c>
      <c r="G2467" s="14">
        <f>IF(F2467&lt;&gt;"","按字段批注、数据字典和来源记录修正后复核","")</f>
        <v/>
      </c>
      <c r="H2467" s="14">
        <f>IF(F2467&lt;&gt;"","待处理","")</f>
        <v/>
      </c>
    </row>
    <row r="2468">
      <c r="A2468" s="14">
        <f>IF(F2468&lt;&gt;"","ISSUE-"&amp;TEXT(ROW()-1,"00000"),"")</f>
        <v/>
      </c>
      <c r="B2468" s="14">
        <f>IF(F2468&lt;&gt;"","错误","")</f>
        <v/>
      </c>
      <c r="C2468" s="14">
        <f>IF('06_建筑锚点'!A468&lt;&gt;"","06_建筑锚点","")</f>
        <v/>
      </c>
      <c r="D2468" s="14">
        <f>IF('06_建筑锚点'!A468&lt;&gt;"",'06_建筑锚点'!A468,"")</f>
        <v/>
      </c>
      <c r="E2468" s="14">
        <f>IF(F2468&lt;&gt;"","综合校验","")</f>
        <v/>
      </c>
      <c r="F2468" s="14">
        <f>IF('06_建筑锚点'!A468&lt;&gt;"",IF('06_建筑锚点'!A468="","缺少建筑ID；","")&amp;IF('06_建筑锚点'!B468="","缺少建筑名称；","")&amp;IF('06_建筑锚点'!C468="","缺少建筑类型；","")&amp;IF('06_建筑锚点'!D468="","缺少所属地点ID；","")&amp;IF('06_建筑锚点'!F468="","缺少世界X；","")&amp;IF('06_建筑锚点'!G468="","缺少世界Y；","")&amp;IF(AND('06_建筑锚点'!F468&lt;&gt;"",OR('06_建筑锚点'!F468&lt;0,'06_建筑锚点'!F468&gt;WorldWidth)),"世界X越界；","")&amp;IF(AND('06_建筑锚点'!G468&lt;&gt;"",OR('06_建筑锚点'!G468&lt;0,'06_建筑锚点'!G468&gt;WorldHeight)),"世界Y越界；","")&amp;IF(AND('06_建筑锚点'!D468&lt;&gt;"",COUNTIF('03_地点锚点'!$A$2:$A$501,'06_建筑锚点'!D468)=0),"建筑所属地点不存在；","")&amp;IF(AND('06_建筑锚点'!T468&lt;&gt;"",COUNTIF('07_动态状态'!$A$2:$A$501,'06_建筑锚点'!T468)=0),"运营状态编码不存在；","")&amp;IF(AND('06_建筑锚点'!A468&lt;&gt;"",COUNTIF('06_建筑锚点'!$A$2:$A$501,'06_建筑锚点'!A468)&gt;1),"ID重复；",""),"")</f>
        <v/>
      </c>
      <c r="G2468" s="14">
        <f>IF(F2468&lt;&gt;"","按字段批注、数据字典和来源记录修正后复核","")</f>
        <v/>
      </c>
      <c r="H2468" s="14">
        <f>IF(F2468&lt;&gt;"","待处理","")</f>
        <v/>
      </c>
    </row>
    <row r="2469">
      <c r="A2469" s="14">
        <f>IF(F2469&lt;&gt;"","ISSUE-"&amp;TEXT(ROW()-1,"00000"),"")</f>
        <v/>
      </c>
      <c r="B2469" s="14">
        <f>IF(F2469&lt;&gt;"","错误","")</f>
        <v/>
      </c>
      <c r="C2469" s="14">
        <f>IF('06_建筑锚点'!A469&lt;&gt;"","06_建筑锚点","")</f>
        <v/>
      </c>
      <c r="D2469" s="14">
        <f>IF('06_建筑锚点'!A469&lt;&gt;"",'06_建筑锚点'!A469,"")</f>
        <v/>
      </c>
      <c r="E2469" s="14">
        <f>IF(F2469&lt;&gt;"","综合校验","")</f>
        <v/>
      </c>
      <c r="F2469" s="14">
        <f>IF('06_建筑锚点'!A469&lt;&gt;"",IF('06_建筑锚点'!A469="","缺少建筑ID；","")&amp;IF('06_建筑锚点'!B469="","缺少建筑名称；","")&amp;IF('06_建筑锚点'!C469="","缺少建筑类型；","")&amp;IF('06_建筑锚点'!D469="","缺少所属地点ID；","")&amp;IF('06_建筑锚点'!F469="","缺少世界X；","")&amp;IF('06_建筑锚点'!G469="","缺少世界Y；","")&amp;IF(AND('06_建筑锚点'!F469&lt;&gt;"",OR('06_建筑锚点'!F469&lt;0,'06_建筑锚点'!F469&gt;WorldWidth)),"世界X越界；","")&amp;IF(AND('06_建筑锚点'!G469&lt;&gt;"",OR('06_建筑锚点'!G469&lt;0,'06_建筑锚点'!G469&gt;WorldHeight)),"世界Y越界；","")&amp;IF(AND('06_建筑锚点'!D469&lt;&gt;"",COUNTIF('03_地点锚点'!$A$2:$A$501,'06_建筑锚点'!D469)=0),"建筑所属地点不存在；","")&amp;IF(AND('06_建筑锚点'!T469&lt;&gt;"",COUNTIF('07_动态状态'!$A$2:$A$501,'06_建筑锚点'!T469)=0),"运营状态编码不存在；","")&amp;IF(AND('06_建筑锚点'!A469&lt;&gt;"",COUNTIF('06_建筑锚点'!$A$2:$A$501,'06_建筑锚点'!A469)&gt;1),"ID重复；",""),"")</f>
        <v/>
      </c>
      <c r="G2469" s="14">
        <f>IF(F2469&lt;&gt;"","按字段批注、数据字典和来源记录修正后复核","")</f>
        <v/>
      </c>
      <c r="H2469" s="14">
        <f>IF(F2469&lt;&gt;"","待处理","")</f>
        <v/>
      </c>
    </row>
    <row r="2470">
      <c r="A2470" s="14">
        <f>IF(F2470&lt;&gt;"","ISSUE-"&amp;TEXT(ROW()-1,"00000"),"")</f>
        <v/>
      </c>
      <c r="B2470" s="14">
        <f>IF(F2470&lt;&gt;"","错误","")</f>
        <v/>
      </c>
      <c r="C2470" s="14">
        <f>IF('06_建筑锚点'!A470&lt;&gt;"","06_建筑锚点","")</f>
        <v/>
      </c>
      <c r="D2470" s="14">
        <f>IF('06_建筑锚点'!A470&lt;&gt;"",'06_建筑锚点'!A470,"")</f>
        <v/>
      </c>
      <c r="E2470" s="14">
        <f>IF(F2470&lt;&gt;"","综合校验","")</f>
        <v/>
      </c>
      <c r="F2470" s="14">
        <f>IF('06_建筑锚点'!A470&lt;&gt;"",IF('06_建筑锚点'!A470="","缺少建筑ID；","")&amp;IF('06_建筑锚点'!B470="","缺少建筑名称；","")&amp;IF('06_建筑锚点'!C470="","缺少建筑类型；","")&amp;IF('06_建筑锚点'!D470="","缺少所属地点ID；","")&amp;IF('06_建筑锚点'!F470="","缺少世界X；","")&amp;IF('06_建筑锚点'!G470="","缺少世界Y；","")&amp;IF(AND('06_建筑锚点'!F470&lt;&gt;"",OR('06_建筑锚点'!F470&lt;0,'06_建筑锚点'!F470&gt;WorldWidth)),"世界X越界；","")&amp;IF(AND('06_建筑锚点'!G470&lt;&gt;"",OR('06_建筑锚点'!G470&lt;0,'06_建筑锚点'!G470&gt;WorldHeight)),"世界Y越界；","")&amp;IF(AND('06_建筑锚点'!D470&lt;&gt;"",COUNTIF('03_地点锚点'!$A$2:$A$501,'06_建筑锚点'!D470)=0),"建筑所属地点不存在；","")&amp;IF(AND('06_建筑锚点'!T470&lt;&gt;"",COUNTIF('07_动态状态'!$A$2:$A$501,'06_建筑锚点'!T470)=0),"运营状态编码不存在；","")&amp;IF(AND('06_建筑锚点'!A470&lt;&gt;"",COUNTIF('06_建筑锚点'!$A$2:$A$501,'06_建筑锚点'!A470)&gt;1),"ID重复；",""),"")</f>
        <v/>
      </c>
      <c r="G2470" s="14">
        <f>IF(F2470&lt;&gt;"","按字段批注、数据字典和来源记录修正后复核","")</f>
        <v/>
      </c>
      <c r="H2470" s="14">
        <f>IF(F2470&lt;&gt;"","待处理","")</f>
        <v/>
      </c>
    </row>
    <row r="2471">
      <c r="A2471" s="14">
        <f>IF(F2471&lt;&gt;"","ISSUE-"&amp;TEXT(ROW()-1,"00000"),"")</f>
        <v/>
      </c>
      <c r="B2471" s="14">
        <f>IF(F2471&lt;&gt;"","错误","")</f>
        <v/>
      </c>
      <c r="C2471" s="14">
        <f>IF('06_建筑锚点'!A471&lt;&gt;"","06_建筑锚点","")</f>
        <v/>
      </c>
      <c r="D2471" s="14">
        <f>IF('06_建筑锚点'!A471&lt;&gt;"",'06_建筑锚点'!A471,"")</f>
        <v/>
      </c>
      <c r="E2471" s="14">
        <f>IF(F2471&lt;&gt;"","综合校验","")</f>
        <v/>
      </c>
      <c r="F2471" s="14">
        <f>IF('06_建筑锚点'!A471&lt;&gt;"",IF('06_建筑锚点'!A471="","缺少建筑ID；","")&amp;IF('06_建筑锚点'!B471="","缺少建筑名称；","")&amp;IF('06_建筑锚点'!C471="","缺少建筑类型；","")&amp;IF('06_建筑锚点'!D471="","缺少所属地点ID；","")&amp;IF('06_建筑锚点'!F471="","缺少世界X；","")&amp;IF('06_建筑锚点'!G471="","缺少世界Y；","")&amp;IF(AND('06_建筑锚点'!F471&lt;&gt;"",OR('06_建筑锚点'!F471&lt;0,'06_建筑锚点'!F471&gt;WorldWidth)),"世界X越界；","")&amp;IF(AND('06_建筑锚点'!G471&lt;&gt;"",OR('06_建筑锚点'!G471&lt;0,'06_建筑锚点'!G471&gt;WorldHeight)),"世界Y越界；","")&amp;IF(AND('06_建筑锚点'!D471&lt;&gt;"",COUNTIF('03_地点锚点'!$A$2:$A$501,'06_建筑锚点'!D471)=0),"建筑所属地点不存在；","")&amp;IF(AND('06_建筑锚点'!T471&lt;&gt;"",COUNTIF('07_动态状态'!$A$2:$A$501,'06_建筑锚点'!T471)=0),"运营状态编码不存在；","")&amp;IF(AND('06_建筑锚点'!A471&lt;&gt;"",COUNTIF('06_建筑锚点'!$A$2:$A$501,'06_建筑锚点'!A471)&gt;1),"ID重复；",""),"")</f>
        <v/>
      </c>
      <c r="G2471" s="14">
        <f>IF(F2471&lt;&gt;"","按字段批注、数据字典和来源记录修正后复核","")</f>
        <v/>
      </c>
      <c r="H2471" s="14">
        <f>IF(F2471&lt;&gt;"","待处理","")</f>
        <v/>
      </c>
    </row>
    <row r="2472">
      <c r="A2472" s="14">
        <f>IF(F2472&lt;&gt;"","ISSUE-"&amp;TEXT(ROW()-1,"00000"),"")</f>
        <v/>
      </c>
      <c r="B2472" s="14">
        <f>IF(F2472&lt;&gt;"","错误","")</f>
        <v/>
      </c>
      <c r="C2472" s="14">
        <f>IF('06_建筑锚点'!A472&lt;&gt;"","06_建筑锚点","")</f>
        <v/>
      </c>
      <c r="D2472" s="14">
        <f>IF('06_建筑锚点'!A472&lt;&gt;"",'06_建筑锚点'!A472,"")</f>
        <v/>
      </c>
      <c r="E2472" s="14">
        <f>IF(F2472&lt;&gt;"","综合校验","")</f>
        <v/>
      </c>
      <c r="F2472" s="14">
        <f>IF('06_建筑锚点'!A472&lt;&gt;"",IF('06_建筑锚点'!A472="","缺少建筑ID；","")&amp;IF('06_建筑锚点'!B472="","缺少建筑名称；","")&amp;IF('06_建筑锚点'!C472="","缺少建筑类型；","")&amp;IF('06_建筑锚点'!D472="","缺少所属地点ID；","")&amp;IF('06_建筑锚点'!F472="","缺少世界X；","")&amp;IF('06_建筑锚点'!G472="","缺少世界Y；","")&amp;IF(AND('06_建筑锚点'!F472&lt;&gt;"",OR('06_建筑锚点'!F472&lt;0,'06_建筑锚点'!F472&gt;WorldWidth)),"世界X越界；","")&amp;IF(AND('06_建筑锚点'!G472&lt;&gt;"",OR('06_建筑锚点'!G472&lt;0,'06_建筑锚点'!G472&gt;WorldHeight)),"世界Y越界；","")&amp;IF(AND('06_建筑锚点'!D472&lt;&gt;"",COUNTIF('03_地点锚点'!$A$2:$A$501,'06_建筑锚点'!D472)=0),"建筑所属地点不存在；","")&amp;IF(AND('06_建筑锚点'!T472&lt;&gt;"",COUNTIF('07_动态状态'!$A$2:$A$501,'06_建筑锚点'!T472)=0),"运营状态编码不存在；","")&amp;IF(AND('06_建筑锚点'!A472&lt;&gt;"",COUNTIF('06_建筑锚点'!$A$2:$A$501,'06_建筑锚点'!A472)&gt;1),"ID重复；",""),"")</f>
        <v/>
      </c>
      <c r="G2472" s="14">
        <f>IF(F2472&lt;&gt;"","按字段批注、数据字典和来源记录修正后复核","")</f>
        <v/>
      </c>
      <c r="H2472" s="14">
        <f>IF(F2472&lt;&gt;"","待处理","")</f>
        <v/>
      </c>
    </row>
    <row r="2473">
      <c r="A2473" s="14">
        <f>IF(F2473&lt;&gt;"","ISSUE-"&amp;TEXT(ROW()-1,"00000"),"")</f>
        <v/>
      </c>
      <c r="B2473" s="14">
        <f>IF(F2473&lt;&gt;"","错误","")</f>
        <v/>
      </c>
      <c r="C2473" s="14">
        <f>IF('06_建筑锚点'!A473&lt;&gt;"","06_建筑锚点","")</f>
        <v/>
      </c>
      <c r="D2473" s="14">
        <f>IF('06_建筑锚点'!A473&lt;&gt;"",'06_建筑锚点'!A473,"")</f>
        <v/>
      </c>
      <c r="E2473" s="14">
        <f>IF(F2473&lt;&gt;"","综合校验","")</f>
        <v/>
      </c>
      <c r="F2473" s="14">
        <f>IF('06_建筑锚点'!A473&lt;&gt;"",IF('06_建筑锚点'!A473="","缺少建筑ID；","")&amp;IF('06_建筑锚点'!B473="","缺少建筑名称；","")&amp;IF('06_建筑锚点'!C473="","缺少建筑类型；","")&amp;IF('06_建筑锚点'!D473="","缺少所属地点ID；","")&amp;IF('06_建筑锚点'!F473="","缺少世界X；","")&amp;IF('06_建筑锚点'!G473="","缺少世界Y；","")&amp;IF(AND('06_建筑锚点'!F473&lt;&gt;"",OR('06_建筑锚点'!F473&lt;0,'06_建筑锚点'!F473&gt;WorldWidth)),"世界X越界；","")&amp;IF(AND('06_建筑锚点'!G473&lt;&gt;"",OR('06_建筑锚点'!G473&lt;0,'06_建筑锚点'!G473&gt;WorldHeight)),"世界Y越界；","")&amp;IF(AND('06_建筑锚点'!D473&lt;&gt;"",COUNTIF('03_地点锚点'!$A$2:$A$501,'06_建筑锚点'!D473)=0),"建筑所属地点不存在；","")&amp;IF(AND('06_建筑锚点'!T473&lt;&gt;"",COUNTIF('07_动态状态'!$A$2:$A$501,'06_建筑锚点'!T473)=0),"运营状态编码不存在；","")&amp;IF(AND('06_建筑锚点'!A473&lt;&gt;"",COUNTIF('06_建筑锚点'!$A$2:$A$501,'06_建筑锚点'!A473)&gt;1),"ID重复；",""),"")</f>
        <v/>
      </c>
      <c r="G2473" s="14">
        <f>IF(F2473&lt;&gt;"","按字段批注、数据字典和来源记录修正后复核","")</f>
        <v/>
      </c>
      <c r="H2473" s="14">
        <f>IF(F2473&lt;&gt;"","待处理","")</f>
        <v/>
      </c>
    </row>
    <row r="2474">
      <c r="A2474" s="14">
        <f>IF(F2474&lt;&gt;"","ISSUE-"&amp;TEXT(ROW()-1,"00000"),"")</f>
        <v/>
      </c>
      <c r="B2474" s="14">
        <f>IF(F2474&lt;&gt;"","错误","")</f>
        <v/>
      </c>
      <c r="C2474" s="14">
        <f>IF('06_建筑锚点'!A474&lt;&gt;"","06_建筑锚点","")</f>
        <v/>
      </c>
      <c r="D2474" s="14">
        <f>IF('06_建筑锚点'!A474&lt;&gt;"",'06_建筑锚点'!A474,"")</f>
        <v/>
      </c>
      <c r="E2474" s="14">
        <f>IF(F2474&lt;&gt;"","综合校验","")</f>
        <v/>
      </c>
      <c r="F2474" s="14">
        <f>IF('06_建筑锚点'!A474&lt;&gt;"",IF('06_建筑锚点'!A474="","缺少建筑ID；","")&amp;IF('06_建筑锚点'!B474="","缺少建筑名称；","")&amp;IF('06_建筑锚点'!C474="","缺少建筑类型；","")&amp;IF('06_建筑锚点'!D474="","缺少所属地点ID；","")&amp;IF('06_建筑锚点'!F474="","缺少世界X；","")&amp;IF('06_建筑锚点'!G474="","缺少世界Y；","")&amp;IF(AND('06_建筑锚点'!F474&lt;&gt;"",OR('06_建筑锚点'!F474&lt;0,'06_建筑锚点'!F474&gt;WorldWidth)),"世界X越界；","")&amp;IF(AND('06_建筑锚点'!G474&lt;&gt;"",OR('06_建筑锚点'!G474&lt;0,'06_建筑锚点'!G474&gt;WorldHeight)),"世界Y越界；","")&amp;IF(AND('06_建筑锚点'!D474&lt;&gt;"",COUNTIF('03_地点锚点'!$A$2:$A$501,'06_建筑锚点'!D474)=0),"建筑所属地点不存在；","")&amp;IF(AND('06_建筑锚点'!T474&lt;&gt;"",COUNTIF('07_动态状态'!$A$2:$A$501,'06_建筑锚点'!T474)=0),"运营状态编码不存在；","")&amp;IF(AND('06_建筑锚点'!A474&lt;&gt;"",COUNTIF('06_建筑锚点'!$A$2:$A$501,'06_建筑锚点'!A474)&gt;1),"ID重复；",""),"")</f>
        <v/>
      </c>
      <c r="G2474" s="14">
        <f>IF(F2474&lt;&gt;"","按字段批注、数据字典和来源记录修正后复核","")</f>
        <v/>
      </c>
      <c r="H2474" s="14">
        <f>IF(F2474&lt;&gt;"","待处理","")</f>
        <v/>
      </c>
    </row>
    <row r="2475">
      <c r="A2475" s="14">
        <f>IF(F2475&lt;&gt;"","ISSUE-"&amp;TEXT(ROW()-1,"00000"),"")</f>
        <v/>
      </c>
      <c r="B2475" s="14">
        <f>IF(F2475&lt;&gt;"","错误","")</f>
        <v/>
      </c>
      <c r="C2475" s="14">
        <f>IF('06_建筑锚点'!A475&lt;&gt;"","06_建筑锚点","")</f>
        <v/>
      </c>
      <c r="D2475" s="14">
        <f>IF('06_建筑锚点'!A475&lt;&gt;"",'06_建筑锚点'!A475,"")</f>
        <v/>
      </c>
      <c r="E2475" s="14">
        <f>IF(F2475&lt;&gt;"","综合校验","")</f>
        <v/>
      </c>
      <c r="F2475" s="14">
        <f>IF('06_建筑锚点'!A475&lt;&gt;"",IF('06_建筑锚点'!A475="","缺少建筑ID；","")&amp;IF('06_建筑锚点'!B475="","缺少建筑名称；","")&amp;IF('06_建筑锚点'!C475="","缺少建筑类型；","")&amp;IF('06_建筑锚点'!D475="","缺少所属地点ID；","")&amp;IF('06_建筑锚点'!F475="","缺少世界X；","")&amp;IF('06_建筑锚点'!G475="","缺少世界Y；","")&amp;IF(AND('06_建筑锚点'!F475&lt;&gt;"",OR('06_建筑锚点'!F475&lt;0,'06_建筑锚点'!F475&gt;WorldWidth)),"世界X越界；","")&amp;IF(AND('06_建筑锚点'!G475&lt;&gt;"",OR('06_建筑锚点'!G475&lt;0,'06_建筑锚点'!G475&gt;WorldHeight)),"世界Y越界；","")&amp;IF(AND('06_建筑锚点'!D475&lt;&gt;"",COUNTIF('03_地点锚点'!$A$2:$A$501,'06_建筑锚点'!D475)=0),"建筑所属地点不存在；","")&amp;IF(AND('06_建筑锚点'!T475&lt;&gt;"",COUNTIF('07_动态状态'!$A$2:$A$501,'06_建筑锚点'!T475)=0),"运营状态编码不存在；","")&amp;IF(AND('06_建筑锚点'!A475&lt;&gt;"",COUNTIF('06_建筑锚点'!$A$2:$A$501,'06_建筑锚点'!A475)&gt;1),"ID重复；",""),"")</f>
        <v/>
      </c>
      <c r="G2475" s="14">
        <f>IF(F2475&lt;&gt;"","按字段批注、数据字典和来源记录修正后复核","")</f>
        <v/>
      </c>
      <c r="H2475" s="14">
        <f>IF(F2475&lt;&gt;"","待处理","")</f>
        <v/>
      </c>
    </row>
    <row r="2476">
      <c r="A2476" s="14">
        <f>IF(F2476&lt;&gt;"","ISSUE-"&amp;TEXT(ROW()-1,"00000"),"")</f>
        <v/>
      </c>
      <c r="B2476" s="14">
        <f>IF(F2476&lt;&gt;"","错误","")</f>
        <v/>
      </c>
      <c r="C2476" s="14">
        <f>IF('06_建筑锚点'!A476&lt;&gt;"","06_建筑锚点","")</f>
        <v/>
      </c>
      <c r="D2476" s="14">
        <f>IF('06_建筑锚点'!A476&lt;&gt;"",'06_建筑锚点'!A476,"")</f>
        <v/>
      </c>
      <c r="E2476" s="14">
        <f>IF(F2476&lt;&gt;"","综合校验","")</f>
        <v/>
      </c>
      <c r="F2476" s="14">
        <f>IF('06_建筑锚点'!A476&lt;&gt;"",IF('06_建筑锚点'!A476="","缺少建筑ID；","")&amp;IF('06_建筑锚点'!B476="","缺少建筑名称；","")&amp;IF('06_建筑锚点'!C476="","缺少建筑类型；","")&amp;IF('06_建筑锚点'!D476="","缺少所属地点ID；","")&amp;IF('06_建筑锚点'!F476="","缺少世界X；","")&amp;IF('06_建筑锚点'!G476="","缺少世界Y；","")&amp;IF(AND('06_建筑锚点'!F476&lt;&gt;"",OR('06_建筑锚点'!F476&lt;0,'06_建筑锚点'!F476&gt;WorldWidth)),"世界X越界；","")&amp;IF(AND('06_建筑锚点'!G476&lt;&gt;"",OR('06_建筑锚点'!G476&lt;0,'06_建筑锚点'!G476&gt;WorldHeight)),"世界Y越界；","")&amp;IF(AND('06_建筑锚点'!D476&lt;&gt;"",COUNTIF('03_地点锚点'!$A$2:$A$501,'06_建筑锚点'!D476)=0),"建筑所属地点不存在；","")&amp;IF(AND('06_建筑锚点'!T476&lt;&gt;"",COUNTIF('07_动态状态'!$A$2:$A$501,'06_建筑锚点'!T476)=0),"运营状态编码不存在；","")&amp;IF(AND('06_建筑锚点'!A476&lt;&gt;"",COUNTIF('06_建筑锚点'!$A$2:$A$501,'06_建筑锚点'!A476)&gt;1),"ID重复；",""),"")</f>
        <v/>
      </c>
      <c r="G2476" s="14">
        <f>IF(F2476&lt;&gt;"","按字段批注、数据字典和来源记录修正后复核","")</f>
        <v/>
      </c>
      <c r="H2476" s="14">
        <f>IF(F2476&lt;&gt;"","待处理","")</f>
        <v/>
      </c>
    </row>
    <row r="2477">
      <c r="A2477" s="14">
        <f>IF(F2477&lt;&gt;"","ISSUE-"&amp;TEXT(ROW()-1,"00000"),"")</f>
        <v/>
      </c>
      <c r="B2477" s="14">
        <f>IF(F2477&lt;&gt;"","错误","")</f>
        <v/>
      </c>
      <c r="C2477" s="14">
        <f>IF('06_建筑锚点'!A477&lt;&gt;"","06_建筑锚点","")</f>
        <v/>
      </c>
      <c r="D2477" s="14">
        <f>IF('06_建筑锚点'!A477&lt;&gt;"",'06_建筑锚点'!A477,"")</f>
        <v/>
      </c>
      <c r="E2477" s="14">
        <f>IF(F2477&lt;&gt;"","综合校验","")</f>
        <v/>
      </c>
      <c r="F2477" s="14">
        <f>IF('06_建筑锚点'!A477&lt;&gt;"",IF('06_建筑锚点'!A477="","缺少建筑ID；","")&amp;IF('06_建筑锚点'!B477="","缺少建筑名称；","")&amp;IF('06_建筑锚点'!C477="","缺少建筑类型；","")&amp;IF('06_建筑锚点'!D477="","缺少所属地点ID；","")&amp;IF('06_建筑锚点'!F477="","缺少世界X；","")&amp;IF('06_建筑锚点'!G477="","缺少世界Y；","")&amp;IF(AND('06_建筑锚点'!F477&lt;&gt;"",OR('06_建筑锚点'!F477&lt;0,'06_建筑锚点'!F477&gt;WorldWidth)),"世界X越界；","")&amp;IF(AND('06_建筑锚点'!G477&lt;&gt;"",OR('06_建筑锚点'!G477&lt;0,'06_建筑锚点'!G477&gt;WorldHeight)),"世界Y越界；","")&amp;IF(AND('06_建筑锚点'!D477&lt;&gt;"",COUNTIF('03_地点锚点'!$A$2:$A$501,'06_建筑锚点'!D477)=0),"建筑所属地点不存在；","")&amp;IF(AND('06_建筑锚点'!T477&lt;&gt;"",COUNTIF('07_动态状态'!$A$2:$A$501,'06_建筑锚点'!T477)=0),"运营状态编码不存在；","")&amp;IF(AND('06_建筑锚点'!A477&lt;&gt;"",COUNTIF('06_建筑锚点'!$A$2:$A$501,'06_建筑锚点'!A477)&gt;1),"ID重复；",""),"")</f>
        <v/>
      </c>
      <c r="G2477" s="14">
        <f>IF(F2477&lt;&gt;"","按字段批注、数据字典和来源记录修正后复核","")</f>
        <v/>
      </c>
      <c r="H2477" s="14">
        <f>IF(F2477&lt;&gt;"","待处理","")</f>
        <v/>
      </c>
    </row>
    <row r="2478">
      <c r="A2478" s="14">
        <f>IF(F2478&lt;&gt;"","ISSUE-"&amp;TEXT(ROW()-1,"00000"),"")</f>
        <v/>
      </c>
      <c r="B2478" s="14">
        <f>IF(F2478&lt;&gt;"","错误","")</f>
        <v/>
      </c>
      <c r="C2478" s="14">
        <f>IF('06_建筑锚点'!A478&lt;&gt;"","06_建筑锚点","")</f>
        <v/>
      </c>
      <c r="D2478" s="14">
        <f>IF('06_建筑锚点'!A478&lt;&gt;"",'06_建筑锚点'!A478,"")</f>
        <v/>
      </c>
      <c r="E2478" s="14">
        <f>IF(F2478&lt;&gt;"","综合校验","")</f>
        <v/>
      </c>
      <c r="F2478" s="14">
        <f>IF('06_建筑锚点'!A478&lt;&gt;"",IF('06_建筑锚点'!A478="","缺少建筑ID；","")&amp;IF('06_建筑锚点'!B478="","缺少建筑名称；","")&amp;IF('06_建筑锚点'!C478="","缺少建筑类型；","")&amp;IF('06_建筑锚点'!D478="","缺少所属地点ID；","")&amp;IF('06_建筑锚点'!F478="","缺少世界X；","")&amp;IF('06_建筑锚点'!G478="","缺少世界Y；","")&amp;IF(AND('06_建筑锚点'!F478&lt;&gt;"",OR('06_建筑锚点'!F478&lt;0,'06_建筑锚点'!F478&gt;WorldWidth)),"世界X越界；","")&amp;IF(AND('06_建筑锚点'!G478&lt;&gt;"",OR('06_建筑锚点'!G478&lt;0,'06_建筑锚点'!G478&gt;WorldHeight)),"世界Y越界；","")&amp;IF(AND('06_建筑锚点'!D478&lt;&gt;"",COUNTIF('03_地点锚点'!$A$2:$A$501,'06_建筑锚点'!D478)=0),"建筑所属地点不存在；","")&amp;IF(AND('06_建筑锚点'!T478&lt;&gt;"",COUNTIF('07_动态状态'!$A$2:$A$501,'06_建筑锚点'!T478)=0),"运营状态编码不存在；","")&amp;IF(AND('06_建筑锚点'!A478&lt;&gt;"",COUNTIF('06_建筑锚点'!$A$2:$A$501,'06_建筑锚点'!A478)&gt;1),"ID重复；",""),"")</f>
        <v/>
      </c>
      <c r="G2478" s="14">
        <f>IF(F2478&lt;&gt;"","按字段批注、数据字典和来源记录修正后复核","")</f>
        <v/>
      </c>
      <c r="H2478" s="14">
        <f>IF(F2478&lt;&gt;"","待处理","")</f>
        <v/>
      </c>
    </row>
    <row r="2479">
      <c r="A2479" s="14">
        <f>IF(F2479&lt;&gt;"","ISSUE-"&amp;TEXT(ROW()-1,"00000"),"")</f>
        <v/>
      </c>
      <c r="B2479" s="14">
        <f>IF(F2479&lt;&gt;"","错误","")</f>
        <v/>
      </c>
      <c r="C2479" s="14">
        <f>IF('06_建筑锚点'!A479&lt;&gt;"","06_建筑锚点","")</f>
        <v/>
      </c>
      <c r="D2479" s="14">
        <f>IF('06_建筑锚点'!A479&lt;&gt;"",'06_建筑锚点'!A479,"")</f>
        <v/>
      </c>
      <c r="E2479" s="14">
        <f>IF(F2479&lt;&gt;"","综合校验","")</f>
        <v/>
      </c>
      <c r="F2479" s="14">
        <f>IF('06_建筑锚点'!A479&lt;&gt;"",IF('06_建筑锚点'!A479="","缺少建筑ID；","")&amp;IF('06_建筑锚点'!B479="","缺少建筑名称；","")&amp;IF('06_建筑锚点'!C479="","缺少建筑类型；","")&amp;IF('06_建筑锚点'!D479="","缺少所属地点ID；","")&amp;IF('06_建筑锚点'!F479="","缺少世界X；","")&amp;IF('06_建筑锚点'!G479="","缺少世界Y；","")&amp;IF(AND('06_建筑锚点'!F479&lt;&gt;"",OR('06_建筑锚点'!F479&lt;0,'06_建筑锚点'!F479&gt;WorldWidth)),"世界X越界；","")&amp;IF(AND('06_建筑锚点'!G479&lt;&gt;"",OR('06_建筑锚点'!G479&lt;0,'06_建筑锚点'!G479&gt;WorldHeight)),"世界Y越界；","")&amp;IF(AND('06_建筑锚点'!D479&lt;&gt;"",COUNTIF('03_地点锚点'!$A$2:$A$501,'06_建筑锚点'!D479)=0),"建筑所属地点不存在；","")&amp;IF(AND('06_建筑锚点'!T479&lt;&gt;"",COUNTIF('07_动态状态'!$A$2:$A$501,'06_建筑锚点'!T479)=0),"运营状态编码不存在；","")&amp;IF(AND('06_建筑锚点'!A479&lt;&gt;"",COUNTIF('06_建筑锚点'!$A$2:$A$501,'06_建筑锚点'!A479)&gt;1),"ID重复；",""),"")</f>
        <v/>
      </c>
      <c r="G2479" s="14">
        <f>IF(F2479&lt;&gt;"","按字段批注、数据字典和来源记录修正后复核","")</f>
        <v/>
      </c>
      <c r="H2479" s="14">
        <f>IF(F2479&lt;&gt;"","待处理","")</f>
        <v/>
      </c>
    </row>
    <row r="2480">
      <c r="A2480" s="14">
        <f>IF(F2480&lt;&gt;"","ISSUE-"&amp;TEXT(ROW()-1,"00000"),"")</f>
        <v/>
      </c>
      <c r="B2480" s="14">
        <f>IF(F2480&lt;&gt;"","错误","")</f>
        <v/>
      </c>
      <c r="C2480" s="14">
        <f>IF('06_建筑锚点'!A480&lt;&gt;"","06_建筑锚点","")</f>
        <v/>
      </c>
      <c r="D2480" s="14">
        <f>IF('06_建筑锚点'!A480&lt;&gt;"",'06_建筑锚点'!A480,"")</f>
        <v/>
      </c>
      <c r="E2480" s="14">
        <f>IF(F2480&lt;&gt;"","综合校验","")</f>
        <v/>
      </c>
      <c r="F2480" s="14">
        <f>IF('06_建筑锚点'!A480&lt;&gt;"",IF('06_建筑锚点'!A480="","缺少建筑ID；","")&amp;IF('06_建筑锚点'!B480="","缺少建筑名称；","")&amp;IF('06_建筑锚点'!C480="","缺少建筑类型；","")&amp;IF('06_建筑锚点'!D480="","缺少所属地点ID；","")&amp;IF('06_建筑锚点'!F480="","缺少世界X；","")&amp;IF('06_建筑锚点'!G480="","缺少世界Y；","")&amp;IF(AND('06_建筑锚点'!F480&lt;&gt;"",OR('06_建筑锚点'!F480&lt;0,'06_建筑锚点'!F480&gt;WorldWidth)),"世界X越界；","")&amp;IF(AND('06_建筑锚点'!G480&lt;&gt;"",OR('06_建筑锚点'!G480&lt;0,'06_建筑锚点'!G480&gt;WorldHeight)),"世界Y越界；","")&amp;IF(AND('06_建筑锚点'!D480&lt;&gt;"",COUNTIF('03_地点锚点'!$A$2:$A$501,'06_建筑锚点'!D480)=0),"建筑所属地点不存在；","")&amp;IF(AND('06_建筑锚点'!T480&lt;&gt;"",COUNTIF('07_动态状态'!$A$2:$A$501,'06_建筑锚点'!T480)=0),"运营状态编码不存在；","")&amp;IF(AND('06_建筑锚点'!A480&lt;&gt;"",COUNTIF('06_建筑锚点'!$A$2:$A$501,'06_建筑锚点'!A480)&gt;1),"ID重复；",""),"")</f>
        <v/>
      </c>
      <c r="G2480" s="14">
        <f>IF(F2480&lt;&gt;"","按字段批注、数据字典和来源记录修正后复核","")</f>
        <v/>
      </c>
      <c r="H2480" s="14">
        <f>IF(F2480&lt;&gt;"","待处理","")</f>
        <v/>
      </c>
    </row>
    <row r="2481">
      <c r="A2481" s="14">
        <f>IF(F2481&lt;&gt;"","ISSUE-"&amp;TEXT(ROW()-1,"00000"),"")</f>
        <v/>
      </c>
      <c r="B2481" s="14">
        <f>IF(F2481&lt;&gt;"","错误","")</f>
        <v/>
      </c>
      <c r="C2481" s="14">
        <f>IF('06_建筑锚点'!A481&lt;&gt;"","06_建筑锚点","")</f>
        <v/>
      </c>
      <c r="D2481" s="14">
        <f>IF('06_建筑锚点'!A481&lt;&gt;"",'06_建筑锚点'!A481,"")</f>
        <v/>
      </c>
      <c r="E2481" s="14">
        <f>IF(F2481&lt;&gt;"","综合校验","")</f>
        <v/>
      </c>
      <c r="F2481" s="14">
        <f>IF('06_建筑锚点'!A481&lt;&gt;"",IF('06_建筑锚点'!A481="","缺少建筑ID；","")&amp;IF('06_建筑锚点'!B481="","缺少建筑名称；","")&amp;IF('06_建筑锚点'!C481="","缺少建筑类型；","")&amp;IF('06_建筑锚点'!D481="","缺少所属地点ID；","")&amp;IF('06_建筑锚点'!F481="","缺少世界X；","")&amp;IF('06_建筑锚点'!G481="","缺少世界Y；","")&amp;IF(AND('06_建筑锚点'!F481&lt;&gt;"",OR('06_建筑锚点'!F481&lt;0,'06_建筑锚点'!F481&gt;WorldWidth)),"世界X越界；","")&amp;IF(AND('06_建筑锚点'!G481&lt;&gt;"",OR('06_建筑锚点'!G481&lt;0,'06_建筑锚点'!G481&gt;WorldHeight)),"世界Y越界；","")&amp;IF(AND('06_建筑锚点'!D481&lt;&gt;"",COUNTIF('03_地点锚点'!$A$2:$A$501,'06_建筑锚点'!D481)=0),"建筑所属地点不存在；","")&amp;IF(AND('06_建筑锚点'!T481&lt;&gt;"",COUNTIF('07_动态状态'!$A$2:$A$501,'06_建筑锚点'!T481)=0),"运营状态编码不存在；","")&amp;IF(AND('06_建筑锚点'!A481&lt;&gt;"",COUNTIF('06_建筑锚点'!$A$2:$A$501,'06_建筑锚点'!A481)&gt;1),"ID重复；",""),"")</f>
        <v/>
      </c>
      <c r="G2481" s="14">
        <f>IF(F2481&lt;&gt;"","按字段批注、数据字典和来源记录修正后复核","")</f>
        <v/>
      </c>
      <c r="H2481" s="14">
        <f>IF(F2481&lt;&gt;"","待处理","")</f>
        <v/>
      </c>
    </row>
    <row r="2482">
      <c r="A2482" s="14">
        <f>IF(F2482&lt;&gt;"","ISSUE-"&amp;TEXT(ROW()-1,"00000"),"")</f>
        <v/>
      </c>
      <c r="B2482" s="14">
        <f>IF(F2482&lt;&gt;"","错误","")</f>
        <v/>
      </c>
      <c r="C2482" s="14">
        <f>IF('06_建筑锚点'!A482&lt;&gt;"","06_建筑锚点","")</f>
        <v/>
      </c>
      <c r="D2482" s="14">
        <f>IF('06_建筑锚点'!A482&lt;&gt;"",'06_建筑锚点'!A482,"")</f>
        <v/>
      </c>
      <c r="E2482" s="14">
        <f>IF(F2482&lt;&gt;"","综合校验","")</f>
        <v/>
      </c>
      <c r="F2482" s="14">
        <f>IF('06_建筑锚点'!A482&lt;&gt;"",IF('06_建筑锚点'!A482="","缺少建筑ID；","")&amp;IF('06_建筑锚点'!B482="","缺少建筑名称；","")&amp;IF('06_建筑锚点'!C482="","缺少建筑类型；","")&amp;IF('06_建筑锚点'!D482="","缺少所属地点ID；","")&amp;IF('06_建筑锚点'!F482="","缺少世界X；","")&amp;IF('06_建筑锚点'!G482="","缺少世界Y；","")&amp;IF(AND('06_建筑锚点'!F482&lt;&gt;"",OR('06_建筑锚点'!F482&lt;0,'06_建筑锚点'!F482&gt;WorldWidth)),"世界X越界；","")&amp;IF(AND('06_建筑锚点'!G482&lt;&gt;"",OR('06_建筑锚点'!G482&lt;0,'06_建筑锚点'!G482&gt;WorldHeight)),"世界Y越界；","")&amp;IF(AND('06_建筑锚点'!D482&lt;&gt;"",COUNTIF('03_地点锚点'!$A$2:$A$501,'06_建筑锚点'!D482)=0),"建筑所属地点不存在；","")&amp;IF(AND('06_建筑锚点'!T482&lt;&gt;"",COUNTIF('07_动态状态'!$A$2:$A$501,'06_建筑锚点'!T482)=0),"运营状态编码不存在；","")&amp;IF(AND('06_建筑锚点'!A482&lt;&gt;"",COUNTIF('06_建筑锚点'!$A$2:$A$501,'06_建筑锚点'!A482)&gt;1),"ID重复；",""),"")</f>
        <v/>
      </c>
      <c r="G2482" s="14">
        <f>IF(F2482&lt;&gt;"","按字段批注、数据字典和来源记录修正后复核","")</f>
        <v/>
      </c>
      <c r="H2482" s="14">
        <f>IF(F2482&lt;&gt;"","待处理","")</f>
        <v/>
      </c>
    </row>
    <row r="2483">
      <c r="A2483" s="14">
        <f>IF(F2483&lt;&gt;"","ISSUE-"&amp;TEXT(ROW()-1,"00000"),"")</f>
        <v/>
      </c>
      <c r="B2483" s="14">
        <f>IF(F2483&lt;&gt;"","错误","")</f>
        <v/>
      </c>
      <c r="C2483" s="14">
        <f>IF('06_建筑锚点'!A483&lt;&gt;"","06_建筑锚点","")</f>
        <v/>
      </c>
      <c r="D2483" s="14">
        <f>IF('06_建筑锚点'!A483&lt;&gt;"",'06_建筑锚点'!A483,"")</f>
        <v/>
      </c>
      <c r="E2483" s="14">
        <f>IF(F2483&lt;&gt;"","综合校验","")</f>
        <v/>
      </c>
      <c r="F2483" s="14">
        <f>IF('06_建筑锚点'!A483&lt;&gt;"",IF('06_建筑锚点'!A483="","缺少建筑ID；","")&amp;IF('06_建筑锚点'!B483="","缺少建筑名称；","")&amp;IF('06_建筑锚点'!C483="","缺少建筑类型；","")&amp;IF('06_建筑锚点'!D483="","缺少所属地点ID；","")&amp;IF('06_建筑锚点'!F483="","缺少世界X；","")&amp;IF('06_建筑锚点'!G483="","缺少世界Y；","")&amp;IF(AND('06_建筑锚点'!F483&lt;&gt;"",OR('06_建筑锚点'!F483&lt;0,'06_建筑锚点'!F483&gt;WorldWidth)),"世界X越界；","")&amp;IF(AND('06_建筑锚点'!G483&lt;&gt;"",OR('06_建筑锚点'!G483&lt;0,'06_建筑锚点'!G483&gt;WorldHeight)),"世界Y越界；","")&amp;IF(AND('06_建筑锚点'!D483&lt;&gt;"",COUNTIF('03_地点锚点'!$A$2:$A$501,'06_建筑锚点'!D483)=0),"建筑所属地点不存在；","")&amp;IF(AND('06_建筑锚点'!T483&lt;&gt;"",COUNTIF('07_动态状态'!$A$2:$A$501,'06_建筑锚点'!T483)=0),"运营状态编码不存在；","")&amp;IF(AND('06_建筑锚点'!A483&lt;&gt;"",COUNTIF('06_建筑锚点'!$A$2:$A$501,'06_建筑锚点'!A483)&gt;1),"ID重复；",""),"")</f>
        <v/>
      </c>
      <c r="G2483" s="14">
        <f>IF(F2483&lt;&gt;"","按字段批注、数据字典和来源记录修正后复核","")</f>
        <v/>
      </c>
      <c r="H2483" s="14">
        <f>IF(F2483&lt;&gt;"","待处理","")</f>
        <v/>
      </c>
    </row>
    <row r="2484">
      <c r="A2484" s="14">
        <f>IF(F2484&lt;&gt;"","ISSUE-"&amp;TEXT(ROW()-1,"00000"),"")</f>
        <v/>
      </c>
      <c r="B2484" s="14">
        <f>IF(F2484&lt;&gt;"","错误","")</f>
        <v/>
      </c>
      <c r="C2484" s="14">
        <f>IF('06_建筑锚点'!A484&lt;&gt;"","06_建筑锚点","")</f>
        <v/>
      </c>
      <c r="D2484" s="14">
        <f>IF('06_建筑锚点'!A484&lt;&gt;"",'06_建筑锚点'!A484,"")</f>
        <v/>
      </c>
      <c r="E2484" s="14">
        <f>IF(F2484&lt;&gt;"","综合校验","")</f>
        <v/>
      </c>
      <c r="F2484" s="14">
        <f>IF('06_建筑锚点'!A484&lt;&gt;"",IF('06_建筑锚点'!A484="","缺少建筑ID；","")&amp;IF('06_建筑锚点'!B484="","缺少建筑名称；","")&amp;IF('06_建筑锚点'!C484="","缺少建筑类型；","")&amp;IF('06_建筑锚点'!D484="","缺少所属地点ID；","")&amp;IF('06_建筑锚点'!F484="","缺少世界X；","")&amp;IF('06_建筑锚点'!G484="","缺少世界Y；","")&amp;IF(AND('06_建筑锚点'!F484&lt;&gt;"",OR('06_建筑锚点'!F484&lt;0,'06_建筑锚点'!F484&gt;WorldWidth)),"世界X越界；","")&amp;IF(AND('06_建筑锚点'!G484&lt;&gt;"",OR('06_建筑锚点'!G484&lt;0,'06_建筑锚点'!G484&gt;WorldHeight)),"世界Y越界；","")&amp;IF(AND('06_建筑锚点'!D484&lt;&gt;"",COUNTIF('03_地点锚点'!$A$2:$A$501,'06_建筑锚点'!D484)=0),"建筑所属地点不存在；","")&amp;IF(AND('06_建筑锚点'!T484&lt;&gt;"",COUNTIF('07_动态状态'!$A$2:$A$501,'06_建筑锚点'!T484)=0),"运营状态编码不存在；","")&amp;IF(AND('06_建筑锚点'!A484&lt;&gt;"",COUNTIF('06_建筑锚点'!$A$2:$A$501,'06_建筑锚点'!A484)&gt;1),"ID重复；",""),"")</f>
        <v/>
      </c>
      <c r="G2484" s="14">
        <f>IF(F2484&lt;&gt;"","按字段批注、数据字典和来源记录修正后复核","")</f>
        <v/>
      </c>
      <c r="H2484" s="14">
        <f>IF(F2484&lt;&gt;"","待处理","")</f>
        <v/>
      </c>
    </row>
    <row r="2485">
      <c r="A2485" s="14">
        <f>IF(F2485&lt;&gt;"","ISSUE-"&amp;TEXT(ROW()-1,"00000"),"")</f>
        <v/>
      </c>
      <c r="B2485" s="14">
        <f>IF(F2485&lt;&gt;"","错误","")</f>
        <v/>
      </c>
      <c r="C2485" s="14">
        <f>IF('06_建筑锚点'!A485&lt;&gt;"","06_建筑锚点","")</f>
        <v/>
      </c>
      <c r="D2485" s="14">
        <f>IF('06_建筑锚点'!A485&lt;&gt;"",'06_建筑锚点'!A485,"")</f>
        <v/>
      </c>
      <c r="E2485" s="14">
        <f>IF(F2485&lt;&gt;"","综合校验","")</f>
        <v/>
      </c>
      <c r="F2485" s="14">
        <f>IF('06_建筑锚点'!A485&lt;&gt;"",IF('06_建筑锚点'!A485="","缺少建筑ID；","")&amp;IF('06_建筑锚点'!B485="","缺少建筑名称；","")&amp;IF('06_建筑锚点'!C485="","缺少建筑类型；","")&amp;IF('06_建筑锚点'!D485="","缺少所属地点ID；","")&amp;IF('06_建筑锚点'!F485="","缺少世界X；","")&amp;IF('06_建筑锚点'!G485="","缺少世界Y；","")&amp;IF(AND('06_建筑锚点'!F485&lt;&gt;"",OR('06_建筑锚点'!F485&lt;0,'06_建筑锚点'!F485&gt;WorldWidth)),"世界X越界；","")&amp;IF(AND('06_建筑锚点'!G485&lt;&gt;"",OR('06_建筑锚点'!G485&lt;0,'06_建筑锚点'!G485&gt;WorldHeight)),"世界Y越界；","")&amp;IF(AND('06_建筑锚点'!D485&lt;&gt;"",COUNTIF('03_地点锚点'!$A$2:$A$501,'06_建筑锚点'!D485)=0),"建筑所属地点不存在；","")&amp;IF(AND('06_建筑锚点'!T485&lt;&gt;"",COUNTIF('07_动态状态'!$A$2:$A$501,'06_建筑锚点'!T485)=0),"运营状态编码不存在；","")&amp;IF(AND('06_建筑锚点'!A485&lt;&gt;"",COUNTIF('06_建筑锚点'!$A$2:$A$501,'06_建筑锚点'!A485)&gt;1),"ID重复；",""),"")</f>
        <v/>
      </c>
      <c r="G2485" s="14">
        <f>IF(F2485&lt;&gt;"","按字段批注、数据字典和来源记录修正后复核","")</f>
        <v/>
      </c>
      <c r="H2485" s="14">
        <f>IF(F2485&lt;&gt;"","待处理","")</f>
        <v/>
      </c>
    </row>
    <row r="2486">
      <c r="A2486" s="14">
        <f>IF(F2486&lt;&gt;"","ISSUE-"&amp;TEXT(ROW()-1,"00000"),"")</f>
        <v/>
      </c>
      <c r="B2486" s="14">
        <f>IF(F2486&lt;&gt;"","错误","")</f>
        <v/>
      </c>
      <c r="C2486" s="14">
        <f>IF('06_建筑锚点'!A486&lt;&gt;"","06_建筑锚点","")</f>
        <v/>
      </c>
      <c r="D2486" s="14">
        <f>IF('06_建筑锚点'!A486&lt;&gt;"",'06_建筑锚点'!A486,"")</f>
        <v/>
      </c>
      <c r="E2486" s="14">
        <f>IF(F2486&lt;&gt;"","综合校验","")</f>
        <v/>
      </c>
      <c r="F2486" s="14">
        <f>IF('06_建筑锚点'!A486&lt;&gt;"",IF('06_建筑锚点'!A486="","缺少建筑ID；","")&amp;IF('06_建筑锚点'!B486="","缺少建筑名称；","")&amp;IF('06_建筑锚点'!C486="","缺少建筑类型；","")&amp;IF('06_建筑锚点'!D486="","缺少所属地点ID；","")&amp;IF('06_建筑锚点'!F486="","缺少世界X；","")&amp;IF('06_建筑锚点'!G486="","缺少世界Y；","")&amp;IF(AND('06_建筑锚点'!F486&lt;&gt;"",OR('06_建筑锚点'!F486&lt;0,'06_建筑锚点'!F486&gt;WorldWidth)),"世界X越界；","")&amp;IF(AND('06_建筑锚点'!G486&lt;&gt;"",OR('06_建筑锚点'!G486&lt;0,'06_建筑锚点'!G486&gt;WorldHeight)),"世界Y越界；","")&amp;IF(AND('06_建筑锚点'!D486&lt;&gt;"",COUNTIF('03_地点锚点'!$A$2:$A$501,'06_建筑锚点'!D486)=0),"建筑所属地点不存在；","")&amp;IF(AND('06_建筑锚点'!T486&lt;&gt;"",COUNTIF('07_动态状态'!$A$2:$A$501,'06_建筑锚点'!T486)=0),"运营状态编码不存在；","")&amp;IF(AND('06_建筑锚点'!A486&lt;&gt;"",COUNTIF('06_建筑锚点'!$A$2:$A$501,'06_建筑锚点'!A486)&gt;1),"ID重复；",""),"")</f>
        <v/>
      </c>
      <c r="G2486" s="14">
        <f>IF(F2486&lt;&gt;"","按字段批注、数据字典和来源记录修正后复核","")</f>
        <v/>
      </c>
      <c r="H2486" s="14">
        <f>IF(F2486&lt;&gt;"","待处理","")</f>
        <v/>
      </c>
    </row>
    <row r="2487">
      <c r="A2487" s="14">
        <f>IF(F2487&lt;&gt;"","ISSUE-"&amp;TEXT(ROW()-1,"00000"),"")</f>
        <v/>
      </c>
      <c r="B2487" s="14">
        <f>IF(F2487&lt;&gt;"","错误","")</f>
        <v/>
      </c>
      <c r="C2487" s="14">
        <f>IF('06_建筑锚点'!A487&lt;&gt;"","06_建筑锚点","")</f>
        <v/>
      </c>
      <c r="D2487" s="14">
        <f>IF('06_建筑锚点'!A487&lt;&gt;"",'06_建筑锚点'!A487,"")</f>
        <v/>
      </c>
      <c r="E2487" s="14">
        <f>IF(F2487&lt;&gt;"","综合校验","")</f>
        <v/>
      </c>
      <c r="F2487" s="14">
        <f>IF('06_建筑锚点'!A487&lt;&gt;"",IF('06_建筑锚点'!A487="","缺少建筑ID；","")&amp;IF('06_建筑锚点'!B487="","缺少建筑名称；","")&amp;IF('06_建筑锚点'!C487="","缺少建筑类型；","")&amp;IF('06_建筑锚点'!D487="","缺少所属地点ID；","")&amp;IF('06_建筑锚点'!F487="","缺少世界X；","")&amp;IF('06_建筑锚点'!G487="","缺少世界Y；","")&amp;IF(AND('06_建筑锚点'!F487&lt;&gt;"",OR('06_建筑锚点'!F487&lt;0,'06_建筑锚点'!F487&gt;WorldWidth)),"世界X越界；","")&amp;IF(AND('06_建筑锚点'!G487&lt;&gt;"",OR('06_建筑锚点'!G487&lt;0,'06_建筑锚点'!G487&gt;WorldHeight)),"世界Y越界；","")&amp;IF(AND('06_建筑锚点'!D487&lt;&gt;"",COUNTIF('03_地点锚点'!$A$2:$A$501,'06_建筑锚点'!D487)=0),"建筑所属地点不存在；","")&amp;IF(AND('06_建筑锚点'!T487&lt;&gt;"",COUNTIF('07_动态状态'!$A$2:$A$501,'06_建筑锚点'!T487)=0),"运营状态编码不存在；","")&amp;IF(AND('06_建筑锚点'!A487&lt;&gt;"",COUNTIF('06_建筑锚点'!$A$2:$A$501,'06_建筑锚点'!A487)&gt;1),"ID重复；",""),"")</f>
        <v/>
      </c>
      <c r="G2487" s="14">
        <f>IF(F2487&lt;&gt;"","按字段批注、数据字典和来源记录修正后复核","")</f>
        <v/>
      </c>
      <c r="H2487" s="14">
        <f>IF(F2487&lt;&gt;"","待处理","")</f>
        <v/>
      </c>
    </row>
    <row r="2488">
      <c r="A2488" s="14">
        <f>IF(F2488&lt;&gt;"","ISSUE-"&amp;TEXT(ROW()-1,"00000"),"")</f>
        <v/>
      </c>
      <c r="B2488" s="14">
        <f>IF(F2488&lt;&gt;"","错误","")</f>
        <v/>
      </c>
      <c r="C2488" s="14">
        <f>IF('06_建筑锚点'!A488&lt;&gt;"","06_建筑锚点","")</f>
        <v/>
      </c>
      <c r="D2488" s="14">
        <f>IF('06_建筑锚点'!A488&lt;&gt;"",'06_建筑锚点'!A488,"")</f>
        <v/>
      </c>
      <c r="E2488" s="14">
        <f>IF(F2488&lt;&gt;"","综合校验","")</f>
        <v/>
      </c>
      <c r="F2488" s="14">
        <f>IF('06_建筑锚点'!A488&lt;&gt;"",IF('06_建筑锚点'!A488="","缺少建筑ID；","")&amp;IF('06_建筑锚点'!B488="","缺少建筑名称；","")&amp;IF('06_建筑锚点'!C488="","缺少建筑类型；","")&amp;IF('06_建筑锚点'!D488="","缺少所属地点ID；","")&amp;IF('06_建筑锚点'!F488="","缺少世界X；","")&amp;IF('06_建筑锚点'!G488="","缺少世界Y；","")&amp;IF(AND('06_建筑锚点'!F488&lt;&gt;"",OR('06_建筑锚点'!F488&lt;0,'06_建筑锚点'!F488&gt;WorldWidth)),"世界X越界；","")&amp;IF(AND('06_建筑锚点'!G488&lt;&gt;"",OR('06_建筑锚点'!G488&lt;0,'06_建筑锚点'!G488&gt;WorldHeight)),"世界Y越界；","")&amp;IF(AND('06_建筑锚点'!D488&lt;&gt;"",COUNTIF('03_地点锚点'!$A$2:$A$501,'06_建筑锚点'!D488)=0),"建筑所属地点不存在；","")&amp;IF(AND('06_建筑锚点'!T488&lt;&gt;"",COUNTIF('07_动态状态'!$A$2:$A$501,'06_建筑锚点'!T488)=0),"运营状态编码不存在；","")&amp;IF(AND('06_建筑锚点'!A488&lt;&gt;"",COUNTIF('06_建筑锚点'!$A$2:$A$501,'06_建筑锚点'!A488)&gt;1),"ID重复；",""),"")</f>
        <v/>
      </c>
      <c r="G2488" s="14">
        <f>IF(F2488&lt;&gt;"","按字段批注、数据字典和来源记录修正后复核","")</f>
        <v/>
      </c>
      <c r="H2488" s="14">
        <f>IF(F2488&lt;&gt;"","待处理","")</f>
        <v/>
      </c>
    </row>
    <row r="2489">
      <c r="A2489" s="14">
        <f>IF(F2489&lt;&gt;"","ISSUE-"&amp;TEXT(ROW()-1,"00000"),"")</f>
        <v/>
      </c>
      <c r="B2489" s="14">
        <f>IF(F2489&lt;&gt;"","错误","")</f>
        <v/>
      </c>
      <c r="C2489" s="14">
        <f>IF('06_建筑锚点'!A489&lt;&gt;"","06_建筑锚点","")</f>
        <v/>
      </c>
      <c r="D2489" s="14">
        <f>IF('06_建筑锚点'!A489&lt;&gt;"",'06_建筑锚点'!A489,"")</f>
        <v/>
      </c>
      <c r="E2489" s="14">
        <f>IF(F2489&lt;&gt;"","综合校验","")</f>
        <v/>
      </c>
      <c r="F2489" s="14">
        <f>IF('06_建筑锚点'!A489&lt;&gt;"",IF('06_建筑锚点'!A489="","缺少建筑ID；","")&amp;IF('06_建筑锚点'!B489="","缺少建筑名称；","")&amp;IF('06_建筑锚点'!C489="","缺少建筑类型；","")&amp;IF('06_建筑锚点'!D489="","缺少所属地点ID；","")&amp;IF('06_建筑锚点'!F489="","缺少世界X；","")&amp;IF('06_建筑锚点'!G489="","缺少世界Y；","")&amp;IF(AND('06_建筑锚点'!F489&lt;&gt;"",OR('06_建筑锚点'!F489&lt;0,'06_建筑锚点'!F489&gt;WorldWidth)),"世界X越界；","")&amp;IF(AND('06_建筑锚点'!G489&lt;&gt;"",OR('06_建筑锚点'!G489&lt;0,'06_建筑锚点'!G489&gt;WorldHeight)),"世界Y越界；","")&amp;IF(AND('06_建筑锚点'!D489&lt;&gt;"",COUNTIF('03_地点锚点'!$A$2:$A$501,'06_建筑锚点'!D489)=0),"建筑所属地点不存在；","")&amp;IF(AND('06_建筑锚点'!T489&lt;&gt;"",COUNTIF('07_动态状态'!$A$2:$A$501,'06_建筑锚点'!T489)=0),"运营状态编码不存在；","")&amp;IF(AND('06_建筑锚点'!A489&lt;&gt;"",COUNTIF('06_建筑锚点'!$A$2:$A$501,'06_建筑锚点'!A489)&gt;1),"ID重复；",""),"")</f>
        <v/>
      </c>
      <c r="G2489" s="14">
        <f>IF(F2489&lt;&gt;"","按字段批注、数据字典和来源记录修正后复核","")</f>
        <v/>
      </c>
      <c r="H2489" s="14">
        <f>IF(F2489&lt;&gt;"","待处理","")</f>
        <v/>
      </c>
    </row>
    <row r="2490">
      <c r="A2490" s="14">
        <f>IF(F2490&lt;&gt;"","ISSUE-"&amp;TEXT(ROW()-1,"00000"),"")</f>
        <v/>
      </c>
      <c r="B2490" s="14">
        <f>IF(F2490&lt;&gt;"","错误","")</f>
        <v/>
      </c>
      <c r="C2490" s="14">
        <f>IF('06_建筑锚点'!A490&lt;&gt;"","06_建筑锚点","")</f>
        <v/>
      </c>
      <c r="D2490" s="14">
        <f>IF('06_建筑锚点'!A490&lt;&gt;"",'06_建筑锚点'!A490,"")</f>
        <v/>
      </c>
      <c r="E2490" s="14">
        <f>IF(F2490&lt;&gt;"","综合校验","")</f>
        <v/>
      </c>
      <c r="F2490" s="14">
        <f>IF('06_建筑锚点'!A490&lt;&gt;"",IF('06_建筑锚点'!A490="","缺少建筑ID；","")&amp;IF('06_建筑锚点'!B490="","缺少建筑名称；","")&amp;IF('06_建筑锚点'!C490="","缺少建筑类型；","")&amp;IF('06_建筑锚点'!D490="","缺少所属地点ID；","")&amp;IF('06_建筑锚点'!F490="","缺少世界X；","")&amp;IF('06_建筑锚点'!G490="","缺少世界Y；","")&amp;IF(AND('06_建筑锚点'!F490&lt;&gt;"",OR('06_建筑锚点'!F490&lt;0,'06_建筑锚点'!F490&gt;WorldWidth)),"世界X越界；","")&amp;IF(AND('06_建筑锚点'!G490&lt;&gt;"",OR('06_建筑锚点'!G490&lt;0,'06_建筑锚点'!G490&gt;WorldHeight)),"世界Y越界；","")&amp;IF(AND('06_建筑锚点'!D490&lt;&gt;"",COUNTIF('03_地点锚点'!$A$2:$A$501,'06_建筑锚点'!D490)=0),"建筑所属地点不存在；","")&amp;IF(AND('06_建筑锚点'!T490&lt;&gt;"",COUNTIF('07_动态状态'!$A$2:$A$501,'06_建筑锚点'!T490)=0),"运营状态编码不存在；","")&amp;IF(AND('06_建筑锚点'!A490&lt;&gt;"",COUNTIF('06_建筑锚点'!$A$2:$A$501,'06_建筑锚点'!A490)&gt;1),"ID重复；",""),"")</f>
        <v/>
      </c>
      <c r="G2490" s="14">
        <f>IF(F2490&lt;&gt;"","按字段批注、数据字典和来源记录修正后复核","")</f>
        <v/>
      </c>
      <c r="H2490" s="14">
        <f>IF(F2490&lt;&gt;"","待处理","")</f>
        <v/>
      </c>
    </row>
    <row r="2491">
      <c r="A2491" s="14">
        <f>IF(F2491&lt;&gt;"","ISSUE-"&amp;TEXT(ROW()-1,"00000"),"")</f>
        <v/>
      </c>
      <c r="B2491" s="14">
        <f>IF(F2491&lt;&gt;"","错误","")</f>
        <v/>
      </c>
      <c r="C2491" s="14">
        <f>IF('06_建筑锚点'!A491&lt;&gt;"","06_建筑锚点","")</f>
        <v/>
      </c>
      <c r="D2491" s="14">
        <f>IF('06_建筑锚点'!A491&lt;&gt;"",'06_建筑锚点'!A491,"")</f>
        <v/>
      </c>
      <c r="E2491" s="14">
        <f>IF(F2491&lt;&gt;"","综合校验","")</f>
        <v/>
      </c>
      <c r="F2491" s="14">
        <f>IF('06_建筑锚点'!A491&lt;&gt;"",IF('06_建筑锚点'!A491="","缺少建筑ID；","")&amp;IF('06_建筑锚点'!B491="","缺少建筑名称；","")&amp;IF('06_建筑锚点'!C491="","缺少建筑类型；","")&amp;IF('06_建筑锚点'!D491="","缺少所属地点ID；","")&amp;IF('06_建筑锚点'!F491="","缺少世界X；","")&amp;IF('06_建筑锚点'!G491="","缺少世界Y；","")&amp;IF(AND('06_建筑锚点'!F491&lt;&gt;"",OR('06_建筑锚点'!F491&lt;0,'06_建筑锚点'!F491&gt;WorldWidth)),"世界X越界；","")&amp;IF(AND('06_建筑锚点'!G491&lt;&gt;"",OR('06_建筑锚点'!G491&lt;0,'06_建筑锚点'!G491&gt;WorldHeight)),"世界Y越界；","")&amp;IF(AND('06_建筑锚点'!D491&lt;&gt;"",COUNTIF('03_地点锚点'!$A$2:$A$501,'06_建筑锚点'!D491)=0),"建筑所属地点不存在；","")&amp;IF(AND('06_建筑锚点'!T491&lt;&gt;"",COUNTIF('07_动态状态'!$A$2:$A$501,'06_建筑锚点'!T491)=0),"运营状态编码不存在；","")&amp;IF(AND('06_建筑锚点'!A491&lt;&gt;"",COUNTIF('06_建筑锚点'!$A$2:$A$501,'06_建筑锚点'!A491)&gt;1),"ID重复；",""),"")</f>
        <v/>
      </c>
      <c r="G2491" s="14">
        <f>IF(F2491&lt;&gt;"","按字段批注、数据字典和来源记录修正后复核","")</f>
        <v/>
      </c>
      <c r="H2491" s="14">
        <f>IF(F2491&lt;&gt;"","待处理","")</f>
        <v/>
      </c>
    </row>
    <row r="2492">
      <c r="A2492" s="14">
        <f>IF(F2492&lt;&gt;"","ISSUE-"&amp;TEXT(ROW()-1,"00000"),"")</f>
        <v/>
      </c>
      <c r="B2492" s="14">
        <f>IF(F2492&lt;&gt;"","错误","")</f>
        <v/>
      </c>
      <c r="C2492" s="14">
        <f>IF('06_建筑锚点'!A492&lt;&gt;"","06_建筑锚点","")</f>
        <v/>
      </c>
      <c r="D2492" s="14">
        <f>IF('06_建筑锚点'!A492&lt;&gt;"",'06_建筑锚点'!A492,"")</f>
        <v/>
      </c>
      <c r="E2492" s="14">
        <f>IF(F2492&lt;&gt;"","综合校验","")</f>
        <v/>
      </c>
      <c r="F2492" s="14">
        <f>IF('06_建筑锚点'!A492&lt;&gt;"",IF('06_建筑锚点'!A492="","缺少建筑ID；","")&amp;IF('06_建筑锚点'!B492="","缺少建筑名称；","")&amp;IF('06_建筑锚点'!C492="","缺少建筑类型；","")&amp;IF('06_建筑锚点'!D492="","缺少所属地点ID；","")&amp;IF('06_建筑锚点'!F492="","缺少世界X；","")&amp;IF('06_建筑锚点'!G492="","缺少世界Y；","")&amp;IF(AND('06_建筑锚点'!F492&lt;&gt;"",OR('06_建筑锚点'!F492&lt;0,'06_建筑锚点'!F492&gt;WorldWidth)),"世界X越界；","")&amp;IF(AND('06_建筑锚点'!G492&lt;&gt;"",OR('06_建筑锚点'!G492&lt;0,'06_建筑锚点'!G492&gt;WorldHeight)),"世界Y越界；","")&amp;IF(AND('06_建筑锚点'!D492&lt;&gt;"",COUNTIF('03_地点锚点'!$A$2:$A$501,'06_建筑锚点'!D492)=0),"建筑所属地点不存在；","")&amp;IF(AND('06_建筑锚点'!T492&lt;&gt;"",COUNTIF('07_动态状态'!$A$2:$A$501,'06_建筑锚点'!T492)=0),"运营状态编码不存在；","")&amp;IF(AND('06_建筑锚点'!A492&lt;&gt;"",COUNTIF('06_建筑锚点'!$A$2:$A$501,'06_建筑锚点'!A492)&gt;1),"ID重复；",""),"")</f>
        <v/>
      </c>
      <c r="G2492" s="14">
        <f>IF(F2492&lt;&gt;"","按字段批注、数据字典和来源记录修正后复核","")</f>
        <v/>
      </c>
      <c r="H2492" s="14">
        <f>IF(F2492&lt;&gt;"","待处理","")</f>
        <v/>
      </c>
    </row>
    <row r="2493">
      <c r="A2493" s="14">
        <f>IF(F2493&lt;&gt;"","ISSUE-"&amp;TEXT(ROW()-1,"00000"),"")</f>
        <v/>
      </c>
      <c r="B2493" s="14">
        <f>IF(F2493&lt;&gt;"","错误","")</f>
        <v/>
      </c>
      <c r="C2493" s="14">
        <f>IF('06_建筑锚点'!A493&lt;&gt;"","06_建筑锚点","")</f>
        <v/>
      </c>
      <c r="D2493" s="14">
        <f>IF('06_建筑锚点'!A493&lt;&gt;"",'06_建筑锚点'!A493,"")</f>
        <v/>
      </c>
      <c r="E2493" s="14">
        <f>IF(F2493&lt;&gt;"","综合校验","")</f>
        <v/>
      </c>
      <c r="F2493" s="14">
        <f>IF('06_建筑锚点'!A493&lt;&gt;"",IF('06_建筑锚点'!A493="","缺少建筑ID；","")&amp;IF('06_建筑锚点'!B493="","缺少建筑名称；","")&amp;IF('06_建筑锚点'!C493="","缺少建筑类型；","")&amp;IF('06_建筑锚点'!D493="","缺少所属地点ID；","")&amp;IF('06_建筑锚点'!F493="","缺少世界X；","")&amp;IF('06_建筑锚点'!G493="","缺少世界Y；","")&amp;IF(AND('06_建筑锚点'!F493&lt;&gt;"",OR('06_建筑锚点'!F493&lt;0,'06_建筑锚点'!F493&gt;WorldWidth)),"世界X越界；","")&amp;IF(AND('06_建筑锚点'!G493&lt;&gt;"",OR('06_建筑锚点'!G493&lt;0,'06_建筑锚点'!G493&gt;WorldHeight)),"世界Y越界；","")&amp;IF(AND('06_建筑锚点'!D493&lt;&gt;"",COUNTIF('03_地点锚点'!$A$2:$A$501,'06_建筑锚点'!D493)=0),"建筑所属地点不存在；","")&amp;IF(AND('06_建筑锚点'!T493&lt;&gt;"",COUNTIF('07_动态状态'!$A$2:$A$501,'06_建筑锚点'!T493)=0),"运营状态编码不存在；","")&amp;IF(AND('06_建筑锚点'!A493&lt;&gt;"",COUNTIF('06_建筑锚点'!$A$2:$A$501,'06_建筑锚点'!A493)&gt;1),"ID重复；",""),"")</f>
        <v/>
      </c>
      <c r="G2493" s="14">
        <f>IF(F2493&lt;&gt;"","按字段批注、数据字典和来源记录修正后复核","")</f>
        <v/>
      </c>
      <c r="H2493" s="14">
        <f>IF(F2493&lt;&gt;"","待处理","")</f>
        <v/>
      </c>
    </row>
    <row r="2494">
      <c r="A2494" s="14">
        <f>IF(F2494&lt;&gt;"","ISSUE-"&amp;TEXT(ROW()-1,"00000"),"")</f>
        <v/>
      </c>
      <c r="B2494" s="14">
        <f>IF(F2494&lt;&gt;"","错误","")</f>
        <v/>
      </c>
      <c r="C2494" s="14">
        <f>IF('06_建筑锚点'!A494&lt;&gt;"","06_建筑锚点","")</f>
        <v/>
      </c>
      <c r="D2494" s="14">
        <f>IF('06_建筑锚点'!A494&lt;&gt;"",'06_建筑锚点'!A494,"")</f>
        <v/>
      </c>
      <c r="E2494" s="14">
        <f>IF(F2494&lt;&gt;"","综合校验","")</f>
        <v/>
      </c>
      <c r="F2494" s="14">
        <f>IF('06_建筑锚点'!A494&lt;&gt;"",IF('06_建筑锚点'!A494="","缺少建筑ID；","")&amp;IF('06_建筑锚点'!B494="","缺少建筑名称；","")&amp;IF('06_建筑锚点'!C494="","缺少建筑类型；","")&amp;IF('06_建筑锚点'!D494="","缺少所属地点ID；","")&amp;IF('06_建筑锚点'!F494="","缺少世界X；","")&amp;IF('06_建筑锚点'!G494="","缺少世界Y；","")&amp;IF(AND('06_建筑锚点'!F494&lt;&gt;"",OR('06_建筑锚点'!F494&lt;0,'06_建筑锚点'!F494&gt;WorldWidth)),"世界X越界；","")&amp;IF(AND('06_建筑锚点'!G494&lt;&gt;"",OR('06_建筑锚点'!G494&lt;0,'06_建筑锚点'!G494&gt;WorldHeight)),"世界Y越界；","")&amp;IF(AND('06_建筑锚点'!D494&lt;&gt;"",COUNTIF('03_地点锚点'!$A$2:$A$501,'06_建筑锚点'!D494)=0),"建筑所属地点不存在；","")&amp;IF(AND('06_建筑锚点'!T494&lt;&gt;"",COUNTIF('07_动态状态'!$A$2:$A$501,'06_建筑锚点'!T494)=0),"运营状态编码不存在；","")&amp;IF(AND('06_建筑锚点'!A494&lt;&gt;"",COUNTIF('06_建筑锚点'!$A$2:$A$501,'06_建筑锚点'!A494)&gt;1),"ID重复；",""),"")</f>
        <v/>
      </c>
      <c r="G2494" s="14">
        <f>IF(F2494&lt;&gt;"","按字段批注、数据字典和来源记录修正后复核","")</f>
        <v/>
      </c>
      <c r="H2494" s="14">
        <f>IF(F2494&lt;&gt;"","待处理","")</f>
        <v/>
      </c>
    </row>
    <row r="2495">
      <c r="A2495" s="14">
        <f>IF(F2495&lt;&gt;"","ISSUE-"&amp;TEXT(ROW()-1,"00000"),"")</f>
        <v/>
      </c>
      <c r="B2495" s="14">
        <f>IF(F2495&lt;&gt;"","错误","")</f>
        <v/>
      </c>
      <c r="C2495" s="14">
        <f>IF('06_建筑锚点'!A495&lt;&gt;"","06_建筑锚点","")</f>
        <v/>
      </c>
      <c r="D2495" s="14">
        <f>IF('06_建筑锚点'!A495&lt;&gt;"",'06_建筑锚点'!A495,"")</f>
        <v/>
      </c>
      <c r="E2495" s="14">
        <f>IF(F2495&lt;&gt;"","综合校验","")</f>
        <v/>
      </c>
      <c r="F2495" s="14">
        <f>IF('06_建筑锚点'!A495&lt;&gt;"",IF('06_建筑锚点'!A495="","缺少建筑ID；","")&amp;IF('06_建筑锚点'!B495="","缺少建筑名称；","")&amp;IF('06_建筑锚点'!C495="","缺少建筑类型；","")&amp;IF('06_建筑锚点'!D495="","缺少所属地点ID；","")&amp;IF('06_建筑锚点'!F495="","缺少世界X；","")&amp;IF('06_建筑锚点'!G495="","缺少世界Y；","")&amp;IF(AND('06_建筑锚点'!F495&lt;&gt;"",OR('06_建筑锚点'!F495&lt;0,'06_建筑锚点'!F495&gt;WorldWidth)),"世界X越界；","")&amp;IF(AND('06_建筑锚点'!G495&lt;&gt;"",OR('06_建筑锚点'!G495&lt;0,'06_建筑锚点'!G495&gt;WorldHeight)),"世界Y越界；","")&amp;IF(AND('06_建筑锚点'!D495&lt;&gt;"",COUNTIF('03_地点锚点'!$A$2:$A$501,'06_建筑锚点'!D495)=0),"建筑所属地点不存在；","")&amp;IF(AND('06_建筑锚点'!T495&lt;&gt;"",COUNTIF('07_动态状态'!$A$2:$A$501,'06_建筑锚点'!T495)=0),"运营状态编码不存在；","")&amp;IF(AND('06_建筑锚点'!A495&lt;&gt;"",COUNTIF('06_建筑锚点'!$A$2:$A$501,'06_建筑锚点'!A495)&gt;1),"ID重复；",""),"")</f>
        <v/>
      </c>
      <c r="G2495" s="14">
        <f>IF(F2495&lt;&gt;"","按字段批注、数据字典和来源记录修正后复核","")</f>
        <v/>
      </c>
      <c r="H2495" s="14">
        <f>IF(F2495&lt;&gt;"","待处理","")</f>
        <v/>
      </c>
    </row>
    <row r="2496">
      <c r="A2496" s="14">
        <f>IF(F2496&lt;&gt;"","ISSUE-"&amp;TEXT(ROW()-1,"00000"),"")</f>
        <v/>
      </c>
      <c r="B2496" s="14">
        <f>IF(F2496&lt;&gt;"","错误","")</f>
        <v/>
      </c>
      <c r="C2496" s="14">
        <f>IF('06_建筑锚点'!A496&lt;&gt;"","06_建筑锚点","")</f>
        <v/>
      </c>
      <c r="D2496" s="14">
        <f>IF('06_建筑锚点'!A496&lt;&gt;"",'06_建筑锚点'!A496,"")</f>
        <v/>
      </c>
      <c r="E2496" s="14">
        <f>IF(F2496&lt;&gt;"","综合校验","")</f>
        <v/>
      </c>
      <c r="F2496" s="14">
        <f>IF('06_建筑锚点'!A496&lt;&gt;"",IF('06_建筑锚点'!A496="","缺少建筑ID；","")&amp;IF('06_建筑锚点'!B496="","缺少建筑名称；","")&amp;IF('06_建筑锚点'!C496="","缺少建筑类型；","")&amp;IF('06_建筑锚点'!D496="","缺少所属地点ID；","")&amp;IF('06_建筑锚点'!F496="","缺少世界X；","")&amp;IF('06_建筑锚点'!G496="","缺少世界Y；","")&amp;IF(AND('06_建筑锚点'!F496&lt;&gt;"",OR('06_建筑锚点'!F496&lt;0,'06_建筑锚点'!F496&gt;WorldWidth)),"世界X越界；","")&amp;IF(AND('06_建筑锚点'!G496&lt;&gt;"",OR('06_建筑锚点'!G496&lt;0,'06_建筑锚点'!G496&gt;WorldHeight)),"世界Y越界；","")&amp;IF(AND('06_建筑锚点'!D496&lt;&gt;"",COUNTIF('03_地点锚点'!$A$2:$A$501,'06_建筑锚点'!D496)=0),"建筑所属地点不存在；","")&amp;IF(AND('06_建筑锚点'!T496&lt;&gt;"",COUNTIF('07_动态状态'!$A$2:$A$501,'06_建筑锚点'!T496)=0),"运营状态编码不存在；","")&amp;IF(AND('06_建筑锚点'!A496&lt;&gt;"",COUNTIF('06_建筑锚点'!$A$2:$A$501,'06_建筑锚点'!A496)&gt;1),"ID重复；",""),"")</f>
        <v/>
      </c>
      <c r="G2496" s="14">
        <f>IF(F2496&lt;&gt;"","按字段批注、数据字典和来源记录修正后复核","")</f>
        <v/>
      </c>
      <c r="H2496" s="14">
        <f>IF(F2496&lt;&gt;"","待处理","")</f>
        <v/>
      </c>
    </row>
    <row r="2497">
      <c r="A2497" s="14">
        <f>IF(F2497&lt;&gt;"","ISSUE-"&amp;TEXT(ROW()-1,"00000"),"")</f>
        <v/>
      </c>
      <c r="B2497" s="14">
        <f>IF(F2497&lt;&gt;"","错误","")</f>
        <v/>
      </c>
      <c r="C2497" s="14">
        <f>IF('06_建筑锚点'!A497&lt;&gt;"","06_建筑锚点","")</f>
        <v/>
      </c>
      <c r="D2497" s="14">
        <f>IF('06_建筑锚点'!A497&lt;&gt;"",'06_建筑锚点'!A497,"")</f>
        <v/>
      </c>
      <c r="E2497" s="14">
        <f>IF(F2497&lt;&gt;"","综合校验","")</f>
        <v/>
      </c>
      <c r="F2497" s="14">
        <f>IF('06_建筑锚点'!A497&lt;&gt;"",IF('06_建筑锚点'!A497="","缺少建筑ID；","")&amp;IF('06_建筑锚点'!B497="","缺少建筑名称；","")&amp;IF('06_建筑锚点'!C497="","缺少建筑类型；","")&amp;IF('06_建筑锚点'!D497="","缺少所属地点ID；","")&amp;IF('06_建筑锚点'!F497="","缺少世界X；","")&amp;IF('06_建筑锚点'!G497="","缺少世界Y；","")&amp;IF(AND('06_建筑锚点'!F497&lt;&gt;"",OR('06_建筑锚点'!F497&lt;0,'06_建筑锚点'!F497&gt;WorldWidth)),"世界X越界；","")&amp;IF(AND('06_建筑锚点'!G497&lt;&gt;"",OR('06_建筑锚点'!G497&lt;0,'06_建筑锚点'!G497&gt;WorldHeight)),"世界Y越界；","")&amp;IF(AND('06_建筑锚点'!D497&lt;&gt;"",COUNTIF('03_地点锚点'!$A$2:$A$501,'06_建筑锚点'!D497)=0),"建筑所属地点不存在；","")&amp;IF(AND('06_建筑锚点'!T497&lt;&gt;"",COUNTIF('07_动态状态'!$A$2:$A$501,'06_建筑锚点'!T497)=0),"运营状态编码不存在；","")&amp;IF(AND('06_建筑锚点'!A497&lt;&gt;"",COUNTIF('06_建筑锚点'!$A$2:$A$501,'06_建筑锚点'!A497)&gt;1),"ID重复；",""),"")</f>
        <v/>
      </c>
      <c r="G2497" s="14">
        <f>IF(F2497&lt;&gt;"","按字段批注、数据字典和来源记录修正后复核","")</f>
        <v/>
      </c>
      <c r="H2497" s="14">
        <f>IF(F2497&lt;&gt;"","待处理","")</f>
        <v/>
      </c>
    </row>
    <row r="2498">
      <c r="A2498" s="14">
        <f>IF(F2498&lt;&gt;"","ISSUE-"&amp;TEXT(ROW()-1,"00000"),"")</f>
        <v/>
      </c>
      <c r="B2498" s="14">
        <f>IF(F2498&lt;&gt;"","错误","")</f>
        <v/>
      </c>
      <c r="C2498" s="14">
        <f>IF('06_建筑锚点'!A498&lt;&gt;"","06_建筑锚点","")</f>
        <v/>
      </c>
      <c r="D2498" s="14">
        <f>IF('06_建筑锚点'!A498&lt;&gt;"",'06_建筑锚点'!A498,"")</f>
        <v/>
      </c>
      <c r="E2498" s="14">
        <f>IF(F2498&lt;&gt;"","综合校验","")</f>
        <v/>
      </c>
      <c r="F2498" s="14">
        <f>IF('06_建筑锚点'!A498&lt;&gt;"",IF('06_建筑锚点'!A498="","缺少建筑ID；","")&amp;IF('06_建筑锚点'!B498="","缺少建筑名称；","")&amp;IF('06_建筑锚点'!C498="","缺少建筑类型；","")&amp;IF('06_建筑锚点'!D498="","缺少所属地点ID；","")&amp;IF('06_建筑锚点'!F498="","缺少世界X；","")&amp;IF('06_建筑锚点'!G498="","缺少世界Y；","")&amp;IF(AND('06_建筑锚点'!F498&lt;&gt;"",OR('06_建筑锚点'!F498&lt;0,'06_建筑锚点'!F498&gt;WorldWidth)),"世界X越界；","")&amp;IF(AND('06_建筑锚点'!G498&lt;&gt;"",OR('06_建筑锚点'!G498&lt;0,'06_建筑锚点'!G498&gt;WorldHeight)),"世界Y越界；","")&amp;IF(AND('06_建筑锚点'!D498&lt;&gt;"",COUNTIF('03_地点锚点'!$A$2:$A$501,'06_建筑锚点'!D498)=0),"建筑所属地点不存在；","")&amp;IF(AND('06_建筑锚点'!T498&lt;&gt;"",COUNTIF('07_动态状态'!$A$2:$A$501,'06_建筑锚点'!T498)=0),"运营状态编码不存在；","")&amp;IF(AND('06_建筑锚点'!A498&lt;&gt;"",COUNTIF('06_建筑锚点'!$A$2:$A$501,'06_建筑锚点'!A498)&gt;1),"ID重复；",""),"")</f>
        <v/>
      </c>
      <c r="G2498" s="14">
        <f>IF(F2498&lt;&gt;"","按字段批注、数据字典和来源记录修正后复核","")</f>
        <v/>
      </c>
      <c r="H2498" s="14">
        <f>IF(F2498&lt;&gt;"","待处理","")</f>
        <v/>
      </c>
    </row>
    <row r="2499">
      <c r="A2499" s="14">
        <f>IF(F2499&lt;&gt;"","ISSUE-"&amp;TEXT(ROW()-1,"00000"),"")</f>
        <v/>
      </c>
      <c r="B2499" s="14">
        <f>IF(F2499&lt;&gt;"","错误","")</f>
        <v/>
      </c>
      <c r="C2499" s="14">
        <f>IF('06_建筑锚点'!A499&lt;&gt;"","06_建筑锚点","")</f>
        <v/>
      </c>
      <c r="D2499" s="14">
        <f>IF('06_建筑锚点'!A499&lt;&gt;"",'06_建筑锚点'!A499,"")</f>
        <v/>
      </c>
      <c r="E2499" s="14">
        <f>IF(F2499&lt;&gt;"","综合校验","")</f>
        <v/>
      </c>
      <c r="F2499" s="14">
        <f>IF('06_建筑锚点'!A499&lt;&gt;"",IF('06_建筑锚点'!A499="","缺少建筑ID；","")&amp;IF('06_建筑锚点'!B499="","缺少建筑名称；","")&amp;IF('06_建筑锚点'!C499="","缺少建筑类型；","")&amp;IF('06_建筑锚点'!D499="","缺少所属地点ID；","")&amp;IF('06_建筑锚点'!F499="","缺少世界X；","")&amp;IF('06_建筑锚点'!G499="","缺少世界Y；","")&amp;IF(AND('06_建筑锚点'!F499&lt;&gt;"",OR('06_建筑锚点'!F499&lt;0,'06_建筑锚点'!F499&gt;WorldWidth)),"世界X越界；","")&amp;IF(AND('06_建筑锚点'!G499&lt;&gt;"",OR('06_建筑锚点'!G499&lt;0,'06_建筑锚点'!G499&gt;WorldHeight)),"世界Y越界；","")&amp;IF(AND('06_建筑锚点'!D499&lt;&gt;"",COUNTIF('03_地点锚点'!$A$2:$A$501,'06_建筑锚点'!D499)=0),"建筑所属地点不存在；","")&amp;IF(AND('06_建筑锚点'!T499&lt;&gt;"",COUNTIF('07_动态状态'!$A$2:$A$501,'06_建筑锚点'!T499)=0),"运营状态编码不存在；","")&amp;IF(AND('06_建筑锚点'!A499&lt;&gt;"",COUNTIF('06_建筑锚点'!$A$2:$A$501,'06_建筑锚点'!A499)&gt;1),"ID重复；",""),"")</f>
        <v/>
      </c>
      <c r="G2499" s="14">
        <f>IF(F2499&lt;&gt;"","按字段批注、数据字典和来源记录修正后复核","")</f>
        <v/>
      </c>
      <c r="H2499" s="14">
        <f>IF(F2499&lt;&gt;"","待处理","")</f>
        <v/>
      </c>
    </row>
    <row r="2500">
      <c r="A2500" s="14">
        <f>IF(F2500&lt;&gt;"","ISSUE-"&amp;TEXT(ROW()-1,"00000"),"")</f>
        <v/>
      </c>
      <c r="B2500" s="14">
        <f>IF(F2500&lt;&gt;"","错误","")</f>
        <v/>
      </c>
      <c r="C2500" s="14">
        <f>IF('06_建筑锚点'!A500&lt;&gt;"","06_建筑锚点","")</f>
        <v/>
      </c>
      <c r="D2500" s="14">
        <f>IF('06_建筑锚点'!A500&lt;&gt;"",'06_建筑锚点'!A500,"")</f>
        <v/>
      </c>
      <c r="E2500" s="14">
        <f>IF(F2500&lt;&gt;"","综合校验","")</f>
        <v/>
      </c>
      <c r="F2500" s="14">
        <f>IF('06_建筑锚点'!A500&lt;&gt;"",IF('06_建筑锚点'!A500="","缺少建筑ID；","")&amp;IF('06_建筑锚点'!B500="","缺少建筑名称；","")&amp;IF('06_建筑锚点'!C500="","缺少建筑类型；","")&amp;IF('06_建筑锚点'!D500="","缺少所属地点ID；","")&amp;IF('06_建筑锚点'!F500="","缺少世界X；","")&amp;IF('06_建筑锚点'!G500="","缺少世界Y；","")&amp;IF(AND('06_建筑锚点'!F500&lt;&gt;"",OR('06_建筑锚点'!F500&lt;0,'06_建筑锚点'!F500&gt;WorldWidth)),"世界X越界；","")&amp;IF(AND('06_建筑锚点'!G500&lt;&gt;"",OR('06_建筑锚点'!G500&lt;0,'06_建筑锚点'!G500&gt;WorldHeight)),"世界Y越界；","")&amp;IF(AND('06_建筑锚点'!D500&lt;&gt;"",COUNTIF('03_地点锚点'!$A$2:$A$501,'06_建筑锚点'!D500)=0),"建筑所属地点不存在；","")&amp;IF(AND('06_建筑锚点'!T500&lt;&gt;"",COUNTIF('07_动态状态'!$A$2:$A$501,'06_建筑锚点'!T500)=0),"运营状态编码不存在；","")&amp;IF(AND('06_建筑锚点'!A500&lt;&gt;"",COUNTIF('06_建筑锚点'!$A$2:$A$501,'06_建筑锚点'!A500)&gt;1),"ID重复；",""),"")</f>
        <v/>
      </c>
      <c r="G2500" s="14">
        <f>IF(F2500&lt;&gt;"","按字段批注、数据字典和来源记录修正后复核","")</f>
        <v/>
      </c>
      <c r="H2500" s="14">
        <f>IF(F2500&lt;&gt;"","待处理","")</f>
        <v/>
      </c>
    </row>
    <row r="2501">
      <c r="A2501" s="14">
        <f>IF(F2501&lt;&gt;"","ISSUE-"&amp;TEXT(ROW()-1,"00000"),"")</f>
        <v/>
      </c>
      <c r="B2501" s="14">
        <f>IF(F2501&lt;&gt;"","错误","")</f>
        <v/>
      </c>
      <c r="C2501" s="14">
        <f>IF('06_建筑锚点'!A501&lt;&gt;"","06_建筑锚点","")</f>
        <v/>
      </c>
      <c r="D2501" s="14">
        <f>IF('06_建筑锚点'!A501&lt;&gt;"",'06_建筑锚点'!A501,"")</f>
        <v/>
      </c>
      <c r="E2501" s="14">
        <f>IF(F2501&lt;&gt;"","综合校验","")</f>
        <v/>
      </c>
      <c r="F2501" s="14">
        <f>IF('06_建筑锚点'!A501&lt;&gt;"",IF('06_建筑锚点'!A501="","缺少建筑ID；","")&amp;IF('06_建筑锚点'!B501="","缺少建筑名称；","")&amp;IF('06_建筑锚点'!C501="","缺少建筑类型；","")&amp;IF('06_建筑锚点'!D501="","缺少所属地点ID；","")&amp;IF('06_建筑锚点'!F501="","缺少世界X；","")&amp;IF('06_建筑锚点'!G501="","缺少世界Y；","")&amp;IF(AND('06_建筑锚点'!F501&lt;&gt;"",OR('06_建筑锚点'!F501&lt;0,'06_建筑锚点'!F501&gt;WorldWidth)),"世界X越界；","")&amp;IF(AND('06_建筑锚点'!G501&lt;&gt;"",OR('06_建筑锚点'!G501&lt;0,'06_建筑锚点'!G501&gt;WorldHeight)),"世界Y越界；","")&amp;IF(AND('06_建筑锚点'!D501&lt;&gt;"",COUNTIF('03_地点锚点'!$A$2:$A$501,'06_建筑锚点'!D501)=0),"建筑所属地点不存在；","")&amp;IF(AND('06_建筑锚点'!T501&lt;&gt;"",COUNTIF('07_动态状态'!$A$2:$A$501,'06_建筑锚点'!T501)=0),"运营状态编码不存在；","")&amp;IF(AND('06_建筑锚点'!A501&lt;&gt;"",COUNTIF('06_建筑锚点'!$A$2:$A$501,'06_建筑锚点'!A501)&gt;1),"ID重复；",""),"")</f>
        <v/>
      </c>
      <c r="G2501" s="14">
        <f>IF(F2501&lt;&gt;"","按字段批注、数据字典和来源记录修正后复核","")</f>
        <v/>
      </c>
      <c r="H2501" s="14">
        <f>IF(F2501&lt;&gt;"","待处理","")</f>
        <v/>
      </c>
    </row>
    <row r="2502">
      <c r="A2502" s="14">
        <f>IF(F2502&lt;&gt;"","ISSUE-"&amp;TEXT(ROW()-1,"00000"),"")</f>
        <v/>
      </c>
      <c r="B2502" s="14">
        <f>IF(F2502&lt;&gt;"","错误","")</f>
        <v/>
      </c>
      <c r="C2502" s="14">
        <f>IF('07_动态状态'!A2&lt;&gt;"","07_动态状态","")</f>
        <v/>
      </c>
      <c r="D2502" s="14">
        <f>IF('07_动态状态'!A2&lt;&gt;"",'07_动态状态'!A2,"")</f>
        <v/>
      </c>
      <c r="E2502" s="14">
        <f>IF(F2502&lt;&gt;"","综合校验","")</f>
        <v/>
      </c>
      <c r="F2502" s="14">
        <f>IF('07_动态状态'!A2&lt;&gt;"",IF('07_动态状态'!A2="","缺少状态编码；","")&amp;IF('07_动态状态'!B2="","缺少状态名称；","")&amp;IF('07_动态状态'!C2="","缺少状态类别；","")&amp;IF(AND('07_动态状态'!A2&lt;&gt;"",COUNTIF('07_动态状态'!$A$2:$A$501,'07_动态状态'!A2)&gt;1),"ID重复；",""),"")</f>
        <v/>
      </c>
      <c r="G2502" s="14">
        <f>IF(F2502&lt;&gt;"","按字段批注、数据字典和来源记录修正后复核","")</f>
        <v/>
      </c>
      <c r="H2502" s="14">
        <f>IF(F2502&lt;&gt;"","待处理","")</f>
        <v/>
      </c>
    </row>
    <row r="2503">
      <c r="A2503" s="14">
        <f>IF(F2503&lt;&gt;"","ISSUE-"&amp;TEXT(ROW()-1,"00000"),"")</f>
        <v/>
      </c>
      <c r="B2503" s="14">
        <f>IF(F2503&lt;&gt;"","错误","")</f>
        <v/>
      </c>
      <c r="C2503" s="14">
        <f>IF('07_动态状态'!A3&lt;&gt;"","07_动态状态","")</f>
        <v/>
      </c>
      <c r="D2503" s="14">
        <f>IF('07_动态状态'!A3&lt;&gt;"",'07_动态状态'!A3,"")</f>
        <v/>
      </c>
      <c r="E2503" s="14">
        <f>IF(F2503&lt;&gt;"","综合校验","")</f>
        <v/>
      </c>
      <c r="F2503" s="14">
        <f>IF('07_动态状态'!A3&lt;&gt;"",IF('07_动态状态'!A3="","缺少状态编码；","")&amp;IF('07_动态状态'!B3="","缺少状态名称；","")&amp;IF('07_动态状态'!C3="","缺少状态类别；","")&amp;IF(AND('07_动态状态'!A3&lt;&gt;"",COUNTIF('07_动态状态'!$A$2:$A$501,'07_动态状态'!A3)&gt;1),"ID重复；",""),"")</f>
        <v/>
      </c>
      <c r="G2503" s="14">
        <f>IF(F2503&lt;&gt;"","按字段批注、数据字典和来源记录修正后复核","")</f>
        <v/>
      </c>
      <c r="H2503" s="14">
        <f>IF(F2503&lt;&gt;"","待处理","")</f>
        <v/>
      </c>
    </row>
    <row r="2504">
      <c r="A2504" s="14">
        <f>IF(F2504&lt;&gt;"","ISSUE-"&amp;TEXT(ROW()-1,"00000"),"")</f>
        <v/>
      </c>
      <c r="B2504" s="14">
        <f>IF(F2504&lt;&gt;"","错误","")</f>
        <v/>
      </c>
      <c r="C2504" s="14">
        <f>IF('07_动态状态'!A4&lt;&gt;"","07_动态状态","")</f>
        <v/>
      </c>
      <c r="D2504" s="14">
        <f>IF('07_动态状态'!A4&lt;&gt;"",'07_动态状态'!A4,"")</f>
        <v/>
      </c>
      <c r="E2504" s="14">
        <f>IF(F2504&lt;&gt;"","综合校验","")</f>
        <v/>
      </c>
      <c r="F2504" s="14">
        <f>IF('07_动态状态'!A4&lt;&gt;"",IF('07_动态状态'!A4="","缺少状态编码；","")&amp;IF('07_动态状态'!B4="","缺少状态名称；","")&amp;IF('07_动态状态'!C4="","缺少状态类别；","")&amp;IF(AND('07_动态状态'!A4&lt;&gt;"",COUNTIF('07_动态状态'!$A$2:$A$501,'07_动态状态'!A4)&gt;1),"ID重复；",""),"")</f>
        <v/>
      </c>
      <c r="G2504" s="14">
        <f>IF(F2504&lt;&gt;"","按字段批注、数据字典和来源记录修正后复核","")</f>
        <v/>
      </c>
      <c r="H2504" s="14">
        <f>IF(F2504&lt;&gt;"","待处理","")</f>
        <v/>
      </c>
    </row>
    <row r="2505">
      <c r="A2505" s="14">
        <f>IF(F2505&lt;&gt;"","ISSUE-"&amp;TEXT(ROW()-1,"00000"),"")</f>
        <v/>
      </c>
      <c r="B2505" s="14">
        <f>IF(F2505&lt;&gt;"","错误","")</f>
        <v/>
      </c>
      <c r="C2505" s="14">
        <f>IF('07_动态状态'!A5&lt;&gt;"","07_动态状态","")</f>
        <v/>
      </c>
      <c r="D2505" s="14">
        <f>IF('07_动态状态'!A5&lt;&gt;"",'07_动态状态'!A5,"")</f>
        <v/>
      </c>
      <c r="E2505" s="14">
        <f>IF(F2505&lt;&gt;"","综合校验","")</f>
        <v/>
      </c>
      <c r="F2505" s="14">
        <f>IF('07_动态状态'!A5&lt;&gt;"",IF('07_动态状态'!A5="","缺少状态编码；","")&amp;IF('07_动态状态'!B5="","缺少状态名称；","")&amp;IF('07_动态状态'!C5="","缺少状态类别；","")&amp;IF(AND('07_动态状态'!A5&lt;&gt;"",COUNTIF('07_动态状态'!$A$2:$A$501,'07_动态状态'!A5)&gt;1),"ID重复；",""),"")</f>
        <v/>
      </c>
      <c r="G2505" s="14">
        <f>IF(F2505&lt;&gt;"","按字段批注、数据字典和来源记录修正后复核","")</f>
        <v/>
      </c>
      <c r="H2505" s="14">
        <f>IF(F2505&lt;&gt;"","待处理","")</f>
        <v/>
      </c>
    </row>
    <row r="2506">
      <c r="A2506" s="14">
        <f>IF(F2506&lt;&gt;"","ISSUE-"&amp;TEXT(ROW()-1,"00000"),"")</f>
        <v/>
      </c>
      <c r="B2506" s="14">
        <f>IF(F2506&lt;&gt;"","错误","")</f>
        <v/>
      </c>
      <c r="C2506" s="14">
        <f>IF('07_动态状态'!A6&lt;&gt;"","07_动态状态","")</f>
        <v/>
      </c>
      <c r="D2506" s="14">
        <f>IF('07_动态状态'!A6&lt;&gt;"",'07_动态状态'!A6,"")</f>
        <v/>
      </c>
      <c r="E2506" s="14">
        <f>IF(F2506&lt;&gt;"","综合校验","")</f>
        <v/>
      </c>
      <c r="F2506" s="14">
        <f>IF('07_动态状态'!A6&lt;&gt;"",IF('07_动态状态'!A6="","缺少状态编码；","")&amp;IF('07_动态状态'!B6="","缺少状态名称；","")&amp;IF('07_动态状态'!C6="","缺少状态类别；","")&amp;IF(AND('07_动态状态'!A6&lt;&gt;"",COUNTIF('07_动态状态'!$A$2:$A$501,'07_动态状态'!A6)&gt;1),"ID重复；",""),"")</f>
        <v/>
      </c>
      <c r="G2506" s="14">
        <f>IF(F2506&lt;&gt;"","按字段批注、数据字典和来源记录修正后复核","")</f>
        <v/>
      </c>
      <c r="H2506" s="14">
        <f>IF(F2506&lt;&gt;"","待处理","")</f>
        <v/>
      </c>
    </row>
    <row r="2507">
      <c r="A2507" s="14">
        <f>IF(F2507&lt;&gt;"","ISSUE-"&amp;TEXT(ROW()-1,"00000"),"")</f>
        <v/>
      </c>
      <c r="B2507" s="14">
        <f>IF(F2507&lt;&gt;"","错误","")</f>
        <v/>
      </c>
      <c r="C2507" s="14">
        <f>IF('07_动态状态'!A7&lt;&gt;"","07_动态状态","")</f>
        <v/>
      </c>
      <c r="D2507" s="14">
        <f>IF('07_动态状态'!A7&lt;&gt;"",'07_动态状态'!A7,"")</f>
        <v/>
      </c>
      <c r="E2507" s="14">
        <f>IF(F2507&lt;&gt;"","综合校验","")</f>
        <v/>
      </c>
      <c r="F2507" s="14">
        <f>IF('07_动态状态'!A7&lt;&gt;"",IF('07_动态状态'!A7="","缺少状态编码；","")&amp;IF('07_动态状态'!B7="","缺少状态名称；","")&amp;IF('07_动态状态'!C7="","缺少状态类别；","")&amp;IF(AND('07_动态状态'!A7&lt;&gt;"",COUNTIF('07_动态状态'!$A$2:$A$501,'07_动态状态'!A7)&gt;1),"ID重复；",""),"")</f>
        <v/>
      </c>
      <c r="G2507" s="14">
        <f>IF(F2507&lt;&gt;"","按字段批注、数据字典和来源记录修正后复核","")</f>
        <v/>
      </c>
      <c r="H2507" s="14">
        <f>IF(F2507&lt;&gt;"","待处理","")</f>
        <v/>
      </c>
    </row>
    <row r="2508">
      <c r="A2508" s="14">
        <f>IF(F2508&lt;&gt;"","ISSUE-"&amp;TEXT(ROW()-1,"00000"),"")</f>
        <v/>
      </c>
      <c r="B2508" s="14">
        <f>IF(F2508&lt;&gt;"","错误","")</f>
        <v/>
      </c>
      <c r="C2508" s="14">
        <f>IF('07_动态状态'!A8&lt;&gt;"","07_动态状态","")</f>
        <v/>
      </c>
      <c r="D2508" s="14">
        <f>IF('07_动态状态'!A8&lt;&gt;"",'07_动态状态'!A8,"")</f>
        <v/>
      </c>
      <c r="E2508" s="14">
        <f>IF(F2508&lt;&gt;"","综合校验","")</f>
        <v/>
      </c>
      <c r="F2508" s="14">
        <f>IF('07_动态状态'!A8&lt;&gt;"",IF('07_动态状态'!A8="","缺少状态编码；","")&amp;IF('07_动态状态'!B8="","缺少状态名称；","")&amp;IF('07_动态状态'!C8="","缺少状态类别；","")&amp;IF(AND('07_动态状态'!A8&lt;&gt;"",COUNTIF('07_动态状态'!$A$2:$A$501,'07_动态状态'!A8)&gt;1),"ID重复；",""),"")</f>
        <v/>
      </c>
      <c r="G2508" s="14">
        <f>IF(F2508&lt;&gt;"","按字段批注、数据字典和来源记录修正后复核","")</f>
        <v/>
      </c>
      <c r="H2508" s="14">
        <f>IF(F2508&lt;&gt;"","待处理","")</f>
        <v/>
      </c>
    </row>
    <row r="2509">
      <c r="A2509" s="14">
        <f>IF(F2509&lt;&gt;"","ISSUE-"&amp;TEXT(ROW()-1,"00000"),"")</f>
        <v/>
      </c>
      <c r="B2509" s="14">
        <f>IF(F2509&lt;&gt;"","错误","")</f>
        <v/>
      </c>
      <c r="C2509" s="14">
        <f>IF('07_动态状态'!A9&lt;&gt;"","07_动态状态","")</f>
        <v/>
      </c>
      <c r="D2509" s="14">
        <f>IF('07_动态状态'!A9&lt;&gt;"",'07_动态状态'!A9,"")</f>
        <v/>
      </c>
      <c r="E2509" s="14">
        <f>IF(F2509&lt;&gt;"","综合校验","")</f>
        <v/>
      </c>
      <c r="F2509" s="14">
        <f>IF('07_动态状态'!A9&lt;&gt;"",IF('07_动态状态'!A9="","缺少状态编码；","")&amp;IF('07_动态状态'!B9="","缺少状态名称；","")&amp;IF('07_动态状态'!C9="","缺少状态类别；","")&amp;IF(AND('07_动态状态'!A9&lt;&gt;"",COUNTIF('07_动态状态'!$A$2:$A$501,'07_动态状态'!A9)&gt;1),"ID重复；",""),"")</f>
        <v/>
      </c>
      <c r="G2509" s="14">
        <f>IF(F2509&lt;&gt;"","按字段批注、数据字典和来源记录修正后复核","")</f>
        <v/>
      </c>
      <c r="H2509" s="14">
        <f>IF(F2509&lt;&gt;"","待处理","")</f>
        <v/>
      </c>
    </row>
    <row r="2510">
      <c r="A2510" s="14">
        <f>IF(F2510&lt;&gt;"","ISSUE-"&amp;TEXT(ROW()-1,"00000"),"")</f>
        <v/>
      </c>
      <c r="B2510" s="14">
        <f>IF(F2510&lt;&gt;"","错误","")</f>
        <v/>
      </c>
      <c r="C2510" s="14">
        <f>IF('07_动态状态'!A10&lt;&gt;"","07_动态状态","")</f>
        <v/>
      </c>
      <c r="D2510" s="14">
        <f>IF('07_动态状态'!A10&lt;&gt;"",'07_动态状态'!A10,"")</f>
        <v/>
      </c>
      <c r="E2510" s="14">
        <f>IF(F2510&lt;&gt;"","综合校验","")</f>
        <v/>
      </c>
      <c r="F2510" s="14">
        <f>IF('07_动态状态'!A10&lt;&gt;"",IF('07_动态状态'!A10="","缺少状态编码；","")&amp;IF('07_动态状态'!B10="","缺少状态名称；","")&amp;IF('07_动态状态'!C10="","缺少状态类别；","")&amp;IF(AND('07_动态状态'!A10&lt;&gt;"",COUNTIF('07_动态状态'!$A$2:$A$501,'07_动态状态'!A10)&gt;1),"ID重复；",""),"")</f>
        <v/>
      </c>
      <c r="G2510" s="14">
        <f>IF(F2510&lt;&gt;"","按字段批注、数据字典和来源记录修正后复核","")</f>
        <v/>
      </c>
      <c r="H2510" s="14">
        <f>IF(F2510&lt;&gt;"","待处理","")</f>
        <v/>
      </c>
    </row>
    <row r="2511">
      <c r="A2511" s="14">
        <f>IF(F2511&lt;&gt;"","ISSUE-"&amp;TEXT(ROW()-1,"00000"),"")</f>
        <v/>
      </c>
      <c r="B2511" s="14">
        <f>IF(F2511&lt;&gt;"","错误","")</f>
        <v/>
      </c>
      <c r="C2511" s="14">
        <f>IF('07_动态状态'!A11&lt;&gt;"","07_动态状态","")</f>
        <v/>
      </c>
      <c r="D2511" s="14">
        <f>IF('07_动态状态'!A11&lt;&gt;"",'07_动态状态'!A11,"")</f>
        <v/>
      </c>
      <c r="E2511" s="14">
        <f>IF(F2511&lt;&gt;"","综合校验","")</f>
        <v/>
      </c>
      <c r="F2511" s="14">
        <f>IF('07_动态状态'!A11&lt;&gt;"",IF('07_动态状态'!A11="","缺少状态编码；","")&amp;IF('07_动态状态'!B11="","缺少状态名称；","")&amp;IF('07_动态状态'!C11="","缺少状态类别；","")&amp;IF(AND('07_动态状态'!A11&lt;&gt;"",COUNTIF('07_动态状态'!$A$2:$A$501,'07_动态状态'!A11)&gt;1),"ID重复；",""),"")</f>
        <v/>
      </c>
      <c r="G2511" s="14">
        <f>IF(F2511&lt;&gt;"","按字段批注、数据字典和来源记录修正后复核","")</f>
        <v/>
      </c>
      <c r="H2511" s="14">
        <f>IF(F2511&lt;&gt;"","待处理","")</f>
        <v/>
      </c>
    </row>
    <row r="2512">
      <c r="A2512" s="14">
        <f>IF(F2512&lt;&gt;"","ISSUE-"&amp;TEXT(ROW()-1,"00000"),"")</f>
        <v/>
      </c>
      <c r="B2512" s="14">
        <f>IF(F2512&lt;&gt;"","错误","")</f>
        <v/>
      </c>
      <c r="C2512" s="14">
        <f>IF('07_动态状态'!A12&lt;&gt;"","07_动态状态","")</f>
        <v/>
      </c>
      <c r="D2512" s="14">
        <f>IF('07_动态状态'!A12&lt;&gt;"",'07_动态状态'!A12,"")</f>
        <v/>
      </c>
      <c r="E2512" s="14">
        <f>IF(F2512&lt;&gt;"","综合校验","")</f>
        <v/>
      </c>
      <c r="F2512" s="14">
        <f>IF('07_动态状态'!A12&lt;&gt;"",IF('07_动态状态'!A12="","缺少状态编码；","")&amp;IF('07_动态状态'!B12="","缺少状态名称；","")&amp;IF('07_动态状态'!C12="","缺少状态类别；","")&amp;IF(AND('07_动态状态'!A12&lt;&gt;"",COUNTIF('07_动态状态'!$A$2:$A$501,'07_动态状态'!A12)&gt;1),"ID重复；",""),"")</f>
        <v/>
      </c>
      <c r="G2512" s="14">
        <f>IF(F2512&lt;&gt;"","按字段批注、数据字典和来源记录修正后复核","")</f>
        <v/>
      </c>
      <c r="H2512" s="14">
        <f>IF(F2512&lt;&gt;"","待处理","")</f>
        <v/>
      </c>
    </row>
    <row r="2513">
      <c r="A2513" s="14">
        <f>IF(F2513&lt;&gt;"","ISSUE-"&amp;TEXT(ROW()-1,"00000"),"")</f>
        <v/>
      </c>
      <c r="B2513" s="14">
        <f>IF(F2513&lt;&gt;"","错误","")</f>
        <v/>
      </c>
      <c r="C2513" s="14">
        <f>IF('07_动态状态'!A13&lt;&gt;"","07_动态状态","")</f>
        <v/>
      </c>
      <c r="D2513" s="14">
        <f>IF('07_动态状态'!A13&lt;&gt;"",'07_动态状态'!A13,"")</f>
        <v/>
      </c>
      <c r="E2513" s="14">
        <f>IF(F2513&lt;&gt;"","综合校验","")</f>
        <v/>
      </c>
      <c r="F2513" s="14">
        <f>IF('07_动态状态'!A13&lt;&gt;"",IF('07_动态状态'!A13="","缺少状态编码；","")&amp;IF('07_动态状态'!B13="","缺少状态名称；","")&amp;IF('07_动态状态'!C13="","缺少状态类别；","")&amp;IF(AND('07_动态状态'!A13&lt;&gt;"",COUNTIF('07_动态状态'!$A$2:$A$501,'07_动态状态'!A13)&gt;1),"ID重复；",""),"")</f>
        <v/>
      </c>
      <c r="G2513" s="14">
        <f>IF(F2513&lt;&gt;"","按字段批注、数据字典和来源记录修正后复核","")</f>
        <v/>
      </c>
      <c r="H2513" s="14">
        <f>IF(F2513&lt;&gt;"","待处理","")</f>
        <v/>
      </c>
    </row>
    <row r="2514">
      <c r="A2514" s="14">
        <f>IF(F2514&lt;&gt;"","ISSUE-"&amp;TEXT(ROW()-1,"00000"),"")</f>
        <v/>
      </c>
      <c r="B2514" s="14">
        <f>IF(F2514&lt;&gt;"","错误","")</f>
        <v/>
      </c>
      <c r="C2514" s="14">
        <f>IF('07_动态状态'!A14&lt;&gt;"","07_动态状态","")</f>
        <v/>
      </c>
      <c r="D2514" s="14">
        <f>IF('07_动态状态'!A14&lt;&gt;"",'07_动态状态'!A14,"")</f>
        <v/>
      </c>
      <c r="E2514" s="14">
        <f>IF(F2514&lt;&gt;"","综合校验","")</f>
        <v/>
      </c>
      <c r="F2514" s="14">
        <f>IF('07_动态状态'!A14&lt;&gt;"",IF('07_动态状态'!A14="","缺少状态编码；","")&amp;IF('07_动态状态'!B14="","缺少状态名称；","")&amp;IF('07_动态状态'!C14="","缺少状态类别；","")&amp;IF(AND('07_动态状态'!A14&lt;&gt;"",COUNTIF('07_动态状态'!$A$2:$A$501,'07_动态状态'!A14)&gt;1),"ID重复；",""),"")</f>
        <v/>
      </c>
      <c r="G2514" s="14">
        <f>IF(F2514&lt;&gt;"","按字段批注、数据字典和来源记录修正后复核","")</f>
        <v/>
      </c>
      <c r="H2514" s="14">
        <f>IF(F2514&lt;&gt;"","待处理","")</f>
        <v/>
      </c>
    </row>
    <row r="2515">
      <c r="A2515" s="14">
        <f>IF(F2515&lt;&gt;"","ISSUE-"&amp;TEXT(ROW()-1,"00000"),"")</f>
        <v/>
      </c>
      <c r="B2515" s="14">
        <f>IF(F2515&lt;&gt;"","错误","")</f>
        <v/>
      </c>
      <c r="C2515" s="14">
        <f>IF('07_动态状态'!A15&lt;&gt;"","07_动态状态","")</f>
        <v/>
      </c>
      <c r="D2515" s="14">
        <f>IF('07_动态状态'!A15&lt;&gt;"",'07_动态状态'!A15,"")</f>
        <v/>
      </c>
      <c r="E2515" s="14">
        <f>IF(F2515&lt;&gt;"","综合校验","")</f>
        <v/>
      </c>
      <c r="F2515" s="14">
        <f>IF('07_动态状态'!A15&lt;&gt;"",IF('07_动态状态'!A15="","缺少状态编码；","")&amp;IF('07_动态状态'!B15="","缺少状态名称；","")&amp;IF('07_动态状态'!C15="","缺少状态类别；","")&amp;IF(AND('07_动态状态'!A15&lt;&gt;"",COUNTIF('07_动态状态'!$A$2:$A$501,'07_动态状态'!A15)&gt;1),"ID重复；",""),"")</f>
        <v/>
      </c>
      <c r="G2515" s="14">
        <f>IF(F2515&lt;&gt;"","按字段批注、数据字典和来源记录修正后复核","")</f>
        <v/>
      </c>
      <c r="H2515" s="14">
        <f>IF(F2515&lt;&gt;"","待处理","")</f>
        <v/>
      </c>
    </row>
    <row r="2516">
      <c r="A2516" s="14">
        <f>IF(F2516&lt;&gt;"","ISSUE-"&amp;TEXT(ROW()-1,"00000"),"")</f>
        <v/>
      </c>
      <c r="B2516" s="14">
        <f>IF(F2516&lt;&gt;"","错误","")</f>
        <v/>
      </c>
      <c r="C2516" s="14">
        <f>IF('07_动态状态'!A16&lt;&gt;"","07_动态状态","")</f>
        <v/>
      </c>
      <c r="D2516" s="14">
        <f>IF('07_动态状态'!A16&lt;&gt;"",'07_动态状态'!A16,"")</f>
        <v/>
      </c>
      <c r="E2516" s="14">
        <f>IF(F2516&lt;&gt;"","综合校验","")</f>
        <v/>
      </c>
      <c r="F2516" s="14">
        <f>IF('07_动态状态'!A16&lt;&gt;"",IF('07_动态状态'!A16="","缺少状态编码；","")&amp;IF('07_动态状态'!B16="","缺少状态名称；","")&amp;IF('07_动态状态'!C16="","缺少状态类别；","")&amp;IF(AND('07_动态状态'!A16&lt;&gt;"",COUNTIF('07_动态状态'!$A$2:$A$501,'07_动态状态'!A16)&gt;1),"ID重复；",""),"")</f>
        <v/>
      </c>
      <c r="G2516" s="14">
        <f>IF(F2516&lt;&gt;"","按字段批注、数据字典和来源记录修正后复核","")</f>
        <v/>
      </c>
      <c r="H2516" s="14">
        <f>IF(F2516&lt;&gt;"","待处理","")</f>
        <v/>
      </c>
    </row>
    <row r="2517">
      <c r="A2517" s="14">
        <f>IF(F2517&lt;&gt;"","ISSUE-"&amp;TEXT(ROW()-1,"00000"),"")</f>
        <v/>
      </c>
      <c r="B2517" s="14">
        <f>IF(F2517&lt;&gt;"","错误","")</f>
        <v/>
      </c>
      <c r="C2517" s="14">
        <f>IF('07_动态状态'!A17&lt;&gt;"","07_动态状态","")</f>
        <v/>
      </c>
      <c r="D2517" s="14">
        <f>IF('07_动态状态'!A17&lt;&gt;"",'07_动态状态'!A17,"")</f>
        <v/>
      </c>
      <c r="E2517" s="14">
        <f>IF(F2517&lt;&gt;"","综合校验","")</f>
        <v/>
      </c>
      <c r="F2517" s="14">
        <f>IF('07_动态状态'!A17&lt;&gt;"",IF('07_动态状态'!A17="","缺少状态编码；","")&amp;IF('07_动态状态'!B17="","缺少状态名称；","")&amp;IF('07_动态状态'!C17="","缺少状态类别；","")&amp;IF(AND('07_动态状态'!A17&lt;&gt;"",COUNTIF('07_动态状态'!$A$2:$A$501,'07_动态状态'!A17)&gt;1),"ID重复；",""),"")</f>
        <v/>
      </c>
      <c r="G2517" s="14">
        <f>IF(F2517&lt;&gt;"","按字段批注、数据字典和来源记录修正后复核","")</f>
        <v/>
      </c>
      <c r="H2517" s="14">
        <f>IF(F2517&lt;&gt;"","待处理","")</f>
        <v/>
      </c>
    </row>
    <row r="2518">
      <c r="A2518" s="14">
        <f>IF(F2518&lt;&gt;"","ISSUE-"&amp;TEXT(ROW()-1,"00000"),"")</f>
        <v/>
      </c>
      <c r="B2518" s="14">
        <f>IF(F2518&lt;&gt;"","错误","")</f>
        <v/>
      </c>
      <c r="C2518" s="14">
        <f>IF('07_动态状态'!A18&lt;&gt;"","07_动态状态","")</f>
        <v/>
      </c>
      <c r="D2518" s="14">
        <f>IF('07_动态状态'!A18&lt;&gt;"",'07_动态状态'!A18,"")</f>
        <v/>
      </c>
      <c r="E2518" s="14">
        <f>IF(F2518&lt;&gt;"","综合校验","")</f>
        <v/>
      </c>
      <c r="F2518" s="14">
        <f>IF('07_动态状态'!A18&lt;&gt;"",IF('07_动态状态'!A18="","缺少状态编码；","")&amp;IF('07_动态状态'!B18="","缺少状态名称；","")&amp;IF('07_动态状态'!C18="","缺少状态类别；","")&amp;IF(AND('07_动态状态'!A18&lt;&gt;"",COUNTIF('07_动态状态'!$A$2:$A$501,'07_动态状态'!A18)&gt;1),"ID重复；",""),"")</f>
        <v/>
      </c>
      <c r="G2518" s="14">
        <f>IF(F2518&lt;&gt;"","按字段批注、数据字典和来源记录修正后复核","")</f>
        <v/>
      </c>
      <c r="H2518" s="14">
        <f>IF(F2518&lt;&gt;"","待处理","")</f>
        <v/>
      </c>
    </row>
    <row r="2519">
      <c r="A2519" s="14">
        <f>IF(F2519&lt;&gt;"","ISSUE-"&amp;TEXT(ROW()-1,"00000"),"")</f>
        <v/>
      </c>
      <c r="B2519" s="14">
        <f>IF(F2519&lt;&gt;"","错误","")</f>
        <v/>
      </c>
      <c r="C2519" s="14">
        <f>IF('07_动态状态'!A19&lt;&gt;"","07_动态状态","")</f>
        <v/>
      </c>
      <c r="D2519" s="14">
        <f>IF('07_动态状态'!A19&lt;&gt;"",'07_动态状态'!A19,"")</f>
        <v/>
      </c>
      <c r="E2519" s="14">
        <f>IF(F2519&lt;&gt;"","综合校验","")</f>
        <v/>
      </c>
      <c r="F2519" s="14">
        <f>IF('07_动态状态'!A19&lt;&gt;"",IF('07_动态状态'!A19="","缺少状态编码；","")&amp;IF('07_动态状态'!B19="","缺少状态名称；","")&amp;IF('07_动态状态'!C19="","缺少状态类别；","")&amp;IF(AND('07_动态状态'!A19&lt;&gt;"",COUNTIF('07_动态状态'!$A$2:$A$501,'07_动态状态'!A19)&gt;1),"ID重复；",""),"")</f>
        <v/>
      </c>
      <c r="G2519" s="14">
        <f>IF(F2519&lt;&gt;"","按字段批注、数据字典和来源记录修正后复核","")</f>
        <v/>
      </c>
      <c r="H2519" s="14">
        <f>IF(F2519&lt;&gt;"","待处理","")</f>
        <v/>
      </c>
    </row>
    <row r="2520">
      <c r="A2520" s="14">
        <f>IF(F2520&lt;&gt;"","ISSUE-"&amp;TEXT(ROW()-1,"00000"),"")</f>
        <v/>
      </c>
      <c r="B2520" s="14">
        <f>IF(F2520&lt;&gt;"","错误","")</f>
        <v/>
      </c>
      <c r="C2520" s="14">
        <f>IF('07_动态状态'!A20&lt;&gt;"","07_动态状态","")</f>
        <v/>
      </c>
      <c r="D2520" s="14">
        <f>IF('07_动态状态'!A20&lt;&gt;"",'07_动态状态'!A20,"")</f>
        <v/>
      </c>
      <c r="E2520" s="14">
        <f>IF(F2520&lt;&gt;"","综合校验","")</f>
        <v/>
      </c>
      <c r="F2520" s="14">
        <f>IF('07_动态状态'!A20&lt;&gt;"",IF('07_动态状态'!A20="","缺少状态编码；","")&amp;IF('07_动态状态'!B20="","缺少状态名称；","")&amp;IF('07_动态状态'!C20="","缺少状态类别；","")&amp;IF(AND('07_动态状态'!A20&lt;&gt;"",COUNTIF('07_动态状态'!$A$2:$A$501,'07_动态状态'!A20)&gt;1),"ID重复；",""),"")</f>
        <v/>
      </c>
      <c r="G2520" s="14">
        <f>IF(F2520&lt;&gt;"","按字段批注、数据字典和来源记录修正后复核","")</f>
        <v/>
      </c>
      <c r="H2520" s="14">
        <f>IF(F2520&lt;&gt;"","待处理","")</f>
        <v/>
      </c>
    </row>
    <row r="2521">
      <c r="A2521" s="14">
        <f>IF(F2521&lt;&gt;"","ISSUE-"&amp;TEXT(ROW()-1,"00000"),"")</f>
        <v/>
      </c>
      <c r="B2521" s="14">
        <f>IF(F2521&lt;&gt;"","错误","")</f>
        <v/>
      </c>
      <c r="C2521" s="14">
        <f>IF('07_动态状态'!A21&lt;&gt;"","07_动态状态","")</f>
        <v/>
      </c>
      <c r="D2521" s="14">
        <f>IF('07_动态状态'!A21&lt;&gt;"",'07_动态状态'!A21,"")</f>
        <v/>
      </c>
      <c r="E2521" s="14">
        <f>IF(F2521&lt;&gt;"","综合校验","")</f>
        <v/>
      </c>
      <c r="F2521" s="14">
        <f>IF('07_动态状态'!A21&lt;&gt;"",IF('07_动态状态'!A21="","缺少状态编码；","")&amp;IF('07_动态状态'!B21="","缺少状态名称；","")&amp;IF('07_动态状态'!C21="","缺少状态类别；","")&amp;IF(AND('07_动态状态'!A21&lt;&gt;"",COUNTIF('07_动态状态'!$A$2:$A$501,'07_动态状态'!A21)&gt;1),"ID重复；",""),"")</f>
        <v/>
      </c>
      <c r="G2521" s="14">
        <f>IF(F2521&lt;&gt;"","按字段批注、数据字典和来源记录修正后复核","")</f>
        <v/>
      </c>
      <c r="H2521" s="14">
        <f>IF(F2521&lt;&gt;"","待处理","")</f>
        <v/>
      </c>
    </row>
    <row r="2522">
      <c r="A2522" s="14">
        <f>IF(F2522&lt;&gt;"","ISSUE-"&amp;TEXT(ROW()-1,"00000"),"")</f>
        <v/>
      </c>
      <c r="B2522" s="14">
        <f>IF(F2522&lt;&gt;"","错误","")</f>
        <v/>
      </c>
      <c r="C2522" s="14">
        <f>IF('07_动态状态'!A22&lt;&gt;"","07_动态状态","")</f>
        <v/>
      </c>
      <c r="D2522" s="14">
        <f>IF('07_动态状态'!A22&lt;&gt;"",'07_动态状态'!A22,"")</f>
        <v/>
      </c>
      <c r="E2522" s="14">
        <f>IF(F2522&lt;&gt;"","综合校验","")</f>
        <v/>
      </c>
      <c r="F2522" s="14">
        <f>IF('07_动态状态'!A22&lt;&gt;"",IF('07_动态状态'!A22="","缺少状态编码；","")&amp;IF('07_动态状态'!B22="","缺少状态名称；","")&amp;IF('07_动态状态'!C22="","缺少状态类别；","")&amp;IF(AND('07_动态状态'!A22&lt;&gt;"",COUNTIF('07_动态状态'!$A$2:$A$501,'07_动态状态'!A22)&gt;1),"ID重复；",""),"")</f>
        <v/>
      </c>
      <c r="G2522" s="14">
        <f>IF(F2522&lt;&gt;"","按字段批注、数据字典和来源记录修正后复核","")</f>
        <v/>
      </c>
      <c r="H2522" s="14">
        <f>IF(F2522&lt;&gt;"","待处理","")</f>
        <v/>
      </c>
    </row>
    <row r="2523">
      <c r="A2523" s="14">
        <f>IF(F2523&lt;&gt;"","ISSUE-"&amp;TEXT(ROW()-1,"00000"),"")</f>
        <v/>
      </c>
      <c r="B2523" s="14">
        <f>IF(F2523&lt;&gt;"","错误","")</f>
        <v/>
      </c>
      <c r="C2523" s="14">
        <f>IF('07_动态状态'!A23&lt;&gt;"","07_动态状态","")</f>
        <v/>
      </c>
      <c r="D2523" s="14">
        <f>IF('07_动态状态'!A23&lt;&gt;"",'07_动态状态'!A23,"")</f>
        <v/>
      </c>
      <c r="E2523" s="14">
        <f>IF(F2523&lt;&gt;"","综合校验","")</f>
        <v/>
      </c>
      <c r="F2523" s="14">
        <f>IF('07_动态状态'!A23&lt;&gt;"",IF('07_动态状态'!A23="","缺少状态编码；","")&amp;IF('07_动态状态'!B23="","缺少状态名称；","")&amp;IF('07_动态状态'!C23="","缺少状态类别；","")&amp;IF(AND('07_动态状态'!A23&lt;&gt;"",COUNTIF('07_动态状态'!$A$2:$A$501,'07_动态状态'!A23)&gt;1),"ID重复；",""),"")</f>
        <v/>
      </c>
      <c r="G2523" s="14">
        <f>IF(F2523&lt;&gt;"","按字段批注、数据字典和来源记录修正后复核","")</f>
        <v/>
      </c>
      <c r="H2523" s="14">
        <f>IF(F2523&lt;&gt;"","待处理","")</f>
        <v/>
      </c>
    </row>
    <row r="2524">
      <c r="A2524" s="14">
        <f>IF(F2524&lt;&gt;"","ISSUE-"&amp;TEXT(ROW()-1,"00000"),"")</f>
        <v/>
      </c>
      <c r="B2524" s="14">
        <f>IF(F2524&lt;&gt;"","错误","")</f>
        <v/>
      </c>
      <c r="C2524" s="14">
        <f>IF('07_动态状态'!A24&lt;&gt;"","07_动态状态","")</f>
        <v/>
      </c>
      <c r="D2524" s="14">
        <f>IF('07_动态状态'!A24&lt;&gt;"",'07_动态状态'!A24,"")</f>
        <v/>
      </c>
      <c r="E2524" s="14">
        <f>IF(F2524&lt;&gt;"","综合校验","")</f>
        <v/>
      </c>
      <c r="F2524" s="14">
        <f>IF('07_动态状态'!A24&lt;&gt;"",IF('07_动态状态'!A24="","缺少状态编码；","")&amp;IF('07_动态状态'!B24="","缺少状态名称；","")&amp;IF('07_动态状态'!C24="","缺少状态类别；","")&amp;IF(AND('07_动态状态'!A24&lt;&gt;"",COUNTIF('07_动态状态'!$A$2:$A$501,'07_动态状态'!A24)&gt;1),"ID重复；",""),"")</f>
        <v/>
      </c>
      <c r="G2524" s="14">
        <f>IF(F2524&lt;&gt;"","按字段批注、数据字典和来源记录修正后复核","")</f>
        <v/>
      </c>
      <c r="H2524" s="14">
        <f>IF(F2524&lt;&gt;"","待处理","")</f>
        <v/>
      </c>
    </row>
    <row r="2525">
      <c r="A2525" s="14">
        <f>IF(F2525&lt;&gt;"","ISSUE-"&amp;TEXT(ROW()-1,"00000"),"")</f>
        <v/>
      </c>
      <c r="B2525" s="14">
        <f>IF(F2525&lt;&gt;"","错误","")</f>
        <v/>
      </c>
      <c r="C2525" s="14">
        <f>IF('07_动态状态'!A25&lt;&gt;"","07_动态状态","")</f>
        <v/>
      </c>
      <c r="D2525" s="14">
        <f>IF('07_动态状态'!A25&lt;&gt;"",'07_动态状态'!A25,"")</f>
        <v/>
      </c>
      <c r="E2525" s="14">
        <f>IF(F2525&lt;&gt;"","综合校验","")</f>
        <v/>
      </c>
      <c r="F2525" s="14">
        <f>IF('07_动态状态'!A25&lt;&gt;"",IF('07_动态状态'!A25="","缺少状态编码；","")&amp;IF('07_动态状态'!B25="","缺少状态名称；","")&amp;IF('07_动态状态'!C25="","缺少状态类别；","")&amp;IF(AND('07_动态状态'!A25&lt;&gt;"",COUNTIF('07_动态状态'!$A$2:$A$501,'07_动态状态'!A25)&gt;1),"ID重复；",""),"")</f>
        <v/>
      </c>
      <c r="G2525" s="14">
        <f>IF(F2525&lt;&gt;"","按字段批注、数据字典和来源记录修正后复核","")</f>
        <v/>
      </c>
      <c r="H2525" s="14">
        <f>IF(F2525&lt;&gt;"","待处理","")</f>
        <v/>
      </c>
    </row>
    <row r="2526">
      <c r="A2526" s="14">
        <f>IF(F2526&lt;&gt;"","ISSUE-"&amp;TEXT(ROW()-1,"00000"),"")</f>
        <v/>
      </c>
      <c r="B2526" s="14">
        <f>IF(F2526&lt;&gt;"","错误","")</f>
        <v/>
      </c>
      <c r="C2526" s="14">
        <f>IF('07_动态状态'!A26&lt;&gt;"","07_动态状态","")</f>
        <v/>
      </c>
      <c r="D2526" s="14">
        <f>IF('07_动态状态'!A26&lt;&gt;"",'07_动态状态'!A26,"")</f>
        <v/>
      </c>
      <c r="E2526" s="14">
        <f>IF(F2526&lt;&gt;"","综合校验","")</f>
        <v/>
      </c>
      <c r="F2526" s="14">
        <f>IF('07_动态状态'!A26&lt;&gt;"",IF('07_动态状态'!A26="","缺少状态编码；","")&amp;IF('07_动态状态'!B26="","缺少状态名称；","")&amp;IF('07_动态状态'!C26="","缺少状态类别；","")&amp;IF(AND('07_动态状态'!A26&lt;&gt;"",COUNTIF('07_动态状态'!$A$2:$A$501,'07_动态状态'!A26)&gt;1),"ID重复；",""),"")</f>
        <v/>
      </c>
      <c r="G2526" s="14">
        <f>IF(F2526&lt;&gt;"","按字段批注、数据字典和来源记录修正后复核","")</f>
        <v/>
      </c>
      <c r="H2526" s="14">
        <f>IF(F2526&lt;&gt;"","待处理","")</f>
        <v/>
      </c>
    </row>
    <row r="2527">
      <c r="A2527" s="14">
        <f>IF(F2527&lt;&gt;"","ISSUE-"&amp;TEXT(ROW()-1,"00000"),"")</f>
        <v/>
      </c>
      <c r="B2527" s="14">
        <f>IF(F2527&lt;&gt;"","错误","")</f>
        <v/>
      </c>
      <c r="C2527" s="14">
        <f>IF('07_动态状态'!A27&lt;&gt;"","07_动态状态","")</f>
        <v/>
      </c>
      <c r="D2527" s="14">
        <f>IF('07_动态状态'!A27&lt;&gt;"",'07_动态状态'!A27,"")</f>
        <v/>
      </c>
      <c r="E2527" s="14">
        <f>IF(F2527&lt;&gt;"","综合校验","")</f>
        <v/>
      </c>
      <c r="F2527" s="14">
        <f>IF('07_动态状态'!A27&lt;&gt;"",IF('07_动态状态'!A27="","缺少状态编码；","")&amp;IF('07_动态状态'!B27="","缺少状态名称；","")&amp;IF('07_动态状态'!C27="","缺少状态类别；","")&amp;IF(AND('07_动态状态'!A27&lt;&gt;"",COUNTIF('07_动态状态'!$A$2:$A$501,'07_动态状态'!A27)&gt;1),"ID重复；",""),"")</f>
        <v/>
      </c>
      <c r="G2527" s="14">
        <f>IF(F2527&lt;&gt;"","按字段批注、数据字典和来源记录修正后复核","")</f>
        <v/>
      </c>
      <c r="H2527" s="14">
        <f>IF(F2527&lt;&gt;"","待处理","")</f>
        <v/>
      </c>
    </row>
    <row r="2528">
      <c r="A2528" s="14">
        <f>IF(F2528&lt;&gt;"","ISSUE-"&amp;TEXT(ROW()-1,"00000"),"")</f>
        <v/>
      </c>
      <c r="B2528" s="14">
        <f>IF(F2528&lt;&gt;"","错误","")</f>
        <v/>
      </c>
      <c r="C2528" s="14">
        <f>IF('07_动态状态'!A28&lt;&gt;"","07_动态状态","")</f>
        <v/>
      </c>
      <c r="D2528" s="14">
        <f>IF('07_动态状态'!A28&lt;&gt;"",'07_动态状态'!A28,"")</f>
        <v/>
      </c>
      <c r="E2528" s="14">
        <f>IF(F2528&lt;&gt;"","综合校验","")</f>
        <v/>
      </c>
      <c r="F2528" s="14">
        <f>IF('07_动态状态'!A28&lt;&gt;"",IF('07_动态状态'!A28="","缺少状态编码；","")&amp;IF('07_动态状态'!B28="","缺少状态名称；","")&amp;IF('07_动态状态'!C28="","缺少状态类别；","")&amp;IF(AND('07_动态状态'!A28&lt;&gt;"",COUNTIF('07_动态状态'!$A$2:$A$501,'07_动态状态'!A28)&gt;1),"ID重复；",""),"")</f>
        <v/>
      </c>
      <c r="G2528" s="14">
        <f>IF(F2528&lt;&gt;"","按字段批注、数据字典和来源记录修正后复核","")</f>
        <v/>
      </c>
      <c r="H2528" s="14">
        <f>IF(F2528&lt;&gt;"","待处理","")</f>
        <v/>
      </c>
    </row>
    <row r="2529">
      <c r="A2529" s="14">
        <f>IF(F2529&lt;&gt;"","ISSUE-"&amp;TEXT(ROW()-1,"00000"),"")</f>
        <v/>
      </c>
      <c r="B2529" s="14">
        <f>IF(F2529&lt;&gt;"","错误","")</f>
        <v/>
      </c>
      <c r="C2529" s="14">
        <f>IF('07_动态状态'!A29&lt;&gt;"","07_动态状态","")</f>
        <v/>
      </c>
      <c r="D2529" s="14">
        <f>IF('07_动态状态'!A29&lt;&gt;"",'07_动态状态'!A29,"")</f>
        <v/>
      </c>
      <c r="E2529" s="14">
        <f>IF(F2529&lt;&gt;"","综合校验","")</f>
        <v/>
      </c>
      <c r="F2529" s="14">
        <f>IF('07_动态状态'!A29&lt;&gt;"",IF('07_动态状态'!A29="","缺少状态编码；","")&amp;IF('07_动态状态'!B29="","缺少状态名称；","")&amp;IF('07_动态状态'!C29="","缺少状态类别；","")&amp;IF(AND('07_动态状态'!A29&lt;&gt;"",COUNTIF('07_动态状态'!$A$2:$A$501,'07_动态状态'!A29)&gt;1),"ID重复；",""),"")</f>
        <v/>
      </c>
      <c r="G2529" s="14">
        <f>IF(F2529&lt;&gt;"","按字段批注、数据字典和来源记录修正后复核","")</f>
        <v/>
      </c>
      <c r="H2529" s="14">
        <f>IF(F2529&lt;&gt;"","待处理","")</f>
        <v/>
      </c>
    </row>
    <row r="2530">
      <c r="A2530" s="14">
        <f>IF(F2530&lt;&gt;"","ISSUE-"&amp;TEXT(ROW()-1,"00000"),"")</f>
        <v/>
      </c>
      <c r="B2530" s="14">
        <f>IF(F2530&lt;&gt;"","错误","")</f>
        <v/>
      </c>
      <c r="C2530" s="14">
        <f>IF('07_动态状态'!A30&lt;&gt;"","07_动态状态","")</f>
        <v/>
      </c>
      <c r="D2530" s="14">
        <f>IF('07_动态状态'!A30&lt;&gt;"",'07_动态状态'!A30,"")</f>
        <v/>
      </c>
      <c r="E2530" s="14">
        <f>IF(F2530&lt;&gt;"","综合校验","")</f>
        <v/>
      </c>
      <c r="F2530" s="14">
        <f>IF('07_动态状态'!A30&lt;&gt;"",IF('07_动态状态'!A30="","缺少状态编码；","")&amp;IF('07_动态状态'!B30="","缺少状态名称；","")&amp;IF('07_动态状态'!C30="","缺少状态类别；","")&amp;IF(AND('07_动态状态'!A30&lt;&gt;"",COUNTIF('07_动态状态'!$A$2:$A$501,'07_动态状态'!A30)&gt;1),"ID重复；",""),"")</f>
        <v/>
      </c>
      <c r="G2530" s="14">
        <f>IF(F2530&lt;&gt;"","按字段批注、数据字典和来源记录修正后复核","")</f>
        <v/>
      </c>
      <c r="H2530" s="14">
        <f>IF(F2530&lt;&gt;"","待处理","")</f>
        <v/>
      </c>
    </row>
    <row r="2531">
      <c r="A2531" s="14">
        <f>IF(F2531&lt;&gt;"","ISSUE-"&amp;TEXT(ROW()-1,"00000"),"")</f>
        <v/>
      </c>
      <c r="B2531" s="14">
        <f>IF(F2531&lt;&gt;"","错误","")</f>
        <v/>
      </c>
      <c r="C2531" s="14">
        <f>IF('07_动态状态'!A31&lt;&gt;"","07_动态状态","")</f>
        <v/>
      </c>
      <c r="D2531" s="14">
        <f>IF('07_动态状态'!A31&lt;&gt;"",'07_动态状态'!A31,"")</f>
        <v/>
      </c>
      <c r="E2531" s="14">
        <f>IF(F2531&lt;&gt;"","综合校验","")</f>
        <v/>
      </c>
      <c r="F2531" s="14">
        <f>IF('07_动态状态'!A31&lt;&gt;"",IF('07_动态状态'!A31="","缺少状态编码；","")&amp;IF('07_动态状态'!B31="","缺少状态名称；","")&amp;IF('07_动态状态'!C31="","缺少状态类别；","")&amp;IF(AND('07_动态状态'!A31&lt;&gt;"",COUNTIF('07_动态状态'!$A$2:$A$501,'07_动态状态'!A31)&gt;1),"ID重复；",""),"")</f>
        <v/>
      </c>
      <c r="G2531" s="14">
        <f>IF(F2531&lt;&gt;"","按字段批注、数据字典和来源记录修正后复核","")</f>
        <v/>
      </c>
      <c r="H2531" s="14">
        <f>IF(F2531&lt;&gt;"","待处理","")</f>
        <v/>
      </c>
    </row>
    <row r="2532">
      <c r="A2532" s="14">
        <f>IF(F2532&lt;&gt;"","ISSUE-"&amp;TEXT(ROW()-1,"00000"),"")</f>
        <v/>
      </c>
      <c r="B2532" s="14">
        <f>IF(F2532&lt;&gt;"","错误","")</f>
        <v/>
      </c>
      <c r="C2532" s="14">
        <f>IF('07_动态状态'!A32&lt;&gt;"","07_动态状态","")</f>
        <v/>
      </c>
      <c r="D2532" s="14">
        <f>IF('07_动态状态'!A32&lt;&gt;"",'07_动态状态'!A32,"")</f>
        <v/>
      </c>
      <c r="E2532" s="14">
        <f>IF(F2532&lt;&gt;"","综合校验","")</f>
        <v/>
      </c>
      <c r="F2532" s="14">
        <f>IF('07_动态状态'!A32&lt;&gt;"",IF('07_动态状态'!A32="","缺少状态编码；","")&amp;IF('07_动态状态'!B32="","缺少状态名称；","")&amp;IF('07_动态状态'!C32="","缺少状态类别；","")&amp;IF(AND('07_动态状态'!A32&lt;&gt;"",COUNTIF('07_动态状态'!$A$2:$A$501,'07_动态状态'!A32)&gt;1),"ID重复；",""),"")</f>
        <v/>
      </c>
      <c r="G2532" s="14">
        <f>IF(F2532&lt;&gt;"","按字段批注、数据字典和来源记录修正后复核","")</f>
        <v/>
      </c>
      <c r="H2532" s="14">
        <f>IF(F2532&lt;&gt;"","待处理","")</f>
        <v/>
      </c>
    </row>
    <row r="2533">
      <c r="A2533" s="14">
        <f>IF(F2533&lt;&gt;"","ISSUE-"&amp;TEXT(ROW()-1,"00000"),"")</f>
        <v/>
      </c>
      <c r="B2533" s="14">
        <f>IF(F2533&lt;&gt;"","错误","")</f>
        <v/>
      </c>
      <c r="C2533" s="14">
        <f>IF('07_动态状态'!A33&lt;&gt;"","07_动态状态","")</f>
        <v/>
      </c>
      <c r="D2533" s="14">
        <f>IF('07_动态状态'!A33&lt;&gt;"",'07_动态状态'!A33,"")</f>
        <v/>
      </c>
      <c r="E2533" s="14">
        <f>IF(F2533&lt;&gt;"","综合校验","")</f>
        <v/>
      </c>
      <c r="F2533" s="14">
        <f>IF('07_动态状态'!A33&lt;&gt;"",IF('07_动态状态'!A33="","缺少状态编码；","")&amp;IF('07_动态状态'!B33="","缺少状态名称；","")&amp;IF('07_动态状态'!C33="","缺少状态类别；","")&amp;IF(AND('07_动态状态'!A33&lt;&gt;"",COUNTIF('07_动态状态'!$A$2:$A$501,'07_动态状态'!A33)&gt;1),"ID重复；",""),"")</f>
        <v/>
      </c>
      <c r="G2533" s="14">
        <f>IF(F2533&lt;&gt;"","按字段批注、数据字典和来源记录修正后复核","")</f>
        <v/>
      </c>
      <c r="H2533" s="14">
        <f>IF(F2533&lt;&gt;"","待处理","")</f>
        <v/>
      </c>
    </row>
    <row r="2534">
      <c r="A2534" s="14">
        <f>IF(F2534&lt;&gt;"","ISSUE-"&amp;TEXT(ROW()-1,"00000"),"")</f>
        <v/>
      </c>
      <c r="B2534" s="14">
        <f>IF(F2534&lt;&gt;"","错误","")</f>
        <v/>
      </c>
      <c r="C2534" s="14">
        <f>IF('07_动态状态'!A34&lt;&gt;"","07_动态状态","")</f>
        <v/>
      </c>
      <c r="D2534" s="14">
        <f>IF('07_动态状态'!A34&lt;&gt;"",'07_动态状态'!A34,"")</f>
        <v/>
      </c>
      <c r="E2534" s="14">
        <f>IF(F2534&lt;&gt;"","综合校验","")</f>
        <v/>
      </c>
      <c r="F2534" s="14">
        <f>IF('07_动态状态'!A34&lt;&gt;"",IF('07_动态状态'!A34="","缺少状态编码；","")&amp;IF('07_动态状态'!B34="","缺少状态名称；","")&amp;IF('07_动态状态'!C34="","缺少状态类别；","")&amp;IF(AND('07_动态状态'!A34&lt;&gt;"",COUNTIF('07_动态状态'!$A$2:$A$501,'07_动态状态'!A34)&gt;1),"ID重复；",""),"")</f>
        <v/>
      </c>
      <c r="G2534" s="14">
        <f>IF(F2534&lt;&gt;"","按字段批注、数据字典和来源记录修正后复核","")</f>
        <v/>
      </c>
      <c r="H2534" s="14">
        <f>IF(F2534&lt;&gt;"","待处理","")</f>
        <v/>
      </c>
    </row>
    <row r="2535">
      <c r="A2535" s="14">
        <f>IF(F2535&lt;&gt;"","ISSUE-"&amp;TEXT(ROW()-1,"00000"),"")</f>
        <v/>
      </c>
      <c r="B2535" s="14">
        <f>IF(F2535&lt;&gt;"","错误","")</f>
        <v/>
      </c>
      <c r="C2535" s="14">
        <f>IF('07_动态状态'!A35&lt;&gt;"","07_动态状态","")</f>
        <v/>
      </c>
      <c r="D2535" s="14">
        <f>IF('07_动态状态'!A35&lt;&gt;"",'07_动态状态'!A35,"")</f>
        <v/>
      </c>
      <c r="E2535" s="14">
        <f>IF(F2535&lt;&gt;"","综合校验","")</f>
        <v/>
      </c>
      <c r="F2535" s="14">
        <f>IF('07_动态状态'!A35&lt;&gt;"",IF('07_动态状态'!A35="","缺少状态编码；","")&amp;IF('07_动态状态'!B35="","缺少状态名称；","")&amp;IF('07_动态状态'!C35="","缺少状态类别；","")&amp;IF(AND('07_动态状态'!A35&lt;&gt;"",COUNTIF('07_动态状态'!$A$2:$A$501,'07_动态状态'!A35)&gt;1),"ID重复；",""),"")</f>
        <v/>
      </c>
      <c r="G2535" s="14">
        <f>IF(F2535&lt;&gt;"","按字段批注、数据字典和来源记录修正后复核","")</f>
        <v/>
      </c>
      <c r="H2535" s="14">
        <f>IF(F2535&lt;&gt;"","待处理","")</f>
        <v/>
      </c>
    </row>
    <row r="2536">
      <c r="A2536" s="14">
        <f>IF(F2536&lt;&gt;"","ISSUE-"&amp;TEXT(ROW()-1,"00000"),"")</f>
        <v/>
      </c>
      <c r="B2536" s="14">
        <f>IF(F2536&lt;&gt;"","错误","")</f>
        <v/>
      </c>
      <c r="C2536" s="14">
        <f>IF('07_动态状态'!A36&lt;&gt;"","07_动态状态","")</f>
        <v/>
      </c>
      <c r="D2536" s="14">
        <f>IF('07_动态状态'!A36&lt;&gt;"",'07_动态状态'!A36,"")</f>
        <v/>
      </c>
      <c r="E2536" s="14">
        <f>IF(F2536&lt;&gt;"","综合校验","")</f>
        <v/>
      </c>
      <c r="F2536" s="14">
        <f>IF('07_动态状态'!A36&lt;&gt;"",IF('07_动态状态'!A36="","缺少状态编码；","")&amp;IF('07_动态状态'!B36="","缺少状态名称；","")&amp;IF('07_动态状态'!C36="","缺少状态类别；","")&amp;IF(AND('07_动态状态'!A36&lt;&gt;"",COUNTIF('07_动态状态'!$A$2:$A$501,'07_动态状态'!A36)&gt;1),"ID重复；",""),"")</f>
        <v/>
      </c>
      <c r="G2536" s="14">
        <f>IF(F2536&lt;&gt;"","按字段批注、数据字典和来源记录修正后复核","")</f>
        <v/>
      </c>
      <c r="H2536" s="14">
        <f>IF(F2536&lt;&gt;"","待处理","")</f>
        <v/>
      </c>
    </row>
    <row r="2537">
      <c r="A2537" s="14">
        <f>IF(F2537&lt;&gt;"","ISSUE-"&amp;TEXT(ROW()-1,"00000"),"")</f>
        <v/>
      </c>
      <c r="B2537" s="14">
        <f>IF(F2537&lt;&gt;"","错误","")</f>
        <v/>
      </c>
      <c r="C2537" s="14">
        <f>IF('07_动态状态'!A37&lt;&gt;"","07_动态状态","")</f>
        <v/>
      </c>
      <c r="D2537" s="14">
        <f>IF('07_动态状态'!A37&lt;&gt;"",'07_动态状态'!A37,"")</f>
        <v/>
      </c>
      <c r="E2537" s="14">
        <f>IF(F2537&lt;&gt;"","综合校验","")</f>
        <v/>
      </c>
      <c r="F2537" s="14">
        <f>IF('07_动态状态'!A37&lt;&gt;"",IF('07_动态状态'!A37="","缺少状态编码；","")&amp;IF('07_动态状态'!B37="","缺少状态名称；","")&amp;IF('07_动态状态'!C37="","缺少状态类别；","")&amp;IF(AND('07_动态状态'!A37&lt;&gt;"",COUNTIF('07_动态状态'!$A$2:$A$501,'07_动态状态'!A37)&gt;1),"ID重复；",""),"")</f>
        <v/>
      </c>
      <c r="G2537" s="14">
        <f>IF(F2537&lt;&gt;"","按字段批注、数据字典和来源记录修正后复核","")</f>
        <v/>
      </c>
      <c r="H2537" s="14">
        <f>IF(F2537&lt;&gt;"","待处理","")</f>
        <v/>
      </c>
    </row>
    <row r="2538">
      <c r="A2538" s="14">
        <f>IF(F2538&lt;&gt;"","ISSUE-"&amp;TEXT(ROW()-1,"00000"),"")</f>
        <v/>
      </c>
      <c r="B2538" s="14">
        <f>IF(F2538&lt;&gt;"","错误","")</f>
        <v/>
      </c>
      <c r="C2538" s="14">
        <f>IF('07_动态状态'!A38&lt;&gt;"","07_动态状态","")</f>
        <v/>
      </c>
      <c r="D2538" s="14">
        <f>IF('07_动态状态'!A38&lt;&gt;"",'07_动态状态'!A38,"")</f>
        <v/>
      </c>
      <c r="E2538" s="14">
        <f>IF(F2538&lt;&gt;"","综合校验","")</f>
        <v/>
      </c>
      <c r="F2538" s="14">
        <f>IF('07_动态状态'!A38&lt;&gt;"",IF('07_动态状态'!A38="","缺少状态编码；","")&amp;IF('07_动态状态'!B38="","缺少状态名称；","")&amp;IF('07_动态状态'!C38="","缺少状态类别；","")&amp;IF(AND('07_动态状态'!A38&lt;&gt;"",COUNTIF('07_动态状态'!$A$2:$A$501,'07_动态状态'!A38)&gt;1),"ID重复；",""),"")</f>
        <v/>
      </c>
      <c r="G2538" s="14">
        <f>IF(F2538&lt;&gt;"","按字段批注、数据字典和来源记录修正后复核","")</f>
        <v/>
      </c>
      <c r="H2538" s="14">
        <f>IF(F2538&lt;&gt;"","待处理","")</f>
        <v/>
      </c>
    </row>
    <row r="2539">
      <c r="A2539" s="14">
        <f>IF(F2539&lt;&gt;"","ISSUE-"&amp;TEXT(ROW()-1,"00000"),"")</f>
        <v/>
      </c>
      <c r="B2539" s="14">
        <f>IF(F2539&lt;&gt;"","错误","")</f>
        <v/>
      </c>
      <c r="C2539" s="14">
        <f>IF('07_动态状态'!A39&lt;&gt;"","07_动态状态","")</f>
        <v/>
      </c>
      <c r="D2539" s="14">
        <f>IF('07_动态状态'!A39&lt;&gt;"",'07_动态状态'!A39,"")</f>
        <v/>
      </c>
      <c r="E2539" s="14">
        <f>IF(F2539&lt;&gt;"","综合校验","")</f>
        <v/>
      </c>
      <c r="F2539" s="14">
        <f>IF('07_动态状态'!A39&lt;&gt;"",IF('07_动态状态'!A39="","缺少状态编码；","")&amp;IF('07_动态状态'!B39="","缺少状态名称；","")&amp;IF('07_动态状态'!C39="","缺少状态类别；","")&amp;IF(AND('07_动态状态'!A39&lt;&gt;"",COUNTIF('07_动态状态'!$A$2:$A$501,'07_动态状态'!A39)&gt;1),"ID重复；",""),"")</f>
        <v/>
      </c>
      <c r="G2539" s="14">
        <f>IF(F2539&lt;&gt;"","按字段批注、数据字典和来源记录修正后复核","")</f>
        <v/>
      </c>
      <c r="H2539" s="14">
        <f>IF(F2539&lt;&gt;"","待处理","")</f>
        <v/>
      </c>
    </row>
    <row r="2540">
      <c r="A2540" s="14">
        <f>IF(F2540&lt;&gt;"","ISSUE-"&amp;TEXT(ROW()-1,"00000"),"")</f>
        <v/>
      </c>
      <c r="B2540" s="14">
        <f>IF(F2540&lt;&gt;"","错误","")</f>
        <v/>
      </c>
      <c r="C2540" s="14">
        <f>IF('07_动态状态'!A40&lt;&gt;"","07_动态状态","")</f>
        <v/>
      </c>
      <c r="D2540" s="14">
        <f>IF('07_动态状态'!A40&lt;&gt;"",'07_动态状态'!A40,"")</f>
        <v/>
      </c>
      <c r="E2540" s="14">
        <f>IF(F2540&lt;&gt;"","综合校验","")</f>
        <v/>
      </c>
      <c r="F2540" s="14">
        <f>IF('07_动态状态'!A40&lt;&gt;"",IF('07_动态状态'!A40="","缺少状态编码；","")&amp;IF('07_动态状态'!B40="","缺少状态名称；","")&amp;IF('07_动态状态'!C40="","缺少状态类别；","")&amp;IF(AND('07_动态状态'!A40&lt;&gt;"",COUNTIF('07_动态状态'!$A$2:$A$501,'07_动态状态'!A40)&gt;1),"ID重复；",""),"")</f>
        <v/>
      </c>
      <c r="G2540" s="14">
        <f>IF(F2540&lt;&gt;"","按字段批注、数据字典和来源记录修正后复核","")</f>
        <v/>
      </c>
      <c r="H2540" s="14">
        <f>IF(F2540&lt;&gt;"","待处理","")</f>
        <v/>
      </c>
    </row>
    <row r="2541">
      <c r="A2541" s="14">
        <f>IF(F2541&lt;&gt;"","ISSUE-"&amp;TEXT(ROW()-1,"00000"),"")</f>
        <v/>
      </c>
      <c r="B2541" s="14">
        <f>IF(F2541&lt;&gt;"","错误","")</f>
        <v/>
      </c>
      <c r="C2541" s="14">
        <f>IF('07_动态状态'!A41&lt;&gt;"","07_动态状态","")</f>
        <v/>
      </c>
      <c r="D2541" s="14">
        <f>IF('07_动态状态'!A41&lt;&gt;"",'07_动态状态'!A41,"")</f>
        <v/>
      </c>
      <c r="E2541" s="14">
        <f>IF(F2541&lt;&gt;"","综合校验","")</f>
        <v/>
      </c>
      <c r="F2541" s="14">
        <f>IF('07_动态状态'!A41&lt;&gt;"",IF('07_动态状态'!A41="","缺少状态编码；","")&amp;IF('07_动态状态'!B41="","缺少状态名称；","")&amp;IF('07_动态状态'!C41="","缺少状态类别；","")&amp;IF(AND('07_动态状态'!A41&lt;&gt;"",COUNTIF('07_动态状态'!$A$2:$A$501,'07_动态状态'!A41)&gt;1),"ID重复；",""),"")</f>
        <v/>
      </c>
      <c r="G2541" s="14">
        <f>IF(F2541&lt;&gt;"","按字段批注、数据字典和来源记录修正后复核","")</f>
        <v/>
      </c>
      <c r="H2541" s="14">
        <f>IF(F2541&lt;&gt;"","待处理","")</f>
        <v/>
      </c>
    </row>
    <row r="2542">
      <c r="A2542" s="14">
        <f>IF(F2542&lt;&gt;"","ISSUE-"&amp;TEXT(ROW()-1,"00000"),"")</f>
        <v/>
      </c>
      <c r="B2542" s="14">
        <f>IF(F2542&lt;&gt;"","错误","")</f>
        <v/>
      </c>
      <c r="C2542" s="14">
        <f>IF('07_动态状态'!A42&lt;&gt;"","07_动态状态","")</f>
        <v/>
      </c>
      <c r="D2542" s="14">
        <f>IF('07_动态状态'!A42&lt;&gt;"",'07_动态状态'!A42,"")</f>
        <v/>
      </c>
      <c r="E2542" s="14">
        <f>IF(F2542&lt;&gt;"","综合校验","")</f>
        <v/>
      </c>
      <c r="F2542" s="14">
        <f>IF('07_动态状态'!A42&lt;&gt;"",IF('07_动态状态'!A42="","缺少状态编码；","")&amp;IF('07_动态状态'!B42="","缺少状态名称；","")&amp;IF('07_动态状态'!C42="","缺少状态类别；","")&amp;IF(AND('07_动态状态'!A42&lt;&gt;"",COUNTIF('07_动态状态'!$A$2:$A$501,'07_动态状态'!A42)&gt;1),"ID重复；",""),"")</f>
        <v/>
      </c>
      <c r="G2542" s="14">
        <f>IF(F2542&lt;&gt;"","按字段批注、数据字典和来源记录修正后复核","")</f>
        <v/>
      </c>
      <c r="H2542" s="14">
        <f>IF(F2542&lt;&gt;"","待处理","")</f>
        <v/>
      </c>
    </row>
    <row r="2543">
      <c r="A2543" s="14">
        <f>IF(F2543&lt;&gt;"","ISSUE-"&amp;TEXT(ROW()-1,"00000"),"")</f>
        <v/>
      </c>
      <c r="B2543" s="14">
        <f>IF(F2543&lt;&gt;"","错误","")</f>
        <v/>
      </c>
      <c r="C2543" s="14">
        <f>IF('07_动态状态'!A43&lt;&gt;"","07_动态状态","")</f>
        <v/>
      </c>
      <c r="D2543" s="14">
        <f>IF('07_动态状态'!A43&lt;&gt;"",'07_动态状态'!A43,"")</f>
        <v/>
      </c>
      <c r="E2543" s="14">
        <f>IF(F2543&lt;&gt;"","综合校验","")</f>
        <v/>
      </c>
      <c r="F2543" s="14">
        <f>IF('07_动态状态'!A43&lt;&gt;"",IF('07_动态状态'!A43="","缺少状态编码；","")&amp;IF('07_动态状态'!B43="","缺少状态名称；","")&amp;IF('07_动态状态'!C43="","缺少状态类别；","")&amp;IF(AND('07_动态状态'!A43&lt;&gt;"",COUNTIF('07_动态状态'!$A$2:$A$501,'07_动态状态'!A43)&gt;1),"ID重复；",""),"")</f>
        <v/>
      </c>
      <c r="G2543" s="14">
        <f>IF(F2543&lt;&gt;"","按字段批注、数据字典和来源记录修正后复核","")</f>
        <v/>
      </c>
      <c r="H2543" s="14">
        <f>IF(F2543&lt;&gt;"","待处理","")</f>
        <v/>
      </c>
    </row>
    <row r="2544">
      <c r="A2544" s="14">
        <f>IF(F2544&lt;&gt;"","ISSUE-"&amp;TEXT(ROW()-1,"00000"),"")</f>
        <v/>
      </c>
      <c r="B2544" s="14">
        <f>IF(F2544&lt;&gt;"","错误","")</f>
        <v/>
      </c>
      <c r="C2544" s="14">
        <f>IF('07_动态状态'!A44&lt;&gt;"","07_动态状态","")</f>
        <v/>
      </c>
      <c r="D2544" s="14">
        <f>IF('07_动态状态'!A44&lt;&gt;"",'07_动态状态'!A44,"")</f>
        <v/>
      </c>
      <c r="E2544" s="14">
        <f>IF(F2544&lt;&gt;"","综合校验","")</f>
        <v/>
      </c>
      <c r="F2544" s="14">
        <f>IF('07_动态状态'!A44&lt;&gt;"",IF('07_动态状态'!A44="","缺少状态编码；","")&amp;IF('07_动态状态'!B44="","缺少状态名称；","")&amp;IF('07_动态状态'!C44="","缺少状态类别；","")&amp;IF(AND('07_动态状态'!A44&lt;&gt;"",COUNTIF('07_动态状态'!$A$2:$A$501,'07_动态状态'!A44)&gt;1),"ID重复；",""),"")</f>
        <v/>
      </c>
      <c r="G2544" s="14">
        <f>IF(F2544&lt;&gt;"","按字段批注、数据字典和来源记录修正后复核","")</f>
        <v/>
      </c>
      <c r="H2544" s="14">
        <f>IF(F2544&lt;&gt;"","待处理","")</f>
        <v/>
      </c>
    </row>
    <row r="2545">
      <c r="A2545" s="14">
        <f>IF(F2545&lt;&gt;"","ISSUE-"&amp;TEXT(ROW()-1,"00000"),"")</f>
        <v/>
      </c>
      <c r="B2545" s="14">
        <f>IF(F2545&lt;&gt;"","错误","")</f>
        <v/>
      </c>
      <c r="C2545" s="14">
        <f>IF('07_动态状态'!A45&lt;&gt;"","07_动态状态","")</f>
        <v/>
      </c>
      <c r="D2545" s="14">
        <f>IF('07_动态状态'!A45&lt;&gt;"",'07_动态状态'!A45,"")</f>
        <v/>
      </c>
      <c r="E2545" s="14">
        <f>IF(F2545&lt;&gt;"","综合校验","")</f>
        <v/>
      </c>
      <c r="F2545" s="14">
        <f>IF('07_动态状态'!A45&lt;&gt;"",IF('07_动态状态'!A45="","缺少状态编码；","")&amp;IF('07_动态状态'!B45="","缺少状态名称；","")&amp;IF('07_动态状态'!C45="","缺少状态类别；","")&amp;IF(AND('07_动态状态'!A45&lt;&gt;"",COUNTIF('07_动态状态'!$A$2:$A$501,'07_动态状态'!A45)&gt;1),"ID重复；",""),"")</f>
        <v/>
      </c>
      <c r="G2545" s="14">
        <f>IF(F2545&lt;&gt;"","按字段批注、数据字典和来源记录修正后复核","")</f>
        <v/>
      </c>
      <c r="H2545" s="14">
        <f>IF(F2545&lt;&gt;"","待处理","")</f>
        <v/>
      </c>
    </row>
    <row r="2546">
      <c r="A2546" s="14">
        <f>IF(F2546&lt;&gt;"","ISSUE-"&amp;TEXT(ROW()-1,"00000"),"")</f>
        <v/>
      </c>
      <c r="B2546" s="14">
        <f>IF(F2546&lt;&gt;"","错误","")</f>
        <v/>
      </c>
      <c r="C2546" s="14">
        <f>IF('07_动态状态'!A46&lt;&gt;"","07_动态状态","")</f>
        <v/>
      </c>
      <c r="D2546" s="14">
        <f>IF('07_动态状态'!A46&lt;&gt;"",'07_动态状态'!A46,"")</f>
        <v/>
      </c>
      <c r="E2546" s="14">
        <f>IF(F2546&lt;&gt;"","综合校验","")</f>
        <v/>
      </c>
      <c r="F2546" s="14">
        <f>IF('07_动态状态'!A46&lt;&gt;"",IF('07_动态状态'!A46="","缺少状态编码；","")&amp;IF('07_动态状态'!B46="","缺少状态名称；","")&amp;IF('07_动态状态'!C46="","缺少状态类别；","")&amp;IF(AND('07_动态状态'!A46&lt;&gt;"",COUNTIF('07_动态状态'!$A$2:$A$501,'07_动态状态'!A46)&gt;1),"ID重复；",""),"")</f>
        <v/>
      </c>
      <c r="G2546" s="14">
        <f>IF(F2546&lt;&gt;"","按字段批注、数据字典和来源记录修正后复核","")</f>
        <v/>
      </c>
      <c r="H2546" s="14">
        <f>IF(F2546&lt;&gt;"","待处理","")</f>
        <v/>
      </c>
    </row>
    <row r="2547">
      <c r="A2547" s="14">
        <f>IF(F2547&lt;&gt;"","ISSUE-"&amp;TEXT(ROW()-1,"00000"),"")</f>
        <v/>
      </c>
      <c r="B2547" s="14">
        <f>IF(F2547&lt;&gt;"","错误","")</f>
        <v/>
      </c>
      <c r="C2547" s="14">
        <f>IF('07_动态状态'!A47&lt;&gt;"","07_动态状态","")</f>
        <v/>
      </c>
      <c r="D2547" s="14">
        <f>IF('07_动态状态'!A47&lt;&gt;"",'07_动态状态'!A47,"")</f>
        <v/>
      </c>
      <c r="E2547" s="14">
        <f>IF(F2547&lt;&gt;"","综合校验","")</f>
        <v/>
      </c>
      <c r="F2547" s="14">
        <f>IF('07_动态状态'!A47&lt;&gt;"",IF('07_动态状态'!A47="","缺少状态编码；","")&amp;IF('07_动态状态'!B47="","缺少状态名称；","")&amp;IF('07_动态状态'!C47="","缺少状态类别；","")&amp;IF(AND('07_动态状态'!A47&lt;&gt;"",COUNTIF('07_动态状态'!$A$2:$A$501,'07_动态状态'!A47)&gt;1),"ID重复；",""),"")</f>
        <v/>
      </c>
      <c r="G2547" s="14">
        <f>IF(F2547&lt;&gt;"","按字段批注、数据字典和来源记录修正后复核","")</f>
        <v/>
      </c>
      <c r="H2547" s="14">
        <f>IF(F2547&lt;&gt;"","待处理","")</f>
        <v/>
      </c>
    </row>
    <row r="2548">
      <c r="A2548" s="14">
        <f>IF(F2548&lt;&gt;"","ISSUE-"&amp;TEXT(ROW()-1,"00000"),"")</f>
        <v/>
      </c>
      <c r="B2548" s="14">
        <f>IF(F2548&lt;&gt;"","错误","")</f>
        <v/>
      </c>
      <c r="C2548" s="14">
        <f>IF('07_动态状态'!A48&lt;&gt;"","07_动态状态","")</f>
        <v/>
      </c>
      <c r="D2548" s="14">
        <f>IF('07_动态状态'!A48&lt;&gt;"",'07_动态状态'!A48,"")</f>
        <v/>
      </c>
      <c r="E2548" s="14">
        <f>IF(F2548&lt;&gt;"","综合校验","")</f>
        <v/>
      </c>
      <c r="F2548" s="14">
        <f>IF('07_动态状态'!A48&lt;&gt;"",IF('07_动态状态'!A48="","缺少状态编码；","")&amp;IF('07_动态状态'!B48="","缺少状态名称；","")&amp;IF('07_动态状态'!C48="","缺少状态类别；","")&amp;IF(AND('07_动态状态'!A48&lt;&gt;"",COUNTIF('07_动态状态'!$A$2:$A$501,'07_动态状态'!A48)&gt;1),"ID重复；",""),"")</f>
        <v/>
      </c>
      <c r="G2548" s="14">
        <f>IF(F2548&lt;&gt;"","按字段批注、数据字典和来源记录修正后复核","")</f>
        <v/>
      </c>
      <c r="H2548" s="14">
        <f>IF(F2548&lt;&gt;"","待处理","")</f>
        <v/>
      </c>
    </row>
    <row r="2549">
      <c r="A2549" s="14">
        <f>IF(F2549&lt;&gt;"","ISSUE-"&amp;TEXT(ROW()-1,"00000"),"")</f>
        <v/>
      </c>
      <c r="B2549" s="14">
        <f>IF(F2549&lt;&gt;"","错误","")</f>
        <v/>
      </c>
      <c r="C2549" s="14">
        <f>IF('07_动态状态'!A49&lt;&gt;"","07_动态状态","")</f>
        <v/>
      </c>
      <c r="D2549" s="14">
        <f>IF('07_动态状态'!A49&lt;&gt;"",'07_动态状态'!A49,"")</f>
        <v/>
      </c>
      <c r="E2549" s="14">
        <f>IF(F2549&lt;&gt;"","综合校验","")</f>
        <v/>
      </c>
      <c r="F2549" s="14">
        <f>IF('07_动态状态'!A49&lt;&gt;"",IF('07_动态状态'!A49="","缺少状态编码；","")&amp;IF('07_动态状态'!B49="","缺少状态名称；","")&amp;IF('07_动态状态'!C49="","缺少状态类别；","")&amp;IF(AND('07_动态状态'!A49&lt;&gt;"",COUNTIF('07_动态状态'!$A$2:$A$501,'07_动态状态'!A49)&gt;1),"ID重复；",""),"")</f>
        <v/>
      </c>
      <c r="G2549" s="14">
        <f>IF(F2549&lt;&gt;"","按字段批注、数据字典和来源记录修正后复核","")</f>
        <v/>
      </c>
      <c r="H2549" s="14">
        <f>IF(F2549&lt;&gt;"","待处理","")</f>
        <v/>
      </c>
    </row>
    <row r="2550">
      <c r="A2550" s="14">
        <f>IF(F2550&lt;&gt;"","ISSUE-"&amp;TEXT(ROW()-1,"00000"),"")</f>
        <v/>
      </c>
      <c r="B2550" s="14">
        <f>IF(F2550&lt;&gt;"","错误","")</f>
        <v/>
      </c>
      <c r="C2550" s="14">
        <f>IF('07_动态状态'!A50&lt;&gt;"","07_动态状态","")</f>
        <v/>
      </c>
      <c r="D2550" s="14">
        <f>IF('07_动态状态'!A50&lt;&gt;"",'07_动态状态'!A50,"")</f>
        <v/>
      </c>
      <c r="E2550" s="14">
        <f>IF(F2550&lt;&gt;"","综合校验","")</f>
        <v/>
      </c>
      <c r="F2550" s="14">
        <f>IF('07_动态状态'!A50&lt;&gt;"",IF('07_动态状态'!A50="","缺少状态编码；","")&amp;IF('07_动态状态'!B50="","缺少状态名称；","")&amp;IF('07_动态状态'!C50="","缺少状态类别；","")&amp;IF(AND('07_动态状态'!A50&lt;&gt;"",COUNTIF('07_动态状态'!$A$2:$A$501,'07_动态状态'!A50)&gt;1),"ID重复；",""),"")</f>
        <v/>
      </c>
      <c r="G2550" s="14">
        <f>IF(F2550&lt;&gt;"","按字段批注、数据字典和来源记录修正后复核","")</f>
        <v/>
      </c>
      <c r="H2550" s="14">
        <f>IF(F2550&lt;&gt;"","待处理","")</f>
        <v/>
      </c>
    </row>
    <row r="2551">
      <c r="A2551" s="14">
        <f>IF(F2551&lt;&gt;"","ISSUE-"&amp;TEXT(ROW()-1,"00000"),"")</f>
        <v/>
      </c>
      <c r="B2551" s="14">
        <f>IF(F2551&lt;&gt;"","错误","")</f>
        <v/>
      </c>
      <c r="C2551" s="14">
        <f>IF('07_动态状态'!A51&lt;&gt;"","07_动态状态","")</f>
        <v/>
      </c>
      <c r="D2551" s="14">
        <f>IF('07_动态状态'!A51&lt;&gt;"",'07_动态状态'!A51,"")</f>
        <v/>
      </c>
      <c r="E2551" s="14">
        <f>IF(F2551&lt;&gt;"","综合校验","")</f>
        <v/>
      </c>
      <c r="F2551" s="14">
        <f>IF('07_动态状态'!A51&lt;&gt;"",IF('07_动态状态'!A51="","缺少状态编码；","")&amp;IF('07_动态状态'!B51="","缺少状态名称；","")&amp;IF('07_动态状态'!C51="","缺少状态类别；","")&amp;IF(AND('07_动态状态'!A51&lt;&gt;"",COUNTIF('07_动态状态'!$A$2:$A$501,'07_动态状态'!A51)&gt;1),"ID重复；",""),"")</f>
        <v/>
      </c>
      <c r="G2551" s="14">
        <f>IF(F2551&lt;&gt;"","按字段批注、数据字典和来源记录修正后复核","")</f>
        <v/>
      </c>
      <c r="H2551" s="14">
        <f>IF(F2551&lt;&gt;"","待处理","")</f>
        <v/>
      </c>
    </row>
    <row r="2552">
      <c r="A2552" s="14">
        <f>IF(F2552&lt;&gt;"","ISSUE-"&amp;TEXT(ROW()-1,"00000"),"")</f>
        <v/>
      </c>
      <c r="B2552" s="14">
        <f>IF(F2552&lt;&gt;"","错误","")</f>
        <v/>
      </c>
      <c r="C2552" s="14">
        <f>IF('07_动态状态'!A52&lt;&gt;"","07_动态状态","")</f>
        <v/>
      </c>
      <c r="D2552" s="14">
        <f>IF('07_动态状态'!A52&lt;&gt;"",'07_动态状态'!A52,"")</f>
        <v/>
      </c>
      <c r="E2552" s="14">
        <f>IF(F2552&lt;&gt;"","综合校验","")</f>
        <v/>
      </c>
      <c r="F2552" s="14">
        <f>IF('07_动态状态'!A52&lt;&gt;"",IF('07_动态状态'!A52="","缺少状态编码；","")&amp;IF('07_动态状态'!B52="","缺少状态名称；","")&amp;IF('07_动态状态'!C52="","缺少状态类别；","")&amp;IF(AND('07_动态状态'!A52&lt;&gt;"",COUNTIF('07_动态状态'!$A$2:$A$501,'07_动态状态'!A52)&gt;1),"ID重复；",""),"")</f>
        <v/>
      </c>
      <c r="G2552" s="14">
        <f>IF(F2552&lt;&gt;"","按字段批注、数据字典和来源记录修正后复核","")</f>
        <v/>
      </c>
      <c r="H2552" s="14">
        <f>IF(F2552&lt;&gt;"","待处理","")</f>
        <v/>
      </c>
    </row>
    <row r="2553">
      <c r="A2553" s="14">
        <f>IF(F2553&lt;&gt;"","ISSUE-"&amp;TEXT(ROW()-1,"00000"),"")</f>
        <v/>
      </c>
      <c r="B2553" s="14">
        <f>IF(F2553&lt;&gt;"","错误","")</f>
        <v/>
      </c>
      <c r="C2553" s="14">
        <f>IF('07_动态状态'!A53&lt;&gt;"","07_动态状态","")</f>
        <v/>
      </c>
      <c r="D2553" s="14">
        <f>IF('07_动态状态'!A53&lt;&gt;"",'07_动态状态'!A53,"")</f>
        <v/>
      </c>
      <c r="E2553" s="14">
        <f>IF(F2553&lt;&gt;"","综合校验","")</f>
        <v/>
      </c>
      <c r="F2553" s="14">
        <f>IF('07_动态状态'!A53&lt;&gt;"",IF('07_动态状态'!A53="","缺少状态编码；","")&amp;IF('07_动态状态'!B53="","缺少状态名称；","")&amp;IF('07_动态状态'!C53="","缺少状态类别；","")&amp;IF(AND('07_动态状态'!A53&lt;&gt;"",COUNTIF('07_动态状态'!$A$2:$A$501,'07_动态状态'!A53)&gt;1),"ID重复；",""),"")</f>
        <v/>
      </c>
      <c r="G2553" s="14">
        <f>IF(F2553&lt;&gt;"","按字段批注、数据字典和来源记录修正后复核","")</f>
        <v/>
      </c>
      <c r="H2553" s="14">
        <f>IF(F2553&lt;&gt;"","待处理","")</f>
        <v/>
      </c>
    </row>
    <row r="2554">
      <c r="A2554" s="14">
        <f>IF(F2554&lt;&gt;"","ISSUE-"&amp;TEXT(ROW()-1,"00000"),"")</f>
        <v/>
      </c>
      <c r="B2554" s="14">
        <f>IF(F2554&lt;&gt;"","错误","")</f>
        <v/>
      </c>
      <c r="C2554" s="14">
        <f>IF('07_动态状态'!A54&lt;&gt;"","07_动态状态","")</f>
        <v/>
      </c>
      <c r="D2554" s="14">
        <f>IF('07_动态状态'!A54&lt;&gt;"",'07_动态状态'!A54,"")</f>
        <v/>
      </c>
      <c r="E2554" s="14">
        <f>IF(F2554&lt;&gt;"","综合校验","")</f>
        <v/>
      </c>
      <c r="F2554" s="14">
        <f>IF('07_动态状态'!A54&lt;&gt;"",IF('07_动态状态'!A54="","缺少状态编码；","")&amp;IF('07_动态状态'!B54="","缺少状态名称；","")&amp;IF('07_动态状态'!C54="","缺少状态类别；","")&amp;IF(AND('07_动态状态'!A54&lt;&gt;"",COUNTIF('07_动态状态'!$A$2:$A$501,'07_动态状态'!A54)&gt;1),"ID重复；",""),"")</f>
        <v/>
      </c>
      <c r="G2554" s="14">
        <f>IF(F2554&lt;&gt;"","按字段批注、数据字典和来源记录修正后复核","")</f>
        <v/>
      </c>
      <c r="H2554" s="14">
        <f>IF(F2554&lt;&gt;"","待处理","")</f>
        <v/>
      </c>
    </row>
    <row r="2555">
      <c r="A2555" s="14">
        <f>IF(F2555&lt;&gt;"","ISSUE-"&amp;TEXT(ROW()-1,"00000"),"")</f>
        <v/>
      </c>
      <c r="B2555" s="14">
        <f>IF(F2555&lt;&gt;"","错误","")</f>
        <v/>
      </c>
      <c r="C2555" s="14">
        <f>IF('07_动态状态'!A55&lt;&gt;"","07_动态状态","")</f>
        <v/>
      </c>
      <c r="D2555" s="14">
        <f>IF('07_动态状态'!A55&lt;&gt;"",'07_动态状态'!A55,"")</f>
        <v/>
      </c>
      <c r="E2555" s="14">
        <f>IF(F2555&lt;&gt;"","综合校验","")</f>
        <v/>
      </c>
      <c r="F2555" s="14">
        <f>IF('07_动态状态'!A55&lt;&gt;"",IF('07_动态状态'!A55="","缺少状态编码；","")&amp;IF('07_动态状态'!B55="","缺少状态名称；","")&amp;IF('07_动态状态'!C55="","缺少状态类别；","")&amp;IF(AND('07_动态状态'!A55&lt;&gt;"",COUNTIF('07_动态状态'!$A$2:$A$501,'07_动态状态'!A55)&gt;1),"ID重复；",""),"")</f>
        <v/>
      </c>
      <c r="G2555" s="14">
        <f>IF(F2555&lt;&gt;"","按字段批注、数据字典和来源记录修正后复核","")</f>
        <v/>
      </c>
      <c r="H2555" s="14">
        <f>IF(F2555&lt;&gt;"","待处理","")</f>
        <v/>
      </c>
    </row>
    <row r="2556">
      <c r="A2556" s="14">
        <f>IF(F2556&lt;&gt;"","ISSUE-"&amp;TEXT(ROW()-1,"00000"),"")</f>
        <v/>
      </c>
      <c r="B2556" s="14">
        <f>IF(F2556&lt;&gt;"","错误","")</f>
        <v/>
      </c>
      <c r="C2556" s="14">
        <f>IF('07_动态状态'!A56&lt;&gt;"","07_动态状态","")</f>
        <v/>
      </c>
      <c r="D2556" s="14">
        <f>IF('07_动态状态'!A56&lt;&gt;"",'07_动态状态'!A56,"")</f>
        <v/>
      </c>
      <c r="E2556" s="14">
        <f>IF(F2556&lt;&gt;"","综合校验","")</f>
        <v/>
      </c>
      <c r="F2556" s="14">
        <f>IF('07_动态状态'!A56&lt;&gt;"",IF('07_动态状态'!A56="","缺少状态编码；","")&amp;IF('07_动态状态'!B56="","缺少状态名称；","")&amp;IF('07_动态状态'!C56="","缺少状态类别；","")&amp;IF(AND('07_动态状态'!A56&lt;&gt;"",COUNTIF('07_动态状态'!$A$2:$A$501,'07_动态状态'!A56)&gt;1),"ID重复；",""),"")</f>
        <v/>
      </c>
      <c r="G2556" s="14">
        <f>IF(F2556&lt;&gt;"","按字段批注、数据字典和来源记录修正后复核","")</f>
        <v/>
      </c>
      <c r="H2556" s="14">
        <f>IF(F2556&lt;&gt;"","待处理","")</f>
        <v/>
      </c>
    </row>
    <row r="2557">
      <c r="A2557" s="14">
        <f>IF(F2557&lt;&gt;"","ISSUE-"&amp;TEXT(ROW()-1,"00000"),"")</f>
        <v/>
      </c>
      <c r="B2557" s="14">
        <f>IF(F2557&lt;&gt;"","错误","")</f>
        <v/>
      </c>
      <c r="C2557" s="14">
        <f>IF('07_动态状态'!A57&lt;&gt;"","07_动态状态","")</f>
        <v/>
      </c>
      <c r="D2557" s="14">
        <f>IF('07_动态状态'!A57&lt;&gt;"",'07_动态状态'!A57,"")</f>
        <v/>
      </c>
      <c r="E2557" s="14">
        <f>IF(F2557&lt;&gt;"","综合校验","")</f>
        <v/>
      </c>
      <c r="F2557" s="14">
        <f>IF('07_动态状态'!A57&lt;&gt;"",IF('07_动态状态'!A57="","缺少状态编码；","")&amp;IF('07_动态状态'!B57="","缺少状态名称；","")&amp;IF('07_动态状态'!C57="","缺少状态类别；","")&amp;IF(AND('07_动态状态'!A57&lt;&gt;"",COUNTIF('07_动态状态'!$A$2:$A$501,'07_动态状态'!A57)&gt;1),"ID重复；",""),"")</f>
        <v/>
      </c>
      <c r="G2557" s="14">
        <f>IF(F2557&lt;&gt;"","按字段批注、数据字典和来源记录修正后复核","")</f>
        <v/>
      </c>
      <c r="H2557" s="14">
        <f>IF(F2557&lt;&gt;"","待处理","")</f>
        <v/>
      </c>
    </row>
    <row r="2558">
      <c r="A2558" s="14">
        <f>IF(F2558&lt;&gt;"","ISSUE-"&amp;TEXT(ROW()-1,"00000"),"")</f>
        <v/>
      </c>
      <c r="B2558" s="14">
        <f>IF(F2558&lt;&gt;"","错误","")</f>
        <v/>
      </c>
      <c r="C2558" s="14">
        <f>IF('07_动态状态'!A58&lt;&gt;"","07_动态状态","")</f>
        <v/>
      </c>
      <c r="D2558" s="14">
        <f>IF('07_动态状态'!A58&lt;&gt;"",'07_动态状态'!A58,"")</f>
        <v/>
      </c>
      <c r="E2558" s="14">
        <f>IF(F2558&lt;&gt;"","综合校验","")</f>
        <v/>
      </c>
      <c r="F2558" s="14">
        <f>IF('07_动态状态'!A58&lt;&gt;"",IF('07_动态状态'!A58="","缺少状态编码；","")&amp;IF('07_动态状态'!B58="","缺少状态名称；","")&amp;IF('07_动态状态'!C58="","缺少状态类别；","")&amp;IF(AND('07_动态状态'!A58&lt;&gt;"",COUNTIF('07_动态状态'!$A$2:$A$501,'07_动态状态'!A58)&gt;1),"ID重复；",""),"")</f>
        <v/>
      </c>
      <c r="G2558" s="14">
        <f>IF(F2558&lt;&gt;"","按字段批注、数据字典和来源记录修正后复核","")</f>
        <v/>
      </c>
      <c r="H2558" s="14">
        <f>IF(F2558&lt;&gt;"","待处理","")</f>
        <v/>
      </c>
    </row>
    <row r="2559">
      <c r="A2559" s="14">
        <f>IF(F2559&lt;&gt;"","ISSUE-"&amp;TEXT(ROW()-1,"00000"),"")</f>
        <v/>
      </c>
      <c r="B2559" s="14">
        <f>IF(F2559&lt;&gt;"","错误","")</f>
        <v/>
      </c>
      <c r="C2559" s="14">
        <f>IF('07_动态状态'!A59&lt;&gt;"","07_动态状态","")</f>
        <v/>
      </c>
      <c r="D2559" s="14">
        <f>IF('07_动态状态'!A59&lt;&gt;"",'07_动态状态'!A59,"")</f>
        <v/>
      </c>
      <c r="E2559" s="14">
        <f>IF(F2559&lt;&gt;"","综合校验","")</f>
        <v/>
      </c>
      <c r="F2559" s="14">
        <f>IF('07_动态状态'!A59&lt;&gt;"",IF('07_动态状态'!A59="","缺少状态编码；","")&amp;IF('07_动态状态'!B59="","缺少状态名称；","")&amp;IF('07_动态状态'!C59="","缺少状态类别；","")&amp;IF(AND('07_动态状态'!A59&lt;&gt;"",COUNTIF('07_动态状态'!$A$2:$A$501,'07_动态状态'!A59)&gt;1),"ID重复；",""),"")</f>
        <v/>
      </c>
      <c r="G2559" s="14">
        <f>IF(F2559&lt;&gt;"","按字段批注、数据字典和来源记录修正后复核","")</f>
        <v/>
      </c>
      <c r="H2559" s="14">
        <f>IF(F2559&lt;&gt;"","待处理","")</f>
        <v/>
      </c>
    </row>
    <row r="2560">
      <c r="A2560" s="14">
        <f>IF(F2560&lt;&gt;"","ISSUE-"&amp;TEXT(ROW()-1,"00000"),"")</f>
        <v/>
      </c>
      <c r="B2560" s="14">
        <f>IF(F2560&lt;&gt;"","错误","")</f>
        <v/>
      </c>
      <c r="C2560" s="14">
        <f>IF('07_动态状态'!A60&lt;&gt;"","07_动态状态","")</f>
        <v/>
      </c>
      <c r="D2560" s="14">
        <f>IF('07_动态状态'!A60&lt;&gt;"",'07_动态状态'!A60,"")</f>
        <v/>
      </c>
      <c r="E2560" s="14">
        <f>IF(F2560&lt;&gt;"","综合校验","")</f>
        <v/>
      </c>
      <c r="F2560" s="14">
        <f>IF('07_动态状态'!A60&lt;&gt;"",IF('07_动态状态'!A60="","缺少状态编码；","")&amp;IF('07_动态状态'!B60="","缺少状态名称；","")&amp;IF('07_动态状态'!C60="","缺少状态类别；","")&amp;IF(AND('07_动态状态'!A60&lt;&gt;"",COUNTIF('07_动态状态'!$A$2:$A$501,'07_动态状态'!A60)&gt;1),"ID重复；",""),"")</f>
        <v/>
      </c>
      <c r="G2560" s="14">
        <f>IF(F2560&lt;&gt;"","按字段批注、数据字典和来源记录修正后复核","")</f>
        <v/>
      </c>
      <c r="H2560" s="14">
        <f>IF(F2560&lt;&gt;"","待处理","")</f>
        <v/>
      </c>
    </row>
    <row r="2561">
      <c r="A2561" s="14">
        <f>IF(F2561&lt;&gt;"","ISSUE-"&amp;TEXT(ROW()-1,"00000"),"")</f>
        <v/>
      </c>
      <c r="B2561" s="14">
        <f>IF(F2561&lt;&gt;"","错误","")</f>
        <v/>
      </c>
      <c r="C2561" s="14">
        <f>IF('07_动态状态'!A61&lt;&gt;"","07_动态状态","")</f>
        <v/>
      </c>
      <c r="D2561" s="14">
        <f>IF('07_动态状态'!A61&lt;&gt;"",'07_动态状态'!A61,"")</f>
        <v/>
      </c>
      <c r="E2561" s="14">
        <f>IF(F2561&lt;&gt;"","综合校验","")</f>
        <v/>
      </c>
      <c r="F2561" s="14">
        <f>IF('07_动态状态'!A61&lt;&gt;"",IF('07_动态状态'!A61="","缺少状态编码；","")&amp;IF('07_动态状态'!B61="","缺少状态名称；","")&amp;IF('07_动态状态'!C61="","缺少状态类别；","")&amp;IF(AND('07_动态状态'!A61&lt;&gt;"",COUNTIF('07_动态状态'!$A$2:$A$501,'07_动态状态'!A61)&gt;1),"ID重复；",""),"")</f>
        <v/>
      </c>
      <c r="G2561" s="14">
        <f>IF(F2561&lt;&gt;"","按字段批注、数据字典和来源记录修正后复核","")</f>
        <v/>
      </c>
      <c r="H2561" s="14">
        <f>IF(F2561&lt;&gt;"","待处理","")</f>
        <v/>
      </c>
    </row>
    <row r="2562">
      <c r="A2562" s="14">
        <f>IF(F2562&lt;&gt;"","ISSUE-"&amp;TEXT(ROW()-1,"00000"),"")</f>
        <v/>
      </c>
      <c r="B2562" s="14">
        <f>IF(F2562&lt;&gt;"","错误","")</f>
        <v/>
      </c>
      <c r="C2562" s="14">
        <f>IF('07_动态状态'!A62&lt;&gt;"","07_动态状态","")</f>
        <v/>
      </c>
      <c r="D2562" s="14">
        <f>IF('07_动态状态'!A62&lt;&gt;"",'07_动态状态'!A62,"")</f>
        <v/>
      </c>
      <c r="E2562" s="14">
        <f>IF(F2562&lt;&gt;"","综合校验","")</f>
        <v/>
      </c>
      <c r="F2562" s="14">
        <f>IF('07_动态状态'!A62&lt;&gt;"",IF('07_动态状态'!A62="","缺少状态编码；","")&amp;IF('07_动态状态'!B62="","缺少状态名称；","")&amp;IF('07_动态状态'!C62="","缺少状态类别；","")&amp;IF(AND('07_动态状态'!A62&lt;&gt;"",COUNTIF('07_动态状态'!$A$2:$A$501,'07_动态状态'!A62)&gt;1),"ID重复；",""),"")</f>
        <v/>
      </c>
      <c r="G2562" s="14">
        <f>IF(F2562&lt;&gt;"","按字段批注、数据字典和来源记录修正后复核","")</f>
        <v/>
      </c>
      <c r="H2562" s="14">
        <f>IF(F2562&lt;&gt;"","待处理","")</f>
        <v/>
      </c>
    </row>
    <row r="2563">
      <c r="A2563" s="14">
        <f>IF(F2563&lt;&gt;"","ISSUE-"&amp;TEXT(ROW()-1,"00000"),"")</f>
        <v/>
      </c>
      <c r="B2563" s="14">
        <f>IF(F2563&lt;&gt;"","错误","")</f>
        <v/>
      </c>
      <c r="C2563" s="14">
        <f>IF('07_动态状态'!A63&lt;&gt;"","07_动态状态","")</f>
        <v/>
      </c>
      <c r="D2563" s="14">
        <f>IF('07_动态状态'!A63&lt;&gt;"",'07_动态状态'!A63,"")</f>
        <v/>
      </c>
      <c r="E2563" s="14">
        <f>IF(F2563&lt;&gt;"","综合校验","")</f>
        <v/>
      </c>
      <c r="F2563" s="14">
        <f>IF('07_动态状态'!A63&lt;&gt;"",IF('07_动态状态'!A63="","缺少状态编码；","")&amp;IF('07_动态状态'!B63="","缺少状态名称；","")&amp;IF('07_动态状态'!C63="","缺少状态类别；","")&amp;IF(AND('07_动态状态'!A63&lt;&gt;"",COUNTIF('07_动态状态'!$A$2:$A$501,'07_动态状态'!A63)&gt;1),"ID重复；",""),"")</f>
        <v/>
      </c>
      <c r="G2563" s="14">
        <f>IF(F2563&lt;&gt;"","按字段批注、数据字典和来源记录修正后复核","")</f>
        <v/>
      </c>
      <c r="H2563" s="14">
        <f>IF(F2563&lt;&gt;"","待处理","")</f>
        <v/>
      </c>
    </row>
    <row r="2564">
      <c r="A2564" s="14">
        <f>IF(F2564&lt;&gt;"","ISSUE-"&amp;TEXT(ROW()-1,"00000"),"")</f>
        <v/>
      </c>
      <c r="B2564" s="14">
        <f>IF(F2564&lt;&gt;"","错误","")</f>
        <v/>
      </c>
      <c r="C2564" s="14">
        <f>IF('07_动态状态'!A64&lt;&gt;"","07_动态状态","")</f>
        <v/>
      </c>
      <c r="D2564" s="14">
        <f>IF('07_动态状态'!A64&lt;&gt;"",'07_动态状态'!A64,"")</f>
        <v/>
      </c>
      <c r="E2564" s="14">
        <f>IF(F2564&lt;&gt;"","综合校验","")</f>
        <v/>
      </c>
      <c r="F2564" s="14">
        <f>IF('07_动态状态'!A64&lt;&gt;"",IF('07_动态状态'!A64="","缺少状态编码；","")&amp;IF('07_动态状态'!B64="","缺少状态名称；","")&amp;IF('07_动态状态'!C64="","缺少状态类别；","")&amp;IF(AND('07_动态状态'!A64&lt;&gt;"",COUNTIF('07_动态状态'!$A$2:$A$501,'07_动态状态'!A64)&gt;1),"ID重复；",""),"")</f>
        <v/>
      </c>
      <c r="G2564" s="14">
        <f>IF(F2564&lt;&gt;"","按字段批注、数据字典和来源记录修正后复核","")</f>
        <v/>
      </c>
      <c r="H2564" s="14">
        <f>IF(F2564&lt;&gt;"","待处理","")</f>
        <v/>
      </c>
    </row>
    <row r="2565">
      <c r="A2565" s="14">
        <f>IF(F2565&lt;&gt;"","ISSUE-"&amp;TEXT(ROW()-1,"00000"),"")</f>
        <v/>
      </c>
      <c r="B2565" s="14">
        <f>IF(F2565&lt;&gt;"","错误","")</f>
        <v/>
      </c>
      <c r="C2565" s="14">
        <f>IF('07_动态状态'!A65&lt;&gt;"","07_动态状态","")</f>
        <v/>
      </c>
      <c r="D2565" s="14">
        <f>IF('07_动态状态'!A65&lt;&gt;"",'07_动态状态'!A65,"")</f>
        <v/>
      </c>
      <c r="E2565" s="14">
        <f>IF(F2565&lt;&gt;"","综合校验","")</f>
        <v/>
      </c>
      <c r="F2565" s="14">
        <f>IF('07_动态状态'!A65&lt;&gt;"",IF('07_动态状态'!A65="","缺少状态编码；","")&amp;IF('07_动态状态'!B65="","缺少状态名称；","")&amp;IF('07_动态状态'!C65="","缺少状态类别；","")&amp;IF(AND('07_动态状态'!A65&lt;&gt;"",COUNTIF('07_动态状态'!$A$2:$A$501,'07_动态状态'!A65)&gt;1),"ID重复；",""),"")</f>
        <v/>
      </c>
      <c r="G2565" s="14">
        <f>IF(F2565&lt;&gt;"","按字段批注、数据字典和来源记录修正后复核","")</f>
        <v/>
      </c>
      <c r="H2565" s="14">
        <f>IF(F2565&lt;&gt;"","待处理","")</f>
        <v/>
      </c>
    </row>
    <row r="2566">
      <c r="A2566" s="14">
        <f>IF(F2566&lt;&gt;"","ISSUE-"&amp;TEXT(ROW()-1,"00000"),"")</f>
        <v/>
      </c>
      <c r="B2566" s="14">
        <f>IF(F2566&lt;&gt;"","错误","")</f>
        <v/>
      </c>
      <c r="C2566" s="14">
        <f>IF('07_动态状态'!A66&lt;&gt;"","07_动态状态","")</f>
        <v/>
      </c>
      <c r="D2566" s="14">
        <f>IF('07_动态状态'!A66&lt;&gt;"",'07_动态状态'!A66,"")</f>
        <v/>
      </c>
      <c r="E2566" s="14">
        <f>IF(F2566&lt;&gt;"","综合校验","")</f>
        <v/>
      </c>
      <c r="F2566" s="14">
        <f>IF('07_动态状态'!A66&lt;&gt;"",IF('07_动态状态'!A66="","缺少状态编码；","")&amp;IF('07_动态状态'!B66="","缺少状态名称；","")&amp;IF('07_动态状态'!C66="","缺少状态类别；","")&amp;IF(AND('07_动态状态'!A66&lt;&gt;"",COUNTIF('07_动态状态'!$A$2:$A$501,'07_动态状态'!A66)&gt;1),"ID重复；",""),"")</f>
        <v/>
      </c>
      <c r="G2566" s="14">
        <f>IF(F2566&lt;&gt;"","按字段批注、数据字典和来源记录修正后复核","")</f>
        <v/>
      </c>
      <c r="H2566" s="14">
        <f>IF(F2566&lt;&gt;"","待处理","")</f>
        <v/>
      </c>
    </row>
    <row r="2567">
      <c r="A2567" s="14">
        <f>IF(F2567&lt;&gt;"","ISSUE-"&amp;TEXT(ROW()-1,"00000"),"")</f>
        <v/>
      </c>
      <c r="B2567" s="14">
        <f>IF(F2567&lt;&gt;"","错误","")</f>
        <v/>
      </c>
      <c r="C2567" s="14">
        <f>IF('07_动态状态'!A67&lt;&gt;"","07_动态状态","")</f>
        <v/>
      </c>
      <c r="D2567" s="14">
        <f>IF('07_动态状态'!A67&lt;&gt;"",'07_动态状态'!A67,"")</f>
        <v/>
      </c>
      <c r="E2567" s="14">
        <f>IF(F2567&lt;&gt;"","综合校验","")</f>
        <v/>
      </c>
      <c r="F2567" s="14">
        <f>IF('07_动态状态'!A67&lt;&gt;"",IF('07_动态状态'!A67="","缺少状态编码；","")&amp;IF('07_动态状态'!B67="","缺少状态名称；","")&amp;IF('07_动态状态'!C67="","缺少状态类别；","")&amp;IF(AND('07_动态状态'!A67&lt;&gt;"",COUNTIF('07_动态状态'!$A$2:$A$501,'07_动态状态'!A67)&gt;1),"ID重复；",""),"")</f>
        <v/>
      </c>
      <c r="G2567" s="14">
        <f>IF(F2567&lt;&gt;"","按字段批注、数据字典和来源记录修正后复核","")</f>
        <v/>
      </c>
      <c r="H2567" s="14">
        <f>IF(F2567&lt;&gt;"","待处理","")</f>
        <v/>
      </c>
    </row>
    <row r="2568">
      <c r="A2568" s="14">
        <f>IF(F2568&lt;&gt;"","ISSUE-"&amp;TEXT(ROW()-1,"00000"),"")</f>
        <v/>
      </c>
      <c r="B2568" s="14">
        <f>IF(F2568&lt;&gt;"","错误","")</f>
        <v/>
      </c>
      <c r="C2568" s="14">
        <f>IF('07_动态状态'!A68&lt;&gt;"","07_动态状态","")</f>
        <v/>
      </c>
      <c r="D2568" s="14">
        <f>IF('07_动态状态'!A68&lt;&gt;"",'07_动态状态'!A68,"")</f>
        <v/>
      </c>
      <c r="E2568" s="14">
        <f>IF(F2568&lt;&gt;"","综合校验","")</f>
        <v/>
      </c>
      <c r="F2568" s="14">
        <f>IF('07_动态状态'!A68&lt;&gt;"",IF('07_动态状态'!A68="","缺少状态编码；","")&amp;IF('07_动态状态'!B68="","缺少状态名称；","")&amp;IF('07_动态状态'!C68="","缺少状态类别；","")&amp;IF(AND('07_动态状态'!A68&lt;&gt;"",COUNTIF('07_动态状态'!$A$2:$A$501,'07_动态状态'!A68)&gt;1),"ID重复；",""),"")</f>
        <v/>
      </c>
      <c r="G2568" s="14">
        <f>IF(F2568&lt;&gt;"","按字段批注、数据字典和来源记录修正后复核","")</f>
        <v/>
      </c>
      <c r="H2568" s="14">
        <f>IF(F2568&lt;&gt;"","待处理","")</f>
        <v/>
      </c>
    </row>
    <row r="2569">
      <c r="A2569" s="14">
        <f>IF(F2569&lt;&gt;"","ISSUE-"&amp;TEXT(ROW()-1,"00000"),"")</f>
        <v/>
      </c>
      <c r="B2569" s="14">
        <f>IF(F2569&lt;&gt;"","错误","")</f>
        <v/>
      </c>
      <c r="C2569" s="14">
        <f>IF('07_动态状态'!A69&lt;&gt;"","07_动态状态","")</f>
        <v/>
      </c>
      <c r="D2569" s="14">
        <f>IF('07_动态状态'!A69&lt;&gt;"",'07_动态状态'!A69,"")</f>
        <v/>
      </c>
      <c r="E2569" s="14">
        <f>IF(F2569&lt;&gt;"","综合校验","")</f>
        <v/>
      </c>
      <c r="F2569" s="14">
        <f>IF('07_动态状态'!A69&lt;&gt;"",IF('07_动态状态'!A69="","缺少状态编码；","")&amp;IF('07_动态状态'!B69="","缺少状态名称；","")&amp;IF('07_动态状态'!C69="","缺少状态类别；","")&amp;IF(AND('07_动态状态'!A69&lt;&gt;"",COUNTIF('07_动态状态'!$A$2:$A$501,'07_动态状态'!A69)&gt;1),"ID重复；",""),"")</f>
        <v/>
      </c>
      <c r="G2569" s="14">
        <f>IF(F2569&lt;&gt;"","按字段批注、数据字典和来源记录修正后复核","")</f>
        <v/>
      </c>
      <c r="H2569" s="14">
        <f>IF(F2569&lt;&gt;"","待处理","")</f>
        <v/>
      </c>
    </row>
    <row r="2570">
      <c r="A2570" s="14">
        <f>IF(F2570&lt;&gt;"","ISSUE-"&amp;TEXT(ROW()-1,"00000"),"")</f>
        <v/>
      </c>
      <c r="B2570" s="14">
        <f>IF(F2570&lt;&gt;"","错误","")</f>
        <v/>
      </c>
      <c r="C2570" s="14">
        <f>IF('07_动态状态'!A70&lt;&gt;"","07_动态状态","")</f>
        <v/>
      </c>
      <c r="D2570" s="14">
        <f>IF('07_动态状态'!A70&lt;&gt;"",'07_动态状态'!A70,"")</f>
        <v/>
      </c>
      <c r="E2570" s="14">
        <f>IF(F2570&lt;&gt;"","综合校验","")</f>
        <v/>
      </c>
      <c r="F2570" s="14">
        <f>IF('07_动态状态'!A70&lt;&gt;"",IF('07_动态状态'!A70="","缺少状态编码；","")&amp;IF('07_动态状态'!B70="","缺少状态名称；","")&amp;IF('07_动态状态'!C70="","缺少状态类别；","")&amp;IF(AND('07_动态状态'!A70&lt;&gt;"",COUNTIF('07_动态状态'!$A$2:$A$501,'07_动态状态'!A70)&gt;1),"ID重复；",""),"")</f>
        <v/>
      </c>
      <c r="G2570" s="14">
        <f>IF(F2570&lt;&gt;"","按字段批注、数据字典和来源记录修正后复核","")</f>
        <v/>
      </c>
      <c r="H2570" s="14">
        <f>IF(F2570&lt;&gt;"","待处理","")</f>
        <v/>
      </c>
    </row>
    <row r="2571">
      <c r="A2571" s="14">
        <f>IF(F2571&lt;&gt;"","ISSUE-"&amp;TEXT(ROW()-1,"00000"),"")</f>
        <v/>
      </c>
      <c r="B2571" s="14">
        <f>IF(F2571&lt;&gt;"","错误","")</f>
        <v/>
      </c>
      <c r="C2571" s="14">
        <f>IF('07_动态状态'!A71&lt;&gt;"","07_动态状态","")</f>
        <v/>
      </c>
      <c r="D2571" s="14">
        <f>IF('07_动态状态'!A71&lt;&gt;"",'07_动态状态'!A71,"")</f>
        <v/>
      </c>
      <c r="E2571" s="14">
        <f>IF(F2571&lt;&gt;"","综合校验","")</f>
        <v/>
      </c>
      <c r="F2571" s="14">
        <f>IF('07_动态状态'!A71&lt;&gt;"",IF('07_动态状态'!A71="","缺少状态编码；","")&amp;IF('07_动态状态'!B71="","缺少状态名称；","")&amp;IF('07_动态状态'!C71="","缺少状态类别；","")&amp;IF(AND('07_动态状态'!A71&lt;&gt;"",COUNTIF('07_动态状态'!$A$2:$A$501,'07_动态状态'!A71)&gt;1),"ID重复；",""),"")</f>
        <v/>
      </c>
      <c r="G2571" s="14">
        <f>IF(F2571&lt;&gt;"","按字段批注、数据字典和来源记录修正后复核","")</f>
        <v/>
      </c>
      <c r="H2571" s="14">
        <f>IF(F2571&lt;&gt;"","待处理","")</f>
        <v/>
      </c>
    </row>
    <row r="2572">
      <c r="A2572" s="14">
        <f>IF(F2572&lt;&gt;"","ISSUE-"&amp;TEXT(ROW()-1,"00000"),"")</f>
        <v/>
      </c>
      <c r="B2572" s="14">
        <f>IF(F2572&lt;&gt;"","错误","")</f>
        <v/>
      </c>
      <c r="C2572" s="14">
        <f>IF('07_动态状态'!A72&lt;&gt;"","07_动态状态","")</f>
        <v/>
      </c>
      <c r="D2572" s="14">
        <f>IF('07_动态状态'!A72&lt;&gt;"",'07_动态状态'!A72,"")</f>
        <v/>
      </c>
      <c r="E2572" s="14">
        <f>IF(F2572&lt;&gt;"","综合校验","")</f>
        <v/>
      </c>
      <c r="F2572" s="14">
        <f>IF('07_动态状态'!A72&lt;&gt;"",IF('07_动态状态'!A72="","缺少状态编码；","")&amp;IF('07_动态状态'!B72="","缺少状态名称；","")&amp;IF('07_动态状态'!C72="","缺少状态类别；","")&amp;IF(AND('07_动态状态'!A72&lt;&gt;"",COUNTIF('07_动态状态'!$A$2:$A$501,'07_动态状态'!A72)&gt;1),"ID重复；",""),"")</f>
        <v/>
      </c>
      <c r="G2572" s="14">
        <f>IF(F2572&lt;&gt;"","按字段批注、数据字典和来源记录修正后复核","")</f>
        <v/>
      </c>
      <c r="H2572" s="14">
        <f>IF(F2572&lt;&gt;"","待处理","")</f>
        <v/>
      </c>
    </row>
    <row r="2573">
      <c r="A2573" s="14">
        <f>IF(F2573&lt;&gt;"","ISSUE-"&amp;TEXT(ROW()-1,"00000"),"")</f>
        <v/>
      </c>
      <c r="B2573" s="14">
        <f>IF(F2573&lt;&gt;"","错误","")</f>
        <v/>
      </c>
      <c r="C2573" s="14">
        <f>IF('07_动态状态'!A73&lt;&gt;"","07_动态状态","")</f>
        <v/>
      </c>
      <c r="D2573" s="14">
        <f>IF('07_动态状态'!A73&lt;&gt;"",'07_动态状态'!A73,"")</f>
        <v/>
      </c>
      <c r="E2573" s="14">
        <f>IF(F2573&lt;&gt;"","综合校验","")</f>
        <v/>
      </c>
      <c r="F2573" s="14">
        <f>IF('07_动态状态'!A73&lt;&gt;"",IF('07_动态状态'!A73="","缺少状态编码；","")&amp;IF('07_动态状态'!B73="","缺少状态名称；","")&amp;IF('07_动态状态'!C73="","缺少状态类别；","")&amp;IF(AND('07_动态状态'!A73&lt;&gt;"",COUNTIF('07_动态状态'!$A$2:$A$501,'07_动态状态'!A73)&gt;1),"ID重复；",""),"")</f>
        <v/>
      </c>
      <c r="G2573" s="14">
        <f>IF(F2573&lt;&gt;"","按字段批注、数据字典和来源记录修正后复核","")</f>
        <v/>
      </c>
      <c r="H2573" s="14">
        <f>IF(F2573&lt;&gt;"","待处理","")</f>
        <v/>
      </c>
    </row>
    <row r="2574">
      <c r="A2574" s="14">
        <f>IF(F2574&lt;&gt;"","ISSUE-"&amp;TEXT(ROW()-1,"00000"),"")</f>
        <v/>
      </c>
      <c r="B2574" s="14">
        <f>IF(F2574&lt;&gt;"","错误","")</f>
        <v/>
      </c>
      <c r="C2574" s="14">
        <f>IF('07_动态状态'!A74&lt;&gt;"","07_动态状态","")</f>
        <v/>
      </c>
      <c r="D2574" s="14">
        <f>IF('07_动态状态'!A74&lt;&gt;"",'07_动态状态'!A74,"")</f>
        <v/>
      </c>
      <c r="E2574" s="14">
        <f>IF(F2574&lt;&gt;"","综合校验","")</f>
        <v/>
      </c>
      <c r="F2574" s="14">
        <f>IF('07_动态状态'!A74&lt;&gt;"",IF('07_动态状态'!A74="","缺少状态编码；","")&amp;IF('07_动态状态'!B74="","缺少状态名称；","")&amp;IF('07_动态状态'!C74="","缺少状态类别；","")&amp;IF(AND('07_动态状态'!A74&lt;&gt;"",COUNTIF('07_动态状态'!$A$2:$A$501,'07_动态状态'!A74)&gt;1),"ID重复；",""),"")</f>
        <v/>
      </c>
      <c r="G2574" s="14">
        <f>IF(F2574&lt;&gt;"","按字段批注、数据字典和来源记录修正后复核","")</f>
        <v/>
      </c>
      <c r="H2574" s="14">
        <f>IF(F2574&lt;&gt;"","待处理","")</f>
        <v/>
      </c>
    </row>
    <row r="2575">
      <c r="A2575" s="14">
        <f>IF(F2575&lt;&gt;"","ISSUE-"&amp;TEXT(ROW()-1,"00000"),"")</f>
        <v/>
      </c>
      <c r="B2575" s="14">
        <f>IF(F2575&lt;&gt;"","错误","")</f>
        <v/>
      </c>
      <c r="C2575" s="14">
        <f>IF('07_动态状态'!A75&lt;&gt;"","07_动态状态","")</f>
        <v/>
      </c>
      <c r="D2575" s="14">
        <f>IF('07_动态状态'!A75&lt;&gt;"",'07_动态状态'!A75,"")</f>
        <v/>
      </c>
      <c r="E2575" s="14">
        <f>IF(F2575&lt;&gt;"","综合校验","")</f>
        <v/>
      </c>
      <c r="F2575" s="14">
        <f>IF('07_动态状态'!A75&lt;&gt;"",IF('07_动态状态'!A75="","缺少状态编码；","")&amp;IF('07_动态状态'!B75="","缺少状态名称；","")&amp;IF('07_动态状态'!C75="","缺少状态类别；","")&amp;IF(AND('07_动态状态'!A75&lt;&gt;"",COUNTIF('07_动态状态'!$A$2:$A$501,'07_动态状态'!A75)&gt;1),"ID重复；",""),"")</f>
        <v/>
      </c>
      <c r="G2575" s="14">
        <f>IF(F2575&lt;&gt;"","按字段批注、数据字典和来源记录修正后复核","")</f>
        <v/>
      </c>
      <c r="H2575" s="14">
        <f>IF(F2575&lt;&gt;"","待处理","")</f>
        <v/>
      </c>
    </row>
    <row r="2576">
      <c r="A2576" s="14">
        <f>IF(F2576&lt;&gt;"","ISSUE-"&amp;TEXT(ROW()-1,"00000"),"")</f>
        <v/>
      </c>
      <c r="B2576" s="14">
        <f>IF(F2576&lt;&gt;"","错误","")</f>
        <v/>
      </c>
      <c r="C2576" s="14">
        <f>IF('07_动态状态'!A76&lt;&gt;"","07_动态状态","")</f>
        <v/>
      </c>
      <c r="D2576" s="14">
        <f>IF('07_动态状态'!A76&lt;&gt;"",'07_动态状态'!A76,"")</f>
        <v/>
      </c>
      <c r="E2576" s="14">
        <f>IF(F2576&lt;&gt;"","综合校验","")</f>
        <v/>
      </c>
      <c r="F2576" s="14">
        <f>IF('07_动态状态'!A76&lt;&gt;"",IF('07_动态状态'!A76="","缺少状态编码；","")&amp;IF('07_动态状态'!B76="","缺少状态名称；","")&amp;IF('07_动态状态'!C76="","缺少状态类别；","")&amp;IF(AND('07_动态状态'!A76&lt;&gt;"",COUNTIF('07_动态状态'!$A$2:$A$501,'07_动态状态'!A76)&gt;1),"ID重复；",""),"")</f>
        <v/>
      </c>
      <c r="G2576" s="14">
        <f>IF(F2576&lt;&gt;"","按字段批注、数据字典和来源记录修正后复核","")</f>
        <v/>
      </c>
      <c r="H2576" s="14">
        <f>IF(F2576&lt;&gt;"","待处理","")</f>
        <v/>
      </c>
    </row>
    <row r="2577">
      <c r="A2577" s="14">
        <f>IF(F2577&lt;&gt;"","ISSUE-"&amp;TEXT(ROW()-1,"00000"),"")</f>
        <v/>
      </c>
      <c r="B2577" s="14">
        <f>IF(F2577&lt;&gt;"","错误","")</f>
        <v/>
      </c>
      <c r="C2577" s="14">
        <f>IF('07_动态状态'!A77&lt;&gt;"","07_动态状态","")</f>
        <v/>
      </c>
      <c r="D2577" s="14">
        <f>IF('07_动态状态'!A77&lt;&gt;"",'07_动态状态'!A77,"")</f>
        <v/>
      </c>
      <c r="E2577" s="14">
        <f>IF(F2577&lt;&gt;"","综合校验","")</f>
        <v/>
      </c>
      <c r="F2577" s="14">
        <f>IF('07_动态状态'!A77&lt;&gt;"",IF('07_动态状态'!A77="","缺少状态编码；","")&amp;IF('07_动态状态'!B77="","缺少状态名称；","")&amp;IF('07_动态状态'!C77="","缺少状态类别；","")&amp;IF(AND('07_动态状态'!A77&lt;&gt;"",COUNTIF('07_动态状态'!$A$2:$A$501,'07_动态状态'!A77)&gt;1),"ID重复；",""),"")</f>
        <v/>
      </c>
      <c r="G2577" s="14">
        <f>IF(F2577&lt;&gt;"","按字段批注、数据字典和来源记录修正后复核","")</f>
        <v/>
      </c>
      <c r="H2577" s="14">
        <f>IF(F2577&lt;&gt;"","待处理","")</f>
        <v/>
      </c>
    </row>
    <row r="2578">
      <c r="A2578" s="14">
        <f>IF(F2578&lt;&gt;"","ISSUE-"&amp;TEXT(ROW()-1,"00000"),"")</f>
        <v/>
      </c>
      <c r="B2578" s="14">
        <f>IF(F2578&lt;&gt;"","错误","")</f>
        <v/>
      </c>
      <c r="C2578" s="14">
        <f>IF('07_动态状态'!A78&lt;&gt;"","07_动态状态","")</f>
        <v/>
      </c>
      <c r="D2578" s="14">
        <f>IF('07_动态状态'!A78&lt;&gt;"",'07_动态状态'!A78,"")</f>
        <v/>
      </c>
      <c r="E2578" s="14">
        <f>IF(F2578&lt;&gt;"","综合校验","")</f>
        <v/>
      </c>
      <c r="F2578" s="14">
        <f>IF('07_动态状态'!A78&lt;&gt;"",IF('07_动态状态'!A78="","缺少状态编码；","")&amp;IF('07_动态状态'!B78="","缺少状态名称；","")&amp;IF('07_动态状态'!C78="","缺少状态类别；","")&amp;IF(AND('07_动态状态'!A78&lt;&gt;"",COUNTIF('07_动态状态'!$A$2:$A$501,'07_动态状态'!A78)&gt;1),"ID重复；",""),"")</f>
        <v/>
      </c>
      <c r="G2578" s="14">
        <f>IF(F2578&lt;&gt;"","按字段批注、数据字典和来源记录修正后复核","")</f>
        <v/>
      </c>
      <c r="H2578" s="14">
        <f>IF(F2578&lt;&gt;"","待处理","")</f>
        <v/>
      </c>
    </row>
    <row r="2579">
      <c r="A2579" s="14">
        <f>IF(F2579&lt;&gt;"","ISSUE-"&amp;TEXT(ROW()-1,"00000"),"")</f>
        <v/>
      </c>
      <c r="B2579" s="14">
        <f>IF(F2579&lt;&gt;"","错误","")</f>
        <v/>
      </c>
      <c r="C2579" s="14">
        <f>IF('07_动态状态'!A79&lt;&gt;"","07_动态状态","")</f>
        <v/>
      </c>
      <c r="D2579" s="14">
        <f>IF('07_动态状态'!A79&lt;&gt;"",'07_动态状态'!A79,"")</f>
        <v/>
      </c>
      <c r="E2579" s="14">
        <f>IF(F2579&lt;&gt;"","综合校验","")</f>
        <v/>
      </c>
      <c r="F2579" s="14">
        <f>IF('07_动态状态'!A79&lt;&gt;"",IF('07_动态状态'!A79="","缺少状态编码；","")&amp;IF('07_动态状态'!B79="","缺少状态名称；","")&amp;IF('07_动态状态'!C79="","缺少状态类别；","")&amp;IF(AND('07_动态状态'!A79&lt;&gt;"",COUNTIF('07_动态状态'!$A$2:$A$501,'07_动态状态'!A79)&gt;1),"ID重复；",""),"")</f>
        <v/>
      </c>
      <c r="G2579" s="14">
        <f>IF(F2579&lt;&gt;"","按字段批注、数据字典和来源记录修正后复核","")</f>
        <v/>
      </c>
      <c r="H2579" s="14">
        <f>IF(F2579&lt;&gt;"","待处理","")</f>
        <v/>
      </c>
    </row>
    <row r="2580">
      <c r="A2580" s="14">
        <f>IF(F2580&lt;&gt;"","ISSUE-"&amp;TEXT(ROW()-1,"00000"),"")</f>
        <v/>
      </c>
      <c r="B2580" s="14">
        <f>IF(F2580&lt;&gt;"","错误","")</f>
        <v/>
      </c>
      <c r="C2580" s="14">
        <f>IF('07_动态状态'!A80&lt;&gt;"","07_动态状态","")</f>
        <v/>
      </c>
      <c r="D2580" s="14">
        <f>IF('07_动态状态'!A80&lt;&gt;"",'07_动态状态'!A80,"")</f>
        <v/>
      </c>
      <c r="E2580" s="14">
        <f>IF(F2580&lt;&gt;"","综合校验","")</f>
        <v/>
      </c>
      <c r="F2580" s="14">
        <f>IF('07_动态状态'!A80&lt;&gt;"",IF('07_动态状态'!A80="","缺少状态编码；","")&amp;IF('07_动态状态'!B80="","缺少状态名称；","")&amp;IF('07_动态状态'!C80="","缺少状态类别；","")&amp;IF(AND('07_动态状态'!A80&lt;&gt;"",COUNTIF('07_动态状态'!$A$2:$A$501,'07_动态状态'!A80)&gt;1),"ID重复；",""),"")</f>
        <v/>
      </c>
      <c r="G2580" s="14">
        <f>IF(F2580&lt;&gt;"","按字段批注、数据字典和来源记录修正后复核","")</f>
        <v/>
      </c>
      <c r="H2580" s="14">
        <f>IF(F2580&lt;&gt;"","待处理","")</f>
        <v/>
      </c>
    </row>
    <row r="2581">
      <c r="A2581" s="14">
        <f>IF(F2581&lt;&gt;"","ISSUE-"&amp;TEXT(ROW()-1,"00000"),"")</f>
        <v/>
      </c>
      <c r="B2581" s="14">
        <f>IF(F2581&lt;&gt;"","错误","")</f>
        <v/>
      </c>
      <c r="C2581" s="14">
        <f>IF('07_动态状态'!A81&lt;&gt;"","07_动态状态","")</f>
        <v/>
      </c>
      <c r="D2581" s="14">
        <f>IF('07_动态状态'!A81&lt;&gt;"",'07_动态状态'!A81,"")</f>
        <v/>
      </c>
      <c r="E2581" s="14">
        <f>IF(F2581&lt;&gt;"","综合校验","")</f>
        <v/>
      </c>
      <c r="F2581" s="14">
        <f>IF('07_动态状态'!A81&lt;&gt;"",IF('07_动态状态'!A81="","缺少状态编码；","")&amp;IF('07_动态状态'!B81="","缺少状态名称；","")&amp;IF('07_动态状态'!C81="","缺少状态类别；","")&amp;IF(AND('07_动态状态'!A81&lt;&gt;"",COUNTIF('07_动态状态'!$A$2:$A$501,'07_动态状态'!A81)&gt;1),"ID重复；",""),"")</f>
        <v/>
      </c>
      <c r="G2581" s="14">
        <f>IF(F2581&lt;&gt;"","按字段批注、数据字典和来源记录修正后复核","")</f>
        <v/>
      </c>
      <c r="H2581" s="14">
        <f>IF(F2581&lt;&gt;"","待处理","")</f>
        <v/>
      </c>
    </row>
    <row r="2582">
      <c r="A2582" s="14">
        <f>IF(F2582&lt;&gt;"","ISSUE-"&amp;TEXT(ROW()-1,"00000"),"")</f>
        <v/>
      </c>
      <c r="B2582" s="14">
        <f>IF(F2582&lt;&gt;"","错误","")</f>
        <v/>
      </c>
      <c r="C2582" s="14">
        <f>IF('07_动态状态'!A82&lt;&gt;"","07_动态状态","")</f>
        <v/>
      </c>
      <c r="D2582" s="14">
        <f>IF('07_动态状态'!A82&lt;&gt;"",'07_动态状态'!A82,"")</f>
        <v/>
      </c>
      <c r="E2582" s="14">
        <f>IF(F2582&lt;&gt;"","综合校验","")</f>
        <v/>
      </c>
      <c r="F2582" s="14">
        <f>IF('07_动态状态'!A82&lt;&gt;"",IF('07_动态状态'!A82="","缺少状态编码；","")&amp;IF('07_动态状态'!B82="","缺少状态名称；","")&amp;IF('07_动态状态'!C82="","缺少状态类别；","")&amp;IF(AND('07_动态状态'!A82&lt;&gt;"",COUNTIF('07_动态状态'!$A$2:$A$501,'07_动态状态'!A82)&gt;1),"ID重复；",""),"")</f>
        <v/>
      </c>
      <c r="G2582" s="14">
        <f>IF(F2582&lt;&gt;"","按字段批注、数据字典和来源记录修正后复核","")</f>
        <v/>
      </c>
      <c r="H2582" s="14">
        <f>IF(F2582&lt;&gt;"","待处理","")</f>
        <v/>
      </c>
    </row>
    <row r="2583">
      <c r="A2583" s="14">
        <f>IF(F2583&lt;&gt;"","ISSUE-"&amp;TEXT(ROW()-1,"00000"),"")</f>
        <v/>
      </c>
      <c r="B2583" s="14">
        <f>IF(F2583&lt;&gt;"","错误","")</f>
        <v/>
      </c>
      <c r="C2583" s="14">
        <f>IF('07_动态状态'!A83&lt;&gt;"","07_动态状态","")</f>
        <v/>
      </c>
      <c r="D2583" s="14">
        <f>IF('07_动态状态'!A83&lt;&gt;"",'07_动态状态'!A83,"")</f>
        <v/>
      </c>
      <c r="E2583" s="14">
        <f>IF(F2583&lt;&gt;"","综合校验","")</f>
        <v/>
      </c>
      <c r="F2583" s="14">
        <f>IF('07_动态状态'!A83&lt;&gt;"",IF('07_动态状态'!A83="","缺少状态编码；","")&amp;IF('07_动态状态'!B83="","缺少状态名称；","")&amp;IF('07_动态状态'!C83="","缺少状态类别；","")&amp;IF(AND('07_动态状态'!A83&lt;&gt;"",COUNTIF('07_动态状态'!$A$2:$A$501,'07_动态状态'!A83)&gt;1),"ID重复；",""),"")</f>
        <v/>
      </c>
      <c r="G2583" s="14">
        <f>IF(F2583&lt;&gt;"","按字段批注、数据字典和来源记录修正后复核","")</f>
        <v/>
      </c>
      <c r="H2583" s="14">
        <f>IF(F2583&lt;&gt;"","待处理","")</f>
        <v/>
      </c>
    </row>
    <row r="2584">
      <c r="A2584" s="14">
        <f>IF(F2584&lt;&gt;"","ISSUE-"&amp;TEXT(ROW()-1,"00000"),"")</f>
        <v/>
      </c>
      <c r="B2584" s="14">
        <f>IF(F2584&lt;&gt;"","错误","")</f>
        <v/>
      </c>
      <c r="C2584" s="14">
        <f>IF('07_动态状态'!A84&lt;&gt;"","07_动态状态","")</f>
        <v/>
      </c>
      <c r="D2584" s="14">
        <f>IF('07_动态状态'!A84&lt;&gt;"",'07_动态状态'!A84,"")</f>
        <v/>
      </c>
      <c r="E2584" s="14">
        <f>IF(F2584&lt;&gt;"","综合校验","")</f>
        <v/>
      </c>
      <c r="F2584" s="14">
        <f>IF('07_动态状态'!A84&lt;&gt;"",IF('07_动态状态'!A84="","缺少状态编码；","")&amp;IF('07_动态状态'!B84="","缺少状态名称；","")&amp;IF('07_动态状态'!C84="","缺少状态类别；","")&amp;IF(AND('07_动态状态'!A84&lt;&gt;"",COUNTIF('07_动态状态'!$A$2:$A$501,'07_动态状态'!A84)&gt;1),"ID重复；",""),"")</f>
        <v/>
      </c>
      <c r="G2584" s="14">
        <f>IF(F2584&lt;&gt;"","按字段批注、数据字典和来源记录修正后复核","")</f>
        <v/>
      </c>
      <c r="H2584" s="14">
        <f>IF(F2584&lt;&gt;"","待处理","")</f>
        <v/>
      </c>
    </row>
    <row r="2585">
      <c r="A2585" s="14">
        <f>IF(F2585&lt;&gt;"","ISSUE-"&amp;TEXT(ROW()-1,"00000"),"")</f>
        <v/>
      </c>
      <c r="B2585" s="14">
        <f>IF(F2585&lt;&gt;"","错误","")</f>
        <v/>
      </c>
      <c r="C2585" s="14">
        <f>IF('07_动态状态'!A85&lt;&gt;"","07_动态状态","")</f>
        <v/>
      </c>
      <c r="D2585" s="14">
        <f>IF('07_动态状态'!A85&lt;&gt;"",'07_动态状态'!A85,"")</f>
        <v/>
      </c>
      <c r="E2585" s="14">
        <f>IF(F2585&lt;&gt;"","综合校验","")</f>
        <v/>
      </c>
      <c r="F2585" s="14">
        <f>IF('07_动态状态'!A85&lt;&gt;"",IF('07_动态状态'!A85="","缺少状态编码；","")&amp;IF('07_动态状态'!B85="","缺少状态名称；","")&amp;IF('07_动态状态'!C85="","缺少状态类别；","")&amp;IF(AND('07_动态状态'!A85&lt;&gt;"",COUNTIF('07_动态状态'!$A$2:$A$501,'07_动态状态'!A85)&gt;1),"ID重复；",""),"")</f>
        <v/>
      </c>
      <c r="G2585" s="14">
        <f>IF(F2585&lt;&gt;"","按字段批注、数据字典和来源记录修正后复核","")</f>
        <v/>
      </c>
      <c r="H2585" s="14">
        <f>IF(F2585&lt;&gt;"","待处理","")</f>
        <v/>
      </c>
    </row>
    <row r="2586">
      <c r="A2586" s="14">
        <f>IF(F2586&lt;&gt;"","ISSUE-"&amp;TEXT(ROW()-1,"00000"),"")</f>
        <v/>
      </c>
      <c r="B2586" s="14">
        <f>IF(F2586&lt;&gt;"","错误","")</f>
        <v/>
      </c>
      <c r="C2586" s="14">
        <f>IF('07_动态状态'!A86&lt;&gt;"","07_动态状态","")</f>
        <v/>
      </c>
      <c r="D2586" s="14">
        <f>IF('07_动态状态'!A86&lt;&gt;"",'07_动态状态'!A86,"")</f>
        <v/>
      </c>
      <c r="E2586" s="14">
        <f>IF(F2586&lt;&gt;"","综合校验","")</f>
        <v/>
      </c>
      <c r="F2586" s="14">
        <f>IF('07_动态状态'!A86&lt;&gt;"",IF('07_动态状态'!A86="","缺少状态编码；","")&amp;IF('07_动态状态'!B86="","缺少状态名称；","")&amp;IF('07_动态状态'!C86="","缺少状态类别；","")&amp;IF(AND('07_动态状态'!A86&lt;&gt;"",COUNTIF('07_动态状态'!$A$2:$A$501,'07_动态状态'!A86)&gt;1),"ID重复；",""),"")</f>
        <v/>
      </c>
      <c r="G2586" s="14">
        <f>IF(F2586&lt;&gt;"","按字段批注、数据字典和来源记录修正后复核","")</f>
        <v/>
      </c>
      <c r="H2586" s="14">
        <f>IF(F2586&lt;&gt;"","待处理","")</f>
        <v/>
      </c>
    </row>
    <row r="2587">
      <c r="A2587" s="14">
        <f>IF(F2587&lt;&gt;"","ISSUE-"&amp;TEXT(ROW()-1,"00000"),"")</f>
        <v/>
      </c>
      <c r="B2587" s="14">
        <f>IF(F2587&lt;&gt;"","错误","")</f>
        <v/>
      </c>
      <c r="C2587" s="14">
        <f>IF('07_动态状态'!A87&lt;&gt;"","07_动态状态","")</f>
        <v/>
      </c>
      <c r="D2587" s="14">
        <f>IF('07_动态状态'!A87&lt;&gt;"",'07_动态状态'!A87,"")</f>
        <v/>
      </c>
      <c r="E2587" s="14">
        <f>IF(F2587&lt;&gt;"","综合校验","")</f>
        <v/>
      </c>
      <c r="F2587" s="14">
        <f>IF('07_动态状态'!A87&lt;&gt;"",IF('07_动态状态'!A87="","缺少状态编码；","")&amp;IF('07_动态状态'!B87="","缺少状态名称；","")&amp;IF('07_动态状态'!C87="","缺少状态类别；","")&amp;IF(AND('07_动态状态'!A87&lt;&gt;"",COUNTIF('07_动态状态'!$A$2:$A$501,'07_动态状态'!A87)&gt;1),"ID重复；",""),"")</f>
        <v/>
      </c>
      <c r="G2587" s="14">
        <f>IF(F2587&lt;&gt;"","按字段批注、数据字典和来源记录修正后复核","")</f>
        <v/>
      </c>
      <c r="H2587" s="14">
        <f>IF(F2587&lt;&gt;"","待处理","")</f>
        <v/>
      </c>
    </row>
    <row r="2588">
      <c r="A2588" s="14">
        <f>IF(F2588&lt;&gt;"","ISSUE-"&amp;TEXT(ROW()-1,"00000"),"")</f>
        <v/>
      </c>
      <c r="B2588" s="14">
        <f>IF(F2588&lt;&gt;"","错误","")</f>
        <v/>
      </c>
      <c r="C2588" s="14">
        <f>IF('07_动态状态'!A88&lt;&gt;"","07_动态状态","")</f>
        <v/>
      </c>
      <c r="D2588" s="14">
        <f>IF('07_动态状态'!A88&lt;&gt;"",'07_动态状态'!A88,"")</f>
        <v/>
      </c>
      <c r="E2588" s="14">
        <f>IF(F2588&lt;&gt;"","综合校验","")</f>
        <v/>
      </c>
      <c r="F2588" s="14">
        <f>IF('07_动态状态'!A88&lt;&gt;"",IF('07_动态状态'!A88="","缺少状态编码；","")&amp;IF('07_动态状态'!B88="","缺少状态名称；","")&amp;IF('07_动态状态'!C88="","缺少状态类别；","")&amp;IF(AND('07_动态状态'!A88&lt;&gt;"",COUNTIF('07_动态状态'!$A$2:$A$501,'07_动态状态'!A88)&gt;1),"ID重复；",""),"")</f>
        <v/>
      </c>
      <c r="G2588" s="14">
        <f>IF(F2588&lt;&gt;"","按字段批注、数据字典和来源记录修正后复核","")</f>
        <v/>
      </c>
      <c r="H2588" s="14">
        <f>IF(F2588&lt;&gt;"","待处理","")</f>
        <v/>
      </c>
    </row>
    <row r="2589">
      <c r="A2589" s="14">
        <f>IF(F2589&lt;&gt;"","ISSUE-"&amp;TEXT(ROW()-1,"00000"),"")</f>
        <v/>
      </c>
      <c r="B2589" s="14">
        <f>IF(F2589&lt;&gt;"","错误","")</f>
        <v/>
      </c>
      <c r="C2589" s="14">
        <f>IF('07_动态状态'!A89&lt;&gt;"","07_动态状态","")</f>
        <v/>
      </c>
      <c r="D2589" s="14">
        <f>IF('07_动态状态'!A89&lt;&gt;"",'07_动态状态'!A89,"")</f>
        <v/>
      </c>
      <c r="E2589" s="14">
        <f>IF(F2589&lt;&gt;"","综合校验","")</f>
        <v/>
      </c>
      <c r="F2589" s="14">
        <f>IF('07_动态状态'!A89&lt;&gt;"",IF('07_动态状态'!A89="","缺少状态编码；","")&amp;IF('07_动态状态'!B89="","缺少状态名称；","")&amp;IF('07_动态状态'!C89="","缺少状态类别；","")&amp;IF(AND('07_动态状态'!A89&lt;&gt;"",COUNTIF('07_动态状态'!$A$2:$A$501,'07_动态状态'!A89)&gt;1),"ID重复；",""),"")</f>
        <v/>
      </c>
      <c r="G2589" s="14">
        <f>IF(F2589&lt;&gt;"","按字段批注、数据字典和来源记录修正后复核","")</f>
        <v/>
      </c>
      <c r="H2589" s="14">
        <f>IF(F2589&lt;&gt;"","待处理","")</f>
        <v/>
      </c>
    </row>
    <row r="2590">
      <c r="A2590" s="14">
        <f>IF(F2590&lt;&gt;"","ISSUE-"&amp;TEXT(ROW()-1,"00000"),"")</f>
        <v/>
      </c>
      <c r="B2590" s="14">
        <f>IF(F2590&lt;&gt;"","错误","")</f>
        <v/>
      </c>
      <c r="C2590" s="14">
        <f>IF('07_动态状态'!A90&lt;&gt;"","07_动态状态","")</f>
        <v/>
      </c>
      <c r="D2590" s="14">
        <f>IF('07_动态状态'!A90&lt;&gt;"",'07_动态状态'!A90,"")</f>
        <v/>
      </c>
      <c r="E2590" s="14">
        <f>IF(F2590&lt;&gt;"","综合校验","")</f>
        <v/>
      </c>
      <c r="F2590" s="14">
        <f>IF('07_动态状态'!A90&lt;&gt;"",IF('07_动态状态'!A90="","缺少状态编码；","")&amp;IF('07_动态状态'!B90="","缺少状态名称；","")&amp;IF('07_动态状态'!C90="","缺少状态类别；","")&amp;IF(AND('07_动态状态'!A90&lt;&gt;"",COUNTIF('07_动态状态'!$A$2:$A$501,'07_动态状态'!A90)&gt;1),"ID重复；",""),"")</f>
        <v/>
      </c>
      <c r="G2590" s="14">
        <f>IF(F2590&lt;&gt;"","按字段批注、数据字典和来源记录修正后复核","")</f>
        <v/>
      </c>
      <c r="H2590" s="14">
        <f>IF(F2590&lt;&gt;"","待处理","")</f>
        <v/>
      </c>
    </row>
    <row r="2591">
      <c r="A2591" s="14">
        <f>IF(F2591&lt;&gt;"","ISSUE-"&amp;TEXT(ROW()-1,"00000"),"")</f>
        <v/>
      </c>
      <c r="B2591" s="14">
        <f>IF(F2591&lt;&gt;"","错误","")</f>
        <v/>
      </c>
      <c r="C2591" s="14">
        <f>IF('07_动态状态'!A91&lt;&gt;"","07_动态状态","")</f>
        <v/>
      </c>
      <c r="D2591" s="14">
        <f>IF('07_动态状态'!A91&lt;&gt;"",'07_动态状态'!A91,"")</f>
        <v/>
      </c>
      <c r="E2591" s="14">
        <f>IF(F2591&lt;&gt;"","综合校验","")</f>
        <v/>
      </c>
      <c r="F2591" s="14">
        <f>IF('07_动态状态'!A91&lt;&gt;"",IF('07_动态状态'!A91="","缺少状态编码；","")&amp;IF('07_动态状态'!B91="","缺少状态名称；","")&amp;IF('07_动态状态'!C91="","缺少状态类别；","")&amp;IF(AND('07_动态状态'!A91&lt;&gt;"",COUNTIF('07_动态状态'!$A$2:$A$501,'07_动态状态'!A91)&gt;1),"ID重复；",""),"")</f>
        <v/>
      </c>
      <c r="G2591" s="14">
        <f>IF(F2591&lt;&gt;"","按字段批注、数据字典和来源记录修正后复核","")</f>
        <v/>
      </c>
      <c r="H2591" s="14">
        <f>IF(F2591&lt;&gt;"","待处理","")</f>
        <v/>
      </c>
    </row>
    <row r="2592">
      <c r="A2592" s="14">
        <f>IF(F2592&lt;&gt;"","ISSUE-"&amp;TEXT(ROW()-1,"00000"),"")</f>
        <v/>
      </c>
      <c r="B2592" s="14">
        <f>IF(F2592&lt;&gt;"","错误","")</f>
        <v/>
      </c>
      <c r="C2592" s="14">
        <f>IF('07_动态状态'!A92&lt;&gt;"","07_动态状态","")</f>
        <v/>
      </c>
      <c r="D2592" s="14">
        <f>IF('07_动态状态'!A92&lt;&gt;"",'07_动态状态'!A92,"")</f>
        <v/>
      </c>
      <c r="E2592" s="14">
        <f>IF(F2592&lt;&gt;"","综合校验","")</f>
        <v/>
      </c>
      <c r="F2592" s="14">
        <f>IF('07_动态状态'!A92&lt;&gt;"",IF('07_动态状态'!A92="","缺少状态编码；","")&amp;IF('07_动态状态'!B92="","缺少状态名称；","")&amp;IF('07_动态状态'!C92="","缺少状态类别；","")&amp;IF(AND('07_动态状态'!A92&lt;&gt;"",COUNTIF('07_动态状态'!$A$2:$A$501,'07_动态状态'!A92)&gt;1),"ID重复；",""),"")</f>
        <v/>
      </c>
      <c r="G2592" s="14">
        <f>IF(F2592&lt;&gt;"","按字段批注、数据字典和来源记录修正后复核","")</f>
        <v/>
      </c>
      <c r="H2592" s="14">
        <f>IF(F2592&lt;&gt;"","待处理","")</f>
        <v/>
      </c>
    </row>
    <row r="2593">
      <c r="A2593" s="14">
        <f>IF(F2593&lt;&gt;"","ISSUE-"&amp;TEXT(ROW()-1,"00000"),"")</f>
        <v/>
      </c>
      <c r="B2593" s="14">
        <f>IF(F2593&lt;&gt;"","错误","")</f>
        <v/>
      </c>
      <c r="C2593" s="14">
        <f>IF('07_动态状态'!A93&lt;&gt;"","07_动态状态","")</f>
        <v/>
      </c>
      <c r="D2593" s="14">
        <f>IF('07_动态状态'!A93&lt;&gt;"",'07_动态状态'!A93,"")</f>
        <v/>
      </c>
      <c r="E2593" s="14">
        <f>IF(F2593&lt;&gt;"","综合校验","")</f>
        <v/>
      </c>
      <c r="F2593" s="14">
        <f>IF('07_动态状态'!A93&lt;&gt;"",IF('07_动态状态'!A93="","缺少状态编码；","")&amp;IF('07_动态状态'!B93="","缺少状态名称；","")&amp;IF('07_动态状态'!C93="","缺少状态类别；","")&amp;IF(AND('07_动态状态'!A93&lt;&gt;"",COUNTIF('07_动态状态'!$A$2:$A$501,'07_动态状态'!A93)&gt;1),"ID重复；",""),"")</f>
        <v/>
      </c>
      <c r="G2593" s="14">
        <f>IF(F2593&lt;&gt;"","按字段批注、数据字典和来源记录修正后复核","")</f>
        <v/>
      </c>
      <c r="H2593" s="14">
        <f>IF(F2593&lt;&gt;"","待处理","")</f>
        <v/>
      </c>
    </row>
    <row r="2594">
      <c r="A2594" s="14">
        <f>IF(F2594&lt;&gt;"","ISSUE-"&amp;TEXT(ROW()-1,"00000"),"")</f>
        <v/>
      </c>
      <c r="B2594" s="14">
        <f>IF(F2594&lt;&gt;"","错误","")</f>
        <v/>
      </c>
      <c r="C2594" s="14">
        <f>IF('07_动态状态'!A94&lt;&gt;"","07_动态状态","")</f>
        <v/>
      </c>
      <c r="D2594" s="14">
        <f>IF('07_动态状态'!A94&lt;&gt;"",'07_动态状态'!A94,"")</f>
        <v/>
      </c>
      <c r="E2594" s="14">
        <f>IF(F2594&lt;&gt;"","综合校验","")</f>
        <v/>
      </c>
      <c r="F2594" s="14">
        <f>IF('07_动态状态'!A94&lt;&gt;"",IF('07_动态状态'!A94="","缺少状态编码；","")&amp;IF('07_动态状态'!B94="","缺少状态名称；","")&amp;IF('07_动态状态'!C94="","缺少状态类别；","")&amp;IF(AND('07_动态状态'!A94&lt;&gt;"",COUNTIF('07_动态状态'!$A$2:$A$501,'07_动态状态'!A94)&gt;1),"ID重复；",""),"")</f>
        <v/>
      </c>
      <c r="G2594" s="14">
        <f>IF(F2594&lt;&gt;"","按字段批注、数据字典和来源记录修正后复核","")</f>
        <v/>
      </c>
      <c r="H2594" s="14">
        <f>IF(F2594&lt;&gt;"","待处理","")</f>
        <v/>
      </c>
    </row>
    <row r="2595">
      <c r="A2595" s="14">
        <f>IF(F2595&lt;&gt;"","ISSUE-"&amp;TEXT(ROW()-1,"00000"),"")</f>
        <v/>
      </c>
      <c r="B2595" s="14">
        <f>IF(F2595&lt;&gt;"","错误","")</f>
        <v/>
      </c>
      <c r="C2595" s="14">
        <f>IF('07_动态状态'!A95&lt;&gt;"","07_动态状态","")</f>
        <v/>
      </c>
      <c r="D2595" s="14">
        <f>IF('07_动态状态'!A95&lt;&gt;"",'07_动态状态'!A95,"")</f>
        <v/>
      </c>
      <c r="E2595" s="14">
        <f>IF(F2595&lt;&gt;"","综合校验","")</f>
        <v/>
      </c>
      <c r="F2595" s="14">
        <f>IF('07_动态状态'!A95&lt;&gt;"",IF('07_动态状态'!A95="","缺少状态编码；","")&amp;IF('07_动态状态'!B95="","缺少状态名称；","")&amp;IF('07_动态状态'!C95="","缺少状态类别；","")&amp;IF(AND('07_动态状态'!A95&lt;&gt;"",COUNTIF('07_动态状态'!$A$2:$A$501,'07_动态状态'!A95)&gt;1),"ID重复；",""),"")</f>
        <v/>
      </c>
      <c r="G2595" s="14">
        <f>IF(F2595&lt;&gt;"","按字段批注、数据字典和来源记录修正后复核","")</f>
        <v/>
      </c>
      <c r="H2595" s="14">
        <f>IF(F2595&lt;&gt;"","待处理","")</f>
        <v/>
      </c>
    </row>
    <row r="2596">
      <c r="A2596" s="14">
        <f>IF(F2596&lt;&gt;"","ISSUE-"&amp;TEXT(ROW()-1,"00000"),"")</f>
        <v/>
      </c>
      <c r="B2596" s="14">
        <f>IF(F2596&lt;&gt;"","错误","")</f>
        <v/>
      </c>
      <c r="C2596" s="14">
        <f>IF('07_动态状态'!A96&lt;&gt;"","07_动态状态","")</f>
        <v/>
      </c>
      <c r="D2596" s="14">
        <f>IF('07_动态状态'!A96&lt;&gt;"",'07_动态状态'!A96,"")</f>
        <v/>
      </c>
      <c r="E2596" s="14">
        <f>IF(F2596&lt;&gt;"","综合校验","")</f>
        <v/>
      </c>
      <c r="F2596" s="14">
        <f>IF('07_动态状态'!A96&lt;&gt;"",IF('07_动态状态'!A96="","缺少状态编码；","")&amp;IF('07_动态状态'!B96="","缺少状态名称；","")&amp;IF('07_动态状态'!C96="","缺少状态类别；","")&amp;IF(AND('07_动态状态'!A96&lt;&gt;"",COUNTIF('07_动态状态'!$A$2:$A$501,'07_动态状态'!A96)&gt;1),"ID重复；",""),"")</f>
        <v/>
      </c>
      <c r="G2596" s="14">
        <f>IF(F2596&lt;&gt;"","按字段批注、数据字典和来源记录修正后复核","")</f>
        <v/>
      </c>
      <c r="H2596" s="14">
        <f>IF(F2596&lt;&gt;"","待处理","")</f>
        <v/>
      </c>
    </row>
    <row r="2597">
      <c r="A2597" s="14">
        <f>IF(F2597&lt;&gt;"","ISSUE-"&amp;TEXT(ROW()-1,"00000"),"")</f>
        <v/>
      </c>
      <c r="B2597" s="14">
        <f>IF(F2597&lt;&gt;"","错误","")</f>
        <v/>
      </c>
      <c r="C2597" s="14">
        <f>IF('07_动态状态'!A97&lt;&gt;"","07_动态状态","")</f>
        <v/>
      </c>
      <c r="D2597" s="14">
        <f>IF('07_动态状态'!A97&lt;&gt;"",'07_动态状态'!A97,"")</f>
        <v/>
      </c>
      <c r="E2597" s="14">
        <f>IF(F2597&lt;&gt;"","综合校验","")</f>
        <v/>
      </c>
      <c r="F2597" s="14">
        <f>IF('07_动态状态'!A97&lt;&gt;"",IF('07_动态状态'!A97="","缺少状态编码；","")&amp;IF('07_动态状态'!B97="","缺少状态名称；","")&amp;IF('07_动态状态'!C97="","缺少状态类别；","")&amp;IF(AND('07_动态状态'!A97&lt;&gt;"",COUNTIF('07_动态状态'!$A$2:$A$501,'07_动态状态'!A97)&gt;1),"ID重复；",""),"")</f>
        <v/>
      </c>
      <c r="G2597" s="14">
        <f>IF(F2597&lt;&gt;"","按字段批注、数据字典和来源记录修正后复核","")</f>
        <v/>
      </c>
      <c r="H2597" s="14">
        <f>IF(F2597&lt;&gt;"","待处理","")</f>
        <v/>
      </c>
    </row>
    <row r="2598">
      <c r="A2598" s="14">
        <f>IF(F2598&lt;&gt;"","ISSUE-"&amp;TEXT(ROW()-1,"00000"),"")</f>
        <v/>
      </c>
      <c r="B2598" s="14">
        <f>IF(F2598&lt;&gt;"","错误","")</f>
        <v/>
      </c>
      <c r="C2598" s="14">
        <f>IF('07_动态状态'!A98&lt;&gt;"","07_动态状态","")</f>
        <v/>
      </c>
      <c r="D2598" s="14">
        <f>IF('07_动态状态'!A98&lt;&gt;"",'07_动态状态'!A98,"")</f>
        <v/>
      </c>
      <c r="E2598" s="14">
        <f>IF(F2598&lt;&gt;"","综合校验","")</f>
        <v/>
      </c>
      <c r="F2598" s="14">
        <f>IF('07_动态状态'!A98&lt;&gt;"",IF('07_动态状态'!A98="","缺少状态编码；","")&amp;IF('07_动态状态'!B98="","缺少状态名称；","")&amp;IF('07_动态状态'!C98="","缺少状态类别；","")&amp;IF(AND('07_动态状态'!A98&lt;&gt;"",COUNTIF('07_动态状态'!$A$2:$A$501,'07_动态状态'!A98)&gt;1),"ID重复；",""),"")</f>
        <v/>
      </c>
      <c r="G2598" s="14">
        <f>IF(F2598&lt;&gt;"","按字段批注、数据字典和来源记录修正后复核","")</f>
        <v/>
      </c>
      <c r="H2598" s="14">
        <f>IF(F2598&lt;&gt;"","待处理","")</f>
        <v/>
      </c>
    </row>
    <row r="2599">
      <c r="A2599" s="14">
        <f>IF(F2599&lt;&gt;"","ISSUE-"&amp;TEXT(ROW()-1,"00000"),"")</f>
        <v/>
      </c>
      <c r="B2599" s="14">
        <f>IF(F2599&lt;&gt;"","错误","")</f>
        <v/>
      </c>
      <c r="C2599" s="14">
        <f>IF('07_动态状态'!A99&lt;&gt;"","07_动态状态","")</f>
        <v/>
      </c>
      <c r="D2599" s="14">
        <f>IF('07_动态状态'!A99&lt;&gt;"",'07_动态状态'!A99,"")</f>
        <v/>
      </c>
      <c r="E2599" s="14">
        <f>IF(F2599&lt;&gt;"","综合校验","")</f>
        <v/>
      </c>
      <c r="F2599" s="14">
        <f>IF('07_动态状态'!A99&lt;&gt;"",IF('07_动态状态'!A99="","缺少状态编码；","")&amp;IF('07_动态状态'!B99="","缺少状态名称；","")&amp;IF('07_动态状态'!C99="","缺少状态类别；","")&amp;IF(AND('07_动态状态'!A99&lt;&gt;"",COUNTIF('07_动态状态'!$A$2:$A$501,'07_动态状态'!A99)&gt;1),"ID重复；",""),"")</f>
        <v/>
      </c>
      <c r="G2599" s="14">
        <f>IF(F2599&lt;&gt;"","按字段批注、数据字典和来源记录修正后复核","")</f>
        <v/>
      </c>
      <c r="H2599" s="14">
        <f>IF(F2599&lt;&gt;"","待处理","")</f>
        <v/>
      </c>
    </row>
    <row r="2600">
      <c r="A2600" s="14">
        <f>IF(F2600&lt;&gt;"","ISSUE-"&amp;TEXT(ROW()-1,"00000"),"")</f>
        <v/>
      </c>
      <c r="B2600" s="14">
        <f>IF(F2600&lt;&gt;"","错误","")</f>
        <v/>
      </c>
      <c r="C2600" s="14">
        <f>IF('07_动态状态'!A100&lt;&gt;"","07_动态状态","")</f>
        <v/>
      </c>
      <c r="D2600" s="14">
        <f>IF('07_动态状态'!A100&lt;&gt;"",'07_动态状态'!A100,"")</f>
        <v/>
      </c>
      <c r="E2600" s="14">
        <f>IF(F2600&lt;&gt;"","综合校验","")</f>
        <v/>
      </c>
      <c r="F2600" s="14">
        <f>IF('07_动态状态'!A100&lt;&gt;"",IF('07_动态状态'!A100="","缺少状态编码；","")&amp;IF('07_动态状态'!B100="","缺少状态名称；","")&amp;IF('07_动态状态'!C100="","缺少状态类别；","")&amp;IF(AND('07_动态状态'!A100&lt;&gt;"",COUNTIF('07_动态状态'!$A$2:$A$501,'07_动态状态'!A100)&gt;1),"ID重复；",""),"")</f>
        <v/>
      </c>
      <c r="G2600" s="14">
        <f>IF(F2600&lt;&gt;"","按字段批注、数据字典和来源记录修正后复核","")</f>
        <v/>
      </c>
      <c r="H2600" s="14">
        <f>IF(F2600&lt;&gt;"","待处理","")</f>
        <v/>
      </c>
    </row>
    <row r="2601">
      <c r="A2601" s="14">
        <f>IF(F2601&lt;&gt;"","ISSUE-"&amp;TEXT(ROW()-1,"00000"),"")</f>
        <v/>
      </c>
      <c r="B2601" s="14">
        <f>IF(F2601&lt;&gt;"","错误","")</f>
        <v/>
      </c>
      <c r="C2601" s="14">
        <f>IF('07_动态状态'!A101&lt;&gt;"","07_动态状态","")</f>
        <v/>
      </c>
      <c r="D2601" s="14">
        <f>IF('07_动态状态'!A101&lt;&gt;"",'07_动态状态'!A101,"")</f>
        <v/>
      </c>
      <c r="E2601" s="14">
        <f>IF(F2601&lt;&gt;"","综合校验","")</f>
        <v/>
      </c>
      <c r="F2601" s="14">
        <f>IF('07_动态状态'!A101&lt;&gt;"",IF('07_动态状态'!A101="","缺少状态编码；","")&amp;IF('07_动态状态'!B101="","缺少状态名称；","")&amp;IF('07_动态状态'!C101="","缺少状态类别；","")&amp;IF(AND('07_动态状态'!A101&lt;&gt;"",COUNTIF('07_动态状态'!$A$2:$A$501,'07_动态状态'!A101)&gt;1),"ID重复；",""),"")</f>
        <v/>
      </c>
      <c r="G2601" s="14">
        <f>IF(F2601&lt;&gt;"","按字段批注、数据字典和来源记录修正后复核","")</f>
        <v/>
      </c>
      <c r="H2601" s="14">
        <f>IF(F2601&lt;&gt;"","待处理","")</f>
        <v/>
      </c>
    </row>
    <row r="2602">
      <c r="A2602" s="14">
        <f>IF(F2602&lt;&gt;"","ISSUE-"&amp;TEXT(ROW()-1,"00000"),"")</f>
        <v/>
      </c>
      <c r="B2602" s="14">
        <f>IF(F2602&lt;&gt;"","错误","")</f>
        <v/>
      </c>
      <c r="C2602" s="14">
        <f>IF('07_动态状态'!A102&lt;&gt;"","07_动态状态","")</f>
        <v/>
      </c>
      <c r="D2602" s="14">
        <f>IF('07_动态状态'!A102&lt;&gt;"",'07_动态状态'!A102,"")</f>
        <v/>
      </c>
      <c r="E2602" s="14">
        <f>IF(F2602&lt;&gt;"","综合校验","")</f>
        <v/>
      </c>
      <c r="F2602" s="14">
        <f>IF('07_动态状态'!A102&lt;&gt;"",IF('07_动态状态'!A102="","缺少状态编码；","")&amp;IF('07_动态状态'!B102="","缺少状态名称；","")&amp;IF('07_动态状态'!C102="","缺少状态类别；","")&amp;IF(AND('07_动态状态'!A102&lt;&gt;"",COUNTIF('07_动态状态'!$A$2:$A$501,'07_动态状态'!A102)&gt;1),"ID重复；",""),"")</f>
        <v/>
      </c>
      <c r="G2602" s="14">
        <f>IF(F2602&lt;&gt;"","按字段批注、数据字典和来源记录修正后复核","")</f>
        <v/>
      </c>
      <c r="H2602" s="14">
        <f>IF(F2602&lt;&gt;"","待处理","")</f>
        <v/>
      </c>
    </row>
    <row r="2603">
      <c r="A2603" s="14">
        <f>IF(F2603&lt;&gt;"","ISSUE-"&amp;TEXT(ROW()-1,"00000"),"")</f>
        <v/>
      </c>
      <c r="B2603" s="14">
        <f>IF(F2603&lt;&gt;"","错误","")</f>
        <v/>
      </c>
      <c r="C2603" s="14">
        <f>IF('07_动态状态'!A103&lt;&gt;"","07_动态状态","")</f>
        <v/>
      </c>
      <c r="D2603" s="14">
        <f>IF('07_动态状态'!A103&lt;&gt;"",'07_动态状态'!A103,"")</f>
        <v/>
      </c>
      <c r="E2603" s="14">
        <f>IF(F2603&lt;&gt;"","综合校验","")</f>
        <v/>
      </c>
      <c r="F2603" s="14">
        <f>IF('07_动态状态'!A103&lt;&gt;"",IF('07_动态状态'!A103="","缺少状态编码；","")&amp;IF('07_动态状态'!B103="","缺少状态名称；","")&amp;IF('07_动态状态'!C103="","缺少状态类别；","")&amp;IF(AND('07_动态状态'!A103&lt;&gt;"",COUNTIF('07_动态状态'!$A$2:$A$501,'07_动态状态'!A103)&gt;1),"ID重复；",""),"")</f>
        <v/>
      </c>
      <c r="G2603" s="14">
        <f>IF(F2603&lt;&gt;"","按字段批注、数据字典和来源记录修正后复核","")</f>
        <v/>
      </c>
      <c r="H2603" s="14">
        <f>IF(F2603&lt;&gt;"","待处理","")</f>
        <v/>
      </c>
    </row>
    <row r="2604">
      <c r="A2604" s="14">
        <f>IF(F2604&lt;&gt;"","ISSUE-"&amp;TEXT(ROW()-1,"00000"),"")</f>
        <v/>
      </c>
      <c r="B2604" s="14">
        <f>IF(F2604&lt;&gt;"","错误","")</f>
        <v/>
      </c>
      <c r="C2604" s="14">
        <f>IF('07_动态状态'!A104&lt;&gt;"","07_动态状态","")</f>
        <v/>
      </c>
      <c r="D2604" s="14">
        <f>IF('07_动态状态'!A104&lt;&gt;"",'07_动态状态'!A104,"")</f>
        <v/>
      </c>
      <c r="E2604" s="14">
        <f>IF(F2604&lt;&gt;"","综合校验","")</f>
        <v/>
      </c>
      <c r="F2604" s="14">
        <f>IF('07_动态状态'!A104&lt;&gt;"",IF('07_动态状态'!A104="","缺少状态编码；","")&amp;IF('07_动态状态'!B104="","缺少状态名称；","")&amp;IF('07_动态状态'!C104="","缺少状态类别；","")&amp;IF(AND('07_动态状态'!A104&lt;&gt;"",COUNTIF('07_动态状态'!$A$2:$A$501,'07_动态状态'!A104)&gt;1),"ID重复；",""),"")</f>
        <v/>
      </c>
      <c r="G2604" s="14">
        <f>IF(F2604&lt;&gt;"","按字段批注、数据字典和来源记录修正后复核","")</f>
        <v/>
      </c>
      <c r="H2604" s="14">
        <f>IF(F2604&lt;&gt;"","待处理","")</f>
        <v/>
      </c>
    </row>
    <row r="2605">
      <c r="A2605" s="14">
        <f>IF(F2605&lt;&gt;"","ISSUE-"&amp;TEXT(ROW()-1,"00000"),"")</f>
        <v/>
      </c>
      <c r="B2605" s="14">
        <f>IF(F2605&lt;&gt;"","错误","")</f>
        <v/>
      </c>
      <c r="C2605" s="14">
        <f>IF('07_动态状态'!A105&lt;&gt;"","07_动态状态","")</f>
        <v/>
      </c>
      <c r="D2605" s="14">
        <f>IF('07_动态状态'!A105&lt;&gt;"",'07_动态状态'!A105,"")</f>
        <v/>
      </c>
      <c r="E2605" s="14">
        <f>IF(F2605&lt;&gt;"","综合校验","")</f>
        <v/>
      </c>
      <c r="F2605" s="14">
        <f>IF('07_动态状态'!A105&lt;&gt;"",IF('07_动态状态'!A105="","缺少状态编码；","")&amp;IF('07_动态状态'!B105="","缺少状态名称；","")&amp;IF('07_动态状态'!C105="","缺少状态类别；","")&amp;IF(AND('07_动态状态'!A105&lt;&gt;"",COUNTIF('07_动态状态'!$A$2:$A$501,'07_动态状态'!A105)&gt;1),"ID重复；",""),"")</f>
        <v/>
      </c>
      <c r="G2605" s="14">
        <f>IF(F2605&lt;&gt;"","按字段批注、数据字典和来源记录修正后复核","")</f>
        <v/>
      </c>
      <c r="H2605" s="14">
        <f>IF(F2605&lt;&gt;"","待处理","")</f>
        <v/>
      </c>
    </row>
    <row r="2606">
      <c r="A2606" s="14">
        <f>IF(F2606&lt;&gt;"","ISSUE-"&amp;TEXT(ROW()-1,"00000"),"")</f>
        <v/>
      </c>
      <c r="B2606" s="14">
        <f>IF(F2606&lt;&gt;"","错误","")</f>
        <v/>
      </c>
      <c r="C2606" s="14">
        <f>IF('07_动态状态'!A106&lt;&gt;"","07_动态状态","")</f>
        <v/>
      </c>
      <c r="D2606" s="14">
        <f>IF('07_动态状态'!A106&lt;&gt;"",'07_动态状态'!A106,"")</f>
        <v/>
      </c>
      <c r="E2606" s="14">
        <f>IF(F2606&lt;&gt;"","综合校验","")</f>
        <v/>
      </c>
      <c r="F2606" s="14">
        <f>IF('07_动态状态'!A106&lt;&gt;"",IF('07_动态状态'!A106="","缺少状态编码；","")&amp;IF('07_动态状态'!B106="","缺少状态名称；","")&amp;IF('07_动态状态'!C106="","缺少状态类别；","")&amp;IF(AND('07_动态状态'!A106&lt;&gt;"",COUNTIF('07_动态状态'!$A$2:$A$501,'07_动态状态'!A106)&gt;1),"ID重复；",""),"")</f>
        <v/>
      </c>
      <c r="G2606" s="14">
        <f>IF(F2606&lt;&gt;"","按字段批注、数据字典和来源记录修正后复核","")</f>
        <v/>
      </c>
      <c r="H2606" s="14">
        <f>IF(F2606&lt;&gt;"","待处理","")</f>
        <v/>
      </c>
    </row>
    <row r="2607">
      <c r="A2607" s="14">
        <f>IF(F2607&lt;&gt;"","ISSUE-"&amp;TEXT(ROW()-1,"00000"),"")</f>
        <v/>
      </c>
      <c r="B2607" s="14">
        <f>IF(F2607&lt;&gt;"","错误","")</f>
        <v/>
      </c>
      <c r="C2607" s="14">
        <f>IF('07_动态状态'!A107&lt;&gt;"","07_动态状态","")</f>
        <v/>
      </c>
      <c r="D2607" s="14">
        <f>IF('07_动态状态'!A107&lt;&gt;"",'07_动态状态'!A107,"")</f>
        <v/>
      </c>
      <c r="E2607" s="14">
        <f>IF(F2607&lt;&gt;"","综合校验","")</f>
        <v/>
      </c>
      <c r="F2607" s="14">
        <f>IF('07_动态状态'!A107&lt;&gt;"",IF('07_动态状态'!A107="","缺少状态编码；","")&amp;IF('07_动态状态'!B107="","缺少状态名称；","")&amp;IF('07_动态状态'!C107="","缺少状态类别；","")&amp;IF(AND('07_动态状态'!A107&lt;&gt;"",COUNTIF('07_动态状态'!$A$2:$A$501,'07_动态状态'!A107)&gt;1),"ID重复；",""),"")</f>
        <v/>
      </c>
      <c r="G2607" s="14">
        <f>IF(F2607&lt;&gt;"","按字段批注、数据字典和来源记录修正后复核","")</f>
        <v/>
      </c>
      <c r="H2607" s="14">
        <f>IF(F2607&lt;&gt;"","待处理","")</f>
        <v/>
      </c>
    </row>
    <row r="2608">
      <c r="A2608" s="14">
        <f>IF(F2608&lt;&gt;"","ISSUE-"&amp;TEXT(ROW()-1,"00000"),"")</f>
        <v/>
      </c>
      <c r="B2608" s="14">
        <f>IF(F2608&lt;&gt;"","错误","")</f>
        <v/>
      </c>
      <c r="C2608" s="14">
        <f>IF('07_动态状态'!A108&lt;&gt;"","07_动态状态","")</f>
        <v/>
      </c>
      <c r="D2608" s="14">
        <f>IF('07_动态状态'!A108&lt;&gt;"",'07_动态状态'!A108,"")</f>
        <v/>
      </c>
      <c r="E2608" s="14">
        <f>IF(F2608&lt;&gt;"","综合校验","")</f>
        <v/>
      </c>
      <c r="F2608" s="14">
        <f>IF('07_动态状态'!A108&lt;&gt;"",IF('07_动态状态'!A108="","缺少状态编码；","")&amp;IF('07_动态状态'!B108="","缺少状态名称；","")&amp;IF('07_动态状态'!C108="","缺少状态类别；","")&amp;IF(AND('07_动态状态'!A108&lt;&gt;"",COUNTIF('07_动态状态'!$A$2:$A$501,'07_动态状态'!A108)&gt;1),"ID重复；",""),"")</f>
        <v/>
      </c>
      <c r="G2608" s="14">
        <f>IF(F2608&lt;&gt;"","按字段批注、数据字典和来源记录修正后复核","")</f>
        <v/>
      </c>
      <c r="H2608" s="14">
        <f>IF(F2608&lt;&gt;"","待处理","")</f>
        <v/>
      </c>
    </row>
    <row r="2609">
      <c r="A2609" s="14">
        <f>IF(F2609&lt;&gt;"","ISSUE-"&amp;TEXT(ROW()-1,"00000"),"")</f>
        <v/>
      </c>
      <c r="B2609" s="14">
        <f>IF(F2609&lt;&gt;"","错误","")</f>
        <v/>
      </c>
      <c r="C2609" s="14">
        <f>IF('07_动态状态'!A109&lt;&gt;"","07_动态状态","")</f>
        <v/>
      </c>
      <c r="D2609" s="14">
        <f>IF('07_动态状态'!A109&lt;&gt;"",'07_动态状态'!A109,"")</f>
        <v/>
      </c>
      <c r="E2609" s="14">
        <f>IF(F2609&lt;&gt;"","综合校验","")</f>
        <v/>
      </c>
      <c r="F2609" s="14">
        <f>IF('07_动态状态'!A109&lt;&gt;"",IF('07_动态状态'!A109="","缺少状态编码；","")&amp;IF('07_动态状态'!B109="","缺少状态名称；","")&amp;IF('07_动态状态'!C109="","缺少状态类别；","")&amp;IF(AND('07_动态状态'!A109&lt;&gt;"",COUNTIF('07_动态状态'!$A$2:$A$501,'07_动态状态'!A109)&gt;1),"ID重复；",""),"")</f>
        <v/>
      </c>
      <c r="G2609" s="14">
        <f>IF(F2609&lt;&gt;"","按字段批注、数据字典和来源记录修正后复核","")</f>
        <v/>
      </c>
      <c r="H2609" s="14">
        <f>IF(F2609&lt;&gt;"","待处理","")</f>
        <v/>
      </c>
    </row>
    <row r="2610">
      <c r="A2610" s="14">
        <f>IF(F2610&lt;&gt;"","ISSUE-"&amp;TEXT(ROW()-1,"00000"),"")</f>
        <v/>
      </c>
      <c r="B2610" s="14">
        <f>IF(F2610&lt;&gt;"","错误","")</f>
        <v/>
      </c>
      <c r="C2610" s="14">
        <f>IF('07_动态状态'!A110&lt;&gt;"","07_动态状态","")</f>
        <v/>
      </c>
      <c r="D2610" s="14">
        <f>IF('07_动态状态'!A110&lt;&gt;"",'07_动态状态'!A110,"")</f>
        <v/>
      </c>
      <c r="E2610" s="14">
        <f>IF(F2610&lt;&gt;"","综合校验","")</f>
        <v/>
      </c>
      <c r="F2610" s="14">
        <f>IF('07_动态状态'!A110&lt;&gt;"",IF('07_动态状态'!A110="","缺少状态编码；","")&amp;IF('07_动态状态'!B110="","缺少状态名称；","")&amp;IF('07_动态状态'!C110="","缺少状态类别；","")&amp;IF(AND('07_动态状态'!A110&lt;&gt;"",COUNTIF('07_动态状态'!$A$2:$A$501,'07_动态状态'!A110)&gt;1),"ID重复；",""),"")</f>
        <v/>
      </c>
      <c r="G2610" s="14">
        <f>IF(F2610&lt;&gt;"","按字段批注、数据字典和来源记录修正后复核","")</f>
        <v/>
      </c>
      <c r="H2610" s="14">
        <f>IF(F2610&lt;&gt;"","待处理","")</f>
        <v/>
      </c>
    </row>
    <row r="2611">
      <c r="A2611" s="14">
        <f>IF(F2611&lt;&gt;"","ISSUE-"&amp;TEXT(ROW()-1,"00000"),"")</f>
        <v/>
      </c>
      <c r="B2611" s="14">
        <f>IF(F2611&lt;&gt;"","错误","")</f>
        <v/>
      </c>
      <c r="C2611" s="14">
        <f>IF('07_动态状态'!A111&lt;&gt;"","07_动态状态","")</f>
        <v/>
      </c>
      <c r="D2611" s="14">
        <f>IF('07_动态状态'!A111&lt;&gt;"",'07_动态状态'!A111,"")</f>
        <v/>
      </c>
      <c r="E2611" s="14">
        <f>IF(F2611&lt;&gt;"","综合校验","")</f>
        <v/>
      </c>
      <c r="F2611" s="14">
        <f>IF('07_动态状态'!A111&lt;&gt;"",IF('07_动态状态'!A111="","缺少状态编码；","")&amp;IF('07_动态状态'!B111="","缺少状态名称；","")&amp;IF('07_动态状态'!C111="","缺少状态类别；","")&amp;IF(AND('07_动态状态'!A111&lt;&gt;"",COUNTIF('07_动态状态'!$A$2:$A$501,'07_动态状态'!A111)&gt;1),"ID重复；",""),"")</f>
        <v/>
      </c>
      <c r="G2611" s="14">
        <f>IF(F2611&lt;&gt;"","按字段批注、数据字典和来源记录修正后复核","")</f>
        <v/>
      </c>
      <c r="H2611" s="14">
        <f>IF(F2611&lt;&gt;"","待处理","")</f>
        <v/>
      </c>
    </row>
    <row r="2612">
      <c r="A2612" s="14">
        <f>IF(F2612&lt;&gt;"","ISSUE-"&amp;TEXT(ROW()-1,"00000"),"")</f>
        <v/>
      </c>
      <c r="B2612" s="14">
        <f>IF(F2612&lt;&gt;"","错误","")</f>
        <v/>
      </c>
      <c r="C2612" s="14">
        <f>IF('07_动态状态'!A112&lt;&gt;"","07_动态状态","")</f>
        <v/>
      </c>
      <c r="D2612" s="14">
        <f>IF('07_动态状态'!A112&lt;&gt;"",'07_动态状态'!A112,"")</f>
        <v/>
      </c>
      <c r="E2612" s="14">
        <f>IF(F2612&lt;&gt;"","综合校验","")</f>
        <v/>
      </c>
      <c r="F2612" s="14">
        <f>IF('07_动态状态'!A112&lt;&gt;"",IF('07_动态状态'!A112="","缺少状态编码；","")&amp;IF('07_动态状态'!B112="","缺少状态名称；","")&amp;IF('07_动态状态'!C112="","缺少状态类别；","")&amp;IF(AND('07_动态状态'!A112&lt;&gt;"",COUNTIF('07_动态状态'!$A$2:$A$501,'07_动态状态'!A112)&gt;1),"ID重复；",""),"")</f>
        <v/>
      </c>
      <c r="G2612" s="14">
        <f>IF(F2612&lt;&gt;"","按字段批注、数据字典和来源记录修正后复核","")</f>
        <v/>
      </c>
      <c r="H2612" s="14">
        <f>IF(F2612&lt;&gt;"","待处理","")</f>
        <v/>
      </c>
    </row>
    <row r="2613">
      <c r="A2613" s="14">
        <f>IF(F2613&lt;&gt;"","ISSUE-"&amp;TEXT(ROW()-1,"00000"),"")</f>
        <v/>
      </c>
      <c r="B2613" s="14">
        <f>IF(F2613&lt;&gt;"","错误","")</f>
        <v/>
      </c>
      <c r="C2613" s="14">
        <f>IF('07_动态状态'!A113&lt;&gt;"","07_动态状态","")</f>
        <v/>
      </c>
      <c r="D2613" s="14">
        <f>IF('07_动态状态'!A113&lt;&gt;"",'07_动态状态'!A113,"")</f>
        <v/>
      </c>
      <c r="E2613" s="14">
        <f>IF(F2613&lt;&gt;"","综合校验","")</f>
        <v/>
      </c>
      <c r="F2613" s="14">
        <f>IF('07_动态状态'!A113&lt;&gt;"",IF('07_动态状态'!A113="","缺少状态编码；","")&amp;IF('07_动态状态'!B113="","缺少状态名称；","")&amp;IF('07_动态状态'!C113="","缺少状态类别；","")&amp;IF(AND('07_动态状态'!A113&lt;&gt;"",COUNTIF('07_动态状态'!$A$2:$A$501,'07_动态状态'!A113)&gt;1),"ID重复；",""),"")</f>
        <v/>
      </c>
      <c r="G2613" s="14">
        <f>IF(F2613&lt;&gt;"","按字段批注、数据字典和来源记录修正后复核","")</f>
        <v/>
      </c>
      <c r="H2613" s="14">
        <f>IF(F2613&lt;&gt;"","待处理","")</f>
        <v/>
      </c>
    </row>
    <row r="2614">
      <c r="A2614" s="14">
        <f>IF(F2614&lt;&gt;"","ISSUE-"&amp;TEXT(ROW()-1,"00000"),"")</f>
        <v/>
      </c>
      <c r="B2614" s="14">
        <f>IF(F2614&lt;&gt;"","错误","")</f>
        <v/>
      </c>
      <c r="C2614" s="14">
        <f>IF('07_动态状态'!A114&lt;&gt;"","07_动态状态","")</f>
        <v/>
      </c>
      <c r="D2614" s="14">
        <f>IF('07_动态状态'!A114&lt;&gt;"",'07_动态状态'!A114,"")</f>
        <v/>
      </c>
      <c r="E2614" s="14">
        <f>IF(F2614&lt;&gt;"","综合校验","")</f>
        <v/>
      </c>
      <c r="F2614" s="14">
        <f>IF('07_动态状态'!A114&lt;&gt;"",IF('07_动态状态'!A114="","缺少状态编码；","")&amp;IF('07_动态状态'!B114="","缺少状态名称；","")&amp;IF('07_动态状态'!C114="","缺少状态类别；","")&amp;IF(AND('07_动态状态'!A114&lt;&gt;"",COUNTIF('07_动态状态'!$A$2:$A$501,'07_动态状态'!A114)&gt;1),"ID重复；",""),"")</f>
        <v/>
      </c>
      <c r="G2614" s="14">
        <f>IF(F2614&lt;&gt;"","按字段批注、数据字典和来源记录修正后复核","")</f>
        <v/>
      </c>
      <c r="H2614" s="14">
        <f>IF(F2614&lt;&gt;"","待处理","")</f>
        <v/>
      </c>
    </row>
    <row r="2615">
      <c r="A2615" s="14">
        <f>IF(F2615&lt;&gt;"","ISSUE-"&amp;TEXT(ROW()-1,"00000"),"")</f>
        <v/>
      </c>
      <c r="B2615" s="14">
        <f>IF(F2615&lt;&gt;"","错误","")</f>
        <v/>
      </c>
      <c r="C2615" s="14">
        <f>IF('07_动态状态'!A115&lt;&gt;"","07_动态状态","")</f>
        <v/>
      </c>
      <c r="D2615" s="14">
        <f>IF('07_动态状态'!A115&lt;&gt;"",'07_动态状态'!A115,"")</f>
        <v/>
      </c>
      <c r="E2615" s="14">
        <f>IF(F2615&lt;&gt;"","综合校验","")</f>
        <v/>
      </c>
      <c r="F2615" s="14">
        <f>IF('07_动态状态'!A115&lt;&gt;"",IF('07_动态状态'!A115="","缺少状态编码；","")&amp;IF('07_动态状态'!B115="","缺少状态名称；","")&amp;IF('07_动态状态'!C115="","缺少状态类别；","")&amp;IF(AND('07_动态状态'!A115&lt;&gt;"",COUNTIF('07_动态状态'!$A$2:$A$501,'07_动态状态'!A115)&gt;1),"ID重复；",""),"")</f>
        <v/>
      </c>
      <c r="G2615" s="14">
        <f>IF(F2615&lt;&gt;"","按字段批注、数据字典和来源记录修正后复核","")</f>
        <v/>
      </c>
      <c r="H2615" s="14">
        <f>IF(F2615&lt;&gt;"","待处理","")</f>
        <v/>
      </c>
    </row>
    <row r="2616">
      <c r="A2616" s="14">
        <f>IF(F2616&lt;&gt;"","ISSUE-"&amp;TEXT(ROW()-1,"00000"),"")</f>
        <v/>
      </c>
      <c r="B2616" s="14">
        <f>IF(F2616&lt;&gt;"","错误","")</f>
        <v/>
      </c>
      <c r="C2616" s="14">
        <f>IF('07_动态状态'!A116&lt;&gt;"","07_动态状态","")</f>
        <v/>
      </c>
      <c r="D2616" s="14">
        <f>IF('07_动态状态'!A116&lt;&gt;"",'07_动态状态'!A116,"")</f>
        <v/>
      </c>
      <c r="E2616" s="14">
        <f>IF(F2616&lt;&gt;"","综合校验","")</f>
        <v/>
      </c>
      <c r="F2616" s="14">
        <f>IF('07_动态状态'!A116&lt;&gt;"",IF('07_动态状态'!A116="","缺少状态编码；","")&amp;IF('07_动态状态'!B116="","缺少状态名称；","")&amp;IF('07_动态状态'!C116="","缺少状态类别；","")&amp;IF(AND('07_动态状态'!A116&lt;&gt;"",COUNTIF('07_动态状态'!$A$2:$A$501,'07_动态状态'!A116)&gt;1),"ID重复；",""),"")</f>
        <v/>
      </c>
      <c r="G2616" s="14">
        <f>IF(F2616&lt;&gt;"","按字段批注、数据字典和来源记录修正后复核","")</f>
        <v/>
      </c>
      <c r="H2616" s="14">
        <f>IF(F2616&lt;&gt;"","待处理","")</f>
        <v/>
      </c>
    </row>
    <row r="2617">
      <c r="A2617" s="14">
        <f>IF(F2617&lt;&gt;"","ISSUE-"&amp;TEXT(ROW()-1,"00000"),"")</f>
        <v/>
      </c>
      <c r="B2617" s="14">
        <f>IF(F2617&lt;&gt;"","错误","")</f>
        <v/>
      </c>
      <c r="C2617" s="14">
        <f>IF('07_动态状态'!A117&lt;&gt;"","07_动态状态","")</f>
        <v/>
      </c>
      <c r="D2617" s="14">
        <f>IF('07_动态状态'!A117&lt;&gt;"",'07_动态状态'!A117,"")</f>
        <v/>
      </c>
      <c r="E2617" s="14">
        <f>IF(F2617&lt;&gt;"","综合校验","")</f>
        <v/>
      </c>
      <c r="F2617" s="14">
        <f>IF('07_动态状态'!A117&lt;&gt;"",IF('07_动态状态'!A117="","缺少状态编码；","")&amp;IF('07_动态状态'!B117="","缺少状态名称；","")&amp;IF('07_动态状态'!C117="","缺少状态类别；","")&amp;IF(AND('07_动态状态'!A117&lt;&gt;"",COUNTIF('07_动态状态'!$A$2:$A$501,'07_动态状态'!A117)&gt;1),"ID重复；",""),"")</f>
        <v/>
      </c>
      <c r="G2617" s="14">
        <f>IF(F2617&lt;&gt;"","按字段批注、数据字典和来源记录修正后复核","")</f>
        <v/>
      </c>
      <c r="H2617" s="14">
        <f>IF(F2617&lt;&gt;"","待处理","")</f>
        <v/>
      </c>
    </row>
    <row r="2618">
      <c r="A2618" s="14">
        <f>IF(F2618&lt;&gt;"","ISSUE-"&amp;TEXT(ROW()-1,"00000"),"")</f>
        <v/>
      </c>
      <c r="B2618" s="14">
        <f>IF(F2618&lt;&gt;"","错误","")</f>
        <v/>
      </c>
      <c r="C2618" s="14">
        <f>IF('07_动态状态'!A118&lt;&gt;"","07_动态状态","")</f>
        <v/>
      </c>
      <c r="D2618" s="14">
        <f>IF('07_动态状态'!A118&lt;&gt;"",'07_动态状态'!A118,"")</f>
        <v/>
      </c>
      <c r="E2618" s="14">
        <f>IF(F2618&lt;&gt;"","综合校验","")</f>
        <v/>
      </c>
      <c r="F2618" s="14">
        <f>IF('07_动态状态'!A118&lt;&gt;"",IF('07_动态状态'!A118="","缺少状态编码；","")&amp;IF('07_动态状态'!B118="","缺少状态名称；","")&amp;IF('07_动态状态'!C118="","缺少状态类别；","")&amp;IF(AND('07_动态状态'!A118&lt;&gt;"",COUNTIF('07_动态状态'!$A$2:$A$501,'07_动态状态'!A118)&gt;1),"ID重复；",""),"")</f>
        <v/>
      </c>
      <c r="G2618" s="14">
        <f>IF(F2618&lt;&gt;"","按字段批注、数据字典和来源记录修正后复核","")</f>
        <v/>
      </c>
      <c r="H2618" s="14">
        <f>IF(F2618&lt;&gt;"","待处理","")</f>
        <v/>
      </c>
    </row>
    <row r="2619">
      <c r="A2619" s="14">
        <f>IF(F2619&lt;&gt;"","ISSUE-"&amp;TEXT(ROW()-1,"00000"),"")</f>
        <v/>
      </c>
      <c r="B2619" s="14">
        <f>IF(F2619&lt;&gt;"","错误","")</f>
        <v/>
      </c>
      <c r="C2619" s="14">
        <f>IF('07_动态状态'!A119&lt;&gt;"","07_动态状态","")</f>
        <v/>
      </c>
      <c r="D2619" s="14">
        <f>IF('07_动态状态'!A119&lt;&gt;"",'07_动态状态'!A119,"")</f>
        <v/>
      </c>
      <c r="E2619" s="14">
        <f>IF(F2619&lt;&gt;"","综合校验","")</f>
        <v/>
      </c>
      <c r="F2619" s="14">
        <f>IF('07_动态状态'!A119&lt;&gt;"",IF('07_动态状态'!A119="","缺少状态编码；","")&amp;IF('07_动态状态'!B119="","缺少状态名称；","")&amp;IF('07_动态状态'!C119="","缺少状态类别；","")&amp;IF(AND('07_动态状态'!A119&lt;&gt;"",COUNTIF('07_动态状态'!$A$2:$A$501,'07_动态状态'!A119)&gt;1),"ID重复；",""),"")</f>
        <v/>
      </c>
      <c r="G2619" s="14">
        <f>IF(F2619&lt;&gt;"","按字段批注、数据字典和来源记录修正后复核","")</f>
        <v/>
      </c>
      <c r="H2619" s="14">
        <f>IF(F2619&lt;&gt;"","待处理","")</f>
        <v/>
      </c>
    </row>
    <row r="2620">
      <c r="A2620" s="14">
        <f>IF(F2620&lt;&gt;"","ISSUE-"&amp;TEXT(ROW()-1,"00000"),"")</f>
        <v/>
      </c>
      <c r="B2620" s="14">
        <f>IF(F2620&lt;&gt;"","错误","")</f>
        <v/>
      </c>
      <c r="C2620" s="14">
        <f>IF('07_动态状态'!A120&lt;&gt;"","07_动态状态","")</f>
        <v/>
      </c>
      <c r="D2620" s="14">
        <f>IF('07_动态状态'!A120&lt;&gt;"",'07_动态状态'!A120,"")</f>
        <v/>
      </c>
      <c r="E2620" s="14">
        <f>IF(F2620&lt;&gt;"","综合校验","")</f>
        <v/>
      </c>
      <c r="F2620" s="14">
        <f>IF('07_动态状态'!A120&lt;&gt;"",IF('07_动态状态'!A120="","缺少状态编码；","")&amp;IF('07_动态状态'!B120="","缺少状态名称；","")&amp;IF('07_动态状态'!C120="","缺少状态类别；","")&amp;IF(AND('07_动态状态'!A120&lt;&gt;"",COUNTIF('07_动态状态'!$A$2:$A$501,'07_动态状态'!A120)&gt;1),"ID重复；",""),"")</f>
        <v/>
      </c>
      <c r="G2620" s="14">
        <f>IF(F2620&lt;&gt;"","按字段批注、数据字典和来源记录修正后复核","")</f>
        <v/>
      </c>
      <c r="H2620" s="14">
        <f>IF(F2620&lt;&gt;"","待处理","")</f>
        <v/>
      </c>
    </row>
    <row r="2621">
      <c r="A2621" s="14">
        <f>IF(F2621&lt;&gt;"","ISSUE-"&amp;TEXT(ROW()-1,"00000"),"")</f>
        <v/>
      </c>
      <c r="B2621" s="14">
        <f>IF(F2621&lt;&gt;"","错误","")</f>
        <v/>
      </c>
      <c r="C2621" s="14">
        <f>IF('07_动态状态'!A121&lt;&gt;"","07_动态状态","")</f>
        <v/>
      </c>
      <c r="D2621" s="14">
        <f>IF('07_动态状态'!A121&lt;&gt;"",'07_动态状态'!A121,"")</f>
        <v/>
      </c>
      <c r="E2621" s="14">
        <f>IF(F2621&lt;&gt;"","综合校验","")</f>
        <v/>
      </c>
      <c r="F2621" s="14">
        <f>IF('07_动态状态'!A121&lt;&gt;"",IF('07_动态状态'!A121="","缺少状态编码；","")&amp;IF('07_动态状态'!B121="","缺少状态名称；","")&amp;IF('07_动态状态'!C121="","缺少状态类别；","")&amp;IF(AND('07_动态状态'!A121&lt;&gt;"",COUNTIF('07_动态状态'!$A$2:$A$501,'07_动态状态'!A121)&gt;1),"ID重复；",""),"")</f>
        <v/>
      </c>
      <c r="G2621" s="14">
        <f>IF(F2621&lt;&gt;"","按字段批注、数据字典和来源记录修正后复核","")</f>
        <v/>
      </c>
      <c r="H2621" s="14">
        <f>IF(F2621&lt;&gt;"","待处理","")</f>
        <v/>
      </c>
    </row>
    <row r="2622">
      <c r="A2622" s="14">
        <f>IF(F2622&lt;&gt;"","ISSUE-"&amp;TEXT(ROW()-1,"00000"),"")</f>
        <v/>
      </c>
      <c r="B2622" s="14">
        <f>IF(F2622&lt;&gt;"","错误","")</f>
        <v/>
      </c>
      <c r="C2622" s="14">
        <f>IF('07_动态状态'!A122&lt;&gt;"","07_动态状态","")</f>
        <v/>
      </c>
      <c r="D2622" s="14">
        <f>IF('07_动态状态'!A122&lt;&gt;"",'07_动态状态'!A122,"")</f>
        <v/>
      </c>
      <c r="E2622" s="14">
        <f>IF(F2622&lt;&gt;"","综合校验","")</f>
        <v/>
      </c>
      <c r="F2622" s="14">
        <f>IF('07_动态状态'!A122&lt;&gt;"",IF('07_动态状态'!A122="","缺少状态编码；","")&amp;IF('07_动态状态'!B122="","缺少状态名称；","")&amp;IF('07_动态状态'!C122="","缺少状态类别；","")&amp;IF(AND('07_动态状态'!A122&lt;&gt;"",COUNTIF('07_动态状态'!$A$2:$A$501,'07_动态状态'!A122)&gt;1),"ID重复；",""),"")</f>
        <v/>
      </c>
      <c r="G2622" s="14">
        <f>IF(F2622&lt;&gt;"","按字段批注、数据字典和来源记录修正后复核","")</f>
        <v/>
      </c>
      <c r="H2622" s="14">
        <f>IF(F2622&lt;&gt;"","待处理","")</f>
        <v/>
      </c>
    </row>
    <row r="2623">
      <c r="A2623" s="14">
        <f>IF(F2623&lt;&gt;"","ISSUE-"&amp;TEXT(ROW()-1,"00000"),"")</f>
        <v/>
      </c>
      <c r="B2623" s="14">
        <f>IF(F2623&lt;&gt;"","错误","")</f>
        <v/>
      </c>
      <c r="C2623" s="14">
        <f>IF('07_动态状态'!A123&lt;&gt;"","07_动态状态","")</f>
        <v/>
      </c>
      <c r="D2623" s="14">
        <f>IF('07_动态状态'!A123&lt;&gt;"",'07_动态状态'!A123,"")</f>
        <v/>
      </c>
      <c r="E2623" s="14">
        <f>IF(F2623&lt;&gt;"","综合校验","")</f>
        <v/>
      </c>
      <c r="F2623" s="14">
        <f>IF('07_动态状态'!A123&lt;&gt;"",IF('07_动态状态'!A123="","缺少状态编码；","")&amp;IF('07_动态状态'!B123="","缺少状态名称；","")&amp;IF('07_动态状态'!C123="","缺少状态类别；","")&amp;IF(AND('07_动态状态'!A123&lt;&gt;"",COUNTIF('07_动态状态'!$A$2:$A$501,'07_动态状态'!A123)&gt;1),"ID重复；",""),"")</f>
        <v/>
      </c>
      <c r="G2623" s="14">
        <f>IF(F2623&lt;&gt;"","按字段批注、数据字典和来源记录修正后复核","")</f>
        <v/>
      </c>
      <c r="H2623" s="14">
        <f>IF(F2623&lt;&gt;"","待处理","")</f>
        <v/>
      </c>
    </row>
    <row r="2624">
      <c r="A2624" s="14">
        <f>IF(F2624&lt;&gt;"","ISSUE-"&amp;TEXT(ROW()-1,"00000"),"")</f>
        <v/>
      </c>
      <c r="B2624" s="14">
        <f>IF(F2624&lt;&gt;"","错误","")</f>
        <v/>
      </c>
      <c r="C2624" s="14">
        <f>IF('07_动态状态'!A124&lt;&gt;"","07_动态状态","")</f>
        <v/>
      </c>
      <c r="D2624" s="14">
        <f>IF('07_动态状态'!A124&lt;&gt;"",'07_动态状态'!A124,"")</f>
        <v/>
      </c>
      <c r="E2624" s="14">
        <f>IF(F2624&lt;&gt;"","综合校验","")</f>
        <v/>
      </c>
      <c r="F2624" s="14">
        <f>IF('07_动态状态'!A124&lt;&gt;"",IF('07_动态状态'!A124="","缺少状态编码；","")&amp;IF('07_动态状态'!B124="","缺少状态名称；","")&amp;IF('07_动态状态'!C124="","缺少状态类别；","")&amp;IF(AND('07_动态状态'!A124&lt;&gt;"",COUNTIF('07_动态状态'!$A$2:$A$501,'07_动态状态'!A124)&gt;1),"ID重复；",""),"")</f>
        <v/>
      </c>
      <c r="G2624" s="14">
        <f>IF(F2624&lt;&gt;"","按字段批注、数据字典和来源记录修正后复核","")</f>
        <v/>
      </c>
      <c r="H2624" s="14">
        <f>IF(F2624&lt;&gt;"","待处理","")</f>
        <v/>
      </c>
    </row>
    <row r="2625">
      <c r="A2625" s="14">
        <f>IF(F2625&lt;&gt;"","ISSUE-"&amp;TEXT(ROW()-1,"00000"),"")</f>
        <v/>
      </c>
      <c r="B2625" s="14">
        <f>IF(F2625&lt;&gt;"","错误","")</f>
        <v/>
      </c>
      <c r="C2625" s="14">
        <f>IF('07_动态状态'!A125&lt;&gt;"","07_动态状态","")</f>
        <v/>
      </c>
      <c r="D2625" s="14">
        <f>IF('07_动态状态'!A125&lt;&gt;"",'07_动态状态'!A125,"")</f>
        <v/>
      </c>
      <c r="E2625" s="14">
        <f>IF(F2625&lt;&gt;"","综合校验","")</f>
        <v/>
      </c>
      <c r="F2625" s="14">
        <f>IF('07_动态状态'!A125&lt;&gt;"",IF('07_动态状态'!A125="","缺少状态编码；","")&amp;IF('07_动态状态'!B125="","缺少状态名称；","")&amp;IF('07_动态状态'!C125="","缺少状态类别；","")&amp;IF(AND('07_动态状态'!A125&lt;&gt;"",COUNTIF('07_动态状态'!$A$2:$A$501,'07_动态状态'!A125)&gt;1),"ID重复；",""),"")</f>
        <v/>
      </c>
      <c r="G2625" s="14">
        <f>IF(F2625&lt;&gt;"","按字段批注、数据字典和来源记录修正后复核","")</f>
        <v/>
      </c>
      <c r="H2625" s="14">
        <f>IF(F2625&lt;&gt;"","待处理","")</f>
        <v/>
      </c>
    </row>
    <row r="2626">
      <c r="A2626" s="14">
        <f>IF(F2626&lt;&gt;"","ISSUE-"&amp;TEXT(ROW()-1,"00000"),"")</f>
        <v/>
      </c>
      <c r="B2626" s="14">
        <f>IF(F2626&lt;&gt;"","错误","")</f>
        <v/>
      </c>
      <c r="C2626" s="14">
        <f>IF('07_动态状态'!A126&lt;&gt;"","07_动态状态","")</f>
        <v/>
      </c>
      <c r="D2626" s="14">
        <f>IF('07_动态状态'!A126&lt;&gt;"",'07_动态状态'!A126,"")</f>
        <v/>
      </c>
      <c r="E2626" s="14">
        <f>IF(F2626&lt;&gt;"","综合校验","")</f>
        <v/>
      </c>
      <c r="F2626" s="14">
        <f>IF('07_动态状态'!A126&lt;&gt;"",IF('07_动态状态'!A126="","缺少状态编码；","")&amp;IF('07_动态状态'!B126="","缺少状态名称；","")&amp;IF('07_动态状态'!C126="","缺少状态类别；","")&amp;IF(AND('07_动态状态'!A126&lt;&gt;"",COUNTIF('07_动态状态'!$A$2:$A$501,'07_动态状态'!A126)&gt;1),"ID重复；",""),"")</f>
        <v/>
      </c>
      <c r="G2626" s="14">
        <f>IF(F2626&lt;&gt;"","按字段批注、数据字典和来源记录修正后复核","")</f>
        <v/>
      </c>
      <c r="H2626" s="14">
        <f>IF(F2626&lt;&gt;"","待处理","")</f>
        <v/>
      </c>
    </row>
    <row r="2627">
      <c r="A2627" s="14">
        <f>IF(F2627&lt;&gt;"","ISSUE-"&amp;TEXT(ROW()-1,"00000"),"")</f>
        <v/>
      </c>
      <c r="B2627" s="14">
        <f>IF(F2627&lt;&gt;"","错误","")</f>
        <v/>
      </c>
      <c r="C2627" s="14">
        <f>IF('07_动态状态'!A127&lt;&gt;"","07_动态状态","")</f>
        <v/>
      </c>
      <c r="D2627" s="14">
        <f>IF('07_动态状态'!A127&lt;&gt;"",'07_动态状态'!A127,"")</f>
        <v/>
      </c>
      <c r="E2627" s="14">
        <f>IF(F2627&lt;&gt;"","综合校验","")</f>
        <v/>
      </c>
      <c r="F2627" s="14">
        <f>IF('07_动态状态'!A127&lt;&gt;"",IF('07_动态状态'!A127="","缺少状态编码；","")&amp;IF('07_动态状态'!B127="","缺少状态名称；","")&amp;IF('07_动态状态'!C127="","缺少状态类别；","")&amp;IF(AND('07_动态状态'!A127&lt;&gt;"",COUNTIF('07_动态状态'!$A$2:$A$501,'07_动态状态'!A127)&gt;1),"ID重复；",""),"")</f>
        <v/>
      </c>
      <c r="G2627" s="14">
        <f>IF(F2627&lt;&gt;"","按字段批注、数据字典和来源记录修正后复核","")</f>
        <v/>
      </c>
      <c r="H2627" s="14">
        <f>IF(F2627&lt;&gt;"","待处理","")</f>
        <v/>
      </c>
    </row>
    <row r="2628">
      <c r="A2628" s="14">
        <f>IF(F2628&lt;&gt;"","ISSUE-"&amp;TEXT(ROW()-1,"00000"),"")</f>
        <v/>
      </c>
      <c r="B2628" s="14">
        <f>IF(F2628&lt;&gt;"","错误","")</f>
        <v/>
      </c>
      <c r="C2628" s="14">
        <f>IF('07_动态状态'!A128&lt;&gt;"","07_动态状态","")</f>
        <v/>
      </c>
      <c r="D2628" s="14">
        <f>IF('07_动态状态'!A128&lt;&gt;"",'07_动态状态'!A128,"")</f>
        <v/>
      </c>
      <c r="E2628" s="14">
        <f>IF(F2628&lt;&gt;"","综合校验","")</f>
        <v/>
      </c>
      <c r="F2628" s="14">
        <f>IF('07_动态状态'!A128&lt;&gt;"",IF('07_动态状态'!A128="","缺少状态编码；","")&amp;IF('07_动态状态'!B128="","缺少状态名称；","")&amp;IF('07_动态状态'!C128="","缺少状态类别；","")&amp;IF(AND('07_动态状态'!A128&lt;&gt;"",COUNTIF('07_动态状态'!$A$2:$A$501,'07_动态状态'!A128)&gt;1),"ID重复；",""),"")</f>
        <v/>
      </c>
      <c r="G2628" s="14">
        <f>IF(F2628&lt;&gt;"","按字段批注、数据字典和来源记录修正后复核","")</f>
        <v/>
      </c>
      <c r="H2628" s="14">
        <f>IF(F2628&lt;&gt;"","待处理","")</f>
        <v/>
      </c>
    </row>
    <row r="2629">
      <c r="A2629" s="14">
        <f>IF(F2629&lt;&gt;"","ISSUE-"&amp;TEXT(ROW()-1,"00000"),"")</f>
        <v/>
      </c>
      <c r="B2629" s="14">
        <f>IF(F2629&lt;&gt;"","错误","")</f>
        <v/>
      </c>
      <c r="C2629" s="14">
        <f>IF('07_动态状态'!A129&lt;&gt;"","07_动态状态","")</f>
        <v/>
      </c>
      <c r="D2629" s="14">
        <f>IF('07_动态状态'!A129&lt;&gt;"",'07_动态状态'!A129,"")</f>
        <v/>
      </c>
      <c r="E2629" s="14">
        <f>IF(F2629&lt;&gt;"","综合校验","")</f>
        <v/>
      </c>
      <c r="F2629" s="14">
        <f>IF('07_动态状态'!A129&lt;&gt;"",IF('07_动态状态'!A129="","缺少状态编码；","")&amp;IF('07_动态状态'!B129="","缺少状态名称；","")&amp;IF('07_动态状态'!C129="","缺少状态类别；","")&amp;IF(AND('07_动态状态'!A129&lt;&gt;"",COUNTIF('07_动态状态'!$A$2:$A$501,'07_动态状态'!A129)&gt;1),"ID重复；",""),"")</f>
        <v/>
      </c>
      <c r="G2629" s="14">
        <f>IF(F2629&lt;&gt;"","按字段批注、数据字典和来源记录修正后复核","")</f>
        <v/>
      </c>
      <c r="H2629" s="14">
        <f>IF(F2629&lt;&gt;"","待处理","")</f>
        <v/>
      </c>
    </row>
    <row r="2630">
      <c r="A2630" s="14">
        <f>IF(F2630&lt;&gt;"","ISSUE-"&amp;TEXT(ROW()-1,"00000"),"")</f>
        <v/>
      </c>
      <c r="B2630" s="14">
        <f>IF(F2630&lt;&gt;"","错误","")</f>
        <v/>
      </c>
      <c r="C2630" s="14">
        <f>IF('07_动态状态'!A130&lt;&gt;"","07_动态状态","")</f>
        <v/>
      </c>
      <c r="D2630" s="14">
        <f>IF('07_动态状态'!A130&lt;&gt;"",'07_动态状态'!A130,"")</f>
        <v/>
      </c>
      <c r="E2630" s="14">
        <f>IF(F2630&lt;&gt;"","综合校验","")</f>
        <v/>
      </c>
      <c r="F2630" s="14">
        <f>IF('07_动态状态'!A130&lt;&gt;"",IF('07_动态状态'!A130="","缺少状态编码；","")&amp;IF('07_动态状态'!B130="","缺少状态名称；","")&amp;IF('07_动态状态'!C130="","缺少状态类别；","")&amp;IF(AND('07_动态状态'!A130&lt;&gt;"",COUNTIF('07_动态状态'!$A$2:$A$501,'07_动态状态'!A130)&gt;1),"ID重复；",""),"")</f>
        <v/>
      </c>
      <c r="G2630" s="14">
        <f>IF(F2630&lt;&gt;"","按字段批注、数据字典和来源记录修正后复核","")</f>
        <v/>
      </c>
      <c r="H2630" s="14">
        <f>IF(F2630&lt;&gt;"","待处理","")</f>
        <v/>
      </c>
    </row>
    <row r="2631">
      <c r="A2631" s="14">
        <f>IF(F2631&lt;&gt;"","ISSUE-"&amp;TEXT(ROW()-1,"00000"),"")</f>
        <v/>
      </c>
      <c r="B2631" s="14">
        <f>IF(F2631&lt;&gt;"","错误","")</f>
        <v/>
      </c>
      <c r="C2631" s="14">
        <f>IF('07_动态状态'!A131&lt;&gt;"","07_动态状态","")</f>
        <v/>
      </c>
      <c r="D2631" s="14">
        <f>IF('07_动态状态'!A131&lt;&gt;"",'07_动态状态'!A131,"")</f>
        <v/>
      </c>
      <c r="E2631" s="14">
        <f>IF(F2631&lt;&gt;"","综合校验","")</f>
        <v/>
      </c>
      <c r="F2631" s="14">
        <f>IF('07_动态状态'!A131&lt;&gt;"",IF('07_动态状态'!A131="","缺少状态编码；","")&amp;IF('07_动态状态'!B131="","缺少状态名称；","")&amp;IF('07_动态状态'!C131="","缺少状态类别；","")&amp;IF(AND('07_动态状态'!A131&lt;&gt;"",COUNTIF('07_动态状态'!$A$2:$A$501,'07_动态状态'!A131)&gt;1),"ID重复；",""),"")</f>
        <v/>
      </c>
      <c r="G2631" s="14">
        <f>IF(F2631&lt;&gt;"","按字段批注、数据字典和来源记录修正后复核","")</f>
        <v/>
      </c>
      <c r="H2631" s="14">
        <f>IF(F2631&lt;&gt;"","待处理","")</f>
        <v/>
      </c>
    </row>
    <row r="2632">
      <c r="A2632" s="14">
        <f>IF(F2632&lt;&gt;"","ISSUE-"&amp;TEXT(ROW()-1,"00000"),"")</f>
        <v/>
      </c>
      <c r="B2632" s="14">
        <f>IF(F2632&lt;&gt;"","错误","")</f>
        <v/>
      </c>
      <c r="C2632" s="14">
        <f>IF('07_动态状态'!A132&lt;&gt;"","07_动态状态","")</f>
        <v/>
      </c>
      <c r="D2632" s="14">
        <f>IF('07_动态状态'!A132&lt;&gt;"",'07_动态状态'!A132,"")</f>
        <v/>
      </c>
      <c r="E2632" s="14">
        <f>IF(F2632&lt;&gt;"","综合校验","")</f>
        <v/>
      </c>
      <c r="F2632" s="14">
        <f>IF('07_动态状态'!A132&lt;&gt;"",IF('07_动态状态'!A132="","缺少状态编码；","")&amp;IF('07_动态状态'!B132="","缺少状态名称；","")&amp;IF('07_动态状态'!C132="","缺少状态类别；","")&amp;IF(AND('07_动态状态'!A132&lt;&gt;"",COUNTIF('07_动态状态'!$A$2:$A$501,'07_动态状态'!A132)&gt;1),"ID重复；",""),"")</f>
        <v/>
      </c>
      <c r="G2632" s="14">
        <f>IF(F2632&lt;&gt;"","按字段批注、数据字典和来源记录修正后复核","")</f>
        <v/>
      </c>
      <c r="H2632" s="14">
        <f>IF(F2632&lt;&gt;"","待处理","")</f>
        <v/>
      </c>
    </row>
    <row r="2633">
      <c r="A2633" s="14">
        <f>IF(F2633&lt;&gt;"","ISSUE-"&amp;TEXT(ROW()-1,"00000"),"")</f>
        <v/>
      </c>
      <c r="B2633" s="14">
        <f>IF(F2633&lt;&gt;"","错误","")</f>
        <v/>
      </c>
      <c r="C2633" s="14">
        <f>IF('07_动态状态'!A133&lt;&gt;"","07_动态状态","")</f>
        <v/>
      </c>
      <c r="D2633" s="14">
        <f>IF('07_动态状态'!A133&lt;&gt;"",'07_动态状态'!A133,"")</f>
        <v/>
      </c>
      <c r="E2633" s="14">
        <f>IF(F2633&lt;&gt;"","综合校验","")</f>
        <v/>
      </c>
      <c r="F2633" s="14">
        <f>IF('07_动态状态'!A133&lt;&gt;"",IF('07_动态状态'!A133="","缺少状态编码；","")&amp;IF('07_动态状态'!B133="","缺少状态名称；","")&amp;IF('07_动态状态'!C133="","缺少状态类别；","")&amp;IF(AND('07_动态状态'!A133&lt;&gt;"",COUNTIF('07_动态状态'!$A$2:$A$501,'07_动态状态'!A133)&gt;1),"ID重复；",""),"")</f>
        <v/>
      </c>
      <c r="G2633" s="14">
        <f>IF(F2633&lt;&gt;"","按字段批注、数据字典和来源记录修正后复核","")</f>
        <v/>
      </c>
      <c r="H2633" s="14">
        <f>IF(F2633&lt;&gt;"","待处理","")</f>
        <v/>
      </c>
    </row>
    <row r="2634">
      <c r="A2634" s="14">
        <f>IF(F2634&lt;&gt;"","ISSUE-"&amp;TEXT(ROW()-1,"00000"),"")</f>
        <v/>
      </c>
      <c r="B2634" s="14">
        <f>IF(F2634&lt;&gt;"","错误","")</f>
        <v/>
      </c>
      <c r="C2634" s="14">
        <f>IF('07_动态状态'!A134&lt;&gt;"","07_动态状态","")</f>
        <v/>
      </c>
      <c r="D2634" s="14">
        <f>IF('07_动态状态'!A134&lt;&gt;"",'07_动态状态'!A134,"")</f>
        <v/>
      </c>
      <c r="E2634" s="14">
        <f>IF(F2634&lt;&gt;"","综合校验","")</f>
        <v/>
      </c>
      <c r="F2634" s="14">
        <f>IF('07_动态状态'!A134&lt;&gt;"",IF('07_动态状态'!A134="","缺少状态编码；","")&amp;IF('07_动态状态'!B134="","缺少状态名称；","")&amp;IF('07_动态状态'!C134="","缺少状态类别；","")&amp;IF(AND('07_动态状态'!A134&lt;&gt;"",COUNTIF('07_动态状态'!$A$2:$A$501,'07_动态状态'!A134)&gt;1),"ID重复；",""),"")</f>
        <v/>
      </c>
      <c r="G2634" s="14">
        <f>IF(F2634&lt;&gt;"","按字段批注、数据字典和来源记录修正后复核","")</f>
        <v/>
      </c>
      <c r="H2634" s="14">
        <f>IF(F2634&lt;&gt;"","待处理","")</f>
        <v/>
      </c>
    </row>
    <row r="2635">
      <c r="A2635" s="14">
        <f>IF(F2635&lt;&gt;"","ISSUE-"&amp;TEXT(ROW()-1,"00000"),"")</f>
        <v/>
      </c>
      <c r="B2635" s="14">
        <f>IF(F2635&lt;&gt;"","错误","")</f>
        <v/>
      </c>
      <c r="C2635" s="14">
        <f>IF('07_动态状态'!A135&lt;&gt;"","07_动态状态","")</f>
        <v/>
      </c>
      <c r="D2635" s="14">
        <f>IF('07_动态状态'!A135&lt;&gt;"",'07_动态状态'!A135,"")</f>
        <v/>
      </c>
      <c r="E2635" s="14">
        <f>IF(F2635&lt;&gt;"","综合校验","")</f>
        <v/>
      </c>
      <c r="F2635" s="14">
        <f>IF('07_动态状态'!A135&lt;&gt;"",IF('07_动态状态'!A135="","缺少状态编码；","")&amp;IF('07_动态状态'!B135="","缺少状态名称；","")&amp;IF('07_动态状态'!C135="","缺少状态类别；","")&amp;IF(AND('07_动态状态'!A135&lt;&gt;"",COUNTIF('07_动态状态'!$A$2:$A$501,'07_动态状态'!A135)&gt;1),"ID重复；",""),"")</f>
        <v/>
      </c>
      <c r="G2635" s="14">
        <f>IF(F2635&lt;&gt;"","按字段批注、数据字典和来源记录修正后复核","")</f>
        <v/>
      </c>
      <c r="H2635" s="14">
        <f>IF(F2635&lt;&gt;"","待处理","")</f>
        <v/>
      </c>
    </row>
    <row r="2636">
      <c r="A2636" s="14">
        <f>IF(F2636&lt;&gt;"","ISSUE-"&amp;TEXT(ROW()-1,"00000"),"")</f>
        <v/>
      </c>
      <c r="B2636" s="14">
        <f>IF(F2636&lt;&gt;"","错误","")</f>
        <v/>
      </c>
      <c r="C2636" s="14">
        <f>IF('07_动态状态'!A136&lt;&gt;"","07_动态状态","")</f>
        <v/>
      </c>
      <c r="D2636" s="14">
        <f>IF('07_动态状态'!A136&lt;&gt;"",'07_动态状态'!A136,"")</f>
        <v/>
      </c>
      <c r="E2636" s="14">
        <f>IF(F2636&lt;&gt;"","综合校验","")</f>
        <v/>
      </c>
      <c r="F2636" s="14">
        <f>IF('07_动态状态'!A136&lt;&gt;"",IF('07_动态状态'!A136="","缺少状态编码；","")&amp;IF('07_动态状态'!B136="","缺少状态名称；","")&amp;IF('07_动态状态'!C136="","缺少状态类别；","")&amp;IF(AND('07_动态状态'!A136&lt;&gt;"",COUNTIF('07_动态状态'!$A$2:$A$501,'07_动态状态'!A136)&gt;1),"ID重复；",""),"")</f>
        <v/>
      </c>
      <c r="G2636" s="14">
        <f>IF(F2636&lt;&gt;"","按字段批注、数据字典和来源记录修正后复核","")</f>
        <v/>
      </c>
      <c r="H2636" s="14">
        <f>IF(F2636&lt;&gt;"","待处理","")</f>
        <v/>
      </c>
    </row>
    <row r="2637">
      <c r="A2637" s="14">
        <f>IF(F2637&lt;&gt;"","ISSUE-"&amp;TEXT(ROW()-1,"00000"),"")</f>
        <v/>
      </c>
      <c r="B2637" s="14">
        <f>IF(F2637&lt;&gt;"","错误","")</f>
        <v/>
      </c>
      <c r="C2637" s="14">
        <f>IF('07_动态状态'!A137&lt;&gt;"","07_动态状态","")</f>
        <v/>
      </c>
      <c r="D2637" s="14">
        <f>IF('07_动态状态'!A137&lt;&gt;"",'07_动态状态'!A137,"")</f>
        <v/>
      </c>
      <c r="E2637" s="14">
        <f>IF(F2637&lt;&gt;"","综合校验","")</f>
        <v/>
      </c>
      <c r="F2637" s="14">
        <f>IF('07_动态状态'!A137&lt;&gt;"",IF('07_动态状态'!A137="","缺少状态编码；","")&amp;IF('07_动态状态'!B137="","缺少状态名称；","")&amp;IF('07_动态状态'!C137="","缺少状态类别；","")&amp;IF(AND('07_动态状态'!A137&lt;&gt;"",COUNTIF('07_动态状态'!$A$2:$A$501,'07_动态状态'!A137)&gt;1),"ID重复；",""),"")</f>
        <v/>
      </c>
      <c r="G2637" s="14">
        <f>IF(F2637&lt;&gt;"","按字段批注、数据字典和来源记录修正后复核","")</f>
        <v/>
      </c>
      <c r="H2637" s="14">
        <f>IF(F2637&lt;&gt;"","待处理","")</f>
        <v/>
      </c>
    </row>
    <row r="2638">
      <c r="A2638" s="14">
        <f>IF(F2638&lt;&gt;"","ISSUE-"&amp;TEXT(ROW()-1,"00000"),"")</f>
        <v/>
      </c>
      <c r="B2638" s="14">
        <f>IF(F2638&lt;&gt;"","错误","")</f>
        <v/>
      </c>
      <c r="C2638" s="14">
        <f>IF('07_动态状态'!A138&lt;&gt;"","07_动态状态","")</f>
        <v/>
      </c>
      <c r="D2638" s="14">
        <f>IF('07_动态状态'!A138&lt;&gt;"",'07_动态状态'!A138,"")</f>
        <v/>
      </c>
      <c r="E2638" s="14">
        <f>IF(F2638&lt;&gt;"","综合校验","")</f>
        <v/>
      </c>
      <c r="F2638" s="14">
        <f>IF('07_动态状态'!A138&lt;&gt;"",IF('07_动态状态'!A138="","缺少状态编码；","")&amp;IF('07_动态状态'!B138="","缺少状态名称；","")&amp;IF('07_动态状态'!C138="","缺少状态类别；","")&amp;IF(AND('07_动态状态'!A138&lt;&gt;"",COUNTIF('07_动态状态'!$A$2:$A$501,'07_动态状态'!A138)&gt;1),"ID重复；",""),"")</f>
        <v/>
      </c>
      <c r="G2638" s="14">
        <f>IF(F2638&lt;&gt;"","按字段批注、数据字典和来源记录修正后复核","")</f>
        <v/>
      </c>
      <c r="H2638" s="14">
        <f>IF(F2638&lt;&gt;"","待处理","")</f>
        <v/>
      </c>
    </row>
    <row r="2639">
      <c r="A2639" s="14">
        <f>IF(F2639&lt;&gt;"","ISSUE-"&amp;TEXT(ROW()-1,"00000"),"")</f>
        <v/>
      </c>
      <c r="B2639" s="14">
        <f>IF(F2639&lt;&gt;"","错误","")</f>
        <v/>
      </c>
      <c r="C2639" s="14">
        <f>IF('07_动态状态'!A139&lt;&gt;"","07_动态状态","")</f>
        <v/>
      </c>
      <c r="D2639" s="14">
        <f>IF('07_动态状态'!A139&lt;&gt;"",'07_动态状态'!A139,"")</f>
        <v/>
      </c>
      <c r="E2639" s="14">
        <f>IF(F2639&lt;&gt;"","综合校验","")</f>
        <v/>
      </c>
      <c r="F2639" s="14">
        <f>IF('07_动态状态'!A139&lt;&gt;"",IF('07_动态状态'!A139="","缺少状态编码；","")&amp;IF('07_动态状态'!B139="","缺少状态名称；","")&amp;IF('07_动态状态'!C139="","缺少状态类别；","")&amp;IF(AND('07_动态状态'!A139&lt;&gt;"",COUNTIF('07_动态状态'!$A$2:$A$501,'07_动态状态'!A139)&gt;1),"ID重复；",""),"")</f>
        <v/>
      </c>
      <c r="G2639" s="14">
        <f>IF(F2639&lt;&gt;"","按字段批注、数据字典和来源记录修正后复核","")</f>
        <v/>
      </c>
      <c r="H2639" s="14">
        <f>IF(F2639&lt;&gt;"","待处理","")</f>
        <v/>
      </c>
    </row>
    <row r="2640">
      <c r="A2640" s="14">
        <f>IF(F2640&lt;&gt;"","ISSUE-"&amp;TEXT(ROW()-1,"00000"),"")</f>
        <v/>
      </c>
      <c r="B2640" s="14">
        <f>IF(F2640&lt;&gt;"","错误","")</f>
        <v/>
      </c>
      <c r="C2640" s="14">
        <f>IF('07_动态状态'!A140&lt;&gt;"","07_动态状态","")</f>
        <v/>
      </c>
      <c r="D2640" s="14">
        <f>IF('07_动态状态'!A140&lt;&gt;"",'07_动态状态'!A140,"")</f>
        <v/>
      </c>
      <c r="E2640" s="14">
        <f>IF(F2640&lt;&gt;"","综合校验","")</f>
        <v/>
      </c>
      <c r="F2640" s="14">
        <f>IF('07_动态状态'!A140&lt;&gt;"",IF('07_动态状态'!A140="","缺少状态编码；","")&amp;IF('07_动态状态'!B140="","缺少状态名称；","")&amp;IF('07_动态状态'!C140="","缺少状态类别；","")&amp;IF(AND('07_动态状态'!A140&lt;&gt;"",COUNTIF('07_动态状态'!$A$2:$A$501,'07_动态状态'!A140)&gt;1),"ID重复；",""),"")</f>
        <v/>
      </c>
      <c r="G2640" s="14">
        <f>IF(F2640&lt;&gt;"","按字段批注、数据字典和来源记录修正后复核","")</f>
        <v/>
      </c>
      <c r="H2640" s="14">
        <f>IF(F2640&lt;&gt;"","待处理","")</f>
        <v/>
      </c>
    </row>
    <row r="2641">
      <c r="A2641" s="14">
        <f>IF(F2641&lt;&gt;"","ISSUE-"&amp;TEXT(ROW()-1,"00000"),"")</f>
        <v/>
      </c>
      <c r="B2641" s="14">
        <f>IF(F2641&lt;&gt;"","错误","")</f>
        <v/>
      </c>
      <c r="C2641" s="14">
        <f>IF('07_动态状态'!A141&lt;&gt;"","07_动态状态","")</f>
        <v/>
      </c>
      <c r="D2641" s="14">
        <f>IF('07_动态状态'!A141&lt;&gt;"",'07_动态状态'!A141,"")</f>
        <v/>
      </c>
      <c r="E2641" s="14">
        <f>IF(F2641&lt;&gt;"","综合校验","")</f>
        <v/>
      </c>
      <c r="F2641" s="14">
        <f>IF('07_动态状态'!A141&lt;&gt;"",IF('07_动态状态'!A141="","缺少状态编码；","")&amp;IF('07_动态状态'!B141="","缺少状态名称；","")&amp;IF('07_动态状态'!C141="","缺少状态类别；","")&amp;IF(AND('07_动态状态'!A141&lt;&gt;"",COUNTIF('07_动态状态'!$A$2:$A$501,'07_动态状态'!A141)&gt;1),"ID重复；",""),"")</f>
        <v/>
      </c>
      <c r="G2641" s="14">
        <f>IF(F2641&lt;&gt;"","按字段批注、数据字典和来源记录修正后复核","")</f>
        <v/>
      </c>
      <c r="H2641" s="14">
        <f>IF(F2641&lt;&gt;"","待处理","")</f>
        <v/>
      </c>
    </row>
    <row r="2642">
      <c r="A2642" s="14">
        <f>IF(F2642&lt;&gt;"","ISSUE-"&amp;TEXT(ROW()-1,"00000"),"")</f>
        <v/>
      </c>
      <c r="B2642" s="14">
        <f>IF(F2642&lt;&gt;"","错误","")</f>
        <v/>
      </c>
      <c r="C2642" s="14">
        <f>IF('07_动态状态'!A142&lt;&gt;"","07_动态状态","")</f>
        <v/>
      </c>
      <c r="D2642" s="14">
        <f>IF('07_动态状态'!A142&lt;&gt;"",'07_动态状态'!A142,"")</f>
        <v/>
      </c>
      <c r="E2642" s="14">
        <f>IF(F2642&lt;&gt;"","综合校验","")</f>
        <v/>
      </c>
      <c r="F2642" s="14">
        <f>IF('07_动态状态'!A142&lt;&gt;"",IF('07_动态状态'!A142="","缺少状态编码；","")&amp;IF('07_动态状态'!B142="","缺少状态名称；","")&amp;IF('07_动态状态'!C142="","缺少状态类别；","")&amp;IF(AND('07_动态状态'!A142&lt;&gt;"",COUNTIF('07_动态状态'!$A$2:$A$501,'07_动态状态'!A142)&gt;1),"ID重复；",""),"")</f>
        <v/>
      </c>
      <c r="G2642" s="14">
        <f>IF(F2642&lt;&gt;"","按字段批注、数据字典和来源记录修正后复核","")</f>
        <v/>
      </c>
      <c r="H2642" s="14">
        <f>IF(F2642&lt;&gt;"","待处理","")</f>
        <v/>
      </c>
    </row>
    <row r="2643">
      <c r="A2643" s="14">
        <f>IF(F2643&lt;&gt;"","ISSUE-"&amp;TEXT(ROW()-1,"00000"),"")</f>
        <v/>
      </c>
      <c r="B2643" s="14">
        <f>IF(F2643&lt;&gt;"","错误","")</f>
        <v/>
      </c>
      <c r="C2643" s="14">
        <f>IF('07_动态状态'!A143&lt;&gt;"","07_动态状态","")</f>
        <v/>
      </c>
      <c r="D2643" s="14">
        <f>IF('07_动态状态'!A143&lt;&gt;"",'07_动态状态'!A143,"")</f>
        <v/>
      </c>
      <c r="E2643" s="14">
        <f>IF(F2643&lt;&gt;"","综合校验","")</f>
        <v/>
      </c>
      <c r="F2643" s="14">
        <f>IF('07_动态状态'!A143&lt;&gt;"",IF('07_动态状态'!A143="","缺少状态编码；","")&amp;IF('07_动态状态'!B143="","缺少状态名称；","")&amp;IF('07_动态状态'!C143="","缺少状态类别；","")&amp;IF(AND('07_动态状态'!A143&lt;&gt;"",COUNTIF('07_动态状态'!$A$2:$A$501,'07_动态状态'!A143)&gt;1),"ID重复；",""),"")</f>
        <v/>
      </c>
      <c r="G2643" s="14">
        <f>IF(F2643&lt;&gt;"","按字段批注、数据字典和来源记录修正后复核","")</f>
        <v/>
      </c>
      <c r="H2643" s="14">
        <f>IF(F2643&lt;&gt;"","待处理","")</f>
        <v/>
      </c>
    </row>
    <row r="2644">
      <c r="A2644" s="14">
        <f>IF(F2644&lt;&gt;"","ISSUE-"&amp;TEXT(ROW()-1,"00000"),"")</f>
        <v/>
      </c>
      <c r="B2644" s="14">
        <f>IF(F2644&lt;&gt;"","错误","")</f>
        <v/>
      </c>
      <c r="C2644" s="14">
        <f>IF('07_动态状态'!A144&lt;&gt;"","07_动态状态","")</f>
        <v/>
      </c>
      <c r="D2644" s="14">
        <f>IF('07_动态状态'!A144&lt;&gt;"",'07_动态状态'!A144,"")</f>
        <v/>
      </c>
      <c r="E2644" s="14">
        <f>IF(F2644&lt;&gt;"","综合校验","")</f>
        <v/>
      </c>
      <c r="F2644" s="14">
        <f>IF('07_动态状态'!A144&lt;&gt;"",IF('07_动态状态'!A144="","缺少状态编码；","")&amp;IF('07_动态状态'!B144="","缺少状态名称；","")&amp;IF('07_动态状态'!C144="","缺少状态类别；","")&amp;IF(AND('07_动态状态'!A144&lt;&gt;"",COUNTIF('07_动态状态'!$A$2:$A$501,'07_动态状态'!A144)&gt;1),"ID重复；",""),"")</f>
        <v/>
      </c>
      <c r="G2644" s="14">
        <f>IF(F2644&lt;&gt;"","按字段批注、数据字典和来源记录修正后复核","")</f>
        <v/>
      </c>
      <c r="H2644" s="14">
        <f>IF(F2644&lt;&gt;"","待处理","")</f>
        <v/>
      </c>
    </row>
    <row r="2645">
      <c r="A2645" s="14">
        <f>IF(F2645&lt;&gt;"","ISSUE-"&amp;TEXT(ROW()-1,"00000"),"")</f>
        <v/>
      </c>
      <c r="B2645" s="14">
        <f>IF(F2645&lt;&gt;"","错误","")</f>
        <v/>
      </c>
      <c r="C2645" s="14">
        <f>IF('07_动态状态'!A145&lt;&gt;"","07_动态状态","")</f>
        <v/>
      </c>
      <c r="D2645" s="14">
        <f>IF('07_动态状态'!A145&lt;&gt;"",'07_动态状态'!A145,"")</f>
        <v/>
      </c>
      <c r="E2645" s="14">
        <f>IF(F2645&lt;&gt;"","综合校验","")</f>
        <v/>
      </c>
      <c r="F2645" s="14">
        <f>IF('07_动态状态'!A145&lt;&gt;"",IF('07_动态状态'!A145="","缺少状态编码；","")&amp;IF('07_动态状态'!B145="","缺少状态名称；","")&amp;IF('07_动态状态'!C145="","缺少状态类别；","")&amp;IF(AND('07_动态状态'!A145&lt;&gt;"",COUNTIF('07_动态状态'!$A$2:$A$501,'07_动态状态'!A145)&gt;1),"ID重复；",""),"")</f>
        <v/>
      </c>
      <c r="G2645" s="14">
        <f>IF(F2645&lt;&gt;"","按字段批注、数据字典和来源记录修正后复核","")</f>
        <v/>
      </c>
      <c r="H2645" s="14">
        <f>IF(F2645&lt;&gt;"","待处理","")</f>
        <v/>
      </c>
    </row>
    <row r="2646">
      <c r="A2646" s="14">
        <f>IF(F2646&lt;&gt;"","ISSUE-"&amp;TEXT(ROW()-1,"00000"),"")</f>
        <v/>
      </c>
      <c r="B2646" s="14">
        <f>IF(F2646&lt;&gt;"","错误","")</f>
        <v/>
      </c>
      <c r="C2646" s="14">
        <f>IF('07_动态状态'!A146&lt;&gt;"","07_动态状态","")</f>
        <v/>
      </c>
      <c r="D2646" s="14">
        <f>IF('07_动态状态'!A146&lt;&gt;"",'07_动态状态'!A146,"")</f>
        <v/>
      </c>
      <c r="E2646" s="14">
        <f>IF(F2646&lt;&gt;"","综合校验","")</f>
        <v/>
      </c>
      <c r="F2646" s="14">
        <f>IF('07_动态状态'!A146&lt;&gt;"",IF('07_动态状态'!A146="","缺少状态编码；","")&amp;IF('07_动态状态'!B146="","缺少状态名称；","")&amp;IF('07_动态状态'!C146="","缺少状态类别；","")&amp;IF(AND('07_动态状态'!A146&lt;&gt;"",COUNTIF('07_动态状态'!$A$2:$A$501,'07_动态状态'!A146)&gt;1),"ID重复；",""),"")</f>
        <v/>
      </c>
      <c r="G2646" s="14">
        <f>IF(F2646&lt;&gt;"","按字段批注、数据字典和来源记录修正后复核","")</f>
        <v/>
      </c>
      <c r="H2646" s="14">
        <f>IF(F2646&lt;&gt;"","待处理","")</f>
        <v/>
      </c>
    </row>
    <row r="2647">
      <c r="A2647" s="14">
        <f>IF(F2647&lt;&gt;"","ISSUE-"&amp;TEXT(ROW()-1,"00000"),"")</f>
        <v/>
      </c>
      <c r="B2647" s="14">
        <f>IF(F2647&lt;&gt;"","错误","")</f>
        <v/>
      </c>
      <c r="C2647" s="14">
        <f>IF('07_动态状态'!A147&lt;&gt;"","07_动态状态","")</f>
        <v/>
      </c>
      <c r="D2647" s="14">
        <f>IF('07_动态状态'!A147&lt;&gt;"",'07_动态状态'!A147,"")</f>
        <v/>
      </c>
      <c r="E2647" s="14">
        <f>IF(F2647&lt;&gt;"","综合校验","")</f>
        <v/>
      </c>
      <c r="F2647" s="14">
        <f>IF('07_动态状态'!A147&lt;&gt;"",IF('07_动态状态'!A147="","缺少状态编码；","")&amp;IF('07_动态状态'!B147="","缺少状态名称；","")&amp;IF('07_动态状态'!C147="","缺少状态类别；","")&amp;IF(AND('07_动态状态'!A147&lt;&gt;"",COUNTIF('07_动态状态'!$A$2:$A$501,'07_动态状态'!A147)&gt;1),"ID重复；",""),"")</f>
        <v/>
      </c>
      <c r="G2647" s="14">
        <f>IF(F2647&lt;&gt;"","按字段批注、数据字典和来源记录修正后复核","")</f>
        <v/>
      </c>
      <c r="H2647" s="14">
        <f>IF(F2647&lt;&gt;"","待处理","")</f>
        <v/>
      </c>
    </row>
    <row r="2648">
      <c r="A2648" s="14">
        <f>IF(F2648&lt;&gt;"","ISSUE-"&amp;TEXT(ROW()-1,"00000"),"")</f>
        <v/>
      </c>
      <c r="B2648" s="14">
        <f>IF(F2648&lt;&gt;"","错误","")</f>
        <v/>
      </c>
      <c r="C2648" s="14">
        <f>IF('07_动态状态'!A148&lt;&gt;"","07_动态状态","")</f>
        <v/>
      </c>
      <c r="D2648" s="14">
        <f>IF('07_动态状态'!A148&lt;&gt;"",'07_动态状态'!A148,"")</f>
        <v/>
      </c>
      <c r="E2648" s="14">
        <f>IF(F2648&lt;&gt;"","综合校验","")</f>
        <v/>
      </c>
      <c r="F2648" s="14">
        <f>IF('07_动态状态'!A148&lt;&gt;"",IF('07_动态状态'!A148="","缺少状态编码；","")&amp;IF('07_动态状态'!B148="","缺少状态名称；","")&amp;IF('07_动态状态'!C148="","缺少状态类别；","")&amp;IF(AND('07_动态状态'!A148&lt;&gt;"",COUNTIF('07_动态状态'!$A$2:$A$501,'07_动态状态'!A148)&gt;1),"ID重复；",""),"")</f>
        <v/>
      </c>
      <c r="G2648" s="14">
        <f>IF(F2648&lt;&gt;"","按字段批注、数据字典和来源记录修正后复核","")</f>
        <v/>
      </c>
      <c r="H2648" s="14">
        <f>IF(F2648&lt;&gt;"","待处理","")</f>
        <v/>
      </c>
    </row>
    <row r="2649">
      <c r="A2649" s="14">
        <f>IF(F2649&lt;&gt;"","ISSUE-"&amp;TEXT(ROW()-1,"00000"),"")</f>
        <v/>
      </c>
      <c r="B2649" s="14">
        <f>IF(F2649&lt;&gt;"","错误","")</f>
        <v/>
      </c>
      <c r="C2649" s="14">
        <f>IF('07_动态状态'!A149&lt;&gt;"","07_动态状态","")</f>
        <v/>
      </c>
      <c r="D2649" s="14">
        <f>IF('07_动态状态'!A149&lt;&gt;"",'07_动态状态'!A149,"")</f>
        <v/>
      </c>
      <c r="E2649" s="14">
        <f>IF(F2649&lt;&gt;"","综合校验","")</f>
        <v/>
      </c>
      <c r="F2649" s="14">
        <f>IF('07_动态状态'!A149&lt;&gt;"",IF('07_动态状态'!A149="","缺少状态编码；","")&amp;IF('07_动态状态'!B149="","缺少状态名称；","")&amp;IF('07_动态状态'!C149="","缺少状态类别；","")&amp;IF(AND('07_动态状态'!A149&lt;&gt;"",COUNTIF('07_动态状态'!$A$2:$A$501,'07_动态状态'!A149)&gt;1),"ID重复；",""),"")</f>
        <v/>
      </c>
      <c r="G2649" s="14">
        <f>IF(F2649&lt;&gt;"","按字段批注、数据字典和来源记录修正后复核","")</f>
        <v/>
      </c>
      <c r="H2649" s="14">
        <f>IF(F2649&lt;&gt;"","待处理","")</f>
        <v/>
      </c>
    </row>
    <row r="2650">
      <c r="A2650" s="14">
        <f>IF(F2650&lt;&gt;"","ISSUE-"&amp;TEXT(ROW()-1,"00000"),"")</f>
        <v/>
      </c>
      <c r="B2650" s="14">
        <f>IF(F2650&lt;&gt;"","错误","")</f>
        <v/>
      </c>
      <c r="C2650" s="14">
        <f>IF('07_动态状态'!A150&lt;&gt;"","07_动态状态","")</f>
        <v/>
      </c>
      <c r="D2650" s="14">
        <f>IF('07_动态状态'!A150&lt;&gt;"",'07_动态状态'!A150,"")</f>
        <v/>
      </c>
      <c r="E2650" s="14">
        <f>IF(F2650&lt;&gt;"","综合校验","")</f>
        <v/>
      </c>
      <c r="F2650" s="14">
        <f>IF('07_动态状态'!A150&lt;&gt;"",IF('07_动态状态'!A150="","缺少状态编码；","")&amp;IF('07_动态状态'!B150="","缺少状态名称；","")&amp;IF('07_动态状态'!C150="","缺少状态类别；","")&amp;IF(AND('07_动态状态'!A150&lt;&gt;"",COUNTIF('07_动态状态'!$A$2:$A$501,'07_动态状态'!A150)&gt;1),"ID重复；",""),"")</f>
        <v/>
      </c>
      <c r="G2650" s="14">
        <f>IF(F2650&lt;&gt;"","按字段批注、数据字典和来源记录修正后复核","")</f>
        <v/>
      </c>
      <c r="H2650" s="14">
        <f>IF(F2650&lt;&gt;"","待处理","")</f>
        <v/>
      </c>
    </row>
    <row r="2651">
      <c r="A2651" s="14">
        <f>IF(F2651&lt;&gt;"","ISSUE-"&amp;TEXT(ROW()-1,"00000"),"")</f>
        <v/>
      </c>
      <c r="B2651" s="14">
        <f>IF(F2651&lt;&gt;"","错误","")</f>
        <v/>
      </c>
      <c r="C2651" s="14">
        <f>IF('07_动态状态'!A151&lt;&gt;"","07_动态状态","")</f>
        <v/>
      </c>
      <c r="D2651" s="14">
        <f>IF('07_动态状态'!A151&lt;&gt;"",'07_动态状态'!A151,"")</f>
        <v/>
      </c>
      <c r="E2651" s="14">
        <f>IF(F2651&lt;&gt;"","综合校验","")</f>
        <v/>
      </c>
      <c r="F2651" s="14">
        <f>IF('07_动态状态'!A151&lt;&gt;"",IF('07_动态状态'!A151="","缺少状态编码；","")&amp;IF('07_动态状态'!B151="","缺少状态名称；","")&amp;IF('07_动态状态'!C151="","缺少状态类别；","")&amp;IF(AND('07_动态状态'!A151&lt;&gt;"",COUNTIF('07_动态状态'!$A$2:$A$501,'07_动态状态'!A151)&gt;1),"ID重复；",""),"")</f>
        <v/>
      </c>
      <c r="G2651" s="14">
        <f>IF(F2651&lt;&gt;"","按字段批注、数据字典和来源记录修正后复核","")</f>
        <v/>
      </c>
      <c r="H2651" s="14">
        <f>IF(F2651&lt;&gt;"","待处理","")</f>
        <v/>
      </c>
    </row>
    <row r="2652">
      <c r="A2652" s="14">
        <f>IF(F2652&lt;&gt;"","ISSUE-"&amp;TEXT(ROW()-1,"00000"),"")</f>
        <v/>
      </c>
      <c r="B2652" s="14">
        <f>IF(F2652&lt;&gt;"","错误","")</f>
        <v/>
      </c>
      <c r="C2652" s="14">
        <f>IF('07_动态状态'!A152&lt;&gt;"","07_动态状态","")</f>
        <v/>
      </c>
      <c r="D2652" s="14">
        <f>IF('07_动态状态'!A152&lt;&gt;"",'07_动态状态'!A152,"")</f>
        <v/>
      </c>
      <c r="E2652" s="14">
        <f>IF(F2652&lt;&gt;"","综合校验","")</f>
        <v/>
      </c>
      <c r="F2652" s="14">
        <f>IF('07_动态状态'!A152&lt;&gt;"",IF('07_动态状态'!A152="","缺少状态编码；","")&amp;IF('07_动态状态'!B152="","缺少状态名称；","")&amp;IF('07_动态状态'!C152="","缺少状态类别；","")&amp;IF(AND('07_动态状态'!A152&lt;&gt;"",COUNTIF('07_动态状态'!$A$2:$A$501,'07_动态状态'!A152)&gt;1),"ID重复；",""),"")</f>
        <v/>
      </c>
      <c r="G2652" s="14">
        <f>IF(F2652&lt;&gt;"","按字段批注、数据字典和来源记录修正后复核","")</f>
        <v/>
      </c>
      <c r="H2652" s="14">
        <f>IF(F2652&lt;&gt;"","待处理","")</f>
        <v/>
      </c>
    </row>
    <row r="2653">
      <c r="A2653" s="14">
        <f>IF(F2653&lt;&gt;"","ISSUE-"&amp;TEXT(ROW()-1,"00000"),"")</f>
        <v/>
      </c>
      <c r="B2653" s="14">
        <f>IF(F2653&lt;&gt;"","错误","")</f>
        <v/>
      </c>
      <c r="C2653" s="14">
        <f>IF('07_动态状态'!A153&lt;&gt;"","07_动态状态","")</f>
        <v/>
      </c>
      <c r="D2653" s="14">
        <f>IF('07_动态状态'!A153&lt;&gt;"",'07_动态状态'!A153,"")</f>
        <v/>
      </c>
      <c r="E2653" s="14">
        <f>IF(F2653&lt;&gt;"","综合校验","")</f>
        <v/>
      </c>
      <c r="F2653" s="14">
        <f>IF('07_动态状态'!A153&lt;&gt;"",IF('07_动态状态'!A153="","缺少状态编码；","")&amp;IF('07_动态状态'!B153="","缺少状态名称；","")&amp;IF('07_动态状态'!C153="","缺少状态类别；","")&amp;IF(AND('07_动态状态'!A153&lt;&gt;"",COUNTIF('07_动态状态'!$A$2:$A$501,'07_动态状态'!A153)&gt;1),"ID重复；",""),"")</f>
        <v/>
      </c>
      <c r="G2653" s="14">
        <f>IF(F2653&lt;&gt;"","按字段批注、数据字典和来源记录修正后复核","")</f>
        <v/>
      </c>
      <c r="H2653" s="14">
        <f>IF(F2653&lt;&gt;"","待处理","")</f>
        <v/>
      </c>
    </row>
    <row r="2654">
      <c r="A2654" s="14">
        <f>IF(F2654&lt;&gt;"","ISSUE-"&amp;TEXT(ROW()-1,"00000"),"")</f>
        <v/>
      </c>
      <c r="B2654" s="14">
        <f>IF(F2654&lt;&gt;"","错误","")</f>
        <v/>
      </c>
      <c r="C2654" s="14">
        <f>IF('07_动态状态'!A154&lt;&gt;"","07_动态状态","")</f>
        <v/>
      </c>
      <c r="D2654" s="14">
        <f>IF('07_动态状态'!A154&lt;&gt;"",'07_动态状态'!A154,"")</f>
        <v/>
      </c>
      <c r="E2654" s="14">
        <f>IF(F2654&lt;&gt;"","综合校验","")</f>
        <v/>
      </c>
      <c r="F2654" s="14">
        <f>IF('07_动态状态'!A154&lt;&gt;"",IF('07_动态状态'!A154="","缺少状态编码；","")&amp;IF('07_动态状态'!B154="","缺少状态名称；","")&amp;IF('07_动态状态'!C154="","缺少状态类别；","")&amp;IF(AND('07_动态状态'!A154&lt;&gt;"",COUNTIF('07_动态状态'!$A$2:$A$501,'07_动态状态'!A154)&gt;1),"ID重复；",""),"")</f>
        <v/>
      </c>
      <c r="G2654" s="14">
        <f>IF(F2654&lt;&gt;"","按字段批注、数据字典和来源记录修正后复核","")</f>
        <v/>
      </c>
      <c r="H2654" s="14">
        <f>IF(F2654&lt;&gt;"","待处理","")</f>
        <v/>
      </c>
    </row>
    <row r="2655">
      <c r="A2655" s="14">
        <f>IF(F2655&lt;&gt;"","ISSUE-"&amp;TEXT(ROW()-1,"00000"),"")</f>
        <v/>
      </c>
      <c r="B2655" s="14">
        <f>IF(F2655&lt;&gt;"","错误","")</f>
        <v/>
      </c>
      <c r="C2655" s="14">
        <f>IF('07_动态状态'!A155&lt;&gt;"","07_动态状态","")</f>
        <v/>
      </c>
      <c r="D2655" s="14">
        <f>IF('07_动态状态'!A155&lt;&gt;"",'07_动态状态'!A155,"")</f>
        <v/>
      </c>
      <c r="E2655" s="14">
        <f>IF(F2655&lt;&gt;"","综合校验","")</f>
        <v/>
      </c>
      <c r="F2655" s="14">
        <f>IF('07_动态状态'!A155&lt;&gt;"",IF('07_动态状态'!A155="","缺少状态编码；","")&amp;IF('07_动态状态'!B155="","缺少状态名称；","")&amp;IF('07_动态状态'!C155="","缺少状态类别；","")&amp;IF(AND('07_动态状态'!A155&lt;&gt;"",COUNTIF('07_动态状态'!$A$2:$A$501,'07_动态状态'!A155)&gt;1),"ID重复；",""),"")</f>
        <v/>
      </c>
      <c r="G2655" s="14">
        <f>IF(F2655&lt;&gt;"","按字段批注、数据字典和来源记录修正后复核","")</f>
        <v/>
      </c>
      <c r="H2655" s="14">
        <f>IF(F2655&lt;&gt;"","待处理","")</f>
        <v/>
      </c>
    </row>
    <row r="2656">
      <c r="A2656" s="14">
        <f>IF(F2656&lt;&gt;"","ISSUE-"&amp;TEXT(ROW()-1,"00000"),"")</f>
        <v/>
      </c>
      <c r="B2656" s="14">
        <f>IF(F2656&lt;&gt;"","错误","")</f>
        <v/>
      </c>
      <c r="C2656" s="14">
        <f>IF('07_动态状态'!A156&lt;&gt;"","07_动态状态","")</f>
        <v/>
      </c>
      <c r="D2656" s="14">
        <f>IF('07_动态状态'!A156&lt;&gt;"",'07_动态状态'!A156,"")</f>
        <v/>
      </c>
      <c r="E2656" s="14">
        <f>IF(F2656&lt;&gt;"","综合校验","")</f>
        <v/>
      </c>
      <c r="F2656" s="14">
        <f>IF('07_动态状态'!A156&lt;&gt;"",IF('07_动态状态'!A156="","缺少状态编码；","")&amp;IF('07_动态状态'!B156="","缺少状态名称；","")&amp;IF('07_动态状态'!C156="","缺少状态类别；","")&amp;IF(AND('07_动态状态'!A156&lt;&gt;"",COUNTIF('07_动态状态'!$A$2:$A$501,'07_动态状态'!A156)&gt;1),"ID重复；",""),"")</f>
        <v/>
      </c>
      <c r="G2656" s="14">
        <f>IF(F2656&lt;&gt;"","按字段批注、数据字典和来源记录修正后复核","")</f>
        <v/>
      </c>
      <c r="H2656" s="14">
        <f>IF(F2656&lt;&gt;"","待处理","")</f>
        <v/>
      </c>
    </row>
    <row r="2657">
      <c r="A2657" s="14">
        <f>IF(F2657&lt;&gt;"","ISSUE-"&amp;TEXT(ROW()-1,"00000"),"")</f>
        <v/>
      </c>
      <c r="B2657" s="14">
        <f>IF(F2657&lt;&gt;"","错误","")</f>
        <v/>
      </c>
      <c r="C2657" s="14">
        <f>IF('07_动态状态'!A157&lt;&gt;"","07_动态状态","")</f>
        <v/>
      </c>
      <c r="D2657" s="14">
        <f>IF('07_动态状态'!A157&lt;&gt;"",'07_动态状态'!A157,"")</f>
        <v/>
      </c>
      <c r="E2657" s="14">
        <f>IF(F2657&lt;&gt;"","综合校验","")</f>
        <v/>
      </c>
      <c r="F2657" s="14">
        <f>IF('07_动态状态'!A157&lt;&gt;"",IF('07_动态状态'!A157="","缺少状态编码；","")&amp;IF('07_动态状态'!B157="","缺少状态名称；","")&amp;IF('07_动态状态'!C157="","缺少状态类别；","")&amp;IF(AND('07_动态状态'!A157&lt;&gt;"",COUNTIF('07_动态状态'!$A$2:$A$501,'07_动态状态'!A157)&gt;1),"ID重复；",""),"")</f>
        <v/>
      </c>
      <c r="G2657" s="14">
        <f>IF(F2657&lt;&gt;"","按字段批注、数据字典和来源记录修正后复核","")</f>
        <v/>
      </c>
      <c r="H2657" s="14">
        <f>IF(F2657&lt;&gt;"","待处理","")</f>
        <v/>
      </c>
    </row>
    <row r="2658">
      <c r="A2658" s="14">
        <f>IF(F2658&lt;&gt;"","ISSUE-"&amp;TEXT(ROW()-1,"00000"),"")</f>
        <v/>
      </c>
      <c r="B2658" s="14">
        <f>IF(F2658&lt;&gt;"","错误","")</f>
        <v/>
      </c>
      <c r="C2658" s="14">
        <f>IF('07_动态状态'!A158&lt;&gt;"","07_动态状态","")</f>
        <v/>
      </c>
      <c r="D2658" s="14">
        <f>IF('07_动态状态'!A158&lt;&gt;"",'07_动态状态'!A158,"")</f>
        <v/>
      </c>
      <c r="E2658" s="14">
        <f>IF(F2658&lt;&gt;"","综合校验","")</f>
        <v/>
      </c>
      <c r="F2658" s="14">
        <f>IF('07_动态状态'!A158&lt;&gt;"",IF('07_动态状态'!A158="","缺少状态编码；","")&amp;IF('07_动态状态'!B158="","缺少状态名称；","")&amp;IF('07_动态状态'!C158="","缺少状态类别；","")&amp;IF(AND('07_动态状态'!A158&lt;&gt;"",COUNTIF('07_动态状态'!$A$2:$A$501,'07_动态状态'!A158)&gt;1),"ID重复；",""),"")</f>
        <v/>
      </c>
      <c r="G2658" s="14">
        <f>IF(F2658&lt;&gt;"","按字段批注、数据字典和来源记录修正后复核","")</f>
        <v/>
      </c>
      <c r="H2658" s="14">
        <f>IF(F2658&lt;&gt;"","待处理","")</f>
        <v/>
      </c>
    </row>
    <row r="2659">
      <c r="A2659" s="14">
        <f>IF(F2659&lt;&gt;"","ISSUE-"&amp;TEXT(ROW()-1,"00000"),"")</f>
        <v/>
      </c>
      <c r="B2659" s="14">
        <f>IF(F2659&lt;&gt;"","错误","")</f>
        <v/>
      </c>
      <c r="C2659" s="14">
        <f>IF('07_动态状态'!A159&lt;&gt;"","07_动态状态","")</f>
        <v/>
      </c>
      <c r="D2659" s="14">
        <f>IF('07_动态状态'!A159&lt;&gt;"",'07_动态状态'!A159,"")</f>
        <v/>
      </c>
      <c r="E2659" s="14">
        <f>IF(F2659&lt;&gt;"","综合校验","")</f>
        <v/>
      </c>
      <c r="F2659" s="14">
        <f>IF('07_动态状态'!A159&lt;&gt;"",IF('07_动态状态'!A159="","缺少状态编码；","")&amp;IF('07_动态状态'!B159="","缺少状态名称；","")&amp;IF('07_动态状态'!C159="","缺少状态类别；","")&amp;IF(AND('07_动态状态'!A159&lt;&gt;"",COUNTIF('07_动态状态'!$A$2:$A$501,'07_动态状态'!A159)&gt;1),"ID重复；",""),"")</f>
        <v/>
      </c>
      <c r="G2659" s="14">
        <f>IF(F2659&lt;&gt;"","按字段批注、数据字典和来源记录修正后复核","")</f>
        <v/>
      </c>
      <c r="H2659" s="14">
        <f>IF(F2659&lt;&gt;"","待处理","")</f>
        <v/>
      </c>
    </row>
    <row r="2660">
      <c r="A2660" s="14">
        <f>IF(F2660&lt;&gt;"","ISSUE-"&amp;TEXT(ROW()-1,"00000"),"")</f>
        <v/>
      </c>
      <c r="B2660" s="14">
        <f>IF(F2660&lt;&gt;"","错误","")</f>
        <v/>
      </c>
      <c r="C2660" s="14">
        <f>IF('07_动态状态'!A160&lt;&gt;"","07_动态状态","")</f>
        <v/>
      </c>
      <c r="D2660" s="14">
        <f>IF('07_动态状态'!A160&lt;&gt;"",'07_动态状态'!A160,"")</f>
        <v/>
      </c>
      <c r="E2660" s="14">
        <f>IF(F2660&lt;&gt;"","综合校验","")</f>
        <v/>
      </c>
      <c r="F2660" s="14">
        <f>IF('07_动态状态'!A160&lt;&gt;"",IF('07_动态状态'!A160="","缺少状态编码；","")&amp;IF('07_动态状态'!B160="","缺少状态名称；","")&amp;IF('07_动态状态'!C160="","缺少状态类别；","")&amp;IF(AND('07_动态状态'!A160&lt;&gt;"",COUNTIF('07_动态状态'!$A$2:$A$501,'07_动态状态'!A160)&gt;1),"ID重复；",""),"")</f>
        <v/>
      </c>
      <c r="G2660" s="14">
        <f>IF(F2660&lt;&gt;"","按字段批注、数据字典和来源记录修正后复核","")</f>
        <v/>
      </c>
      <c r="H2660" s="14">
        <f>IF(F2660&lt;&gt;"","待处理","")</f>
        <v/>
      </c>
    </row>
    <row r="2661">
      <c r="A2661" s="14">
        <f>IF(F2661&lt;&gt;"","ISSUE-"&amp;TEXT(ROW()-1,"00000"),"")</f>
        <v/>
      </c>
      <c r="B2661" s="14">
        <f>IF(F2661&lt;&gt;"","错误","")</f>
        <v/>
      </c>
      <c r="C2661" s="14">
        <f>IF('07_动态状态'!A161&lt;&gt;"","07_动态状态","")</f>
        <v/>
      </c>
      <c r="D2661" s="14">
        <f>IF('07_动态状态'!A161&lt;&gt;"",'07_动态状态'!A161,"")</f>
        <v/>
      </c>
      <c r="E2661" s="14">
        <f>IF(F2661&lt;&gt;"","综合校验","")</f>
        <v/>
      </c>
      <c r="F2661" s="14">
        <f>IF('07_动态状态'!A161&lt;&gt;"",IF('07_动态状态'!A161="","缺少状态编码；","")&amp;IF('07_动态状态'!B161="","缺少状态名称；","")&amp;IF('07_动态状态'!C161="","缺少状态类别；","")&amp;IF(AND('07_动态状态'!A161&lt;&gt;"",COUNTIF('07_动态状态'!$A$2:$A$501,'07_动态状态'!A161)&gt;1),"ID重复；",""),"")</f>
        <v/>
      </c>
      <c r="G2661" s="14">
        <f>IF(F2661&lt;&gt;"","按字段批注、数据字典和来源记录修正后复核","")</f>
        <v/>
      </c>
      <c r="H2661" s="14">
        <f>IF(F2661&lt;&gt;"","待处理","")</f>
        <v/>
      </c>
    </row>
    <row r="2662">
      <c r="A2662" s="14">
        <f>IF(F2662&lt;&gt;"","ISSUE-"&amp;TEXT(ROW()-1,"00000"),"")</f>
        <v/>
      </c>
      <c r="B2662" s="14">
        <f>IF(F2662&lt;&gt;"","错误","")</f>
        <v/>
      </c>
      <c r="C2662" s="14">
        <f>IF('07_动态状态'!A162&lt;&gt;"","07_动态状态","")</f>
        <v/>
      </c>
      <c r="D2662" s="14">
        <f>IF('07_动态状态'!A162&lt;&gt;"",'07_动态状态'!A162,"")</f>
        <v/>
      </c>
      <c r="E2662" s="14">
        <f>IF(F2662&lt;&gt;"","综合校验","")</f>
        <v/>
      </c>
      <c r="F2662" s="14">
        <f>IF('07_动态状态'!A162&lt;&gt;"",IF('07_动态状态'!A162="","缺少状态编码；","")&amp;IF('07_动态状态'!B162="","缺少状态名称；","")&amp;IF('07_动态状态'!C162="","缺少状态类别；","")&amp;IF(AND('07_动态状态'!A162&lt;&gt;"",COUNTIF('07_动态状态'!$A$2:$A$501,'07_动态状态'!A162)&gt;1),"ID重复；",""),"")</f>
        <v/>
      </c>
      <c r="G2662" s="14">
        <f>IF(F2662&lt;&gt;"","按字段批注、数据字典和来源记录修正后复核","")</f>
        <v/>
      </c>
      <c r="H2662" s="14">
        <f>IF(F2662&lt;&gt;"","待处理","")</f>
        <v/>
      </c>
    </row>
    <row r="2663">
      <c r="A2663" s="14">
        <f>IF(F2663&lt;&gt;"","ISSUE-"&amp;TEXT(ROW()-1,"00000"),"")</f>
        <v/>
      </c>
      <c r="B2663" s="14">
        <f>IF(F2663&lt;&gt;"","错误","")</f>
        <v/>
      </c>
      <c r="C2663" s="14">
        <f>IF('07_动态状态'!A163&lt;&gt;"","07_动态状态","")</f>
        <v/>
      </c>
      <c r="D2663" s="14">
        <f>IF('07_动态状态'!A163&lt;&gt;"",'07_动态状态'!A163,"")</f>
        <v/>
      </c>
      <c r="E2663" s="14">
        <f>IF(F2663&lt;&gt;"","综合校验","")</f>
        <v/>
      </c>
      <c r="F2663" s="14">
        <f>IF('07_动态状态'!A163&lt;&gt;"",IF('07_动态状态'!A163="","缺少状态编码；","")&amp;IF('07_动态状态'!B163="","缺少状态名称；","")&amp;IF('07_动态状态'!C163="","缺少状态类别；","")&amp;IF(AND('07_动态状态'!A163&lt;&gt;"",COUNTIF('07_动态状态'!$A$2:$A$501,'07_动态状态'!A163)&gt;1),"ID重复；",""),"")</f>
        <v/>
      </c>
      <c r="G2663" s="14">
        <f>IF(F2663&lt;&gt;"","按字段批注、数据字典和来源记录修正后复核","")</f>
        <v/>
      </c>
      <c r="H2663" s="14">
        <f>IF(F2663&lt;&gt;"","待处理","")</f>
        <v/>
      </c>
    </row>
    <row r="2664">
      <c r="A2664" s="14">
        <f>IF(F2664&lt;&gt;"","ISSUE-"&amp;TEXT(ROW()-1,"00000"),"")</f>
        <v/>
      </c>
      <c r="B2664" s="14">
        <f>IF(F2664&lt;&gt;"","错误","")</f>
        <v/>
      </c>
      <c r="C2664" s="14">
        <f>IF('07_动态状态'!A164&lt;&gt;"","07_动态状态","")</f>
        <v/>
      </c>
      <c r="D2664" s="14">
        <f>IF('07_动态状态'!A164&lt;&gt;"",'07_动态状态'!A164,"")</f>
        <v/>
      </c>
      <c r="E2664" s="14">
        <f>IF(F2664&lt;&gt;"","综合校验","")</f>
        <v/>
      </c>
      <c r="F2664" s="14">
        <f>IF('07_动态状态'!A164&lt;&gt;"",IF('07_动态状态'!A164="","缺少状态编码；","")&amp;IF('07_动态状态'!B164="","缺少状态名称；","")&amp;IF('07_动态状态'!C164="","缺少状态类别；","")&amp;IF(AND('07_动态状态'!A164&lt;&gt;"",COUNTIF('07_动态状态'!$A$2:$A$501,'07_动态状态'!A164)&gt;1),"ID重复；",""),"")</f>
        <v/>
      </c>
      <c r="G2664" s="14">
        <f>IF(F2664&lt;&gt;"","按字段批注、数据字典和来源记录修正后复核","")</f>
        <v/>
      </c>
      <c r="H2664" s="14">
        <f>IF(F2664&lt;&gt;"","待处理","")</f>
        <v/>
      </c>
    </row>
    <row r="2665">
      <c r="A2665" s="14">
        <f>IF(F2665&lt;&gt;"","ISSUE-"&amp;TEXT(ROW()-1,"00000"),"")</f>
        <v/>
      </c>
      <c r="B2665" s="14">
        <f>IF(F2665&lt;&gt;"","错误","")</f>
        <v/>
      </c>
      <c r="C2665" s="14">
        <f>IF('07_动态状态'!A165&lt;&gt;"","07_动态状态","")</f>
        <v/>
      </c>
      <c r="D2665" s="14">
        <f>IF('07_动态状态'!A165&lt;&gt;"",'07_动态状态'!A165,"")</f>
        <v/>
      </c>
      <c r="E2665" s="14">
        <f>IF(F2665&lt;&gt;"","综合校验","")</f>
        <v/>
      </c>
      <c r="F2665" s="14">
        <f>IF('07_动态状态'!A165&lt;&gt;"",IF('07_动态状态'!A165="","缺少状态编码；","")&amp;IF('07_动态状态'!B165="","缺少状态名称；","")&amp;IF('07_动态状态'!C165="","缺少状态类别；","")&amp;IF(AND('07_动态状态'!A165&lt;&gt;"",COUNTIF('07_动态状态'!$A$2:$A$501,'07_动态状态'!A165)&gt;1),"ID重复；",""),"")</f>
        <v/>
      </c>
      <c r="G2665" s="14">
        <f>IF(F2665&lt;&gt;"","按字段批注、数据字典和来源记录修正后复核","")</f>
        <v/>
      </c>
      <c r="H2665" s="14">
        <f>IF(F2665&lt;&gt;"","待处理","")</f>
        <v/>
      </c>
    </row>
    <row r="2666">
      <c r="A2666" s="14">
        <f>IF(F2666&lt;&gt;"","ISSUE-"&amp;TEXT(ROW()-1,"00000"),"")</f>
        <v/>
      </c>
      <c r="B2666" s="14">
        <f>IF(F2666&lt;&gt;"","错误","")</f>
        <v/>
      </c>
      <c r="C2666" s="14">
        <f>IF('07_动态状态'!A166&lt;&gt;"","07_动态状态","")</f>
        <v/>
      </c>
      <c r="D2666" s="14">
        <f>IF('07_动态状态'!A166&lt;&gt;"",'07_动态状态'!A166,"")</f>
        <v/>
      </c>
      <c r="E2666" s="14">
        <f>IF(F2666&lt;&gt;"","综合校验","")</f>
        <v/>
      </c>
      <c r="F2666" s="14">
        <f>IF('07_动态状态'!A166&lt;&gt;"",IF('07_动态状态'!A166="","缺少状态编码；","")&amp;IF('07_动态状态'!B166="","缺少状态名称；","")&amp;IF('07_动态状态'!C166="","缺少状态类别；","")&amp;IF(AND('07_动态状态'!A166&lt;&gt;"",COUNTIF('07_动态状态'!$A$2:$A$501,'07_动态状态'!A166)&gt;1),"ID重复；",""),"")</f>
        <v/>
      </c>
      <c r="G2666" s="14">
        <f>IF(F2666&lt;&gt;"","按字段批注、数据字典和来源记录修正后复核","")</f>
        <v/>
      </c>
      <c r="H2666" s="14">
        <f>IF(F2666&lt;&gt;"","待处理","")</f>
        <v/>
      </c>
    </row>
    <row r="2667">
      <c r="A2667" s="14">
        <f>IF(F2667&lt;&gt;"","ISSUE-"&amp;TEXT(ROW()-1,"00000"),"")</f>
        <v/>
      </c>
      <c r="B2667" s="14">
        <f>IF(F2667&lt;&gt;"","错误","")</f>
        <v/>
      </c>
      <c r="C2667" s="14">
        <f>IF('07_动态状态'!A167&lt;&gt;"","07_动态状态","")</f>
        <v/>
      </c>
      <c r="D2667" s="14">
        <f>IF('07_动态状态'!A167&lt;&gt;"",'07_动态状态'!A167,"")</f>
        <v/>
      </c>
      <c r="E2667" s="14">
        <f>IF(F2667&lt;&gt;"","综合校验","")</f>
        <v/>
      </c>
      <c r="F2667" s="14">
        <f>IF('07_动态状态'!A167&lt;&gt;"",IF('07_动态状态'!A167="","缺少状态编码；","")&amp;IF('07_动态状态'!B167="","缺少状态名称；","")&amp;IF('07_动态状态'!C167="","缺少状态类别；","")&amp;IF(AND('07_动态状态'!A167&lt;&gt;"",COUNTIF('07_动态状态'!$A$2:$A$501,'07_动态状态'!A167)&gt;1),"ID重复；",""),"")</f>
        <v/>
      </c>
      <c r="G2667" s="14">
        <f>IF(F2667&lt;&gt;"","按字段批注、数据字典和来源记录修正后复核","")</f>
        <v/>
      </c>
      <c r="H2667" s="14">
        <f>IF(F2667&lt;&gt;"","待处理","")</f>
        <v/>
      </c>
    </row>
    <row r="2668">
      <c r="A2668" s="14">
        <f>IF(F2668&lt;&gt;"","ISSUE-"&amp;TEXT(ROW()-1,"00000"),"")</f>
        <v/>
      </c>
      <c r="B2668" s="14">
        <f>IF(F2668&lt;&gt;"","错误","")</f>
        <v/>
      </c>
      <c r="C2668" s="14">
        <f>IF('07_动态状态'!A168&lt;&gt;"","07_动态状态","")</f>
        <v/>
      </c>
      <c r="D2668" s="14">
        <f>IF('07_动态状态'!A168&lt;&gt;"",'07_动态状态'!A168,"")</f>
        <v/>
      </c>
      <c r="E2668" s="14">
        <f>IF(F2668&lt;&gt;"","综合校验","")</f>
        <v/>
      </c>
      <c r="F2668" s="14">
        <f>IF('07_动态状态'!A168&lt;&gt;"",IF('07_动态状态'!A168="","缺少状态编码；","")&amp;IF('07_动态状态'!B168="","缺少状态名称；","")&amp;IF('07_动态状态'!C168="","缺少状态类别；","")&amp;IF(AND('07_动态状态'!A168&lt;&gt;"",COUNTIF('07_动态状态'!$A$2:$A$501,'07_动态状态'!A168)&gt;1),"ID重复；",""),"")</f>
        <v/>
      </c>
      <c r="G2668" s="14">
        <f>IF(F2668&lt;&gt;"","按字段批注、数据字典和来源记录修正后复核","")</f>
        <v/>
      </c>
      <c r="H2668" s="14">
        <f>IF(F2668&lt;&gt;"","待处理","")</f>
        <v/>
      </c>
    </row>
    <row r="2669">
      <c r="A2669" s="14">
        <f>IF(F2669&lt;&gt;"","ISSUE-"&amp;TEXT(ROW()-1,"00000"),"")</f>
        <v/>
      </c>
      <c r="B2669" s="14">
        <f>IF(F2669&lt;&gt;"","错误","")</f>
        <v/>
      </c>
      <c r="C2669" s="14">
        <f>IF('07_动态状态'!A169&lt;&gt;"","07_动态状态","")</f>
        <v/>
      </c>
      <c r="D2669" s="14">
        <f>IF('07_动态状态'!A169&lt;&gt;"",'07_动态状态'!A169,"")</f>
        <v/>
      </c>
      <c r="E2669" s="14">
        <f>IF(F2669&lt;&gt;"","综合校验","")</f>
        <v/>
      </c>
      <c r="F2669" s="14">
        <f>IF('07_动态状态'!A169&lt;&gt;"",IF('07_动态状态'!A169="","缺少状态编码；","")&amp;IF('07_动态状态'!B169="","缺少状态名称；","")&amp;IF('07_动态状态'!C169="","缺少状态类别；","")&amp;IF(AND('07_动态状态'!A169&lt;&gt;"",COUNTIF('07_动态状态'!$A$2:$A$501,'07_动态状态'!A169)&gt;1),"ID重复；",""),"")</f>
        <v/>
      </c>
      <c r="G2669" s="14">
        <f>IF(F2669&lt;&gt;"","按字段批注、数据字典和来源记录修正后复核","")</f>
        <v/>
      </c>
      <c r="H2669" s="14">
        <f>IF(F2669&lt;&gt;"","待处理","")</f>
        <v/>
      </c>
    </row>
    <row r="2670">
      <c r="A2670" s="14">
        <f>IF(F2670&lt;&gt;"","ISSUE-"&amp;TEXT(ROW()-1,"00000"),"")</f>
        <v/>
      </c>
      <c r="B2670" s="14">
        <f>IF(F2670&lt;&gt;"","错误","")</f>
        <v/>
      </c>
      <c r="C2670" s="14">
        <f>IF('07_动态状态'!A170&lt;&gt;"","07_动态状态","")</f>
        <v/>
      </c>
      <c r="D2670" s="14">
        <f>IF('07_动态状态'!A170&lt;&gt;"",'07_动态状态'!A170,"")</f>
        <v/>
      </c>
      <c r="E2670" s="14">
        <f>IF(F2670&lt;&gt;"","综合校验","")</f>
        <v/>
      </c>
      <c r="F2670" s="14">
        <f>IF('07_动态状态'!A170&lt;&gt;"",IF('07_动态状态'!A170="","缺少状态编码；","")&amp;IF('07_动态状态'!B170="","缺少状态名称；","")&amp;IF('07_动态状态'!C170="","缺少状态类别；","")&amp;IF(AND('07_动态状态'!A170&lt;&gt;"",COUNTIF('07_动态状态'!$A$2:$A$501,'07_动态状态'!A170)&gt;1),"ID重复；",""),"")</f>
        <v/>
      </c>
      <c r="G2670" s="14">
        <f>IF(F2670&lt;&gt;"","按字段批注、数据字典和来源记录修正后复核","")</f>
        <v/>
      </c>
      <c r="H2670" s="14">
        <f>IF(F2670&lt;&gt;"","待处理","")</f>
        <v/>
      </c>
    </row>
    <row r="2671">
      <c r="A2671" s="14">
        <f>IF(F2671&lt;&gt;"","ISSUE-"&amp;TEXT(ROW()-1,"00000"),"")</f>
        <v/>
      </c>
      <c r="B2671" s="14">
        <f>IF(F2671&lt;&gt;"","错误","")</f>
        <v/>
      </c>
      <c r="C2671" s="14">
        <f>IF('07_动态状态'!A171&lt;&gt;"","07_动态状态","")</f>
        <v/>
      </c>
      <c r="D2671" s="14">
        <f>IF('07_动态状态'!A171&lt;&gt;"",'07_动态状态'!A171,"")</f>
        <v/>
      </c>
      <c r="E2671" s="14">
        <f>IF(F2671&lt;&gt;"","综合校验","")</f>
        <v/>
      </c>
      <c r="F2671" s="14">
        <f>IF('07_动态状态'!A171&lt;&gt;"",IF('07_动态状态'!A171="","缺少状态编码；","")&amp;IF('07_动态状态'!B171="","缺少状态名称；","")&amp;IF('07_动态状态'!C171="","缺少状态类别；","")&amp;IF(AND('07_动态状态'!A171&lt;&gt;"",COUNTIF('07_动态状态'!$A$2:$A$501,'07_动态状态'!A171)&gt;1),"ID重复；",""),"")</f>
        <v/>
      </c>
      <c r="G2671" s="14">
        <f>IF(F2671&lt;&gt;"","按字段批注、数据字典和来源记录修正后复核","")</f>
        <v/>
      </c>
      <c r="H2671" s="14">
        <f>IF(F2671&lt;&gt;"","待处理","")</f>
        <v/>
      </c>
    </row>
    <row r="2672">
      <c r="A2672" s="14">
        <f>IF(F2672&lt;&gt;"","ISSUE-"&amp;TEXT(ROW()-1,"00000"),"")</f>
        <v/>
      </c>
      <c r="B2672" s="14">
        <f>IF(F2672&lt;&gt;"","错误","")</f>
        <v/>
      </c>
      <c r="C2672" s="14">
        <f>IF('07_动态状态'!A172&lt;&gt;"","07_动态状态","")</f>
        <v/>
      </c>
      <c r="D2672" s="14">
        <f>IF('07_动态状态'!A172&lt;&gt;"",'07_动态状态'!A172,"")</f>
        <v/>
      </c>
      <c r="E2672" s="14">
        <f>IF(F2672&lt;&gt;"","综合校验","")</f>
        <v/>
      </c>
      <c r="F2672" s="14">
        <f>IF('07_动态状态'!A172&lt;&gt;"",IF('07_动态状态'!A172="","缺少状态编码；","")&amp;IF('07_动态状态'!B172="","缺少状态名称；","")&amp;IF('07_动态状态'!C172="","缺少状态类别；","")&amp;IF(AND('07_动态状态'!A172&lt;&gt;"",COUNTIF('07_动态状态'!$A$2:$A$501,'07_动态状态'!A172)&gt;1),"ID重复；",""),"")</f>
        <v/>
      </c>
      <c r="G2672" s="14">
        <f>IF(F2672&lt;&gt;"","按字段批注、数据字典和来源记录修正后复核","")</f>
        <v/>
      </c>
      <c r="H2672" s="14">
        <f>IF(F2672&lt;&gt;"","待处理","")</f>
        <v/>
      </c>
    </row>
    <row r="2673">
      <c r="A2673" s="14">
        <f>IF(F2673&lt;&gt;"","ISSUE-"&amp;TEXT(ROW()-1,"00000"),"")</f>
        <v/>
      </c>
      <c r="B2673" s="14">
        <f>IF(F2673&lt;&gt;"","错误","")</f>
        <v/>
      </c>
      <c r="C2673" s="14">
        <f>IF('07_动态状态'!A173&lt;&gt;"","07_动态状态","")</f>
        <v/>
      </c>
      <c r="D2673" s="14">
        <f>IF('07_动态状态'!A173&lt;&gt;"",'07_动态状态'!A173,"")</f>
        <v/>
      </c>
      <c r="E2673" s="14">
        <f>IF(F2673&lt;&gt;"","综合校验","")</f>
        <v/>
      </c>
      <c r="F2673" s="14">
        <f>IF('07_动态状态'!A173&lt;&gt;"",IF('07_动态状态'!A173="","缺少状态编码；","")&amp;IF('07_动态状态'!B173="","缺少状态名称；","")&amp;IF('07_动态状态'!C173="","缺少状态类别；","")&amp;IF(AND('07_动态状态'!A173&lt;&gt;"",COUNTIF('07_动态状态'!$A$2:$A$501,'07_动态状态'!A173)&gt;1),"ID重复；",""),"")</f>
        <v/>
      </c>
      <c r="G2673" s="14">
        <f>IF(F2673&lt;&gt;"","按字段批注、数据字典和来源记录修正后复核","")</f>
        <v/>
      </c>
      <c r="H2673" s="14">
        <f>IF(F2673&lt;&gt;"","待处理","")</f>
        <v/>
      </c>
    </row>
    <row r="2674">
      <c r="A2674" s="14">
        <f>IF(F2674&lt;&gt;"","ISSUE-"&amp;TEXT(ROW()-1,"00000"),"")</f>
        <v/>
      </c>
      <c r="B2674" s="14">
        <f>IF(F2674&lt;&gt;"","错误","")</f>
        <v/>
      </c>
      <c r="C2674" s="14">
        <f>IF('07_动态状态'!A174&lt;&gt;"","07_动态状态","")</f>
        <v/>
      </c>
      <c r="D2674" s="14">
        <f>IF('07_动态状态'!A174&lt;&gt;"",'07_动态状态'!A174,"")</f>
        <v/>
      </c>
      <c r="E2674" s="14">
        <f>IF(F2674&lt;&gt;"","综合校验","")</f>
        <v/>
      </c>
      <c r="F2674" s="14">
        <f>IF('07_动态状态'!A174&lt;&gt;"",IF('07_动态状态'!A174="","缺少状态编码；","")&amp;IF('07_动态状态'!B174="","缺少状态名称；","")&amp;IF('07_动态状态'!C174="","缺少状态类别；","")&amp;IF(AND('07_动态状态'!A174&lt;&gt;"",COUNTIF('07_动态状态'!$A$2:$A$501,'07_动态状态'!A174)&gt;1),"ID重复；",""),"")</f>
        <v/>
      </c>
      <c r="G2674" s="14">
        <f>IF(F2674&lt;&gt;"","按字段批注、数据字典和来源记录修正后复核","")</f>
        <v/>
      </c>
      <c r="H2674" s="14">
        <f>IF(F2674&lt;&gt;"","待处理","")</f>
        <v/>
      </c>
    </row>
    <row r="2675">
      <c r="A2675" s="14">
        <f>IF(F2675&lt;&gt;"","ISSUE-"&amp;TEXT(ROW()-1,"00000"),"")</f>
        <v/>
      </c>
      <c r="B2675" s="14">
        <f>IF(F2675&lt;&gt;"","错误","")</f>
        <v/>
      </c>
      <c r="C2675" s="14">
        <f>IF('07_动态状态'!A175&lt;&gt;"","07_动态状态","")</f>
        <v/>
      </c>
      <c r="D2675" s="14">
        <f>IF('07_动态状态'!A175&lt;&gt;"",'07_动态状态'!A175,"")</f>
        <v/>
      </c>
      <c r="E2675" s="14">
        <f>IF(F2675&lt;&gt;"","综合校验","")</f>
        <v/>
      </c>
      <c r="F2675" s="14">
        <f>IF('07_动态状态'!A175&lt;&gt;"",IF('07_动态状态'!A175="","缺少状态编码；","")&amp;IF('07_动态状态'!B175="","缺少状态名称；","")&amp;IF('07_动态状态'!C175="","缺少状态类别；","")&amp;IF(AND('07_动态状态'!A175&lt;&gt;"",COUNTIF('07_动态状态'!$A$2:$A$501,'07_动态状态'!A175)&gt;1),"ID重复；",""),"")</f>
        <v/>
      </c>
      <c r="G2675" s="14">
        <f>IF(F2675&lt;&gt;"","按字段批注、数据字典和来源记录修正后复核","")</f>
        <v/>
      </c>
      <c r="H2675" s="14">
        <f>IF(F2675&lt;&gt;"","待处理","")</f>
        <v/>
      </c>
    </row>
    <row r="2676">
      <c r="A2676" s="14">
        <f>IF(F2676&lt;&gt;"","ISSUE-"&amp;TEXT(ROW()-1,"00000"),"")</f>
        <v/>
      </c>
      <c r="B2676" s="14">
        <f>IF(F2676&lt;&gt;"","错误","")</f>
        <v/>
      </c>
      <c r="C2676" s="14">
        <f>IF('07_动态状态'!A176&lt;&gt;"","07_动态状态","")</f>
        <v/>
      </c>
      <c r="D2676" s="14">
        <f>IF('07_动态状态'!A176&lt;&gt;"",'07_动态状态'!A176,"")</f>
        <v/>
      </c>
      <c r="E2676" s="14">
        <f>IF(F2676&lt;&gt;"","综合校验","")</f>
        <v/>
      </c>
      <c r="F2676" s="14">
        <f>IF('07_动态状态'!A176&lt;&gt;"",IF('07_动态状态'!A176="","缺少状态编码；","")&amp;IF('07_动态状态'!B176="","缺少状态名称；","")&amp;IF('07_动态状态'!C176="","缺少状态类别；","")&amp;IF(AND('07_动态状态'!A176&lt;&gt;"",COUNTIF('07_动态状态'!$A$2:$A$501,'07_动态状态'!A176)&gt;1),"ID重复；",""),"")</f>
        <v/>
      </c>
      <c r="G2676" s="14">
        <f>IF(F2676&lt;&gt;"","按字段批注、数据字典和来源记录修正后复核","")</f>
        <v/>
      </c>
      <c r="H2676" s="14">
        <f>IF(F2676&lt;&gt;"","待处理","")</f>
        <v/>
      </c>
    </row>
    <row r="2677">
      <c r="A2677" s="14">
        <f>IF(F2677&lt;&gt;"","ISSUE-"&amp;TEXT(ROW()-1,"00000"),"")</f>
        <v/>
      </c>
      <c r="B2677" s="14">
        <f>IF(F2677&lt;&gt;"","错误","")</f>
        <v/>
      </c>
      <c r="C2677" s="14">
        <f>IF('07_动态状态'!A177&lt;&gt;"","07_动态状态","")</f>
        <v/>
      </c>
      <c r="D2677" s="14">
        <f>IF('07_动态状态'!A177&lt;&gt;"",'07_动态状态'!A177,"")</f>
        <v/>
      </c>
      <c r="E2677" s="14">
        <f>IF(F2677&lt;&gt;"","综合校验","")</f>
        <v/>
      </c>
      <c r="F2677" s="14">
        <f>IF('07_动态状态'!A177&lt;&gt;"",IF('07_动态状态'!A177="","缺少状态编码；","")&amp;IF('07_动态状态'!B177="","缺少状态名称；","")&amp;IF('07_动态状态'!C177="","缺少状态类别；","")&amp;IF(AND('07_动态状态'!A177&lt;&gt;"",COUNTIF('07_动态状态'!$A$2:$A$501,'07_动态状态'!A177)&gt;1),"ID重复；",""),"")</f>
        <v/>
      </c>
      <c r="G2677" s="14">
        <f>IF(F2677&lt;&gt;"","按字段批注、数据字典和来源记录修正后复核","")</f>
        <v/>
      </c>
      <c r="H2677" s="14">
        <f>IF(F2677&lt;&gt;"","待处理","")</f>
        <v/>
      </c>
    </row>
    <row r="2678">
      <c r="A2678" s="14">
        <f>IF(F2678&lt;&gt;"","ISSUE-"&amp;TEXT(ROW()-1,"00000"),"")</f>
        <v/>
      </c>
      <c r="B2678" s="14">
        <f>IF(F2678&lt;&gt;"","错误","")</f>
        <v/>
      </c>
      <c r="C2678" s="14">
        <f>IF('07_动态状态'!A178&lt;&gt;"","07_动态状态","")</f>
        <v/>
      </c>
      <c r="D2678" s="14">
        <f>IF('07_动态状态'!A178&lt;&gt;"",'07_动态状态'!A178,"")</f>
        <v/>
      </c>
      <c r="E2678" s="14">
        <f>IF(F2678&lt;&gt;"","综合校验","")</f>
        <v/>
      </c>
      <c r="F2678" s="14">
        <f>IF('07_动态状态'!A178&lt;&gt;"",IF('07_动态状态'!A178="","缺少状态编码；","")&amp;IF('07_动态状态'!B178="","缺少状态名称；","")&amp;IF('07_动态状态'!C178="","缺少状态类别；","")&amp;IF(AND('07_动态状态'!A178&lt;&gt;"",COUNTIF('07_动态状态'!$A$2:$A$501,'07_动态状态'!A178)&gt;1),"ID重复；",""),"")</f>
        <v/>
      </c>
      <c r="G2678" s="14">
        <f>IF(F2678&lt;&gt;"","按字段批注、数据字典和来源记录修正后复核","")</f>
        <v/>
      </c>
      <c r="H2678" s="14">
        <f>IF(F2678&lt;&gt;"","待处理","")</f>
        <v/>
      </c>
    </row>
    <row r="2679">
      <c r="A2679" s="14">
        <f>IF(F2679&lt;&gt;"","ISSUE-"&amp;TEXT(ROW()-1,"00000"),"")</f>
        <v/>
      </c>
      <c r="B2679" s="14">
        <f>IF(F2679&lt;&gt;"","错误","")</f>
        <v/>
      </c>
      <c r="C2679" s="14">
        <f>IF('07_动态状态'!A179&lt;&gt;"","07_动态状态","")</f>
        <v/>
      </c>
      <c r="D2679" s="14">
        <f>IF('07_动态状态'!A179&lt;&gt;"",'07_动态状态'!A179,"")</f>
        <v/>
      </c>
      <c r="E2679" s="14">
        <f>IF(F2679&lt;&gt;"","综合校验","")</f>
        <v/>
      </c>
      <c r="F2679" s="14">
        <f>IF('07_动态状态'!A179&lt;&gt;"",IF('07_动态状态'!A179="","缺少状态编码；","")&amp;IF('07_动态状态'!B179="","缺少状态名称；","")&amp;IF('07_动态状态'!C179="","缺少状态类别；","")&amp;IF(AND('07_动态状态'!A179&lt;&gt;"",COUNTIF('07_动态状态'!$A$2:$A$501,'07_动态状态'!A179)&gt;1),"ID重复；",""),"")</f>
        <v/>
      </c>
      <c r="G2679" s="14">
        <f>IF(F2679&lt;&gt;"","按字段批注、数据字典和来源记录修正后复核","")</f>
        <v/>
      </c>
      <c r="H2679" s="14">
        <f>IF(F2679&lt;&gt;"","待处理","")</f>
        <v/>
      </c>
    </row>
    <row r="2680">
      <c r="A2680" s="14">
        <f>IF(F2680&lt;&gt;"","ISSUE-"&amp;TEXT(ROW()-1,"00000"),"")</f>
        <v/>
      </c>
      <c r="B2680" s="14">
        <f>IF(F2680&lt;&gt;"","错误","")</f>
        <v/>
      </c>
      <c r="C2680" s="14">
        <f>IF('07_动态状态'!A180&lt;&gt;"","07_动态状态","")</f>
        <v/>
      </c>
      <c r="D2680" s="14">
        <f>IF('07_动态状态'!A180&lt;&gt;"",'07_动态状态'!A180,"")</f>
        <v/>
      </c>
      <c r="E2680" s="14">
        <f>IF(F2680&lt;&gt;"","综合校验","")</f>
        <v/>
      </c>
      <c r="F2680" s="14">
        <f>IF('07_动态状态'!A180&lt;&gt;"",IF('07_动态状态'!A180="","缺少状态编码；","")&amp;IF('07_动态状态'!B180="","缺少状态名称；","")&amp;IF('07_动态状态'!C180="","缺少状态类别；","")&amp;IF(AND('07_动态状态'!A180&lt;&gt;"",COUNTIF('07_动态状态'!$A$2:$A$501,'07_动态状态'!A180)&gt;1),"ID重复；",""),"")</f>
        <v/>
      </c>
      <c r="G2680" s="14">
        <f>IF(F2680&lt;&gt;"","按字段批注、数据字典和来源记录修正后复核","")</f>
        <v/>
      </c>
      <c r="H2680" s="14">
        <f>IF(F2680&lt;&gt;"","待处理","")</f>
        <v/>
      </c>
    </row>
    <row r="2681">
      <c r="A2681" s="14">
        <f>IF(F2681&lt;&gt;"","ISSUE-"&amp;TEXT(ROW()-1,"00000"),"")</f>
        <v/>
      </c>
      <c r="B2681" s="14">
        <f>IF(F2681&lt;&gt;"","错误","")</f>
        <v/>
      </c>
      <c r="C2681" s="14">
        <f>IF('07_动态状态'!A181&lt;&gt;"","07_动态状态","")</f>
        <v/>
      </c>
      <c r="D2681" s="14">
        <f>IF('07_动态状态'!A181&lt;&gt;"",'07_动态状态'!A181,"")</f>
        <v/>
      </c>
      <c r="E2681" s="14">
        <f>IF(F2681&lt;&gt;"","综合校验","")</f>
        <v/>
      </c>
      <c r="F2681" s="14">
        <f>IF('07_动态状态'!A181&lt;&gt;"",IF('07_动态状态'!A181="","缺少状态编码；","")&amp;IF('07_动态状态'!B181="","缺少状态名称；","")&amp;IF('07_动态状态'!C181="","缺少状态类别；","")&amp;IF(AND('07_动态状态'!A181&lt;&gt;"",COUNTIF('07_动态状态'!$A$2:$A$501,'07_动态状态'!A181)&gt;1),"ID重复；",""),"")</f>
        <v/>
      </c>
      <c r="G2681" s="14">
        <f>IF(F2681&lt;&gt;"","按字段批注、数据字典和来源记录修正后复核","")</f>
        <v/>
      </c>
      <c r="H2681" s="14">
        <f>IF(F2681&lt;&gt;"","待处理","")</f>
        <v/>
      </c>
    </row>
    <row r="2682">
      <c r="A2682" s="14">
        <f>IF(F2682&lt;&gt;"","ISSUE-"&amp;TEXT(ROW()-1,"00000"),"")</f>
        <v/>
      </c>
      <c r="B2682" s="14">
        <f>IF(F2682&lt;&gt;"","错误","")</f>
        <v/>
      </c>
      <c r="C2682" s="14">
        <f>IF('07_动态状态'!A182&lt;&gt;"","07_动态状态","")</f>
        <v/>
      </c>
      <c r="D2682" s="14">
        <f>IF('07_动态状态'!A182&lt;&gt;"",'07_动态状态'!A182,"")</f>
        <v/>
      </c>
      <c r="E2682" s="14">
        <f>IF(F2682&lt;&gt;"","综合校验","")</f>
        <v/>
      </c>
      <c r="F2682" s="14">
        <f>IF('07_动态状态'!A182&lt;&gt;"",IF('07_动态状态'!A182="","缺少状态编码；","")&amp;IF('07_动态状态'!B182="","缺少状态名称；","")&amp;IF('07_动态状态'!C182="","缺少状态类别；","")&amp;IF(AND('07_动态状态'!A182&lt;&gt;"",COUNTIF('07_动态状态'!$A$2:$A$501,'07_动态状态'!A182)&gt;1),"ID重复；",""),"")</f>
        <v/>
      </c>
      <c r="G2682" s="14">
        <f>IF(F2682&lt;&gt;"","按字段批注、数据字典和来源记录修正后复核","")</f>
        <v/>
      </c>
      <c r="H2682" s="14">
        <f>IF(F2682&lt;&gt;"","待处理","")</f>
        <v/>
      </c>
    </row>
    <row r="2683">
      <c r="A2683" s="14">
        <f>IF(F2683&lt;&gt;"","ISSUE-"&amp;TEXT(ROW()-1,"00000"),"")</f>
        <v/>
      </c>
      <c r="B2683" s="14">
        <f>IF(F2683&lt;&gt;"","错误","")</f>
        <v/>
      </c>
      <c r="C2683" s="14">
        <f>IF('07_动态状态'!A183&lt;&gt;"","07_动态状态","")</f>
        <v/>
      </c>
      <c r="D2683" s="14">
        <f>IF('07_动态状态'!A183&lt;&gt;"",'07_动态状态'!A183,"")</f>
        <v/>
      </c>
      <c r="E2683" s="14">
        <f>IF(F2683&lt;&gt;"","综合校验","")</f>
        <v/>
      </c>
      <c r="F2683" s="14">
        <f>IF('07_动态状态'!A183&lt;&gt;"",IF('07_动态状态'!A183="","缺少状态编码；","")&amp;IF('07_动态状态'!B183="","缺少状态名称；","")&amp;IF('07_动态状态'!C183="","缺少状态类别；","")&amp;IF(AND('07_动态状态'!A183&lt;&gt;"",COUNTIF('07_动态状态'!$A$2:$A$501,'07_动态状态'!A183)&gt;1),"ID重复；",""),"")</f>
        <v/>
      </c>
      <c r="G2683" s="14">
        <f>IF(F2683&lt;&gt;"","按字段批注、数据字典和来源记录修正后复核","")</f>
        <v/>
      </c>
      <c r="H2683" s="14">
        <f>IF(F2683&lt;&gt;"","待处理","")</f>
        <v/>
      </c>
    </row>
    <row r="2684">
      <c r="A2684" s="14">
        <f>IF(F2684&lt;&gt;"","ISSUE-"&amp;TEXT(ROW()-1,"00000"),"")</f>
        <v/>
      </c>
      <c r="B2684" s="14">
        <f>IF(F2684&lt;&gt;"","错误","")</f>
        <v/>
      </c>
      <c r="C2684" s="14">
        <f>IF('07_动态状态'!A184&lt;&gt;"","07_动态状态","")</f>
        <v/>
      </c>
      <c r="D2684" s="14">
        <f>IF('07_动态状态'!A184&lt;&gt;"",'07_动态状态'!A184,"")</f>
        <v/>
      </c>
      <c r="E2684" s="14">
        <f>IF(F2684&lt;&gt;"","综合校验","")</f>
        <v/>
      </c>
      <c r="F2684" s="14">
        <f>IF('07_动态状态'!A184&lt;&gt;"",IF('07_动态状态'!A184="","缺少状态编码；","")&amp;IF('07_动态状态'!B184="","缺少状态名称；","")&amp;IF('07_动态状态'!C184="","缺少状态类别；","")&amp;IF(AND('07_动态状态'!A184&lt;&gt;"",COUNTIF('07_动态状态'!$A$2:$A$501,'07_动态状态'!A184)&gt;1),"ID重复；",""),"")</f>
        <v/>
      </c>
      <c r="G2684" s="14">
        <f>IF(F2684&lt;&gt;"","按字段批注、数据字典和来源记录修正后复核","")</f>
        <v/>
      </c>
      <c r="H2684" s="14">
        <f>IF(F2684&lt;&gt;"","待处理","")</f>
        <v/>
      </c>
    </row>
    <row r="2685">
      <c r="A2685" s="14">
        <f>IF(F2685&lt;&gt;"","ISSUE-"&amp;TEXT(ROW()-1,"00000"),"")</f>
        <v/>
      </c>
      <c r="B2685" s="14">
        <f>IF(F2685&lt;&gt;"","错误","")</f>
        <v/>
      </c>
      <c r="C2685" s="14">
        <f>IF('07_动态状态'!A185&lt;&gt;"","07_动态状态","")</f>
        <v/>
      </c>
      <c r="D2685" s="14">
        <f>IF('07_动态状态'!A185&lt;&gt;"",'07_动态状态'!A185,"")</f>
        <v/>
      </c>
      <c r="E2685" s="14">
        <f>IF(F2685&lt;&gt;"","综合校验","")</f>
        <v/>
      </c>
      <c r="F2685" s="14">
        <f>IF('07_动态状态'!A185&lt;&gt;"",IF('07_动态状态'!A185="","缺少状态编码；","")&amp;IF('07_动态状态'!B185="","缺少状态名称；","")&amp;IF('07_动态状态'!C185="","缺少状态类别；","")&amp;IF(AND('07_动态状态'!A185&lt;&gt;"",COUNTIF('07_动态状态'!$A$2:$A$501,'07_动态状态'!A185)&gt;1),"ID重复；",""),"")</f>
        <v/>
      </c>
      <c r="G2685" s="14">
        <f>IF(F2685&lt;&gt;"","按字段批注、数据字典和来源记录修正后复核","")</f>
        <v/>
      </c>
      <c r="H2685" s="14">
        <f>IF(F2685&lt;&gt;"","待处理","")</f>
        <v/>
      </c>
    </row>
    <row r="2686">
      <c r="A2686" s="14">
        <f>IF(F2686&lt;&gt;"","ISSUE-"&amp;TEXT(ROW()-1,"00000"),"")</f>
        <v/>
      </c>
      <c r="B2686" s="14">
        <f>IF(F2686&lt;&gt;"","错误","")</f>
        <v/>
      </c>
      <c r="C2686" s="14">
        <f>IF('07_动态状态'!A186&lt;&gt;"","07_动态状态","")</f>
        <v/>
      </c>
      <c r="D2686" s="14">
        <f>IF('07_动态状态'!A186&lt;&gt;"",'07_动态状态'!A186,"")</f>
        <v/>
      </c>
      <c r="E2686" s="14">
        <f>IF(F2686&lt;&gt;"","综合校验","")</f>
        <v/>
      </c>
      <c r="F2686" s="14">
        <f>IF('07_动态状态'!A186&lt;&gt;"",IF('07_动态状态'!A186="","缺少状态编码；","")&amp;IF('07_动态状态'!B186="","缺少状态名称；","")&amp;IF('07_动态状态'!C186="","缺少状态类别；","")&amp;IF(AND('07_动态状态'!A186&lt;&gt;"",COUNTIF('07_动态状态'!$A$2:$A$501,'07_动态状态'!A186)&gt;1),"ID重复；",""),"")</f>
        <v/>
      </c>
      <c r="G2686" s="14">
        <f>IF(F2686&lt;&gt;"","按字段批注、数据字典和来源记录修正后复核","")</f>
        <v/>
      </c>
      <c r="H2686" s="14">
        <f>IF(F2686&lt;&gt;"","待处理","")</f>
        <v/>
      </c>
    </row>
    <row r="2687">
      <c r="A2687" s="14">
        <f>IF(F2687&lt;&gt;"","ISSUE-"&amp;TEXT(ROW()-1,"00000"),"")</f>
        <v/>
      </c>
      <c r="B2687" s="14">
        <f>IF(F2687&lt;&gt;"","错误","")</f>
        <v/>
      </c>
      <c r="C2687" s="14">
        <f>IF('07_动态状态'!A187&lt;&gt;"","07_动态状态","")</f>
        <v/>
      </c>
      <c r="D2687" s="14">
        <f>IF('07_动态状态'!A187&lt;&gt;"",'07_动态状态'!A187,"")</f>
        <v/>
      </c>
      <c r="E2687" s="14">
        <f>IF(F2687&lt;&gt;"","综合校验","")</f>
        <v/>
      </c>
      <c r="F2687" s="14">
        <f>IF('07_动态状态'!A187&lt;&gt;"",IF('07_动态状态'!A187="","缺少状态编码；","")&amp;IF('07_动态状态'!B187="","缺少状态名称；","")&amp;IF('07_动态状态'!C187="","缺少状态类别；","")&amp;IF(AND('07_动态状态'!A187&lt;&gt;"",COUNTIF('07_动态状态'!$A$2:$A$501,'07_动态状态'!A187)&gt;1),"ID重复；",""),"")</f>
        <v/>
      </c>
      <c r="G2687" s="14">
        <f>IF(F2687&lt;&gt;"","按字段批注、数据字典和来源记录修正后复核","")</f>
        <v/>
      </c>
      <c r="H2687" s="14">
        <f>IF(F2687&lt;&gt;"","待处理","")</f>
        <v/>
      </c>
    </row>
    <row r="2688">
      <c r="A2688" s="14">
        <f>IF(F2688&lt;&gt;"","ISSUE-"&amp;TEXT(ROW()-1,"00000"),"")</f>
        <v/>
      </c>
      <c r="B2688" s="14">
        <f>IF(F2688&lt;&gt;"","错误","")</f>
        <v/>
      </c>
      <c r="C2688" s="14">
        <f>IF('07_动态状态'!A188&lt;&gt;"","07_动态状态","")</f>
        <v/>
      </c>
      <c r="D2688" s="14">
        <f>IF('07_动态状态'!A188&lt;&gt;"",'07_动态状态'!A188,"")</f>
        <v/>
      </c>
      <c r="E2688" s="14">
        <f>IF(F2688&lt;&gt;"","综合校验","")</f>
        <v/>
      </c>
      <c r="F2688" s="14">
        <f>IF('07_动态状态'!A188&lt;&gt;"",IF('07_动态状态'!A188="","缺少状态编码；","")&amp;IF('07_动态状态'!B188="","缺少状态名称；","")&amp;IF('07_动态状态'!C188="","缺少状态类别；","")&amp;IF(AND('07_动态状态'!A188&lt;&gt;"",COUNTIF('07_动态状态'!$A$2:$A$501,'07_动态状态'!A188)&gt;1),"ID重复；",""),"")</f>
        <v/>
      </c>
      <c r="G2688" s="14">
        <f>IF(F2688&lt;&gt;"","按字段批注、数据字典和来源记录修正后复核","")</f>
        <v/>
      </c>
      <c r="H2688" s="14">
        <f>IF(F2688&lt;&gt;"","待处理","")</f>
        <v/>
      </c>
    </row>
    <row r="2689">
      <c r="A2689" s="14">
        <f>IF(F2689&lt;&gt;"","ISSUE-"&amp;TEXT(ROW()-1,"00000"),"")</f>
        <v/>
      </c>
      <c r="B2689" s="14">
        <f>IF(F2689&lt;&gt;"","错误","")</f>
        <v/>
      </c>
      <c r="C2689" s="14">
        <f>IF('07_动态状态'!A189&lt;&gt;"","07_动态状态","")</f>
        <v/>
      </c>
      <c r="D2689" s="14">
        <f>IF('07_动态状态'!A189&lt;&gt;"",'07_动态状态'!A189,"")</f>
        <v/>
      </c>
      <c r="E2689" s="14">
        <f>IF(F2689&lt;&gt;"","综合校验","")</f>
        <v/>
      </c>
      <c r="F2689" s="14">
        <f>IF('07_动态状态'!A189&lt;&gt;"",IF('07_动态状态'!A189="","缺少状态编码；","")&amp;IF('07_动态状态'!B189="","缺少状态名称；","")&amp;IF('07_动态状态'!C189="","缺少状态类别；","")&amp;IF(AND('07_动态状态'!A189&lt;&gt;"",COUNTIF('07_动态状态'!$A$2:$A$501,'07_动态状态'!A189)&gt;1),"ID重复；",""),"")</f>
        <v/>
      </c>
      <c r="G2689" s="14">
        <f>IF(F2689&lt;&gt;"","按字段批注、数据字典和来源记录修正后复核","")</f>
        <v/>
      </c>
      <c r="H2689" s="14">
        <f>IF(F2689&lt;&gt;"","待处理","")</f>
        <v/>
      </c>
    </row>
    <row r="2690">
      <c r="A2690" s="14">
        <f>IF(F2690&lt;&gt;"","ISSUE-"&amp;TEXT(ROW()-1,"00000"),"")</f>
        <v/>
      </c>
      <c r="B2690" s="14">
        <f>IF(F2690&lt;&gt;"","错误","")</f>
        <v/>
      </c>
      <c r="C2690" s="14">
        <f>IF('07_动态状态'!A190&lt;&gt;"","07_动态状态","")</f>
        <v/>
      </c>
      <c r="D2690" s="14">
        <f>IF('07_动态状态'!A190&lt;&gt;"",'07_动态状态'!A190,"")</f>
        <v/>
      </c>
      <c r="E2690" s="14">
        <f>IF(F2690&lt;&gt;"","综合校验","")</f>
        <v/>
      </c>
      <c r="F2690" s="14">
        <f>IF('07_动态状态'!A190&lt;&gt;"",IF('07_动态状态'!A190="","缺少状态编码；","")&amp;IF('07_动态状态'!B190="","缺少状态名称；","")&amp;IF('07_动态状态'!C190="","缺少状态类别；","")&amp;IF(AND('07_动态状态'!A190&lt;&gt;"",COUNTIF('07_动态状态'!$A$2:$A$501,'07_动态状态'!A190)&gt;1),"ID重复；",""),"")</f>
        <v/>
      </c>
      <c r="G2690" s="14">
        <f>IF(F2690&lt;&gt;"","按字段批注、数据字典和来源记录修正后复核","")</f>
        <v/>
      </c>
      <c r="H2690" s="14">
        <f>IF(F2690&lt;&gt;"","待处理","")</f>
        <v/>
      </c>
    </row>
    <row r="2691">
      <c r="A2691" s="14">
        <f>IF(F2691&lt;&gt;"","ISSUE-"&amp;TEXT(ROW()-1,"00000"),"")</f>
        <v/>
      </c>
      <c r="B2691" s="14">
        <f>IF(F2691&lt;&gt;"","错误","")</f>
        <v/>
      </c>
      <c r="C2691" s="14">
        <f>IF('07_动态状态'!A191&lt;&gt;"","07_动态状态","")</f>
        <v/>
      </c>
      <c r="D2691" s="14">
        <f>IF('07_动态状态'!A191&lt;&gt;"",'07_动态状态'!A191,"")</f>
        <v/>
      </c>
      <c r="E2691" s="14">
        <f>IF(F2691&lt;&gt;"","综合校验","")</f>
        <v/>
      </c>
      <c r="F2691" s="14">
        <f>IF('07_动态状态'!A191&lt;&gt;"",IF('07_动态状态'!A191="","缺少状态编码；","")&amp;IF('07_动态状态'!B191="","缺少状态名称；","")&amp;IF('07_动态状态'!C191="","缺少状态类别；","")&amp;IF(AND('07_动态状态'!A191&lt;&gt;"",COUNTIF('07_动态状态'!$A$2:$A$501,'07_动态状态'!A191)&gt;1),"ID重复；",""),"")</f>
        <v/>
      </c>
      <c r="G2691" s="14">
        <f>IF(F2691&lt;&gt;"","按字段批注、数据字典和来源记录修正后复核","")</f>
        <v/>
      </c>
      <c r="H2691" s="14">
        <f>IF(F2691&lt;&gt;"","待处理","")</f>
        <v/>
      </c>
    </row>
    <row r="2692">
      <c r="A2692" s="14">
        <f>IF(F2692&lt;&gt;"","ISSUE-"&amp;TEXT(ROW()-1,"00000"),"")</f>
        <v/>
      </c>
      <c r="B2692" s="14">
        <f>IF(F2692&lt;&gt;"","错误","")</f>
        <v/>
      </c>
      <c r="C2692" s="14">
        <f>IF('07_动态状态'!A192&lt;&gt;"","07_动态状态","")</f>
        <v/>
      </c>
      <c r="D2692" s="14">
        <f>IF('07_动态状态'!A192&lt;&gt;"",'07_动态状态'!A192,"")</f>
        <v/>
      </c>
      <c r="E2692" s="14">
        <f>IF(F2692&lt;&gt;"","综合校验","")</f>
        <v/>
      </c>
      <c r="F2692" s="14">
        <f>IF('07_动态状态'!A192&lt;&gt;"",IF('07_动态状态'!A192="","缺少状态编码；","")&amp;IF('07_动态状态'!B192="","缺少状态名称；","")&amp;IF('07_动态状态'!C192="","缺少状态类别；","")&amp;IF(AND('07_动态状态'!A192&lt;&gt;"",COUNTIF('07_动态状态'!$A$2:$A$501,'07_动态状态'!A192)&gt;1),"ID重复；",""),"")</f>
        <v/>
      </c>
      <c r="G2692" s="14">
        <f>IF(F2692&lt;&gt;"","按字段批注、数据字典和来源记录修正后复核","")</f>
        <v/>
      </c>
      <c r="H2692" s="14">
        <f>IF(F2692&lt;&gt;"","待处理","")</f>
        <v/>
      </c>
    </row>
    <row r="2693">
      <c r="A2693" s="14">
        <f>IF(F2693&lt;&gt;"","ISSUE-"&amp;TEXT(ROW()-1,"00000"),"")</f>
        <v/>
      </c>
      <c r="B2693" s="14">
        <f>IF(F2693&lt;&gt;"","错误","")</f>
        <v/>
      </c>
      <c r="C2693" s="14">
        <f>IF('07_动态状态'!A193&lt;&gt;"","07_动态状态","")</f>
        <v/>
      </c>
      <c r="D2693" s="14">
        <f>IF('07_动态状态'!A193&lt;&gt;"",'07_动态状态'!A193,"")</f>
        <v/>
      </c>
      <c r="E2693" s="14">
        <f>IF(F2693&lt;&gt;"","综合校验","")</f>
        <v/>
      </c>
      <c r="F2693" s="14">
        <f>IF('07_动态状态'!A193&lt;&gt;"",IF('07_动态状态'!A193="","缺少状态编码；","")&amp;IF('07_动态状态'!B193="","缺少状态名称；","")&amp;IF('07_动态状态'!C193="","缺少状态类别；","")&amp;IF(AND('07_动态状态'!A193&lt;&gt;"",COUNTIF('07_动态状态'!$A$2:$A$501,'07_动态状态'!A193)&gt;1),"ID重复；",""),"")</f>
        <v/>
      </c>
      <c r="G2693" s="14">
        <f>IF(F2693&lt;&gt;"","按字段批注、数据字典和来源记录修正后复核","")</f>
        <v/>
      </c>
      <c r="H2693" s="14">
        <f>IF(F2693&lt;&gt;"","待处理","")</f>
        <v/>
      </c>
    </row>
    <row r="2694">
      <c r="A2694" s="14">
        <f>IF(F2694&lt;&gt;"","ISSUE-"&amp;TEXT(ROW()-1,"00000"),"")</f>
        <v/>
      </c>
      <c r="B2694" s="14">
        <f>IF(F2694&lt;&gt;"","错误","")</f>
        <v/>
      </c>
      <c r="C2694" s="14">
        <f>IF('07_动态状态'!A194&lt;&gt;"","07_动态状态","")</f>
        <v/>
      </c>
      <c r="D2694" s="14">
        <f>IF('07_动态状态'!A194&lt;&gt;"",'07_动态状态'!A194,"")</f>
        <v/>
      </c>
      <c r="E2694" s="14">
        <f>IF(F2694&lt;&gt;"","综合校验","")</f>
        <v/>
      </c>
      <c r="F2694" s="14">
        <f>IF('07_动态状态'!A194&lt;&gt;"",IF('07_动态状态'!A194="","缺少状态编码；","")&amp;IF('07_动态状态'!B194="","缺少状态名称；","")&amp;IF('07_动态状态'!C194="","缺少状态类别；","")&amp;IF(AND('07_动态状态'!A194&lt;&gt;"",COUNTIF('07_动态状态'!$A$2:$A$501,'07_动态状态'!A194)&gt;1),"ID重复；",""),"")</f>
        <v/>
      </c>
      <c r="G2694" s="14">
        <f>IF(F2694&lt;&gt;"","按字段批注、数据字典和来源记录修正后复核","")</f>
        <v/>
      </c>
      <c r="H2694" s="14">
        <f>IF(F2694&lt;&gt;"","待处理","")</f>
        <v/>
      </c>
    </row>
    <row r="2695">
      <c r="A2695" s="14">
        <f>IF(F2695&lt;&gt;"","ISSUE-"&amp;TEXT(ROW()-1,"00000"),"")</f>
        <v/>
      </c>
      <c r="B2695" s="14">
        <f>IF(F2695&lt;&gt;"","错误","")</f>
        <v/>
      </c>
      <c r="C2695" s="14">
        <f>IF('07_动态状态'!A195&lt;&gt;"","07_动态状态","")</f>
        <v/>
      </c>
      <c r="D2695" s="14">
        <f>IF('07_动态状态'!A195&lt;&gt;"",'07_动态状态'!A195,"")</f>
        <v/>
      </c>
      <c r="E2695" s="14">
        <f>IF(F2695&lt;&gt;"","综合校验","")</f>
        <v/>
      </c>
      <c r="F2695" s="14">
        <f>IF('07_动态状态'!A195&lt;&gt;"",IF('07_动态状态'!A195="","缺少状态编码；","")&amp;IF('07_动态状态'!B195="","缺少状态名称；","")&amp;IF('07_动态状态'!C195="","缺少状态类别；","")&amp;IF(AND('07_动态状态'!A195&lt;&gt;"",COUNTIF('07_动态状态'!$A$2:$A$501,'07_动态状态'!A195)&gt;1),"ID重复；",""),"")</f>
        <v/>
      </c>
      <c r="G2695" s="14">
        <f>IF(F2695&lt;&gt;"","按字段批注、数据字典和来源记录修正后复核","")</f>
        <v/>
      </c>
      <c r="H2695" s="14">
        <f>IF(F2695&lt;&gt;"","待处理","")</f>
        <v/>
      </c>
    </row>
    <row r="2696">
      <c r="A2696" s="14">
        <f>IF(F2696&lt;&gt;"","ISSUE-"&amp;TEXT(ROW()-1,"00000"),"")</f>
        <v/>
      </c>
      <c r="B2696" s="14">
        <f>IF(F2696&lt;&gt;"","错误","")</f>
        <v/>
      </c>
      <c r="C2696" s="14">
        <f>IF('07_动态状态'!A196&lt;&gt;"","07_动态状态","")</f>
        <v/>
      </c>
      <c r="D2696" s="14">
        <f>IF('07_动态状态'!A196&lt;&gt;"",'07_动态状态'!A196,"")</f>
        <v/>
      </c>
      <c r="E2696" s="14">
        <f>IF(F2696&lt;&gt;"","综合校验","")</f>
        <v/>
      </c>
      <c r="F2696" s="14">
        <f>IF('07_动态状态'!A196&lt;&gt;"",IF('07_动态状态'!A196="","缺少状态编码；","")&amp;IF('07_动态状态'!B196="","缺少状态名称；","")&amp;IF('07_动态状态'!C196="","缺少状态类别；","")&amp;IF(AND('07_动态状态'!A196&lt;&gt;"",COUNTIF('07_动态状态'!$A$2:$A$501,'07_动态状态'!A196)&gt;1),"ID重复；",""),"")</f>
        <v/>
      </c>
      <c r="G2696" s="14">
        <f>IF(F2696&lt;&gt;"","按字段批注、数据字典和来源记录修正后复核","")</f>
        <v/>
      </c>
      <c r="H2696" s="14">
        <f>IF(F2696&lt;&gt;"","待处理","")</f>
        <v/>
      </c>
    </row>
    <row r="2697">
      <c r="A2697" s="14">
        <f>IF(F2697&lt;&gt;"","ISSUE-"&amp;TEXT(ROW()-1,"00000"),"")</f>
        <v/>
      </c>
      <c r="B2697" s="14">
        <f>IF(F2697&lt;&gt;"","错误","")</f>
        <v/>
      </c>
      <c r="C2697" s="14">
        <f>IF('07_动态状态'!A197&lt;&gt;"","07_动态状态","")</f>
        <v/>
      </c>
      <c r="D2697" s="14">
        <f>IF('07_动态状态'!A197&lt;&gt;"",'07_动态状态'!A197,"")</f>
        <v/>
      </c>
      <c r="E2697" s="14">
        <f>IF(F2697&lt;&gt;"","综合校验","")</f>
        <v/>
      </c>
      <c r="F2697" s="14">
        <f>IF('07_动态状态'!A197&lt;&gt;"",IF('07_动态状态'!A197="","缺少状态编码；","")&amp;IF('07_动态状态'!B197="","缺少状态名称；","")&amp;IF('07_动态状态'!C197="","缺少状态类别；","")&amp;IF(AND('07_动态状态'!A197&lt;&gt;"",COUNTIF('07_动态状态'!$A$2:$A$501,'07_动态状态'!A197)&gt;1),"ID重复；",""),"")</f>
        <v/>
      </c>
      <c r="G2697" s="14">
        <f>IF(F2697&lt;&gt;"","按字段批注、数据字典和来源记录修正后复核","")</f>
        <v/>
      </c>
      <c r="H2697" s="14">
        <f>IF(F2697&lt;&gt;"","待处理","")</f>
        <v/>
      </c>
    </row>
    <row r="2698">
      <c r="A2698" s="14">
        <f>IF(F2698&lt;&gt;"","ISSUE-"&amp;TEXT(ROW()-1,"00000"),"")</f>
        <v/>
      </c>
      <c r="B2698" s="14">
        <f>IF(F2698&lt;&gt;"","错误","")</f>
        <v/>
      </c>
      <c r="C2698" s="14">
        <f>IF('07_动态状态'!A198&lt;&gt;"","07_动态状态","")</f>
        <v/>
      </c>
      <c r="D2698" s="14">
        <f>IF('07_动态状态'!A198&lt;&gt;"",'07_动态状态'!A198,"")</f>
        <v/>
      </c>
      <c r="E2698" s="14">
        <f>IF(F2698&lt;&gt;"","综合校验","")</f>
        <v/>
      </c>
      <c r="F2698" s="14">
        <f>IF('07_动态状态'!A198&lt;&gt;"",IF('07_动态状态'!A198="","缺少状态编码；","")&amp;IF('07_动态状态'!B198="","缺少状态名称；","")&amp;IF('07_动态状态'!C198="","缺少状态类别；","")&amp;IF(AND('07_动态状态'!A198&lt;&gt;"",COUNTIF('07_动态状态'!$A$2:$A$501,'07_动态状态'!A198)&gt;1),"ID重复；",""),"")</f>
        <v/>
      </c>
      <c r="G2698" s="14">
        <f>IF(F2698&lt;&gt;"","按字段批注、数据字典和来源记录修正后复核","")</f>
        <v/>
      </c>
      <c r="H2698" s="14">
        <f>IF(F2698&lt;&gt;"","待处理","")</f>
        <v/>
      </c>
    </row>
    <row r="2699">
      <c r="A2699" s="14">
        <f>IF(F2699&lt;&gt;"","ISSUE-"&amp;TEXT(ROW()-1,"00000"),"")</f>
        <v/>
      </c>
      <c r="B2699" s="14">
        <f>IF(F2699&lt;&gt;"","错误","")</f>
        <v/>
      </c>
      <c r="C2699" s="14">
        <f>IF('07_动态状态'!A199&lt;&gt;"","07_动态状态","")</f>
        <v/>
      </c>
      <c r="D2699" s="14">
        <f>IF('07_动态状态'!A199&lt;&gt;"",'07_动态状态'!A199,"")</f>
        <v/>
      </c>
      <c r="E2699" s="14">
        <f>IF(F2699&lt;&gt;"","综合校验","")</f>
        <v/>
      </c>
      <c r="F2699" s="14">
        <f>IF('07_动态状态'!A199&lt;&gt;"",IF('07_动态状态'!A199="","缺少状态编码；","")&amp;IF('07_动态状态'!B199="","缺少状态名称；","")&amp;IF('07_动态状态'!C199="","缺少状态类别；","")&amp;IF(AND('07_动态状态'!A199&lt;&gt;"",COUNTIF('07_动态状态'!$A$2:$A$501,'07_动态状态'!A199)&gt;1),"ID重复；",""),"")</f>
        <v/>
      </c>
      <c r="G2699" s="14">
        <f>IF(F2699&lt;&gt;"","按字段批注、数据字典和来源记录修正后复核","")</f>
        <v/>
      </c>
      <c r="H2699" s="14">
        <f>IF(F2699&lt;&gt;"","待处理","")</f>
        <v/>
      </c>
    </row>
    <row r="2700">
      <c r="A2700" s="14">
        <f>IF(F2700&lt;&gt;"","ISSUE-"&amp;TEXT(ROW()-1,"00000"),"")</f>
        <v/>
      </c>
      <c r="B2700" s="14">
        <f>IF(F2700&lt;&gt;"","错误","")</f>
        <v/>
      </c>
      <c r="C2700" s="14">
        <f>IF('07_动态状态'!A200&lt;&gt;"","07_动态状态","")</f>
        <v/>
      </c>
      <c r="D2700" s="14">
        <f>IF('07_动态状态'!A200&lt;&gt;"",'07_动态状态'!A200,"")</f>
        <v/>
      </c>
      <c r="E2700" s="14">
        <f>IF(F2700&lt;&gt;"","综合校验","")</f>
        <v/>
      </c>
      <c r="F2700" s="14">
        <f>IF('07_动态状态'!A200&lt;&gt;"",IF('07_动态状态'!A200="","缺少状态编码；","")&amp;IF('07_动态状态'!B200="","缺少状态名称；","")&amp;IF('07_动态状态'!C200="","缺少状态类别；","")&amp;IF(AND('07_动态状态'!A200&lt;&gt;"",COUNTIF('07_动态状态'!$A$2:$A$501,'07_动态状态'!A200)&gt;1),"ID重复；",""),"")</f>
        <v/>
      </c>
      <c r="G2700" s="14">
        <f>IF(F2700&lt;&gt;"","按字段批注、数据字典和来源记录修正后复核","")</f>
        <v/>
      </c>
      <c r="H2700" s="14">
        <f>IF(F2700&lt;&gt;"","待处理","")</f>
        <v/>
      </c>
    </row>
    <row r="2701">
      <c r="A2701" s="14">
        <f>IF(F2701&lt;&gt;"","ISSUE-"&amp;TEXT(ROW()-1,"00000"),"")</f>
        <v/>
      </c>
      <c r="B2701" s="14">
        <f>IF(F2701&lt;&gt;"","错误","")</f>
        <v/>
      </c>
      <c r="C2701" s="14">
        <f>IF('07_动态状态'!A201&lt;&gt;"","07_动态状态","")</f>
        <v/>
      </c>
      <c r="D2701" s="14">
        <f>IF('07_动态状态'!A201&lt;&gt;"",'07_动态状态'!A201,"")</f>
        <v/>
      </c>
      <c r="E2701" s="14">
        <f>IF(F2701&lt;&gt;"","综合校验","")</f>
        <v/>
      </c>
      <c r="F2701" s="14">
        <f>IF('07_动态状态'!A201&lt;&gt;"",IF('07_动态状态'!A201="","缺少状态编码；","")&amp;IF('07_动态状态'!B201="","缺少状态名称；","")&amp;IF('07_动态状态'!C201="","缺少状态类别；","")&amp;IF(AND('07_动态状态'!A201&lt;&gt;"",COUNTIF('07_动态状态'!$A$2:$A$501,'07_动态状态'!A201)&gt;1),"ID重复；",""),"")</f>
        <v/>
      </c>
      <c r="G2701" s="14">
        <f>IF(F2701&lt;&gt;"","按字段批注、数据字典和来源记录修正后复核","")</f>
        <v/>
      </c>
      <c r="H2701" s="14">
        <f>IF(F2701&lt;&gt;"","待处理","")</f>
        <v/>
      </c>
    </row>
    <row r="2702">
      <c r="A2702" s="14">
        <f>IF(F2702&lt;&gt;"","ISSUE-"&amp;TEXT(ROW()-1,"00000"),"")</f>
        <v/>
      </c>
      <c r="B2702" s="14">
        <f>IF(F2702&lt;&gt;"","错误","")</f>
        <v/>
      </c>
      <c r="C2702" s="14">
        <f>IF('07_动态状态'!A202&lt;&gt;"","07_动态状态","")</f>
        <v/>
      </c>
      <c r="D2702" s="14">
        <f>IF('07_动态状态'!A202&lt;&gt;"",'07_动态状态'!A202,"")</f>
        <v/>
      </c>
      <c r="E2702" s="14">
        <f>IF(F2702&lt;&gt;"","综合校验","")</f>
        <v/>
      </c>
      <c r="F2702" s="14">
        <f>IF('07_动态状态'!A202&lt;&gt;"",IF('07_动态状态'!A202="","缺少状态编码；","")&amp;IF('07_动态状态'!B202="","缺少状态名称；","")&amp;IF('07_动态状态'!C202="","缺少状态类别；","")&amp;IF(AND('07_动态状态'!A202&lt;&gt;"",COUNTIF('07_动态状态'!$A$2:$A$501,'07_动态状态'!A202)&gt;1),"ID重复；",""),"")</f>
        <v/>
      </c>
      <c r="G2702" s="14">
        <f>IF(F2702&lt;&gt;"","按字段批注、数据字典和来源记录修正后复核","")</f>
        <v/>
      </c>
      <c r="H2702" s="14">
        <f>IF(F2702&lt;&gt;"","待处理","")</f>
        <v/>
      </c>
    </row>
    <row r="2703">
      <c r="A2703" s="14">
        <f>IF(F2703&lt;&gt;"","ISSUE-"&amp;TEXT(ROW()-1,"00000"),"")</f>
        <v/>
      </c>
      <c r="B2703" s="14">
        <f>IF(F2703&lt;&gt;"","错误","")</f>
        <v/>
      </c>
      <c r="C2703" s="14">
        <f>IF('07_动态状态'!A203&lt;&gt;"","07_动态状态","")</f>
        <v/>
      </c>
      <c r="D2703" s="14">
        <f>IF('07_动态状态'!A203&lt;&gt;"",'07_动态状态'!A203,"")</f>
        <v/>
      </c>
      <c r="E2703" s="14">
        <f>IF(F2703&lt;&gt;"","综合校验","")</f>
        <v/>
      </c>
      <c r="F2703" s="14">
        <f>IF('07_动态状态'!A203&lt;&gt;"",IF('07_动态状态'!A203="","缺少状态编码；","")&amp;IF('07_动态状态'!B203="","缺少状态名称；","")&amp;IF('07_动态状态'!C203="","缺少状态类别；","")&amp;IF(AND('07_动态状态'!A203&lt;&gt;"",COUNTIF('07_动态状态'!$A$2:$A$501,'07_动态状态'!A203)&gt;1),"ID重复；",""),"")</f>
        <v/>
      </c>
      <c r="G2703" s="14">
        <f>IF(F2703&lt;&gt;"","按字段批注、数据字典和来源记录修正后复核","")</f>
        <v/>
      </c>
      <c r="H2703" s="14">
        <f>IF(F2703&lt;&gt;"","待处理","")</f>
        <v/>
      </c>
    </row>
    <row r="2704">
      <c r="A2704" s="14">
        <f>IF(F2704&lt;&gt;"","ISSUE-"&amp;TEXT(ROW()-1,"00000"),"")</f>
        <v/>
      </c>
      <c r="B2704" s="14">
        <f>IF(F2704&lt;&gt;"","错误","")</f>
        <v/>
      </c>
      <c r="C2704" s="14">
        <f>IF('07_动态状态'!A204&lt;&gt;"","07_动态状态","")</f>
        <v/>
      </c>
      <c r="D2704" s="14">
        <f>IF('07_动态状态'!A204&lt;&gt;"",'07_动态状态'!A204,"")</f>
        <v/>
      </c>
      <c r="E2704" s="14">
        <f>IF(F2704&lt;&gt;"","综合校验","")</f>
        <v/>
      </c>
      <c r="F2704" s="14">
        <f>IF('07_动态状态'!A204&lt;&gt;"",IF('07_动态状态'!A204="","缺少状态编码；","")&amp;IF('07_动态状态'!B204="","缺少状态名称；","")&amp;IF('07_动态状态'!C204="","缺少状态类别；","")&amp;IF(AND('07_动态状态'!A204&lt;&gt;"",COUNTIF('07_动态状态'!$A$2:$A$501,'07_动态状态'!A204)&gt;1),"ID重复；",""),"")</f>
        <v/>
      </c>
      <c r="G2704" s="14">
        <f>IF(F2704&lt;&gt;"","按字段批注、数据字典和来源记录修正后复核","")</f>
        <v/>
      </c>
      <c r="H2704" s="14">
        <f>IF(F2704&lt;&gt;"","待处理","")</f>
        <v/>
      </c>
    </row>
    <row r="2705">
      <c r="A2705" s="14">
        <f>IF(F2705&lt;&gt;"","ISSUE-"&amp;TEXT(ROW()-1,"00000"),"")</f>
        <v/>
      </c>
      <c r="B2705" s="14">
        <f>IF(F2705&lt;&gt;"","错误","")</f>
        <v/>
      </c>
      <c r="C2705" s="14">
        <f>IF('07_动态状态'!A205&lt;&gt;"","07_动态状态","")</f>
        <v/>
      </c>
      <c r="D2705" s="14">
        <f>IF('07_动态状态'!A205&lt;&gt;"",'07_动态状态'!A205,"")</f>
        <v/>
      </c>
      <c r="E2705" s="14">
        <f>IF(F2705&lt;&gt;"","综合校验","")</f>
        <v/>
      </c>
      <c r="F2705" s="14">
        <f>IF('07_动态状态'!A205&lt;&gt;"",IF('07_动态状态'!A205="","缺少状态编码；","")&amp;IF('07_动态状态'!B205="","缺少状态名称；","")&amp;IF('07_动态状态'!C205="","缺少状态类别；","")&amp;IF(AND('07_动态状态'!A205&lt;&gt;"",COUNTIF('07_动态状态'!$A$2:$A$501,'07_动态状态'!A205)&gt;1),"ID重复；",""),"")</f>
        <v/>
      </c>
      <c r="G2705" s="14">
        <f>IF(F2705&lt;&gt;"","按字段批注、数据字典和来源记录修正后复核","")</f>
        <v/>
      </c>
      <c r="H2705" s="14">
        <f>IF(F2705&lt;&gt;"","待处理","")</f>
        <v/>
      </c>
    </row>
    <row r="2706">
      <c r="A2706" s="14">
        <f>IF(F2706&lt;&gt;"","ISSUE-"&amp;TEXT(ROW()-1,"00000"),"")</f>
        <v/>
      </c>
      <c r="B2706" s="14">
        <f>IF(F2706&lt;&gt;"","错误","")</f>
        <v/>
      </c>
      <c r="C2706" s="14">
        <f>IF('07_动态状态'!A206&lt;&gt;"","07_动态状态","")</f>
        <v/>
      </c>
      <c r="D2706" s="14">
        <f>IF('07_动态状态'!A206&lt;&gt;"",'07_动态状态'!A206,"")</f>
        <v/>
      </c>
      <c r="E2706" s="14">
        <f>IF(F2706&lt;&gt;"","综合校验","")</f>
        <v/>
      </c>
      <c r="F2706" s="14">
        <f>IF('07_动态状态'!A206&lt;&gt;"",IF('07_动态状态'!A206="","缺少状态编码；","")&amp;IF('07_动态状态'!B206="","缺少状态名称；","")&amp;IF('07_动态状态'!C206="","缺少状态类别；","")&amp;IF(AND('07_动态状态'!A206&lt;&gt;"",COUNTIF('07_动态状态'!$A$2:$A$501,'07_动态状态'!A206)&gt;1),"ID重复；",""),"")</f>
        <v/>
      </c>
      <c r="G2706" s="14">
        <f>IF(F2706&lt;&gt;"","按字段批注、数据字典和来源记录修正后复核","")</f>
        <v/>
      </c>
      <c r="H2706" s="14">
        <f>IF(F2706&lt;&gt;"","待处理","")</f>
        <v/>
      </c>
    </row>
    <row r="2707">
      <c r="A2707" s="14">
        <f>IF(F2707&lt;&gt;"","ISSUE-"&amp;TEXT(ROW()-1,"00000"),"")</f>
        <v/>
      </c>
      <c r="B2707" s="14">
        <f>IF(F2707&lt;&gt;"","错误","")</f>
        <v/>
      </c>
      <c r="C2707" s="14">
        <f>IF('07_动态状态'!A207&lt;&gt;"","07_动态状态","")</f>
        <v/>
      </c>
      <c r="D2707" s="14">
        <f>IF('07_动态状态'!A207&lt;&gt;"",'07_动态状态'!A207,"")</f>
        <v/>
      </c>
      <c r="E2707" s="14">
        <f>IF(F2707&lt;&gt;"","综合校验","")</f>
        <v/>
      </c>
      <c r="F2707" s="14">
        <f>IF('07_动态状态'!A207&lt;&gt;"",IF('07_动态状态'!A207="","缺少状态编码；","")&amp;IF('07_动态状态'!B207="","缺少状态名称；","")&amp;IF('07_动态状态'!C207="","缺少状态类别；","")&amp;IF(AND('07_动态状态'!A207&lt;&gt;"",COUNTIF('07_动态状态'!$A$2:$A$501,'07_动态状态'!A207)&gt;1),"ID重复；",""),"")</f>
        <v/>
      </c>
      <c r="G2707" s="14">
        <f>IF(F2707&lt;&gt;"","按字段批注、数据字典和来源记录修正后复核","")</f>
        <v/>
      </c>
      <c r="H2707" s="14">
        <f>IF(F2707&lt;&gt;"","待处理","")</f>
        <v/>
      </c>
    </row>
    <row r="2708">
      <c r="A2708" s="14">
        <f>IF(F2708&lt;&gt;"","ISSUE-"&amp;TEXT(ROW()-1,"00000"),"")</f>
        <v/>
      </c>
      <c r="B2708" s="14">
        <f>IF(F2708&lt;&gt;"","错误","")</f>
        <v/>
      </c>
      <c r="C2708" s="14">
        <f>IF('07_动态状态'!A208&lt;&gt;"","07_动态状态","")</f>
        <v/>
      </c>
      <c r="D2708" s="14">
        <f>IF('07_动态状态'!A208&lt;&gt;"",'07_动态状态'!A208,"")</f>
        <v/>
      </c>
      <c r="E2708" s="14">
        <f>IF(F2708&lt;&gt;"","综合校验","")</f>
        <v/>
      </c>
      <c r="F2708" s="14">
        <f>IF('07_动态状态'!A208&lt;&gt;"",IF('07_动态状态'!A208="","缺少状态编码；","")&amp;IF('07_动态状态'!B208="","缺少状态名称；","")&amp;IF('07_动态状态'!C208="","缺少状态类别；","")&amp;IF(AND('07_动态状态'!A208&lt;&gt;"",COUNTIF('07_动态状态'!$A$2:$A$501,'07_动态状态'!A208)&gt;1),"ID重复；",""),"")</f>
        <v/>
      </c>
      <c r="G2708" s="14">
        <f>IF(F2708&lt;&gt;"","按字段批注、数据字典和来源记录修正后复核","")</f>
        <v/>
      </c>
      <c r="H2708" s="14">
        <f>IF(F2708&lt;&gt;"","待处理","")</f>
        <v/>
      </c>
    </row>
    <row r="2709">
      <c r="A2709" s="14">
        <f>IF(F2709&lt;&gt;"","ISSUE-"&amp;TEXT(ROW()-1,"00000"),"")</f>
        <v/>
      </c>
      <c r="B2709" s="14">
        <f>IF(F2709&lt;&gt;"","错误","")</f>
        <v/>
      </c>
      <c r="C2709" s="14">
        <f>IF('07_动态状态'!A209&lt;&gt;"","07_动态状态","")</f>
        <v/>
      </c>
      <c r="D2709" s="14">
        <f>IF('07_动态状态'!A209&lt;&gt;"",'07_动态状态'!A209,"")</f>
        <v/>
      </c>
      <c r="E2709" s="14">
        <f>IF(F2709&lt;&gt;"","综合校验","")</f>
        <v/>
      </c>
      <c r="F2709" s="14">
        <f>IF('07_动态状态'!A209&lt;&gt;"",IF('07_动态状态'!A209="","缺少状态编码；","")&amp;IF('07_动态状态'!B209="","缺少状态名称；","")&amp;IF('07_动态状态'!C209="","缺少状态类别；","")&amp;IF(AND('07_动态状态'!A209&lt;&gt;"",COUNTIF('07_动态状态'!$A$2:$A$501,'07_动态状态'!A209)&gt;1),"ID重复；",""),"")</f>
        <v/>
      </c>
      <c r="G2709" s="14">
        <f>IF(F2709&lt;&gt;"","按字段批注、数据字典和来源记录修正后复核","")</f>
        <v/>
      </c>
      <c r="H2709" s="14">
        <f>IF(F2709&lt;&gt;"","待处理","")</f>
        <v/>
      </c>
    </row>
    <row r="2710">
      <c r="A2710" s="14">
        <f>IF(F2710&lt;&gt;"","ISSUE-"&amp;TEXT(ROW()-1,"00000"),"")</f>
        <v/>
      </c>
      <c r="B2710" s="14">
        <f>IF(F2710&lt;&gt;"","错误","")</f>
        <v/>
      </c>
      <c r="C2710" s="14">
        <f>IF('07_动态状态'!A210&lt;&gt;"","07_动态状态","")</f>
        <v/>
      </c>
      <c r="D2710" s="14">
        <f>IF('07_动态状态'!A210&lt;&gt;"",'07_动态状态'!A210,"")</f>
        <v/>
      </c>
      <c r="E2710" s="14">
        <f>IF(F2710&lt;&gt;"","综合校验","")</f>
        <v/>
      </c>
      <c r="F2710" s="14">
        <f>IF('07_动态状态'!A210&lt;&gt;"",IF('07_动态状态'!A210="","缺少状态编码；","")&amp;IF('07_动态状态'!B210="","缺少状态名称；","")&amp;IF('07_动态状态'!C210="","缺少状态类别；","")&amp;IF(AND('07_动态状态'!A210&lt;&gt;"",COUNTIF('07_动态状态'!$A$2:$A$501,'07_动态状态'!A210)&gt;1),"ID重复；",""),"")</f>
        <v/>
      </c>
      <c r="G2710" s="14">
        <f>IF(F2710&lt;&gt;"","按字段批注、数据字典和来源记录修正后复核","")</f>
        <v/>
      </c>
      <c r="H2710" s="14">
        <f>IF(F2710&lt;&gt;"","待处理","")</f>
        <v/>
      </c>
    </row>
    <row r="2711">
      <c r="A2711" s="14">
        <f>IF(F2711&lt;&gt;"","ISSUE-"&amp;TEXT(ROW()-1,"00000"),"")</f>
        <v/>
      </c>
      <c r="B2711" s="14">
        <f>IF(F2711&lt;&gt;"","错误","")</f>
        <v/>
      </c>
      <c r="C2711" s="14">
        <f>IF('07_动态状态'!A211&lt;&gt;"","07_动态状态","")</f>
        <v/>
      </c>
      <c r="D2711" s="14">
        <f>IF('07_动态状态'!A211&lt;&gt;"",'07_动态状态'!A211,"")</f>
        <v/>
      </c>
      <c r="E2711" s="14">
        <f>IF(F2711&lt;&gt;"","综合校验","")</f>
        <v/>
      </c>
      <c r="F2711" s="14">
        <f>IF('07_动态状态'!A211&lt;&gt;"",IF('07_动态状态'!A211="","缺少状态编码；","")&amp;IF('07_动态状态'!B211="","缺少状态名称；","")&amp;IF('07_动态状态'!C211="","缺少状态类别；","")&amp;IF(AND('07_动态状态'!A211&lt;&gt;"",COUNTIF('07_动态状态'!$A$2:$A$501,'07_动态状态'!A211)&gt;1),"ID重复；",""),"")</f>
        <v/>
      </c>
      <c r="G2711" s="14">
        <f>IF(F2711&lt;&gt;"","按字段批注、数据字典和来源记录修正后复核","")</f>
        <v/>
      </c>
      <c r="H2711" s="14">
        <f>IF(F2711&lt;&gt;"","待处理","")</f>
        <v/>
      </c>
    </row>
    <row r="2712">
      <c r="A2712" s="14">
        <f>IF(F2712&lt;&gt;"","ISSUE-"&amp;TEXT(ROW()-1,"00000"),"")</f>
        <v/>
      </c>
      <c r="B2712" s="14">
        <f>IF(F2712&lt;&gt;"","错误","")</f>
        <v/>
      </c>
      <c r="C2712" s="14">
        <f>IF('07_动态状态'!A212&lt;&gt;"","07_动态状态","")</f>
        <v/>
      </c>
      <c r="D2712" s="14">
        <f>IF('07_动态状态'!A212&lt;&gt;"",'07_动态状态'!A212,"")</f>
        <v/>
      </c>
      <c r="E2712" s="14">
        <f>IF(F2712&lt;&gt;"","综合校验","")</f>
        <v/>
      </c>
      <c r="F2712" s="14">
        <f>IF('07_动态状态'!A212&lt;&gt;"",IF('07_动态状态'!A212="","缺少状态编码；","")&amp;IF('07_动态状态'!B212="","缺少状态名称；","")&amp;IF('07_动态状态'!C212="","缺少状态类别；","")&amp;IF(AND('07_动态状态'!A212&lt;&gt;"",COUNTIF('07_动态状态'!$A$2:$A$501,'07_动态状态'!A212)&gt;1),"ID重复；",""),"")</f>
        <v/>
      </c>
      <c r="G2712" s="14">
        <f>IF(F2712&lt;&gt;"","按字段批注、数据字典和来源记录修正后复核","")</f>
        <v/>
      </c>
      <c r="H2712" s="14">
        <f>IF(F2712&lt;&gt;"","待处理","")</f>
        <v/>
      </c>
    </row>
    <row r="2713">
      <c r="A2713" s="14">
        <f>IF(F2713&lt;&gt;"","ISSUE-"&amp;TEXT(ROW()-1,"00000"),"")</f>
        <v/>
      </c>
      <c r="B2713" s="14">
        <f>IF(F2713&lt;&gt;"","错误","")</f>
        <v/>
      </c>
      <c r="C2713" s="14">
        <f>IF('07_动态状态'!A213&lt;&gt;"","07_动态状态","")</f>
        <v/>
      </c>
      <c r="D2713" s="14">
        <f>IF('07_动态状态'!A213&lt;&gt;"",'07_动态状态'!A213,"")</f>
        <v/>
      </c>
      <c r="E2713" s="14">
        <f>IF(F2713&lt;&gt;"","综合校验","")</f>
        <v/>
      </c>
      <c r="F2713" s="14">
        <f>IF('07_动态状态'!A213&lt;&gt;"",IF('07_动态状态'!A213="","缺少状态编码；","")&amp;IF('07_动态状态'!B213="","缺少状态名称；","")&amp;IF('07_动态状态'!C213="","缺少状态类别；","")&amp;IF(AND('07_动态状态'!A213&lt;&gt;"",COUNTIF('07_动态状态'!$A$2:$A$501,'07_动态状态'!A213)&gt;1),"ID重复；",""),"")</f>
        <v/>
      </c>
      <c r="G2713" s="14">
        <f>IF(F2713&lt;&gt;"","按字段批注、数据字典和来源记录修正后复核","")</f>
        <v/>
      </c>
      <c r="H2713" s="14">
        <f>IF(F2713&lt;&gt;"","待处理","")</f>
        <v/>
      </c>
    </row>
    <row r="2714">
      <c r="A2714" s="14">
        <f>IF(F2714&lt;&gt;"","ISSUE-"&amp;TEXT(ROW()-1,"00000"),"")</f>
        <v/>
      </c>
      <c r="B2714" s="14">
        <f>IF(F2714&lt;&gt;"","错误","")</f>
        <v/>
      </c>
      <c r="C2714" s="14">
        <f>IF('07_动态状态'!A214&lt;&gt;"","07_动态状态","")</f>
        <v/>
      </c>
      <c r="D2714" s="14">
        <f>IF('07_动态状态'!A214&lt;&gt;"",'07_动态状态'!A214,"")</f>
        <v/>
      </c>
      <c r="E2714" s="14">
        <f>IF(F2714&lt;&gt;"","综合校验","")</f>
        <v/>
      </c>
      <c r="F2714" s="14">
        <f>IF('07_动态状态'!A214&lt;&gt;"",IF('07_动态状态'!A214="","缺少状态编码；","")&amp;IF('07_动态状态'!B214="","缺少状态名称；","")&amp;IF('07_动态状态'!C214="","缺少状态类别；","")&amp;IF(AND('07_动态状态'!A214&lt;&gt;"",COUNTIF('07_动态状态'!$A$2:$A$501,'07_动态状态'!A214)&gt;1),"ID重复；",""),"")</f>
        <v/>
      </c>
      <c r="G2714" s="14">
        <f>IF(F2714&lt;&gt;"","按字段批注、数据字典和来源记录修正后复核","")</f>
        <v/>
      </c>
      <c r="H2714" s="14">
        <f>IF(F2714&lt;&gt;"","待处理","")</f>
        <v/>
      </c>
    </row>
    <row r="2715">
      <c r="A2715" s="14">
        <f>IF(F2715&lt;&gt;"","ISSUE-"&amp;TEXT(ROW()-1,"00000"),"")</f>
        <v/>
      </c>
      <c r="B2715" s="14">
        <f>IF(F2715&lt;&gt;"","错误","")</f>
        <v/>
      </c>
      <c r="C2715" s="14">
        <f>IF('07_动态状态'!A215&lt;&gt;"","07_动态状态","")</f>
        <v/>
      </c>
      <c r="D2715" s="14">
        <f>IF('07_动态状态'!A215&lt;&gt;"",'07_动态状态'!A215,"")</f>
        <v/>
      </c>
      <c r="E2715" s="14">
        <f>IF(F2715&lt;&gt;"","综合校验","")</f>
        <v/>
      </c>
      <c r="F2715" s="14">
        <f>IF('07_动态状态'!A215&lt;&gt;"",IF('07_动态状态'!A215="","缺少状态编码；","")&amp;IF('07_动态状态'!B215="","缺少状态名称；","")&amp;IF('07_动态状态'!C215="","缺少状态类别；","")&amp;IF(AND('07_动态状态'!A215&lt;&gt;"",COUNTIF('07_动态状态'!$A$2:$A$501,'07_动态状态'!A215)&gt;1),"ID重复；",""),"")</f>
        <v/>
      </c>
      <c r="G2715" s="14">
        <f>IF(F2715&lt;&gt;"","按字段批注、数据字典和来源记录修正后复核","")</f>
        <v/>
      </c>
      <c r="H2715" s="14">
        <f>IF(F2715&lt;&gt;"","待处理","")</f>
        <v/>
      </c>
    </row>
    <row r="2716">
      <c r="A2716" s="14">
        <f>IF(F2716&lt;&gt;"","ISSUE-"&amp;TEXT(ROW()-1,"00000"),"")</f>
        <v/>
      </c>
      <c r="B2716" s="14">
        <f>IF(F2716&lt;&gt;"","错误","")</f>
        <v/>
      </c>
      <c r="C2716" s="14">
        <f>IF('07_动态状态'!A216&lt;&gt;"","07_动态状态","")</f>
        <v/>
      </c>
      <c r="D2716" s="14">
        <f>IF('07_动态状态'!A216&lt;&gt;"",'07_动态状态'!A216,"")</f>
        <v/>
      </c>
      <c r="E2716" s="14">
        <f>IF(F2716&lt;&gt;"","综合校验","")</f>
        <v/>
      </c>
      <c r="F2716" s="14">
        <f>IF('07_动态状态'!A216&lt;&gt;"",IF('07_动态状态'!A216="","缺少状态编码；","")&amp;IF('07_动态状态'!B216="","缺少状态名称；","")&amp;IF('07_动态状态'!C216="","缺少状态类别；","")&amp;IF(AND('07_动态状态'!A216&lt;&gt;"",COUNTIF('07_动态状态'!$A$2:$A$501,'07_动态状态'!A216)&gt;1),"ID重复；",""),"")</f>
        <v/>
      </c>
      <c r="G2716" s="14">
        <f>IF(F2716&lt;&gt;"","按字段批注、数据字典和来源记录修正后复核","")</f>
        <v/>
      </c>
      <c r="H2716" s="14">
        <f>IF(F2716&lt;&gt;"","待处理","")</f>
        <v/>
      </c>
    </row>
    <row r="2717">
      <c r="A2717" s="14">
        <f>IF(F2717&lt;&gt;"","ISSUE-"&amp;TEXT(ROW()-1,"00000"),"")</f>
        <v/>
      </c>
      <c r="B2717" s="14">
        <f>IF(F2717&lt;&gt;"","错误","")</f>
        <v/>
      </c>
      <c r="C2717" s="14">
        <f>IF('07_动态状态'!A217&lt;&gt;"","07_动态状态","")</f>
        <v/>
      </c>
      <c r="D2717" s="14">
        <f>IF('07_动态状态'!A217&lt;&gt;"",'07_动态状态'!A217,"")</f>
        <v/>
      </c>
      <c r="E2717" s="14">
        <f>IF(F2717&lt;&gt;"","综合校验","")</f>
        <v/>
      </c>
      <c r="F2717" s="14">
        <f>IF('07_动态状态'!A217&lt;&gt;"",IF('07_动态状态'!A217="","缺少状态编码；","")&amp;IF('07_动态状态'!B217="","缺少状态名称；","")&amp;IF('07_动态状态'!C217="","缺少状态类别；","")&amp;IF(AND('07_动态状态'!A217&lt;&gt;"",COUNTIF('07_动态状态'!$A$2:$A$501,'07_动态状态'!A217)&gt;1),"ID重复；",""),"")</f>
        <v/>
      </c>
      <c r="G2717" s="14">
        <f>IF(F2717&lt;&gt;"","按字段批注、数据字典和来源记录修正后复核","")</f>
        <v/>
      </c>
      <c r="H2717" s="14">
        <f>IF(F2717&lt;&gt;"","待处理","")</f>
        <v/>
      </c>
    </row>
    <row r="2718">
      <c r="A2718" s="14">
        <f>IF(F2718&lt;&gt;"","ISSUE-"&amp;TEXT(ROW()-1,"00000"),"")</f>
        <v/>
      </c>
      <c r="B2718" s="14">
        <f>IF(F2718&lt;&gt;"","错误","")</f>
        <v/>
      </c>
      <c r="C2718" s="14">
        <f>IF('07_动态状态'!A218&lt;&gt;"","07_动态状态","")</f>
        <v/>
      </c>
      <c r="D2718" s="14">
        <f>IF('07_动态状态'!A218&lt;&gt;"",'07_动态状态'!A218,"")</f>
        <v/>
      </c>
      <c r="E2718" s="14">
        <f>IF(F2718&lt;&gt;"","综合校验","")</f>
        <v/>
      </c>
      <c r="F2718" s="14">
        <f>IF('07_动态状态'!A218&lt;&gt;"",IF('07_动态状态'!A218="","缺少状态编码；","")&amp;IF('07_动态状态'!B218="","缺少状态名称；","")&amp;IF('07_动态状态'!C218="","缺少状态类别；","")&amp;IF(AND('07_动态状态'!A218&lt;&gt;"",COUNTIF('07_动态状态'!$A$2:$A$501,'07_动态状态'!A218)&gt;1),"ID重复；",""),"")</f>
        <v/>
      </c>
      <c r="G2718" s="14">
        <f>IF(F2718&lt;&gt;"","按字段批注、数据字典和来源记录修正后复核","")</f>
        <v/>
      </c>
      <c r="H2718" s="14">
        <f>IF(F2718&lt;&gt;"","待处理","")</f>
        <v/>
      </c>
    </row>
    <row r="2719">
      <c r="A2719" s="14">
        <f>IF(F2719&lt;&gt;"","ISSUE-"&amp;TEXT(ROW()-1,"00000"),"")</f>
        <v/>
      </c>
      <c r="B2719" s="14">
        <f>IF(F2719&lt;&gt;"","错误","")</f>
        <v/>
      </c>
      <c r="C2719" s="14">
        <f>IF('07_动态状态'!A219&lt;&gt;"","07_动态状态","")</f>
        <v/>
      </c>
      <c r="D2719" s="14">
        <f>IF('07_动态状态'!A219&lt;&gt;"",'07_动态状态'!A219,"")</f>
        <v/>
      </c>
      <c r="E2719" s="14">
        <f>IF(F2719&lt;&gt;"","综合校验","")</f>
        <v/>
      </c>
      <c r="F2719" s="14">
        <f>IF('07_动态状态'!A219&lt;&gt;"",IF('07_动态状态'!A219="","缺少状态编码；","")&amp;IF('07_动态状态'!B219="","缺少状态名称；","")&amp;IF('07_动态状态'!C219="","缺少状态类别；","")&amp;IF(AND('07_动态状态'!A219&lt;&gt;"",COUNTIF('07_动态状态'!$A$2:$A$501,'07_动态状态'!A219)&gt;1),"ID重复；",""),"")</f>
        <v/>
      </c>
      <c r="G2719" s="14">
        <f>IF(F2719&lt;&gt;"","按字段批注、数据字典和来源记录修正后复核","")</f>
        <v/>
      </c>
      <c r="H2719" s="14">
        <f>IF(F2719&lt;&gt;"","待处理","")</f>
        <v/>
      </c>
    </row>
    <row r="2720">
      <c r="A2720" s="14">
        <f>IF(F2720&lt;&gt;"","ISSUE-"&amp;TEXT(ROW()-1,"00000"),"")</f>
        <v/>
      </c>
      <c r="B2720" s="14">
        <f>IF(F2720&lt;&gt;"","错误","")</f>
        <v/>
      </c>
      <c r="C2720" s="14">
        <f>IF('07_动态状态'!A220&lt;&gt;"","07_动态状态","")</f>
        <v/>
      </c>
      <c r="D2720" s="14">
        <f>IF('07_动态状态'!A220&lt;&gt;"",'07_动态状态'!A220,"")</f>
        <v/>
      </c>
      <c r="E2720" s="14">
        <f>IF(F2720&lt;&gt;"","综合校验","")</f>
        <v/>
      </c>
      <c r="F2720" s="14">
        <f>IF('07_动态状态'!A220&lt;&gt;"",IF('07_动态状态'!A220="","缺少状态编码；","")&amp;IF('07_动态状态'!B220="","缺少状态名称；","")&amp;IF('07_动态状态'!C220="","缺少状态类别；","")&amp;IF(AND('07_动态状态'!A220&lt;&gt;"",COUNTIF('07_动态状态'!$A$2:$A$501,'07_动态状态'!A220)&gt;1),"ID重复；",""),"")</f>
        <v/>
      </c>
      <c r="G2720" s="14">
        <f>IF(F2720&lt;&gt;"","按字段批注、数据字典和来源记录修正后复核","")</f>
        <v/>
      </c>
      <c r="H2720" s="14">
        <f>IF(F2720&lt;&gt;"","待处理","")</f>
        <v/>
      </c>
    </row>
    <row r="2721">
      <c r="A2721" s="14">
        <f>IF(F2721&lt;&gt;"","ISSUE-"&amp;TEXT(ROW()-1,"00000"),"")</f>
        <v/>
      </c>
      <c r="B2721" s="14">
        <f>IF(F2721&lt;&gt;"","错误","")</f>
        <v/>
      </c>
      <c r="C2721" s="14">
        <f>IF('07_动态状态'!A221&lt;&gt;"","07_动态状态","")</f>
        <v/>
      </c>
      <c r="D2721" s="14">
        <f>IF('07_动态状态'!A221&lt;&gt;"",'07_动态状态'!A221,"")</f>
        <v/>
      </c>
      <c r="E2721" s="14">
        <f>IF(F2721&lt;&gt;"","综合校验","")</f>
        <v/>
      </c>
      <c r="F2721" s="14">
        <f>IF('07_动态状态'!A221&lt;&gt;"",IF('07_动态状态'!A221="","缺少状态编码；","")&amp;IF('07_动态状态'!B221="","缺少状态名称；","")&amp;IF('07_动态状态'!C221="","缺少状态类别；","")&amp;IF(AND('07_动态状态'!A221&lt;&gt;"",COUNTIF('07_动态状态'!$A$2:$A$501,'07_动态状态'!A221)&gt;1),"ID重复；",""),"")</f>
        <v/>
      </c>
      <c r="G2721" s="14">
        <f>IF(F2721&lt;&gt;"","按字段批注、数据字典和来源记录修正后复核","")</f>
        <v/>
      </c>
      <c r="H2721" s="14">
        <f>IF(F2721&lt;&gt;"","待处理","")</f>
        <v/>
      </c>
    </row>
    <row r="2722">
      <c r="A2722" s="14">
        <f>IF(F2722&lt;&gt;"","ISSUE-"&amp;TEXT(ROW()-1,"00000"),"")</f>
        <v/>
      </c>
      <c r="B2722" s="14">
        <f>IF(F2722&lt;&gt;"","错误","")</f>
        <v/>
      </c>
      <c r="C2722" s="14">
        <f>IF('07_动态状态'!A222&lt;&gt;"","07_动态状态","")</f>
        <v/>
      </c>
      <c r="D2722" s="14">
        <f>IF('07_动态状态'!A222&lt;&gt;"",'07_动态状态'!A222,"")</f>
        <v/>
      </c>
      <c r="E2722" s="14">
        <f>IF(F2722&lt;&gt;"","综合校验","")</f>
        <v/>
      </c>
      <c r="F2722" s="14">
        <f>IF('07_动态状态'!A222&lt;&gt;"",IF('07_动态状态'!A222="","缺少状态编码；","")&amp;IF('07_动态状态'!B222="","缺少状态名称；","")&amp;IF('07_动态状态'!C222="","缺少状态类别；","")&amp;IF(AND('07_动态状态'!A222&lt;&gt;"",COUNTIF('07_动态状态'!$A$2:$A$501,'07_动态状态'!A222)&gt;1),"ID重复；",""),"")</f>
        <v/>
      </c>
      <c r="G2722" s="14">
        <f>IF(F2722&lt;&gt;"","按字段批注、数据字典和来源记录修正后复核","")</f>
        <v/>
      </c>
      <c r="H2722" s="14">
        <f>IF(F2722&lt;&gt;"","待处理","")</f>
        <v/>
      </c>
    </row>
    <row r="2723">
      <c r="A2723" s="14">
        <f>IF(F2723&lt;&gt;"","ISSUE-"&amp;TEXT(ROW()-1,"00000"),"")</f>
        <v/>
      </c>
      <c r="B2723" s="14">
        <f>IF(F2723&lt;&gt;"","错误","")</f>
        <v/>
      </c>
      <c r="C2723" s="14">
        <f>IF('07_动态状态'!A223&lt;&gt;"","07_动态状态","")</f>
        <v/>
      </c>
      <c r="D2723" s="14">
        <f>IF('07_动态状态'!A223&lt;&gt;"",'07_动态状态'!A223,"")</f>
        <v/>
      </c>
      <c r="E2723" s="14">
        <f>IF(F2723&lt;&gt;"","综合校验","")</f>
        <v/>
      </c>
      <c r="F2723" s="14">
        <f>IF('07_动态状态'!A223&lt;&gt;"",IF('07_动态状态'!A223="","缺少状态编码；","")&amp;IF('07_动态状态'!B223="","缺少状态名称；","")&amp;IF('07_动态状态'!C223="","缺少状态类别；","")&amp;IF(AND('07_动态状态'!A223&lt;&gt;"",COUNTIF('07_动态状态'!$A$2:$A$501,'07_动态状态'!A223)&gt;1),"ID重复；",""),"")</f>
        <v/>
      </c>
      <c r="G2723" s="14">
        <f>IF(F2723&lt;&gt;"","按字段批注、数据字典和来源记录修正后复核","")</f>
        <v/>
      </c>
      <c r="H2723" s="14">
        <f>IF(F2723&lt;&gt;"","待处理","")</f>
        <v/>
      </c>
    </row>
    <row r="2724">
      <c r="A2724" s="14">
        <f>IF(F2724&lt;&gt;"","ISSUE-"&amp;TEXT(ROW()-1,"00000"),"")</f>
        <v/>
      </c>
      <c r="B2724" s="14">
        <f>IF(F2724&lt;&gt;"","错误","")</f>
        <v/>
      </c>
      <c r="C2724" s="14">
        <f>IF('07_动态状态'!A224&lt;&gt;"","07_动态状态","")</f>
        <v/>
      </c>
      <c r="D2724" s="14">
        <f>IF('07_动态状态'!A224&lt;&gt;"",'07_动态状态'!A224,"")</f>
        <v/>
      </c>
      <c r="E2724" s="14">
        <f>IF(F2724&lt;&gt;"","综合校验","")</f>
        <v/>
      </c>
      <c r="F2724" s="14">
        <f>IF('07_动态状态'!A224&lt;&gt;"",IF('07_动态状态'!A224="","缺少状态编码；","")&amp;IF('07_动态状态'!B224="","缺少状态名称；","")&amp;IF('07_动态状态'!C224="","缺少状态类别；","")&amp;IF(AND('07_动态状态'!A224&lt;&gt;"",COUNTIF('07_动态状态'!$A$2:$A$501,'07_动态状态'!A224)&gt;1),"ID重复；",""),"")</f>
        <v/>
      </c>
      <c r="G2724" s="14">
        <f>IF(F2724&lt;&gt;"","按字段批注、数据字典和来源记录修正后复核","")</f>
        <v/>
      </c>
      <c r="H2724" s="14">
        <f>IF(F2724&lt;&gt;"","待处理","")</f>
        <v/>
      </c>
    </row>
    <row r="2725">
      <c r="A2725" s="14">
        <f>IF(F2725&lt;&gt;"","ISSUE-"&amp;TEXT(ROW()-1,"00000"),"")</f>
        <v/>
      </c>
      <c r="B2725" s="14">
        <f>IF(F2725&lt;&gt;"","错误","")</f>
        <v/>
      </c>
      <c r="C2725" s="14">
        <f>IF('07_动态状态'!A225&lt;&gt;"","07_动态状态","")</f>
        <v/>
      </c>
      <c r="D2725" s="14">
        <f>IF('07_动态状态'!A225&lt;&gt;"",'07_动态状态'!A225,"")</f>
        <v/>
      </c>
      <c r="E2725" s="14">
        <f>IF(F2725&lt;&gt;"","综合校验","")</f>
        <v/>
      </c>
      <c r="F2725" s="14">
        <f>IF('07_动态状态'!A225&lt;&gt;"",IF('07_动态状态'!A225="","缺少状态编码；","")&amp;IF('07_动态状态'!B225="","缺少状态名称；","")&amp;IF('07_动态状态'!C225="","缺少状态类别；","")&amp;IF(AND('07_动态状态'!A225&lt;&gt;"",COUNTIF('07_动态状态'!$A$2:$A$501,'07_动态状态'!A225)&gt;1),"ID重复；",""),"")</f>
        <v/>
      </c>
      <c r="G2725" s="14">
        <f>IF(F2725&lt;&gt;"","按字段批注、数据字典和来源记录修正后复核","")</f>
        <v/>
      </c>
      <c r="H2725" s="14">
        <f>IF(F2725&lt;&gt;"","待处理","")</f>
        <v/>
      </c>
    </row>
    <row r="2726">
      <c r="A2726" s="14">
        <f>IF(F2726&lt;&gt;"","ISSUE-"&amp;TEXT(ROW()-1,"00000"),"")</f>
        <v/>
      </c>
      <c r="B2726" s="14">
        <f>IF(F2726&lt;&gt;"","错误","")</f>
        <v/>
      </c>
      <c r="C2726" s="14">
        <f>IF('07_动态状态'!A226&lt;&gt;"","07_动态状态","")</f>
        <v/>
      </c>
      <c r="D2726" s="14">
        <f>IF('07_动态状态'!A226&lt;&gt;"",'07_动态状态'!A226,"")</f>
        <v/>
      </c>
      <c r="E2726" s="14">
        <f>IF(F2726&lt;&gt;"","综合校验","")</f>
        <v/>
      </c>
      <c r="F2726" s="14">
        <f>IF('07_动态状态'!A226&lt;&gt;"",IF('07_动态状态'!A226="","缺少状态编码；","")&amp;IF('07_动态状态'!B226="","缺少状态名称；","")&amp;IF('07_动态状态'!C226="","缺少状态类别；","")&amp;IF(AND('07_动态状态'!A226&lt;&gt;"",COUNTIF('07_动态状态'!$A$2:$A$501,'07_动态状态'!A226)&gt;1),"ID重复；",""),"")</f>
        <v/>
      </c>
      <c r="G2726" s="14">
        <f>IF(F2726&lt;&gt;"","按字段批注、数据字典和来源记录修正后复核","")</f>
        <v/>
      </c>
      <c r="H2726" s="14">
        <f>IF(F2726&lt;&gt;"","待处理","")</f>
        <v/>
      </c>
    </row>
    <row r="2727">
      <c r="A2727" s="14">
        <f>IF(F2727&lt;&gt;"","ISSUE-"&amp;TEXT(ROW()-1,"00000"),"")</f>
        <v/>
      </c>
      <c r="B2727" s="14">
        <f>IF(F2727&lt;&gt;"","错误","")</f>
        <v/>
      </c>
      <c r="C2727" s="14">
        <f>IF('07_动态状态'!A227&lt;&gt;"","07_动态状态","")</f>
        <v/>
      </c>
      <c r="D2727" s="14">
        <f>IF('07_动态状态'!A227&lt;&gt;"",'07_动态状态'!A227,"")</f>
        <v/>
      </c>
      <c r="E2727" s="14">
        <f>IF(F2727&lt;&gt;"","综合校验","")</f>
        <v/>
      </c>
      <c r="F2727" s="14">
        <f>IF('07_动态状态'!A227&lt;&gt;"",IF('07_动态状态'!A227="","缺少状态编码；","")&amp;IF('07_动态状态'!B227="","缺少状态名称；","")&amp;IF('07_动态状态'!C227="","缺少状态类别；","")&amp;IF(AND('07_动态状态'!A227&lt;&gt;"",COUNTIF('07_动态状态'!$A$2:$A$501,'07_动态状态'!A227)&gt;1),"ID重复；",""),"")</f>
        <v/>
      </c>
      <c r="G2727" s="14">
        <f>IF(F2727&lt;&gt;"","按字段批注、数据字典和来源记录修正后复核","")</f>
        <v/>
      </c>
      <c r="H2727" s="14">
        <f>IF(F2727&lt;&gt;"","待处理","")</f>
        <v/>
      </c>
    </row>
    <row r="2728">
      <c r="A2728" s="14">
        <f>IF(F2728&lt;&gt;"","ISSUE-"&amp;TEXT(ROW()-1,"00000"),"")</f>
        <v/>
      </c>
      <c r="B2728" s="14">
        <f>IF(F2728&lt;&gt;"","错误","")</f>
        <v/>
      </c>
      <c r="C2728" s="14">
        <f>IF('07_动态状态'!A228&lt;&gt;"","07_动态状态","")</f>
        <v/>
      </c>
      <c r="D2728" s="14">
        <f>IF('07_动态状态'!A228&lt;&gt;"",'07_动态状态'!A228,"")</f>
        <v/>
      </c>
      <c r="E2728" s="14">
        <f>IF(F2728&lt;&gt;"","综合校验","")</f>
        <v/>
      </c>
      <c r="F2728" s="14">
        <f>IF('07_动态状态'!A228&lt;&gt;"",IF('07_动态状态'!A228="","缺少状态编码；","")&amp;IF('07_动态状态'!B228="","缺少状态名称；","")&amp;IF('07_动态状态'!C228="","缺少状态类别；","")&amp;IF(AND('07_动态状态'!A228&lt;&gt;"",COUNTIF('07_动态状态'!$A$2:$A$501,'07_动态状态'!A228)&gt;1),"ID重复；",""),"")</f>
        <v/>
      </c>
      <c r="G2728" s="14">
        <f>IF(F2728&lt;&gt;"","按字段批注、数据字典和来源记录修正后复核","")</f>
        <v/>
      </c>
      <c r="H2728" s="14">
        <f>IF(F2728&lt;&gt;"","待处理","")</f>
        <v/>
      </c>
    </row>
    <row r="2729">
      <c r="A2729" s="14">
        <f>IF(F2729&lt;&gt;"","ISSUE-"&amp;TEXT(ROW()-1,"00000"),"")</f>
        <v/>
      </c>
      <c r="B2729" s="14">
        <f>IF(F2729&lt;&gt;"","错误","")</f>
        <v/>
      </c>
      <c r="C2729" s="14">
        <f>IF('07_动态状态'!A229&lt;&gt;"","07_动态状态","")</f>
        <v/>
      </c>
      <c r="D2729" s="14">
        <f>IF('07_动态状态'!A229&lt;&gt;"",'07_动态状态'!A229,"")</f>
        <v/>
      </c>
      <c r="E2729" s="14">
        <f>IF(F2729&lt;&gt;"","综合校验","")</f>
        <v/>
      </c>
      <c r="F2729" s="14">
        <f>IF('07_动态状态'!A229&lt;&gt;"",IF('07_动态状态'!A229="","缺少状态编码；","")&amp;IF('07_动态状态'!B229="","缺少状态名称；","")&amp;IF('07_动态状态'!C229="","缺少状态类别；","")&amp;IF(AND('07_动态状态'!A229&lt;&gt;"",COUNTIF('07_动态状态'!$A$2:$A$501,'07_动态状态'!A229)&gt;1),"ID重复；",""),"")</f>
        <v/>
      </c>
      <c r="G2729" s="14">
        <f>IF(F2729&lt;&gt;"","按字段批注、数据字典和来源记录修正后复核","")</f>
        <v/>
      </c>
      <c r="H2729" s="14">
        <f>IF(F2729&lt;&gt;"","待处理","")</f>
        <v/>
      </c>
    </row>
    <row r="2730">
      <c r="A2730" s="14">
        <f>IF(F2730&lt;&gt;"","ISSUE-"&amp;TEXT(ROW()-1,"00000"),"")</f>
        <v/>
      </c>
      <c r="B2730" s="14">
        <f>IF(F2730&lt;&gt;"","错误","")</f>
        <v/>
      </c>
      <c r="C2730" s="14">
        <f>IF('07_动态状态'!A230&lt;&gt;"","07_动态状态","")</f>
        <v/>
      </c>
      <c r="D2730" s="14">
        <f>IF('07_动态状态'!A230&lt;&gt;"",'07_动态状态'!A230,"")</f>
        <v/>
      </c>
      <c r="E2730" s="14">
        <f>IF(F2730&lt;&gt;"","综合校验","")</f>
        <v/>
      </c>
      <c r="F2730" s="14">
        <f>IF('07_动态状态'!A230&lt;&gt;"",IF('07_动态状态'!A230="","缺少状态编码；","")&amp;IF('07_动态状态'!B230="","缺少状态名称；","")&amp;IF('07_动态状态'!C230="","缺少状态类别；","")&amp;IF(AND('07_动态状态'!A230&lt;&gt;"",COUNTIF('07_动态状态'!$A$2:$A$501,'07_动态状态'!A230)&gt;1),"ID重复；",""),"")</f>
        <v/>
      </c>
      <c r="G2730" s="14">
        <f>IF(F2730&lt;&gt;"","按字段批注、数据字典和来源记录修正后复核","")</f>
        <v/>
      </c>
      <c r="H2730" s="14">
        <f>IF(F2730&lt;&gt;"","待处理","")</f>
        <v/>
      </c>
    </row>
    <row r="2731">
      <c r="A2731" s="14">
        <f>IF(F2731&lt;&gt;"","ISSUE-"&amp;TEXT(ROW()-1,"00000"),"")</f>
        <v/>
      </c>
      <c r="B2731" s="14">
        <f>IF(F2731&lt;&gt;"","错误","")</f>
        <v/>
      </c>
      <c r="C2731" s="14">
        <f>IF('07_动态状态'!A231&lt;&gt;"","07_动态状态","")</f>
        <v/>
      </c>
      <c r="D2731" s="14">
        <f>IF('07_动态状态'!A231&lt;&gt;"",'07_动态状态'!A231,"")</f>
        <v/>
      </c>
      <c r="E2731" s="14">
        <f>IF(F2731&lt;&gt;"","综合校验","")</f>
        <v/>
      </c>
      <c r="F2731" s="14">
        <f>IF('07_动态状态'!A231&lt;&gt;"",IF('07_动态状态'!A231="","缺少状态编码；","")&amp;IF('07_动态状态'!B231="","缺少状态名称；","")&amp;IF('07_动态状态'!C231="","缺少状态类别；","")&amp;IF(AND('07_动态状态'!A231&lt;&gt;"",COUNTIF('07_动态状态'!$A$2:$A$501,'07_动态状态'!A231)&gt;1),"ID重复；",""),"")</f>
        <v/>
      </c>
      <c r="G2731" s="14">
        <f>IF(F2731&lt;&gt;"","按字段批注、数据字典和来源记录修正后复核","")</f>
        <v/>
      </c>
      <c r="H2731" s="14">
        <f>IF(F2731&lt;&gt;"","待处理","")</f>
        <v/>
      </c>
    </row>
    <row r="2732">
      <c r="A2732" s="14">
        <f>IF(F2732&lt;&gt;"","ISSUE-"&amp;TEXT(ROW()-1,"00000"),"")</f>
        <v/>
      </c>
      <c r="B2732" s="14">
        <f>IF(F2732&lt;&gt;"","错误","")</f>
        <v/>
      </c>
      <c r="C2732" s="14">
        <f>IF('07_动态状态'!A232&lt;&gt;"","07_动态状态","")</f>
        <v/>
      </c>
      <c r="D2732" s="14">
        <f>IF('07_动态状态'!A232&lt;&gt;"",'07_动态状态'!A232,"")</f>
        <v/>
      </c>
      <c r="E2732" s="14">
        <f>IF(F2732&lt;&gt;"","综合校验","")</f>
        <v/>
      </c>
      <c r="F2732" s="14">
        <f>IF('07_动态状态'!A232&lt;&gt;"",IF('07_动态状态'!A232="","缺少状态编码；","")&amp;IF('07_动态状态'!B232="","缺少状态名称；","")&amp;IF('07_动态状态'!C232="","缺少状态类别；","")&amp;IF(AND('07_动态状态'!A232&lt;&gt;"",COUNTIF('07_动态状态'!$A$2:$A$501,'07_动态状态'!A232)&gt;1),"ID重复；",""),"")</f>
        <v/>
      </c>
      <c r="G2732" s="14">
        <f>IF(F2732&lt;&gt;"","按字段批注、数据字典和来源记录修正后复核","")</f>
        <v/>
      </c>
      <c r="H2732" s="14">
        <f>IF(F2732&lt;&gt;"","待处理","")</f>
        <v/>
      </c>
    </row>
    <row r="2733">
      <c r="A2733" s="14">
        <f>IF(F2733&lt;&gt;"","ISSUE-"&amp;TEXT(ROW()-1,"00000"),"")</f>
        <v/>
      </c>
      <c r="B2733" s="14">
        <f>IF(F2733&lt;&gt;"","错误","")</f>
        <v/>
      </c>
      <c r="C2733" s="14">
        <f>IF('07_动态状态'!A233&lt;&gt;"","07_动态状态","")</f>
        <v/>
      </c>
      <c r="D2733" s="14">
        <f>IF('07_动态状态'!A233&lt;&gt;"",'07_动态状态'!A233,"")</f>
        <v/>
      </c>
      <c r="E2733" s="14">
        <f>IF(F2733&lt;&gt;"","综合校验","")</f>
        <v/>
      </c>
      <c r="F2733" s="14">
        <f>IF('07_动态状态'!A233&lt;&gt;"",IF('07_动态状态'!A233="","缺少状态编码；","")&amp;IF('07_动态状态'!B233="","缺少状态名称；","")&amp;IF('07_动态状态'!C233="","缺少状态类别；","")&amp;IF(AND('07_动态状态'!A233&lt;&gt;"",COUNTIF('07_动态状态'!$A$2:$A$501,'07_动态状态'!A233)&gt;1),"ID重复；",""),"")</f>
        <v/>
      </c>
      <c r="G2733" s="14">
        <f>IF(F2733&lt;&gt;"","按字段批注、数据字典和来源记录修正后复核","")</f>
        <v/>
      </c>
      <c r="H2733" s="14">
        <f>IF(F2733&lt;&gt;"","待处理","")</f>
        <v/>
      </c>
    </row>
    <row r="2734">
      <c r="A2734" s="14">
        <f>IF(F2734&lt;&gt;"","ISSUE-"&amp;TEXT(ROW()-1,"00000"),"")</f>
        <v/>
      </c>
      <c r="B2734" s="14">
        <f>IF(F2734&lt;&gt;"","错误","")</f>
        <v/>
      </c>
      <c r="C2734" s="14">
        <f>IF('07_动态状态'!A234&lt;&gt;"","07_动态状态","")</f>
        <v/>
      </c>
      <c r="D2734" s="14">
        <f>IF('07_动态状态'!A234&lt;&gt;"",'07_动态状态'!A234,"")</f>
        <v/>
      </c>
      <c r="E2734" s="14">
        <f>IF(F2734&lt;&gt;"","综合校验","")</f>
        <v/>
      </c>
      <c r="F2734" s="14">
        <f>IF('07_动态状态'!A234&lt;&gt;"",IF('07_动态状态'!A234="","缺少状态编码；","")&amp;IF('07_动态状态'!B234="","缺少状态名称；","")&amp;IF('07_动态状态'!C234="","缺少状态类别；","")&amp;IF(AND('07_动态状态'!A234&lt;&gt;"",COUNTIF('07_动态状态'!$A$2:$A$501,'07_动态状态'!A234)&gt;1),"ID重复；",""),"")</f>
        <v/>
      </c>
      <c r="G2734" s="14">
        <f>IF(F2734&lt;&gt;"","按字段批注、数据字典和来源记录修正后复核","")</f>
        <v/>
      </c>
      <c r="H2734" s="14">
        <f>IF(F2734&lt;&gt;"","待处理","")</f>
        <v/>
      </c>
    </row>
    <row r="2735">
      <c r="A2735" s="14">
        <f>IF(F2735&lt;&gt;"","ISSUE-"&amp;TEXT(ROW()-1,"00000"),"")</f>
        <v/>
      </c>
      <c r="B2735" s="14">
        <f>IF(F2735&lt;&gt;"","错误","")</f>
        <v/>
      </c>
      <c r="C2735" s="14">
        <f>IF('07_动态状态'!A235&lt;&gt;"","07_动态状态","")</f>
        <v/>
      </c>
      <c r="D2735" s="14">
        <f>IF('07_动态状态'!A235&lt;&gt;"",'07_动态状态'!A235,"")</f>
        <v/>
      </c>
      <c r="E2735" s="14">
        <f>IF(F2735&lt;&gt;"","综合校验","")</f>
        <v/>
      </c>
      <c r="F2735" s="14">
        <f>IF('07_动态状态'!A235&lt;&gt;"",IF('07_动态状态'!A235="","缺少状态编码；","")&amp;IF('07_动态状态'!B235="","缺少状态名称；","")&amp;IF('07_动态状态'!C235="","缺少状态类别；","")&amp;IF(AND('07_动态状态'!A235&lt;&gt;"",COUNTIF('07_动态状态'!$A$2:$A$501,'07_动态状态'!A235)&gt;1),"ID重复；",""),"")</f>
        <v/>
      </c>
      <c r="G2735" s="14">
        <f>IF(F2735&lt;&gt;"","按字段批注、数据字典和来源记录修正后复核","")</f>
        <v/>
      </c>
      <c r="H2735" s="14">
        <f>IF(F2735&lt;&gt;"","待处理","")</f>
        <v/>
      </c>
    </row>
    <row r="2736">
      <c r="A2736" s="14">
        <f>IF(F2736&lt;&gt;"","ISSUE-"&amp;TEXT(ROW()-1,"00000"),"")</f>
        <v/>
      </c>
      <c r="B2736" s="14">
        <f>IF(F2736&lt;&gt;"","错误","")</f>
        <v/>
      </c>
      <c r="C2736" s="14">
        <f>IF('07_动态状态'!A236&lt;&gt;"","07_动态状态","")</f>
        <v/>
      </c>
      <c r="D2736" s="14">
        <f>IF('07_动态状态'!A236&lt;&gt;"",'07_动态状态'!A236,"")</f>
        <v/>
      </c>
      <c r="E2736" s="14">
        <f>IF(F2736&lt;&gt;"","综合校验","")</f>
        <v/>
      </c>
      <c r="F2736" s="14">
        <f>IF('07_动态状态'!A236&lt;&gt;"",IF('07_动态状态'!A236="","缺少状态编码；","")&amp;IF('07_动态状态'!B236="","缺少状态名称；","")&amp;IF('07_动态状态'!C236="","缺少状态类别；","")&amp;IF(AND('07_动态状态'!A236&lt;&gt;"",COUNTIF('07_动态状态'!$A$2:$A$501,'07_动态状态'!A236)&gt;1),"ID重复；",""),"")</f>
        <v/>
      </c>
      <c r="G2736" s="14">
        <f>IF(F2736&lt;&gt;"","按字段批注、数据字典和来源记录修正后复核","")</f>
        <v/>
      </c>
      <c r="H2736" s="14">
        <f>IF(F2736&lt;&gt;"","待处理","")</f>
        <v/>
      </c>
    </row>
    <row r="2737">
      <c r="A2737" s="14">
        <f>IF(F2737&lt;&gt;"","ISSUE-"&amp;TEXT(ROW()-1,"00000"),"")</f>
        <v/>
      </c>
      <c r="B2737" s="14">
        <f>IF(F2737&lt;&gt;"","错误","")</f>
        <v/>
      </c>
      <c r="C2737" s="14">
        <f>IF('07_动态状态'!A237&lt;&gt;"","07_动态状态","")</f>
        <v/>
      </c>
      <c r="D2737" s="14">
        <f>IF('07_动态状态'!A237&lt;&gt;"",'07_动态状态'!A237,"")</f>
        <v/>
      </c>
      <c r="E2737" s="14">
        <f>IF(F2737&lt;&gt;"","综合校验","")</f>
        <v/>
      </c>
      <c r="F2737" s="14">
        <f>IF('07_动态状态'!A237&lt;&gt;"",IF('07_动态状态'!A237="","缺少状态编码；","")&amp;IF('07_动态状态'!B237="","缺少状态名称；","")&amp;IF('07_动态状态'!C237="","缺少状态类别；","")&amp;IF(AND('07_动态状态'!A237&lt;&gt;"",COUNTIF('07_动态状态'!$A$2:$A$501,'07_动态状态'!A237)&gt;1),"ID重复；",""),"")</f>
        <v/>
      </c>
      <c r="G2737" s="14">
        <f>IF(F2737&lt;&gt;"","按字段批注、数据字典和来源记录修正后复核","")</f>
        <v/>
      </c>
      <c r="H2737" s="14">
        <f>IF(F2737&lt;&gt;"","待处理","")</f>
        <v/>
      </c>
    </row>
    <row r="2738">
      <c r="A2738" s="14">
        <f>IF(F2738&lt;&gt;"","ISSUE-"&amp;TEXT(ROW()-1,"00000"),"")</f>
        <v/>
      </c>
      <c r="B2738" s="14">
        <f>IF(F2738&lt;&gt;"","错误","")</f>
        <v/>
      </c>
      <c r="C2738" s="14">
        <f>IF('07_动态状态'!A238&lt;&gt;"","07_动态状态","")</f>
        <v/>
      </c>
      <c r="D2738" s="14">
        <f>IF('07_动态状态'!A238&lt;&gt;"",'07_动态状态'!A238,"")</f>
        <v/>
      </c>
      <c r="E2738" s="14">
        <f>IF(F2738&lt;&gt;"","综合校验","")</f>
        <v/>
      </c>
      <c r="F2738" s="14">
        <f>IF('07_动态状态'!A238&lt;&gt;"",IF('07_动态状态'!A238="","缺少状态编码；","")&amp;IF('07_动态状态'!B238="","缺少状态名称；","")&amp;IF('07_动态状态'!C238="","缺少状态类别；","")&amp;IF(AND('07_动态状态'!A238&lt;&gt;"",COUNTIF('07_动态状态'!$A$2:$A$501,'07_动态状态'!A238)&gt;1),"ID重复；",""),"")</f>
        <v/>
      </c>
      <c r="G2738" s="14">
        <f>IF(F2738&lt;&gt;"","按字段批注、数据字典和来源记录修正后复核","")</f>
        <v/>
      </c>
      <c r="H2738" s="14">
        <f>IF(F2738&lt;&gt;"","待处理","")</f>
        <v/>
      </c>
    </row>
    <row r="2739">
      <c r="A2739" s="14">
        <f>IF(F2739&lt;&gt;"","ISSUE-"&amp;TEXT(ROW()-1,"00000"),"")</f>
        <v/>
      </c>
      <c r="B2739" s="14">
        <f>IF(F2739&lt;&gt;"","错误","")</f>
        <v/>
      </c>
      <c r="C2739" s="14">
        <f>IF('07_动态状态'!A239&lt;&gt;"","07_动态状态","")</f>
        <v/>
      </c>
      <c r="D2739" s="14">
        <f>IF('07_动态状态'!A239&lt;&gt;"",'07_动态状态'!A239,"")</f>
        <v/>
      </c>
      <c r="E2739" s="14">
        <f>IF(F2739&lt;&gt;"","综合校验","")</f>
        <v/>
      </c>
      <c r="F2739" s="14">
        <f>IF('07_动态状态'!A239&lt;&gt;"",IF('07_动态状态'!A239="","缺少状态编码；","")&amp;IF('07_动态状态'!B239="","缺少状态名称；","")&amp;IF('07_动态状态'!C239="","缺少状态类别；","")&amp;IF(AND('07_动态状态'!A239&lt;&gt;"",COUNTIF('07_动态状态'!$A$2:$A$501,'07_动态状态'!A239)&gt;1),"ID重复；",""),"")</f>
        <v/>
      </c>
      <c r="G2739" s="14">
        <f>IF(F2739&lt;&gt;"","按字段批注、数据字典和来源记录修正后复核","")</f>
        <v/>
      </c>
      <c r="H2739" s="14">
        <f>IF(F2739&lt;&gt;"","待处理","")</f>
        <v/>
      </c>
    </row>
    <row r="2740">
      <c r="A2740" s="14">
        <f>IF(F2740&lt;&gt;"","ISSUE-"&amp;TEXT(ROW()-1,"00000"),"")</f>
        <v/>
      </c>
      <c r="B2740" s="14">
        <f>IF(F2740&lt;&gt;"","错误","")</f>
        <v/>
      </c>
      <c r="C2740" s="14">
        <f>IF('07_动态状态'!A240&lt;&gt;"","07_动态状态","")</f>
        <v/>
      </c>
      <c r="D2740" s="14">
        <f>IF('07_动态状态'!A240&lt;&gt;"",'07_动态状态'!A240,"")</f>
        <v/>
      </c>
      <c r="E2740" s="14">
        <f>IF(F2740&lt;&gt;"","综合校验","")</f>
        <v/>
      </c>
      <c r="F2740" s="14">
        <f>IF('07_动态状态'!A240&lt;&gt;"",IF('07_动态状态'!A240="","缺少状态编码；","")&amp;IF('07_动态状态'!B240="","缺少状态名称；","")&amp;IF('07_动态状态'!C240="","缺少状态类别；","")&amp;IF(AND('07_动态状态'!A240&lt;&gt;"",COUNTIF('07_动态状态'!$A$2:$A$501,'07_动态状态'!A240)&gt;1),"ID重复；",""),"")</f>
        <v/>
      </c>
      <c r="G2740" s="14">
        <f>IF(F2740&lt;&gt;"","按字段批注、数据字典和来源记录修正后复核","")</f>
        <v/>
      </c>
      <c r="H2740" s="14">
        <f>IF(F2740&lt;&gt;"","待处理","")</f>
        <v/>
      </c>
    </row>
    <row r="2741">
      <c r="A2741" s="14">
        <f>IF(F2741&lt;&gt;"","ISSUE-"&amp;TEXT(ROW()-1,"00000"),"")</f>
        <v/>
      </c>
      <c r="B2741" s="14">
        <f>IF(F2741&lt;&gt;"","错误","")</f>
        <v/>
      </c>
      <c r="C2741" s="14">
        <f>IF('07_动态状态'!A241&lt;&gt;"","07_动态状态","")</f>
        <v/>
      </c>
      <c r="D2741" s="14">
        <f>IF('07_动态状态'!A241&lt;&gt;"",'07_动态状态'!A241,"")</f>
        <v/>
      </c>
      <c r="E2741" s="14">
        <f>IF(F2741&lt;&gt;"","综合校验","")</f>
        <v/>
      </c>
      <c r="F2741" s="14">
        <f>IF('07_动态状态'!A241&lt;&gt;"",IF('07_动态状态'!A241="","缺少状态编码；","")&amp;IF('07_动态状态'!B241="","缺少状态名称；","")&amp;IF('07_动态状态'!C241="","缺少状态类别；","")&amp;IF(AND('07_动态状态'!A241&lt;&gt;"",COUNTIF('07_动态状态'!$A$2:$A$501,'07_动态状态'!A241)&gt;1),"ID重复；",""),"")</f>
        <v/>
      </c>
      <c r="G2741" s="14">
        <f>IF(F2741&lt;&gt;"","按字段批注、数据字典和来源记录修正后复核","")</f>
        <v/>
      </c>
      <c r="H2741" s="14">
        <f>IF(F2741&lt;&gt;"","待处理","")</f>
        <v/>
      </c>
    </row>
    <row r="2742">
      <c r="A2742" s="14">
        <f>IF(F2742&lt;&gt;"","ISSUE-"&amp;TEXT(ROW()-1,"00000"),"")</f>
        <v/>
      </c>
      <c r="B2742" s="14">
        <f>IF(F2742&lt;&gt;"","错误","")</f>
        <v/>
      </c>
      <c r="C2742" s="14">
        <f>IF('07_动态状态'!A242&lt;&gt;"","07_动态状态","")</f>
        <v/>
      </c>
      <c r="D2742" s="14">
        <f>IF('07_动态状态'!A242&lt;&gt;"",'07_动态状态'!A242,"")</f>
        <v/>
      </c>
      <c r="E2742" s="14">
        <f>IF(F2742&lt;&gt;"","综合校验","")</f>
        <v/>
      </c>
      <c r="F2742" s="14">
        <f>IF('07_动态状态'!A242&lt;&gt;"",IF('07_动态状态'!A242="","缺少状态编码；","")&amp;IF('07_动态状态'!B242="","缺少状态名称；","")&amp;IF('07_动态状态'!C242="","缺少状态类别；","")&amp;IF(AND('07_动态状态'!A242&lt;&gt;"",COUNTIF('07_动态状态'!$A$2:$A$501,'07_动态状态'!A242)&gt;1),"ID重复；",""),"")</f>
        <v/>
      </c>
      <c r="G2742" s="14">
        <f>IF(F2742&lt;&gt;"","按字段批注、数据字典和来源记录修正后复核","")</f>
        <v/>
      </c>
      <c r="H2742" s="14">
        <f>IF(F2742&lt;&gt;"","待处理","")</f>
        <v/>
      </c>
    </row>
    <row r="2743">
      <c r="A2743" s="14">
        <f>IF(F2743&lt;&gt;"","ISSUE-"&amp;TEXT(ROW()-1,"00000"),"")</f>
        <v/>
      </c>
      <c r="B2743" s="14">
        <f>IF(F2743&lt;&gt;"","错误","")</f>
        <v/>
      </c>
      <c r="C2743" s="14">
        <f>IF('07_动态状态'!A243&lt;&gt;"","07_动态状态","")</f>
        <v/>
      </c>
      <c r="D2743" s="14">
        <f>IF('07_动态状态'!A243&lt;&gt;"",'07_动态状态'!A243,"")</f>
        <v/>
      </c>
      <c r="E2743" s="14">
        <f>IF(F2743&lt;&gt;"","综合校验","")</f>
        <v/>
      </c>
      <c r="F2743" s="14">
        <f>IF('07_动态状态'!A243&lt;&gt;"",IF('07_动态状态'!A243="","缺少状态编码；","")&amp;IF('07_动态状态'!B243="","缺少状态名称；","")&amp;IF('07_动态状态'!C243="","缺少状态类别；","")&amp;IF(AND('07_动态状态'!A243&lt;&gt;"",COUNTIF('07_动态状态'!$A$2:$A$501,'07_动态状态'!A243)&gt;1),"ID重复；",""),"")</f>
        <v/>
      </c>
      <c r="G2743" s="14">
        <f>IF(F2743&lt;&gt;"","按字段批注、数据字典和来源记录修正后复核","")</f>
        <v/>
      </c>
      <c r="H2743" s="14">
        <f>IF(F2743&lt;&gt;"","待处理","")</f>
        <v/>
      </c>
    </row>
    <row r="2744">
      <c r="A2744" s="14">
        <f>IF(F2744&lt;&gt;"","ISSUE-"&amp;TEXT(ROW()-1,"00000"),"")</f>
        <v/>
      </c>
      <c r="B2744" s="14">
        <f>IF(F2744&lt;&gt;"","错误","")</f>
        <v/>
      </c>
      <c r="C2744" s="14">
        <f>IF('07_动态状态'!A244&lt;&gt;"","07_动态状态","")</f>
        <v/>
      </c>
      <c r="D2744" s="14">
        <f>IF('07_动态状态'!A244&lt;&gt;"",'07_动态状态'!A244,"")</f>
        <v/>
      </c>
      <c r="E2744" s="14">
        <f>IF(F2744&lt;&gt;"","综合校验","")</f>
        <v/>
      </c>
      <c r="F2744" s="14">
        <f>IF('07_动态状态'!A244&lt;&gt;"",IF('07_动态状态'!A244="","缺少状态编码；","")&amp;IF('07_动态状态'!B244="","缺少状态名称；","")&amp;IF('07_动态状态'!C244="","缺少状态类别；","")&amp;IF(AND('07_动态状态'!A244&lt;&gt;"",COUNTIF('07_动态状态'!$A$2:$A$501,'07_动态状态'!A244)&gt;1),"ID重复；",""),"")</f>
        <v/>
      </c>
      <c r="G2744" s="14">
        <f>IF(F2744&lt;&gt;"","按字段批注、数据字典和来源记录修正后复核","")</f>
        <v/>
      </c>
      <c r="H2744" s="14">
        <f>IF(F2744&lt;&gt;"","待处理","")</f>
        <v/>
      </c>
    </row>
    <row r="2745">
      <c r="A2745" s="14">
        <f>IF(F2745&lt;&gt;"","ISSUE-"&amp;TEXT(ROW()-1,"00000"),"")</f>
        <v/>
      </c>
      <c r="B2745" s="14">
        <f>IF(F2745&lt;&gt;"","错误","")</f>
        <v/>
      </c>
      <c r="C2745" s="14">
        <f>IF('07_动态状态'!A245&lt;&gt;"","07_动态状态","")</f>
        <v/>
      </c>
      <c r="D2745" s="14">
        <f>IF('07_动态状态'!A245&lt;&gt;"",'07_动态状态'!A245,"")</f>
        <v/>
      </c>
      <c r="E2745" s="14">
        <f>IF(F2745&lt;&gt;"","综合校验","")</f>
        <v/>
      </c>
      <c r="F2745" s="14">
        <f>IF('07_动态状态'!A245&lt;&gt;"",IF('07_动态状态'!A245="","缺少状态编码；","")&amp;IF('07_动态状态'!B245="","缺少状态名称；","")&amp;IF('07_动态状态'!C245="","缺少状态类别；","")&amp;IF(AND('07_动态状态'!A245&lt;&gt;"",COUNTIF('07_动态状态'!$A$2:$A$501,'07_动态状态'!A245)&gt;1),"ID重复；",""),"")</f>
        <v/>
      </c>
      <c r="G2745" s="14">
        <f>IF(F2745&lt;&gt;"","按字段批注、数据字典和来源记录修正后复核","")</f>
        <v/>
      </c>
      <c r="H2745" s="14">
        <f>IF(F2745&lt;&gt;"","待处理","")</f>
        <v/>
      </c>
    </row>
    <row r="2746">
      <c r="A2746" s="14">
        <f>IF(F2746&lt;&gt;"","ISSUE-"&amp;TEXT(ROW()-1,"00000"),"")</f>
        <v/>
      </c>
      <c r="B2746" s="14">
        <f>IF(F2746&lt;&gt;"","错误","")</f>
        <v/>
      </c>
      <c r="C2746" s="14">
        <f>IF('07_动态状态'!A246&lt;&gt;"","07_动态状态","")</f>
        <v/>
      </c>
      <c r="D2746" s="14">
        <f>IF('07_动态状态'!A246&lt;&gt;"",'07_动态状态'!A246,"")</f>
        <v/>
      </c>
      <c r="E2746" s="14">
        <f>IF(F2746&lt;&gt;"","综合校验","")</f>
        <v/>
      </c>
      <c r="F2746" s="14">
        <f>IF('07_动态状态'!A246&lt;&gt;"",IF('07_动态状态'!A246="","缺少状态编码；","")&amp;IF('07_动态状态'!B246="","缺少状态名称；","")&amp;IF('07_动态状态'!C246="","缺少状态类别；","")&amp;IF(AND('07_动态状态'!A246&lt;&gt;"",COUNTIF('07_动态状态'!$A$2:$A$501,'07_动态状态'!A246)&gt;1),"ID重复；",""),"")</f>
        <v/>
      </c>
      <c r="G2746" s="14">
        <f>IF(F2746&lt;&gt;"","按字段批注、数据字典和来源记录修正后复核","")</f>
        <v/>
      </c>
      <c r="H2746" s="14">
        <f>IF(F2746&lt;&gt;"","待处理","")</f>
        <v/>
      </c>
    </row>
    <row r="2747">
      <c r="A2747" s="14">
        <f>IF(F2747&lt;&gt;"","ISSUE-"&amp;TEXT(ROW()-1,"00000"),"")</f>
        <v/>
      </c>
      <c r="B2747" s="14">
        <f>IF(F2747&lt;&gt;"","错误","")</f>
        <v/>
      </c>
      <c r="C2747" s="14">
        <f>IF('07_动态状态'!A247&lt;&gt;"","07_动态状态","")</f>
        <v/>
      </c>
      <c r="D2747" s="14">
        <f>IF('07_动态状态'!A247&lt;&gt;"",'07_动态状态'!A247,"")</f>
        <v/>
      </c>
      <c r="E2747" s="14">
        <f>IF(F2747&lt;&gt;"","综合校验","")</f>
        <v/>
      </c>
      <c r="F2747" s="14">
        <f>IF('07_动态状态'!A247&lt;&gt;"",IF('07_动态状态'!A247="","缺少状态编码；","")&amp;IF('07_动态状态'!B247="","缺少状态名称；","")&amp;IF('07_动态状态'!C247="","缺少状态类别；","")&amp;IF(AND('07_动态状态'!A247&lt;&gt;"",COUNTIF('07_动态状态'!$A$2:$A$501,'07_动态状态'!A247)&gt;1),"ID重复；",""),"")</f>
        <v/>
      </c>
      <c r="G2747" s="14">
        <f>IF(F2747&lt;&gt;"","按字段批注、数据字典和来源记录修正后复核","")</f>
        <v/>
      </c>
      <c r="H2747" s="14">
        <f>IF(F2747&lt;&gt;"","待处理","")</f>
        <v/>
      </c>
    </row>
    <row r="2748">
      <c r="A2748" s="14">
        <f>IF(F2748&lt;&gt;"","ISSUE-"&amp;TEXT(ROW()-1,"00000"),"")</f>
        <v/>
      </c>
      <c r="B2748" s="14">
        <f>IF(F2748&lt;&gt;"","错误","")</f>
        <v/>
      </c>
      <c r="C2748" s="14">
        <f>IF('07_动态状态'!A248&lt;&gt;"","07_动态状态","")</f>
        <v/>
      </c>
      <c r="D2748" s="14">
        <f>IF('07_动态状态'!A248&lt;&gt;"",'07_动态状态'!A248,"")</f>
        <v/>
      </c>
      <c r="E2748" s="14">
        <f>IF(F2748&lt;&gt;"","综合校验","")</f>
        <v/>
      </c>
      <c r="F2748" s="14">
        <f>IF('07_动态状态'!A248&lt;&gt;"",IF('07_动态状态'!A248="","缺少状态编码；","")&amp;IF('07_动态状态'!B248="","缺少状态名称；","")&amp;IF('07_动态状态'!C248="","缺少状态类别；","")&amp;IF(AND('07_动态状态'!A248&lt;&gt;"",COUNTIF('07_动态状态'!$A$2:$A$501,'07_动态状态'!A248)&gt;1),"ID重复；",""),"")</f>
        <v/>
      </c>
      <c r="G2748" s="14">
        <f>IF(F2748&lt;&gt;"","按字段批注、数据字典和来源记录修正后复核","")</f>
        <v/>
      </c>
      <c r="H2748" s="14">
        <f>IF(F2748&lt;&gt;"","待处理","")</f>
        <v/>
      </c>
    </row>
    <row r="2749">
      <c r="A2749" s="14">
        <f>IF(F2749&lt;&gt;"","ISSUE-"&amp;TEXT(ROW()-1,"00000"),"")</f>
        <v/>
      </c>
      <c r="B2749" s="14">
        <f>IF(F2749&lt;&gt;"","错误","")</f>
        <v/>
      </c>
      <c r="C2749" s="14">
        <f>IF('07_动态状态'!A249&lt;&gt;"","07_动态状态","")</f>
        <v/>
      </c>
      <c r="D2749" s="14">
        <f>IF('07_动态状态'!A249&lt;&gt;"",'07_动态状态'!A249,"")</f>
        <v/>
      </c>
      <c r="E2749" s="14">
        <f>IF(F2749&lt;&gt;"","综合校验","")</f>
        <v/>
      </c>
      <c r="F2749" s="14">
        <f>IF('07_动态状态'!A249&lt;&gt;"",IF('07_动态状态'!A249="","缺少状态编码；","")&amp;IF('07_动态状态'!B249="","缺少状态名称；","")&amp;IF('07_动态状态'!C249="","缺少状态类别；","")&amp;IF(AND('07_动态状态'!A249&lt;&gt;"",COUNTIF('07_动态状态'!$A$2:$A$501,'07_动态状态'!A249)&gt;1),"ID重复；",""),"")</f>
        <v/>
      </c>
      <c r="G2749" s="14">
        <f>IF(F2749&lt;&gt;"","按字段批注、数据字典和来源记录修正后复核","")</f>
        <v/>
      </c>
      <c r="H2749" s="14">
        <f>IF(F2749&lt;&gt;"","待处理","")</f>
        <v/>
      </c>
    </row>
    <row r="2750">
      <c r="A2750" s="14">
        <f>IF(F2750&lt;&gt;"","ISSUE-"&amp;TEXT(ROW()-1,"00000"),"")</f>
        <v/>
      </c>
      <c r="B2750" s="14">
        <f>IF(F2750&lt;&gt;"","错误","")</f>
        <v/>
      </c>
      <c r="C2750" s="14">
        <f>IF('07_动态状态'!A250&lt;&gt;"","07_动态状态","")</f>
        <v/>
      </c>
      <c r="D2750" s="14">
        <f>IF('07_动态状态'!A250&lt;&gt;"",'07_动态状态'!A250,"")</f>
        <v/>
      </c>
      <c r="E2750" s="14">
        <f>IF(F2750&lt;&gt;"","综合校验","")</f>
        <v/>
      </c>
      <c r="F2750" s="14">
        <f>IF('07_动态状态'!A250&lt;&gt;"",IF('07_动态状态'!A250="","缺少状态编码；","")&amp;IF('07_动态状态'!B250="","缺少状态名称；","")&amp;IF('07_动态状态'!C250="","缺少状态类别；","")&amp;IF(AND('07_动态状态'!A250&lt;&gt;"",COUNTIF('07_动态状态'!$A$2:$A$501,'07_动态状态'!A250)&gt;1),"ID重复；",""),"")</f>
        <v/>
      </c>
      <c r="G2750" s="14">
        <f>IF(F2750&lt;&gt;"","按字段批注、数据字典和来源记录修正后复核","")</f>
        <v/>
      </c>
      <c r="H2750" s="14">
        <f>IF(F2750&lt;&gt;"","待处理","")</f>
        <v/>
      </c>
    </row>
    <row r="2751">
      <c r="A2751" s="14">
        <f>IF(F2751&lt;&gt;"","ISSUE-"&amp;TEXT(ROW()-1,"00000"),"")</f>
        <v/>
      </c>
      <c r="B2751" s="14">
        <f>IF(F2751&lt;&gt;"","错误","")</f>
        <v/>
      </c>
      <c r="C2751" s="14">
        <f>IF('07_动态状态'!A251&lt;&gt;"","07_动态状态","")</f>
        <v/>
      </c>
      <c r="D2751" s="14">
        <f>IF('07_动态状态'!A251&lt;&gt;"",'07_动态状态'!A251,"")</f>
        <v/>
      </c>
      <c r="E2751" s="14">
        <f>IF(F2751&lt;&gt;"","综合校验","")</f>
        <v/>
      </c>
      <c r="F2751" s="14">
        <f>IF('07_动态状态'!A251&lt;&gt;"",IF('07_动态状态'!A251="","缺少状态编码；","")&amp;IF('07_动态状态'!B251="","缺少状态名称；","")&amp;IF('07_动态状态'!C251="","缺少状态类别；","")&amp;IF(AND('07_动态状态'!A251&lt;&gt;"",COUNTIF('07_动态状态'!$A$2:$A$501,'07_动态状态'!A251)&gt;1),"ID重复；",""),"")</f>
        <v/>
      </c>
      <c r="G2751" s="14">
        <f>IF(F2751&lt;&gt;"","按字段批注、数据字典和来源记录修正后复核","")</f>
        <v/>
      </c>
      <c r="H2751" s="14">
        <f>IF(F2751&lt;&gt;"","待处理","")</f>
        <v/>
      </c>
    </row>
    <row r="2752">
      <c r="A2752" s="14">
        <f>IF(F2752&lt;&gt;"","ISSUE-"&amp;TEXT(ROW()-1,"00000"),"")</f>
        <v/>
      </c>
      <c r="B2752" s="14">
        <f>IF(F2752&lt;&gt;"","错误","")</f>
        <v/>
      </c>
      <c r="C2752" s="14">
        <f>IF('07_动态状态'!A252&lt;&gt;"","07_动态状态","")</f>
        <v/>
      </c>
      <c r="D2752" s="14">
        <f>IF('07_动态状态'!A252&lt;&gt;"",'07_动态状态'!A252,"")</f>
        <v/>
      </c>
      <c r="E2752" s="14">
        <f>IF(F2752&lt;&gt;"","综合校验","")</f>
        <v/>
      </c>
      <c r="F2752" s="14">
        <f>IF('07_动态状态'!A252&lt;&gt;"",IF('07_动态状态'!A252="","缺少状态编码；","")&amp;IF('07_动态状态'!B252="","缺少状态名称；","")&amp;IF('07_动态状态'!C252="","缺少状态类别；","")&amp;IF(AND('07_动态状态'!A252&lt;&gt;"",COUNTIF('07_动态状态'!$A$2:$A$501,'07_动态状态'!A252)&gt;1),"ID重复；",""),"")</f>
        <v/>
      </c>
      <c r="G2752" s="14">
        <f>IF(F2752&lt;&gt;"","按字段批注、数据字典和来源记录修正后复核","")</f>
        <v/>
      </c>
      <c r="H2752" s="14">
        <f>IF(F2752&lt;&gt;"","待处理","")</f>
        <v/>
      </c>
    </row>
    <row r="2753">
      <c r="A2753" s="14">
        <f>IF(F2753&lt;&gt;"","ISSUE-"&amp;TEXT(ROW()-1,"00000"),"")</f>
        <v/>
      </c>
      <c r="B2753" s="14">
        <f>IF(F2753&lt;&gt;"","错误","")</f>
        <v/>
      </c>
      <c r="C2753" s="14">
        <f>IF('07_动态状态'!A253&lt;&gt;"","07_动态状态","")</f>
        <v/>
      </c>
      <c r="D2753" s="14">
        <f>IF('07_动态状态'!A253&lt;&gt;"",'07_动态状态'!A253,"")</f>
        <v/>
      </c>
      <c r="E2753" s="14">
        <f>IF(F2753&lt;&gt;"","综合校验","")</f>
        <v/>
      </c>
      <c r="F2753" s="14">
        <f>IF('07_动态状态'!A253&lt;&gt;"",IF('07_动态状态'!A253="","缺少状态编码；","")&amp;IF('07_动态状态'!B253="","缺少状态名称；","")&amp;IF('07_动态状态'!C253="","缺少状态类别；","")&amp;IF(AND('07_动态状态'!A253&lt;&gt;"",COUNTIF('07_动态状态'!$A$2:$A$501,'07_动态状态'!A253)&gt;1),"ID重复；",""),"")</f>
        <v/>
      </c>
      <c r="G2753" s="14">
        <f>IF(F2753&lt;&gt;"","按字段批注、数据字典和来源记录修正后复核","")</f>
        <v/>
      </c>
      <c r="H2753" s="14">
        <f>IF(F2753&lt;&gt;"","待处理","")</f>
        <v/>
      </c>
    </row>
    <row r="2754">
      <c r="A2754" s="14">
        <f>IF(F2754&lt;&gt;"","ISSUE-"&amp;TEXT(ROW()-1,"00000"),"")</f>
        <v/>
      </c>
      <c r="B2754" s="14">
        <f>IF(F2754&lt;&gt;"","错误","")</f>
        <v/>
      </c>
      <c r="C2754" s="14">
        <f>IF('07_动态状态'!A254&lt;&gt;"","07_动态状态","")</f>
        <v/>
      </c>
      <c r="D2754" s="14">
        <f>IF('07_动态状态'!A254&lt;&gt;"",'07_动态状态'!A254,"")</f>
        <v/>
      </c>
      <c r="E2754" s="14">
        <f>IF(F2754&lt;&gt;"","综合校验","")</f>
        <v/>
      </c>
      <c r="F2754" s="14">
        <f>IF('07_动态状态'!A254&lt;&gt;"",IF('07_动态状态'!A254="","缺少状态编码；","")&amp;IF('07_动态状态'!B254="","缺少状态名称；","")&amp;IF('07_动态状态'!C254="","缺少状态类别；","")&amp;IF(AND('07_动态状态'!A254&lt;&gt;"",COUNTIF('07_动态状态'!$A$2:$A$501,'07_动态状态'!A254)&gt;1),"ID重复；",""),"")</f>
        <v/>
      </c>
      <c r="G2754" s="14">
        <f>IF(F2754&lt;&gt;"","按字段批注、数据字典和来源记录修正后复核","")</f>
        <v/>
      </c>
      <c r="H2754" s="14">
        <f>IF(F2754&lt;&gt;"","待处理","")</f>
        <v/>
      </c>
    </row>
    <row r="2755">
      <c r="A2755" s="14">
        <f>IF(F2755&lt;&gt;"","ISSUE-"&amp;TEXT(ROW()-1,"00000"),"")</f>
        <v/>
      </c>
      <c r="B2755" s="14">
        <f>IF(F2755&lt;&gt;"","错误","")</f>
        <v/>
      </c>
      <c r="C2755" s="14">
        <f>IF('07_动态状态'!A255&lt;&gt;"","07_动态状态","")</f>
        <v/>
      </c>
      <c r="D2755" s="14">
        <f>IF('07_动态状态'!A255&lt;&gt;"",'07_动态状态'!A255,"")</f>
        <v/>
      </c>
      <c r="E2755" s="14">
        <f>IF(F2755&lt;&gt;"","综合校验","")</f>
        <v/>
      </c>
      <c r="F2755" s="14">
        <f>IF('07_动态状态'!A255&lt;&gt;"",IF('07_动态状态'!A255="","缺少状态编码；","")&amp;IF('07_动态状态'!B255="","缺少状态名称；","")&amp;IF('07_动态状态'!C255="","缺少状态类别；","")&amp;IF(AND('07_动态状态'!A255&lt;&gt;"",COUNTIF('07_动态状态'!$A$2:$A$501,'07_动态状态'!A255)&gt;1),"ID重复；",""),"")</f>
        <v/>
      </c>
      <c r="G2755" s="14">
        <f>IF(F2755&lt;&gt;"","按字段批注、数据字典和来源记录修正后复核","")</f>
        <v/>
      </c>
      <c r="H2755" s="14">
        <f>IF(F2755&lt;&gt;"","待处理","")</f>
        <v/>
      </c>
    </row>
    <row r="2756">
      <c r="A2756" s="14">
        <f>IF(F2756&lt;&gt;"","ISSUE-"&amp;TEXT(ROW()-1,"00000"),"")</f>
        <v/>
      </c>
      <c r="B2756" s="14">
        <f>IF(F2756&lt;&gt;"","错误","")</f>
        <v/>
      </c>
      <c r="C2756" s="14">
        <f>IF('07_动态状态'!A256&lt;&gt;"","07_动态状态","")</f>
        <v/>
      </c>
      <c r="D2756" s="14">
        <f>IF('07_动态状态'!A256&lt;&gt;"",'07_动态状态'!A256,"")</f>
        <v/>
      </c>
      <c r="E2756" s="14">
        <f>IF(F2756&lt;&gt;"","综合校验","")</f>
        <v/>
      </c>
      <c r="F2756" s="14">
        <f>IF('07_动态状态'!A256&lt;&gt;"",IF('07_动态状态'!A256="","缺少状态编码；","")&amp;IF('07_动态状态'!B256="","缺少状态名称；","")&amp;IF('07_动态状态'!C256="","缺少状态类别；","")&amp;IF(AND('07_动态状态'!A256&lt;&gt;"",COUNTIF('07_动态状态'!$A$2:$A$501,'07_动态状态'!A256)&gt;1),"ID重复；",""),"")</f>
        <v/>
      </c>
      <c r="G2756" s="14">
        <f>IF(F2756&lt;&gt;"","按字段批注、数据字典和来源记录修正后复核","")</f>
        <v/>
      </c>
      <c r="H2756" s="14">
        <f>IF(F2756&lt;&gt;"","待处理","")</f>
        <v/>
      </c>
    </row>
    <row r="2757">
      <c r="A2757" s="14">
        <f>IF(F2757&lt;&gt;"","ISSUE-"&amp;TEXT(ROW()-1,"00000"),"")</f>
        <v/>
      </c>
      <c r="B2757" s="14">
        <f>IF(F2757&lt;&gt;"","错误","")</f>
        <v/>
      </c>
      <c r="C2757" s="14">
        <f>IF('07_动态状态'!A257&lt;&gt;"","07_动态状态","")</f>
        <v/>
      </c>
      <c r="D2757" s="14">
        <f>IF('07_动态状态'!A257&lt;&gt;"",'07_动态状态'!A257,"")</f>
        <v/>
      </c>
      <c r="E2757" s="14">
        <f>IF(F2757&lt;&gt;"","综合校验","")</f>
        <v/>
      </c>
      <c r="F2757" s="14">
        <f>IF('07_动态状态'!A257&lt;&gt;"",IF('07_动态状态'!A257="","缺少状态编码；","")&amp;IF('07_动态状态'!B257="","缺少状态名称；","")&amp;IF('07_动态状态'!C257="","缺少状态类别；","")&amp;IF(AND('07_动态状态'!A257&lt;&gt;"",COUNTIF('07_动态状态'!$A$2:$A$501,'07_动态状态'!A257)&gt;1),"ID重复；",""),"")</f>
        <v/>
      </c>
      <c r="G2757" s="14">
        <f>IF(F2757&lt;&gt;"","按字段批注、数据字典和来源记录修正后复核","")</f>
        <v/>
      </c>
      <c r="H2757" s="14">
        <f>IF(F2757&lt;&gt;"","待处理","")</f>
        <v/>
      </c>
    </row>
    <row r="2758">
      <c r="A2758" s="14">
        <f>IF(F2758&lt;&gt;"","ISSUE-"&amp;TEXT(ROW()-1,"00000"),"")</f>
        <v/>
      </c>
      <c r="B2758" s="14">
        <f>IF(F2758&lt;&gt;"","错误","")</f>
        <v/>
      </c>
      <c r="C2758" s="14">
        <f>IF('07_动态状态'!A258&lt;&gt;"","07_动态状态","")</f>
        <v/>
      </c>
      <c r="D2758" s="14">
        <f>IF('07_动态状态'!A258&lt;&gt;"",'07_动态状态'!A258,"")</f>
        <v/>
      </c>
      <c r="E2758" s="14">
        <f>IF(F2758&lt;&gt;"","综合校验","")</f>
        <v/>
      </c>
      <c r="F2758" s="14">
        <f>IF('07_动态状态'!A258&lt;&gt;"",IF('07_动态状态'!A258="","缺少状态编码；","")&amp;IF('07_动态状态'!B258="","缺少状态名称；","")&amp;IF('07_动态状态'!C258="","缺少状态类别；","")&amp;IF(AND('07_动态状态'!A258&lt;&gt;"",COUNTIF('07_动态状态'!$A$2:$A$501,'07_动态状态'!A258)&gt;1),"ID重复；",""),"")</f>
        <v/>
      </c>
      <c r="G2758" s="14">
        <f>IF(F2758&lt;&gt;"","按字段批注、数据字典和来源记录修正后复核","")</f>
        <v/>
      </c>
      <c r="H2758" s="14">
        <f>IF(F2758&lt;&gt;"","待处理","")</f>
        <v/>
      </c>
    </row>
    <row r="2759">
      <c r="A2759" s="14">
        <f>IF(F2759&lt;&gt;"","ISSUE-"&amp;TEXT(ROW()-1,"00000"),"")</f>
        <v/>
      </c>
      <c r="B2759" s="14">
        <f>IF(F2759&lt;&gt;"","错误","")</f>
        <v/>
      </c>
      <c r="C2759" s="14">
        <f>IF('07_动态状态'!A259&lt;&gt;"","07_动态状态","")</f>
        <v/>
      </c>
      <c r="D2759" s="14">
        <f>IF('07_动态状态'!A259&lt;&gt;"",'07_动态状态'!A259,"")</f>
        <v/>
      </c>
      <c r="E2759" s="14">
        <f>IF(F2759&lt;&gt;"","综合校验","")</f>
        <v/>
      </c>
      <c r="F2759" s="14">
        <f>IF('07_动态状态'!A259&lt;&gt;"",IF('07_动态状态'!A259="","缺少状态编码；","")&amp;IF('07_动态状态'!B259="","缺少状态名称；","")&amp;IF('07_动态状态'!C259="","缺少状态类别；","")&amp;IF(AND('07_动态状态'!A259&lt;&gt;"",COUNTIF('07_动态状态'!$A$2:$A$501,'07_动态状态'!A259)&gt;1),"ID重复；",""),"")</f>
        <v/>
      </c>
      <c r="G2759" s="14">
        <f>IF(F2759&lt;&gt;"","按字段批注、数据字典和来源记录修正后复核","")</f>
        <v/>
      </c>
      <c r="H2759" s="14">
        <f>IF(F2759&lt;&gt;"","待处理","")</f>
        <v/>
      </c>
    </row>
    <row r="2760">
      <c r="A2760" s="14">
        <f>IF(F2760&lt;&gt;"","ISSUE-"&amp;TEXT(ROW()-1,"00000"),"")</f>
        <v/>
      </c>
      <c r="B2760" s="14">
        <f>IF(F2760&lt;&gt;"","错误","")</f>
        <v/>
      </c>
      <c r="C2760" s="14">
        <f>IF('07_动态状态'!A260&lt;&gt;"","07_动态状态","")</f>
        <v/>
      </c>
      <c r="D2760" s="14">
        <f>IF('07_动态状态'!A260&lt;&gt;"",'07_动态状态'!A260,"")</f>
        <v/>
      </c>
      <c r="E2760" s="14">
        <f>IF(F2760&lt;&gt;"","综合校验","")</f>
        <v/>
      </c>
      <c r="F2760" s="14">
        <f>IF('07_动态状态'!A260&lt;&gt;"",IF('07_动态状态'!A260="","缺少状态编码；","")&amp;IF('07_动态状态'!B260="","缺少状态名称；","")&amp;IF('07_动态状态'!C260="","缺少状态类别；","")&amp;IF(AND('07_动态状态'!A260&lt;&gt;"",COUNTIF('07_动态状态'!$A$2:$A$501,'07_动态状态'!A260)&gt;1),"ID重复；",""),"")</f>
        <v/>
      </c>
      <c r="G2760" s="14">
        <f>IF(F2760&lt;&gt;"","按字段批注、数据字典和来源记录修正后复核","")</f>
        <v/>
      </c>
      <c r="H2760" s="14">
        <f>IF(F2760&lt;&gt;"","待处理","")</f>
        <v/>
      </c>
    </row>
    <row r="2761">
      <c r="A2761" s="14">
        <f>IF(F2761&lt;&gt;"","ISSUE-"&amp;TEXT(ROW()-1,"00000"),"")</f>
        <v/>
      </c>
      <c r="B2761" s="14">
        <f>IF(F2761&lt;&gt;"","错误","")</f>
        <v/>
      </c>
      <c r="C2761" s="14">
        <f>IF('07_动态状态'!A261&lt;&gt;"","07_动态状态","")</f>
        <v/>
      </c>
      <c r="D2761" s="14">
        <f>IF('07_动态状态'!A261&lt;&gt;"",'07_动态状态'!A261,"")</f>
        <v/>
      </c>
      <c r="E2761" s="14">
        <f>IF(F2761&lt;&gt;"","综合校验","")</f>
        <v/>
      </c>
      <c r="F2761" s="14">
        <f>IF('07_动态状态'!A261&lt;&gt;"",IF('07_动态状态'!A261="","缺少状态编码；","")&amp;IF('07_动态状态'!B261="","缺少状态名称；","")&amp;IF('07_动态状态'!C261="","缺少状态类别；","")&amp;IF(AND('07_动态状态'!A261&lt;&gt;"",COUNTIF('07_动态状态'!$A$2:$A$501,'07_动态状态'!A261)&gt;1),"ID重复；",""),"")</f>
        <v/>
      </c>
      <c r="G2761" s="14">
        <f>IF(F2761&lt;&gt;"","按字段批注、数据字典和来源记录修正后复核","")</f>
        <v/>
      </c>
      <c r="H2761" s="14">
        <f>IF(F2761&lt;&gt;"","待处理","")</f>
        <v/>
      </c>
    </row>
    <row r="2762">
      <c r="A2762" s="14">
        <f>IF(F2762&lt;&gt;"","ISSUE-"&amp;TEXT(ROW()-1,"00000"),"")</f>
        <v/>
      </c>
      <c r="B2762" s="14">
        <f>IF(F2762&lt;&gt;"","错误","")</f>
        <v/>
      </c>
      <c r="C2762" s="14">
        <f>IF('07_动态状态'!A262&lt;&gt;"","07_动态状态","")</f>
        <v/>
      </c>
      <c r="D2762" s="14">
        <f>IF('07_动态状态'!A262&lt;&gt;"",'07_动态状态'!A262,"")</f>
        <v/>
      </c>
      <c r="E2762" s="14">
        <f>IF(F2762&lt;&gt;"","综合校验","")</f>
        <v/>
      </c>
      <c r="F2762" s="14">
        <f>IF('07_动态状态'!A262&lt;&gt;"",IF('07_动态状态'!A262="","缺少状态编码；","")&amp;IF('07_动态状态'!B262="","缺少状态名称；","")&amp;IF('07_动态状态'!C262="","缺少状态类别；","")&amp;IF(AND('07_动态状态'!A262&lt;&gt;"",COUNTIF('07_动态状态'!$A$2:$A$501,'07_动态状态'!A262)&gt;1),"ID重复；",""),"")</f>
        <v/>
      </c>
      <c r="G2762" s="14">
        <f>IF(F2762&lt;&gt;"","按字段批注、数据字典和来源记录修正后复核","")</f>
        <v/>
      </c>
      <c r="H2762" s="14">
        <f>IF(F2762&lt;&gt;"","待处理","")</f>
        <v/>
      </c>
    </row>
    <row r="2763">
      <c r="A2763" s="14">
        <f>IF(F2763&lt;&gt;"","ISSUE-"&amp;TEXT(ROW()-1,"00000"),"")</f>
        <v/>
      </c>
      <c r="B2763" s="14">
        <f>IF(F2763&lt;&gt;"","错误","")</f>
        <v/>
      </c>
      <c r="C2763" s="14">
        <f>IF('07_动态状态'!A263&lt;&gt;"","07_动态状态","")</f>
        <v/>
      </c>
      <c r="D2763" s="14">
        <f>IF('07_动态状态'!A263&lt;&gt;"",'07_动态状态'!A263,"")</f>
        <v/>
      </c>
      <c r="E2763" s="14">
        <f>IF(F2763&lt;&gt;"","综合校验","")</f>
        <v/>
      </c>
      <c r="F2763" s="14">
        <f>IF('07_动态状态'!A263&lt;&gt;"",IF('07_动态状态'!A263="","缺少状态编码；","")&amp;IF('07_动态状态'!B263="","缺少状态名称；","")&amp;IF('07_动态状态'!C263="","缺少状态类别；","")&amp;IF(AND('07_动态状态'!A263&lt;&gt;"",COUNTIF('07_动态状态'!$A$2:$A$501,'07_动态状态'!A263)&gt;1),"ID重复；",""),"")</f>
        <v/>
      </c>
      <c r="G2763" s="14">
        <f>IF(F2763&lt;&gt;"","按字段批注、数据字典和来源记录修正后复核","")</f>
        <v/>
      </c>
      <c r="H2763" s="14">
        <f>IF(F2763&lt;&gt;"","待处理","")</f>
        <v/>
      </c>
    </row>
    <row r="2764">
      <c r="A2764" s="14">
        <f>IF(F2764&lt;&gt;"","ISSUE-"&amp;TEXT(ROW()-1,"00000"),"")</f>
        <v/>
      </c>
      <c r="B2764" s="14">
        <f>IF(F2764&lt;&gt;"","错误","")</f>
        <v/>
      </c>
      <c r="C2764" s="14">
        <f>IF('07_动态状态'!A264&lt;&gt;"","07_动态状态","")</f>
        <v/>
      </c>
      <c r="D2764" s="14">
        <f>IF('07_动态状态'!A264&lt;&gt;"",'07_动态状态'!A264,"")</f>
        <v/>
      </c>
      <c r="E2764" s="14">
        <f>IF(F2764&lt;&gt;"","综合校验","")</f>
        <v/>
      </c>
      <c r="F2764" s="14">
        <f>IF('07_动态状态'!A264&lt;&gt;"",IF('07_动态状态'!A264="","缺少状态编码；","")&amp;IF('07_动态状态'!B264="","缺少状态名称；","")&amp;IF('07_动态状态'!C264="","缺少状态类别；","")&amp;IF(AND('07_动态状态'!A264&lt;&gt;"",COUNTIF('07_动态状态'!$A$2:$A$501,'07_动态状态'!A264)&gt;1),"ID重复；",""),"")</f>
        <v/>
      </c>
      <c r="G2764" s="14">
        <f>IF(F2764&lt;&gt;"","按字段批注、数据字典和来源记录修正后复核","")</f>
        <v/>
      </c>
      <c r="H2764" s="14">
        <f>IF(F2764&lt;&gt;"","待处理","")</f>
        <v/>
      </c>
    </row>
    <row r="2765">
      <c r="A2765" s="14">
        <f>IF(F2765&lt;&gt;"","ISSUE-"&amp;TEXT(ROW()-1,"00000"),"")</f>
        <v/>
      </c>
      <c r="B2765" s="14">
        <f>IF(F2765&lt;&gt;"","错误","")</f>
        <v/>
      </c>
      <c r="C2765" s="14">
        <f>IF('07_动态状态'!A265&lt;&gt;"","07_动态状态","")</f>
        <v/>
      </c>
      <c r="D2765" s="14">
        <f>IF('07_动态状态'!A265&lt;&gt;"",'07_动态状态'!A265,"")</f>
        <v/>
      </c>
      <c r="E2765" s="14">
        <f>IF(F2765&lt;&gt;"","综合校验","")</f>
        <v/>
      </c>
      <c r="F2765" s="14">
        <f>IF('07_动态状态'!A265&lt;&gt;"",IF('07_动态状态'!A265="","缺少状态编码；","")&amp;IF('07_动态状态'!B265="","缺少状态名称；","")&amp;IF('07_动态状态'!C265="","缺少状态类别；","")&amp;IF(AND('07_动态状态'!A265&lt;&gt;"",COUNTIF('07_动态状态'!$A$2:$A$501,'07_动态状态'!A265)&gt;1),"ID重复；",""),"")</f>
        <v/>
      </c>
      <c r="G2765" s="14">
        <f>IF(F2765&lt;&gt;"","按字段批注、数据字典和来源记录修正后复核","")</f>
        <v/>
      </c>
      <c r="H2765" s="14">
        <f>IF(F2765&lt;&gt;"","待处理","")</f>
        <v/>
      </c>
    </row>
    <row r="2766">
      <c r="A2766" s="14">
        <f>IF(F2766&lt;&gt;"","ISSUE-"&amp;TEXT(ROW()-1,"00000"),"")</f>
        <v/>
      </c>
      <c r="B2766" s="14">
        <f>IF(F2766&lt;&gt;"","错误","")</f>
        <v/>
      </c>
      <c r="C2766" s="14">
        <f>IF('07_动态状态'!A266&lt;&gt;"","07_动态状态","")</f>
        <v/>
      </c>
      <c r="D2766" s="14">
        <f>IF('07_动态状态'!A266&lt;&gt;"",'07_动态状态'!A266,"")</f>
        <v/>
      </c>
      <c r="E2766" s="14">
        <f>IF(F2766&lt;&gt;"","综合校验","")</f>
        <v/>
      </c>
      <c r="F2766" s="14">
        <f>IF('07_动态状态'!A266&lt;&gt;"",IF('07_动态状态'!A266="","缺少状态编码；","")&amp;IF('07_动态状态'!B266="","缺少状态名称；","")&amp;IF('07_动态状态'!C266="","缺少状态类别；","")&amp;IF(AND('07_动态状态'!A266&lt;&gt;"",COUNTIF('07_动态状态'!$A$2:$A$501,'07_动态状态'!A266)&gt;1),"ID重复；",""),"")</f>
        <v/>
      </c>
      <c r="G2766" s="14">
        <f>IF(F2766&lt;&gt;"","按字段批注、数据字典和来源记录修正后复核","")</f>
        <v/>
      </c>
      <c r="H2766" s="14">
        <f>IF(F2766&lt;&gt;"","待处理","")</f>
        <v/>
      </c>
    </row>
    <row r="2767">
      <c r="A2767" s="14">
        <f>IF(F2767&lt;&gt;"","ISSUE-"&amp;TEXT(ROW()-1,"00000"),"")</f>
        <v/>
      </c>
      <c r="B2767" s="14">
        <f>IF(F2767&lt;&gt;"","错误","")</f>
        <v/>
      </c>
      <c r="C2767" s="14">
        <f>IF('07_动态状态'!A267&lt;&gt;"","07_动态状态","")</f>
        <v/>
      </c>
      <c r="D2767" s="14">
        <f>IF('07_动态状态'!A267&lt;&gt;"",'07_动态状态'!A267,"")</f>
        <v/>
      </c>
      <c r="E2767" s="14">
        <f>IF(F2767&lt;&gt;"","综合校验","")</f>
        <v/>
      </c>
      <c r="F2767" s="14">
        <f>IF('07_动态状态'!A267&lt;&gt;"",IF('07_动态状态'!A267="","缺少状态编码；","")&amp;IF('07_动态状态'!B267="","缺少状态名称；","")&amp;IF('07_动态状态'!C267="","缺少状态类别；","")&amp;IF(AND('07_动态状态'!A267&lt;&gt;"",COUNTIF('07_动态状态'!$A$2:$A$501,'07_动态状态'!A267)&gt;1),"ID重复；",""),"")</f>
        <v/>
      </c>
      <c r="G2767" s="14">
        <f>IF(F2767&lt;&gt;"","按字段批注、数据字典和来源记录修正后复核","")</f>
        <v/>
      </c>
      <c r="H2767" s="14">
        <f>IF(F2767&lt;&gt;"","待处理","")</f>
        <v/>
      </c>
    </row>
    <row r="2768">
      <c r="A2768" s="14">
        <f>IF(F2768&lt;&gt;"","ISSUE-"&amp;TEXT(ROW()-1,"00000"),"")</f>
        <v/>
      </c>
      <c r="B2768" s="14">
        <f>IF(F2768&lt;&gt;"","错误","")</f>
        <v/>
      </c>
      <c r="C2768" s="14">
        <f>IF('07_动态状态'!A268&lt;&gt;"","07_动态状态","")</f>
        <v/>
      </c>
      <c r="D2768" s="14">
        <f>IF('07_动态状态'!A268&lt;&gt;"",'07_动态状态'!A268,"")</f>
        <v/>
      </c>
      <c r="E2768" s="14">
        <f>IF(F2768&lt;&gt;"","综合校验","")</f>
        <v/>
      </c>
      <c r="F2768" s="14">
        <f>IF('07_动态状态'!A268&lt;&gt;"",IF('07_动态状态'!A268="","缺少状态编码；","")&amp;IF('07_动态状态'!B268="","缺少状态名称；","")&amp;IF('07_动态状态'!C268="","缺少状态类别；","")&amp;IF(AND('07_动态状态'!A268&lt;&gt;"",COUNTIF('07_动态状态'!$A$2:$A$501,'07_动态状态'!A268)&gt;1),"ID重复；",""),"")</f>
        <v/>
      </c>
      <c r="G2768" s="14">
        <f>IF(F2768&lt;&gt;"","按字段批注、数据字典和来源记录修正后复核","")</f>
        <v/>
      </c>
      <c r="H2768" s="14">
        <f>IF(F2768&lt;&gt;"","待处理","")</f>
        <v/>
      </c>
    </row>
    <row r="2769">
      <c r="A2769" s="14">
        <f>IF(F2769&lt;&gt;"","ISSUE-"&amp;TEXT(ROW()-1,"00000"),"")</f>
        <v/>
      </c>
      <c r="B2769" s="14">
        <f>IF(F2769&lt;&gt;"","错误","")</f>
        <v/>
      </c>
      <c r="C2769" s="14">
        <f>IF('07_动态状态'!A269&lt;&gt;"","07_动态状态","")</f>
        <v/>
      </c>
      <c r="D2769" s="14">
        <f>IF('07_动态状态'!A269&lt;&gt;"",'07_动态状态'!A269,"")</f>
        <v/>
      </c>
      <c r="E2769" s="14">
        <f>IF(F2769&lt;&gt;"","综合校验","")</f>
        <v/>
      </c>
      <c r="F2769" s="14">
        <f>IF('07_动态状态'!A269&lt;&gt;"",IF('07_动态状态'!A269="","缺少状态编码；","")&amp;IF('07_动态状态'!B269="","缺少状态名称；","")&amp;IF('07_动态状态'!C269="","缺少状态类别；","")&amp;IF(AND('07_动态状态'!A269&lt;&gt;"",COUNTIF('07_动态状态'!$A$2:$A$501,'07_动态状态'!A269)&gt;1),"ID重复；",""),"")</f>
        <v/>
      </c>
      <c r="G2769" s="14">
        <f>IF(F2769&lt;&gt;"","按字段批注、数据字典和来源记录修正后复核","")</f>
        <v/>
      </c>
      <c r="H2769" s="14">
        <f>IF(F2769&lt;&gt;"","待处理","")</f>
        <v/>
      </c>
    </row>
    <row r="2770">
      <c r="A2770" s="14">
        <f>IF(F2770&lt;&gt;"","ISSUE-"&amp;TEXT(ROW()-1,"00000"),"")</f>
        <v/>
      </c>
      <c r="B2770" s="14">
        <f>IF(F2770&lt;&gt;"","错误","")</f>
        <v/>
      </c>
      <c r="C2770" s="14">
        <f>IF('07_动态状态'!A270&lt;&gt;"","07_动态状态","")</f>
        <v/>
      </c>
      <c r="D2770" s="14">
        <f>IF('07_动态状态'!A270&lt;&gt;"",'07_动态状态'!A270,"")</f>
        <v/>
      </c>
      <c r="E2770" s="14">
        <f>IF(F2770&lt;&gt;"","综合校验","")</f>
        <v/>
      </c>
      <c r="F2770" s="14">
        <f>IF('07_动态状态'!A270&lt;&gt;"",IF('07_动态状态'!A270="","缺少状态编码；","")&amp;IF('07_动态状态'!B270="","缺少状态名称；","")&amp;IF('07_动态状态'!C270="","缺少状态类别；","")&amp;IF(AND('07_动态状态'!A270&lt;&gt;"",COUNTIF('07_动态状态'!$A$2:$A$501,'07_动态状态'!A270)&gt;1),"ID重复；",""),"")</f>
        <v/>
      </c>
      <c r="G2770" s="14">
        <f>IF(F2770&lt;&gt;"","按字段批注、数据字典和来源记录修正后复核","")</f>
        <v/>
      </c>
      <c r="H2770" s="14">
        <f>IF(F2770&lt;&gt;"","待处理","")</f>
        <v/>
      </c>
    </row>
    <row r="2771">
      <c r="A2771" s="14">
        <f>IF(F2771&lt;&gt;"","ISSUE-"&amp;TEXT(ROW()-1,"00000"),"")</f>
        <v/>
      </c>
      <c r="B2771" s="14">
        <f>IF(F2771&lt;&gt;"","错误","")</f>
        <v/>
      </c>
      <c r="C2771" s="14">
        <f>IF('07_动态状态'!A271&lt;&gt;"","07_动态状态","")</f>
        <v/>
      </c>
      <c r="D2771" s="14">
        <f>IF('07_动态状态'!A271&lt;&gt;"",'07_动态状态'!A271,"")</f>
        <v/>
      </c>
      <c r="E2771" s="14">
        <f>IF(F2771&lt;&gt;"","综合校验","")</f>
        <v/>
      </c>
      <c r="F2771" s="14">
        <f>IF('07_动态状态'!A271&lt;&gt;"",IF('07_动态状态'!A271="","缺少状态编码；","")&amp;IF('07_动态状态'!B271="","缺少状态名称；","")&amp;IF('07_动态状态'!C271="","缺少状态类别；","")&amp;IF(AND('07_动态状态'!A271&lt;&gt;"",COUNTIF('07_动态状态'!$A$2:$A$501,'07_动态状态'!A271)&gt;1),"ID重复；",""),"")</f>
        <v/>
      </c>
      <c r="G2771" s="14">
        <f>IF(F2771&lt;&gt;"","按字段批注、数据字典和来源记录修正后复核","")</f>
        <v/>
      </c>
      <c r="H2771" s="14">
        <f>IF(F2771&lt;&gt;"","待处理","")</f>
        <v/>
      </c>
    </row>
    <row r="2772">
      <c r="A2772" s="14">
        <f>IF(F2772&lt;&gt;"","ISSUE-"&amp;TEXT(ROW()-1,"00000"),"")</f>
        <v/>
      </c>
      <c r="B2772" s="14">
        <f>IF(F2772&lt;&gt;"","错误","")</f>
        <v/>
      </c>
      <c r="C2772" s="14">
        <f>IF('07_动态状态'!A272&lt;&gt;"","07_动态状态","")</f>
        <v/>
      </c>
      <c r="D2772" s="14">
        <f>IF('07_动态状态'!A272&lt;&gt;"",'07_动态状态'!A272,"")</f>
        <v/>
      </c>
      <c r="E2772" s="14">
        <f>IF(F2772&lt;&gt;"","综合校验","")</f>
        <v/>
      </c>
      <c r="F2772" s="14">
        <f>IF('07_动态状态'!A272&lt;&gt;"",IF('07_动态状态'!A272="","缺少状态编码；","")&amp;IF('07_动态状态'!B272="","缺少状态名称；","")&amp;IF('07_动态状态'!C272="","缺少状态类别；","")&amp;IF(AND('07_动态状态'!A272&lt;&gt;"",COUNTIF('07_动态状态'!$A$2:$A$501,'07_动态状态'!A272)&gt;1),"ID重复；",""),"")</f>
        <v/>
      </c>
      <c r="G2772" s="14">
        <f>IF(F2772&lt;&gt;"","按字段批注、数据字典和来源记录修正后复核","")</f>
        <v/>
      </c>
      <c r="H2772" s="14">
        <f>IF(F2772&lt;&gt;"","待处理","")</f>
        <v/>
      </c>
    </row>
    <row r="2773">
      <c r="A2773" s="14">
        <f>IF(F2773&lt;&gt;"","ISSUE-"&amp;TEXT(ROW()-1,"00000"),"")</f>
        <v/>
      </c>
      <c r="B2773" s="14">
        <f>IF(F2773&lt;&gt;"","错误","")</f>
        <v/>
      </c>
      <c r="C2773" s="14">
        <f>IF('07_动态状态'!A273&lt;&gt;"","07_动态状态","")</f>
        <v/>
      </c>
      <c r="D2773" s="14">
        <f>IF('07_动态状态'!A273&lt;&gt;"",'07_动态状态'!A273,"")</f>
        <v/>
      </c>
      <c r="E2773" s="14">
        <f>IF(F2773&lt;&gt;"","综合校验","")</f>
        <v/>
      </c>
      <c r="F2773" s="14">
        <f>IF('07_动态状态'!A273&lt;&gt;"",IF('07_动态状态'!A273="","缺少状态编码；","")&amp;IF('07_动态状态'!B273="","缺少状态名称；","")&amp;IF('07_动态状态'!C273="","缺少状态类别；","")&amp;IF(AND('07_动态状态'!A273&lt;&gt;"",COUNTIF('07_动态状态'!$A$2:$A$501,'07_动态状态'!A273)&gt;1),"ID重复；",""),"")</f>
        <v/>
      </c>
      <c r="G2773" s="14">
        <f>IF(F2773&lt;&gt;"","按字段批注、数据字典和来源记录修正后复核","")</f>
        <v/>
      </c>
      <c r="H2773" s="14">
        <f>IF(F2773&lt;&gt;"","待处理","")</f>
        <v/>
      </c>
    </row>
    <row r="2774">
      <c r="A2774" s="14">
        <f>IF(F2774&lt;&gt;"","ISSUE-"&amp;TEXT(ROW()-1,"00000"),"")</f>
        <v/>
      </c>
      <c r="B2774" s="14">
        <f>IF(F2774&lt;&gt;"","错误","")</f>
        <v/>
      </c>
      <c r="C2774" s="14">
        <f>IF('07_动态状态'!A274&lt;&gt;"","07_动态状态","")</f>
        <v/>
      </c>
      <c r="D2774" s="14">
        <f>IF('07_动态状态'!A274&lt;&gt;"",'07_动态状态'!A274,"")</f>
        <v/>
      </c>
      <c r="E2774" s="14">
        <f>IF(F2774&lt;&gt;"","综合校验","")</f>
        <v/>
      </c>
      <c r="F2774" s="14">
        <f>IF('07_动态状态'!A274&lt;&gt;"",IF('07_动态状态'!A274="","缺少状态编码；","")&amp;IF('07_动态状态'!B274="","缺少状态名称；","")&amp;IF('07_动态状态'!C274="","缺少状态类别；","")&amp;IF(AND('07_动态状态'!A274&lt;&gt;"",COUNTIF('07_动态状态'!$A$2:$A$501,'07_动态状态'!A274)&gt;1),"ID重复；",""),"")</f>
        <v/>
      </c>
      <c r="G2774" s="14">
        <f>IF(F2774&lt;&gt;"","按字段批注、数据字典和来源记录修正后复核","")</f>
        <v/>
      </c>
      <c r="H2774" s="14">
        <f>IF(F2774&lt;&gt;"","待处理","")</f>
        <v/>
      </c>
    </row>
    <row r="2775">
      <c r="A2775" s="14">
        <f>IF(F2775&lt;&gt;"","ISSUE-"&amp;TEXT(ROW()-1,"00000"),"")</f>
        <v/>
      </c>
      <c r="B2775" s="14">
        <f>IF(F2775&lt;&gt;"","错误","")</f>
        <v/>
      </c>
      <c r="C2775" s="14">
        <f>IF('07_动态状态'!A275&lt;&gt;"","07_动态状态","")</f>
        <v/>
      </c>
      <c r="D2775" s="14">
        <f>IF('07_动态状态'!A275&lt;&gt;"",'07_动态状态'!A275,"")</f>
        <v/>
      </c>
      <c r="E2775" s="14">
        <f>IF(F2775&lt;&gt;"","综合校验","")</f>
        <v/>
      </c>
      <c r="F2775" s="14">
        <f>IF('07_动态状态'!A275&lt;&gt;"",IF('07_动态状态'!A275="","缺少状态编码；","")&amp;IF('07_动态状态'!B275="","缺少状态名称；","")&amp;IF('07_动态状态'!C275="","缺少状态类别；","")&amp;IF(AND('07_动态状态'!A275&lt;&gt;"",COUNTIF('07_动态状态'!$A$2:$A$501,'07_动态状态'!A275)&gt;1),"ID重复；",""),"")</f>
        <v/>
      </c>
      <c r="G2775" s="14">
        <f>IF(F2775&lt;&gt;"","按字段批注、数据字典和来源记录修正后复核","")</f>
        <v/>
      </c>
      <c r="H2775" s="14">
        <f>IF(F2775&lt;&gt;"","待处理","")</f>
        <v/>
      </c>
    </row>
    <row r="2776">
      <c r="A2776" s="14">
        <f>IF(F2776&lt;&gt;"","ISSUE-"&amp;TEXT(ROW()-1,"00000"),"")</f>
        <v/>
      </c>
      <c r="B2776" s="14">
        <f>IF(F2776&lt;&gt;"","错误","")</f>
        <v/>
      </c>
      <c r="C2776" s="14">
        <f>IF('07_动态状态'!A276&lt;&gt;"","07_动态状态","")</f>
        <v/>
      </c>
      <c r="D2776" s="14">
        <f>IF('07_动态状态'!A276&lt;&gt;"",'07_动态状态'!A276,"")</f>
        <v/>
      </c>
      <c r="E2776" s="14">
        <f>IF(F2776&lt;&gt;"","综合校验","")</f>
        <v/>
      </c>
      <c r="F2776" s="14">
        <f>IF('07_动态状态'!A276&lt;&gt;"",IF('07_动态状态'!A276="","缺少状态编码；","")&amp;IF('07_动态状态'!B276="","缺少状态名称；","")&amp;IF('07_动态状态'!C276="","缺少状态类别；","")&amp;IF(AND('07_动态状态'!A276&lt;&gt;"",COUNTIF('07_动态状态'!$A$2:$A$501,'07_动态状态'!A276)&gt;1),"ID重复；",""),"")</f>
        <v/>
      </c>
      <c r="G2776" s="14">
        <f>IF(F2776&lt;&gt;"","按字段批注、数据字典和来源记录修正后复核","")</f>
        <v/>
      </c>
      <c r="H2776" s="14">
        <f>IF(F2776&lt;&gt;"","待处理","")</f>
        <v/>
      </c>
    </row>
    <row r="2777">
      <c r="A2777" s="14">
        <f>IF(F2777&lt;&gt;"","ISSUE-"&amp;TEXT(ROW()-1,"00000"),"")</f>
        <v/>
      </c>
      <c r="B2777" s="14">
        <f>IF(F2777&lt;&gt;"","错误","")</f>
        <v/>
      </c>
      <c r="C2777" s="14">
        <f>IF('07_动态状态'!A277&lt;&gt;"","07_动态状态","")</f>
        <v/>
      </c>
      <c r="D2777" s="14">
        <f>IF('07_动态状态'!A277&lt;&gt;"",'07_动态状态'!A277,"")</f>
        <v/>
      </c>
      <c r="E2777" s="14">
        <f>IF(F2777&lt;&gt;"","综合校验","")</f>
        <v/>
      </c>
      <c r="F2777" s="14">
        <f>IF('07_动态状态'!A277&lt;&gt;"",IF('07_动态状态'!A277="","缺少状态编码；","")&amp;IF('07_动态状态'!B277="","缺少状态名称；","")&amp;IF('07_动态状态'!C277="","缺少状态类别；","")&amp;IF(AND('07_动态状态'!A277&lt;&gt;"",COUNTIF('07_动态状态'!$A$2:$A$501,'07_动态状态'!A277)&gt;1),"ID重复；",""),"")</f>
        <v/>
      </c>
      <c r="G2777" s="14">
        <f>IF(F2777&lt;&gt;"","按字段批注、数据字典和来源记录修正后复核","")</f>
        <v/>
      </c>
      <c r="H2777" s="14">
        <f>IF(F2777&lt;&gt;"","待处理","")</f>
        <v/>
      </c>
    </row>
    <row r="2778">
      <c r="A2778" s="14">
        <f>IF(F2778&lt;&gt;"","ISSUE-"&amp;TEXT(ROW()-1,"00000"),"")</f>
        <v/>
      </c>
      <c r="B2778" s="14">
        <f>IF(F2778&lt;&gt;"","错误","")</f>
        <v/>
      </c>
      <c r="C2778" s="14">
        <f>IF('07_动态状态'!A278&lt;&gt;"","07_动态状态","")</f>
        <v/>
      </c>
      <c r="D2778" s="14">
        <f>IF('07_动态状态'!A278&lt;&gt;"",'07_动态状态'!A278,"")</f>
        <v/>
      </c>
      <c r="E2778" s="14">
        <f>IF(F2778&lt;&gt;"","综合校验","")</f>
        <v/>
      </c>
      <c r="F2778" s="14">
        <f>IF('07_动态状态'!A278&lt;&gt;"",IF('07_动态状态'!A278="","缺少状态编码；","")&amp;IF('07_动态状态'!B278="","缺少状态名称；","")&amp;IF('07_动态状态'!C278="","缺少状态类别；","")&amp;IF(AND('07_动态状态'!A278&lt;&gt;"",COUNTIF('07_动态状态'!$A$2:$A$501,'07_动态状态'!A278)&gt;1),"ID重复；",""),"")</f>
        <v/>
      </c>
      <c r="G2778" s="14">
        <f>IF(F2778&lt;&gt;"","按字段批注、数据字典和来源记录修正后复核","")</f>
        <v/>
      </c>
      <c r="H2778" s="14">
        <f>IF(F2778&lt;&gt;"","待处理","")</f>
        <v/>
      </c>
    </row>
    <row r="2779">
      <c r="A2779" s="14">
        <f>IF(F2779&lt;&gt;"","ISSUE-"&amp;TEXT(ROW()-1,"00000"),"")</f>
        <v/>
      </c>
      <c r="B2779" s="14">
        <f>IF(F2779&lt;&gt;"","错误","")</f>
        <v/>
      </c>
      <c r="C2779" s="14">
        <f>IF('07_动态状态'!A279&lt;&gt;"","07_动态状态","")</f>
        <v/>
      </c>
      <c r="D2779" s="14">
        <f>IF('07_动态状态'!A279&lt;&gt;"",'07_动态状态'!A279,"")</f>
        <v/>
      </c>
      <c r="E2779" s="14">
        <f>IF(F2779&lt;&gt;"","综合校验","")</f>
        <v/>
      </c>
      <c r="F2779" s="14">
        <f>IF('07_动态状态'!A279&lt;&gt;"",IF('07_动态状态'!A279="","缺少状态编码；","")&amp;IF('07_动态状态'!B279="","缺少状态名称；","")&amp;IF('07_动态状态'!C279="","缺少状态类别；","")&amp;IF(AND('07_动态状态'!A279&lt;&gt;"",COUNTIF('07_动态状态'!$A$2:$A$501,'07_动态状态'!A279)&gt;1),"ID重复；",""),"")</f>
        <v/>
      </c>
      <c r="G2779" s="14">
        <f>IF(F2779&lt;&gt;"","按字段批注、数据字典和来源记录修正后复核","")</f>
        <v/>
      </c>
      <c r="H2779" s="14">
        <f>IF(F2779&lt;&gt;"","待处理","")</f>
        <v/>
      </c>
    </row>
    <row r="2780">
      <c r="A2780" s="14">
        <f>IF(F2780&lt;&gt;"","ISSUE-"&amp;TEXT(ROW()-1,"00000"),"")</f>
        <v/>
      </c>
      <c r="B2780" s="14">
        <f>IF(F2780&lt;&gt;"","错误","")</f>
        <v/>
      </c>
      <c r="C2780" s="14">
        <f>IF('07_动态状态'!A280&lt;&gt;"","07_动态状态","")</f>
        <v/>
      </c>
      <c r="D2780" s="14">
        <f>IF('07_动态状态'!A280&lt;&gt;"",'07_动态状态'!A280,"")</f>
        <v/>
      </c>
      <c r="E2780" s="14">
        <f>IF(F2780&lt;&gt;"","综合校验","")</f>
        <v/>
      </c>
      <c r="F2780" s="14">
        <f>IF('07_动态状态'!A280&lt;&gt;"",IF('07_动态状态'!A280="","缺少状态编码；","")&amp;IF('07_动态状态'!B280="","缺少状态名称；","")&amp;IF('07_动态状态'!C280="","缺少状态类别；","")&amp;IF(AND('07_动态状态'!A280&lt;&gt;"",COUNTIF('07_动态状态'!$A$2:$A$501,'07_动态状态'!A280)&gt;1),"ID重复；",""),"")</f>
        <v/>
      </c>
      <c r="G2780" s="14">
        <f>IF(F2780&lt;&gt;"","按字段批注、数据字典和来源记录修正后复核","")</f>
        <v/>
      </c>
      <c r="H2780" s="14">
        <f>IF(F2780&lt;&gt;"","待处理","")</f>
        <v/>
      </c>
    </row>
    <row r="2781">
      <c r="A2781" s="14">
        <f>IF(F2781&lt;&gt;"","ISSUE-"&amp;TEXT(ROW()-1,"00000"),"")</f>
        <v/>
      </c>
      <c r="B2781" s="14">
        <f>IF(F2781&lt;&gt;"","错误","")</f>
        <v/>
      </c>
      <c r="C2781" s="14">
        <f>IF('07_动态状态'!A281&lt;&gt;"","07_动态状态","")</f>
        <v/>
      </c>
      <c r="D2781" s="14">
        <f>IF('07_动态状态'!A281&lt;&gt;"",'07_动态状态'!A281,"")</f>
        <v/>
      </c>
      <c r="E2781" s="14">
        <f>IF(F2781&lt;&gt;"","综合校验","")</f>
        <v/>
      </c>
      <c r="F2781" s="14">
        <f>IF('07_动态状态'!A281&lt;&gt;"",IF('07_动态状态'!A281="","缺少状态编码；","")&amp;IF('07_动态状态'!B281="","缺少状态名称；","")&amp;IF('07_动态状态'!C281="","缺少状态类别；","")&amp;IF(AND('07_动态状态'!A281&lt;&gt;"",COUNTIF('07_动态状态'!$A$2:$A$501,'07_动态状态'!A281)&gt;1),"ID重复；",""),"")</f>
        <v/>
      </c>
      <c r="G2781" s="14">
        <f>IF(F2781&lt;&gt;"","按字段批注、数据字典和来源记录修正后复核","")</f>
        <v/>
      </c>
      <c r="H2781" s="14">
        <f>IF(F2781&lt;&gt;"","待处理","")</f>
        <v/>
      </c>
    </row>
    <row r="2782">
      <c r="A2782" s="14">
        <f>IF(F2782&lt;&gt;"","ISSUE-"&amp;TEXT(ROW()-1,"00000"),"")</f>
        <v/>
      </c>
      <c r="B2782" s="14">
        <f>IF(F2782&lt;&gt;"","错误","")</f>
        <v/>
      </c>
      <c r="C2782" s="14">
        <f>IF('07_动态状态'!A282&lt;&gt;"","07_动态状态","")</f>
        <v/>
      </c>
      <c r="D2782" s="14">
        <f>IF('07_动态状态'!A282&lt;&gt;"",'07_动态状态'!A282,"")</f>
        <v/>
      </c>
      <c r="E2782" s="14">
        <f>IF(F2782&lt;&gt;"","综合校验","")</f>
        <v/>
      </c>
      <c r="F2782" s="14">
        <f>IF('07_动态状态'!A282&lt;&gt;"",IF('07_动态状态'!A282="","缺少状态编码；","")&amp;IF('07_动态状态'!B282="","缺少状态名称；","")&amp;IF('07_动态状态'!C282="","缺少状态类别；","")&amp;IF(AND('07_动态状态'!A282&lt;&gt;"",COUNTIF('07_动态状态'!$A$2:$A$501,'07_动态状态'!A282)&gt;1),"ID重复；",""),"")</f>
        <v/>
      </c>
      <c r="G2782" s="14">
        <f>IF(F2782&lt;&gt;"","按字段批注、数据字典和来源记录修正后复核","")</f>
        <v/>
      </c>
      <c r="H2782" s="14">
        <f>IF(F2782&lt;&gt;"","待处理","")</f>
        <v/>
      </c>
    </row>
    <row r="2783">
      <c r="A2783" s="14">
        <f>IF(F2783&lt;&gt;"","ISSUE-"&amp;TEXT(ROW()-1,"00000"),"")</f>
        <v/>
      </c>
      <c r="B2783" s="14">
        <f>IF(F2783&lt;&gt;"","错误","")</f>
        <v/>
      </c>
      <c r="C2783" s="14">
        <f>IF('07_动态状态'!A283&lt;&gt;"","07_动态状态","")</f>
        <v/>
      </c>
      <c r="D2783" s="14">
        <f>IF('07_动态状态'!A283&lt;&gt;"",'07_动态状态'!A283,"")</f>
        <v/>
      </c>
      <c r="E2783" s="14">
        <f>IF(F2783&lt;&gt;"","综合校验","")</f>
        <v/>
      </c>
      <c r="F2783" s="14">
        <f>IF('07_动态状态'!A283&lt;&gt;"",IF('07_动态状态'!A283="","缺少状态编码；","")&amp;IF('07_动态状态'!B283="","缺少状态名称；","")&amp;IF('07_动态状态'!C283="","缺少状态类别；","")&amp;IF(AND('07_动态状态'!A283&lt;&gt;"",COUNTIF('07_动态状态'!$A$2:$A$501,'07_动态状态'!A283)&gt;1),"ID重复；",""),"")</f>
        <v/>
      </c>
      <c r="G2783" s="14">
        <f>IF(F2783&lt;&gt;"","按字段批注、数据字典和来源记录修正后复核","")</f>
        <v/>
      </c>
      <c r="H2783" s="14">
        <f>IF(F2783&lt;&gt;"","待处理","")</f>
        <v/>
      </c>
    </row>
    <row r="2784">
      <c r="A2784" s="14">
        <f>IF(F2784&lt;&gt;"","ISSUE-"&amp;TEXT(ROW()-1,"00000"),"")</f>
        <v/>
      </c>
      <c r="B2784" s="14">
        <f>IF(F2784&lt;&gt;"","错误","")</f>
        <v/>
      </c>
      <c r="C2784" s="14">
        <f>IF('07_动态状态'!A284&lt;&gt;"","07_动态状态","")</f>
        <v/>
      </c>
      <c r="D2784" s="14">
        <f>IF('07_动态状态'!A284&lt;&gt;"",'07_动态状态'!A284,"")</f>
        <v/>
      </c>
      <c r="E2784" s="14">
        <f>IF(F2784&lt;&gt;"","综合校验","")</f>
        <v/>
      </c>
      <c r="F2784" s="14">
        <f>IF('07_动态状态'!A284&lt;&gt;"",IF('07_动态状态'!A284="","缺少状态编码；","")&amp;IF('07_动态状态'!B284="","缺少状态名称；","")&amp;IF('07_动态状态'!C284="","缺少状态类别；","")&amp;IF(AND('07_动态状态'!A284&lt;&gt;"",COUNTIF('07_动态状态'!$A$2:$A$501,'07_动态状态'!A284)&gt;1),"ID重复；",""),"")</f>
        <v/>
      </c>
      <c r="G2784" s="14">
        <f>IF(F2784&lt;&gt;"","按字段批注、数据字典和来源记录修正后复核","")</f>
        <v/>
      </c>
      <c r="H2784" s="14">
        <f>IF(F2784&lt;&gt;"","待处理","")</f>
        <v/>
      </c>
    </row>
    <row r="2785">
      <c r="A2785" s="14">
        <f>IF(F2785&lt;&gt;"","ISSUE-"&amp;TEXT(ROW()-1,"00000"),"")</f>
        <v/>
      </c>
      <c r="B2785" s="14">
        <f>IF(F2785&lt;&gt;"","错误","")</f>
        <v/>
      </c>
      <c r="C2785" s="14">
        <f>IF('07_动态状态'!A285&lt;&gt;"","07_动态状态","")</f>
        <v/>
      </c>
      <c r="D2785" s="14">
        <f>IF('07_动态状态'!A285&lt;&gt;"",'07_动态状态'!A285,"")</f>
        <v/>
      </c>
      <c r="E2785" s="14">
        <f>IF(F2785&lt;&gt;"","综合校验","")</f>
        <v/>
      </c>
      <c r="F2785" s="14">
        <f>IF('07_动态状态'!A285&lt;&gt;"",IF('07_动态状态'!A285="","缺少状态编码；","")&amp;IF('07_动态状态'!B285="","缺少状态名称；","")&amp;IF('07_动态状态'!C285="","缺少状态类别；","")&amp;IF(AND('07_动态状态'!A285&lt;&gt;"",COUNTIF('07_动态状态'!$A$2:$A$501,'07_动态状态'!A285)&gt;1),"ID重复；",""),"")</f>
        <v/>
      </c>
      <c r="G2785" s="14">
        <f>IF(F2785&lt;&gt;"","按字段批注、数据字典和来源记录修正后复核","")</f>
        <v/>
      </c>
      <c r="H2785" s="14">
        <f>IF(F2785&lt;&gt;"","待处理","")</f>
        <v/>
      </c>
    </row>
    <row r="2786">
      <c r="A2786" s="14">
        <f>IF(F2786&lt;&gt;"","ISSUE-"&amp;TEXT(ROW()-1,"00000"),"")</f>
        <v/>
      </c>
      <c r="B2786" s="14">
        <f>IF(F2786&lt;&gt;"","错误","")</f>
        <v/>
      </c>
      <c r="C2786" s="14">
        <f>IF('07_动态状态'!A286&lt;&gt;"","07_动态状态","")</f>
        <v/>
      </c>
      <c r="D2786" s="14">
        <f>IF('07_动态状态'!A286&lt;&gt;"",'07_动态状态'!A286,"")</f>
        <v/>
      </c>
      <c r="E2786" s="14">
        <f>IF(F2786&lt;&gt;"","综合校验","")</f>
        <v/>
      </c>
      <c r="F2786" s="14">
        <f>IF('07_动态状态'!A286&lt;&gt;"",IF('07_动态状态'!A286="","缺少状态编码；","")&amp;IF('07_动态状态'!B286="","缺少状态名称；","")&amp;IF('07_动态状态'!C286="","缺少状态类别；","")&amp;IF(AND('07_动态状态'!A286&lt;&gt;"",COUNTIF('07_动态状态'!$A$2:$A$501,'07_动态状态'!A286)&gt;1),"ID重复；",""),"")</f>
        <v/>
      </c>
      <c r="G2786" s="14">
        <f>IF(F2786&lt;&gt;"","按字段批注、数据字典和来源记录修正后复核","")</f>
        <v/>
      </c>
      <c r="H2786" s="14">
        <f>IF(F2786&lt;&gt;"","待处理","")</f>
        <v/>
      </c>
    </row>
    <row r="2787">
      <c r="A2787" s="14">
        <f>IF(F2787&lt;&gt;"","ISSUE-"&amp;TEXT(ROW()-1,"00000"),"")</f>
        <v/>
      </c>
      <c r="B2787" s="14">
        <f>IF(F2787&lt;&gt;"","错误","")</f>
        <v/>
      </c>
      <c r="C2787" s="14">
        <f>IF('07_动态状态'!A287&lt;&gt;"","07_动态状态","")</f>
        <v/>
      </c>
      <c r="D2787" s="14">
        <f>IF('07_动态状态'!A287&lt;&gt;"",'07_动态状态'!A287,"")</f>
        <v/>
      </c>
      <c r="E2787" s="14">
        <f>IF(F2787&lt;&gt;"","综合校验","")</f>
        <v/>
      </c>
      <c r="F2787" s="14">
        <f>IF('07_动态状态'!A287&lt;&gt;"",IF('07_动态状态'!A287="","缺少状态编码；","")&amp;IF('07_动态状态'!B287="","缺少状态名称；","")&amp;IF('07_动态状态'!C287="","缺少状态类别；","")&amp;IF(AND('07_动态状态'!A287&lt;&gt;"",COUNTIF('07_动态状态'!$A$2:$A$501,'07_动态状态'!A287)&gt;1),"ID重复；",""),"")</f>
        <v/>
      </c>
      <c r="G2787" s="14">
        <f>IF(F2787&lt;&gt;"","按字段批注、数据字典和来源记录修正后复核","")</f>
        <v/>
      </c>
      <c r="H2787" s="14">
        <f>IF(F2787&lt;&gt;"","待处理","")</f>
        <v/>
      </c>
    </row>
    <row r="2788">
      <c r="A2788" s="14">
        <f>IF(F2788&lt;&gt;"","ISSUE-"&amp;TEXT(ROW()-1,"00000"),"")</f>
        <v/>
      </c>
      <c r="B2788" s="14">
        <f>IF(F2788&lt;&gt;"","错误","")</f>
        <v/>
      </c>
      <c r="C2788" s="14">
        <f>IF('07_动态状态'!A288&lt;&gt;"","07_动态状态","")</f>
        <v/>
      </c>
      <c r="D2788" s="14">
        <f>IF('07_动态状态'!A288&lt;&gt;"",'07_动态状态'!A288,"")</f>
        <v/>
      </c>
      <c r="E2788" s="14">
        <f>IF(F2788&lt;&gt;"","综合校验","")</f>
        <v/>
      </c>
      <c r="F2788" s="14">
        <f>IF('07_动态状态'!A288&lt;&gt;"",IF('07_动态状态'!A288="","缺少状态编码；","")&amp;IF('07_动态状态'!B288="","缺少状态名称；","")&amp;IF('07_动态状态'!C288="","缺少状态类别；","")&amp;IF(AND('07_动态状态'!A288&lt;&gt;"",COUNTIF('07_动态状态'!$A$2:$A$501,'07_动态状态'!A288)&gt;1),"ID重复；",""),"")</f>
        <v/>
      </c>
      <c r="G2788" s="14">
        <f>IF(F2788&lt;&gt;"","按字段批注、数据字典和来源记录修正后复核","")</f>
        <v/>
      </c>
      <c r="H2788" s="14">
        <f>IF(F2788&lt;&gt;"","待处理","")</f>
        <v/>
      </c>
    </row>
    <row r="2789">
      <c r="A2789" s="14">
        <f>IF(F2789&lt;&gt;"","ISSUE-"&amp;TEXT(ROW()-1,"00000"),"")</f>
        <v/>
      </c>
      <c r="B2789" s="14">
        <f>IF(F2789&lt;&gt;"","错误","")</f>
        <v/>
      </c>
      <c r="C2789" s="14">
        <f>IF('07_动态状态'!A289&lt;&gt;"","07_动态状态","")</f>
        <v/>
      </c>
      <c r="D2789" s="14">
        <f>IF('07_动态状态'!A289&lt;&gt;"",'07_动态状态'!A289,"")</f>
        <v/>
      </c>
      <c r="E2789" s="14">
        <f>IF(F2789&lt;&gt;"","综合校验","")</f>
        <v/>
      </c>
      <c r="F2789" s="14">
        <f>IF('07_动态状态'!A289&lt;&gt;"",IF('07_动态状态'!A289="","缺少状态编码；","")&amp;IF('07_动态状态'!B289="","缺少状态名称；","")&amp;IF('07_动态状态'!C289="","缺少状态类别；","")&amp;IF(AND('07_动态状态'!A289&lt;&gt;"",COUNTIF('07_动态状态'!$A$2:$A$501,'07_动态状态'!A289)&gt;1),"ID重复；",""),"")</f>
        <v/>
      </c>
      <c r="G2789" s="14">
        <f>IF(F2789&lt;&gt;"","按字段批注、数据字典和来源记录修正后复核","")</f>
        <v/>
      </c>
      <c r="H2789" s="14">
        <f>IF(F2789&lt;&gt;"","待处理","")</f>
        <v/>
      </c>
    </row>
    <row r="2790">
      <c r="A2790" s="14">
        <f>IF(F2790&lt;&gt;"","ISSUE-"&amp;TEXT(ROW()-1,"00000"),"")</f>
        <v/>
      </c>
      <c r="B2790" s="14">
        <f>IF(F2790&lt;&gt;"","错误","")</f>
        <v/>
      </c>
      <c r="C2790" s="14">
        <f>IF('07_动态状态'!A290&lt;&gt;"","07_动态状态","")</f>
        <v/>
      </c>
      <c r="D2790" s="14">
        <f>IF('07_动态状态'!A290&lt;&gt;"",'07_动态状态'!A290,"")</f>
        <v/>
      </c>
      <c r="E2790" s="14">
        <f>IF(F2790&lt;&gt;"","综合校验","")</f>
        <v/>
      </c>
      <c r="F2790" s="14">
        <f>IF('07_动态状态'!A290&lt;&gt;"",IF('07_动态状态'!A290="","缺少状态编码；","")&amp;IF('07_动态状态'!B290="","缺少状态名称；","")&amp;IF('07_动态状态'!C290="","缺少状态类别；","")&amp;IF(AND('07_动态状态'!A290&lt;&gt;"",COUNTIF('07_动态状态'!$A$2:$A$501,'07_动态状态'!A290)&gt;1),"ID重复；",""),"")</f>
        <v/>
      </c>
      <c r="G2790" s="14">
        <f>IF(F2790&lt;&gt;"","按字段批注、数据字典和来源记录修正后复核","")</f>
        <v/>
      </c>
      <c r="H2790" s="14">
        <f>IF(F2790&lt;&gt;"","待处理","")</f>
        <v/>
      </c>
    </row>
    <row r="2791">
      <c r="A2791" s="14">
        <f>IF(F2791&lt;&gt;"","ISSUE-"&amp;TEXT(ROW()-1,"00000"),"")</f>
        <v/>
      </c>
      <c r="B2791" s="14">
        <f>IF(F2791&lt;&gt;"","错误","")</f>
        <v/>
      </c>
      <c r="C2791" s="14">
        <f>IF('07_动态状态'!A291&lt;&gt;"","07_动态状态","")</f>
        <v/>
      </c>
      <c r="D2791" s="14">
        <f>IF('07_动态状态'!A291&lt;&gt;"",'07_动态状态'!A291,"")</f>
        <v/>
      </c>
      <c r="E2791" s="14">
        <f>IF(F2791&lt;&gt;"","综合校验","")</f>
        <v/>
      </c>
      <c r="F2791" s="14">
        <f>IF('07_动态状态'!A291&lt;&gt;"",IF('07_动态状态'!A291="","缺少状态编码；","")&amp;IF('07_动态状态'!B291="","缺少状态名称；","")&amp;IF('07_动态状态'!C291="","缺少状态类别；","")&amp;IF(AND('07_动态状态'!A291&lt;&gt;"",COUNTIF('07_动态状态'!$A$2:$A$501,'07_动态状态'!A291)&gt;1),"ID重复；",""),"")</f>
        <v/>
      </c>
      <c r="G2791" s="14">
        <f>IF(F2791&lt;&gt;"","按字段批注、数据字典和来源记录修正后复核","")</f>
        <v/>
      </c>
      <c r="H2791" s="14">
        <f>IF(F2791&lt;&gt;"","待处理","")</f>
        <v/>
      </c>
    </row>
    <row r="2792">
      <c r="A2792" s="14">
        <f>IF(F2792&lt;&gt;"","ISSUE-"&amp;TEXT(ROW()-1,"00000"),"")</f>
        <v/>
      </c>
      <c r="B2792" s="14">
        <f>IF(F2792&lt;&gt;"","错误","")</f>
        <v/>
      </c>
      <c r="C2792" s="14">
        <f>IF('07_动态状态'!A292&lt;&gt;"","07_动态状态","")</f>
        <v/>
      </c>
      <c r="D2792" s="14">
        <f>IF('07_动态状态'!A292&lt;&gt;"",'07_动态状态'!A292,"")</f>
        <v/>
      </c>
      <c r="E2792" s="14">
        <f>IF(F2792&lt;&gt;"","综合校验","")</f>
        <v/>
      </c>
      <c r="F2792" s="14">
        <f>IF('07_动态状态'!A292&lt;&gt;"",IF('07_动态状态'!A292="","缺少状态编码；","")&amp;IF('07_动态状态'!B292="","缺少状态名称；","")&amp;IF('07_动态状态'!C292="","缺少状态类别；","")&amp;IF(AND('07_动态状态'!A292&lt;&gt;"",COUNTIF('07_动态状态'!$A$2:$A$501,'07_动态状态'!A292)&gt;1),"ID重复；",""),"")</f>
        <v/>
      </c>
      <c r="G2792" s="14">
        <f>IF(F2792&lt;&gt;"","按字段批注、数据字典和来源记录修正后复核","")</f>
        <v/>
      </c>
      <c r="H2792" s="14">
        <f>IF(F2792&lt;&gt;"","待处理","")</f>
        <v/>
      </c>
    </row>
    <row r="2793">
      <c r="A2793" s="14">
        <f>IF(F2793&lt;&gt;"","ISSUE-"&amp;TEXT(ROW()-1,"00000"),"")</f>
        <v/>
      </c>
      <c r="B2793" s="14">
        <f>IF(F2793&lt;&gt;"","错误","")</f>
        <v/>
      </c>
      <c r="C2793" s="14">
        <f>IF('07_动态状态'!A293&lt;&gt;"","07_动态状态","")</f>
        <v/>
      </c>
      <c r="D2793" s="14">
        <f>IF('07_动态状态'!A293&lt;&gt;"",'07_动态状态'!A293,"")</f>
        <v/>
      </c>
      <c r="E2793" s="14">
        <f>IF(F2793&lt;&gt;"","综合校验","")</f>
        <v/>
      </c>
      <c r="F2793" s="14">
        <f>IF('07_动态状态'!A293&lt;&gt;"",IF('07_动态状态'!A293="","缺少状态编码；","")&amp;IF('07_动态状态'!B293="","缺少状态名称；","")&amp;IF('07_动态状态'!C293="","缺少状态类别；","")&amp;IF(AND('07_动态状态'!A293&lt;&gt;"",COUNTIF('07_动态状态'!$A$2:$A$501,'07_动态状态'!A293)&gt;1),"ID重复；",""),"")</f>
        <v/>
      </c>
      <c r="G2793" s="14">
        <f>IF(F2793&lt;&gt;"","按字段批注、数据字典和来源记录修正后复核","")</f>
        <v/>
      </c>
      <c r="H2793" s="14">
        <f>IF(F2793&lt;&gt;"","待处理","")</f>
        <v/>
      </c>
    </row>
    <row r="2794">
      <c r="A2794" s="14">
        <f>IF(F2794&lt;&gt;"","ISSUE-"&amp;TEXT(ROW()-1,"00000"),"")</f>
        <v/>
      </c>
      <c r="B2794" s="14">
        <f>IF(F2794&lt;&gt;"","错误","")</f>
        <v/>
      </c>
      <c r="C2794" s="14">
        <f>IF('07_动态状态'!A294&lt;&gt;"","07_动态状态","")</f>
        <v/>
      </c>
      <c r="D2794" s="14">
        <f>IF('07_动态状态'!A294&lt;&gt;"",'07_动态状态'!A294,"")</f>
        <v/>
      </c>
      <c r="E2794" s="14">
        <f>IF(F2794&lt;&gt;"","综合校验","")</f>
        <v/>
      </c>
      <c r="F2794" s="14">
        <f>IF('07_动态状态'!A294&lt;&gt;"",IF('07_动态状态'!A294="","缺少状态编码；","")&amp;IF('07_动态状态'!B294="","缺少状态名称；","")&amp;IF('07_动态状态'!C294="","缺少状态类别；","")&amp;IF(AND('07_动态状态'!A294&lt;&gt;"",COUNTIF('07_动态状态'!$A$2:$A$501,'07_动态状态'!A294)&gt;1),"ID重复；",""),"")</f>
        <v/>
      </c>
      <c r="G2794" s="14">
        <f>IF(F2794&lt;&gt;"","按字段批注、数据字典和来源记录修正后复核","")</f>
        <v/>
      </c>
      <c r="H2794" s="14">
        <f>IF(F2794&lt;&gt;"","待处理","")</f>
        <v/>
      </c>
    </row>
    <row r="2795">
      <c r="A2795" s="14">
        <f>IF(F2795&lt;&gt;"","ISSUE-"&amp;TEXT(ROW()-1,"00000"),"")</f>
        <v/>
      </c>
      <c r="B2795" s="14">
        <f>IF(F2795&lt;&gt;"","错误","")</f>
        <v/>
      </c>
      <c r="C2795" s="14">
        <f>IF('07_动态状态'!A295&lt;&gt;"","07_动态状态","")</f>
        <v/>
      </c>
      <c r="D2795" s="14">
        <f>IF('07_动态状态'!A295&lt;&gt;"",'07_动态状态'!A295,"")</f>
        <v/>
      </c>
      <c r="E2795" s="14">
        <f>IF(F2795&lt;&gt;"","综合校验","")</f>
        <v/>
      </c>
      <c r="F2795" s="14">
        <f>IF('07_动态状态'!A295&lt;&gt;"",IF('07_动态状态'!A295="","缺少状态编码；","")&amp;IF('07_动态状态'!B295="","缺少状态名称；","")&amp;IF('07_动态状态'!C295="","缺少状态类别；","")&amp;IF(AND('07_动态状态'!A295&lt;&gt;"",COUNTIF('07_动态状态'!$A$2:$A$501,'07_动态状态'!A295)&gt;1),"ID重复；",""),"")</f>
        <v/>
      </c>
      <c r="G2795" s="14">
        <f>IF(F2795&lt;&gt;"","按字段批注、数据字典和来源记录修正后复核","")</f>
        <v/>
      </c>
      <c r="H2795" s="14">
        <f>IF(F2795&lt;&gt;"","待处理","")</f>
        <v/>
      </c>
    </row>
    <row r="2796">
      <c r="A2796" s="14">
        <f>IF(F2796&lt;&gt;"","ISSUE-"&amp;TEXT(ROW()-1,"00000"),"")</f>
        <v/>
      </c>
      <c r="B2796" s="14">
        <f>IF(F2796&lt;&gt;"","错误","")</f>
        <v/>
      </c>
      <c r="C2796" s="14">
        <f>IF('07_动态状态'!A296&lt;&gt;"","07_动态状态","")</f>
        <v/>
      </c>
      <c r="D2796" s="14">
        <f>IF('07_动态状态'!A296&lt;&gt;"",'07_动态状态'!A296,"")</f>
        <v/>
      </c>
      <c r="E2796" s="14">
        <f>IF(F2796&lt;&gt;"","综合校验","")</f>
        <v/>
      </c>
      <c r="F2796" s="14">
        <f>IF('07_动态状态'!A296&lt;&gt;"",IF('07_动态状态'!A296="","缺少状态编码；","")&amp;IF('07_动态状态'!B296="","缺少状态名称；","")&amp;IF('07_动态状态'!C296="","缺少状态类别；","")&amp;IF(AND('07_动态状态'!A296&lt;&gt;"",COUNTIF('07_动态状态'!$A$2:$A$501,'07_动态状态'!A296)&gt;1),"ID重复；",""),"")</f>
        <v/>
      </c>
      <c r="G2796" s="14">
        <f>IF(F2796&lt;&gt;"","按字段批注、数据字典和来源记录修正后复核","")</f>
        <v/>
      </c>
      <c r="H2796" s="14">
        <f>IF(F2796&lt;&gt;"","待处理","")</f>
        <v/>
      </c>
    </row>
    <row r="2797">
      <c r="A2797" s="14">
        <f>IF(F2797&lt;&gt;"","ISSUE-"&amp;TEXT(ROW()-1,"00000"),"")</f>
        <v/>
      </c>
      <c r="B2797" s="14">
        <f>IF(F2797&lt;&gt;"","错误","")</f>
        <v/>
      </c>
      <c r="C2797" s="14">
        <f>IF('07_动态状态'!A297&lt;&gt;"","07_动态状态","")</f>
        <v/>
      </c>
      <c r="D2797" s="14">
        <f>IF('07_动态状态'!A297&lt;&gt;"",'07_动态状态'!A297,"")</f>
        <v/>
      </c>
      <c r="E2797" s="14">
        <f>IF(F2797&lt;&gt;"","综合校验","")</f>
        <v/>
      </c>
      <c r="F2797" s="14">
        <f>IF('07_动态状态'!A297&lt;&gt;"",IF('07_动态状态'!A297="","缺少状态编码；","")&amp;IF('07_动态状态'!B297="","缺少状态名称；","")&amp;IF('07_动态状态'!C297="","缺少状态类别；","")&amp;IF(AND('07_动态状态'!A297&lt;&gt;"",COUNTIF('07_动态状态'!$A$2:$A$501,'07_动态状态'!A297)&gt;1),"ID重复；",""),"")</f>
        <v/>
      </c>
      <c r="G2797" s="14">
        <f>IF(F2797&lt;&gt;"","按字段批注、数据字典和来源记录修正后复核","")</f>
        <v/>
      </c>
      <c r="H2797" s="14">
        <f>IF(F2797&lt;&gt;"","待处理","")</f>
        <v/>
      </c>
    </row>
    <row r="2798">
      <c r="A2798" s="14">
        <f>IF(F2798&lt;&gt;"","ISSUE-"&amp;TEXT(ROW()-1,"00000"),"")</f>
        <v/>
      </c>
      <c r="B2798" s="14">
        <f>IF(F2798&lt;&gt;"","错误","")</f>
        <v/>
      </c>
      <c r="C2798" s="14">
        <f>IF('07_动态状态'!A298&lt;&gt;"","07_动态状态","")</f>
        <v/>
      </c>
      <c r="D2798" s="14">
        <f>IF('07_动态状态'!A298&lt;&gt;"",'07_动态状态'!A298,"")</f>
        <v/>
      </c>
      <c r="E2798" s="14">
        <f>IF(F2798&lt;&gt;"","综合校验","")</f>
        <v/>
      </c>
      <c r="F2798" s="14">
        <f>IF('07_动态状态'!A298&lt;&gt;"",IF('07_动态状态'!A298="","缺少状态编码；","")&amp;IF('07_动态状态'!B298="","缺少状态名称；","")&amp;IF('07_动态状态'!C298="","缺少状态类别；","")&amp;IF(AND('07_动态状态'!A298&lt;&gt;"",COUNTIF('07_动态状态'!$A$2:$A$501,'07_动态状态'!A298)&gt;1),"ID重复；",""),"")</f>
        <v/>
      </c>
      <c r="G2798" s="14">
        <f>IF(F2798&lt;&gt;"","按字段批注、数据字典和来源记录修正后复核","")</f>
        <v/>
      </c>
      <c r="H2798" s="14">
        <f>IF(F2798&lt;&gt;"","待处理","")</f>
        <v/>
      </c>
    </row>
    <row r="2799">
      <c r="A2799" s="14">
        <f>IF(F2799&lt;&gt;"","ISSUE-"&amp;TEXT(ROW()-1,"00000"),"")</f>
        <v/>
      </c>
      <c r="B2799" s="14">
        <f>IF(F2799&lt;&gt;"","错误","")</f>
        <v/>
      </c>
      <c r="C2799" s="14">
        <f>IF('07_动态状态'!A299&lt;&gt;"","07_动态状态","")</f>
        <v/>
      </c>
      <c r="D2799" s="14">
        <f>IF('07_动态状态'!A299&lt;&gt;"",'07_动态状态'!A299,"")</f>
        <v/>
      </c>
      <c r="E2799" s="14">
        <f>IF(F2799&lt;&gt;"","综合校验","")</f>
        <v/>
      </c>
      <c r="F2799" s="14">
        <f>IF('07_动态状态'!A299&lt;&gt;"",IF('07_动态状态'!A299="","缺少状态编码；","")&amp;IF('07_动态状态'!B299="","缺少状态名称；","")&amp;IF('07_动态状态'!C299="","缺少状态类别；","")&amp;IF(AND('07_动态状态'!A299&lt;&gt;"",COUNTIF('07_动态状态'!$A$2:$A$501,'07_动态状态'!A299)&gt;1),"ID重复；",""),"")</f>
        <v/>
      </c>
      <c r="G2799" s="14">
        <f>IF(F2799&lt;&gt;"","按字段批注、数据字典和来源记录修正后复核","")</f>
        <v/>
      </c>
      <c r="H2799" s="14">
        <f>IF(F2799&lt;&gt;"","待处理","")</f>
        <v/>
      </c>
    </row>
    <row r="2800">
      <c r="A2800" s="14">
        <f>IF(F2800&lt;&gt;"","ISSUE-"&amp;TEXT(ROW()-1,"00000"),"")</f>
        <v/>
      </c>
      <c r="B2800" s="14">
        <f>IF(F2800&lt;&gt;"","错误","")</f>
        <v/>
      </c>
      <c r="C2800" s="14">
        <f>IF('07_动态状态'!A300&lt;&gt;"","07_动态状态","")</f>
        <v/>
      </c>
      <c r="D2800" s="14">
        <f>IF('07_动态状态'!A300&lt;&gt;"",'07_动态状态'!A300,"")</f>
        <v/>
      </c>
      <c r="E2800" s="14">
        <f>IF(F2800&lt;&gt;"","综合校验","")</f>
        <v/>
      </c>
      <c r="F2800" s="14">
        <f>IF('07_动态状态'!A300&lt;&gt;"",IF('07_动态状态'!A300="","缺少状态编码；","")&amp;IF('07_动态状态'!B300="","缺少状态名称；","")&amp;IF('07_动态状态'!C300="","缺少状态类别；","")&amp;IF(AND('07_动态状态'!A300&lt;&gt;"",COUNTIF('07_动态状态'!$A$2:$A$501,'07_动态状态'!A300)&gt;1),"ID重复；",""),"")</f>
        <v/>
      </c>
      <c r="G2800" s="14">
        <f>IF(F2800&lt;&gt;"","按字段批注、数据字典和来源记录修正后复核","")</f>
        <v/>
      </c>
      <c r="H2800" s="14">
        <f>IF(F2800&lt;&gt;"","待处理","")</f>
        <v/>
      </c>
    </row>
    <row r="2801">
      <c r="A2801" s="14">
        <f>IF(F2801&lt;&gt;"","ISSUE-"&amp;TEXT(ROW()-1,"00000"),"")</f>
        <v/>
      </c>
      <c r="B2801" s="14">
        <f>IF(F2801&lt;&gt;"","错误","")</f>
        <v/>
      </c>
      <c r="C2801" s="14">
        <f>IF('07_动态状态'!A301&lt;&gt;"","07_动态状态","")</f>
        <v/>
      </c>
      <c r="D2801" s="14">
        <f>IF('07_动态状态'!A301&lt;&gt;"",'07_动态状态'!A301,"")</f>
        <v/>
      </c>
      <c r="E2801" s="14">
        <f>IF(F2801&lt;&gt;"","综合校验","")</f>
        <v/>
      </c>
      <c r="F2801" s="14">
        <f>IF('07_动态状态'!A301&lt;&gt;"",IF('07_动态状态'!A301="","缺少状态编码；","")&amp;IF('07_动态状态'!B301="","缺少状态名称；","")&amp;IF('07_动态状态'!C301="","缺少状态类别；","")&amp;IF(AND('07_动态状态'!A301&lt;&gt;"",COUNTIF('07_动态状态'!$A$2:$A$501,'07_动态状态'!A301)&gt;1),"ID重复；",""),"")</f>
        <v/>
      </c>
      <c r="G2801" s="14">
        <f>IF(F2801&lt;&gt;"","按字段批注、数据字典和来源记录修正后复核","")</f>
        <v/>
      </c>
      <c r="H2801" s="14">
        <f>IF(F2801&lt;&gt;"","待处理","")</f>
        <v/>
      </c>
    </row>
    <row r="2802">
      <c r="A2802" s="14">
        <f>IF(F2802&lt;&gt;"","ISSUE-"&amp;TEXT(ROW()-1,"00000"),"")</f>
        <v/>
      </c>
      <c r="B2802" s="14">
        <f>IF(F2802&lt;&gt;"","错误","")</f>
        <v/>
      </c>
      <c r="C2802" s="14">
        <f>IF('07_动态状态'!A302&lt;&gt;"","07_动态状态","")</f>
        <v/>
      </c>
      <c r="D2802" s="14">
        <f>IF('07_动态状态'!A302&lt;&gt;"",'07_动态状态'!A302,"")</f>
        <v/>
      </c>
      <c r="E2802" s="14">
        <f>IF(F2802&lt;&gt;"","综合校验","")</f>
        <v/>
      </c>
      <c r="F2802" s="14">
        <f>IF('07_动态状态'!A302&lt;&gt;"",IF('07_动态状态'!A302="","缺少状态编码；","")&amp;IF('07_动态状态'!B302="","缺少状态名称；","")&amp;IF('07_动态状态'!C302="","缺少状态类别；","")&amp;IF(AND('07_动态状态'!A302&lt;&gt;"",COUNTIF('07_动态状态'!$A$2:$A$501,'07_动态状态'!A302)&gt;1),"ID重复；",""),"")</f>
        <v/>
      </c>
      <c r="G2802" s="14">
        <f>IF(F2802&lt;&gt;"","按字段批注、数据字典和来源记录修正后复核","")</f>
        <v/>
      </c>
      <c r="H2802" s="14">
        <f>IF(F2802&lt;&gt;"","待处理","")</f>
        <v/>
      </c>
    </row>
    <row r="2803">
      <c r="A2803" s="14">
        <f>IF(F2803&lt;&gt;"","ISSUE-"&amp;TEXT(ROW()-1,"00000"),"")</f>
        <v/>
      </c>
      <c r="B2803" s="14">
        <f>IF(F2803&lt;&gt;"","错误","")</f>
        <v/>
      </c>
      <c r="C2803" s="14">
        <f>IF('07_动态状态'!A303&lt;&gt;"","07_动态状态","")</f>
        <v/>
      </c>
      <c r="D2803" s="14">
        <f>IF('07_动态状态'!A303&lt;&gt;"",'07_动态状态'!A303,"")</f>
        <v/>
      </c>
      <c r="E2803" s="14">
        <f>IF(F2803&lt;&gt;"","综合校验","")</f>
        <v/>
      </c>
      <c r="F2803" s="14">
        <f>IF('07_动态状态'!A303&lt;&gt;"",IF('07_动态状态'!A303="","缺少状态编码；","")&amp;IF('07_动态状态'!B303="","缺少状态名称；","")&amp;IF('07_动态状态'!C303="","缺少状态类别；","")&amp;IF(AND('07_动态状态'!A303&lt;&gt;"",COUNTIF('07_动态状态'!$A$2:$A$501,'07_动态状态'!A303)&gt;1),"ID重复；",""),"")</f>
        <v/>
      </c>
      <c r="G2803" s="14">
        <f>IF(F2803&lt;&gt;"","按字段批注、数据字典和来源记录修正后复核","")</f>
        <v/>
      </c>
      <c r="H2803" s="14">
        <f>IF(F2803&lt;&gt;"","待处理","")</f>
        <v/>
      </c>
    </row>
    <row r="2804">
      <c r="A2804" s="14">
        <f>IF(F2804&lt;&gt;"","ISSUE-"&amp;TEXT(ROW()-1,"00000"),"")</f>
        <v/>
      </c>
      <c r="B2804" s="14">
        <f>IF(F2804&lt;&gt;"","错误","")</f>
        <v/>
      </c>
      <c r="C2804" s="14">
        <f>IF('07_动态状态'!A304&lt;&gt;"","07_动态状态","")</f>
        <v/>
      </c>
      <c r="D2804" s="14">
        <f>IF('07_动态状态'!A304&lt;&gt;"",'07_动态状态'!A304,"")</f>
        <v/>
      </c>
      <c r="E2804" s="14">
        <f>IF(F2804&lt;&gt;"","综合校验","")</f>
        <v/>
      </c>
      <c r="F2804" s="14">
        <f>IF('07_动态状态'!A304&lt;&gt;"",IF('07_动态状态'!A304="","缺少状态编码；","")&amp;IF('07_动态状态'!B304="","缺少状态名称；","")&amp;IF('07_动态状态'!C304="","缺少状态类别；","")&amp;IF(AND('07_动态状态'!A304&lt;&gt;"",COUNTIF('07_动态状态'!$A$2:$A$501,'07_动态状态'!A304)&gt;1),"ID重复；",""),"")</f>
        <v/>
      </c>
      <c r="G2804" s="14">
        <f>IF(F2804&lt;&gt;"","按字段批注、数据字典和来源记录修正后复核","")</f>
        <v/>
      </c>
      <c r="H2804" s="14">
        <f>IF(F2804&lt;&gt;"","待处理","")</f>
        <v/>
      </c>
    </row>
    <row r="2805">
      <c r="A2805" s="14">
        <f>IF(F2805&lt;&gt;"","ISSUE-"&amp;TEXT(ROW()-1,"00000"),"")</f>
        <v/>
      </c>
      <c r="B2805" s="14">
        <f>IF(F2805&lt;&gt;"","错误","")</f>
        <v/>
      </c>
      <c r="C2805" s="14">
        <f>IF('07_动态状态'!A305&lt;&gt;"","07_动态状态","")</f>
        <v/>
      </c>
      <c r="D2805" s="14">
        <f>IF('07_动态状态'!A305&lt;&gt;"",'07_动态状态'!A305,"")</f>
        <v/>
      </c>
      <c r="E2805" s="14">
        <f>IF(F2805&lt;&gt;"","综合校验","")</f>
        <v/>
      </c>
      <c r="F2805" s="14">
        <f>IF('07_动态状态'!A305&lt;&gt;"",IF('07_动态状态'!A305="","缺少状态编码；","")&amp;IF('07_动态状态'!B305="","缺少状态名称；","")&amp;IF('07_动态状态'!C305="","缺少状态类别；","")&amp;IF(AND('07_动态状态'!A305&lt;&gt;"",COUNTIF('07_动态状态'!$A$2:$A$501,'07_动态状态'!A305)&gt;1),"ID重复；",""),"")</f>
        <v/>
      </c>
      <c r="G2805" s="14">
        <f>IF(F2805&lt;&gt;"","按字段批注、数据字典和来源记录修正后复核","")</f>
        <v/>
      </c>
      <c r="H2805" s="14">
        <f>IF(F2805&lt;&gt;"","待处理","")</f>
        <v/>
      </c>
    </row>
    <row r="2806">
      <c r="A2806" s="14">
        <f>IF(F2806&lt;&gt;"","ISSUE-"&amp;TEXT(ROW()-1,"00000"),"")</f>
        <v/>
      </c>
      <c r="B2806" s="14">
        <f>IF(F2806&lt;&gt;"","错误","")</f>
        <v/>
      </c>
      <c r="C2806" s="14">
        <f>IF('07_动态状态'!A306&lt;&gt;"","07_动态状态","")</f>
        <v/>
      </c>
      <c r="D2806" s="14">
        <f>IF('07_动态状态'!A306&lt;&gt;"",'07_动态状态'!A306,"")</f>
        <v/>
      </c>
      <c r="E2806" s="14">
        <f>IF(F2806&lt;&gt;"","综合校验","")</f>
        <v/>
      </c>
      <c r="F2806" s="14">
        <f>IF('07_动态状态'!A306&lt;&gt;"",IF('07_动态状态'!A306="","缺少状态编码；","")&amp;IF('07_动态状态'!B306="","缺少状态名称；","")&amp;IF('07_动态状态'!C306="","缺少状态类别；","")&amp;IF(AND('07_动态状态'!A306&lt;&gt;"",COUNTIF('07_动态状态'!$A$2:$A$501,'07_动态状态'!A306)&gt;1),"ID重复；",""),"")</f>
        <v/>
      </c>
      <c r="G2806" s="14">
        <f>IF(F2806&lt;&gt;"","按字段批注、数据字典和来源记录修正后复核","")</f>
        <v/>
      </c>
      <c r="H2806" s="14">
        <f>IF(F2806&lt;&gt;"","待处理","")</f>
        <v/>
      </c>
    </row>
    <row r="2807">
      <c r="A2807" s="14">
        <f>IF(F2807&lt;&gt;"","ISSUE-"&amp;TEXT(ROW()-1,"00000"),"")</f>
        <v/>
      </c>
      <c r="B2807" s="14">
        <f>IF(F2807&lt;&gt;"","错误","")</f>
        <v/>
      </c>
      <c r="C2807" s="14">
        <f>IF('07_动态状态'!A307&lt;&gt;"","07_动态状态","")</f>
        <v/>
      </c>
      <c r="D2807" s="14">
        <f>IF('07_动态状态'!A307&lt;&gt;"",'07_动态状态'!A307,"")</f>
        <v/>
      </c>
      <c r="E2807" s="14">
        <f>IF(F2807&lt;&gt;"","综合校验","")</f>
        <v/>
      </c>
      <c r="F2807" s="14">
        <f>IF('07_动态状态'!A307&lt;&gt;"",IF('07_动态状态'!A307="","缺少状态编码；","")&amp;IF('07_动态状态'!B307="","缺少状态名称；","")&amp;IF('07_动态状态'!C307="","缺少状态类别；","")&amp;IF(AND('07_动态状态'!A307&lt;&gt;"",COUNTIF('07_动态状态'!$A$2:$A$501,'07_动态状态'!A307)&gt;1),"ID重复；",""),"")</f>
        <v/>
      </c>
      <c r="G2807" s="14">
        <f>IF(F2807&lt;&gt;"","按字段批注、数据字典和来源记录修正后复核","")</f>
        <v/>
      </c>
      <c r="H2807" s="14">
        <f>IF(F2807&lt;&gt;"","待处理","")</f>
        <v/>
      </c>
    </row>
    <row r="2808">
      <c r="A2808" s="14">
        <f>IF(F2808&lt;&gt;"","ISSUE-"&amp;TEXT(ROW()-1,"00000"),"")</f>
        <v/>
      </c>
      <c r="B2808" s="14">
        <f>IF(F2808&lt;&gt;"","错误","")</f>
        <v/>
      </c>
      <c r="C2808" s="14">
        <f>IF('07_动态状态'!A308&lt;&gt;"","07_动态状态","")</f>
        <v/>
      </c>
      <c r="D2808" s="14">
        <f>IF('07_动态状态'!A308&lt;&gt;"",'07_动态状态'!A308,"")</f>
        <v/>
      </c>
      <c r="E2808" s="14">
        <f>IF(F2808&lt;&gt;"","综合校验","")</f>
        <v/>
      </c>
      <c r="F2808" s="14">
        <f>IF('07_动态状态'!A308&lt;&gt;"",IF('07_动态状态'!A308="","缺少状态编码；","")&amp;IF('07_动态状态'!B308="","缺少状态名称；","")&amp;IF('07_动态状态'!C308="","缺少状态类别；","")&amp;IF(AND('07_动态状态'!A308&lt;&gt;"",COUNTIF('07_动态状态'!$A$2:$A$501,'07_动态状态'!A308)&gt;1),"ID重复；",""),"")</f>
        <v/>
      </c>
      <c r="G2808" s="14">
        <f>IF(F2808&lt;&gt;"","按字段批注、数据字典和来源记录修正后复核","")</f>
        <v/>
      </c>
      <c r="H2808" s="14">
        <f>IF(F2808&lt;&gt;"","待处理","")</f>
        <v/>
      </c>
    </row>
    <row r="2809">
      <c r="A2809" s="14">
        <f>IF(F2809&lt;&gt;"","ISSUE-"&amp;TEXT(ROW()-1,"00000"),"")</f>
        <v/>
      </c>
      <c r="B2809" s="14">
        <f>IF(F2809&lt;&gt;"","错误","")</f>
        <v/>
      </c>
      <c r="C2809" s="14">
        <f>IF('07_动态状态'!A309&lt;&gt;"","07_动态状态","")</f>
        <v/>
      </c>
      <c r="D2809" s="14">
        <f>IF('07_动态状态'!A309&lt;&gt;"",'07_动态状态'!A309,"")</f>
        <v/>
      </c>
      <c r="E2809" s="14">
        <f>IF(F2809&lt;&gt;"","综合校验","")</f>
        <v/>
      </c>
      <c r="F2809" s="14">
        <f>IF('07_动态状态'!A309&lt;&gt;"",IF('07_动态状态'!A309="","缺少状态编码；","")&amp;IF('07_动态状态'!B309="","缺少状态名称；","")&amp;IF('07_动态状态'!C309="","缺少状态类别；","")&amp;IF(AND('07_动态状态'!A309&lt;&gt;"",COUNTIF('07_动态状态'!$A$2:$A$501,'07_动态状态'!A309)&gt;1),"ID重复；",""),"")</f>
        <v/>
      </c>
      <c r="G2809" s="14">
        <f>IF(F2809&lt;&gt;"","按字段批注、数据字典和来源记录修正后复核","")</f>
        <v/>
      </c>
      <c r="H2809" s="14">
        <f>IF(F2809&lt;&gt;"","待处理","")</f>
        <v/>
      </c>
    </row>
    <row r="2810">
      <c r="A2810" s="14">
        <f>IF(F2810&lt;&gt;"","ISSUE-"&amp;TEXT(ROW()-1,"00000"),"")</f>
        <v/>
      </c>
      <c r="B2810" s="14">
        <f>IF(F2810&lt;&gt;"","错误","")</f>
        <v/>
      </c>
      <c r="C2810" s="14">
        <f>IF('07_动态状态'!A310&lt;&gt;"","07_动态状态","")</f>
        <v/>
      </c>
      <c r="D2810" s="14">
        <f>IF('07_动态状态'!A310&lt;&gt;"",'07_动态状态'!A310,"")</f>
        <v/>
      </c>
      <c r="E2810" s="14">
        <f>IF(F2810&lt;&gt;"","综合校验","")</f>
        <v/>
      </c>
      <c r="F2810" s="14">
        <f>IF('07_动态状态'!A310&lt;&gt;"",IF('07_动态状态'!A310="","缺少状态编码；","")&amp;IF('07_动态状态'!B310="","缺少状态名称；","")&amp;IF('07_动态状态'!C310="","缺少状态类别；","")&amp;IF(AND('07_动态状态'!A310&lt;&gt;"",COUNTIF('07_动态状态'!$A$2:$A$501,'07_动态状态'!A310)&gt;1),"ID重复；",""),"")</f>
        <v/>
      </c>
      <c r="G2810" s="14">
        <f>IF(F2810&lt;&gt;"","按字段批注、数据字典和来源记录修正后复核","")</f>
        <v/>
      </c>
      <c r="H2810" s="14">
        <f>IF(F2810&lt;&gt;"","待处理","")</f>
        <v/>
      </c>
    </row>
    <row r="2811">
      <c r="A2811" s="14">
        <f>IF(F2811&lt;&gt;"","ISSUE-"&amp;TEXT(ROW()-1,"00000"),"")</f>
        <v/>
      </c>
      <c r="B2811" s="14">
        <f>IF(F2811&lt;&gt;"","错误","")</f>
        <v/>
      </c>
      <c r="C2811" s="14">
        <f>IF('07_动态状态'!A311&lt;&gt;"","07_动态状态","")</f>
        <v/>
      </c>
      <c r="D2811" s="14">
        <f>IF('07_动态状态'!A311&lt;&gt;"",'07_动态状态'!A311,"")</f>
        <v/>
      </c>
      <c r="E2811" s="14">
        <f>IF(F2811&lt;&gt;"","综合校验","")</f>
        <v/>
      </c>
      <c r="F2811" s="14">
        <f>IF('07_动态状态'!A311&lt;&gt;"",IF('07_动态状态'!A311="","缺少状态编码；","")&amp;IF('07_动态状态'!B311="","缺少状态名称；","")&amp;IF('07_动态状态'!C311="","缺少状态类别；","")&amp;IF(AND('07_动态状态'!A311&lt;&gt;"",COUNTIF('07_动态状态'!$A$2:$A$501,'07_动态状态'!A311)&gt;1),"ID重复；",""),"")</f>
        <v/>
      </c>
      <c r="G2811" s="14">
        <f>IF(F2811&lt;&gt;"","按字段批注、数据字典和来源记录修正后复核","")</f>
        <v/>
      </c>
      <c r="H2811" s="14">
        <f>IF(F2811&lt;&gt;"","待处理","")</f>
        <v/>
      </c>
    </row>
    <row r="2812">
      <c r="A2812" s="14">
        <f>IF(F2812&lt;&gt;"","ISSUE-"&amp;TEXT(ROW()-1,"00000"),"")</f>
        <v/>
      </c>
      <c r="B2812" s="14">
        <f>IF(F2812&lt;&gt;"","错误","")</f>
        <v/>
      </c>
      <c r="C2812" s="14">
        <f>IF('07_动态状态'!A312&lt;&gt;"","07_动态状态","")</f>
        <v/>
      </c>
      <c r="D2812" s="14">
        <f>IF('07_动态状态'!A312&lt;&gt;"",'07_动态状态'!A312,"")</f>
        <v/>
      </c>
      <c r="E2812" s="14">
        <f>IF(F2812&lt;&gt;"","综合校验","")</f>
        <v/>
      </c>
      <c r="F2812" s="14">
        <f>IF('07_动态状态'!A312&lt;&gt;"",IF('07_动态状态'!A312="","缺少状态编码；","")&amp;IF('07_动态状态'!B312="","缺少状态名称；","")&amp;IF('07_动态状态'!C312="","缺少状态类别；","")&amp;IF(AND('07_动态状态'!A312&lt;&gt;"",COUNTIF('07_动态状态'!$A$2:$A$501,'07_动态状态'!A312)&gt;1),"ID重复；",""),"")</f>
        <v/>
      </c>
      <c r="G2812" s="14">
        <f>IF(F2812&lt;&gt;"","按字段批注、数据字典和来源记录修正后复核","")</f>
        <v/>
      </c>
      <c r="H2812" s="14">
        <f>IF(F2812&lt;&gt;"","待处理","")</f>
        <v/>
      </c>
    </row>
    <row r="2813">
      <c r="A2813" s="14">
        <f>IF(F2813&lt;&gt;"","ISSUE-"&amp;TEXT(ROW()-1,"00000"),"")</f>
        <v/>
      </c>
      <c r="B2813" s="14">
        <f>IF(F2813&lt;&gt;"","错误","")</f>
        <v/>
      </c>
      <c r="C2813" s="14">
        <f>IF('07_动态状态'!A313&lt;&gt;"","07_动态状态","")</f>
        <v/>
      </c>
      <c r="D2813" s="14">
        <f>IF('07_动态状态'!A313&lt;&gt;"",'07_动态状态'!A313,"")</f>
        <v/>
      </c>
      <c r="E2813" s="14">
        <f>IF(F2813&lt;&gt;"","综合校验","")</f>
        <v/>
      </c>
      <c r="F2813" s="14">
        <f>IF('07_动态状态'!A313&lt;&gt;"",IF('07_动态状态'!A313="","缺少状态编码；","")&amp;IF('07_动态状态'!B313="","缺少状态名称；","")&amp;IF('07_动态状态'!C313="","缺少状态类别；","")&amp;IF(AND('07_动态状态'!A313&lt;&gt;"",COUNTIF('07_动态状态'!$A$2:$A$501,'07_动态状态'!A313)&gt;1),"ID重复；",""),"")</f>
        <v/>
      </c>
      <c r="G2813" s="14">
        <f>IF(F2813&lt;&gt;"","按字段批注、数据字典和来源记录修正后复核","")</f>
        <v/>
      </c>
      <c r="H2813" s="14">
        <f>IF(F2813&lt;&gt;"","待处理","")</f>
        <v/>
      </c>
    </row>
    <row r="2814">
      <c r="A2814" s="14">
        <f>IF(F2814&lt;&gt;"","ISSUE-"&amp;TEXT(ROW()-1,"00000"),"")</f>
        <v/>
      </c>
      <c r="B2814" s="14">
        <f>IF(F2814&lt;&gt;"","错误","")</f>
        <v/>
      </c>
      <c r="C2814" s="14">
        <f>IF('07_动态状态'!A314&lt;&gt;"","07_动态状态","")</f>
        <v/>
      </c>
      <c r="D2814" s="14">
        <f>IF('07_动态状态'!A314&lt;&gt;"",'07_动态状态'!A314,"")</f>
        <v/>
      </c>
      <c r="E2814" s="14">
        <f>IF(F2814&lt;&gt;"","综合校验","")</f>
        <v/>
      </c>
      <c r="F2814" s="14">
        <f>IF('07_动态状态'!A314&lt;&gt;"",IF('07_动态状态'!A314="","缺少状态编码；","")&amp;IF('07_动态状态'!B314="","缺少状态名称；","")&amp;IF('07_动态状态'!C314="","缺少状态类别；","")&amp;IF(AND('07_动态状态'!A314&lt;&gt;"",COUNTIF('07_动态状态'!$A$2:$A$501,'07_动态状态'!A314)&gt;1),"ID重复；",""),"")</f>
        <v/>
      </c>
      <c r="G2814" s="14">
        <f>IF(F2814&lt;&gt;"","按字段批注、数据字典和来源记录修正后复核","")</f>
        <v/>
      </c>
      <c r="H2814" s="14">
        <f>IF(F2814&lt;&gt;"","待处理","")</f>
        <v/>
      </c>
    </row>
    <row r="2815">
      <c r="A2815" s="14">
        <f>IF(F2815&lt;&gt;"","ISSUE-"&amp;TEXT(ROW()-1,"00000"),"")</f>
        <v/>
      </c>
      <c r="B2815" s="14">
        <f>IF(F2815&lt;&gt;"","错误","")</f>
        <v/>
      </c>
      <c r="C2815" s="14">
        <f>IF('07_动态状态'!A315&lt;&gt;"","07_动态状态","")</f>
        <v/>
      </c>
      <c r="D2815" s="14">
        <f>IF('07_动态状态'!A315&lt;&gt;"",'07_动态状态'!A315,"")</f>
        <v/>
      </c>
      <c r="E2815" s="14">
        <f>IF(F2815&lt;&gt;"","综合校验","")</f>
        <v/>
      </c>
      <c r="F2815" s="14">
        <f>IF('07_动态状态'!A315&lt;&gt;"",IF('07_动态状态'!A315="","缺少状态编码；","")&amp;IF('07_动态状态'!B315="","缺少状态名称；","")&amp;IF('07_动态状态'!C315="","缺少状态类别；","")&amp;IF(AND('07_动态状态'!A315&lt;&gt;"",COUNTIF('07_动态状态'!$A$2:$A$501,'07_动态状态'!A315)&gt;1),"ID重复；",""),"")</f>
        <v/>
      </c>
      <c r="G2815" s="14">
        <f>IF(F2815&lt;&gt;"","按字段批注、数据字典和来源记录修正后复核","")</f>
        <v/>
      </c>
      <c r="H2815" s="14">
        <f>IF(F2815&lt;&gt;"","待处理","")</f>
        <v/>
      </c>
    </row>
    <row r="2816">
      <c r="A2816" s="14">
        <f>IF(F2816&lt;&gt;"","ISSUE-"&amp;TEXT(ROW()-1,"00000"),"")</f>
        <v/>
      </c>
      <c r="B2816" s="14">
        <f>IF(F2816&lt;&gt;"","错误","")</f>
        <v/>
      </c>
      <c r="C2816" s="14">
        <f>IF('07_动态状态'!A316&lt;&gt;"","07_动态状态","")</f>
        <v/>
      </c>
      <c r="D2816" s="14">
        <f>IF('07_动态状态'!A316&lt;&gt;"",'07_动态状态'!A316,"")</f>
        <v/>
      </c>
      <c r="E2816" s="14">
        <f>IF(F2816&lt;&gt;"","综合校验","")</f>
        <v/>
      </c>
      <c r="F2816" s="14">
        <f>IF('07_动态状态'!A316&lt;&gt;"",IF('07_动态状态'!A316="","缺少状态编码；","")&amp;IF('07_动态状态'!B316="","缺少状态名称；","")&amp;IF('07_动态状态'!C316="","缺少状态类别；","")&amp;IF(AND('07_动态状态'!A316&lt;&gt;"",COUNTIF('07_动态状态'!$A$2:$A$501,'07_动态状态'!A316)&gt;1),"ID重复；",""),"")</f>
        <v/>
      </c>
      <c r="G2816" s="14">
        <f>IF(F2816&lt;&gt;"","按字段批注、数据字典和来源记录修正后复核","")</f>
        <v/>
      </c>
      <c r="H2816" s="14">
        <f>IF(F2816&lt;&gt;"","待处理","")</f>
        <v/>
      </c>
    </row>
    <row r="2817">
      <c r="A2817" s="14">
        <f>IF(F2817&lt;&gt;"","ISSUE-"&amp;TEXT(ROW()-1,"00000"),"")</f>
        <v/>
      </c>
      <c r="B2817" s="14">
        <f>IF(F2817&lt;&gt;"","错误","")</f>
        <v/>
      </c>
      <c r="C2817" s="14">
        <f>IF('07_动态状态'!A317&lt;&gt;"","07_动态状态","")</f>
        <v/>
      </c>
      <c r="D2817" s="14">
        <f>IF('07_动态状态'!A317&lt;&gt;"",'07_动态状态'!A317,"")</f>
        <v/>
      </c>
      <c r="E2817" s="14">
        <f>IF(F2817&lt;&gt;"","综合校验","")</f>
        <v/>
      </c>
      <c r="F2817" s="14">
        <f>IF('07_动态状态'!A317&lt;&gt;"",IF('07_动态状态'!A317="","缺少状态编码；","")&amp;IF('07_动态状态'!B317="","缺少状态名称；","")&amp;IF('07_动态状态'!C317="","缺少状态类别；","")&amp;IF(AND('07_动态状态'!A317&lt;&gt;"",COUNTIF('07_动态状态'!$A$2:$A$501,'07_动态状态'!A317)&gt;1),"ID重复；",""),"")</f>
        <v/>
      </c>
      <c r="G2817" s="14">
        <f>IF(F2817&lt;&gt;"","按字段批注、数据字典和来源记录修正后复核","")</f>
        <v/>
      </c>
      <c r="H2817" s="14">
        <f>IF(F2817&lt;&gt;"","待处理","")</f>
        <v/>
      </c>
    </row>
    <row r="2818">
      <c r="A2818" s="14">
        <f>IF(F2818&lt;&gt;"","ISSUE-"&amp;TEXT(ROW()-1,"00000"),"")</f>
        <v/>
      </c>
      <c r="B2818" s="14">
        <f>IF(F2818&lt;&gt;"","错误","")</f>
        <v/>
      </c>
      <c r="C2818" s="14">
        <f>IF('07_动态状态'!A318&lt;&gt;"","07_动态状态","")</f>
        <v/>
      </c>
      <c r="D2818" s="14">
        <f>IF('07_动态状态'!A318&lt;&gt;"",'07_动态状态'!A318,"")</f>
        <v/>
      </c>
      <c r="E2818" s="14">
        <f>IF(F2818&lt;&gt;"","综合校验","")</f>
        <v/>
      </c>
      <c r="F2818" s="14">
        <f>IF('07_动态状态'!A318&lt;&gt;"",IF('07_动态状态'!A318="","缺少状态编码；","")&amp;IF('07_动态状态'!B318="","缺少状态名称；","")&amp;IF('07_动态状态'!C318="","缺少状态类别；","")&amp;IF(AND('07_动态状态'!A318&lt;&gt;"",COUNTIF('07_动态状态'!$A$2:$A$501,'07_动态状态'!A318)&gt;1),"ID重复；",""),"")</f>
        <v/>
      </c>
      <c r="G2818" s="14">
        <f>IF(F2818&lt;&gt;"","按字段批注、数据字典和来源记录修正后复核","")</f>
        <v/>
      </c>
      <c r="H2818" s="14">
        <f>IF(F2818&lt;&gt;"","待处理","")</f>
        <v/>
      </c>
    </row>
    <row r="2819">
      <c r="A2819" s="14">
        <f>IF(F2819&lt;&gt;"","ISSUE-"&amp;TEXT(ROW()-1,"00000"),"")</f>
        <v/>
      </c>
      <c r="B2819" s="14">
        <f>IF(F2819&lt;&gt;"","错误","")</f>
        <v/>
      </c>
      <c r="C2819" s="14">
        <f>IF('07_动态状态'!A319&lt;&gt;"","07_动态状态","")</f>
        <v/>
      </c>
      <c r="D2819" s="14">
        <f>IF('07_动态状态'!A319&lt;&gt;"",'07_动态状态'!A319,"")</f>
        <v/>
      </c>
      <c r="E2819" s="14">
        <f>IF(F2819&lt;&gt;"","综合校验","")</f>
        <v/>
      </c>
      <c r="F2819" s="14">
        <f>IF('07_动态状态'!A319&lt;&gt;"",IF('07_动态状态'!A319="","缺少状态编码；","")&amp;IF('07_动态状态'!B319="","缺少状态名称；","")&amp;IF('07_动态状态'!C319="","缺少状态类别；","")&amp;IF(AND('07_动态状态'!A319&lt;&gt;"",COUNTIF('07_动态状态'!$A$2:$A$501,'07_动态状态'!A319)&gt;1),"ID重复；",""),"")</f>
        <v/>
      </c>
      <c r="G2819" s="14">
        <f>IF(F2819&lt;&gt;"","按字段批注、数据字典和来源记录修正后复核","")</f>
        <v/>
      </c>
      <c r="H2819" s="14">
        <f>IF(F2819&lt;&gt;"","待处理","")</f>
        <v/>
      </c>
    </row>
    <row r="2820">
      <c r="A2820" s="14">
        <f>IF(F2820&lt;&gt;"","ISSUE-"&amp;TEXT(ROW()-1,"00000"),"")</f>
        <v/>
      </c>
      <c r="B2820" s="14">
        <f>IF(F2820&lt;&gt;"","错误","")</f>
        <v/>
      </c>
      <c r="C2820" s="14">
        <f>IF('07_动态状态'!A320&lt;&gt;"","07_动态状态","")</f>
        <v/>
      </c>
      <c r="D2820" s="14">
        <f>IF('07_动态状态'!A320&lt;&gt;"",'07_动态状态'!A320,"")</f>
        <v/>
      </c>
      <c r="E2820" s="14">
        <f>IF(F2820&lt;&gt;"","综合校验","")</f>
        <v/>
      </c>
      <c r="F2820" s="14">
        <f>IF('07_动态状态'!A320&lt;&gt;"",IF('07_动态状态'!A320="","缺少状态编码；","")&amp;IF('07_动态状态'!B320="","缺少状态名称；","")&amp;IF('07_动态状态'!C320="","缺少状态类别；","")&amp;IF(AND('07_动态状态'!A320&lt;&gt;"",COUNTIF('07_动态状态'!$A$2:$A$501,'07_动态状态'!A320)&gt;1),"ID重复；",""),"")</f>
        <v/>
      </c>
      <c r="G2820" s="14">
        <f>IF(F2820&lt;&gt;"","按字段批注、数据字典和来源记录修正后复核","")</f>
        <v/>
      </c>
      <c r="H2820" s="14">
        <f>IF(F2820&lt;&gt;"","待处理","")</f>
        <v/>
      </c>
    </row>
    <row r="2821">
      <c r="A2821" s="14">
        <f>IF(F2821&lt;&gt;"","ISSUE-"&amp;TEXT(ROW()-1,"00000"),"")</f>
        <v/>
      </c>
      <c r="B2821" s="14">
        <f>IF(F2821&lt;&gt;"","错误","")</f>
        <v/>
      </c>
      <c r="C2821" s="14">
        <f>IF('07_动态状态'!A321&lt;&gt;"","07_动态状态","")</f>
        <v/>
      </c>
      <c r="D2821" s="14">
        <f>IF('07_动态状态'!A321&lt;&gt;"",'07_动态状态'!A321,"")</f>
        <v/>
      </c>
      <c r="E2821" s="14">
        <f>IF(F2821&lt;&gt;"","综合校验","")</f>
        <v/>
      </c>
      <c r="F2821" s="14">
        <f>IF('07_动态状态'!A321&lt;&gt;"",IF('07_动态状态'!A321="","缺少状态编码；","")&amp;IF('07_动态状态'!B321="","缺少状态名称；","")&amp;IF('07_动态状态'!C321="","缺少状态类别；","")&amp;IF(AND('07_动态状态'!A321&lt;&gt;"",COUNTIF('07_动态状态'!$A$2:$A$501,'07_动态状态'!A321)&gt;1),"ID重复；",""),"")</f>
        <v/>
      </c>
      <c r="G2821" s="14">
        <f>IF(F2821&lt;&gt;"","按字段批注、数据字典和来源记录修正后复核","")</f>
        <v/>
      </c>
      <c r="H2821" s="14">
        <f>IF(F2821&lt;&gt;"","待处理","")</f>
        <v/>
      </c>
    </row>
    <row r="2822">
      <c r="A2822" s="14">
        <f>IF(F2822&lt;&gt;"","ISSUE-"&amp;TEXT(ROW()-1,"00000"),"")</f>
        <v/>
      </c>
      <c r="B2822" s="14">
        <f>IF(F2822&lt;&gt;"","错误","")</f>
        <v/>
      </c>
      <c r="C2822" s="14">
        <f>IF('07_动态状态'!A322&lt;&gt;"","07_动态状态","")</f>
        <v/>
      </c>
      <c r="D2822" s="14">
        <f>IF('07_动态状态'!A322&lt;&gt;"",'07_动态状态'!A322,"")</f>
        <v/>
      </c>
      <c r="E2822" s="14">
        <f>IF(F2822&lt;&gt;"","综合校验","")</f>
        <v/>
      </c>
      <c r="F2822" s="14">
        <f>IF('07_动态状态'!A322&lt;&gt;"",IF('07_动态状态'!A322="","缺少状态编码；","")&amp;IF('07_动态状态'!B322="","缺少状态名称；","")&amp;IF('07_动态状态'!C322="","缺少状态类别；","")&amp;IF(AND('07_动态状态'!A322&lt;&gt;"",COUNTIF('07_动态状态'!$A$2:$A$501,'07_动态状态'!A322)&gt;1),"ID重复；",""),"")</f>
        <v/>
      </c>
      <c r="G2822" s="14">
        <f>IF(F2822&lt;&gt;"","按字段批注、数据字典和来源记录修正后复核","")</f>
        <v/>
      </c>
      <c r="H2822" s="14">
        <f>IF(F2822&lt;&gt;"","待处理","")</f>
        <v/>
      </c>
    </row>
    <row r="2823">
      <c r="A2823" s="14">
        <f>IF(F2823&lt;&gt;"","ISSUE-"&amp;TEXT(ROW()-1,"00000"),"")</f>
        <v/>
      </c>
      <c r="B2823" s="14">
        <f>IF(F2823&lt;&gt;"","错误","")</f>
        <v/>
      </c>
      <c r="C2823" s="14">
        <f>IF('07_动态状态'!A323&lt;&gt;"","07_动态状态","")</f>
        <v/>
      </c>
      <c r="D2823" s="14">
        <f>IF('07_动态状态'!A323&lt;&gt;"",'07_动态状态'!A323,"")</f>
        <v/>
      </c>
      <c r="E2823" s="14">
        <f>IF(F2823&lt;&gt;"","综合校验","")</f>
        <v/>
      </c>
      <c r="F2823" s="14">
        <f>IF('07_动态状态'!A323&lt;&gt;"",IF('07_动态状态'!A323="","缺少状态编码；","")&amp;IF('07_动态状态'!B323="","缺少状态名称；","")&amp;IF('07_动态状态'!C323="","缺少状态类别；","")&amp;IF(AND('07_动态状态'!A323&lt;&gt;"",COUNTIF('07_动态状态'!$A$2:$A$501,'07_动态状态'!A323)&gt;1),"ID重复；",""),"")</f>
        <v/>
      </c>
      <c r="G2823" s="14">
        <f>IF(F2823&lt;&gt;"","按字段批注、数据字典和来源记录修正后复核","")</f>
        <v/>
      </c>
      <c r="H2823" s="14">
        <f>IF(F2823&lt;&gt;"","待处理","")</f>
        <v/>
      </c>
    </row>
    <row r="2824">
      <c r="A2824" s="14">
        <f>IF(F2824&lt;&gt;"","ISSUE-"&amp;TEXT(ROW()-1,"00000"),"")</f>
        <v/>
      </c>
      <c r="B2824" s="14">
        <f>IF(F2824&lt;&gt;"","错误","")</f>
        <v/>
      </c>
      <c r="C2824" s="14">
        <f>IF('07_动态状态'!A324&lt;&gt;"","07_动态状态","")</f>
        <v/>
      </c>
      <c r="D2824" s="14">
        <f>IF('07_动态状态'!A324&lt;&gt;"",'07_动态状态'!A324,"")</f>
        <v/>
      </c>
      <c r="E2824" s="14">
        <f>IF(F2824&lt;&gt;"","综合校验","")</f>
        <v/>
      </c>
      <c r="F2824" s="14">
        <f>IF('07_动态状态'!A324&lt;&gt;"",IF('07_动态状态'!A324="","缺少状态编码；","")&amp;IF('07_动态状态'!B324="","缺少状态名称；","")&amp;IF('07_动态状态'!C324="","缺少状态类别；","")&amp;IF(AND('07_动态状态'!A324&lt;&gt;"",COUNTIF('07_动态状态'!$A$2:$A$501,'07_动态状态'!A324)&gt;1),"ID重复；",""),"")</f>
        <v/>
      </c>
      <c r="G2824" s="14">
        <f>IF(F2824&lt;&gt;"","按字段批注、数据字典和来源记录修正后复核","")</f>
        <v/>
      </c>
      <c r="H2824" s="14">
        <f>IF(F2824&lt;&gt;"","待处理","")</f>
        <v/>
      </c>
    </row>
    <row r="2825">
      <c r="A2825" s="14">
        <f>IF(F2825&lt;&gt;"","ISSUE-"&amp;TEXT(ROW()-1,"00000"),"")</f>
        <v/>
      </c>
      <c r="B2825" s="14">
        <f>IF(F2825&lt;&gt;"","错误","")</f>
        <v/>
      </c>
      <c r="C2825" s="14">
        <f>IF('07_动态状态'!A325&lt;&gt;"","07_动态状态","")</f>
        <v/>
      </c>
      <c r="D2825" s="14">
        <f>IF('07_动态状态'!A325&lt;&gt;"",'07_动态状态'!A325,"")</f>
        <v/>
      </c>
      <c r="E2825" s="14">
        <f>IF(F2825&lt;&gt;"","综合校验","")</f>
        <v/>
      </c>
      <c r="F2825" s="14">
        <f>IF('07_动态状态'!A325&lt;&gt;"",IF('07_动态状态'!A325="","缺少状态编码；","")&amp;IF('07_动态状态'!B325="","缺少状态名称；","")&amp;IF('07_动态状态'!C325="","缺少状态类别；","")&amp;IF(AND('07_动态状态'!A325&lt;&gt;"",COUNTIF('07_动态状态'!$A$2:$A$501,'07_动态状态'!A325)&gt;1),"ID重复；",""),"")</f>
        <v/>
      </c>
      <c r="G2825" s="14">
        <f>IF(F2825&lt;&gt;"","按字段批注、数据字典和来源记录修正后复核","")</f>
        <v/>
      </c>
      <c r="H2825" s="14">
        <f>IF(F2825&lt;&gt;"","待处理","")</f>
        <v/>
      </c>
    </row>
    <row r="2826">
      <c r="A2826" s="14">
        <f>IF(F2826&lt;&gt;"","ISSUE-"&amp;TEXT(ROW()-1,"00000"),"")</f>
        <v/>
      </c>
      <c r="B2826" s="14">
        <f>IF(F2826&lt;&gt;"","错误","")</f>
        <v/>
      </c>
      <c r="C2826" s="14">
        <f>IF('07_动态状态'!A326&lt;&gt;"","07_动态状态","")</f>
        <v/>
      </c>
      <c r="D2826" s="14">
        <f>IF('07_动态状态'!A326&lt;&gt;"",'07_动态状态'!A326,"")</f>
        <v/>
      </c>
      <c r="E2826" s="14">
        <f>IF(F2826&lt;&gt;"","综合校验","")</f>
        <v/>
      </c>
      <c r="F2826" s="14">
        <f>IF('07_动态状态'!A326&lt;&gt;"",IF('07_动态状态'!A326="","缺少状态编码；","")&amp;IF('07_动态状态'!B326="","缺少状态名称；","")&amp;IF('07_动态状态'!C326="","缺少状态类别；","")&amp;IF(AND('07_动态状态'!A326&lt;&gt;"",COUNTIF('07_动态状态'!$A$2:$A$501,'07_动态状态'!A326)&gt;1),"ID重复；",""),"")</f>
        <v/>
      </c>
      <c r="G2826" s="14">
        <f>IF(F2826&lt;&gt;"","按字段批注、数据字典和来源记录修正后复核","")</f>
        <v/>
      </c>
      <c r="H2826" s="14">
        <f>IF(F2826&lt;&gt;"","待处理","")</f>
        <v/>
      </c>
    </row>
    <row r="2827">
      <c r="A2827" s="14">
        <f>IF(F2827&lt;&gt;"","ISSUE-"&amp;TEXT(ROW()-1,"00000"),"")</f>
        <v/>
      </c>
      <c r="B2827" s="14">
        <f>IF(F2827&lt;&gt;"","错误","")</f>
        <v/>
      </c>
      <c r="C2827" s="14">
        <f>IF('07_动态状态'!A327&lt;&gt;"","07_动态状态","")</f>
        <v/>
      </c>
      <c r="D2827" s="14">
        <f>IF('07_动态状态'!A327&lt;&gt;"",'07_动态状态'!A327,"")</f>
        <v/>
      </c>
      <c r="E2827" s="14">
        <f>IF(F2827&lt;&gt;"","综合校验","")</f>
        <v/>
      </c>
      <c r="F2827" s="14">
        <f>IF('07_动态状态'!A327&lt;&gt;"",IF('07_动态状态'!A327="","缺少状态编码；","")&amp;IF('07_动态状态'!B327="","缺少状态名称；","")&amp;IF('07_动态状态'!C327="","缺少状态类别；","")&amp;IF(AND('07_动态状态'!A327&lt;&gt;"",COUNTIF('07_动态状态'!$A$2:$A$501,'07_动态状态'!A327)&gt;1),"ID重复；",""),"")</f>
        <v/>
      </c>
      <c r="G2827" s="14">
        <f>IF(F2827&lt;&gt;"","按字段批注、数据字典和来源记录修正后复核","")</f>
        <v/>
      </c>
      <c r="H2827" s="14">
        <f>IF(F2827&lt;&gt;"","待处理","")</f>
        <v/>
      </c>
    </row>
    <row r="2828">
      <c r="A2828" s="14">
        <f>IF(F2828&lt;&gt;"","ISSUE-"&amp;TEXT(ROW()-1,"00000"),"")</f>
        <v/>
      </c>
      <c r="B2828" s="14">
        <f>IF(F2828&lt;&gt;"","错误","")</f>
        <v/>
      </c>
      <c r="C2828" s="14">
        <f>IF('07_动态状态'!A328&lt;&gt;"","07_动态状态","")</f>
        <v/>
      </c>
      <c r="D2828" s="14">
        <f>IF('07_动态状态'!A328&lt;&gt;"",'07_动态状态'!A328,"")</f>
        <v/>
      </c>
      <c r="E2828" s="14">
        <f>IF(F2828&lt;&gt;"","综合校验","")</f>
        <v/>
      </c>
      <c r="F2828" s="14">
        <f>IF('07_动态状态'!A328&lt;&gt;"",IF('07_动态状态'!A328="","缺少状态编码；","")&amp;IF('07_动态状态'!B328="","缺少状态名称；","")&amp;IF('07_动态状态'!C328="","缺少状态类别；","")&amp;IF(AND('07_动态状态'!A328&lt;&gt;"",COUNTIF('07_动态状态'!$A$2:$A$501,'07_动态状态'!A328)&gt;1),"ID重复；",""),"")</f>
        <v/>
      </c>
      <c r="G2828" s="14">
        <f>IF(F2828&lt;&gt;"","按字段批注、数据字典和来源记录修正后复核","")</f>
        <v/>
      </c>
      <c r="H2828" s="14">
        <f>IF(F2828&lt;&gt;"","待处理","")</f>
        <v/>
      </c>
    </row>
    <row r="2829">
      <c r="A2829" s="14">
        <f>IF(F2829&lt;&gt;"","ISSUE-"&amp;TEXT(ROW()-1,"00000"),"")</f>
        <v/>
      </c>
      <c r="B2829" s="14">
        <f>IF(F2829&lt;&gt;"","错误","")</f>
        <v/>
      </c>
      <c r="C2829" s="14">
        <f>IF('07_动态状态'!A329&lt;&gt;"","07_动态状态","")</f>
        <v/>
      </c>
      <c r="D2829" s="14">
        <f>IF('07_动态状态'!A329&lt;&gt;"",'07_动态状态'!A329,"")</f>
        <v/>
      </c>
      <c r="E2829" s="14">
        <f>IF(F2829&lt;&gt;"","综合校验","")</f>
        <v/>
      </c>
      <c r="F2829" s="14">
        <f>IF('07_动态状态'!A329&lt;&gt;"",IF('07_动态状态'!A329="","缺少状态编码；","")&amp;IF('07_动态状态'!B329="","缺少状态名称；","")&amp;IF('07_动态状态'!C329="","缺少状态类别；","")&amp;IF(AND('07_动态状态'!A329&lt;&gt;"",COUNTIF('07_动态状态'!$A$2:$A$501,'07_动态状态'!A329)&gt;1),"ID重复；",""),"")</f>
        <v/>
      </c>
      <c r="G2829" s="14">
        <f>IF(F2829&lt;&gt;"","按字段批注、数据字典和来源记录修正后复核","")</f>
        <v/>
      </c>
      <c r="H2829" s="14">
        <f>IF(F2829&lt;&gt;"","待处理","")</f>
        <v/>
      </c>
    </row>
    <row r="2830">
      <c r="A2830" s="14">
        <f>IF(F2830&lt;&gt;"","ISSUE-"&amp;TEXT(ROW()-1,"00000"),"")</f>
        <v/>
      </c>
      <c r="B2830" s="14">
        <f>IF(F2830&lt;&gt;"","错误","")</f>
        <v/>
      </c>
      <c r="C2830" s="14">
        <f>IF('07_动态状态'!A330&lt;&gt;"","07_动态状态","")</f>
        <v/>
      </c>
      <c r="D2830" s="14">
        <f>IF('07_动态状态'!A330&lt;&gt;"",'07_动态状态'!A330,"")</f>
        <v/>
      </c>
      <c r="E2830" s="14">
        <f>IF(F2830&lt;&gt;"","综合校验","")</f>
        <v/>
      </c>
      <c r="F2830" s="14">
        <f>IF('07_动态状态'!A330&lt;&gt;"",IF('07_动态状态'!A330="","缺少状态编码；","")&amp;IF('07_动态状态'!B330="","缺少状态名称；","")&amp;IF('07_动态状态'!C330="","缺少状态类别；","")&amp;IF(AND('07_动态状态'!A330&lt;&gt;"",COUNTIF('07_动态状态'!$A$2:$A$501,'07_动态状态'!A330)&gt;1),"ID重复；",""),"")</f>
        <v/>
      </c>
      <c r="G2830" s="14">
        <f>IF(F2830&lt;&gt;"","按字段批注、数据字典和来源记录修正后复核","")</f>
        <v/>
      </c>
      <c r="H2830" s="14">
        <f>IF(F2830&lt;&gt;"","待处理","")</f>
        <v/>
      </c>
    </row>
    <row r="2831">
      <c r="A2831" s="14">
        <f>IF(F2831&lt;&gt;"","ISSUE-"&amp;TEXT(ROW()-1,"00000"),"")</f>
        <v/>
      </c>
      <c r="B2831" s="14">
        <f>IF(F2831&lt;&gt;"","错误","")</f>
        <v/>
      </c>
      <c r="C2831" s="14">
        <f>IF('07_动态状态'!A331&lt;&gt;"","07_动态状态","")</f>
        <v/>
      </c>
      <c r="D2831" s="14">
        <f>IF('07_动态状态'!A331&lt;&gt;"",'07_动态状态'!A331,"")</f>
        <v/>
      </c>
      <c r="E2831" s="14">
        <f>IF(F2831&lt;&gt;"","综合校验","")</f>
        <v/>
      </c>
      <c r="F2831" s="14">
        <f>IF('07_动态状态'!A331&lt;&gt;"",IF('07_动态状态'!A331="","缺少状态编码；","")&amp;IF('07_动态状态'!B331="","缺少状态名称；","")&amp;IF('07_动态状态'!C331="","缺少状态类别；","")&amp;IF(AND('07_动态状态'!A331&lt;&gt;"",COUNTIF('07_动态状态'!$A$2:$A$501,'07_动态状态'!A331)&gt;1),"ID重复；",""),"")</f>
        <v/>
      </c>
      <c r="G2831" s="14">
        <f>IF(F2831&lt;&gt;"","按字段批注、数据字典和来源记录修正后复核","")</f>
        <v/>
      </c>
      <c r="H2831" s="14">
        <f>IF(F2831&lt;&gt;"","待处理","")</f>
        <v/>
      </c>
    </row>
    <row r="2832">
      <c r="A2832" s="14">
        <f>IF(F2832&lt;&gt;"","ISSUE-"&amp;TEXT(ROW()-1,"00000"),"")</f>
        <v/>
      </c>
      <c r="B2832" s="14">
        <f>IF(F2832&lt;&gt;"","错误","")</f>
        <v/>
      </c>
      <c r="C2832" s="14">
        <f>IF('07_动态状态'!A332&lt;&gt;"","07_动态状态","")</f>
        <v/>
      </c>
      <c r="D2832" s="14">
        <f>IF('07_动态状态'!A332&lt;&gt;"",'07_动态状态'!A332,"")</f>
        <v/>
      </c>
      <c r="E2832" s="14">
        <f>IF(F2832&lt;&gt;"","综合校验","")</f>
        <v/>
      </c>
      <c r="F2832" s="14">
        <f>IF('07_动态状态'!A332&lt;&gt;"",IF('07_动态状态'!A332="","缺少状态编码；","")&amp;IF('07_动态状态'!B332="","缺少状态名称；","")&amp;IF('07_动态状态'!C332="","缺少状态类别；","")&amp;IF(AND('07_动态状态'!A332&lt;&gt;"",COUNTIF('07_动态状态'!$A$2:$A$501,'07_动态状态'!A332)&gt;1),"ID重复；",""),"")</f>
        <v/>
      </c>
      <c r="G2832" s="14">
        <f>IF(F2832&lt;&gt;"","按字段批注、数据字典和来源记录修正后复核","")</f>
        <v/>
      </c>
      <c r="H2832" s="14">
        <f>IF(F2832&lt;&gt;"","待处理","")</f>
        <v/>
      </c>
    </row>
    <row r="2833">
      <c r="A2833" s="14">
        <f>IF(F2833&lt;&gt;"","ISSUE-"&amp;TEXT(ROW()-1,"00000"),"")</f>
        <v/>
      </c>
      <c r="B2833" s="14">
        <f>IF(F2833&lt;&gt;"","错误","")</f>
        <v/>
      </c>
      <c r="C2833" s="14">
        <f>IF('07_动态状态'!A333&lt;&gt;"","07_动态状态","")</f>
        <v/>
      </c>
      <c r="D2833" s="14">
        <f>IF('07_动态状态'!A333&lt;&gt;"",'07_动态状态'!A333,"")</f>
        <v/>
      </c>
      <c r="E2833" s="14">
        <f>IF(F2833&lt;&gt;"","综合校验","")</f>
        <v/>
      </c>
      <c r="F2833" s="14">
        <f>IF('07_动态状态'!A333&lt;&gt;"",IF('07_动态状态'!A333="","缺少状态编码；","")&amp;IF('07_动态状态'!B333="","缺少状态名称；","")&amp;IF('07_动态状态'!C333="","缺少状态类别；","")&amp;IF(AND('07_动态状态'!A333&lt;&gt;"",COUNTIF('07_动态状态'!$A$2:$A$501,'07_动态状态'!A333)&gt;1),"ID重复；",""),"")</f>
        <v/>
      </c>
      <c r="G2833" s="14">
        <f>IF(F2833&lt;&gt;"","按字段批注、数据字典和来源记录修正后复核","")</f>
        <v/>
      </c>
      <c r="H2833" s="14">
        <f>IF(F2833&lt;&gt;"","待处理","")</f>
        <v/>
      </c>
    </row>
    <row r="2834">
      <c r="A2834" s="14">
        <f>IF(F2834&lt;&gt;"","ISSUE-"&amp;TEXT(ROW()-1,"00000"),"")</f>
        <v/>
      </c>
      <c r="B2834" s="14">
        <f>IF(F2834&lt;&gt;"","错误","")</f>
        <v/>
      </c>
      <c r="C2834" s="14">
        <f>IF('07_动态状态'!A334&lt;&gt;"","07_动态状态","")</f>
        <v/>
      </c>
      <c r="D2834" s="14">
        <f>IF('07_动态状态'!A334&lt;&gt;"",'07_动态状态'!A334,"")</f>
        <v/>
      </c>
      <c r="E2834" s="14">
        <f>IF(F2834&lt;&gt;"","综合校验","")</f>
        <v/>
      </c>
      <c r="F2834" s="14">
        <f>IF('07_动态状态'!A334&lt;&gt;"",IF('07_动态状态'!A334="","缺少状态编码；","")&amp;IF('07_动态状态'!B334="","缺少状态名称；","")&amp;IF('07_动态状态'!C334="","缺少状态类别；","")&amp;IF(AND('07_动态状态'!A334&lt;&gt;"",COUNTIF('07_动态状态'!$A$2:$A$501,'07_动态状态'!A334)&gt;1),"ID重复；",""),"")</f>
        <v/>
      </c>
      <c r="G2834" s="14">
        <f>IF(F2834&lt;&gt;"","按字段批注、数据字典和来源记录修正后复核","")</f>
        <v/>
      </c>
      <c r="H2834" s="14">
        <f>IF(F2834&lt;&gt;"","待处理","")</f>
        <v/>
      </c>
    </row>
    <row r="2835">
      <c r="A2835" s="14">
        <f>IF(F2835&lt;&gt;"","ISSUE-"&amp;TEXT(ROW()-1,"00000"),"")</f>
        <v/>
      </c>
      <c r="B2835" s="14">
        <f>IF(F2835&lt;&gt;"","错误","")</f>
        <v/>
      </c>
      <c r="C2835" s="14">
        <f>IF('07_动态状态'!A335&lt;&gt;"","07_动态状态","")</f>
        <v/>
      </c>
      <c r="D2835" s="14">
        <f>IF('07_动态状态'!A335&lt;&gt;"",'07_动态状态'!A335,"")</f>
        <v/>
      </c>
      <c r="E2835" s="14">
        <f>IF(F2835&lt;&gt;"","综合校验","")</f>
        <v/>
      </c>
      <c r="F2835" s="14">
        <f>IF('07_动态状态'!A335&lt;&gt;"",IF('07_动态状态'!A335="","缺少状态编码；","")&amp;IF('07_动态状态'!B335="","缺少状态名称；","")&amp;IF('07_动态状态'!C335="","缺少状态类别；","")&amp;IF(AND('07_动态状态'!A335&lt;&gt;"",COUNTIF('07_动态状态'!$A$2:$A$501,'07_动态状态'!A335)&gt;1),"ID重复；",""),"")</f>
        <v/>
      </c>
      <c r="G2835" s="14">
        <f>IF(F2835&lt;&gt;"","按字段批注、数据字典和来源记录修正后复核","")</f>
        <v/>
      </c>
      <c r="H2835" s="14">
        <f>IF(F2835&lt;&gt;"","待处理","")</f>
        <v/>
      </c>
    </row>
    <row r="2836">
      <c r="A2836" s="14">
        <f>IF(F2836&lt;&gt;"","ISSUE-"&amp;TEXT(ROW()-1,"00000"),"")</f>
        <v/>
      </c>
      <c r="B2836" s="14">
        <f>IF(F2836&lt;&gt;"","错误","")</f>
        <v/>
      </c>
      <c r="C2836" s="14">
        <f>IF('07_动态状态'!A336&lt;&gt;"","07_动态状态","")</f>
        <v/>
      </c>
      <c r="D2836" s="14">
        <f>IF('07_动态状态'!A336&lt;&gt;"",'07_动态状态'!A336,"")</f>
        <v/>
      </c>
      <c r="E2836" s="14">
        <f>IF(F2836&lt;&gt;"","综合校验","")</f>
        <v/>
      </c>
      <c r="F2836" s="14">
        <f>IF('07_动态状态'!A336&lt;&gt;"",IF('07_动态状态'!A336="","缺少状态编码；","")&amp;IF('07_动态状态'!B336="","缺少状态名称；","")&amp;IF('07_动态状态'!C336="","缺少状态类别；","")&amp;IF(AND('07_动态状态'!A336&lt;&gt;"",COUNTIF('07_动态状态'!$A$2:$A$501,'07_动态状态'!A336)&gt;1),"ID重复；",""),"")</f>
        <v/>
      </c>
      <c r="G2836" s="14">
        <f>IF(F2836&lt;&gt;"","按字段批注、数据字典和来源记录修正后复核","")</f>
        <v/>
      </c>
      <c r="H2836" s="14">
        <f>IF(F2836&lt;&gt;"","待处理","")</f>
        <v/>
      </c>
    </row>
    <row r="2837">
      <c r="A2837" s="14">
        <f>IF(F2837&lt;&gt;"","ISSUE-"&amp;TEXT(ROW()-1,"00000"),"")</f>
        <v/>
      </c>
      <c r="B2837" s="14">
        <f>IF(F2837&lt;&gt;"","错误","")</f>
        <v/>
      </c>
      <c r="C2837" s="14">
        <f>IF('07_动态状态'!A337&lt;&gt;"","07_动态状态","")</f>
        <v/>
      </c>
      <c r="D2837" s="14">
        <f>IF('07_动态状态'!A337&lt;&gt;"",'07_动态状态'!A337,"")</f>
        <v/>
      </c>
      <c r="E2837" s="14">
        <f>IF(F2837&lt;&gt;"","综合校验","")</f>
        <v/>
      </c>
      <c r="F2837" s="14">
        <f>IF('07_动态状态'!A337&lt;&gt;"",IF('07_动态状态'!A337="","缺少状态编码；","")&amp;IF('07_动态状态'!B337="","缺少状态名称；","")&amp;IF('07_动态状态'!C337="","缺少状态类别；","")&amp;IF(AND('07_动态状态'!A337&lt;&gt;"",COUNTIF('07_动态状态'!$A$2:$A$501,'07_动态状态'!A337)&gt;1),"ID重复；",""),"")</f>
        <v/>
      </c>
      <c r="G2837" s="14">
        <f>IF(F2837&lt;&gt;"","按字段批注、数据字典和来源记录修正后复核","")</f>
        <v/>
      </c>
      <c r="H2837" s="14">
        <f>IF(F2837&lt;&gt;"","待处理","")</f>
        <v/>
      </c>
    </row>
    <row r="2838">
      <c r="A2838" s="14">
        <f>IF(F2838&lt;&gt;"","ISSUE-"&amp;TEXT(ROW()-1,"00000"),"")</f>
        <v/>
      </c>
      <c r="B2838" s="14">
        <f>IF(F2838&lt;&gt;"","错误","")</f>
        <v/>
      </c>
      <c r="C2838" s="14">
        <f>IF('07_动态状态'!A338&lt;&gt;"","07_动态状态","")</f>
        <v/>
      </c>
      <c r="D2838" s="14">
        <f>IF('07_动态状态'!A338&lt;&gt;"",'07_动态状态'!A338,"")</f>
        <v/>
      </c>
      <c r="E2838" s="14">
        <f>IF(F2838&lt;&gt;"","综合校验","")</f>
        <v/>
      </c>
      <c r="F2838" s="14">
        <f>IF('07_动态状态'!A338&lt;&gt;"",IF('07_动态状态'!A338="","缺少状态编码；","")&amp;IF('07_动态状态'!B338="","缺少状态名称；","")&amp;IF('07_动态状态'!C338="","缺少状态类别；","")&amp;IF(AND('07_动态状态'!A338&lt;&gt;"",COUNTIF('07_动态状态'!$A$2:$A$501,'07_动态状态'!A338)&gt;1),"ID重复；",""),"")</f>
        <v/>
      </c>
      <c r="G2838" s="14">
        <f>IF(F2838&lt;&gt;"","按字段批注、数据字典和来源记录修正后复核","")</f>
        <v/>
      </c>
      <c r="H2838" s="14">
        <f>IF(F2838&lt;&gt;"","待处理","")</f>
        <v/>
      </c>
    </row>
    <row r="2839">
      <c r="A2839" s="14">
        <f>IF(F2839&lt;&gt;"","ISSUE-"&amp;TEXT(ROW()-1,"00000"),"")</f>
        <v/>
      </c>
      <c r="B2839" s="14">
        <f>IF(F2839&lt;&gt;"","错误","")</f>
        <v/>
      </c>
      <c r="C2839" s="14">
        <f>IF('07_动态状态'!A339&lt;&gt;"","07_动态状态","")</f>
        <v/>
      </c>
      <c r="D2839" s="14">
        <f>IF('07_动态状态'!A339&lt;&gt;"",'07_动态状态'!A339,"")</f>
        <v/>
      </c>
      <c r="E2839" s="14">
        <f>IF(F2839&lt;&gt;"","综合校验","")</f>
        <v/>
      </c>
      <c r="F2839" s="14">
        <f>IF('07_动态状态'!A339&lt;&gt;"",IF('07_动态状态'!A339="","缺少状态编码；","")&amp;IF('07_动态状态'!B339="","缺少状态名称；","")&amp;IF('07_动态状态'!C339="","缺少状态类别；","")&amp;IF(AND('07_动态状态'!A339&lt;&gt;"",COUNTIF('07_动态状态'!$A$2:$A$501,'07_动态状态'!A339)&gt;1),"ID重复；",""),"")</f>
        <v/>
      </c>
      <c r="G2839" s="14">
        <f>IF(F2839&lt;&gt;"","按字段批注、数据字典和来源记录修正后复核","")</f>
        <v/>
      </c>
      <c r="H2839" s="14">
        <f>IF(F2839&lt;&gt;"","待处理","")</f>
        <v/>
      </c>
    </row>
    <row r="2840">
      <c r="A2840" s="14">
        <f>IF(F2840&lt;&gt;"","ISSUE-"&amp;TEXT(ROW()-1,"00000"),"")</f>
        <v/>
      </c>
      <c r="B2840" s="14">
        <f>IF(F2840&lt;&gt;"","错误","")</f>
        <v/>
      </c>
      <c r="C2840" s="14">
        <f>IF('07_动态状态'!A340&lt;&gt;"","07_动态状态","")</f>
        <v/>
      </c>
      <c r="D2840" s="14">
        <f>IF('07_动态状态'!A340&lt;&gt;"",'07_动态状态'!A340,"")</f>
        <v/>
      </c>
      <c r="E2840" s="14">
        <f>IF(F2840&lt;&gt;"","综合校验","")</f>
        <v/>
      </c>
      <c r="F2840" s="14">
        <f>IF('07_动态状态'!A340&lt;&gt;"",IF('07_动态状态'!A340="","缺少状态编码；","")&amp;IF('07_动态状态'!B340="","缺少状态名称；","")&amp;IF('07_动态状态'!C340="","缺少状态类别；","")&amp;IF(AND('07_动态状态'!A340&lt;&gt;"",COUNTIF('07_动态状态'!$A$2:$A$501,'07_动态状态'!A340)&gt;1),"ID重复；",""),"")</f>
        <v/>
      </c>
      <c r="G2840" s="14">
        <f>IF(F2840&lt;&gt;"","按字段批注、数据字典和来源记录修正后复核","")</f>
        <v/>
      </c>
      <c r="H2840" s="14">
        <f>IF(F2840&lt;&gt;"","待处理","")</f>
        <v/>
      </c>
    </row>
    <row r="2841">
      <c r="A2841" s="14">
        <f>IF(F2841&lt;&gt;"","ISSUE-"&amp;TEXT(ROW()-1,"00000"),"")</f>
        <v/>
      </c>
      <c r="B2841" s="14">
        <f>IF(F2841&lt;&gt;"","错误","")</f>
        <v/>
      </c>
      <c r="C2841" s="14">
        <f>IF('07_动态状态'!A341&lt;&gt;"","07_动态状态","")</f>
        <v/>
      </c>
      <c r="D2841" s="14">
        <f>IF('07_动态状态'!A341&lt;&gt;"",'07_动态状态'!A341,"")</f>
        <v/>
      </c>
      <c r="E2841" s="14">
        <f>IF(F2841&lt;&gt;"","综合校验","")</f>
        <v/>
      </c>
      <c r="F2841" s="14">
        <f>IF('07_动态状态'!A341&lt;&gt;"",IF('07_动态状态'!A341="","缺少状态编码；","")&amp;IF('07_动态状态'!B341="","缺少状态名称；","")&amp;IF('07_动态状态'!C341="","缺少状态类别；","")&amp;IF(AND('07_动态状态'!A341&lt;&gt;"",COUNTIF('07_动态状态'!$A$2:$A$501,'07_动态状态'!A341)&gt;1),"ID重复；",""),"")</f>
        <v/>
      </c>
      <c r="G2841" s="14">
        <f>IF(F2841&lt;&gt;"","按字段批注、数据字典和来源记录修正后复核","")</f>
        <v/>
      </c>
      <c r="H2841" s="14">
        <f>IF(F2841&lt;&gt;"","待处理","")</f>
        <v/>
      </c>
    </row>
    <row r="2842">
      <c r="A2842" s="14">
        <f>IF(F2842&lt;&gt;"","ISSUE-"&amp;TEXT(ROW()-1,"00000"),"")</f>
        <v/>
      </c>
      <c r="B2842" s="14">
        <f>IF(F2842&lt;&gt;"","错误","")</f>
        <v/>
      </c>
      <c r="C2842" s="14">
        <f>IF('07_动态状态'!A342&lt;&gt;"","07_动态状态","")</f>
        <v/>
      </c>
      <c r="D2842" s="14">
        <f>IF('07_动态状态'!A342&lt;&gt;"",'07_动态状态'!A342,"")</f>
        <v/>
      </c>
      <c r="E2842" s="14">
        <f>IF(F2842&lt;&gt;"","综合校验","")</f>
        <v/>
      </c>
      <c r="F2842" s="14">
        <f>IF('07_动态状态'!A342&lt;&gt;"",IF('07_动态状态'!A342="","缺少状态编码；","")&amp;IF('07_动态状态'!B342="","缺少状态名称；","")&amp;IF('07_动态状态'!C342="","缺少状态类别；","")&amp;IF(AND('07_动态状态'!A342&lt;&gt;"",COUNTIF('07_动态状态'!$A$2:$A$501,'07_动态状态'!A342)&gt;1),"ID重复；",""),"")</f>
        <v/>
      </c>
      <c r="G2842" s="14">
        <f>IF(F2842&lt;&gt;"","按字段批注、数据字典和来源记录修正后复核","")</f>
        <v/>
      </c>
      <c r="H2842" s="14">
        <f>IF(F2842&lt;&gt;"","待处理","")</f>
        <v/>
      </c>
    </row>
    <row r="2843">
      <c r="A2843" s="14">
        <f>IF(F2843&lt;&gt;"","ISSUE-"&amp;TEXT(ROW()-1,"00000"),"")</f>
        <v/>
      </c>
      <c r="B2843" s="14">
        <f>IF(F2843&lt;&gt;"","错误","")</f>
        <v/>
      </c>
      <c r="C2843" s="14">
        <f>IF('07_动态状态'!A343&lt;&gt;"","07_动态状态","")</f>
        <v/>
      </c>
      <c r="D2843" s="14">
        <f>IF('07_动态状态'!A343&lt;&gt;"",'07_动态状态'!A343,"")</f>
        <v/>
      </c>
      <c r="E2843" s="14">
        <f>IF(F2843&lt;&gt;"","综合校验","")</f>
        <v/>
      </c>
      <c r="F2843" s="14">
        <f>IF('07_动态状态'!A343&lt;&gt;"",IF('07_动态状态'!A343="","缺少状态编码；","")&amp;IF('07_动态状态'!B343="","缺少状态名称；","")&amp;IF('07_动态状态'!C343="","缺少状态类别；","")&amp;IF(AND('07_动态状态'!A343&lt;&gt;"",COUNTIF('07_动态状态'!$A$2:$A$501,'07_动态状态'!A343)&gt;1),"ID重复；",""),"")</f>
        <v/>
      </c>
      <c r="G2843" s="14">
        <f>IF(F2843&lt;&gt;"","按字段批注、数据字典和来源记录修正后复核","")</f>
        <v/>
      </c>
      <c r="H2843" s="14">
        <f>IF(F2843&lt;&gt;"","待处理","")</f>
        <v/>
      </c>
    </row>
    <row r="2844">
      <c r="A2844" s="14">
        <f>IF(F2844&lt;&gt;"","ISSUE-"&amp;TEXT(ROW()-1,"00000"),"")</f>
        <v/>
      </c>
      <c r="B2844" s="14">
        <f>IF(F2844&lt;&gt;"","错误","")</f>
        <v/>
      </c>
      <c r="C2844" s="14">
        <f>IF('07_动态状态'!A344&lt;&gt;"","07_动态状态","")</f>
        <v/>
      </c>
      <c r="D2844" s="14">
        <f>IF('07_动态状态'!A344&lt;&gt;"",'07_动态状态'!A344,"")</f>
        <v/>
      </c>
      <c r="E2844" s="14">
        <f>IF(F2844&lt;&gt;"","综合校验","")</f>
        <v/>
      </c>
      <c r="F2844" s="14">
        <f>IF('07_动态状态'!A344&lt;&gt;"",IF('07_动态状态'!A344="","缺少状态编码；","")&amp;IF('07_动态状态'!B344="","缺少状态名称；","")&amp;IF('07_动态状态'!C344="","缺少状态类别；","")&amp;IF(AND('07_动态状态'!A344&lt;&gt;"",COUNTIF('07_动态状态'!$A$2:$A$501,'07_动态状态'!A344)&gt;1),"ID重复；",""),"")</f>
        <v/>
      </c>
      <c r="G2844" s="14">
        <f>IF(F2844&lt;&gt;"","按字段批注、数据字典和来源记录修正后复核","")</f>
        <v/>
      </c>
      <c r="H2844" s="14">
        <f>IF(F2844&lt;&gt;"","待处理","")</f>
        <v/>
      </c>
    </row>
    <row r="2845">
      <c r="A2845" s="14">
        <f>IF(F2845&lt;&gt;"","ISSUE-"&amp;TEXT(ROW()-1,"00000"),"")</f>
        <v/>
      </c>
      <c r="B2845" s="14">
        <f>IF(F2845&lt;&gt;"","错误","")</f>
        <v/>
      </c>
      <c r="C2845" s="14">
        <f>IF('07_动态状态'!A345&lt;&gt;"","07_动态状态","")</f>
        <v/>
      </c>
      <c r="D2845" s="14">
        <f>IF('07_动态状态'!A345&lt;&gt;"",'07_动态状态'!A345,"")</f>
        <v/>
      </c>
      <c r="E2845" s="14">
        <f>IF(F2845&lt;&gt;"","综合校验","")</f>
        <v/>
      </c>
      <c r="F2845" s="14">
        <f>IF('07_动态状态'!A345&lt;&gt;"",IF('07_动态状态'!A345="","缺少状态编码；","")&amp;IF('07_动态状态'!B345="","缺少状态名称；","")&amp;IF('07_动态状态'!C345="","缺少状态类别；","")&amp;IF(AND('07_动态状态'!A345&lt;&gt;"",COUNTIF('07_动态状态'!$A$2:$A$501,'07_动态状态'!A345)&gt;1),"ID重复；",""),"")</f>
        <v/>
      </c>
      <c r="G2845" s="14">
        <f>IF(F2845&lt;&gt;"","按字段批注、数据字典和来源记录修正后复核","")</f>
        <v/>
      </c>
      <c r="H2845" s="14">
        <f>IF(F2845&lt;&gt;"","待处理","")</f>
        <v/>
      </c>
    </row>
    <row r="2846">
      <c r="A2846" s="14">
        <f>IF(F2846&lt;&gt;"","ISSUE-"&amp;TEXT(ROW()-1,"00000"),"")</f>
        <v/>
      </c>
      <c r="B2846" s="14">
        <f>IF(F2846&lt;&gt;"","错误","")</f>
        <v/>
      </c>
      <c r="C2846" s="14">
        <f>IF('07_动态状态'!A346&lt;&gt;"","07_动态状态","")</f>
        <v/>
      </c>
      <c r="D2846" s="14">
        <f>IF('07_动态状态'!A346&lt;&gt;"",'07_动态状态'!A346,"")</f>
        <v/>
      </c>
      <c r="E2846" s="14">
        <f>IF(F2846&lt;&gt;"","综合校验","")</f>
        <v/>
      </c>
      <c r="F2846" s="14">
        <f>IF('07_动态状态'!A346&lt;&gt;"",IF('07_动态状态'!A346="","缺少状态编码；","")&amp;IF('07_动态状态'!B346="","缺少状态名称；","")&amp;IF('07_动态状态'!C346="","缺少状态类别；","")&amp;IF(AND('07_动态状态'!A346&lt;&gt;"",COUNTIF('07_动态状态'!$A$2:$A$501,'07_动态状态'!A346)&gt;1),"ID重复；",""),"")</f>
        <v/>
      </c>
      <c r="G2846" s="14">
        <f>IF(F2846&lt;&gt;"","按字段批注、数据字典和来源记录修正后复核","")</f>
        <v/>
      </c>
      <c r="H2846" s="14">
        <f>IF(F2846&lt;&gt;"","待处理","")</f>
        <v/>
      </c>
    </row>
    <row r="2847">
      <c r="A2847" s="14">
        <f>IF(F2847&lt;&gt;"","ISSUE-"&amp;TEXT(ROW()-1,"00000"),"")</f>
        <v/>
      </c>
      <c r="B2847" s="14">
        <f>IF(F2847&lt;&gt;"","错误","")</f>
        <v/>
      </c>
      <c r="C2847" s="14">
        <f>IF('07_动态状态'!A347&lt;&gt;"","07_动态状态","")</f>
        <v/>
      </c>
      <c r="D2847" s="14">
        <f>IF('07_动态状态'!A347&lt;&gt;"",'07_动态状态'!A347,"")</f>
        <v/>
      </c>
      <c r="E2847" s="14">
        <f>IF(F2847&lt;&gt;"","综合校验","")</f>
        <v/>
      </c>
      <c r="F2847" s="14">
        <f>IF('07_动态状态'!A347&lt;&gt;"",IF('07_动态状态'!A347="","缺少状态编码；","")&amp;IF('07_动态状态'!B347="","缺少状态名称；","")&amp;IF('07_动态状态'!C347="","缺少状态类别；","")&amp;IF(AND('07_动态状态'!A347&lt;&gt;"",COUNTIF('07_动态状态'!$A$2:$A$501,'07_动态状态'!A347)&gt;1),"ID重复；",""),"")</f>
        <v/>
      </c>
      <c r="G2847" s="14">
        <f>IF(F2847&lt;&gt;"","按字段批注、数据字典和来源记录修正后复核","")</f>
        <v/>
      </c>
      <c r="H2847" s="14">
        <f>IF(F2847&lt;&gt;"","待处理","")</f>
        <v/>
      </c>
    </row>
    <row r="2848">
      <c r="A2848" s="14">
        <f>IF(F2848&lt;&gt;"","ISSUE-"&amp;TEXT(ROW()-1,"00000"),"")</f>
        <v/>
      </c>
      <c r="B2848" s="14">
        <f>IF(F2848&lt;&gt;"","错误","")</f>
        <v/>
      </c>
      <c r="C2848" s="14">
        <f>IF('07_动态状态'!A348&lt;&gt;"","07_动态状态","")</f>
        <v/>
      </c>
      <c r="D2848" s="14">
        <f>IF('07_动态状态'!A348&lt;&gt;"",'07_动态状态'!A348,"")</f>
        <v/>
      </c>
      <c r="E2848" s="14">
        <f>IF(F2848&lt;&gt;"","综合校验","")</f>
        <v/>
      </c>
      <c r="F2848" s="14">
        <f>IF('07_动态状态'!A348&lt;&gt;"",IF('07_动态状态'!A348="","缺少状态编码；","")&amp;IF('07_动态状态'!B348="","缺少状态名称；","")&amp;IF('07_动态状态'!C348="","缺少状态类别；","")&amp;IF(AND('07_动态状态'!A348&lt;&gt;"",COUNTIF('07_动态状态'!$A$2:$A$501,'07_动态状态'!A348)&gt;1),"ID重复；",""),"")</f>
        <v/>
      </c>
      <c r="G2848" s="14">
        <f>IF(F2848&lt;&gt;"","按字段批注、数据字典和来源记录修正后复核","")</f>
        <v/>
      </c>
      <c r="H2848" s="14">
        <f>IF(F2848&lt;&gt;"","待处理","")</f>
        <v/>
      </c>
    </row>
    <row r="2849">
      <c r="A2849" s="14">
        <f>IF(F2849&lt;&gt;"","ISSUE-"&amp;TEXT(ROW()-1,"00000"),"")</f>
        <v/>
      </c>
      <c r="B2849" s="14">
        <f>IF(F2849&lt;&gt;"","错误","")</f>
        <v/>
      </c>
      <c r="C2849" s="14">
        <f>IF('07_动态状态'!A349&lt;&gt;"","07_动态状态","")</f>
        <v/>
      </c>
      <c r="D2849" s="14">
        <f>IF('07_动态状态'!A349&lt;&gt;"",'07_动态状态'!A349,"")</f>
        <v/>
      </c>
      <c r="E2849" s="14">
        <f>IF(F2849&lt;&gt;"","综合校验","")</f>
        <v/>
      </c>
      <c r="F2849" s="14">
        <f>IF('07_动态状态'!A349&lt;&gt;"",IF('07_动态状态'!A349="","缺少状态编码；","")&amp;IF('07_动态状态'!B349="","缺少状态名称；","")&amp;IF('07_动态状态'!C349="","缺少状态类别；","")&amp;IF(AND('07_动态状态'!A349&lt;&gt;"",COUNTIF('07_动态状态'!$A$2:$A$501,'07_动态状态'!A349)&gt;1),"ID重复；",""),"")</f>
        <v/>
      </c>
      <c r="G2849" s="14">
        <f>IF(F2849&lt;&gt;"","按字段批注、数据字典和来源记录修正后复核","")</f>
        <v/>
      </c>
      <c r="H2849" s="14">
        <f>IF(F2849&lt;&gt;"","待处理","")</f>
        <v/>
      </c>
    </row>
    <row r="2850">
      <c r="A2850" s="14">
        <f>IF(F2850&lt;&gt;"","ISSUE-"&amp;TEXT(ROW()-1,"00000"),"")</f>
        <v/>
      </c>
      <c r="B2850" s="14">
        <f>IF(F2850&lt;&gt;"","错误","")</f>
        <v/>
      </c>
      <c r="C2850" s="14">
        <f>IF('07_动态状态'!A350&lt;&gt;"","07_动态状态","")</f>
        <v/>
      </c>
      <c r="D2850" s="14">
        <f>IF('07_动态状态'!A350&lt;&gt;"",'07_动态状态'!A350,"")</f>
        <v/>
      </c>
      <c r="E2850" s="14">
        <f>IF(F2850&lt;&gt;"","综合校验","")</f>
        <v/>
      </c>
      <c r="F2850" s="14">
        <f>IF('07_动态状态'!A350&lt;&gt;"",IF('07_动态状态'!A350="","缺少状态编码；","")&amp;IF('07_动态状态'!B350="","缺少状态名称；","")&amp;IF('07_动态状态'!C350="","缺少状态类别；","")&amp;IF(AND('07_动态状态'!A350&lt;&gt;"",COUNTIF('07_动态状态'!$A$2:$A$501,'07_动态状态'!A350)&gt;1),"ID重复；",""),"")</f>
        <v/>
      </c>
      <c r="G2850" s="14">
        <f>IF(F2850&lt;&gt;"","按字段批注、数据字典和来源记录修正后复核","")</f>
        <v/>
      </c>
      <c r="H2850" s="14">
        <f>IF(F2850&lt;&gt;"","待处理","")</f>
        <v/>
      </c>
    </row>
    <row r="2851">
      <c r="A2851" s="14">
        <f>IF(F2851&lt;&gt;"","ISSUE-"&amp;TEXT(ROW()-1,"00000"),"")</f>
        <v/>
      </c>
      <c r="B2851" s="14">
        <f>IF(F2851&lt;&gt;"","错误","")</f>
        <v/>
      </c>
      <c r="C2851" s="14">
        <f>IF('07_动态状态'!A351&lt;&gt;"","07_动态状态","")</f>
        <v/>
      </c>
      <c r="D2851" s="14">
        <f>IF('07_动态状态'!A351&lt;&gt;"",'07_动态状态'!A351,"")</f>
        <v/>
      </c>
      <c r="E2851" s="14">
        <f>IF(F2851&lt;&gt;"","综合校验","")</f>
        <v/>
      </c>
      <c r="F2851" s="14">
        <f>IF('07_动态状态'!A351&lt;&gt;"",IF('07_动态状态'!A351="","缺少状态编码；","")&amp;IF('07_动态状态'!B351="","缺少状态名称；","")&amp;IF('07_动态状态'!C351="","缺少状态类别；","")&amp;IF(AND('07_动态状态'!A351&lt;&gt;"",COUNTIF('07_动态状态'!$A$2:$A$501,'07_动态状态'!A351)&gt;1),"ID重复；",""),"")</f>
        <v/>
      </c>
      <c r="G2851" s="14">
        <f>IF(F2851&lt;&gt;"","按字段批注、数据字典和来源记录修正后复核","")</f>
        <v/>
      </c>
      <c r="H2851" s="14">
        <f>IF(F2851&lt;&gt;"","待处理","")</f>
        <v/>
      </c>
    </row>
    <row r="2852">
      <c r="A2852" s="14">
        <f>IF(F2852&lt;&gt;"","ISSUE-"&amp;TEXT(ROW()-1,"00000"),"")</f>
        <v/>
      </c>
      <c r="B2852" s="14">
        <f>IF(F2852&lt;&gt;"","错误","")</f>
        <v/>
      </c>
      <c r="C2852" s="14">
        <f>IF('07_动态状态'!A352&lt;&gt;"","07_动态状态","")</f>
        <v/>
      </c>
      <c r="D2852" s="14">
        <f>IF('07_动态状态'!A352&lt;&gt;"",'07_动态状态'!A352,"")</f>
        <v/>
      </c>
      <c r="E2852" s="14">
        <f>IF(F2852&lt;&gt;"","综合校验","")</f>
        <v/>
      </c>
      <c r="F2852" s="14">
        <f>IF('07_动态状态'!A352&lt;&gt;"",IF('07_动态状态'!A352="","缺少状态编码；","")&amp;IF('07_动态状态'!B352="","缺少状态名称；","")&amp;IF('07_动态状态'!C352="","缺少状态类别；","")&amp;IF(AND('07_动态状态'!A352&lt;&gt;"",COUNTIF('07_动态状态'!$A$2:$A$501,'07_动态状态'!A352)&gt;1),"ID重复；",""),"")</f>
        <v/>
      </c>
      <c r="G2852" s="14">
        <f>IF(F2852&lt;&gt;"","按字段批注、数据字典和来源记录修正后复核","")</f>
        <v/>
      </c>
      <c r="H2852" s="14">
        <f>IF(F2852&lt;&gt;"","待处理","")</f>
        <v/>
      </c>
    </row>
    <row r="2853">
      <c r="A2853" s="14">
        <f>IF(F2853&lt;&gt;"","ISSUE-"&amp;TEXT(ROW()-1,"00000"),"")</f>
        <v/>
      </c>
      <c r="B2853" s="14">
        <f>IF(F2853&lt;&gt;"","错误","")</f>
        <v/>
      </c>
      <c r="C2853" s="14">
        <f>IF('07_动态状态'!A353&lt;&gt;"","07_动态状态","")</f>
        <v/>
      </c>
      <c r="D2853" s="14">
        <f>IF('07_动态状态'!A353&lt;&gt;"",'07_动态状态'!A353,"")</f>
        <v/>
      </c>
      <c r="E2853" s="14">
        <f>IF(F2853&lt;&gt;"","综合校验","")</f>
        <v/>
      </c>
      <c r="F2853" s="14">
        <f>IF('07_动态状态'!A353&lt;&gt;"",IF('07_动态状态'!A353="","缺少状态编码；","")&amp;IF('07_动态状态'!B353="","缺少状态名称；","")&amp;IF('07_动态状态'!C353="","缺少状态类别；","")&amp;IF(AND('07_动态状态'!A353&lt;&gt;"",COUNTIF('07_动态状态'!$A$2:$A$501,'07_动态状态'!A353)&gt;1),"ID重复；",""),"")</f>
        <v/>
      </c>
      <c r="G2853" s="14">
        <f>IF(F2853&lt;&gt;"","按字段批注、数据字典和来源记录修正后复核","")</f>
        <v/>
      </c>
      <c r="H2853" s="14">
        <f>IF(F2853&lt;&gt;"","待处理","")</f>
        <v/>
      </c>
    </row>
    <row r="2854">
      <c r="A2854" s="14">
        <f>IF(F2854&lt;&gt;"","ISSUE-"&amp;TEXT(ROW()-1,"00000"),"")</f>
        <v/>
      </c>
      <c r="B2854" s="14">
        <f>IF(F2854&lt;&gt;"","错误","")</f>
        <v/>
      </c>
      <c r="C2854" s="14">
        <f>IF('07_动态状态'!A354&lt;&gt;"","07_动态状态","")</f>
        <v/>
      </c>
      <c r="D2854" s="14">
        <f>IF('07_动态状态'!A354&lt;&gt;"",'07_动态状态'!A354,"")</f>
        <v/>
      </c>
      <c r="E2854" s="14">
        <f>IF(F2854&lt;&gt;"","综合校验","")</f>
        <v/>
      </c>
      <c r="F2854" s="14">
        <f>IF('07_动态状态'!A354&lt;&gt;"",IF('07_动态状态'!A354="","缺少状态编码；","")&amp;IF('07_动态状态'!B354="","缺少状态名称；","")&amp;IF('07_动态状态'!C354="","缺少状态类别；","")&amp;IF(AND('07_动态状态'!A354&lt;&gt;"",COUNTIF('07_动态状态'!$A$2:$A$501,'07_动态状态'!A354)&gt;1),"ID重复；",""),"")</f>
        <v/>
      </c>
      <c r="G2854" s="14">
        <f>IF(F2854&lt;&gt;"","按字段批注、数据字典和来源记录修正后复核","")</f>
        <v/>
      </c>
      <c r="H2854" s="14">
        <f>IF(F2854&lt;&gt;"","待处理","")</f>
        <v/>
      </c>
    </row>
    <row r="2855">
      <c r="A2855" s="14">
        <f>IF(F2855&lt;&gt;"","ISSUE-"&amp;TEXT(ROW()-1,"00000"),"")</f>
        <v/>
      </c>
      <c r="B2855" s="14">
        <f>IF(F2855&lt;&gt;"","错误","")</f>
        <v/>
      </c>
      <c r="C2855" s="14">
        <f>IF('07_动态状态'!A355&lt;&gt;"","07_动态状态","")</f>
        <v/>
      </c>
      <c r="D2855" s="14">
        <f>IF('07_动态状态'!A355&lt;&gt;"",'07_动态状态'!A355,"")</f>
        <v/>
      </c>
      <c r="E2855" s="14">
        <f>IF(F2855&lt;&gt;"","综合校验","")</f>
        <v/>
      </c>
      <c r="F2855" s="14">
        <f>IF('07_动态状态'!A355&lt;&gt;"",IF('07_动态状态'!A355="","缺少状态编码；","")&amp;IF('07_动态状态'!B355="","缺少状态名称；","")&amp;IF('07_动态状态'!C355="","缺少状态类别；","")&amp;IF(AND('07_动态状态'!A355&lt;&gt;"",COUNTIF('07_动态状态'!$A$2:$A$501,'07_动态状态'!A355)&gt;1),"ID重复；",""),"")</f>
        <v/>
      </c>
      <c r="G2855" s="14">
        <f>IF(F2855&lt;&gt;"","按字段批注、数据字典和来源记录修正后复核","")</f>
        <v/>
      </c>
      <c r="H2855" s="14">
        <f>IF(F2855&lt;&gt;"","待处理","")</f>
        <v/>
      </c>
    </row>
    <row r="2856">
      <c r="A2856" s="14">
        <f>IF(F2856&lt;&gt;"","ISSUE-"&amp;TEXT(ROW()-1,"00000"),"")</f>
        <v/>
      </c>
      <c r="B2856" s="14">
        <f>IF(F2856&lt;&gt;"","错误","")</f>
        <v/>
      </c>
      <c r="C2856" s="14">
        <f>IF('07_动态状态'!A356&lt;&gt;"","07_动态状态","")</f>
        <v/>
      </c>
      <c r="D2856" s="14">
        <f>IF('07_动态状态'!A356&lt;&gt;"",'07_动态状态'!A356,"")</f>
        <v/>
      </c>
      <c r="E2856" s="14">
        <f>IF(F2856&lt;&gt;"","综合校验","")</f>
        <v/>
      </c>
      <c r="F2856" s="14">
        <f>IF('07_动态状态'!A356&lt;&gt;"",IF('07_动态状态'!A356="","缺少状态编码；","")&amp;IF('07_动态状态'!B356="","缺少状态名称；","")&amp;IF('07_动态状态'!C356="","缺少状态类别；","")&amp;IF(AND('07_动态状态'!A356&lt;&gt;"",COUNTIF('07_动态状态'!$A$2:$A$501,'07_动态状态'!A356)&gt;1),"ID重复；",""),"")</f>
        <v/>
      </c>
      <c r="G2856" s="14">
        <f>IF(F2856&lt;&gt;"","按字段批注、数据字典和来源记录修正后复核","")</f>
        <v/>
      </c>
      <c r="H2856" s="14">
        <f>IF(F2856&lt;&gt;"","待处理","")</f>
        <v/>
      </c>
    </row>
    <row r="2857">
      <c r="A2857" s="14">
        <f>IF(F2857&lt;&gt;"","ISSUE-"&amp;TEXT(ROW()-1,"00000"),"")</f>
        <v/>
      </c>
      <c r="B2857" s="14">
        <f>IF(F2857&lt;&gt;"","错误","")</f>
        <v/>
      </c>
      <c r="C2857" s="14">
        <f>IF('07_动态状态'!A357&lt;&gt;"","07_动态状态","")</f>
        <v/>
      </c>
      <c r="D2857" s="14">
        <f>IF('07_动态状态'!A357&lt;&gt;"",'07_动态状态'!A357,"")</f>
        <v/>
      </c>
      <c r="E2857" s="14">
        <f>IF(F2857&lt;&gt;"","综合校验","")</f>
        <v/>
      </c>
      <c r="F2857" s="14">
        <f>IF('07_动态状态'!A357&lt;&gt;"",IF('07_动态状态'!A357="","缺少状态编码；","")&amp;IF('07_动态状态'!B357="","缺少状态名称；","")&amp;IF('07_动态状态'!C357="","缺少状态类别；","")&amp;IF(AND('07_动态状态'!A357&lt;&gt;"",COUNTIF('07_动态状态'!$A$2:$A$501,'07_动态状态'!A357)&gt;1),"ID重复；",""),"")</f>
        <v/>
      </c>
      <c r="G2857" s="14">
        <f>IF(F2857&lt;&gt;"","按字段批注、数据字典和来源记录修正后复核","")</f>
        <v/>
      </c>
      <c r="H2857" s="14">
        <f>IF(F2857&lt;&gt;"","待处理","")</f>
        <v/>
      </c>
    </row>
    <row r="2858">
      <c r="A2858" s="14">
        <f>IF(F2858&lt;&gt;"","ISSUE-"&amp;TEXT(ROW()-1,"00000"),"")</f>
        <v/>
      </c>
      <c r="B2858" s="14">
        <f>IF(F2858&lt;&gt;"","错误","")</f>
        <v/>
      </c>
      <c r="C2858" s="14">
        <f>IF('07_动态状态'!A358&lt;&gt;"","07_动态状态","")</f>
        <v/>
      </c>
      <c r="D2858" s="14">
        <f>IF('07_动态状态'!A358&lt;&gt;"",'07_动态状态'!A358,"")</f>
        <v/>
      </c>
      <c r="E2858" s="14">
        <f>IF(F2858&lt;&gt;"","综合校验","")</f>
        <v/>
      </c>
      <c r="F2858" s="14">
        <f>IF('07_动态状态'!A358&lt;&gt;"",IF('07_动态状态'!A358="","缺少状态编码；","")&amp;IF('07_动态状态'!B358="","缺少状态名称；","")&amp;IF('07_动态状态'!C358="","缺少状态类别；","")&amp;IF(AND('07_动态状态'!A358&lt;&gt;"",COUNTIF('07_动态状态'!$A$2:$A$501,'07_动态状态'!A358)&gt;1),"ID重复；",""),"")</f>
        <v/>
      </c>
      <c r="G2858" s="14">
        <f>IF(F2858&lt;&gt;"","按字段批注、数据字典和来源记录修正后复核","")</f>
        <v/>
      </c>
      <c r="H2858" s="14">
        <f>IF(F2858&lt;&gt;"","待处理","")</f>
        <v/>
      </c>
    </row>
    <row r="2859">
      <c r="A2859" s="14">
        <f>IF(F2859&lt;&gt;"","ISSUE-"&amp;TEXT(ROW()-1,"00000"),"")</f>
        <v/>
      </c>
      <c r="B2859" s="14">
        <f>IF(F2859&lt;&gt;"","错误","")</f>
        <v/>
      </c>
      <c r="C2859" s="14">
        <f>IF('07_动态状态'!A359&lt;&gt;"","07_动态状态","")</f>
        <v/>
      </c>
      <c r="D2859" s="14">
        <f>IF('07_动态状态'!A359&lt;&gt;"",'07_动态状态'!A359,"")</f>
        <v/>
      </c>
      <c r="E2859" s="14">
        <f>IF(F2859&lt;&gt;"","综合校验","")</f>
        <v/>
      </c>
      <c r="F2859" s="14">
        <f>IF('07_动态状态'!A359&lt;&gt;"",IF('07_动态状态'!A359="","缺少状态编码；","")&amp;IF('07_动态状态'!B359="","缺少状态名称；","")&amp;IF('07_动态状态'!C359="","缺少状态类别；","")&amp;IF(AND('07_动态状态'!A359&lt;&gt;"",COUNTIF('07_动态状态'!$A$2:$A$501,'07_动态状态'!A359)&gt;1),"ID重复；",""),"")</f>
        <v/>
      </c>
      <c r="G2859" s="14">
        <f>IF(F2859&lt;&gt;"","按字段批注、数据字典和来源记录修正后复核","")</f>
        <v/>
      </c>
      <c r="H2859" s="14">
        <f>IF(F2859&lt;&gt;"","待处理","")</f>
        <v/>
      </c>
    </row>
    <row r="2860">
      <c r="A2860" s="14">
        <f>IF(F2860&lt;&gt;"","ISSUE-"&amp;TEXT(ROW()-1,"00000"),"")</f>
        <v/>
      </c>
      <c r="B2860" s="14">
        <f>IF(F2860&lt;&gt;"","错误","")</f>
        <v/>
      </c>
      <c r="C2860" s="14">
        <f>IF('07_动态状态'!A360&lt;&gt;"","07_动态状态","")</f>
        <v/>
      </c>
      <c r="D2860" s="14">
        <f>IF('07_动态状态'!A360&lt;&gt;"",'07_动态状态'!A360,"")</f>
        <v/>
      </c>
      <c r="E2860" s="14">
        <f>IF(F2860&lt;&gt;"","综合校验","")</f>
        <v/>
      </c>
      <c r="F2860" s="14">
        <f>IF('07_动态状态'!A360&lt;&gt;"",IF('07_动态状态'!A360="","缺少状态编码；","")&amp;IF('07_动态状态'!B360="","缺少状态名称；","")&amp;IF('07_动态状态'!C360="","缺少状态类别；","")&amp;IF(AND('07_动态状态'!A360&lt;&gt;"",COUNTIF('07_动态状态'!$A$2:$A$501,'07_动态状态'!A360)&gt;1),"ID重复；",""),"")</f>
        <v/>
      </c>
      <c r="G2860" s="14">
        <f>IF(F2860&lt;&gt;"","按字段批注、数据字典和来源记录修正后复核","")</f>
        <v/>
      </c>
      <c r="H2860" s="14">
        <f>IF(F2860&lt;&gt;"","待处理","")</f>
        <v/>
      </c>
    </row>
    <row r="2861">
      <c r="A2861" s="14">
        <f>IF(F2861&lt;&gt;"","ISSUE-"&amp;TEXT(ROW()-1,"00000"),"")</f>
        <v/>
      </c>
      <c r="B2861" s="14">
        <f>IF(F2861&lt;&gt;"","错误","")</f>
        <v/>
      </c>
      <c r="C2861" s="14">
        <f>IF('07_动态状态'!A361&lt;&gt;"","07_动态状态","")</f>
        <v/>
      </c>
      <c r="D2861" s="14">
        <f>IF('07_动态状态'!A361&lt;&gt;"",'07_动态状态'!A361,"")</f>
        <v/>
      </c>
      <c r="E2861" s="14">
        <f>IF(F2861&lt;&gt;"","综合校验","")</f>
        <v/>
      </c>
      <c r="F2861" s="14">
        <f>IF('07_动态状态'!A361&lt;&gt;"",IF('07_动态状态'!A361="","缺少状态编码；","")&amp;IF('07_动态状态'!B361="","缺少状态名称；","")&amp;IF('07_动态状态'!C361="","缺少状态类别；","")&amp;IF(AND('07_动态状态'!A361&lt;&gt;"",COUNTIF('07_动态状态'!$A$2:$A$501,'07_动态状态'!A361)&gt;1),"ID重复；",""),"")</f>
        <v/>
      </c>
      <c r="G2861" s="14">
        <f>IF(F2861&lt;&gt;"","按字段批注、数据字典和来源记录修正后复核","")</f>
        <v/>
      </c>
      <c r="H2861" s="14">
        <f>IF(F2861&lt;&gt;"","待处理","")</f>
        <v/>
      </c>
    </row>
    <row r="2862">
      <c r="A2862" s="14">
        <f>IF(F2862&lt;&gt;"","ISSUE-"&amp;TEXT(ROW()-1,"00000"),"")</f>
        <v/>
      </c>
      <c r="B2862" s="14">
        <f>IF(F2862&lt;&gt;"","错误","")</f>
        <v/>
      </c>
      <c r="C2862" s="14">
        <f>IF('07_动态状态'!A362&lt;&gt;"","07_动态状态","")</f>
        <v/>
      </c>
      <c r="D2862" s="14">
        <f>IF('07_动态状态'!A362&lt;&gt;"",'07_动态状态'!A362,"")</f>
        <v/>
      </c>
      <c r="E2862" s="14">
        <f>IF(F2862&lt;&gt;"","综合校验","")</f>
        <v/>
      </c>
      <c r="F2862" s="14">
        <f>IF('07_动态状态'!A362&lt;&gt;"",IF('07_动态状态'!A362="","缺少状态编码；","")&amp;IF('07_动态状态'!B362="","缺少状态名称；","")&amp;IF('07_动态状态'!C362="","缺少状态类别；","")&amp;IF(AND('07_动态状态'!A362&lt;&gt;"",COUNTIF('07_动态状态'!$A$2:$A$501,'07_动态状态'!A362)&gt;1),"ID重复；",""),"")</f>
        <v/>
      </c>
      <c r="G2862" s="14">
        <f>IF(F2862&lt;&gt;"","按字段批注、数据字典和来源记录修正后复核","")</f>
        <v/>
      </c>
      <c r="H2862" s="14">
        <f>IF(F2862&lt;&gt;"","待处理","")</f>
        <v/>
      </c>
    </row>
    <row r="2863">
      <c r="A2863" s="14">
        <f>IF(F2863&lt;&gt;"","ISSUE-"&amp;TEXT(ROW()-1,"00000"),"")</f>
        <v/>
      </c>
      <c r="B2863" s="14">
        <f>IF(F2863&lt;&gt;"","错误","")</f>
        <v/>
      </c>
      <c r="C2863" s="14">
        <f>IF('07_动态状态'!A363&lt;&gt;"","07_动态状态","")</f>
        <v/>
      </c>
      <c r="D2863" s="14">
        <f>IF('07_动态状态'!A363&lt;&gt;"",'07_动态状态'!A363,"")</f>
        <v/>
      </c>
      <c r="E2863" s="14">
        <f>IF(F2863&lt;&gt;"","综合校验","")</f>
        <v/>
      </c>
      <c r="F2863" s="14">
        <f>IF('07_动态状态'!A363&lt;&gt;"",IF('07_动态状态'!A363="","缺少状态编码；","")&amp;IF('07_动态状态'!B363="","缺少状态名称；","")&amp;IF('07_动态状态'!C363="","缺少状态类别；","")&amp;IF(AND('07_动态状态'!A363&lt;&gt;"",COUNTIF('07_动态状态'!$A$2:$A$501,'07_动态状态'!A363)&gt;1),"ID重复；",""),"")</f>
        <v/>
      </c>
      <c r="G2863" s="14">
        <f>IF(F2863&lt;&gt;"","按字段批注、数据字典和来源记录修正后复核","")</f>
        <v/>
      </c>
      <c r="H2863" s="14">
        <f>IF(F2863&lt;&gt;"","待处理","")</f>
        <v/>
      </c>
    </row>
    <row r="2864">
      <c r="A2864" s="14">
        <f>IF(F2864&lt;&gt;"","ISSUE-"&amp;TEXT(ROW()-1,"00000"),"")</f>
        <v/>
      </c>
      <c r="B2864" s="14">
        <f>IF(F2864&lt;&gt;"","错误","")</f>
        <v/>
      </c>
      <c r="C2864" s="14">
        <f>IF('07_动态状态'!A364&lt;&gt;"","07_动态状态","")</f>
        <v/>
      </c>
      <c r="D2864" s="14">
        <f>IF('07_动态状态'!A364&lt;&gt;"",'07_动态状态'!A364,"")</f>
        <v/>
      </c>
      <c r="E2864" s="14">
        <f>IF(F2864&lt;&gt;"","综合校验","")</f>
        <v/>
      </c>
      <c r="F2864" s="14">
        <f>IF('07_动态状态'!A364&lt;&gt;"",IF('07_动态状态'!A364="","缺少状态编码；","")&amp;IF('07_动态状态'!B364="","缺少状态名称；","")&amp;IF('07_动态状态'!C364="","缺少状态类别；","")&amp;IF(AND('07_动态状态'!A364&lt;&gt;"",COUNTIF('07_动态状态'!$A$2:$A$501,'07_动态状态'!A364)&gt;1),"ID重复；",""),"")</f>
        <v/>
      </c>
      <c r="G2864" s="14">
        <f>IF(F2864&lt;&gt;"","按字段批注、数据字典和来源记录修正后复核","")</f>
        <v/>
      </c>
      <c r="H2864" s="14">
        <f>IF(F2864&lt;&gt;"","待处理","")</f>
        <v/>
      </c>
    </row>
    <row r="2865">
      <c r="A2865" s="14">
        <f>IF(F2865&lt;&gt;"","ISSUE-"&amp;TEXT(ROW()-1,"00000"),"")</f>
        <v/>
      </c>
      <c r="B2865" s="14">
        <f>IF(F2865&lt;&gt;"","错误","")</f>
        <v/>
      </c>
      <c r="C2865" s="14">
        <f>IF('07_动态状态'!A365&lt;&gt;"","07_动态状态","")</f>
        <v/>
      </c>
      <c r="D2865" s="14">
        <f>IF('07_动态状态'!A365&lt;&gt;"",'07_动态状态'!A365,"")</f>
        <v/>
      </c>
      <c r="E2865" s="14">
        <f>IF(F2865&lt;&gt;"","综合校验","")</f>
        <v/>
      </c>
      <c r="F2865" s="14">
        <f>IF('07_动态状态'!A365&lt;&gt;"",IF('07_动态状态'!A365="","缺少状态编码；","")&amp;IF('07_动态状态'!B365="","缺少状态名称；","")&amp;IF('07_动态状态'!C365="","缺少状态类别；","")&amp;IF(AND('07_动态状态'!A365&lt;&gt;"",COUNTIF('07_动态状态'!$A$2:$A$501,'07_动态状态'!A365)&gt;1),"ID重复；",""),"")</f>
        <v/>
      </c>
      <c r="G2865" s="14">
        <f>IF(F2865&lt;&gt;"","按字段批注、数据字典和来源记录修正后复核","")</f>
        <v/>
      </c>
      <c r="H2865" s="14">
        <f>IF(F2865&lt;&gt;"","待处理","")</f>
        <v/>
      </c>
    </row>
    <row r="2866">
      <c r="A2866" s="14">
        <f>IF(F2866&lt;&gt;"","ISSUE-"&amp;TEXT(ROW()-1,"00000"),"")</f>
        <v/>
      </c>
      <c r="B2866" s="14">
        <f>IF(F2866&lt;&gt;"","错误","")</f>
        <v/>
      </c>
      <c r="C2866" s="14">
        <f>IF('07_动态状态'!A366&lt;&gt;"","07_动态状态","")</f>
        <v/>
      </c>
      <c r="D2866" s="14">
        <f>IF('07_动态状态'!A366&lt;&gt;"",'07_动态状态'!A366,"")</f>
        <v/>
      </c>
      <c r="E2866" s="14">
        <f>IF(F2866&lt;&gt;"","综合校验","")</f>
        <v/>
      </c>
      <c r="F2866" s="14">
        <f>IF('07_动态状态'!A366&lt;&gt;"",IF('07_动态状态'!A366="","缺少状态编码；","")&amp;IF('07_动态状态'!B366="","缺少状态名称；","")&amp;IF('07_动态状态'!C366="","缺少状态类别；","")&amp;IF(AND('07_动态状态'!A366&lt;&gt;"",COUNTIF('07_动态状态'!$A$2:$A$501,'07_动态状态'!A366)&gt;1),"ID重复；",""),"")</f>
        <v/>
      </c>
      <c r="G2866" s="14">
        <f>IF(F2866&lt;&gt;"","按字段批注、数据字典和来源记录修正后复核","")</f>
        <v/>
      </c>
      <c r="H2866" s="14">
        <f>IF(F2866&lt;&gt;"","待处理","")</f>
        <v/>
      </c>
    </row>
    <row r="2867">
      <c r="A2867" s="14">
        <f>IF(F2867&lt;&gt;"","ISSUE-"&amp;TEXT(ROW()-1,"00000"),"")</f>
        <v/>
      </c>
      <c r="B2867" s="14">
        <f>IF(F2867&lt;&gt;"","错误","")</f>
        <v/>
      </c>
      <c r="C2867" s="14">
        <f>IF('07_动态状态'!A367&lt;&gt;"","07_动态状态","")</f>
        <v/>
      </c>
      <c r="D2867" s="14">
        <f>IF('07_动态状态'!A367&lt;&gt;"",'07_动态状态'!A367,"")</f>
        <v/>
      </c>
      <c r="E2867" s="14">
        <f>IF(F2867&lt;&gt;"","综合校验","")</f>
        <v/>
      </c>
      <c r="F2867" s="14">
        <f>IF('07_动态状态'!A367&lt;&gt;"",IF('07_动态状态'!A367="","缺少状态编码；","")&amp;IF('07_动态状态'!B367="","缺少状态名称；","")&amp;IF('07_动态状态'!C367="","缺少状态类别；","")&amp;IF(AND('07_动态状态'!A367&lt;&gt;"",COUNTIF('07_动态状态'!$A$2:$A$501,'07_动态状态'!A367)&gt;1),"ID重复；",""),"")</f>
        <v/>
      </c>
      <c r="G2867" s="14">
        <f>IF(F2867&lt;&gt;"","按字段批注、数据字典和来源记录修正后复核","")</f>
        <v/>
      </c>
      <c r="H2867" s="14">
        <f>IF(F2867&lt;&gt;"","待处理","")</f>
        <v/>
      </c>
    </row>
    <row r="2868">
      <c r="A2868" s="14">
        <f>IF(F2868&lt;&gt;"","ISSUE-"&amp;TEXT(ROW()-1,"00000"),"")</f>
        <v/>
      </c>
      <c r="B2868" s="14">
        <f>IF(F2868&lt;&gt;"","错误","")</f>
        <v/>
      </c>
      <c r="C2868" s="14">
        <f>IF('07_动态状态'!A368&lt;&gt;"","07_动态状态","")</f>
        <v/>
      </c>
      <c r="D2868" s="14">
        <f>IF('07_动态状态'!A368&lt;&gt;"",'07_动态状态'!A368,"")</f>
        <v/>
      </c>
      <c r="E2868" s="14">
        <f>IF(F2868&lt;&gt;"","综合校验","")</f>
        <v/>
      </c>
      <c r="F2868" s="14">
        <f>IF('07_动态状态'!A368&lt;&gt;"",IF('07_动态状态'!A368="","缺少状态编码；","")&amp;IF('07_动态状态'!B368="","缺少状态名称；","")&amp;IF('07_动态状态'!C368="","缺少状态类别；","")&amp;IF(AND('07_动态状态'!A368&lt;&gt;"",COUNTIF('07_动态状态'!$A$2:$A$501,'07_动态状态'!A368)&gt;1),"ID重复；",""),"")</f>
        <v/>
      </c>
      <c r="G2868" s="14">
        <f>IF(F2868&lt;&gt;"","按字段批注、数据字典和来源记录修正后复核","")</f>
        <v/>
      </c>
      <c r="H2868" s="14">
        <f>IF(F2868&lt;&gt;"","待处理","")</f>
        <v/>
      </c>
    </row>
    <row r="2869">
      <c r="A2869" s="14">
        <f>IF(F2869&lt;&gt;"","ISSUE-"&amp;TEXT(ROW()-1,"00000"),"")</f>
        <v/>
      </c>
      <c r="B2869" s="14">
        <f>IF(F2869&lt;&gt;"","错误","")</f>
        <v/>
      </c>
      <c r="C2869" s="14">
        <f>IF('07_动态状态'!A369&lt;&gt;"","07_动态状态","")</f>
        <v/>
      </c>
      <c r="D2869" s="14">
        <f>IF('07_动态状态'!A369&lt;&gt;"",'07_动态状态'!A369,"")</f>
        <v/>
      </c>
      <c r="E2869" s="14">
        <f>IF(F2869&lt;&gt;"","综合校验","")</f>
        <v/>
      </c>
      <c r="F2869" s="14">
        <f>IF('07_动态状态'!A369&lt;&gt;"",IF('07_动态状态'!A369="","缺少状态编码；","")&amp;IF('07_动态状态'!B369="","缺少状态名称；","")&amp;IF('07_动态状态'!C369="","缺少状态类别；","")&amp;IF(AND('07_动态状态'!A369&lt;&gt;"",COUNTIF('07_动态状态'!$A$2:$A$501,'07_动态状态'!A369)&gt;1),"ID重复；",""),"")</f>
        <v/>
      </c>
      <c r="G2869" s="14">
        <f>IF(F2869&lt;&gt;"","按字段批注、数据字典和来源记录修正后复核","")</f>
        <v/>
      </c>
      <c r="H2869" s="14">
        <f>IF(F2869&lt;&gt;"","待处理","")</f>
        <v/>
      </c>
    </row>
    <row r="2870">
      <c r="A2870" s="14">
        <f>IF(F2870&lt;&gt;"","ISSUE-"&amp;TEXT(ROW()-1,"00000"),"")</f>
        <v/>
      </c>
      <c r="B2870" s="14">
        <f>IF(F2870&lt;&gt;"","错误","")</f>
        <v/>
      </c>
      <c r="C2870" s="14">
        <f>IF('07_动态状态'!A370&lt;&gt;"","07_动态状态","")</f>
        <v/>
      </c>
      <c r="D2870" s="14">
        <f>IF('07_动态状态'!A370&lt;&gt;"",'07_动态状态'!A370,"")</f>
        <v/>
      </c>
      <c r="E2870" s="14">
        <f>IF(F2870&lt;&gt;"","综合校验","")</f>
        <v/>
      </c>
      <c r="F2870" s="14">
        <f>IF('07_动态状态'!A370&lt;&gt;"",IF('07_动态状态'!A370="","缺少状态编码；","")&amp;IF('07_动态状态'!B370="","缺少状态名称；","")&amp;IF('07_动态状态'!C370="","缺少状态类别；","")&amp;IF(AND('07_动态状态'!A370&lt;&gt;"",COUNTIF('07_动态状态'!$A$2:$A$501,'07_动态状态'!A370)&gt;1),"ID重复；",""),"")</f>
        <v/>
      </c>
      <c r="G2870" s="14">
        <f>IF(F2870&lt;&gt;"","按字段批注、数据字典和来源记录修正后复核","")</f>
        <v/>
      </c>
      <c r="H2870" s="14">
        <f>IF(F2870&lt;&gt;"","待处理","")</f>
        <v/>
      </c>
    </row>
    <row r="2871">
      <c r="A2871" s="14">
        <f>IF(F2871&lt;&gt;"","ISSUE-"&amp;TEXT(ROW()-1,"00000"),"")</f>
        <v/>
      </c>
      <c r="B2871" s="14">
        <f>IF(F2871&lt;&gt;"","错误","")</f>
        <v/>
      </c>
      <c r="C2871" s="14">
        <f>IF('07_动态状态'!A371&lt;&gt;"","07_动态状态","")</f>
        <v/>
      </c>
      <c r="D2871" s="14">
        <f>IF('07_动态状态'!A371&lt;&gt;"",'07_动态状态'!A371,"")</f>
        <v/>
      </c>
      <c r="E2871" s="14">
        <f>IF(F2871&lt;&gt;"","综合校验","")</f>
        <v/>
      </c>
      <c r="F2871" s="14">
        <f>IF('07_动态状态'!A371&lt;&gt;"",IF('07_动态状态'!A371="","缺少状态编码；","")&amp;IF('07_动态状态'!B371="","缺少状态名称；","")&amp;IF('07_动态状态'!C371="","缺少状态类别；","")&amp;IF(AND('07_动态状态'!A371&lt;&gt;"",COUNTIF('07_动态状态'!$A$2:$A$501,'07_动态状态'!A371)&gt;1),"ID重复；",""),"")</f>
        <v/>
      </c>
      <c r="G2871" s="14">
        <f>IF(F2871&lt;&gt;"","按字段批注、数据字典和来源记录修正后复核","")</f>
        <v/>
      </c>
      <c r="H2871" s="14">
        <f>IF(F2871&lt;&gt;"","待处理","")</f>
        <v/>
      </c>
    </row>
    <row r="2872">
      <c r="A2872" s="14">
        <f>IF(F2872&lt;&gt;"","ISSUE-"&amp;TEXT(ROW()-1,"00000"),"")</f>
        <v/>
      </c>
      <c r="B2872" s="14">
        <f>IF(F2872&lt;&gt;"","错误","")</f>
        <v/>
      </c>
      <c r="C2872" s="14">
        <f>IF('07_动态状态'!A372&lt;&gt;"","07_动态状态","")</f>
        <v/>
      </c>
      <c r="D2872" s="14">
        <f>IF('07_动态状态'!A372&lt;&gt;"",'07_动态状态'!A372,"")</f>
        <v/>
      </c>
      <c r="E2872" s="14">
        <f>IF(F2872&lt;&gt;"","综合校验","")</f>
        <v/>
      </c>
      <c r="F2872" s="14">
        <f>IF('07_动态状态'!A372&lt;&gt;"",IF('07_动态状态'!A372="","缺少状态编码；","")&amp;IF('07_动态状态'!B372="","缺少状态名称；","")&amp;IF('07_动态状态'!C372="","缺少状态类别；","")&amp;IF(AND('07_动态状态'!A372&lt;&gt;"",COUNTIF('07_动态状态'!$A$2:$A$501,'07_动态状态'!A372)&gt;1),"ID重复；",""),"")</f>
        <v/>
      </c>
      <c r="G2872" s="14">
        <f>IF(F2872&lt;&gt;"","按字段批注、数据字典和来源记录修正后复核","")</f>
        <v/>
      </c>
      <c r="H2872" s="14">
        <f>IF(F2872&lt;&gt;"","待处理","")</f>
        <v/>
      </c>
    </row>
    <row r="2873">
      <c r="A2873" s="14">
        <f>IF(F2873&lt;&gt;"","ISSUE-"&amp;TEXT(ROW()-1,"00000"),"")</f>
        <v/>
      </c>
      <c r="B2873" s="14">
        <f>IF(F2873&lt;&gt;"","错误","")</f>
        <v/>
      </c>
      <c r="C2873" s="14">
        <f>IF('07_动态状态'!A373&lt;&gt;"","07_动态状态","")</f>
        <v/>
      </c>
      <c r="D2873" s="14">
        <f>IF('07_动态状态'!A373&lt;&gt;"",'07_动态状态'!A373,"")</f>
        <v/>
      </c>
      <c r="E2873" s="14">
        <f>IF(F2873&lt;&gt;"","综合校验","")</f>
        <v/>
      </c>
      <c r="F2873" s="14">
        <f>IF('07_动态状态'!A373&lt;&gt;"",IF('07_动态状态'!A373="","缺少状态编码；","")&amp;IF('07_动态状态'!B373="","缺少状态名称；","")&amp;IF('07_动态状态'!C373="","缺少状态类别；","")&amp;IF(AND('07_动态状态'!A373&lt;&gt;"",COUNTIF('07_动态状态'!$A$2:$A$501,'07_动态状态'!A373)&gt;1),"ID重复；",""),"")</f>
        <v/>
      </c>
      <c r="G2873" s="14">
        <f>IF(F2873&lt;&gt;"","按字段批注、数据字典和来源记录修正后复核","")</f>
        <v/>
      </c>
      <c r="H2873" s="14">
        <f>IF(F2873&lt;&gt;"","待处理","")</f>
        <v/>
      </c>
    </row>
    <row r="2874">
      <c r="A2874" s="14">
        <f>IF(F2874&lt;&gt;"","ISSUE-"&amp;TEXT(ROW()-1,"00000"),"")</f>
        <v/>
      </c>
      <c r="B2874" s="14">
        <f>IF(F2874&lt;&gt;"","错误","")</f>
        <v/>
      </c>
      <c r="C2874" s="14">
        <f>IF('07_动态状态'!A374&lt;&gt;"","07_动态状态","")</f>
        <v/>
      </c>
      <c r="D2874" s="14">
        <f>IF('07_动态状态'!A374&lt;&gt;"",'07_动态状态'!A374,"")</f>
        <v/>
      </c>
      <c r="E2874" s="14">
        <f>IF(F2874&lt;&gt;"","综合校验","")</f>
        <v/>
      </c>
      <c r="F2874" s="14">
        <f>IF('07_动态状态'!A374&lt;&gt;"",IF('07_动态状态'!A374="","缺少状态编码；","")&amp;IF('07_动态状态'!B374="","缺少状态名称；","")&amp;IF('07_动态状态'!C374="","缺少状态类别；","")&amp;IF(AND('07_动态状态'!A374&lt;&gt;"",COUNTIF('07_动态状态'!$A$2:$A$501,'07_动态状态'!A374)&gt;1),"ID重复；",""),"")</f>
        <v/>
      </c>
      <c r="G2874" s="14">
        <f>IF(F2874&lt;&gt;"","按字段批注、数据字典和来源记录修正后复核","")</f>
        <v/>
      </c>
      <c r="H2874" s="14">
        <f>IF(F2874&lt;&gt;"","待处理","")</f>
        <v/>
      </c>
    </row>
    <row r="2875">
      <c r="A2875" s="14">
        <f>IF(F2875&lt;&gt;"","ISSUE-"&amp;TEXT(ROW()-1,"00000"),"")</f>
        <v/>
      </c>
      <c r="B2875" s="14">
        <f>IF(F2875&lt;&gt;"","错误","")</f>
        <v/>
      </c>
      <c r="C2875" s="14">
        <f>IF('07_动态状态'!A375&lt;&gt;"","07_动态状态","")</f>
        <v/>
      </c>
      <c r="D2875" s="14">
        <f>IF('07_动态状态'!A375&lt;&gt;"",'07_动态状态'!A375,"")</f>
        <v/>
      </c>
      <c r="E2875" s="14">
        <f>IF(F2875&lt;&gt;"","综合校验","")</f>
        <v/>
      </c>
      <c r="F2875" s="14">
        <f>IF('07_动态状态'!A375&lt;&gt;"",IF('07_动态状态'!A375="","缺少状态编码；","")&amp;IF('07_动态状态'!B375="","缺少状态名称；","")&amp;IF('07_动态状态'!C375="","缺少状态类别；","")&amp;IF(AND('07_动态状态'!A375&lt;&gt;"",COUNTIF('07_动态状态'!$A$2:$A$501,'07_动态状态'!A375)&gt;1),"ID重复；",""),"")</f>
        <v/>
      </c>
      <c r="G2875" s="14">
        <f>IF(F2875&lt;&gt;"","按字段批注、数据字典和来源记录修正后复核","")</f>
        <v/>
      </c>
      <c r="H2875" s="14">
        <f>IF(F2875&lt;&gt;"","待处理","")</f>
        <v/>
      </c>
    </row>
    <row r="2876">
      <c r="A2876" s="14">
        <f>IF(F2876&lt;&gt;"","ISSUE-"&amp;TEXT(ROW()-1,"00000"),"")</f>
        <v/>
      </c>
      <c r="B2876" s="14">
        <f>IF(F2876&lt;&gt;"","错误","")</f>
        <v/>
      </c>
      <c r="C2876" s="14">
        <f>IF('07_动态状态'!A376&lt;&gt;"","07_动态状态","")</f>
        <v/>
      </c>
      <c r="D2876" s="14">
        <f>IF('07_动态状态'!A376&lt;&gt;"",'07_动态状态'!A376,"")</f>
        <v/>
      </c>
      <c r="E2876" s="14">
        <f>IF(F2876&lt;&gt;"","综合校验","")</f>
        <v/>
      </c>
      <c r="F2876" s="14">
        <f>IF('07_动态状态'!A376&lt;&gt;"",IF('07_动态状态'!A376="","缺少状态编码；","")&amp;IF('07_动态状态'!B376="","缺少状态名称；","")&amp;IF('07_动态状态'!C376="","缺少状态类别；","")&amp;IF(AND('07_动态状态'!A376&lt;&gt;"",COUNTIF('07_动态状态'!$A$2:$A$501,'07_动态状态'!A376)&gt;1),"ID重复；",""),"")</f>
        <v/>
      </c>
      <c r="G2876" s="14">
        <f>IF(F2876&lt;&gt;"","按字段批注、数据字典和来源记录修正后复核","")</f>
        <v/>
      </c>
      <c r="H2876" s="14">
        <f>IF(F2876&lt;&gt;"","待处理","")</f>
        <v/>
      </c>
    </row>
    <row r="2877">
      <c r="A2877" s="14">
        <f>IF(F2877&lt;&gt;"","ISSUE-"&amp;TEXT(ROW()-1,"00000"),"")</f>
        <v/>
      </c>
      <c r="B2877" s="14">
        <f>IF(F2877&lt;&gt;"","错误","")</f>
        <v/>
      </c>
      <c r="C2877" s="14">
        <f>IF('07_动态状态'!A377&lt;&gt;"","07_动态状态","")</f>
        <v/>
      </c>
      <c r="D2877" s="14">
        <f>IF('07_动态状态'!A377&lt;&gt;"",'07_动态状态'!A377,"")</f>
        <v/>
      </c>
      <c r="E2877" s="14">
        <f>IF(F2877&lt;&gt;"","综合校验","")</f>
        <v/>
      </c>
      <c r="F2877" s="14">
        <f>IF('07_动态状态'!A377&lt;&gt;"",IF('07_动态状态'!A377="","缺少状态编码；","")&amp;IF('07_动态状态'!B377="","缺少状态名称；","")&amp;IF('07_动态状态'!C377="","缺少状态类别；","")&amp;IF(AND('07_动态状态'!A377&lt;&gt;"",COUNTIF('07_动态状态'!$A$2:$A$501,'07_动态状态'!A377)&gt;1),"ID重复；",""),"")</f>
        <v/>
      </c>
      <c r="G2877" s="14">
        <f>IF(F2877&lt;&gt;"","按字段批注、数据字典和来源记录修正后复核","")</f>
        <v/>
      </c>
      <c r="H2877" s="14">
        <f>IF(F2877&lt;&gt;"","待处理","")</f>
        <v/>
      </c>
    </row>
    <row r="2878">
      <c r="A2878" s="14">
        <f>IF(F2878&lt;&gt;"","ISSUE-"&amp;TEXT(ROW()-1,"00000"),"")</f>
        <v/>
      </c>
      <c r="B2878" s="14">
        <f>IF(F2878&lt;&gt;"","错误","")</f>
        <v/>
      </c>
      <c r="C2878" s="14">
        <f>IF('07_动态状态'!A378&lt;&gt;"","07_动态状态","")</f>
        <v/>
      </c>
      <c r="D2878" s="14">
        <f>IF('07_动态状态'!A378&lt;&gt;"",'07_动态状态'!A378,"")</f>
        <v/>
      </c>
      <c r="E2878" s="14">
        <f>IF(F2878&lt;&gt;"","综合校验","")</f>
        <v/>
      </c>
      <c r="F2878" s="14">
        <f>IF('07_动态状态'!A378&lt;&gt;"",IF('07_动态状态'!A378="","缺少状态编码；","")&amp;IF('07_动态状态'!B378="","缺少状态名称；","")&amp;IF('07_动态状态'!C378="","缺少状态类别；","")&amp;IF(AND('07_动态状态'!A378&lt;&gt;"",COUNTIF('07_动态状态'!$A$2:$A$501,'07_动态状态'!A378)&gt;1),"ID重复；",""),"")</f>
        <v/>
      </c>
      <c r="G2878" s="14">
        <f>IF(F2878&lt;&gt;"","按字段批注、数据字典和来源记录修正后复核","")</f>
        <v/>
      </c>
      <c r="H2878" s="14">
        <f>IF(F2878&lt;&gt;"","待处理","")</f>
        <v/>
      </c>
    </row>
    <row r="2879">
      <c r="A2879" s="14">
        <f>IF(F2879&lt;&gt;"","ISSUE-"&amp;TEXT(ROW()-1,"00000"),"")</f>
        <v/>
      </c>
      <c r="B2879" s="14">
        <f>IF(F2879&lt;&gt;"","错误","")</f>
        <v/>
      </c>
      <c r="C2879" s="14">
        <f>IF('07_动态状态'!A379&lt;&gt;"","07_动态状态","")</f>
        <v/>
      </c>
      <c r="D2879" s="14">
        <f>IF('07_动态状态'!A379&lt;&gt;"",'07_动态状态'!A379,"")</f>
        <v/>
      </c>
      <c r="E2879" s="14">
        <f>IF(F2879&lt;&gt;"","综合校验","")</f>
        <v/>
      </c>
      <c r="F2879" s="14">
        <f>IF('07_动态状态'!A379&lt;&gt;"",IF('07_动态状态'!A379="","缺少状态编码；","")&amp;IF('07_动态状态'!B379="","缺少状态名称；","")&amp;IF('07_动态状态'!C379="","缺少状态类别；","")&amp;IF(AND('07_动态状态'!A379&lt;&gt;"",COUNTIF('07_动态状态'!$A$2:$A$501,'07_动态状态'!A379)&gt;1),"ID重复；",""),"")</f>
        <v/>
      </c>
      <c r="G2879" s="14">
        <f>IF(F2879&lt;&gt;"","按字段批注、数据字典和来源记录修正后复核","")</f>
        <v/>
      </c>
      <c r="H2879" s="14">
        <f>IF(F2879&lt;&gt;"","待处理","")</f>
        <v/>
      </c>
    </row>
    <row r="2880">
      <c r="A2880" s="14">
        <f>IF(F2880&lt;&gt;"","ISSUE-"&amp;TEXT(ROW()-1,"00000"),"")</f>
        <v/>
      </c>
      <c r="B2880" s="14">
        <f>IF(F2880&lt;&gt;"","错误","")</f>
        <v/>
      </c>
      <c r="C2880" s="14">
        <f>IF('07_动态状态'!A380&lt;&gt;"","07_动态状态","")</f>
        <v/>
      </c>
      <c r="D2880" s="14">
        <f>IF('07_动态状态'!A380&lt;&gt;"",'07_动态状态'!A380,"")</f>
        <v/>
      </c>
      <c r="E2880" s="14">
        <f>IF(F2880&lt;&gt;"","综合校验","")</f>
        <v/>
      </c>
      <c r="F2880" s="14">
        <f>IF('07_动态状态'!A380&lt;&gt;"",IF('07_动态状态'!A380="","缺少状态编码；","")&amp;IF('07_动态状态'!B380="","缺少状态名称；","")&amp;IF('07_动态状态'!C380="","缺少状态类别；","")&amp;IF(AND('07_动态状态'!A380&lt;&gt;"",COUNTIF('07_动态状态'!$A$2:$A$501,'07_动态状态'!A380)&gt;1),"ID重复；",""),"")</f>
        <v/>
      </c>
      <c r="G2880" s="14">
        <f>IF(F2880&lt;&gt;"","按字段批注、数据字典和来源记录修正后复核","")</f>
        <v/>
      </c>
      <c r="H2880" s="14">
        <f>IF(F2880&lt;&gt;"","待处理","")</f>
        <v/>
      </c>
    </row>
    <row r="2881">
      <c r="A2881" s="14">
        <f>IF(F2881&lt;&gt;"","ISSUE-"&amp;TEXT(ROW()-1,"00000"),"")</f>
        <v/>
      </c>
      <c r="B2881" s="14">
        <f>IF(F2881&lt;&gt;"","错误","")</f>
        <v/>
      </c>
      <c r="C2881" s="14">
        <f>IF('07_动态状态'!A381&lt;&gt;"","07_动态状态","")</f>
        <v/>
      </c>
      <c r="D2881" s="14">
        <f>IF('07_动态状态'!A381&lt;&gt;"",'07_动态状态'!A381,"")</f>
        <v/>
      </c>
      <c r="E2881" s="14">
        <f>IF(F2881&lt;&gt;"","综合校验","")</f>
        <v/>
      </c>
      <c r="F2881" s="14">
        <f>IF('07_动态状态'!A381&lt;&gt;"",IF('07_动态状态'!A381="","缺少状态编码；","")&amp;IF('07_动态状态'!B381="","缺少状态名称；","")&amp;IF('07_动态状态'!C381="","缺少状态类别；","")&amp;IF(AND('07_动态状态'!A381&lt;&gt;"",COUNTIF('07_动态状态'!$A$2:$A$501,'07_动态状态'!A381)&gt;1),"ID重复；",""),"")</f>
        <v/>
      </c>
      <c r="G2881" s="14">
        <f>IF(F2881&lt;&gt;"","按字段批注、数据字典和来源记录修正后复核","")</f>
        <v/>
      </c>
      <c r="H2881" s="14">
        <f>IF(F2881&lt;&gt;"","待处理","")</f>
        <v/>
      </c>
    </row>
    <row r="2882">
      <c r="A2882" s="14">
        <f>IF(F2882&lt;&gt;"","ISSUE-"&amp;TEXT(ROW()-1,"00000"),"")</f>
        <v/>
      </c>
      <c r="B2882" s="14">
        <f>IF(F2882&lt;&gt;"","错误","")</f>
        <v/>
      </c>
      <c r="C2882" s="14">
        <f>IF('07_动态状态'!A382&lt;&gt;"","07_动态状态","")</f>
        <v/>
      </c>
      <c r="D2882" s="14">
        <f>IF('07_动态状态'!A382&lt;&gt;"",'07_动态状态'!A382,"")</f>
        <v/>
      </c>
      <c r="E2882" s="14">
        <f>IF(F2882&lt;&gt;"","综合校验","")</f>
        <v/>
      </c>
      <c r="F2882" s="14">
        <f>IF('07_动态状态'!A382&lt;&gt;"",IF('07_动态状态'!A382="","缺少状态编码；","")&amp;IF('07_动态状态'!B382="","缺少状态名称；","")&amp;IF('07_动态状态'!C382="","缺少状态类别；","")&amp;IF(AND('07_动态状态'!A382&lt;&gt;"",COUNTIF('07_动态状态'!$A$2:$A$501,'07_动态状态'!A382)&gt;1),"ID重复；",""),"")</f>
        <v/>
      </c>
      <c r="G2882" s="14">
        <f>IF(F2882&lt;&gt;"","按字段批注、数据字典和来源记录修正后复核","")</f>
        <v/>
      </c>
      <c r="H2882" s="14">
        <f>IF(F2882&lt;&gt;"","待处理","")</f>
        <v/>
      </c>
    </row>
    <row r="2883">
      <c r="A2883" s="14">
        <f>IF(F2883&lt;&gt;"","ISSUE-"&amp;TEXT(ROW()-1,"00000"),"")</f>
        <v/>
      </c>
      <c r="B2883" s="14">
        <f>IF(F2883&lt;&gt;"","错误","")</f>
        <v/>
      </c>
      <c r="C2883" s="14">
        <f>IF('07_动态状态'!A383&lt;&gt;"","07_动态状态","")</f>
        <v/>
      </c>
      <c r="D2883" s="14">
        <f>IF('07_动态状态'!A383&lt;&gt;"",'07_动态状态'!A383,"")</f>
        <v/>
      </c>
      <c r="E2883" s="14">
        <f>IF(F2883&lt;&gt;"","综合校验","")</f>
        <v/>
      </c>
      <c r="F2883" s="14">
        <f>IF('07_动态状态'!A383&lt;&gt;"",IF('07_动态状态'!A383="","缺少状态编码；","")&amp;IF('07_动态状态'!B383="","缺少状态名称；","")&amp;IF('07_动态状态'!C383="","缺少状态类别；","")&amp;IF(AND('07_动态状态'!A383&lt;&gt;"",COUNTIF('07_动态状态'!$A$2:$A$501,'07_动态状态'!A383)&gt;1),"ID重复；",""),"")</f>
        <v/>
      </c>
      <c r="G2883" s="14">
        <f>IF(F2883&lt;&gt;"","按字段批注、数据字典和来源记录修正后复核","")</f>
        <v/>
      </c>
      <c r="H2883" s="14">
        <f>IF(F2883&lt;&gt;"","待处理","")</f>
        <v/>
      </c>
    </row>
    <row r="2884">
      <c r="A2884" s="14">
        <f>IF(F2884&lt;&gt;"","ISSUE-"&amp;TEXT(ROW()-1,"00000"),"")</f>
        <v/>
      </c>
      <c r="B2884" s="14">
        <f>IF(F2884&lt;&gt;"","错误","")</f>
        <v/>
      </c>
      <c r="C2884" s="14">
        <f>IF('07_动态状态'!A384&lt;&gt;"","07_动态状态","")</f>
        <v/>
      </c>
      <c r="D2884" s="14">
        <f>IF('07_动态状态'!A384&lt;&gt;"",'07_动态状态'!A384,"")</f>
        <v/>
      </c>
      <c r="E2884" s="14">
        <f>IF(F2884&lt;&gt;"","综合校验","")</f>
        <v/>
      </c>
      <c r="F2884" s="14">
        <f>IF('07_动态状态'!A384&lt;&gt;"",IF('07_动态状态'!A384="","缺少状态编码；","")&amp;IF('07_动态状态'!B384="","缺少状态名称；","")&amp;IF('07_动态状态'!C384="","缺少状态类别；","")&amp;IF(AND('07_动态状态'!A384&lt;&gt;"",COUNTIF('07_动态状态'!$A$2:$A$501,'07_动态状态'!A384)&gt;1),"ID重复；",""),"")</f>
        <v/>
      </c>
      <c r="G2884" s="14">
        <f>IF(F2884&lt;&gt;"","按字段批注、数据字典和来源记录修正后复核","")</f>
        <v/>
      </c>
      <c r="H2884" s="14">
        <f>IF(F2884&lt;&gt;"","待处理","")</f>
        <v/>
      </c>
    </row>
    <row r="2885">
      <c r="A2885" s="14">
        <f>IF(F2885&lt;&gt;"","ISSUE-"&amp;TEXT(ROW()-1,"00000"),"")</f>
        <v/>
      </c>
      <c r="B2885" s="14">
        <f>IF(F2885&lt;&gt;"","错误","")</f>
        <v/>
      </c>
      <c r="C2885" s="14">
        <f>IF('07_动态状态'!A385&lt;&gt;"","07_动态状态","")</f>
        <v/>
      </c>
      <c r="D2885" s="14">
        <f>IF('07_动态状态'!A385&lt;&gt;"",'07_动态状态'!A385,"")</f>
        <v/>
      </c>
      <c r="E2885" s="14">
        <f>IF(F2885&lt;&gt;"","综合校验","")</f>
        <v/>
      </c>
      <c r="F2885" s="14">
        <f>IF('07_动态状态'!A385&lt;&gt;"",IF('07_动态状态'!A385="","缺少状态编码；","")&amp;IF('07_动态状态'!B385="","缺少状态名称；","")&amp;IF('07_动态状态'!C385="","缺少状态类别；","")&amp;IF(AND('07_动态状态'!A385&lt;&gt;"",COUNTIF('07_动态状态'!$A$2:$A$501,'07_动态状态'!A385)&gt;1),"ID重复；",""),"")</f>
        <v/>
      </c>
      <c r="G2885" s="14">
        <f>IF(F2885&lt;&gt;"","按字段批注、数据字典和来源记录修正后复核","")</f>
        <v/>
      </c>
      <c r="H2885" s="14">
        <f>IF(F2885&lt;&gt;"","待处理","")</f>
        <v/>
      </c>
    </row>
    <row r="2886">
      <c r="A2886" s="14">
        <f>IF(F2886&lt;&gt;"","ISSUE-"&amp;TEXT(ROW()-1,"00000"),"")</f>
        <v/>
      </c>
      <c r="B2886" s="14">
        <f>IF(F2886&lt;&gt;"","错误","")</f>
        <v/>
      </c>
      <c r="C2886" s="14">
        <f>IF('07_动态状态'!A386&lt;&gt;"","07_动态状态","")</f>
        <v/>
      </c>
      <c r="D2886" s="14">
        <f>IF('07_动态状态'!A386&lt;&gt;"",'07_动态状态'!A386,"")</f>
        <v/>
      </c>
      <c r="E2886" s="14">
        <f>IF(F2886&lt;&gt;"","综合校验","")</f>
        <v/>
      </c>
      <c r="F2886" s="14">
        <f>IF('07_动态状态'!A386&lt;&gt;"",IF('07_动态状态'!A386="","缺少状态编码；","")&amp;IF('07_动态状态'!B386="","缺少状态名称；","")&amp;IF('07_动态状态'!C386="","缺少状态类别；","")&amp;IF(AND('07_动态状态'!A386&lt;&gt;"",COUNTIF('07_动态状态'!$A$2:$A$501,'07_动态状态'!A386)&gt;1),"ID重复；",""),"")</f>
        <v/>
      </c>
      <c r="G2886" s="14">
        <f>IF(F2886&lt;&gt;"","按字段批注、数据字典和来源记录修正后复核","")</f>
        <v/>
      </c>
      <c r="H2886" s="14">
        <f>IF(F2886&lt;&gt;"","待处理","")</f>
        <v/>
      </c>
    </row>
    <row r="2887">
      <c r="A2887" s="14">
        <f>IF(F2887&lt;&gt;"","ISSUE-"&amp;TEXT(ROW()-1,"00000"),"")</f>
        <v/>
      </c>
      <c r="B2887" s="14">
        <f>IF(F2887&lt;&gt;"","错误","")</f>
        <v/>
      </c>
      <c r="C2887" s="14">
        <f>IF('07_动态状态'!A387&lt;&gt;"","07_动态状态","")</f>
        <v/>
      </c>
      <c r="D2887" s="14">
        <f>IF('07_动态状态'!A387&lt;&gt;"",'07_动态状态'!A387,"")</f>
        <v/>
      </c>
      <c r="E2887" s="14">
        <f>IF(F2887&lt;&gt;"","综合校验","")</f>
        <v/>
      </c>
      <c r="F2887" s="14">
        <f>IF('07_动态状态'!A387&lt;&gt;"",IF('07_动态状态'!A387="","缺少状态编码；","")&amp;IF('07_动态状态'!B387="","缺少状态名称；","")&amp;IF('07_动态状态'!C387="","缺少状态类别；","")&amp;IF(AND('07_动态状态'!A387&lt;&gt;"",COUNTIF('07_动态状态'!$A$2:$A$501,'07_动态状态'!A387)&gt;1),"ID重复；",""),"")</f>
        <v/>
      </c>
      <c r="G2887" s="14">
        <f>IF(F2887&lt;&gt;"","按字段批注、数据字典和来源记录修正后复核","")</f>
        <v/>
      </c>
      <c r="H2887" s="14">
        <f>IF(F2887&lt;&gt;"","待处理","")</f>
        <v/>
      </c>
    </row>
    <row r="2888">
      <c r="A2888" s="14">
        <f>IF(F2888&lt;&gt;"","ISSUE-"&amp;TEXT(ROW()-1,"00000"),"")</f>
        <v/>
      </c>
      <c r="B2888" s="14">
        <f>IF(F2888&lt;&gt;"","错误","")</f>
        <v/>
      </c>
      <c r="C2888" s="14">
        <f>IF('07_动态状态'!A388&lt;&gt;"","07_动态状态","")</f>
        <v/>
      </c>
      <c r="D2888" s="14">
        <f>IF('07_动态状态'!A388&lt;&gt;"",'07_动态状态'!A388,"")</f>
        <v/>
      </c>
      <c r="E2888" s="14">
        <f>IF(F2888&lt;&gt;"","综合校验","")</f>
        <v/>
      </c>
      <c r="F2888" s="14">
        <f>IF('07_动态状态'!A388&lt;&gt;"",IF('07_动态状态'!A388="","缺少状态编码；","")&amp;IF('07_动态状态'!B388="","缺少状态名称；","")&amp;IF('07_动态状态'!C388="","缺少状态类别；","")&amp;IF(AND('07_动态状态'!A388&lt;&gt;"",COUNTIF('07_动态状态'!$A$2:$A$501,'07_动态状态'!A388)&gt;1),"ID重复；",""),"")</f>
        <v/>
      </c>
      <c r="G2888" s="14">
        <f>IF(F2888&lt;&gt;"","按字段批注、数据字典和来源记录修正后复核","")</f>
        <v/>
      </c>
      <c r="H2888" s="14">
        <f>IF(F2888&lt;&gt;"","待处理","")</f>
        <v/>
      </c>
    </row>
    <row r="2889">
      <c r="A2889" s="14">
        <f>IF(F2889&lt;&gt;"","ISSUE-"&amp;TEXT(ROW()-1,"00000"),"")</f>
        <v/>
      </c>
      <c r="B2889" s="14">
        <f>IF(F2889&lt;&gt;"","错误","")</f>
        <v/>
      </c>
      <c r="C2889" s="14">
        <f>IF('07_动态状态'!A389&lt;&gt;"","07_动态状态","")</f>
        <v/>
      </c>
      <c r="D2889" s="14">
        <f>IF('07_动态状态'!A389&lt;&gt;"",'07_动态状态'!A389,"")</f>
        <v/>
      </c>
      <c r="E2889" s="14">
        <f>IF(F2889&lt;&gt;"","综合校验","")</f>
        <v/>
      </c>
      <c r="F2889" s="14">
        <f>IF('07_动态状态'!A389&lt;&gt;"",IF('07_动态状态'!A389="","缺少状态编码；","")&amp;IF('07_动态状态'!B389="","缺少状态名称；","")&amp;IF('07_动态状态'!C389="","缺少状态类别；","")&amp;IF(AND('07_动态状态'!A389&lt;&gt;"",COUNTIF('07_动态状态'!$A$2:$A$501,'07_动态状态'!A389)&gt;1),"ID重复；",""),"")</f>
        <v/>
      </c>
      <c r="G2889" s="14">
        <f>IF(F2889&lt;&gt;"","按字段批注、数据字典和来源记录修正后复核","")</f>
        <v/>
      </c>
      <c r="H2889" s="14">
        <f>IF(F2889&lt;&gt;"","待处理","")</f>
        <v/>
      </c>
    </row>
    <row r="2890">
      <c r="A2890" s="14">
        <f>IF(F2890&lt;&gt;"","ISSUE-"&amp;TEXT(ROW()-1,"00000"),"")</f>
        <v/>
      </c>
      <c r="B2890" s="14">
        <f>IF(F2890&lt;&gt;"","错误","")</f>
        <v/>
      </c>
      <c r="C2890" s="14">
        <f>IF('07_动态状态'!A390&lt;&gt;"","07_动态状态","")</f>
        <v/>
      </c>
      <c r="D2890" s="14">
        <f>IF('07_动态状态'!A390&lt;&gt;"",'07_动态状态'!A390,"")</f>
        <v/>
      </c>
      <c r="E2890" s="14">
        <f>IF(F2890&lt;&gt;"","综合校验","")</f>
        <v/>
      </c>
      <c r="F2890" s="14">
        <f>IF('07_动态状态'!A390&lt;&gt;"",IF('07_动态状态'!A390="","缺少状态编码；","")&amp;IF('07_动态状态'!B390="","缺少状态名称；","")&amp;IF('07_动态状态'!C390="","缺少状态类别；","")&amp;IF(AND('07_动态状态'!A390&lt;&gt;"",COUNTIF('07_动态状态'!$A$2:$A$501,'07_动态状态'!A390)&gt;1),"ID重复；",""),"")</f>
        <v/>
      </c>
      <c r="G2890" s="14">
        <f>IF(F2890&lt;&gt;"","按字段批注、数据字典和来源记录修正后复核","")</f>
        <v/>
      </c>
      <c r="H2890" s="14">
        <f>IF(F2890&lt;&gt;"","待处理","")</f>
        <v/>
      </c>
    </row>
    <row r="2891">
      <c r="A2891" s="14">
        <f>IF(F2891&lt;&gt;"","ISSUE-"&amp;TEXT(ROW()-1,"00000"),"")</f>
        <v/>
      </c>
      <c r="B2891" s="14">
        <f>IF(F2891&lt;&gt;"","错误","")</f>
        <v/>
      </c>
      <c r="C2891" s="14">
        <f>IF('07_动态状态'!A391&lt;&gt;"","07_动态状态","")</f>
        <v/>
      </c>
      <c r="D2891" s="14">
        <f>IF('07_动态状态'!A391&lt;&gt;"",'07_动态状态'!A391,"")</f>
        <v/>
      </c>
      <c r="E2891" s="14">
        <f>IF(F2891&lt;&gt;"","综合校验","")</f>
        <v/>
      </c>
      <c r="F2891" s="14">
        <f>IF('07_动态状态'!A391&lt;&gt;"",IF('07_动态状态'!A391="","缺少状态编码；","")&amp;IF('07_动态状态'!B391="","缺少状态名称；","")&amp;IF('07_动态状态'!C391="","缺少状态类别；","")&amp;IF(AND('07_动态状态'!A391&lt;&gt;"",COUNTIF('07_动态状态'!$A$2:$A$501,'07_动态状态'!A391)&gt;1),"ID重复；",""),"")</f>
        <v/>
      </c>
      <c r="G2891" s="14">
        <f>IF(F2891&lt;&gt;"","按字段批注、数据字典和来源记录修正后复核","")</f>
        <v/>
      </c>
      <c r="H2891" s="14">
        <f>IF(F2891&lt;&gt;"","待处理","")</f>
        <v/>
      </c>
    </row>
    <row r="2892">
      <c r="A2892" s="14">
        <f>IF(F2892&lt;&gt;"","ISSUE-"&amp;TEXT(ROW()-1,"00000"),"")</f>
        <v/>
      </c>
      <c r="B2892" s="14">
        <f>IF(F2892&lt;&gt;"","错误","")</f>
        <v/>
      </c>
      <c r="C2892" s="14">
        <f>IF('07_动态状态'!A392&lt;&gt;"","07_动态状态","")</f>
        <v/>
      </c>
      <c r="D2892" s="14">
        <f>IF('07_动态状态'!A392&lt;&gt;"",'07_动态状态'!A392,"")</f>
        <v/>
      </c>
      <c r="E2892" s="14">
        <f>IF(F2892&lt;&gt;"","综合校验","")</f>
        <v/>
      </c>
      <c r="F2892" s="14">
        <f>IF('07_动态状态'!A392&lt;&gt;"",IF('07_动态状态'!A392="","缺少状态编码；","")&amp;IF('07_动态状态'!B392="","缺少状态名称；","")&amp;IF('07_动态状态'!C392="","缺少状态类别；","")&amp;IF(AND('07_动态状态'!A392&lt;&gt;"",COUNTIF('07_动态状态'!$A$2:$A$501,'07_动态状态'!A392)&gt;1),"ID重复；",""),"")</f>
        <v/>
      </c>
      <c r="G2892" s="14">
        <f>IF(F2892&lt;&gt;"","按字段批注、数据字典和来源记录修正后复核","")</f>
        <v/>
      </c>
      <c r="H2892" s="14">
        <f>IF(F2892&lt;&gt;"","待处理","")</f>
        <v/>
      </c>
    </row>
    <row r="2893">
      <c r="A2893" s="14">
        <f>IF(F2893&lt;&gt;"","ISSUE-"&amp;TEXT(ROW()-1,"00000"),"")</f>
        <v/>
      </c>
      <c r="B2893" s="14">
        <f>IF(F2893&lt;&gt;"","错误","")</f>
        <v/>
      </c>
      <c r="C2893" s="14">
        <f>IF('07_动态状态'!A393&lt;&gt;"","07_动态状态","")</f>
        <v/>
      </c>
      <c r="D2893" s="14">
        <f>IF('07_动态状态'!A393&lt;&gt;"",'07_动态状态'!A393,"")</f>
        <v/>
      </c>
      <c r="E2893" s="14">
        <f>IF(F2893&lt;&gt;"","综合校验","")</f>
        <v/>
      </c>
      <c r="F2893" s="14">
        <f>IF('07_动态状态'!A393&lt;&gt;"",IF('07_动态状态'!A393="","缺少状态编码；","")&amp;IF('07_动态状态'!B393="","缺少状态名称；","")&amp;IF('07_动态状态'!C393="","缺少状态类别；","")&amp;IF(AND('07_动态状态'!A393&lt;&gt;"",COUNTIF('07_动态状态'!$A$2:$A$501,'07_动态状态'!A393)&gt;1),"ID重复；",""),"")</f>
        <v/>
      </c>
      <c r="G2893" s="14">
        <f>IF(F2893&lt;&gt;"","按字段批注、数据字典和来源记录修正后复核","")</f>
        <v/>
      </c>
      <c r="H2893" s="14">
        <f>IF(F2893&lt;&gt;"","待处理","")</f>
        <v/>
      </c>
    </row>
    <row r="2894">
      <c r="A2894" s="14">
        <f>IF(F2894&lt;&gt;"","ISSUE-"&amp;TEXT(ROW()-1,"00000"),"")</f>
        <v/>
      </c>
      <c r="B2894" s="14">
        <f>IF(F2894&lt;&gt;"","错误","")</f>
        <v/>
      </c>
      <c r="C2894" s="14">
        <f>IF('07_动态状态'!A394&lt;&gt;"","07_动态状态","")</f>
        <v/>
      </c>
      <c r="D2894" s="14">
        <f>IF('07_动态状态'!A394&lt;&gt;"",'07_动态状态'!A394,"")</f>
        <v/>
      </c>
      <c r="E2894" s="14">
        <f>IF(F2894&lt;&gt;"","综合校验","")</f>
        <v/>
      </c>
      <c r="F2894" s="14">
        <f>IF('07_动态状态'!A394&lt;&gt;"",IF('07_动态状态'!A394="","缺少状态编码；","")&amp;IF('07_动态状态'!B394="","缺少状态名称；","")&amp;IF('07_动态状态'!C394="","缺少状态类别；","")&amp;IF(AND('07_动态状态'!A394&lt;&gt;"",COUNTIF('07_动态状态'!$A$2:$A$501,'07_动态状态'!A394)&gt;1),"ID重复；",""),"")</f>
        <v/>
      </c>
      <c r="G2894" s="14">
        <f>IF(F2894&lt;&gt;"","按字段批注、数据字典和来源记录修正后复核","")</f>
        <v/>
      </c>
      <c r="H2894" s="14">
        <f>IF(F2894&lt;&gt;"","待处理","")</f>
        <v/>
      </c>
    </row>
    <row r="2895">
      <c r="A2895" s="14">
        <f>IF(F2895&lt;&gt;"","ISSUE-"&amp;TEXT(ROW()-1,"00000"),"")</f>
        <v/>
      </c>
      <c r="B2895" s="14">
        <f>IF(F2895&lt;&gt;"","错误","")</f>
        <v/>
      </c>
      <c r="C2895" s="14">
        <f>IF('07_动态状态'!A395&lt;&gt;"","07_动态状态","")</f>
        <v/>
      </c>
      <c r="D2895" s="14">
        <f>IF('07_动态状态'!A395&lt;&gt;"",'07_动态状态'!A395,"")</f>
        <v/>
      </c>
      <c r="E2895" s="14">
        <f>IF(F2895&lt;&gt;"","综合校验","")</f>
        <v/>
      </c>
      <c r="F2895" s="14">
        <f>IF('07_动态状态'!A395&lt;&gt;"",IF('07_动态状态'!A395="","缺少状态编码；","")&amp;IF('07_动态状态'!B395="","缺少状态名称；","")&amp;IF('07_动态状态'!C395="","缺少状态类别；","")&amp;IF(AND('07_动态状态'!A395&lt;&gt;"",COUNTIF('07_动态状态'!$A$2:$A$501,'07_动态状态'!A395)&gt;1),"ID重复；",""),"")</f>
        <v/>
      </c>
      <c r="G2895" s="14">
        <f>IF(F2895&lt;&gt;"","按字段批注、数据字典和来源记录修正后复核","")</f>
        <v/>
      </c>
      <c r="H2895" s="14">
        <f>IF(F2895&lt;&gt;"","待处理","")</f>
        <v/>
      </c>
    </row>
    <row r="2896">
      <c r="A2896" s="14">
        <f>IF(F2896&lt;&gt;"","ISSUE-"&amp;TEXT(ROW()-1,"00000"),"")</f>
        <v/>
      </c>
      <c r="B2896" s="14">
        <f>IF(F2896&lt;&gt;"","错误","")</f>
        <v/>
      </c>
      <c r="C2896" s="14">
        <f>IF('07_动态状态'!A396&lt;&gt;"","07_动态状态","")</f>
        <v/>
      </c>
      <c r="D2896" s="14">
        <f>IF('07_动态状态'!A396&lt;&gt;"",'07_动态状态'!A396,"")</f>
        <v/>
      </c>
      <c r="E2896" s="14">
        <f>IF(F2896&lt;&gt;"","综合校验","")</f>
        <v/>
      </c>
      <c r="F2896" s="14">
        <f>IF('07_动态状态'!A396&lt;&gt;"",IF('07_动态状态'!A396="","缺少状态编码；","")&amp;IF('07_动态状态'!B396="","缺少状态名称；","")&amp;IF('07_动态状态'!C396="","缺少状态类别；","")&amp;IF(AND('07_动态状态'!A396&lt;&gt;"",COUNTIF('07_动态状态'!$A$2:$A$501,'07_动态状态'!A396)&gt;1),"ID重复；",""),"")</f>
        <v/>
      </c>
      <c r="G2896" s="14">
        <f>IF(F2896&lt;&gt;"","按字段批注、数据字典和来源记录修正后复核","")</f>
        <v/>
      </c>
      <c r="H2896" s="14">
        <f>IF(F2896&lt;&gt;"","待处理","")</f>
        <v/>
      </c>
    </row>
    <row r="2897">
      <c r="A2897" s="14">
        <f>IF(F2897&lt;&gt;"","ISSUE-"&amp;TEXT(ROW()-1,"00000"),"")</f>
        <v/>
      </c>
      <c r="B2897" s="14">
        <f>IF(F2897&lt;&gt;"","错误","")</f>
        <v/>
      </c>
      <c r="C2897" s="14">
        <f>IF('07_动态状态'!A397&lt;&gt;"","07_动态状态","")</f>
        <v/>
      </c>
      <c r="D2897" s="14">
        <f>IF('07_动态状态'!A397&lt;&gt;"",'07_动态状态'!A397,"")</f>
        <v/>
      </c>
      <c r="E2897" s="14">
        <f>IF(F2897&lt;&gt;"","综合校验","")</f>
        <v/>
      </c>
      <c r="F2897" s="14">
        <f>IF('07_动态状态'!A397&lt;&gt;"",IF('07_动态状态'!A397="","缺少状态编码；","")&amp;IF('07_动态状态'!B397="","缺少状态名称；","")&amp;IF('07_动态状态'!C397="","缺少状态类别；","")&amp;IF(AND('07_动态状态'!A397&lt;&gt;"",COUNTIF('07_动态状态'!$A$2:$A$501,'07_动态状态'!A397)&gt;1),"ID重复；",""),"")</f>
        <v/>
      </c>
      <c r="G2897" s="14">
        <f>IF(F2897&lt;&gt;"","按字段批注、数据字典和来源记录修正后复核","")</f>
        <v/>
      </c>
      <c r="H2897" s="14">
        <f>IF(F2897&lt;&gt;"","待处理","")</f>
        <v/>
      </c>
    </row>
    <row r="2898">
      <c r="A2898" s="14">
        <f>IF(F2898&lt;&gt;"","ISSUE-"&amp;TEXT(ROW()-1,"00000"),"")</f>
        <v/>
      </c>
      <c r="B2898" s="14">
        <f>IF(F2898&lt;&gt;"","错误","")</f>
        <v/>
      </c>
      <c r="C2898" s="14">
        <f>IF('07_动态状态'!A398&lt;&gt;"","07_动态状态","")</f>
        <v/>
      </c>
      <c r="D2898" s="14">
        <f>IF('07_动态状态'!A398&lt;&gt;"",'07_动态状态'!A398,"")</f>
        <v/>
      </c>
      <c r="E2898" s="14">
        <f>IF(F2898&lt;&gt;"","综合校验","")</f>
        <v/>
      </c>
      <c r="F2898" s="14">
        <f>IF('07_动态状态'!A398&lt;&gt;"",IF('07_动态状态'!A398="","缺少状态编码；","")&amp;IF('07_动态状态'!B398="","缺少状态名称；","")&amp;IF('07_动态状态'!C398="","缺少状态类别；","")&amp;IF(AND('07_动态状态'!A398&lt;&gt;"",COUNTIF('07_动态状态'!$A$2:$A$501,'07_动态状态'!A398)&gt;1),"ID重复；",""),"")</f>
        <v/>
      </c>
      <c r="G2898" s="14">
        <f>IF(F2898&lt;&gt;"","按字段批注、数据字典和来源记录修正后复核","")</f>
        <v/>
      </c>
      <c r="H2898" s="14">
        <f>IF(F2898&lt;&gt;"","待处理","")</f>
        <v/>
      </c>
    </row>
    <row r="2899">
      <c r="A2899" s="14">
        <f>IF(F2899&lt;&gt;"","ISSUE-"&amp;TEXT(ROW()-1,"00000"),"")</f>
        <v/>
      </c>
      <c r="B2899" s="14">
        <f>IF(F2899&lt;&gt;"","错误","")</f>
        <v/>
      </c>
      <c r="C2899" s="14">
        <f>IF('07_动态状态'!A399&lt;&gt;"","07_动态状态","")</f>
        <v/>
      </c>
      <c r="D2899" s="14">
        <f>IF('07_动态状态'!A399&lt;&gt;"",'07_动态状态'!A399,"")</f>
        <v/>
      </c>
      <c r="E2899" s="14">
        <f>IF(F2899&lt;&gt;"","综合校验","")</f>
        <v/>
      </c>
      <c r="F2899" s="14">
        <f>IF('07_动态状态'!A399&lt;&gt;"",IF('07_动态状态'!A399="","缺少状态编码；","")&amp;IF('07_动态状态'!B399="","缺少状态名称；","")&amp;IF('07_动态状态'!C399="","缺少状态类别；","")&amp;IF(AND('07_动态状态'!A399&lt;&gt;"",COUNTIF('07_动态状态'!$A$2:$A$501,'07_动态状态'!A399)&gt;1),"ID重复；",""),"")</f>
        <v/>
      </c>
      <c r="G2899" s="14">
        <f>IF(F2899&lt;&gt;"","按字段批注、数据字典和来源记录修正后复核","")</f>
        <v/>
      </c>
      <c r="H2899" s="14">
        <f>IF(F2899&lt;&gt;"","待处理","")</f>
        <v/>
      </c>
    </row>
    <row r="2900">
      <c r="A2900" s="14">
        <f>IF(F2900&lt;&gt;"","ISSUE-"&amp;TEXT(ROW()-1,"00000"),"")</f>
        <v/>
      </c>
      <c r="B2900" s="14">
        <f>IF(F2900&lt;&gt;"","错误","")</f>
        <v/>
      </c>
      <c r="C2900" s="14">
        <f>IF('07_动态状态'!A400&lt;&gt;"","07_动态状态","")</f>
        <v/>
      </c>
      <c r="D2900" s="14">
        <f>IF('07_动态状态'!A400&lt;&gt;"",'07_动态状态'!A400,"")</f>
        <v/>
      </c>
      <c r="E2900" s="14">
        <f>IF(F2900&lt;&gt;"","综合校验","")</f>
        <v/>
      </c>
      <c r="F2900" s="14">
        <f>IF('07_动态状态'!A400&lt;&gt;"",IF('07_动态状态'!A400="","缺少状态编码；","")&amp;IF('07_动态状态'!B400="","缺少状态名称；","")&amp;IF('07_动态状态'!C400="","缺少状态类别；","")&amp;IF(AND('07_动态状态'!A400&lt;&gt;"",COUNTIF('07_动态状态'!$A$2:$A$501,'07_动态状态'!A400)&gt;1),"ID重复；",""),"")</f>
        <v/>
      </c>
      <c r="G2900" s="14">
        <f>IF(F2900&lt;&gt;"","按字段批注、数据字典和来源记录修正后复核","")</f>
        <v/>
      </c>
      <c r="H2900" s="14">
        <f>IF(F2900&lt;&gt;"","待处理","")</f>
        <v/>
      </c>
    </row>
    <row r="2901">
      <c r="A2901" s="14">
        <f>IF(F2901&lt;&gt;"","ISSUE-"&amp;TEXT(ROW()-1,"00000"),"")</f>
        <v/>
      </c>
      <c r="B2901" s="14">
        <f>IF(F2901&lt;&gt;"","错误","")</f>
        <v/>
      </c>
      <c r="C2901" s="14">
        <f>IF('07_动态状态'!A401&lt;&gt;"","07_动态状态","")</f>
        <v/>
      </c>
      <c r="D2901" s="14">
        <f>IF('07_动态状态'!A401&lt;&gt;"",'07_动态状态'!A401,"")</f>
        <v/>
      </c>
      <c r="E2901" s="14">
        <f>IF(F2901&lt;&gt;"","综合校验","")</f>
        <v/>
      </c>
      <c r="F2901" s="14">
        <f>IF('07_动态状态'!A401&lt;&gt;"",IF('07_动态状态'!A401="","缺少状态编码；","")&amp;IF('07_动态状态'!B401="","缺少状态名称；","")&amp;IF('07_动态状态'!C401="","缺少状态类别；","")&amp;IF(AND('07_动态状态'!A401&lt;&gt;"",COUNTIF('07_动态状态'!$A$2:$A$501,'07_动态状态'!A401)&gt;1),"ID重复；",""),"")</f>
        <v/>
      </c>
      <c r="G2901" s="14">
        <f>IF(F2901&lt;&gt;"","按字段批注、数据字典和来源记录修正后复核","")</f>
        <v/>
      </c>
      <c r="H2901" s="14">
        <f>IF(F2901&lt;&gt;"","待处理","")</f>
        <v/>
      </c>
    </row>
    <row r="2902">
      <c r="A2902" s="14">
        <f>IF(F2902&lt;&gt;"","ISSUE-"&amp;TEXT(ROW()-1,"00000"),"")</f>
        <v/>
      </c>
      <c r="B2902" s="14">
        <f>IF(F2902&lt;&gt;"","错误","")</f>
        <v/>
      </c>
      <c r="C2902" s="14">
        <f>IF('07_动态状态'!A402&lt;&gt;"","07_动态状态","")</f>
        <v/>
      </c>
      <c r="D2902" s="14">
        <f>IF('07_动态状态'!A402&lt;&gt;"",'07_动态状态'!A402,"")</f>
        <v/>
      </c>
      <c r="E2902" s="14">
        <f>IF(F2902&lt;&gt;"","综合校验","")</f>
        <v/>
      </c>
      <c r="F2902" s="14">
        <f>IF('07_动态状态'!A402&lt;&gt;"",IF('07_动态状态'!A402="","缺少状态编码；","")&amp;IF('07_动态状态'!B402="","缺少状态名称；","")&amp;IF('07_动态状态'!C402="","缺少状态类别；","")&amp;IF(AND('07_动态状态'!A402&lt;&gt;"",COUNTIF('07_动态状态'!$A$2:$A$501,'07_动态状态'!A402)&gt;1),"ID重复；",""),"")</f>
        <v/>
      </c>
      <c r="G2902" s="14">
        <f>IF(F2902&lt;&gt;"","按字段批注、数据字典和来源记录修正后复核","")</f>
        <v/>
      </c>
      <c r="H2902" s="14">
        <f>IF(F2902&lt;&gt;"","待处理","")</f>
        <v/>
      </c>
    </row>
    <row r="2903">
      <c r="A2903" s="14">
        <f>IF(F2903&lt;&gt;"","ISSUE-"&amp;TEXT(ROW()-1,"00000"),"")</f>
        <v/>
      </c>
      <c r="B2903" s="14">
        <f>IF(F2903&lt;&gt;"","错误","")</f>
        <v/>
      </c>
      <c r="C2903" s="14">
        <f>IF('07_动态状态'!A403&lt;&gt;"","07_动态状态","")</f>
        <v/>
      </c>
      <c r="D2903" s="14">
        <f>IF('07_动态状态'!A403&lt;&gt;"",'07_动态状态'!A403,"")</f>
        <v/>
      </c>
      <c r="E2903" s="14">
        <f>IF(F2903&lt;&gt;"","综合校验","")</f>
        <v/>
      </c>
      <c r="F2903" s="14">
        <f>IF('07_动态状态'!A403&lt;&gt;"",IF('07_动态状态'!A403="","缺少状态编码；","")&amp;IF('07_动态状态'!B403="","缺少状态名称；","")&amp;IF('07_动态状态'!C403="","缺少状态类别；","")&amp;IF(AND('07_动态状态'!A403&lt;&gt;"",COUNTIF('07_动态状态'!$A$2:$A$501,'07_动态状态'!A403)&gt;1),"ID重复；",""),"")</f>
        <v/>
      </c>
      <c r="G2903" s="14">
        <f>IF(F2903&lt;&gt;"","按字段批注、数据字典和来源记录修正后复核","")</f>
        <v/>
      </c>
      <c r="H2903" s="14">
        <f>IF(F2903&lt;&gt;"","待处理","")</f>
        <v/>
      </c>
    </row>
    <row r="2904">
      <c r="A2904" s="14">
        <f>IF(F2904&lt;&gt;"","ISSUE-"&amp;TEXT(ROW()-1,"00000"),"")</f>
        <v/>
      </c>
      <c r="B2904" s="14">
        <f>IF(F2904&lt;&gt;"","错误","")</f>
        <v/>
      </c>
      <c r="C2904" s="14">
        <f>IF('07_动态状态'!A404&lt;&gt;"","07_动态状态","")</f>
        <v/>
      </c>
      <c r="D2904" s="14">
        <f>IF('07_动态状态'!A404&lt;&gt;"",'07_动态状态'!A404,"")</f>
        <v/>
      </c>
      <c r="E2904" s="14">
        <f>IF(F2904&lt;&gt;"","综合校验","")</f>
        <v/>
      </c>
      <c r="F2904" s="14">
        <f>IF('07_动态状态'!A404&lt;&gt;"",IF('07_动态状态'!A404="","缺少状态编码；","")&amp;IF('07_动态状态'!B404="","缺少状态名称；","")&amp;IF('07_动态状态'!C404="","缺少状态类别；","")&amp;IF(AND('07_动态状态'!A404&lt;&gt;"",COUNTIF('07_动态状态'!$A$2:$A$501,'07_动态状态'!A404)&gt;1),"ID重复；",""),"")</f>
        <v/>
      </c>
      <c r="G2904" s="14">
        <f>IF(F2904&lt;&gt;"","按字段批注、数据字典和来源记录修正后复核","")</f>
        <v/>
      </c>
      <c r="H2904" s="14">
        <f>IF(F2904&lt;&gt;"","待处理","")</f>
        <v/>
      </c>
    </row>
    <row r="2905">
      <c r="A2905" s="14">
        <f>IF(F2905&lt;&gt;"","ISSUE-"&amp;TEXT(ROW()-1,"00000"),"")</f>
        <v/>
      </c>
      <c r="B2905" s="14">
        <f>IF(F2905&lt;&gt;"","错误","")</f>
        <v/>
      </c>
      <c r="C2905" s="14">
        <f>IF('07_动态状态'!A405&lt;&gt;"","07_动态状态","")</f>
        <v/>
      </c>
      <c r="D2905" s="14">
        <f>IF('07_动态状态'!A405&lt;&gt;"",'07_动态状态'!A405,"")</f>
        <v/>
      </c>
      <c r="E2905" s="14">
        <f>IF(F2905&lt;&gt;"","综合校验","")</f>
        <v/>
      </c>
      <c r="F2905" s="14">
        <f>IF('07_动态状态'!A405&lt;&gt;"",IF('07_动态状态'!A405="","缺少状态编码；","")&amp;IF('07_动态状态'!B405="","缺少状态名称；","")&amp;IF('07_动态状态'!C405="","缺少状态类别；","")&amp;IF(AND('07_动态状态'!A405&lt;&gt;"",COUNTIF('07_动态状态'!$A$2:$A$501,'07_动态状态'!A405)&gt;1),"ID重复；",""),"")</f>
        <v/>
      </c>
      <c r="G2905" s="14">
        <f>IF(F2905&lt;&gt;"","按字段批注、数据字典和来源记录修正后复核","")</f>
        <v/>
      </c>
      <c r="H2905" s="14">
        <f>IF(F2905&lt;&gt;"","待处理","")</f>
        <v/>
      </c>
    </row>
    <row r="2906">
      <c r="A2906" s="14">
        <f>IF(F2906&lt;&gt;"","ISSUE-"&amp;TEXT(ROW()-1,"00000"),"")</f>
        <v/>
      </c>
      <c r="B2906" s="14">
        <f>IF(F2906&lt;&gt;"","错误","")</f>
        <v/>
      </c>
      <c r="C2906" s="14">
        <f>IF('07_动态状态'!A406&lt;&gt;"","07_动态状态","")</f>
        <v/>
      </c>
      <c r="D2906" s="14">
        <f>IF('07_动态状态'!A406&lt;&gt;"",'07_动态状态'!A406,"")</f>
        <v/>
      </c>
      <c r="E2906" s="14">
        <f>IF(F2906&lt;&gt;"","综合校验","")</f>
        <v/>
      </c>
      <c r="F2906" s="14">
        <f>IF('07_动态状态'!A406&lt;&gt;"",IF('07_动态状态'!A406="","缺少状态编码；","")&amp;IF('07_动态状态'!B406="","缺少状态名称；","")&amp;IF('07_动态状态'!C406="","缺少状态类别；","")&amp;IF(AND('07_动态状态'!A406&lt;&gt;"",COUNTIF('07_动态状态'!$A$2:$A$501,'07_动态状态'!A406)&gt;1),"ID重复；",""),"")</f>
        <v/>
      </c>
      <c r="G2906" s="14">
        <f>IF(F2906&lt;&gt;"","按字段批注、数据字典和来源记录修正后复核","")</f>
        <v/>
      </c>
      <c r="H2906" s="14">
        <f>IF(F2906&lt;&gt;"","待处理","")</f>
        <v/>
      </c>
    </row>
    <row r="2907">
      <c r="A2907" s="14">
        <f>IF(F2907&lt;&gt;"","ISSUE-"&amp;TEXT(ROW()-1,"00000"),"")</f>
        <v/>
      </c>
      <c r="B2907" s="14">
        <f>IF(F2907&lt;&gt;"","错误","")</f>
        <v/>
      </c>
      <c r="C2907" s="14">
        <f>IF('07_动态状态'!A407&lt;&gt;"","07_动态状态","")</f>
        <v/>
      </c>
      <c r="D2907" s="14">
        <f>IF('07_动态状态'!A407&lt;&gt;"",'07_动态状态'!A407,"")</f>
        <v/>
      </c>
      <c r="E2907" s="14">
        <f>IF(F2907&lt;&gt;"","综合校验","")</f>
        <v/>
      </c>
      <c r="F2907" s="14">
        <f>IF('07_动态状态'!A407&lt;&gt;"",IF('07_动态状态'!A407="","缺少状态编码；","")&amp;IF('07_动态状态'!B407="","缺少状态名称；","")&amp;IF('07_动态状态'!C407="","缺少状态类别；","")&amp;IF(AND('07_动态状态'!A407&lt;&gt;"",COUNTIF('07_动态状态'!$A$2:$A$501,'07_动态状态'!A407)&gt;1),"ID重复；",""),"")</f>
        <v/>
      </c>
      <c r="G2907" s="14">
        <f>IF(F2907&lt;&gt;"","按字段批注、数据字典和来源记录修正后复核","")</f>
        <v/>
      </c>
      <c r="H2907" s="14">
        <f>IF(F2907&lt;&gt;"","待处理","")</f>
        <v/>
      </c>
    </row>
    <row r="2908">
      <c r="A2908" s="14">
        <f>IF(F2908&lt;&gt;"","ISSUE-"&amp;TEXT(ROW()-1,"00000"),"")</f>
        <v/>
      </c>
      <c r="B2908" s="14">
        <f>IF(F2908&lt;&gt;"","错误","")</f>
        <v/>
      </c>
      <c r="C2908" s="14">
        <f>IF('07_动态状态'!A408&lt;&gt;"","07_动态状态","")</f>
        <v/>
      </c>
      <c r="D2908" s="14">
        <f>IF('07_动态状态'!A408&lt;&gt;"",'07_动态状态'!A408,"")</f>
        <v/>
      </c>
      <c r="E2908" s="14">
        <f>IF(F2908&lt;&gt;"","综合校验","")</f>
        <v/>
      </c>
      <c r="F2908" s="14">
        <f>IF('07_动态状态'!A408&lt;&gt;"",IF('07_动态状态'!A408="","缺少状态编码；","")&amp;IF('07_动态状态'!B408="","缺少状态名称；","")&amp;IF('07_动态状态'!C408="","缺少状态类别；","")&amp;IF(AND('07_动态状态'!A408&lt;&gt;"",COUNTIF('07_动态状态'!$A$2:$A$501,'07_动态状态'!A408)&gt;1),"ID重复；",""),"")</f>
        <v/>
      </c>
      <c r="G2908" s="14">
        <f>IF(F2908&lt;&gt;"","按字段批注、数据字典和来源记录修正后复核","")</f>
        <v/>
      </c>
      <c r="H2908" s="14">
        <f>IF(F2908&lt;&gt;"","待处理","")</f>
        <v/>
      </c>
    </row>
    <row r="2909">
      <c r="A2909" s="14">
        <f>IF(F2909&lt;&gt;"","ISSUE-"&amp;TEXT(ROW()-1,"00000"),"")</f>
        <v/>
      </c>
      <c r="B2909" s="14">
        <f>IF(F2909&lt;&gt;"","错误","")</f>
        <v/>
      </c>
      <c r="C2909" s="14">
        <f>IF('07_动态状态'!A409&lt;&gt;"","07_动态状态","")</f>
        <v/>
      </c>
      <c r="D2909" s="14">
        <f>IF('07_动态状态'!A409&lt;&gt;"",'07_动态状态'!A409,"")</f>
        <v/>
      </c>
      <c r="E2909" s="14">
        <f>IF(F2909&lt;&gt;"","综合校验","")</f>
        <v/>
      </c>
      <c r="F2909" s="14">
        <f>IF('07_动态状态'!A409&lt;&gt;"",IF('07_动态状态'!A409="","缺少状态编码；","")&amp;IF('07_动态状态'!B409="","缺少状态名称；","")&amp;IF('07_动态状态'!C409="","缺少状态类别；","")&amp;IF(AND('07_动态状态'!A409&lt;&gt;"",COUNTIF('07_动态状态'!$A$2:$A$501,'07_动态状态'!A409)&gt;1),"ID重复；",""),"")</f>
        <v/>
      </c>
      <c r="G2909" s="14">
        <f>IF(F2909&lt;&gt;"","按字段批注、数据字典和来源记录修正后复核","")</f>
        <v/>
      </c>
      <c r="H2909" s="14">
        <f>IF(F2909&lt;&gt;"","待处理","")</f>
        <v/>
      </c>
    </row>
    <row r="2910">
      <c r="A2910" s="14">
        <f>IF(F2910&lt;&gt;"","ISSUE-"&amp;TEXT(ROW()-1,"00000"),"")</f>
        <v/>
      </c>
      <c r="B2910" s="14">
        <f>IF(F2910&lt;&gt;"","错误","")</f>
        <v/>
      </c>
      <c r="C2910" s="14">
        <f>IF('07_动态状态'!A410&lt;&gt;"","07_动态状态","")</f>
        <v/>
      </c>
      <c r="D2910" s="14">
        <f>IF('07_动态状态'!A410&lt;&gt;"",'07_动态状态'!A410,"")</f>
        <v/>
      </c>
      <c r="E2910" s="14">
        <f>IF(F2910&lt;&gt;"","综合校验","")</f>
        <v/>
      </c>
      <c r="F2910" s="14">
        <f>IF('07_动态状态'!A410&lt;&gt;"",IF('07_动态状态'!A410="","缺少状态编码；","")&amp;IF('07_动态状态'!B410="","缺少状态名称；","")&amp;IF('07_动态状态'!C410="","缺少状态类别；","")&amp;IF(AND('07_动态状态'!A410&lt;&gt;"",COUNTIF('07_动态状态'!$A$2:$A$501,'07_动态状态'!A410)&gt;1),"ID重复；",""),"")</f>
        <v/>
      </c>
      <c r="G2910" s="14">
        <f>IF(F2910&lt;&gt;"","按字段批注、数据字典和来源记录修正后复核","")</f>
        <v/>
      </c>
      <c r="H2910" s="14">
        <f>IF(F2910&lt;&gt;"","待处理","")</f>
        <v/>
      </c>
    </row>
    <row r="2911">
      <c r="A2911" s="14">
        <f>IF(F2911&lt;&gt;"","ISSUE-"&amp;TEXT(ROW()-1,"00000"),"")</f>
        <v/>
      </c>
      <c r="B2911" s="14">
        <f>IF(F2911&lt;&gt;"","错误","")</f>
        <v/>
      </c>
      <c r="C2911" s="14">
        <f>IF('07_动态状态'!A411&lt;&gt;"","07_动态状态","")</f>
        <v/>
      </c>
      <c r="D2911" s="14">
        <f>IF('07_动态状态'!A411&lt;&gt;"",'07_动态状态'!A411,"")</f>
        <v/>
      </c>
      <c r="E2911" s="14">
        <f>IF(F2911&lt;&gt;"","综合校验","")</f>
        <v/>
      </c>
      <c r="F2911" s="14">
        <f>IF('07_动态状态'!A411&lt;&gt;"",IF('07_动态状态'!A411="","缺少状态编码；","")&amp;IF('07_动态状态'!B411="","缺少状态名称；","")&amp;IF('07_动态状态'!C411="","缺少状态类别；","")&amp;IF(AND('07_动态状态'!A411&lt;&gt;"",COUNTIF('07_动态状态'!$A$2:$A$501,'07_动态状态'!A411)&gt;1),"ID重复；",""),"")</f>
        <v/>
      </c>
      <c r="G2911" s="14">
        <f>IF(F2911&lt;&gt;"","按字段批注、数据字典和来源记录修正后复核","")</f>
        <v/>
      </c>
      <c r="H2911" s="14">
        <f>IF(F2911&lt;&gt;"","待处理","")</f>
        <v/>
      </c>
    </row>
    <row r="2912">
      <c r="A2912" s="14">
        <f>IF(F2912&lt;&gt;"","ISSUE-"&amp;TEXT(ROW()-1,"00000"),"")</f>
        <v/>
      </c>
      <c r="B2912" s="14">
        <f>IF(F2912&lt;&gt;"","错误","")</f>
        <v/>
      </c>
      <c r="C2912" s="14">
        <f>IF('07_动态状态'!A412&lt;&gt;"","07_动态状态","")</f>
        <v/>
      </c>
      <c r="D2912" s="14">
        <f>IF('07_动态状态'!A412&lt;&gt;"",'07_动态状态'!A412,"")</f>
        <v/>
      </c>
      <c r="E2912" s="14">
        <f>IF(F2912&lt;&gt;"","综合校验","")</f>
        <v/>
      </c>
      <c r="F2912" s="14">
        <f>IF('07_动态状态'!A412&lt;&gt;"",IF('07_动态状态'!A412="","缺少状态编码；","")&amp;IF('07_动态状态'!B412="","缺少状态名称；","")&amp;IF('07_动态状态'!C412="","缺少状态类别；","")&amp;IF(AND('07_动态状态'!A412&lt;&gt;"",COUNTIF('07_动态状态'!$A$2:$A$501,'07_动态状态'!A412)&gt;1),"ID重复；",""),"")</f>
        <v/>
      </c>
      <c r="G2912" s="14">
        <f>IF(F2912&lt;&gt;"","按字段批注、数据字典和来源记录修正后复核","")</f>
        <v/>
      </c>
      <c r="H2912" s="14">
        <f>IF(F2912&lt;&gt;"","待处理","")</f>
        <v/>
      </c>
    </row>
    <row r="2913">
      <c r="A2913" s="14">
        <f>IF(F2913&lt;&gt;"","ISSUE-"&amp;TEXT(ROW()-1,"00000"),"")</f>
        <v/>
      </c>
      <c r="B2913" s="14">
        <f>IF(F2913&lt;&gt;"","错误","")</f>
        <v/>
      </c>
      <c r="C2913" s="14">
        <f>IF('07_动态状态'!A413&lt;&gt;"","07_动态状态","")</f>
        <v/>
      </c>
      <c r="D2913" s="14">
        <f>IF('07_动态状态'!A413&lt;&gt;"",'07_动态状态'!A413,"")</f>
        <v/>
      </c>
      <c r="E2913" s="14">
        <f>IF(F2913&lt;&gt;"","综合校验","")</f>
        <v/>
      </c>
      <c r="F2913" s="14">
        <f>IF('07_动态状态'!A413&lt;&gt;"",IF('07_动态状态'!A413="","缺少状态编码；","")&amp;IF('07_动态状态'!B413="","缺少状态名称；","")&amp;IF('07_动态状态'!C413="","缺少状态类别；","")&amp;IF(AND('07_动态状态'!A413&lt;&gt;"",COUNTIF('07_动态状态'!$A$2:$A$501,'07_动态状态'!A413)&gt;1),"ID重复；",""),"")</f>
        <v/>
      </c>
      <c r="G2913" s="14">
        <f>IF(F2913&lt;&gt;"","按字段批注、数据字典和来源记录修正后复核","")</f>
        <v/>
      </c>
      <c r="H2913" s="14">
        <f>IF(F2913&lt;&gt;"","待处理","")</f>
        <v/>
      </c>
    </row>
    <row r="2914">
      <c r="A2914" s="14">
        <f>IF(F2914&lt;&gt;"","ISSUE-"&amp;TEXT(ROW()-1,"00000"),"")</f>
        <v/>
      </c>
      <c r="B2914" s="14">
        <f>IF(F2914&lt;&gt;"","错误","")</f>
        <v/>
      </c>
      <c r="C2914" s="14">
        <f>IF('07_动态状态'!A414&lt;&gt;"","07_动态状态","")</f>
        <v/>
      </c>
      <c r="D2914" s="14">
        <f>IF('07_动态状态'!A414&lt;&gt;"",'07_动态状态'!A414,"")</f>
        <v/>
      </c>
      <c r="E2914" s="14">
        <f>IF(F2914&lt;&gt;"","综合校验","")</f>
        <v/>
      </c>
      <c r="F2914" s="14">
        <f>IF('07_动态状态'!A414&lt;&gt;"",IF('07_动态状态'!A414="","缺少状态编码；","")&amp;IF('07_动态状态'!B414="","缺少状态名称；","")&amp;IF('07_动态状态'!C414="","缺少状态类别；","")&amp;IF(AND('07_动态状态'!A414&lt;&gt;"",COUNTIF('07_动态状态'!$A$2:$A$501,'07_动态状态'!A414)&gt;1),"ID重复；",""),"")</f>
        <v/>
      </c>
      <c r="G2914" s="14">
        <f>IF(F2914&lt;&gt;"","按字段批注、数据字典和来源记录修正后复核","")</f>
        <v/>
      </c>
      <c r="H2914" s="14">
        <f>IF(F2914&lt;&gt;"","待处理","")</f>
        <v/>
      </c>
    </row>
    <row r="2915">
      <c r="A2915" s="14">
        <f>IF(F2915&lt;&gt;"","ISSUE-"&amp;TEXT(ROW()-1,"00000"),"")</f>
        <v/>
      </c>
      <c r="B2915" s="14">
        <f>IF(F2915&lt;&gt;"","错误","")</f>
        <v/>
      </c>
      <c r="C2915" s="14">
        <f>IF('07_动态状态'!A415&lt;&gt;"","07_动态状态","")</f>
        <v/>
      </c>
      <c r="D2915" s="14">
        <f>IF('07_动态状态'!A415&lt;&gt;"",'07_动态状态'!A415,"")</f>
        <v/>
      </c>
      <c r="E2915" s="14">
        <f>IF(F2915&lt;&gt;"","综合校验","")</f>
        <v/>
      </c>
      <c r="F2915" s="14">
        <f>IF('07_动态状态'!A415&lt;&gt;"",IF('07_动态状态'!A415="","缺少状态编码；","")&amp;IF('07_动态状态'!B415="","缺少状态名称；","")&amp;IF('07_动态状态'!C415="","缺少状态类别；","")&amp;IF(AND('07_动态状态'!A415&lt;&gt;"",COUNTIF('07_动态状态'!$A$2:$A$501,'07_动态状态'!A415)&gt;1),"ID重复；",""),"")</f>
        <v/>
      </c>
      <c r="G2915" s="14">
        <f>IF(F2915&lt;&gt;"","按字段批注、数据字典和来源记录修正后复核","")</f>
        <v/>
      </c>
      <c r="H2915" s="14">
        <f>IF(F2915&lt;&gt;"","待处理","")</f>
        <v/>
      </c>
    </row>
    <row r="2916">
      <c r="A2916" s="14">
        <f>IF(F2916&lt;&gt;"","ISSUE-"&amp;TEXT(ROW()-1,"00000"),"")</f>
        <v/>
      </c>
      <c r="B2916" s="14">
        <f>IF(F2916&lt;&gt;"","错误","")</f>
        <v/>
      </c>
      <c r="C2916" s="14">
        <f>IF('07_动态状态'!A416&lt;&gt;"","07_动态状态","")</f>
        <v/>
      </c>
      <c r="D2916" s="14">
        <f>IF('07_动态状态'!A416&lt;&gt;"",'07_动态状态'!A416,"")</f>
        <v/>
      </c>
      <c r="E2916" s="14">
        <f>IF(F2916&lt;&gt;"","综合校验","")</f>
        <v/>
      </c>
      <c r="F2916" s="14">
        <f>IF('07_动态状态'!A416&lt;&gt;"",IF('07_动态状态'!A416="","缺少状态编码；","")&amp;IF('07_动态状态'!B416="","缺少状态名称；","")&amp;IF('07_动态状态'!C416="","缺少状态类别；","")&amp;IF(AND('07_动态状态'!A416&lt;&gt;"",COUNTIF('07_动态状态'!$A$2:$A$501,'07_动态状态'!A416)&gt;1),"ID重复；",""),"")</f>
        <v/>
      </c>
      <c r="G2916" s="14">
        <f>IF(F2916&lt;&gt;"","按字段批注、数据字典和来源记录修正后复核","")</f>
        <v/>
      </c>
      <c r="H2916" s="14">
        <f>IF(F2916&lt;&gt;"","待处理","")</f>
        <v/>
      </c>
    </row>
    <row r="2917">
      <c r="A2917" s="14">
        <f>IF(F2917&lt;&gt;"","ISSUE-"&amp;TEXT(ROW()-1,"00000"),"")</f>
        <v/>
      </c>
      <c r="B2917" s="14">
        <f>IF(F2917&lt;&gt;"","错误","")</f>
        <v/>
      </c>
      <c r="C2917" s="14">
        <f>IF('07_动态状态'!A417&lt;&gt;"","07_动态状态","")</f>
        <v/>
      </c>
      <c r="D2917" s="14">
        <f>IF('07_动态状态'!A417&lt;&gt;"",'07_动态状态'!A417,"")</f>
        <v/>
      </c>
      <c r="E2917" s="14">
        <f>IF(F2917&lt;&gt;"","综合校验","")</f>
        <v/>
      </c>
      <c r="F2917" s="14">
        <f>IF('07_动态状态'!A417&lt;&gt;"",IF('07_动态状态'!A417="","缺少状态编码；","")&amp;IF('07_动态状态'!B417="","缺少状态名称；","")&amp;IF('07_动态状态'!C417="","缺少状态类别；","")&amp;IF(AND('07_动态状态'!A417&lt;&gt;"",COUNTIF('07_动态状态'!$A$2:$A$501,'07_动态状态'!A417)&gt;1),"ID重复；",""),"")</f>
        <v/>
      </c>
      <c r="G2917" s="14">
        <f>IF(F2917&lt;&gt;"","按字段批注、数据字典和来源记录修正后复核","")</f>
        <v/>
      </c>
      <c r="H2917" s="14">
        <f>IF(F2917&lt;&gt;"","待处理","")</f>
        <v/>
      </c>
    </row>
    <row r="2918">
      <c r="A2918" s="14">
        <f>IF(F2918&lt;&gt;"","ISSUE-"&amp;TEXT(ROW()-1,"00000"),"")</f>
        <v/>
      </c>
      <c r="B2918" s="14">
        <f>IF(F2918&lt;&gt;"","错误","")</f>
        <v/>
      </c>
      <c r="C2918" s="14">
        <f>IF('07_动态状态'!A418&lt;&gt;"","07_动态状态","")</f>
        <v/>
      </c>
      <c r="D2918" s="14">
        <f>IF('07_动态状态'!A418&lt;&gt;"",'07_动态状态'!A418,"")</f>
        <v/>
      </c>
      <c r="E2918" s="14">
        <f>IF(F2918&lt;&gt;"","综合校验","")</f>
        <v/>
      </c>
      <c r="F2918" s="14">
        <f>IF('07_动态状态'!A418&lt;&gt;"",IF('07_动态状态'!A418="","缺少状态编码；","")&amp;IF('07_动态状态'!B418="","缺少状态名称；","")&amp;IF('07_动态状态'!C418="","缺少状态类别；","")&amp;IF(AND('07_动态状态'!A418&lt;&gt;"",COUNTIF('07_动态状态'!$A$2:$A$501,'07_动态状态'!A418)&gt;1),"ID重复；",""),"")</f>
        <v/>
      </c>
      <c r="G2918" s="14">
        <f>IF(F2918&lt;&gt;"","按字段批注、数据字典和来源记录修正后复核","")</f>
        <v/>
      </c>
      <c r="H2918" s="14">
        <f>IF(F2918&lt;&gt;"","待处理","")</f>
        <v/>
      </c>
    </row>
    <row r="2919">
      <c r="A2919" s="14">
        <f>IF(F2919&lt;&gt;"","ISSUE-"&amp;TEXT(ROW()-1,"00000"),"")</f>
        <v/>
      </c>
      <c r="B2919" s="14">
        <f>IF(F2919&lt;&gt;"","错误","")</f>
        <v/>
      </c>
      <c r="C2919" s="14">
        <f>IF('07_动态状态'!A419&lt;&gt;"","07_动态状态","")</f>
        <v/>
      </c>
      <c r="D2919" s="14">
        <f>IF('07_动态状态'!A419&lt;&gt;"",'07_动态状态'!A419,"")</f>
        <v/>
      </c>
      <c r="E2919" s="14">
        <f>IF(F2919&lt;&gt;"","综合校验","")</f>
        <v/>
      </c>
      <c r="F2919" s="14">
        <f>IF('07_动态状态'!A419&lt;&gt;"",IF('07_动态状态'!A419="","缺少状态编码；","")&amp;IF('07_动态状态'!B419="","缺少状态名称；","")&amp;IF('07_动态状态'!C419="","缺少状态类别；","")&amp;IF(AND('07_动态状态'!A419&lt;&gt;"",COUNTIF('07_动态状态'!$A$2:$A$501,'07_动态状态'!A419)&gt;1),"ID重复；",""),"")</f>
        <v/>
      </c>
      <c r="G2919" s="14">
        <f>IF(F2919&lt;&gt;"","按字段批注、数据字典和来源记录修正后复核","")</f>
        <v/>
      </c>
      <c r="H2919" s="14">
        <f>IF(F2919&lt;&gt;"","待处理","")</f>
        <v/>
      </c>
    </row>
    <row r="2920">
      <c r="A2920" s="14">
        <f>IF(F2920&lt;&gt;"","ISSUE-"&amp;TEXT(ROW()-1,"00000"),"")</f>
        <v/>
      </c>
      <c r="B2920" s="14">
        <f>IF(F2920&lt;&gt;"","错误","")</f>
        <v/>
      </c>
      <c r="C2920" s="14">
        <f>IF('07_动态状态'!A420&lt;&gt;"","07_动态状态","")</f>
        <v/>
      </c>
      <c r="D2920" s="14">
        <f>IF('07_动态状态'!A420&lt;&gt;"",'07_动态状态'!A420,"")</f>
        <v/>
      </c>
      <c r="E2920" s="14">
        <f>IF(F2920&lt;&gt;"","综合校验","")</f>
        <v/>
      </c>
      <c r="F2920" s="14">
        <f>IF('07_动态状态'!A420&lt;&gt;"",IF('07_动态状态'!A420="","缺少状态编码；","")&amp;IF('07_动态状态'!B420="","缺少状态名称；","")&amp;IF('07_动态状态'!C420="","缺少状态类别；","")&amp;IF(AND('07_动态状态'!A420&lt;&gt;"",COUNTIF('07_动态状态'!$A$2:$A$501,'07_动态状态'!A420)&gt;1),"ID重复；",""),"")</f>
        <v/>
      </c>
      <c r="G2920" s="14">
        <f>IF(F2920&lt;&gt;"","按字段批注、数据字典和来源记录修正后复核","")</f>
        <v/>
      </c>
      <c r="H2920" s="14">
        <f>IF(F2920&lt;&gt;"","待处理","")</f>
        <v/>
      </c>
    </row>
    <row r="2921">
      <c r="A2921" s="14">
        <f>IF(F2921&lt;&gt;"","ISSUE-"&amp;TEXT(ROW()-1,"00000"),"")</f>
        <v/>
      </c>
      <c r="B2921" s="14">
        <f>IF(F2921&lt;&gt;"","错误","")</f>
        <v/>
      </c>
      <c r="C2921" s="14">
        <f>IF('07_动态状态'!A421&lt;&gt;"","07_动态状态","")</f>
        <v/>
      </c>
      <c r="D2921" s="14">
        <f>IF('07_动态状态'!A421&lt;&gt;"",'07_动态状态'!A421,"")</f>
        <v/>
      </c>
      <c r="E2921" s="14">
        <f>IF(F2921&lt;&gt;"","综合校验","")</f>
        <v/>
      </c>
      <c r="F2921" s="14">
        <f>IF('07_动态状态'!A421&lt;&gt;"",IF('07_动态状态'!A421="","缺少状态编码；","")&amp;IF('07_动态状态'!B421="","缺少状态名称；","")&amp;IF('07_动态状态'!C421="","缺少状态类别；","")&amp;IF(AND('07_动态状态'!A421&lt;&gt;"",COUNTIF('07_动态状态'!$A$2:$A$501,'07_动态状态'!A421)&gt;1),"ID重复；",""),"")</f>
        <v/>
      </c>
      <c r="G2921" s="14">
        <f>IF(F2921&lt;&gt;"","按字段批注、数据字典和来源记录修正后复核","")</f>
        <v/>
      </c>
      <c r="H2921" s="14">
        <f>IF(F2921&lt;&gt;"","待处理","")</f>
        <v/>
      </c>
    </row>
    <row r="2922">
      <c r="A2922" s="14">
        <f>IF(F2922&lt;&gt;"","ISSUE-"&amp;TEXT(ROW()-1,"00000"),"")</f>
        <v/>
      </c>
      <c r="B2922" s="14">
        <f>IF(F2922&lt;&gt;"","错误","")</f>
        <v/>
      </c>
      <c r="C2922" s="14">
        <f>IF('07_动态状态'!A422&lt;&gt;"","07_动态状态","")</f>
        <v/>
      </c>
      <c r="D2922" s="14">
        <f>IF('07_动态状态'!A422&lt;&gt;"",'07_动态状态'!A422,"")</f>
        <v/>
      </c>
      <c r="E2922" s="14">
        <f>IF(F2922&lt;&gt;"","综合校验","")</f>
        <v/>
      </c>
      <c r="F2922" s="14">
        <f>IF('07_动态状态'!A422&lt;&gt;"",IF('07_动态状态'!A422="","缺少状态编码；","")&amp;IF('07_动态状态'!B422="","缺少状态名称；","")&amp;IF('07_动态状态'!C422="","缺少状态类别；","")&amp;IF(AND('07_动态状态'!A422&lt;&gt;"",COUNTIF('07_动态状态'!$A$2:$A$501,'07_动态状态'!A422)&gt;1),"ID重复；",""),"")</f>
        <v/>
      </c>
      <c r="G2922" s="14">
        <f>IF(F2922&lt;&gt;"","按字段批注、数据字典和来源记录修正后复核","")</f>
        <v/>
      </c>
      <c r="H2922" s="14">
        <f>IF(F2922&lt;&gt;"","待处理","")</f>
        <v/>
      </c>
    </row>
    <row r="2923">
      <c r="A2923" s="14">
        <f>IF(F2923&lt;&gt;"","ISSUE-"&amp;TEXT(ROW()-1,"00000"),"")</f>
        <v/>
      </c>
      <c r="B2923" s="14">
        <f>IF(F2923&lt;&gt;"","错误","")</f>
        <v/>
      </c>
      <c r="C2923" s="14">
        <f>IF('07_动态状态'!A423&lt;&gt;"","07_动态状态","")</f>
        <v/>
      </c>
      <c r="D2923" s="14">
        <f>IF('07_动态状态'!A423&lt;&gt;"",'07_动态状态'!A423,"")</f>
        <v/>
      </c>
      <c r="E2923" s="14">
        <f>IF(F2923&lt;&gt;"","综合校验","")</f>
        <v/>
      </c>
      <c r="F2923" s="14">
        <f>IF('07_动态状态'!A423&lt;&gt;"",IF('07_动态状态'!A423="","缺少状态编码；","")&amp;IF('07_动态状态'!B423="","缺少状态名称；","")&amp;IF('07_动态状态'!C423="","缺少状态类别；","")&amp;IF(AND('07_动态状态'!A423&lt;&gt;"",COUNTIF('07_动态状态'!$A$2:$A$501,'07_动态状态'!A423)&gt;1),"ID重复；",""),"")</f>
        <v/>
      </c>
      <c r="G2923" s="14">
        <f>IF(F2923&lt;&gt;"","按字段批注、数据字典和来源记录修正后复核","")</f>
        <v/>
      </c>
      <c r="H2923" s="14">
        <f>IF(F2923&lt;&gt;"","待处理","")</f>
        <v/>
      </c>
    </row>
    <row r="2924">
      <c r="A2924" s="14">
        <f>IF(F2924&lt;&gt;"","ISSUE-"&amp;TEXT(ROW()-1,"00000"),"")</f>
        <v/>
      </c>
      <c r="B2924" s="14">
        <f>IF(F2924&lt;&gt;"","错误","")</f>
        <v/>
      </c>
      <c r="C2924" s="14">
        <f>IF('07_动态状态'!A424&lt;&gt;"","07_动态状态","")</f>
        <v/>
      </c>
      <c r="D2924" s="14">
        <f>IF('07_动态状态'!A424&lt;&gt;"",'07_动态状态'!A424,"")</f>
        <v/>
      </c>
      <c r="E2924" s="14">
        <f>IF(F2924&lt;&gt;"","综合校验","")</f>
        <v/>
      </c>
      <c r="F2924" s="14">
        <f>IF('07_动态状态'!A424&lt;&gt;"",IF('07_动态状态'!A424="","缺少状态编码；","")&amp;IF('07_动态状态'!B424="","缺少状态名称；","")&amp;IF('07_动态状态'!C424="","缺少状态类别；","")&amp;IF(AND('07_动态状态'!A424&lt;&gt;"",COUNTIF('07_动态状态'!$A$2:$A$501,'07_动态状态'!A424)&gt;1),"ID重复；",""),"")</f>
        <v/>
      </c>
      <c r="G2924" s="14">
        <f>IF(F2924&lt;&gt;"","按字段批注、数据字典和来源记录修正后复核","")</f>
        <v/>
      </c>
      <c r="H2924" s="14">
        <f>IF(F2924&lt;&gt;"","待处理","")</f>
        <v/>
      </c>
    </row>
    <row r="2925">
      <c r="A2925" s="14">
        <f>IF(F2925&lt;&gt;"","ISSUE-"&amp;TEXT(ROW()-1,"00000"),"")</f>
        <v/>
      </c>
      <c r="B2925" s="14">
        <f>IF(F2925&lt;&gt;"","错误","")</f>
        <v/>
      </c>
      <c r="C2925" s="14">
        <f>IF('07_动态状态'!A425&lt;&gt;"","07_动态状态","")</f>
        <v/>
      </c>
      <c r="D2925" s="14">
        <f>IF('07_动态状态'!A425&lt;&gt;"",'07_动态状态'!A425,"")</f>
        <v/>
      </c>
      <c r="E2925" s="14">
        <f>IF(F2925&lt;&gt;"","综合校验","")</f>
        <v/>
      </c>
      <c r="F2925" s="14">
        <f>IF('07_动态状态'!A425&lt;&gt;"",IF('07_动态状态'!A425="","缺少状态编码；","")&amp;IF('07_动态状态'!B425="","缺少状态名称；","")&amp;IF('07_动态状态'!C425="","缺少状态类别；","")&amp;IF(AND('07_动态状态'!A425&lt;&gt;"",COUNTIF('07_动态状态'!$A$2:$A$501,'07_动态状态'!A425)&gt;1),"ID重复；",""),"")</f>
        <v/>
      </c>
      <c r="G2925" s="14">
        <f>IF(F2925&lt;&gt;"","按字段批注、数据字典和来源记录修正后复核","")</f>
        <v/>
      </c>
      <c r="H2925" s="14">
        <f>IF(F2925&lt;&gt;"","待处理","")</f>
        <v/>
      </c>
    </row>
    <row r="2926">
      <c r="A2926" s="14">
        <f>IF(F2926&lt;&gt;"","ISSUE-"&amp;TEXT(ROW()-1,"00000"),"")</f>
        <v/>
      </c>
      <c r="B2926" s="14">
        <f>IF(F2926&lt;&gt;"","错误","")</f>
        <v/>
      </c>
      <c r="C2926" s="14">
        <f>IF('07_动态状态'!A426&lt;&gt;"","07_动态状态","")</f>
        <v/>
      </c>
      <c r="D2926" s="14">
        <f>IF('07_动态状态'!A426&lt;&gt;"",'07_动态状态'!A426,"")</f>
        <v/>
      </c>
      <c r="E2926" s="14">
        <f>IF(F2926&lt;&gt;"","综合校验","")</f>
        <v/>
      </c>
      <c r="F2926" s="14">
        <f>IF('07_动态状态'!A426&lt;&gt;"",IF('07_动态状态'!A426="","缺少状态编码；","")&amp;IF('07_动态状态'!B426="","缺少状态名称；","")&amp;IF('07_动态状态'!C426="","缺少状态类别；","")&amp;IF(AND('07_动态状态'!A426&lt;&gt;"",COUNTIF('07_动态状态'!$A$2:$A$501,'07_动态状态'!A426)&gt;1),"ID重复；",""),"")</f>
        <v/>
      </c>
      <c r="G2926" s="14">
        <f>IF(F2926&lt;&gt;"","按字段批注、数据字典和来源记录修正后复核","")</f>
        <v/>
      </c>
      <c r="H2926" s="14">
        <f>IF(F2926&lt;&gt;"","待处理","")</f>
        <v/>
      </c>
    </row>
    <row r="2927">
      <c r="A2927" s="14">
        <f>IF(F2927&lt;&gt;"","ISSUE-"&amp;TEXT(ROW()-1,"00000"),"")</f>
        <v/>
      </c>
      <c r="B2927" s="14">
        <f>IF(F2927&lt;&gt;"","错误","")</f>
        <v/>
      </c>
      <c r="C2927" s="14">
        <f>IF('07_动态状态'!A427&lt;&gt;"","07_动态状态","")</f>
        <v/>
      </c>
      <c r="D2927" s="14">
        <f>IF('07_动态状态'!A427&lt;&gt;"",'07_动态状态'!A427,"")</f>
        <v/>
      </c>
      <c r="E2927" s="14">
        <f>IF(F2927&lt;&gt;"","综合校验","")</f>
        <v/>
      </c>
      <c r="F2927" s="14">
        <f>IF('07_动态状态'!A427&lt;&gt;"",IF('07_动态状态'!A427="","缺少状态编码；","")&amp;IF('07_动态状态'!B427="","缺少状态名称；","")&amp;IF('07_动态状态'!C427="","缺少状态类别；","")&amp;IF(AND('07_动态状态'!A427&lt;&gt;"",COUNTIF('07_动态状态'!$A$2:$A$501,'07_动态状态'!A427)&gt;1),"ID重复；",""),"")</f>
        <v/>
      </c>
      <c r="G2927" s="14">
        <f>IF(F2927&lt;&gt;"","按字段批注、数据字典和来源记录修正后复核","")</f>
        <v/>
      </c>
      <c r="H2927" s="14">
        <f>IF(F2927&lt;&gt;"","待处理","")</f>
        <v/>
      </c>
    </row>
    <row r="2928">
      <c r="A2928" s="14">
        <f>IF(F2928&lt;&gt;"","ISSUE-"&amp;TEXT(ROW()-1,"00000"),"")</f>
        <v/>
      </c>
      <c r="B2928" s="14">
        <f>IF(F2928&lt;&gt;"","错误","")</f>
        <v/>
      </c>
      <c r="C2928" s="14">
        <f>IF('07_动态状态'!A428&lt;&gt;"","07_动态状态","")</f>
        <v/>
      </c>
      <c r="D2928" s="14">
        <f>IF('07_动态状态'!A428&lt;&gt;"",'07_动态状态'!A428,"")</f>
        <v/>
      </c>
      <c r="E2928" s="14">
        <f>IF(F2928&lt;&gt;"","综合校验","")</f>
        <v/>
      </c>
      <c r="F2928" s="14">
        <f>IF('07_动态状态'!A428&lt;&gt;"",IF('07_动态状态'!A428="","缺少状态编码；","")&amp;IF('07_动态状态'!B428="","缺少状态名称；","")&amp;IF('07_动态状态'!C428="","缺少状态类别；","")&amp;IF(AND('07_动态状态'!A428&lt;&gt;"",COUNTIF('07_动态状态'!$A$2:$A$501,'07_动态状态'!A428)&gt;1),"ID重复；",""),"")</f>
        <v/>
      </c>
      <c r="G2928" s="14">
        <f>IF(F2928&lt;&gt;"","按字段批注、数据字典和来源记录修正后复核","")</f>
        <v/>
      </c>
      <c r="H2928" s="14">
        <f>IF(F2928&lt;&gt;"","待处理","")</f>
        <v/>
      </c>
    </row>
    <row r="2929">
      <c r="A2929" s="14">
        <f>IF(F2929&lt;&gt;"","ISSUE-"&amp;TEXT(ROW()-1,"00000"),"")</f>
        <v/>
      </c>
      <c r="B2929" s="14">
        <f>IF(F2929&lt;&gt;"","错误","")</f>
        <v/>
      </c>
      <c r="C2929" s="14">
        <f>IF('07_动态状态'!A429&lt;&gt;"","07_动态状态","")</f>
        <v/>
      </c>
      <c r="D2929" s="14">
        <f>IF('07_动态状态'!A429&lt;&gt;"",'07_动态状态'!A429,"")</f>
        <v/>
      </c>
      <c r="E2929" s="14">
        <f>IF(F2929&lt;&gt;"","综合校验","")</f>
        <v/>
      </c>
      <c r="F2929" s="14">
        <f>IF('07_动态状态'!A429&lt;&gt;"",IF('07_动态状态'!A429="","缺少状态编码；","")&amp;IF('07_动态状态'!B429="","缺少状态名称；","")&amp;IF('07_动态状态'!C429="","缺少状态类别；","")&amp;IF(AND('07_动态状态'!A429&lt;&gt;"",COUNTIF('07_动态状态'!$A$2:$A$501,'07_动态状态'!A429)&gt;1),"ID重复；",""),"")</f>
        <v/>
      </c>
      <c r="G2929" s="14">
        <f>IF(F2929&lt;&gt;"","按字段批注、数据字典和来源记录修正后复核","")</f>
        <v/>
      </c>
      <c r="H2929" s="14">
        <f>IF(F2929&lt;&gt;"","待处理","")</f>
        <v/>
      </c>
    </row>
    <row r="2930">
      <c r="A2930" s="14">
        <f>IF(F2930&lt;&gt;"","ISSUE-"&amp;TEXT(ROW()-1,"00000"),"")</f>
        <v/>
      </c>
      <c r="B2930" s="14">
        <f>IF(F2930&lt;&gt;"","错误","")</f>
        <v/>
      </c>
      <c r="C2930" s="14">
        <f>IF('07_动态状态'!A430&lt;&gt;"","07_动态状态","")</f>
        <v/>
      </c>
      <c r="D2930" s="14">
        <f>IF('07_动态状态'!A430&lt;&gt;"",'07_动态状态'!A430,"")</f>
        <v/>
      </c>
      <c r="E2930" s="14">
        <f>IF(F2930&lt;&gt;"","综合校验","")</f>
        <v/>
      </c>
      <c r="F2930" s="14">
        <f>IF('07_动态状态'!A430&lt;&gt;"",IF('07_动态状态'!A430="","缺少状态编码；","")&amp;IF('07_动态状态'!B430="","缺少状态名称；","")&amp;IF('07_动态状态'!C430="","缺少状态类别；","")&amp;IF(AND('07_动态状态'!A430&lt;&gt;"",COUNTIF('07_动态状态'!$A$2:$A$501,'07_动态状态'!A430)&gt;1),"ID重复；",""),"")</f>
        <v/>
      </c>
      <c r="G2930" s="14">
        <f>IF(F2930&lt;&gt;"","按字段批注、数据字典和来源记录修正后复核","")</f>
        <v/>
      </c>
      <c r="H2930" s="14">
        <f>IF(F2930&lt;&gt;"","待处理","")</f>
        <v/>
      </c>
    </row>
    <row r="2931">
      <c r="A2931" s="14">
        <f>IF(F2931&lt;&gt;"","ISSUE-"&amp;TEXT(ROW()-1,"00000"),"")</f>
        <v/>
      </c>
      <c r="B2931" s="14">
        <f>IF(F2931&lt;&gt;"","错误","")</f>
        <v/>
      </c>
      <c r="C2931" s="14">
        <f>IF('07_动态状态'!A431&lt;&gt;"","07_动态状态","")</f>
        <v/>
      </c>
      <c r="D2931" s="14">
        <f>IF('07_动态状态'!A431&lt;&gt;"",'07_动态状态'!A431,"")</f>
        <v/>
      </c>
      <c r="E2931" s="14">
        <f>IF(F2931&lt;&gt;"","综合校验","")</f>
        <v/>
      </c>
      <c r="F2931" s="14">
        <f>IF('07_动态状态'!A431&lt;&gt;"",IF('07_动态状态'!A431="","缺少状态编码；","")&amp;IF('07_动态状态'!B431="","缺少状态名称；","")&amp;IF('07_动态状态'!C431="","缺少状态类别；","")&amp;IF(AND('07_动态状态'!A431&lt;&gt;"",COUNTIF('07_动态状态'!$A$2:$A$501,'07_动态状态'!A431)&gt;1),"ID重复；",""),"")</f>
        <v/>
      </c>
      <c r="G2931" s="14">
        <f>IF(F2931&lt;&gt;"","按字段批注、数据字典和来源记录修正后复核","")</f>
        <v/>
      </c>
      <c r="H2931" s="14">
        <f>IF(F2931&lt;&gt;"","待处理","")</f>
        <v/>
      </c>
    </row>
    <row r="2932">
      <c r="A2932" s="14">
        <f>IF(F2932&lt;&gt;"","ISSUE-"&amp;TEXT(ROW()-1,"00000"),"")</f>
        <v/>
      </c>
      <c r="B2932" s="14">
        <f>IF(F2932&lt;&gt;"","错误","")</f>
        <v/>
      </c>
      <c r="C2932" s="14">
        <f>IF('07_动态状态'!A432&lt;&gt;"","07_动态状态","")</f>
        <v/>
      </c>
      <c r="D2932" s="14">
        <f>IF('07_动态状态'!A432&lt;&gt;"",'07_动态状态'!A432,"")</f>
        <v/>
      </c>
      <c r="E2932" s="14">
        <f>IF(F2932&lt;&gt;"","综合校验","")</f>
        <v/>
      </c>
      <c r="F2932" s="14">
        <f>IF('07_动态状态'!A432&lt;&gt;"",IF('07_动态状态'!A432="","缺少状态编码；","")&amp;IF('07_动态状态'!B432="","缺少状态名称；","")&amp;IF('07_动态状态'!C432="","缺少状态类别；","")&amp;IF(AND('07_动态状态'!A432&lt;&gt;"",COUNTIF('07_动态状态'!$A$2:$A$501,'07_动态状态'!A432)&gt;1),"ID重复；",""),"")</f>
        <v/>
      </c>
      <c r="G2932" s="14">
        <f>IF(F2932&lt;&gt;"","按字段批注、数据字典和来源记录修正后复核","")</f>
        <v/>
      </c>
      <c r="H2932" s="14">
        <f>IF(F2932&lt;&gt;"","待处理","")</f>
        <v/>
      </c>
    </row>
    <row r="2933">
      <c r="A2933" s="14">
        <f>IF(F2933&lt;&gt;"","ISSUE-"&amp;TEXT(ROW()-1,"00000"),"")</f>
        <v/>
      </c>
      <c r="B2933" s="14">
        <f>IF(F2933&lt;&gt;"","错误","")</f>
        <v/>
      </c>
      <c r="C2933" s="14">
        <f>IF('07_动态状态'!A433&lt;&gt;"","07_动态状态","")</f>
        <v/>
      </c>
      <c r="D2933" s="14">
        <f>IF('07_动态状态'!A433&lt;&gt;"",'07_动态状态'!A433,"")</f>
        <v/>
      </c>
      <c r="E2933" s="14">
        <f>IF(F2933&lt;&gt;"","综合校验","")</f>
        <v/>
      </c>
      <c r="F2933" s="14">
        <f>IF('07_动态状态'!A433&lt;&gt;"",IF('07_动态状态'!A433="","缺少状态编码；","")&amp;IF('07_动态状态'!B433="","缺少状态名称；","")&amp;IF('07_动态状态'!C433="","缺少状态类别；","")&amp;IF(AND('07_动态状态'!A433&lt;&gt;"",COUNTIF('07_动态状态'!$A$2:$A$501,'07_动态状态'!A433)&gt;1),"ID重复；",""),"")</f>
        <v/>
      </c>
      <c r="G2933" s="14">
        <f>IF(F2933&lt;&gt;"","按字段批注、数据字典和来源记录修正后复核","")</f>
        <v/>
      </c>
      <c r="H2933" s="14">
        <f>IF(F2933&lt;&gt;"","待处理","")</f>
        <v/>
      </c>
    </row>
    <row r="2934">
      <c r="A2934" s="14">
        <f>IF(F2934&lt;&gt;"","ISSUE-"&amp;TEXT(ROW()-1,"00000"),"")</f>
        <v/>
      </c>
      <c r="B2934" s="14">
        <f>IF(F2934&lt;&gt;"","错误","")</f>
        <v/>
      </c>
      <c r="C2934" s="14">
        <f>IF('07_动态状态'!A434&lt;&gt;"","07_动态状态","")</f>
        <v/>
      </c>
      <c r="D2934" s="14">
        <f>IF('07_动态状态'!A434&lt;&gt;"",'07_动态状态'!A434,"")</f>
        <v/>
      </c>
      <c r="E2934" s="14">
        <f>IF(F2934&lt;&gt;"","综合校验","")</f>
        <v/>
      </c>
      <c r="F2934" s="14">
        <f>IF('07_动态状态'!A434&lt;&gt;"",IF('07_动态状态'!A434="","缺少状态编码；","")&amp;IF('07_动态状态'!B434="","缺少状态名称；","")&amp;IF('07_动态状态'!C434="","缺少状态类别；","")&amp;IF(AND('07_动态状态'!A434&lt;&gt;"",COUNTIF('07_动态状态'!$A$2:$A$501,'07_动态状态'!A434)&gt;1),"ID重复；",""),"")</f>
        <v/>
      </c>
      <c r="G2934" s="14">
        <f>IF(F2934&lt;&gt;"","按字段批注、数据字典和来源记录修正后复核","")</f>
        <v/>
      </c>
      <c r="H2934" s="14">
        <f>IF(F2934&lt;&gt;"","待处理","")</f>
        <v/>
      </c>
    </row>
    <row r="2935">
      <c r="A2935" s="14">
        <f>IF(F2935&lt;&gt;"","ISSUE-"&amp;TEXT(ROW()-1,"00000"),"")</f>
        <v/>
      </c>
      <c r="B2935" s="14">
        <f>IF(F2935&lt;&gt;"","错误","")</f>
        <v/>
      </c>
      <c r="C2935" s="14">
        <f>IF('07_动态状态'!A435&lt;&gt;"","07_动态状态","")</f>
        <v/>
      </c>
      <c r="D2935" s="14">
        <f>IF('07_动态状态'!A435&lt;&gt;"",'07_动态状态'!A435,"")</f>
        <v/>
      </c>
      <c r="E2935" s="14">
        <f>IF(F2935&lt;&gt;"","综合校验","")</f>
        <v/>
      </c>
      <c r="F2935" s="14">
        <f>IF('07_动态状态'!A435&lt;&gt;"",IF('07_动态状态'!A435="","缺少状态编码；","")&amp;IF('07_动态状态'!B435="","缺少状态名称；","")&amp;IF('07_动态状态'!C435="","缺少状态类别；","")&amp;IF(AND('07_动态状态'!A435&lt;&gt;"",COUNTIF('07_动态状态'!$A$2:$A$501,'07_动态状态'!A435)&gt;1),"ID重复；",""),"")</f>
        <v/>
      </c>
      <c r="G2935" s="14">
        <f>IF(F2935&lt;&gt;"","按字段批注、数据字典和来源记录修正后复核","")</f>
        <v/>
      </c>
      <c r="H2935" s="14">
        <f>IF(F2935&lt;&gt;"","待处理","")</f>
        <v/>
      </c>
    </row>
    <row r="2936">
      <c r="A2936" s="14">
        <f>IF(F2936&lt;&gt;"","ISSUE-"&amp;TEXT(ROW()-1,"00000"),"")</f>
        <v/>
      </c>
      <c r="B2936" s="14">
        <f>IF(F2936&lt;&gt;"","错误","")</f>
        <v/>
      </c>
      <c r="C2936" s="14">
        <f>IF('07_动态状态'!A436&lt;&gt;"","07_动态状态","")</f>
        <v/>
      </c>
      <c r="D2936" s="14">
        <f>IF('07_动态状态'!A436&lt;&gt;"",'07_动态状态'!A436,"")</f>
        <v/>
      </c>
      <c r="E2936" s="14">
        <f>IF(F2936&lt;&gt;"","综合校验","")</f>
        <v/>
      </c>
      <c r="F2936" s="14">
        <f>IF('07_动态状态'!A436&lt;&gt;"",IF('07_动态状态'!A436="","缺少状态编码；","")&amp;IF('07_动态状态'!B436="","缺少状态名称；","")&amp;IF('07_动态状态'!C436="","缺少状态类别；","")&amp;IF(AND('07_动态状态'!A436&lt;&gt;"",COUNTIF('07_动态状态'!$A$2:$A$501,'07_动态状态'!A436)&gt;1),"ID重复；",""),"")</f>
        <v/>
      </c>
      <c r="G2936" s="14">
        <f>IF(F2936&lt;&gt;"","按字段批注、数据字典和来源记录修正后复核","")</f>
        <v/>
      </c>
      <c r="H2936" s="14">
        <f>IF(F2936&lt;&gt;"","待处理","")</f>
        <v/>
      </c>
    </row>
    <row r="2937">
      <c r="A2937" s="14">
        <f>IF(F2937&lt;&gt;"","ISSUE-"&amp;TEXT(ROW()-1,"00000"),"")</f>
        <v/>
      </c>
      <c r="B2937" s="14">
        <f>IF(F2937&lt;&gt;"","错误","")</f>
        <v/>
      </c>
      <c r="C2937" s="14">
        <f>IF('07_动态状态'!A437&lt;&gt;"","07_动态状态","")</f>
        <v/>
      </c>
      <c r="D2937" s="14">
        <f>IF('07_动态状态'!A437&lt;&gt;"",'07_动态状态'!A437,"")</f>
        <v/>
      </c>
      <c r="E2937" s="14">
        <f>IF(F2937&lt;&gt;"","综合校验","")</f>
        <v/>
      </c>
      <c r="F2937" s="14">
        <f>IF('07_动态状态'!A437&lt;&gt;"",IF('07_动态状态'!A437="","缺少状态编码；","")&amp;IF('07_动态状态'!B437="","缺少状态名称；","")&amp;IF('07_动态状态'!C437="","缺少状态类别；","")&amp;IF(AND('07_动态状态'!A437&lt;&gt;"",COUNTIF('07_动态状态'!$A$2:$A$501,'07_动态状态'!A437)&gt;1),"ID重复；",""),"")</f>
        <v/>
      </c>
      <c r="G2937" s="14">
        <f>IF(F2937&lt;&gt;"","按字段批注、数据字典和来源记录修正后复核","")</f>
        <v/>
      </c>
      <c r="H2937" s="14">
        <f>IF(F2937&lt;&gt;"","待处理","")</f>
        <v/>
      </c>
    </row>
    <row r="2938">
      <c r="A2938" s="14">
        <f>IF(F2938&lt;&gt;"","ISSUE-"&amp;TEXT(ROW()-1,"00000"),"")</f>
        <v/>
      </c>
      <c r="B2938" s="14">
        <f>IF(F2938&lt;&gt;"","错误","")</f>
        <v/>
      </c>
      <c r="C2938" s="14">
        <f>IF('07_动态状态'!A438&lt;&gt;"","07_动态状态","")</f>
        <v/>
      </c>
      <c r="D2938" s="14">
        <f>IF('07_动态状态'!A438&lt;&gt;"",'07_动态状态'!A438,"")</f>
        <v/>
      </c>
      <c r="E2938" s="14">
        <f>IF(F2938&lt;&gt;"","综合校验","")</f>
        <v/>
      </c>
      <c r="F2938" s="14">
        <f>IF('07_动态状态'!A438&lt;&gt;"",IF('07_动态状态'!A438="","缺少状态编码；","")&amp;IF('07_动态状态'!B438="","缺少状态名称；","")&amp;IF('07_动态状态'!C438="","缺少状态类别；","")&amp;IF(AND('07_动态状态'!A438&lt;&gt;"",COUNTIF('07_动态状态'!$A$2:$A$501,'07_动态状态'!A438)&gt;1),"ID重复；",""),"")</f>
        <v/>
      </c>
      <c r="G2938" s="14">
        <f>IF(F2938&lt;&gt;"","按字段批注、数据字典和来源记录修正后复核","")</f>
        <v/>
      </c>
      <c r="H2938" s="14">
        <f>IF(F2938&lt;&gt;"","待处理","")</f>
        <v/>
      </c>
    </row>
    <row r="2939">
      <c r="A2939" s="14">
        <f>IF(F2939&lt;&gt;"","ISSUE-"&amp;TEXT(ROW()-1,"00000"),"")</f>
        <v/>
      </c>
      <c r="B2939" s="14">
        <f>IF(F2939&lt;&gt;"","错误","")</f>
        <v/>
      </c>
      <c r="C2939" s="14">
        <f>IF('07_动态状态'!A439&lt;&gt;"","07_动态状态","")</f>
        <v/>
      </c>
      <c r="D2939" s="14">
        <f>IF('07_动态状态'!A439&lt;&gt;"",'07_动态状态'!A439,"")</f>
        <v/>
      </c>
      <c r="E2939" s="14">
        <f>IF(F2939&lt;&gt;"","综合校验","")</f>
        <v/>
      </c>
      <c r="F2939" s="14">
        <f>IF('07_动态状态'!A439&lt;&gt;"",IF('07_动态状态'!A439="","缺少状态编码；","")&amp;IF('07_动态状态'!B439="","缺少状态名称；","")&amp;IF('07_动态状态'!C439="","缺少状态类别；","")&amp;IF(AND('07_动态状态'!A439&lt;&gt;"",COUNTIF('07_动态状态'!$A$2:$A$501,'07_动态状态'!A439)&gt;1),"ID重复；",""),"")</f>
        <v/>
      </c>
      <c r="G2939" s="14">
        <f>IF(F2939&lt;&gt;"","按字段批注、数据字典和来源记录修正后复核","")</f>
        <v/>
      </c>
      <c r="H2939" s="14">
        <f>IF(F2939&lt;&gt;"","待处理","")</f>
        <v/>
      </c>
    </row>
    <row r="2940">
      <c r="A2940" s="14">
        <f>IF(F2940&lt;&gt;"","ISSUE-"&amp;TEXT(ROW()-1,"00000"),"")</f>
        <v/>
      </c>
      <c r="B2940" s="14">
        <f>IF(F2940&lt;&gt;"","错误","")</f>
        <v/>
      </c>
      <c r="C2940" s="14">
        <f>IF('07_动态状态'!A440&lt;&gt;"","07_动态状态","")</f>
        <v/>
      </c>
      <c r="D2940" s="14">
        <f>IF('07_动态状态'!A440&lt;&gt;"",'07_动态状态'!A440,"")</f>
        <v/>
      </c>
      <c r="E2940" s="14">
        <f>IF(F2940&lt;&gt;"","综合校验","")</f>
        <v/>
      </c>
      <c r="F2940" s="14">
        <f>IF('07_动态状态'!A440&lt;&gt;"",IF('07_动态状态'!A440="","缺少状态编码；","")&amp;IF('07_动态状态'!B440="","缺少状态名称；","")&amp;IF('07_动态状态'!C440="","缺少状态类别；","")&amp;IF(AND('07_动态状态'!A440&lt;&gt;"",COUNTIF('07_动态状态'!$A$2:$A$501,'07_动态状态'!A440)&gt;1),"ID重复；",""),"")</f>
        <v/>
      </c>
      <c r="G2940" s="14">
        <f>IF(F2940&lt;&gt;"","按字段批注、数据字典和来源记录修正后复核","")</f>
        <v/>
      </c>
      <c r="H2940" s="14">
        <f>IF(F2940&lt;&gt;"","待处理","")</f>
        <v/>
      </c>
    </row>
    <row r="2941">
      <c r="A2941" s="14">
        <f>IF(F2941&lt;&gt;"","ISSUE-"&amp;TEXT(ROW()-1,"00000"),"")</f>
        <v/>
      </c>
      <c r="B2941" s="14">
        <f>IF(F2941&lt;&gt;"","错误","")</f>
        <v/>
      </c>
      <c r="C2941" s="14">
        <f>IF('07_动态状态'!A441&lt;&gt;"","07_动态状态","")</f>
        <v/>
      </c>
      <c r="D2941" s="14">
        <f>IF('07_动态状态'!A441&lt;&gt;"",'07_动态状态'!A441,"")</f>
        <v/>
      </c>
      <c r="E2941" s="14">
        <f>IF(F2941&lt;&gt;"","综合校验","")</f>
        <v/>
      </c>
      <c r="F2941" s="14">
        <f>IF('07_动态状态'!A441&lt;&gt;"",IF('07_动态状态'!A441="","缺少状态编码；","")&amp;IF('07_动态状态'!B441="","缺少状态名称；","")&amp;IF('07_动态状态'!C441="","缺少状态类别；","")&amp;IF(AND('07_动态状态'!A441&lt;&gt;"",COUNTIF('07_动态状态'!$A$2:$A$501,'07_动态状态'!A441)&gt;1),"ID重复；",""),"")</f>
        <v/>
      </c>
      <c r="G2941" s="14">
        <f>IF(F2941&lt;&gt;"","按字段批注、数据字典和来源记录修正后复核","")</f>
        <v/>
      </c>
      <c r="H2941" s="14">
        <f>IF(F2941&lt;&gt;"","待处理","")</f>
        <v/>
      </c>
    </row>
    <row r="2942">
      <c r="A2942" s="14">
        <f>IF(F2942&lt;&gt;"","ISSUE-"&amp;TEXT(ROW()-1,"00000"),"")</f>
        <v/>
      </c>
      <c r="B2942" s="14">
        <f>IF(F2942&lt;&gt;"","错误","")</f>
        <v/>
      </c>
      <c r="C2942" s="14">
        <f>IF('07_动态状态'!A442&lt;&gt;"","07_动态状态","")</f>
        <v/>
      </c>
      <c r="D2942" s="14">
        <f>IF('07_动态状态'!A442&lt;&gt;"",'07_动态状态'!A442,"")</f>
        <v/>
      </c>
      <c r="E2942" s="14">
        <f>IF(F2942&lt;&gt;"","综合校验","")</f>
        <v/>
      </c>
      <c r="F2942" s="14">
        <f>IF('07_动态状态'!A442&lt;&gt;"",IF('07_动态状态'!A442="","缺少状态编码；","")&amp;IF('07_动态状态'!B442="","缺少状态名称；","")&amp;IF('07_动态状态'!C442="","缺少状态类别；","")&amp;IF(AND('07_动态状态'!A442&lt;&gt;"",COUNTIF('07_动态状态'!$A$2:$A$501,'07_动态状态'!A442)&gt;1),"ID重复；",""),"")</f>
        <v/>
      </c>
      <c r="G2942" s="14">
        <f>IF(F2942&lt;&gt;"","按字段批注、数据字典和来源记录修正后复核","")</f>
        <v/>
      </c>
      <c r="H2942" s="14">
        <f>IF(F2942&lt;&gt;"","待处理","")</f>
        <v/>
      </c>
    </row>
    <row r="2943">
      <c r="A2943" s="14">
        <f>IF(F2943&lt;&gt;"","ISSUE-"&amp;TEXT(ROW()-1,"00000"),"")</f>
        <v/>
      </c>
      <c r="B2943" s="14">
        <f>IF(F2943&lt;&gt;"","错误","")</f>
        <v/>
      </c>
      <c r="C2943" s="14">
        <f>IF('07_动态状态'!A443&lt;&gt;"","07_动态状态","")</f>
        <v/>
      </c>
      <c r="D2943" s="14">
        <f>IF('07_动态状态'!A443&lt;&gt;"",'07_动态状态'!A443,"")</f>
        <v/>
      </c>
      <c r="E2943" s="14">
        <f>IF(F2943&lt;&gt;"","综合校验","")</f>
        <v/>
      </c>
      <c r="F2943" s="14">
        <f>IF('07_动态状态'!A443&lt;&gt;"",IF('07_动态状态'!A443="","缺少状态编码；","")&amp;IF('07_动态状态'!B443="","缺少状态名称；","")&amp;IF('07_动态状态'!C443="","缺少状态类别；","")&amp;IF(AND('07_动态状态'!A443&lt;&gt;"",COUNTIF('07_动态状态'!$A$2:$A$501,'07_动态状态'!A443)&gt;1),"ID重复；",""),"")</f>
        <v/>
      </c>
      <c r="G2943" s="14">
        <f>IF(F2943&lt;&gt;"","按字段批注、数据字典和来源记录修正后复核","")</f>
        <v/>
      </c>
      <c r="H2943" s="14">
        <f>IF(F2943&lt;&gt;"","待处理","")</f>
        <v/>
      </c>
    </row>
    <row r="2944">
      <c r="A2944" s="14">
        <f>IF(F2944&lt;&gt;"","ISSUE-"&amp;TEXT(ROW()-1,"00000"),"")</f>
        <v/>
      </c>
      <c r="B2944" s="14">
        <f>IF(F2944&lt;&gt;"","错误","")</f>
        <v/>
      </c>
      <c r="C2944" s="14">
        <f>IF('07_动态状态'!A444&lt;&gt;"","07_动态状态","")</f>
        <v/>
      </c>
      <c r="D2944" s="14">
        <f>IF('07_动态状态'!A444&lt;&gt;"",'07_动态状态'!A444,"")</f>
        <v/>
      </c>
      <c r="E2944" s="14">
        <f>IF(F2944&lt;&gt;"","综合校验","")</f>
        <v/>
      </c>
      <c r="F2944" s="14">
        <f>IF('07_动态状态'!A444&lt;&gt;"",IF('07_动态状态'!A444="","缺少状态编码；","")&amp;IF('07_动态状态'!B444="","缺少状态名称；","")&amp;IF('07_动态状态'!C444="","缺少状态类别；","")&amp;IF(AND('07_动态状态'!A444&lt;&gt;"",COUNTIF('07_动态状态'!$A$2:$A$501,'07_动态状态'!A444)&gt;1),"ID重复；",""),"")</f>
        <v/>
      </c>
      <c r="G2944" s="14">
        <f>IF(F2944&lt;&gt;"","按字段批注、数据字典和来源记录修正后复核","")</f>
        <v/>
      </c>
      <c r="H2944" s="14">
        <f>IF(F2944&lt;&gt;"","待处理","")</f>
        <v/>
      </c>
    </row>
    <row r="2945">
      <c r="A2945" s="14">
        <f>IF(F2945&lt;&gt;"","ISSUE-"&amp;TEXT(ROW()-1,"00000"),"")</f>
        <v/>
      </c>
      <c r="B2945" s="14">
        <f>IF(F2945&lt;&gt;"","错误","")</f>
        <v/>
      </c>
      <c r="C2945" s="14">
        <f>IF('07_动态状态'!A445&lt;&gt;"","07_动态状态","")</f>
        <v/>
      </c>
      <c r="D2945" s="14">
        <f>IF('07_动态状态'!A445&lt;&gt;"",'07_动态状态'!A445,"")</f>
        <v/>
      </c>
      <c r="E2945" s="14">
        <f>IF(F2945&lt;&gt;"","综合校验","")</f>
        <v/>
      </c>
      <c r="F2945" s="14">
        <f>IF('07_动态状态'!A445&lt;&gt;"",IF('07_动态状态'!A445="","缺少状态编码；","")&amp;IF('07_动态状态'!B445="","缺少状态名称；","")&amp;IF('07_动态状态'!C445="","缺少状态类别；","")&amp;IF(AND('07_动态状态'!A445&lt;&gt;"",COUNTIF('07_动态状态'!$A$2:$A$501,'07_动态状态'!A445)&gt;1),"ID重复；",""),"")</f>
        <v/>
      </c>
      <c r="G2945" s="14">
        <f>IF(F2945&lt;&gt;"","按字段批注、数据字典和来源记录修正后复核","")</f>
        <v/>
      </c>
      <c r="H2945" s="14">
        <f>IF(F2945&lt;&gt;"","待处理","")</f>
        <v/>
      </c>
    </row>
    <row r="2946">
      <c r="A2946" s="14">
        <f>IF(F2946&lt;&gt;"","ISSUE-"&amp;TEXT(ROW()-1,"00000"),"")</f>
        <v/>
      </c>
      <c r="B2946" s="14">
        <f>IF(F2946&lt;&gt;"","错误","")</f>
        <v/>
      </c>
      <c r="C2946" s="14">
        <f>IF('07_动态状态'!A446&lt;&gt;"","07_动态状态","")</f>
        <v/>
      </c>
      <c r="D2946" s="14">
        <f>IF('07_动态状态'!A446&lt;&gt;"",'07_动态状态'!A446,"")</f>
        <v/>
      </c>
      <c r="E2946" s="14">
        <f>IF(F2946&lt;&gt;"","综合校验","")</f>
        <v/>
      </c>
      <c r="F2946" s="14">
        <f>IF('07_动态状态'!A446&lt;&gt;"",IF('07_动态状态'!A446="","缺少状态编码；","")&amp;IF('07_动态状态'!B446="","缺少状态名称；","")&amp;IF('07_动态状态'!C446="","缺少状态类别；","")&amp;IF(AND('07_动态状态'!A446&lt;&gt;"",COUNTIF('07_动态状态'!$A$2:$A$501,'07_动态状态'!A446)&gt;1),"ID重复；",""),"")</f>
        <v/>
      </c>
      <c r="G2946" s="14">
        <f>IF(F2946&lt;&gt;"","按字段批注、数据字典和来源记录修正后复核","")</f>
        <v/>
      </c>
      <c r="H2946" s="14">
        <f>IF(F2946&lt;&gt;"","待处理","")</f>
        <v/>
      </c>
    </row>
    <row r="2947">
      <c r="A2947" s="14">
        <f>IF(F2947&lt;&gt;"","ISSUE-"&amp;TEXT(ROW()-1,"00000"),"")</f>
        <v/>
      </c>
      <c r="B2947" s="14">
        <f>IF(F2947&lt;&gt;"","错误","")</f>
        <v/>
      </c>
      <c r="C2947" s="14">
        <f>IF('07_动态状态'!A447&lt;&gt;"","07_动态状态","")</f>
        <v/>
      </c>
      <c r="D2947" s="14">
        <f>IF('07_动态状态'!A447&lt;&gt;"",'07_动态状态'!A447,"")</f>
        <v/>
      </c>
      <c r="E2947" s="14">
        <f>IF(F2947&lt;&gt;"","综合校验","")</f>
        <v/>
      </c>
      <c r="F2947" s="14">
        <f>IF('07_动态状态'!A447&lt;&gt;"",IF('07_动态状态'!A447="","缺少状态编码；","")&amp;IF('07_动态状态'!B447="","缺少状态名称；","")&amp;IF('07_动态状态'!C447="","缺少状态类别；","")&amp;IF(AND('07_动态状态'!A447&lt;&gt;"",COUNTIF('07_动态状态'!$A$2:$A$501,'07_动态状态'!A447)&gt;1),"ID重复；",""),"")</f>
        <v/>
      </c>
      <c r="G2947" s="14">
        <f>IF(F2947&lt;&gt;"","按字段批注、数据字典和来源记录修正后复核","")</f>
        <v/>
      </c>
      <c r="H2947" s="14">
        <f>IF(F2947&lt;&gt;"","待处理","")</f>
        <v/>
      </c>
    </row>
    <row r="2948">
      <c r="A2948" s="14">
        <f>IF(F2948&lt;&gt;"","ISSUE-"&amp;TEXT(ROW()-1,"00000"),"")</f>
        <v/>
      </c>
      <c r="B2948" s="14">
        <f>IF(F2948&lt;&gt;"","错误","")</f>
        <v/>
      </c>
      <c r="C2948" s="14">
        <f>IF('07_动态状态'!A448&lt;&gt;"","07_动态状态","")</f>
        <v/>
      </c>
      <c r="D2948" s="14">
        <f>IF('07_动态状态'!A448&lt;&gt;"",'07_动态状态'!A448,"")</f>
        <v/>
      </c>
      <c r="E2948" s="14">
        <f>IF(F2948&lt;&gt;"","综合校验","")</f>
        <v/>
      </c>
      <c r="F2948" s="14">
        <f>IF('07_动态状态'!A448&lt;&gt;"",IF('07_动态状态'!A448="","缺少状态编码；","")&amp;IF('07_动态状态'!B448="","缺少状态名称；","")&amp;IF('07_动态状态'!C448="","缺少状态类别；","")&amp;IF(AND('07_动态状态'!A448&lt;&gt;"",COUNTIF('07_动态状态'!$A$2:$A$501,'07_动态状态'!A448)&gt;1),"ID重复；",""),"")</f>
        <v/>
      </c>
      <c r="G2948" s="14">
        <f>IF(F2948&lt;&gt;"","按字段批注、数据字典和来源记录修正后复核","")</f>
        <v/>
      </c>
      <c r="H2948" s="14">
        <f>IF(F2948&lt;&gt;"","待处理","")</f>
        <v/>
      </c>
    </row>
    <row r="2949">
      <c r="A2949" s="14">
        <f>IF(F2949&lt;&gt;"","ISSUE-"&amp;TEXT(ROW()-1,"00000"),"")</f>
        <v/>
      </c>
      <c r="B2949" s="14">
        <f>IF(F2949&lt;&gt;"","错误","")</f>
        <v/>
      </c>
      <c r="C2949" s="14">
        <f>IF('07_动态状态'!A449&lt;&gt;"","07_动态状态","")</f>
        <v/>
      </c>
      <c r="D2949" s="14">
        <f>IF('07_动态状态'!A449&lt;&gt;"",'07_动态状态'!A449,"")</f>
        <v/>
      </c>
      <c r="E2949" s="14">
        <f>IF(F2949&lt;&gt;"","综合校验","")</f>
        <v/>
      </c>
      <c r="F2949" s="14">
        <f>IF('07_动态状态'!A449&lt;&gt;"",IF('07_动态状态'!A449="","缺少状态编码；","")&amp;IF('07_动态状态'!B449="","缺少状态名称；","")&amp;IF('07_动态状态'!C449="","缺少状态类别；","")&amp;IF(AND('07_动态状态'!A449&lt;&gt;"",COUNTIF('07_动态状态'!$A$2:$A$501,'07_动态状态'!A449)&gt;1),"ID重复；",""),"")</f>
        <v/>
      </c>
      <c r="G2949" s="14">
        <f>IF(F2949&lt;&gt;"","按字段批注、数据字典和来源记录修正后复核","")</f>
        <v/>
      </c>
      <c r="H2949" s="14">
        <f>IF(F2949&lt;&gt;"","待处理","")</f>
        <v/>
      </c>
    </row>
    <row r="2950">
      <c r="A2950" s="14">
        <f>IF(F2950&lt;&gt;"","ISSUE-"&amp;TEXT(ROW()-1,"00000"),"")</f>
        <v/>
      </c>
      <c r="B2950" s="14">
        <f>IF(F2950&lt;&gt;"","错误","")</f>
        <v/>
      </c>
      <c r="C2950" s="14">
        <f>IF('07_动态状态'!A450&lt;&gt;"","07_动态状态","")</f>
        <v/>
      </c>
      <c r="D2950" s="14">
        <f>IF('07_动态状态'!A450&lt;&gt;"",'07_动态状态'!A450,"")</f>
        <v/>
      </c>
      <c r="E2950" s="14">
        <f>IF(F2950&lt;&gt;"","综合校验","")</f>
        <v/>
      </c>
      <c r="F2950" s="14">
        <f>IF('07_动态状态'!A450&lt;&gt;"",IF('07_动态状态'!A450="","缺少状态编码；","")&amp;IF('07_动态状态'!B450="","缺少状态名称；","")&amp;IF('07_动态状态'!C450="","缺少状态类别；","")&amp;IF(AND('07_动态状态'!A450&lt;&gt;"",COUNTIF('07_动态状态'!$A$2:$A$501,'07_动态状态'!A450)&gt;1),"ID重复；",""),"")</f>
        <v/>
      </c>
      <c r="G2950" s="14">
        <f>IF(F2950&lt;&gt;"","按字段批注、数据字典和来源记录修正后复核","")</f>
        <v/>
      </c>
      <c r="H2950" s="14">
        <f>IF(F2950&lt;&gt;"","待处理","")</f>
        <v/>
      </c>
    </row>
    <row r="2951">
      <c r="A2951" s="14">
        <f>IF(F2951&lt;&gt;"","ISSUE-"&amp;TEXT(ROW()-1,"00000"),"")</f>
        <v/>
      </c>
      <c r="B2951" s="14">
        <f>IF(F2951&lt;&gt;"","错误","")</f>
        <v/>
      </c>
      <c r="C2951" s="14">
        <f>IF('07_动态状态'!A451&lt;&gt;"","07_动态状态","")</f>
        <v/>
      </c>
      <c r="D2951" s="14">
        <f>IF('07_动态状态'!A451&lt;&gt;"",'07_动态状态'!A451,"")</f>
        <v/>
      </c>
      <c r="E2951" s="14">
        <f>IF(F2951&lt;&gt;"","综合校验","")</f>
        <v/>
      </c>
      <c r="F2951" s="14">
        <f>IF('07_动态状态'!A451&lt;&gt;"",IF('07_动态状态'!A451="","缺少状态编码；","")&amp;IF('07_动态状态'!B451="","缺少状态名称；","")&amp;IF('07_动态状态'!C451="","缺少状态类别；","")&amp;IF(AND('07_动态状态'!A451&lt;&gt;"",COUNTIF('07_动态状态'!$A$2:$A$501,'07_动态状态'!A451)&gt;1),"ID重复；",""),"")</f>
        <v/>
      </c>
      <c r="G2951" s="14">
        <f>IF(F2951&lt;&gt;"","按字段批注、数据字典和来源记录修正后复核","")</f>
        <v/>
      </c>
      <c r="H2951" s="14">
        <f>IF(F2951&lt;&gt;"","待处理","")</f>
        <v/>
      </c>
    </row>
    <row r="2952">
      <c r="A2952" s="14">
        <f>IF(F2952&lt;&gt;"","ISSUE-"&amp;TEXT(ROW()-1,"00000"),"")</f>
        <v/>
      </c>
      <c r="B2952" s="14">
        <f>IF(F2952&lt;&gt;"","错误","")</f>
        <v/>
      </c>
      <c r="C2952" s="14">
        <f>IF('07_动态状态'!A452&lt;&gt;"","07_动态状态","")</f>
        <v/>
      </c>
      <c r="D2952" s="14">
        <f>IF('07_动态状态'!A452&lt;&gt;"",'07_动态状态'!A452,"")</f>
        <v/>
      </c>
      <c r="E2952" s="14">
        <f>IF(F2952&lt;&gt;"","综合校验","")</f>
        <v/>
      </c>
      <c r="F2952" s="14">
        <f>IF('07_动态状态'!A452&lt;&gt;"",IF('07_动态状态'!A452="","缺少状态编码；","")&amp;IF('07_动态状态'!B452="","缺少状态名称；","")&amp;IF('07_动态状态'!C452="","缺少状态类别；","")&amp;IF(AND('07_动态状态'!A452&lt;&gt;"",COUNTIF('07_动态状态'!$A$2:$A$501,'07_动态状态'!A452)&gt;1),"ID重复；",""),"")</f>
        <v/>
      </c>
      <c r="G2952" s="14">
        <f>IF(F2952&lt;&gt;"","按字段批注、数据字典和来源记录修正后复核","")</f>
        <v/>
      </c>
      <c r="H2952" s="14">
        <f>IF(F2952&lt;&gt;"","待处理","")</f>
        <v/>
      </c>
    </row>
    <row r="2953">
      <c r="A2953" s="14">
        <f>IF(F2953&lt;&gt;"","ISSUE-"&amp;TEXT(ROW()-1,"00000"),"")</f>
        <v/>
      </c>
      <c r="B2953" s="14">
        <f>IF(F2953&lt;&gt;"","错误","")</f>
        <v/>
      </c>
      <c r="C2953" s="14">
        <f>IF('07_动态状态'!A453&lt;&gt;"","07_动态状态","")</f>
        <v/>
      </c>
      <c r="D2953" s="14">
        <f>IF('07_动态状态'!A453&lt;&gt;"",'07_动态状态'!A453,"")</f>
        <v/>
      </c>
      <c r="E2953" s="14">
        <f>IF(F2953&lt;&gt;"","综合校验","")</f>
        <v/>
      </c>
      <c r="F2953" s="14">
        <f>IF('07_动态状态'!A453&lt;&gt;"",IF('07_动态状态'!A453="","缺少状态编码；","")&amp;IF('07_动态状态'!B453="","缺少状态名称；","")&amp;IF('07_动态状态'!C453="","缺少状态类别；","")&amp;IF(AND('07_动态状态'!A453&lt;&gt;"",COUNTIF('07_动态状态'!$A$2:$A$501,'07_动态状态'!A453)&gt;1),"ID重复；",""),"")</f>
        <v/>
      </c>
      <c r="G2953" s="14">
        <f>IF(F2953&lt;&gt;"","按字段批注、数据字典和来源记录修正后复核","")</f>
        <v/>
      </c>
      <c r="H2953" s="14">
        <f>IF(F2953&lt;&gt;"","待处理","")</f>
        <v/>
      </c>
    </row>
    <row r="2954">
      <c r="A2954" s="14">
        <f>IF(F2954&lt;&gt;"","ISSUE-"&amp;TEXT(ROW()-1,"00000"),"")</f>
        <v/>
      </c>
      <c r="B2954" s="14">
        <f>IF(F2954&lt;&gt;"","错误","")</f>
        <v/>
      </c>
      <c r="C2954" s="14">
        <f>IF('07_动态状态'!A454&lt;&gt;"","07_动态状态","")</f>
        <v/>
      </c>
      <c r="D2954" s="14">
        <f>IF('07_动态状态'!A454&lt;&gt;"",'07_动态状态'!A454,"")</f>
        <v/>
      </c>
      <c r="E2954" s="14">
        <f>IF(F2954&lt;&gt;"","综合校验","")</f>
        <v/>
      </c>
      <c r="F2954" s="14">
        <f>IF('07_动态状态'!A454&lt;&gt;"",IF('07_动态状态'!A454="","缺少状态编码；","")&amp;IF('07_动态状态'!B454="","缺少状态名称；","")&amp;IF('07_动态状态'!C454="","缺少状态类别；","")&amp;IF(AND('07_动态状态'!A454&lt;&gt;"",COUNTIF('07_动态状态'!$A$2:$A$501,'07_动态状态'!A454)&gt;1),"ID重复；",""),"")</f>
        <v/>
      </c>
      <c r="G2954" s="14">
        <f>IF(F2954&lt;&gt;"","按字段批注、数据字典和来源记录修正后复核","")</f>
        <v/>
      </c>
      <c r="H2954" s="14">
        <f>IF(F2954&lt;&gt;"","待处理","")</f>
        <v/>
      </c>
    </row>
    <row r="2955">
      <c r="A2955" s="14">
        <f>IF(F2955&lt;&gt;"","ISSUE-"&amp;TEXT(ROW()-1,"00000"),"")</f>
        <v/>
      </c>
      <c r="B2955" s="14">
        <f>IF(F2955&lt;&gt;"","错误","")</f>
        <v/>
      </c>
      <c r="C2955" s="14">
        <f>IF('07_动态状态'!A455&lt;&gt;"","07_动态状态","")</f>
        <v/>
      </c>
      <c r="D2955" s="14">
        <f>IF('07_动态状态'!A455&lt;&gt;"",'07_动态状态'!A455,"")</f>
        <v/>
      </c>
      <c r="E2955" s="14">
        <f>IF(F2955&lt;&gt;"","综合校验","")</f>
        <v/>
      </c>
      <c r="F2955" s="14">
        <f>IF('07_动态状态'!A455&lt;&gt;"",IF('07_动态状态'!A455="","缺少状态编码；","")&amp;IF('07_动态状态'!B455="","缺少状态名称；","")&amp;IF('07_动态状态'!C455="","缺少状态类别；","")&amp;IF(AND('07_动态状态'!A455&lt;&gt;"",COUNTIF('07_动态状态'!$A$2:$A$501,'07_动态状态'!A455)&gt;1),"ID重复；",""),"")</f>
        <v/>
      </c>
      <c r="G2955" s="14">
        <f>IF(F2955&lt;&gt;"","按字段批注、数据字典和来源记录修正后复核","")</f>
        <v/>
      </c>
      <c r="H2955" s="14">
        <f>IF(F2955&lt;&gt;"","待处理","")</f>
        <v/>
      </c>
    </row>
    <row r="2956">
      <c r="A2956" s="14">
        <f>IF(F2956&lt;&gt;"","ISSUE-"&amp;TEXT(ROW()-1,"00000"),"")</f>
        <v/>
      </c>
      <c r="B2956" s="14">
        <f>IF(F2956&lt;&gt;"","错误","")</f>
        <v/>
      </c>
      <c r="C2956" s="14">
        <f>IF('07_动态状态'!A456&lt;&gt;"","07_动态状态","")</f>
        <v/>
      </c>
      <c r="D2956" s="14">
        <f>IF('07_动态状态'!A456&lt;&gt;"",'07_动态状态'!A456,"")</f>
        <v/>
      </c>
      <c r="E2956" s="14">
        <f>IF(F2956&lt;&gt;"","综合校验","")</f>
        <v/>
      </c>
      <c r="F2956" s="14">
        <f>IF('07_动态状态'!A456&lt;&gt;"",IF('07_动态状态'!A456="","缺少状态编码；","")&amp;IF('07_动态状态'!B456="","缺少状态名称；","")&amp;IF('07_动态状态'!C456="","缺少状态类别；","")&amp;IF(AND('07_动态状态'!A456&lt;&gt;"",COUNTIF('07_动态状态'!$A$2:$A$501,'07_动态状态'!A456)&gt;1),"ID重复；",""),"")</f>
        <v/>
      </c>
      <c r="G2956" s="14">
        <f>IF(F2956&lt;&gt;"","按字段批注、数据字典和来源记录修正后复核","")</f>
        <v/>
      </c>
      <c r="H2956" s="14">
        <f>IF(F2956&lt;&gt;"","待处理","")</f>
        <v/>
      </c>
    </row>
    <row r="2957">
      <c r="A2957" s="14">
        <f>IF(F2957&lt;&gt;"","ISSUE-"&amp;TEXT(ROW()-1,"00000"),"")</f>
        <v/>
      </c>
      <c r="B2957" s="14">
        <f>IF(F2957&lt;&gt;"","错误","")</f>
        <v/>
      </c>
      <c r="C2957" s="14">
        <f>IF('07_动态状态'!A457&lt;&gt;"","07_动态状态","")</f>
        <v/>
      </c>
      <c r="D2957" s="14">
        <f>IF('07_动态状态'!A457&lt;&gt;"",'07_动态状态'!A457,"")</f>
        <v/>
      </c>
      <c r="E2957" s="14">
        <f>IF(F2957&lt;&gt;"","综合校验","")</f>
        <v/>
      </c>
      <c r="F2957" s="14">
        <f>IF('07_动态状态'!A457&lt;&gt;"",IF('07_动态状态'!A457="","缺少状态编码；","")&amp;IF('07_动态状态'!B457="","缺少状态名称；","")&amp;IF('07_动态状态'!C457="","缺少状态类别；","")&amp;IF(AND('07_动态状态'!A457&lt;&gt;"",COUNTIF('07_动态状态'!$A$2:$A$501,'07_动态状态'!A457)&gt;1),"ID重复；",""),"")</f>
        <v/>
      </c>
      <c r="G2957" s="14">
        <f>IF(F2957&lt;&gt;"","按字段批注、数据字典和来源记录修正后复核","")</f>
        <v/>
      </c>
      <c r="H2957" s="14">
        <f>IF(F2957&lt;&gt;"","待处理","")</f>
        <v/>
      </c>
    </row>
    <row r="2958">
      <c r="A2958" s="14">
        <f>IF(F2958&lt;&gt;"","ISSUE-"&amp;TEXT(ROW()-1,"00000"),"")</f>
        <v/>
      </c>
      <c r="B2958" s="14">
        <f>IF(F2958&lt;&gt;"","错误","")</f>
        <v/>
      </c>
      <c r="C2958" s="14">
        <f>IF('07_动态状态'!A458&lt;&gt;"","07_动态状态","")</f>
        <v/>
      </c>
      <c r="D2958" s="14">
        <f>IF('07_动态状态'!A458&lt;&gt;"",'07_动态状态'!A458,"")</f>
        <v/>
      </c>
      <c r="E2958" s="14">
        <f>IF(F2958&lt;&gt;"","综合校验","")</f>
        <v/>
      </c>
      <c r="F2958" s="14">
        <f>IF('07_动态状态'!A458&lt;&gt;"",IF('07_动态状态'!A458="","缺少状态编码；","")&amp;IF('07_动态状态'!B458="","缺少状态名称；","")&amp;IF('07_动态状态'!C458="","缺少状态类别；","")&amp;IF(AND('07_动态状态'!A458&lt;&gt;"",COUNTIF('07_动态状态'!$A$2:$A$501,'07_动态状态'!A458)&gt;1),"ID重复；",""),"")</f>
        <v/>
      </c>
      <c r="G2958" s="14">
        <f>IF(F2958&lt;&gt;"","按字段批注、数据字典和来源记录修正后复核","")</f>
        <v/>
      </c>
      <c r="H2958" s="14">
        <f>IF(F2958&lt;&gt;"","待处理","")</f>
        <v/>
      </c>
    </row>
    <row r="2959">
      <c r="A2959" s="14">
        <f>IF(F2959&lt;&gt;"","ISSUE-"&amp;TEXT(ROW()-1,"00000"),"")</f>
        <v/>
      </c>
      <c r="B2959" s="14">
        <f>IF(F2959&lt;&gt;"","错误","")</f>
        <v/>
      </c>
      <c r="C2959" s="14">
        <f>IF('07_动态状态'!A459&lt;&gt;"","07_动态状态","")</f>
        <v/>
      </c>
      <c r="D2959" s="14">
        <f>IF('07_动态状态'!A459&lt;&gt;"",'07_动态状态'!A459,"")</f>
        <v/>
      </c>
      <c r="E2959" s="14">
        <f>IF(F2959&lt;&gt;"","综合校验","")</f>
        <v/>
      </c>
      <c r="F2959" s="14">
        <f>IF('07_动态状态'!A459&lt;&gt;"",IF('07_动态状态'!A459="","缺少状态编码；","")&amp;IF('07_动态状态'!B459="","缺少状态名称；","")&amp;IF('07_动态状态'!C459="","缺少状态类别；","")&amp;IF(AND('07_动态状态'!A459&lt;&gt;"",COUNTIF('07_动态状态'!$A$2:$A$501,'07_动态状态'!A459)&gt;1),"ID重复；",""),"")</f>
        <v/>
      </c>
      <c r="G2959" s="14">
        <f>IF(F2959&lt;&gt;"","按字段批注、数据字典和来源记录修正后复核","")</f>
        <v/>
      </c>
      <c r="H2959" s="14">
        <f>IF(F2959&lt;&gt;"","待处理","")</f>
        <v/>
      </c>
    </row>
    <row r="2960">
      <c r="A2960" s="14">
        <f>IF(F2960&lt;&gt;"","ISSUE-"&amp;TEXT(ROW()-1,"00000"),"")</f>
        <v/>
      </c>
      <c r="B2960" s="14">
        <f>IF(F2960&lt;&gt;"","错误","")</f>
        <v/>
      </c>
      <c r="C2960" s="14">
        <f>IF('07_动态状态'!A460&lt;&gt;"","07_动态状态","")</f>
        <v/>
      </c>
      <c r="D2960" s="14">
        <f>IF('07_动态状态'!A460&lt;&gt;"",'07_动态状态'!A460,"")</f>
        <v/>
      </c>
      <c r="E2960" s="14">
        <f>IF(F2960&lt;&gt;"","综合校验","")</f>
        <v/>
      </c>
      <c r="F2960" s="14">
        <f>IF('07_动态状态'!A460&lt;&gt;"",IF('07_动态状态'!A460="","缺少状态编码；","")&amp;IF('07_动态状态'!B460="","缺少状态名称；","")&amp;IF('07_动态状态'!C460="","缺少状态类别；","")&amp;IF(AND('07_动态状态'!A460&lt;&gt;"",COUNTIF('07_动态状态'!$A$2:$A$501,'07_动态状态'!A460)&gt;1),"ID重复；",""),"")</f>
        <v/>
      </c>
      <c r="G2960" s="14">
        <f>IF(F2960&lt;&gt;"","按字段批注、数据字典和来源记录修正后复核","")</f>
        <v/>
      </c>
      <c r="H2960" s="14">
        <f>IF(F2960&lt;&gt;"","待处理","")</f>
        <v/>
      </c>
    </row>
    <row r="2961">
      <c r="A2961" s="14">
        <f>IF(F2961&lt;&gt;"","ISSUE-"&amp;TEXT(ROW()-1,"00000"),"")</f>
        <v/>
      </c>
      <c r="B2961" s="14">
        <f>IF(F2961&lt;&gt;"","错误","")</f>
        <v/>
      </c>
      <c r="C2961" s="14">
        <f>IF('07_动态状态'!A461&lt;&gt;"","07_动态状态","")</f>
        <v/>
      </c>
      <c r="D2961" s="14">
        <f>IF('07_动态状态'!A461&lt;&gt;"",'07_动态状态'!A461,"")</f>
        <v/>
      </c>
      <c r="E2961" s="14">
        <f>IF(F2961&lt;&gt;"","综合校验","")</f>
        <v/>
      </c>
      <c r="F2961" s="14">
        <f>IF('07_动态状态'!A461&lt;&gt;"",IF('07_动态状态'!A461="","缺少状态编码；","")&amp;IF('07_动态状态'!B461="","缺少状态名称；","")&amp;IF('07_动态状态'!C461="","缺少状态类别；","")&amp;IF(AND('07_动态状态'!A461&lt;&gt;"",COUNTIF('07_动态状态'!$A$2:$A$501,'07_动态状态'!A461)&gt;1),"ID重复；",""),"")</f>
        <v/>
      </c>
      <c r="G2961" s="14">
        <f>IF(F2961&lt;&gt;"","按字段批注、数据字典和来源记录修正后复核","")</f>
        <v/>
      </c>
      <c r="H2961" s="14">
        <f>IF(F2961&lt;&gt;"","待处理","")</f>
        <v/>
      </c>
    </row>
    <row r="2962">
      <c r="A2962" s="14">
        <f>IF(F2962&lt;&gt;"","ISSUE-"&amp;TEXT(ROW()-1,"00000"),"")</f>
        <v/>
      </c>
      <c r="B2962" s="14">
        <f>IF(F2962&lt;&gt;"","错误","")</f>
        <v/>
      </c>
      <c r="C2962" s="14">
        <f>IF('07_动态状态'!A462&lt;&gt;"","07_动态状态","")</f>
        <v/>
      </c>
      <c r="D2962" s="14">
        <f>IF('07_动态状态'!A462&lt;&gt;"",'07_动态状态'!A462,"")</f>
        <v/>
      </c>
      <c r="E2962" s="14">
        <f>IF(F2962&lt;&gt;"","综合校验","")</f>
        <v/>
      </c>
      <c r="F2962" s="14">
        <f>IF('07_动态状态'!A462&lt;&gt;"",IF('07_动态状态'!A462="","缺少状态编码；","")&amp;IF('07_动态状态'!B462="","缺少状态名称；","")&amp;IF('07_动态状态'!C462="","缺少状态类别；","")&amp;IF(AND('07_动态状态'!A462&lt;&gt;"",COUNTIF('07_动态状态'!$A$2:$A$501,'07_动态状态'!A462)&gt;1),"ID重复；",""),"")</f>
        <v/>
      </c>
      <c r="G2962" s="14">
        <f>IF(F2962&lt;&gt;"","按字段批注、数据字典和来源记录修正后复核","")</f>
        <v/>
      </c>
      <c r="H2962" s="14">
        <f>IF(F2962&lt;&gt;"","待处理","")</f>
        <v/>
      </c>
    </row>
    <row r="2963">
      <c r="A2963" s="14">
        <f>IF(F2963&lt;&gt;"","ISSUE-"&amp;TEXT(ROW()-1,"00000"),"")</f>
        <v/>
      </c>
      <c r="B2963" s="14">
        <f>IF(F2963&lt;&gt;"","错误","")</f>
        <v/>
      </c>
      <c r="C2963" s="14">
        <f>IF('07_动态状态'!A463&lt;&gt;"","07_动态状态","")</f>
        <v/>
      </c>
      <c r="D2963" s="14">
        <f>IF('07_动态状态'!A463&lt;&gt;"",'07_动态状态'!A463,"")</f>
        <v/>
      </c>
      <c r="E2963" s="14">
        <f>IF(F2963&lt;&gt;"","综合校验","")</f>
        <v/>
      </c>
      <c r="F2963" s="14">
        <f>IF('07_动态状态'!A463&lt;&gt;"",IF('07_动态状态'!A463="","缺少状态编码；","")&amp;IF('07_动态状态'!B463="","缺少状态名称；","")&amp;IF('07_动态状态'!C463="","缺少状态类别；","")&amp;IF(AND('07_动态状态'!A463&lt;&gt;"",COUNTIF('07_动态状态'!$A$2:$A$501,'07_动态状态'!A463)&gt;1),"ID重复；",""),"")</f>
        <v/>
      </c>
      <c r="G2963" s="14">
        <f>IF(F2963&lt;&gt;"","按字段批注、数据字典和来源记录修正后复核","")</f>
        <v/>
      </c>
      <c r="H2963" s="14">
        <f>IF(F2963&lt;&gt;"","待处理","")</f>
        <v/>
      </c>
    </row>
    <row r="2964">
      <c r="A2964" s="14">
        <f>IF(F2964&lt;&gt;"","ISSUE-"&amp;TEXT(ROW()-1,"00000"),"")</f>
        <v/>
      </c>
      <c r="B2964" s="14">
        <f>IF(F2964&lt;&gt;"","错误","")</f>
        <v/>
      </c>
      <c r="C2964" s="14">
        <f>IF('07_动态状态'!A464&lt;&gt;"","07_动态状态","")</f>
        <v/>
      </c>
      <c r="D2964" s="14">
        <f>IF('07_动态状态'!A464&lt;&gt;"",'07_动态状态'!A464,"")</f>
        <v/>
      </c>
      <c r="E2964" s="14">
        <f>IF(F2964&lt;&gt;"","综合校验","")</f>
        <v/>
      </c>
      <c r="F2964" s="14">
        <f>IF('07_动态状态'!A464&lt;&gt;"",IF('07_动态状态'!A464="","缺少状态编码；","")&amp;IF('07_动态状态'!B464="","缺少状态名称；","")&amp;IF('07_动态状态'!C464="","缺少状态类别；","")&amp;IF(AND('07_动态状态'!A464&lt;&gt;"",COUNTIF('07_动态状态'!$A$2:$A$501,'07_动态状态'!A464)&gt;1),"ID重复；",""),"")</f>
        <v/>
      </c>
      <c r="G2964" s="14">
        <f>IF(F2964&lt;&gt;"","按字段批注、数据字典和来源记录修正后复核","")</f>
        <v/>
      </c>
      <c r="H2964" s="14">
        <f>IF(F2964&lt;&gt;"","待处理","")</f>
        <v/>
      </c>
    </row>
    <row r="2965">
      <c r="A2965" s="14">
        <f>IF(F2965&lt;&gt;"","ISSUE-"&amp;TEXT(ROW()-1,"00000"),"")</f>
        <v/>
      </c>
      <c r="B2965" s="14">
        <f>IF(F2965&lt;&gt;"","错误","")</f>
        <v/>
      </c>
      <c r="C2965" s="14">
        <f>IF('07_动态状态'!A465&lt;&gt;"","07_动态状态","")</f>
        <v/>
      </c>
      <c r="D2965" s="14">
        <f>IF('07_动态状态'!A465&lt;&gt;"",'07_动态状态'!A465,"")</f>
        <v/>
      </c>
      <c r="E2965" s="14">
        <f>IF(F2965&lt;&gt;"","综合校验","")</f>
        <v/>
      </c>
      <c r="F2965" s="14">
        <f>IF('07_动态状态'!A465&lt;&gt;"",IF('07_动态状态'!A465="","缺少状态编码；","")&amp;IF('07_动态状态'!B465="","缺少状态名称；","")&amp;IF('07_动态状态'!C465="","缺少状态类别；","")&amp;IF(AND('07_动态状态'!A465&lt;&gt;"",COUNTIF('07_动态状态'!$A$2:$A$501,'07_动态状态'!A465)&gt;1),"ID重复；",""),"")</f>
        <v/>
      </c>
      <c r="G2965" s="14">
        <f>IF(F2965&lt;&gt;"","按字段批注、数据字典和来源记录修正后复核","")</f>
        <v/>
      </c>
      <c r="H2965" s="14">
        <f>IF(F2965&lt;&gt;"","待处理","")</f>
        <v/>
      </c>
    </row>
    <row r="2966">
      <c r="A2966" s="14">
        <f>IF(F2966&lt;&gt;"","ISSUE-"&amp;TEXT(ROW()-1,"00000"),"")</f>
        <v/>
      </c>
      <c r="B2966" s="14">
        <f>IF(F2966&lt;&gt;"","错误","")</f>
        <v/>
      </c>
      <c r="C2966" s="14">
        <f>IF('07_动态状态'!A466&lt;&gt;"","07_动态状态","")</f>
        <v/>
      </c>
      <c r="D2966" s="14">
        <f>IF('07_动态状态'!A466&lt;&gt;"",'07_动态状态'!A466,"")</f>
        <v/>
      </c>
      <c r="E2966" s="14">
        <f>IF(F2966&lt;&gt;"","综合校验","")</f>
        <v/>
      </c>
      <c r="F2966" s="14">
        <f>IF('07_动态状态'!A466&lt;&gt;"",IF('07_动态状态'!A466="","缺少状态编码；","")&amp;IF('07_动态状态'!B466="","缺少状态名称；","")&amp;IF('07_动态状态'!C466="","缺少状态类别；","")&amp;IF(AND('07_动态状态'!A466&lt;&gt;"",COUNTIF('07_动态状态'!$A$2:$A$501,'07_动态状态'!A466)&gt;1),"ID重复；",""),"")</f>
        <v/>
      </c>
      <c r="G2966" s="14">
        <f>IF(F2966&lt;&gt;"","按字段批注、数据字典和来源记录修正后复核","")</f>
        <v/>
      </c>
      <c r="H2966" s="14">
        <f>IF(F2966&lt;&gt;"","待处理","")</f>
        <v/>
      </c>
    </row>
    <row r="2967">
      <c r="A2967" s="14">
        <f>IF(F2967&lt;&gt;"","ISSUE-"&amp;TEXT(ROW()-1,"00000"),"")</f>
        <v/>
      </c>
      <c r="B2967" s="14">
        <f>IF(F2967&lt;&gt;"","错误","")</f>
        <v/>
      </c>
      <c r="C2967" s="14">
        <f>IF('07_动态状态'!A467&lt;&gt;"","07_动态状态","")</f>
        <v/>
      </c>
      <c r="D2967" s="14">
        <f>IF('07_动态状态'!A467&lt;&gt;"",'07_动态状态'!A467,"")</f>
        <v/>
      </c>
      <c r="E2967" s="14">
        <f>IF(F2967&lt;&gt;"","综合校验","")</f>
        <v/>
      </c>
      <c r="F2967" s="14">
        <f>IF('07_动态状态'!A467&lt;&gt;"",IF('07_动态状态'!A467="","缺少状态编码；","")&amp;IF('07_动态状态'!B467="","缺少状态名称；","")&amp;IF('07_动态状态'!C467="","缺少状态类别；","")&amp;IF(AND('07_动态状态'!A467&lt;&gt;"",COUNTIF('07_动态状态'!$A$2:$A$501,'07_动态状态'!A467)&gt;1),"ID重复；",""),"")</f>
        <v/>
      </c>
      <c r="G2967" s="14">
        <f>IF(F2967&lt;&gt;"","按字段批注、数据字典和来源记录修正后复核","")</f>
        <v/>
      </c>
      <c r="H2967" s="14">
        <f>IF(F2967&lt;&gt;"","待处理","")</f>
        <v/>
      </c>
    </row>
    <row r="2968">
      <c r="A2968" s="14">
        <f>IF(F2968&lt;&gt;"","ISSUE-"&amp;TEXT(ROW()-1,"00000"),"")</f>
        <v/>
      </c>
      <c r="B2968" s="14">
        <f>IF(F2968&lt;&gt;"","错误","")</f>
        <v/>
      </c>
      <c r="C2968" s="14">
        <f>IF('07_动态状态'!A468&lt;&gt;"","07_动态状态","")</f>
        <v/>
      </c>
      <c r="D2968" s="14">
        <f>IF('07_动态状态'!A468&lt;&gt;"",'07_动态状态'!A468,"")</f>
        <v/>
      </c>
      <c r="E2968" s="14">
        <f>IF(F2968&lt;&gt;"","综合校验","")</f>
        <v/>
      </c>
      <c r="F2968" s="14">
        <f>IF('07_动态状态'!A468&lt;&gt;"",IF('07_动态状态'!A468="","缺少状态编码；","")&amp;IF('07_动态状态'!B468="","缺少状态名称；","")&amp;IF('07_动态状态'!C468="","缺少状态类别；","")&amp;IF(AND('07_动态状态'!A468&lt;&gt;"",COUNTIF('07_动态状态'!$A$2:$A$501,'07_动态状态'!A468)&gt;1),"ID重复；",""),"")</f>
        <v/>
      </c>
      <c r="G2968" s="14">
        <f>IF(F2968&lt;&gt;"","按字段批注、数据字典和来源记录修正后复核","")</f>
        <v/>
      </c>
      <c r="H2968" s="14">
        <f>IF(F2968&lt;&gt;"","待处理","")</f>
        <v/>
      </c>
    </row>
    <row r="2969">
      <c r="A2969" s="14">
        <f>IF(F2969&lt;&gt;"","ISSUE-"&amp;TEXT(ROW()-1,"00000"),"")</f>
        <v/>
      </c>
      <c r="B2969" s="14">
        <f>IF(F2969&lt;&gt;"","错误","")</f>
        <v/>
      </c>
      <c r="C2969" s="14">
        <f>IF('07_动态状态'!A469&lt;&gt;"","07_动态状态","")</f>
        <v/>
      </c>
      <c r="D2969" s="14">
        <f>IF('07_动态状态'!A469&lt;&gt;"",'07_动态状态'!A469,"")</f>
        <v/>
      </c>
      <c r="E2969" s="14">
        <f>IF(F2969&lt;&gt;"","综合校验","")</f>
        <v/>
      </c>
      <c r="F2969" s="14">
        <f>IF('07_动态状态'!A469&lt;&gt;"",IF('07_动态状态'!A469="","缺少状态编码；","")&amp;IF('07_动态状态'!B469="","缺少状态名称；","")&amp;IF('07_动态状态'!C469="","缺少状态类别；","")&amp;IF(AND('07_动态状态'!A469&lt;&gt;"",COUNTIF('07_动态状态'!$A$2:$A$501,'07_动态状态'!A469)&gt;1),"ID重复；",""),"")</f>
        <v/>
      </c>
      <c r="G2969" s="14">
        <f>IF(F2969&lt;&gt;"","按字段批注、数据字典和来源记录修正后复核","")</f>
        <v/>
      </c>
      <c r="H2969" s="14">
        <f>IF(F2969&lt;&gt;"","待处理","")</f>
        <v/>
      </c>
    </row>
    <row r="2970">
      <c r="A2970" s="14">
        <f>IF(F2970&lt;&gt;"","ISSUE-"&amp;TEXT(ROW()-1,"00000"),"")</f>
        <v/>
      </c>
      <c r="B2970" s="14">
        <f>IF(F2970&lt;&gt;"","错误","")</f>
        <v/>
      </c>
      <c r="C2970" s="14">
        <f>IF('07_动态状态'!A470&lt;&gt;"","07_动态状态","")</f>
        <v/>
      </c>
      <c r="D2970" s="14">
        <f>IF('07_动态状态'!A470&lt;&gt;"",'07_动态状态'!A470,"")</f>
        <v/>
      </c>
      <c r="E2970" s="14">
        <f>IF(F2970&lt;&gt;"","综合校验","")</f>
        <v/>
      </c>
      <c r="F2970" s="14">
        <f>IF('07_动态状态'!A470&lt;&gt;"",IF('07_动态状态'!A470="","缺少状态编码；","")&amp;IF('07_动态状态'!B470="","缺少状态名称；","")&amp;IF('07_动态状态'!C470="","缺少状态类别；","")&amp;IF(AND('07_动态状态'!A470&lt;&gt;"",COUNTIF('07_动态状态'!$A$2:$A$501,'07_动态状态'!A470)&gt;1),"ID重复；",""),"")</f>
        <v/>
      </c>
      <c r="G2970" s="14">
        <f>IF(F2970&lt;&gt;"","按字段批注、数据字典和来源记录修正后复核","")</f>
        <v/>
      </c>
      <c r="H2970" s="14">
        <f>IF(F2970&lt;&gt;"","待处理","")</f>
        <v/>
      </c>
    </row>
    <row r="2971">
      <c r="A2971" s="14">
        <f>IF(F2971&lt;&gt;"","ISSUE-"&amp;TEXT(ROW()-1,"00000"),"")</f>
        <v/>
      </c>
      <c r="B2971" s="14">
        <f>IF(F2971&lt;&gt;"","错误","")</f>
        <v/>
      </c>
      <c r="C2971" s="14">
        <f>IF('07_动态状态'!A471&lt;&gt;"","07_动态状态","")</f>
        <v/>
      </c>
      <c r="D2971" s="14">
        <f>IF('07_动态状态'!A471&lt;&gt;"",'07_动态状态'!A471,"")</f>
        <v/>
      </c>
      <c r="E2971" s="14">
        <f>IF(F2971&lt;&gt;"","综合校验","")</f>
        <v/>
      </c>
      <c r="F2971" s="14">
        <f>IF('07_动态状态'!A471&lt;&gt;"",IF('07_动态状态'!A471="","缺少状态编码；","")&amp;IF('07_动态状态'!B471="","缺少状态名称；","")&amp;IF('07_动态状态'!C471="","缺少状态类别；","")&amp;IF(AND('07_动态状态'!A471&lt;&gt;"",COUNTIF('07_动态状态'!$A$2:$A$501,'07_动态状态'!A471)&gt;1),"ID重复；",""),"")</f>
        <v/>
      </c>
      <c r="G2971" s="14">
        <f>IF(F2971&lt;&gt;"","按字段批注、数据字典和来源记录修正后复核","")</f>
        <v/>
      </c>
      <c r="H2971" s="14">
        <f>IF(F2971&lt;&gt;"","待处理","")</f>
        <v/>
      </c>
    </row>
    <row r="2972">
      <c r="A2972" s="14">
        <f>IF(F2972&lt;&gt;"","ISSUE-"&amp;TEXT(ROW()-1,"00000"),"")</f>
        <v/>
      </c>
      <c r="B2972" s="14">
        <f>IF(F2972&lt;&gt;"","错误","")</f>
        <v/>
      </c>
      <c r="C2972" s="14">
        <f>IF('07_动态状态'!A472&lt;&gt;"","07_动态状态","")</f>
        <v/>
      </c>
      <c r="D2972" s="14">
        <f>IF('07_动态状态'!A472&lt;&gt;"",'07_动态状态'!A472,"")</f>
        <v/>
      </c>
      <c r="E2972" s="14">
        <f>IF(F2972&lt;&gt;"","综合校验","")</f>
        <v/>
      </c>
      <c r="F2972" s="14">
        <f>IF('07_动态状态'!A472&lt;&gt;"",IF('07_动态状态'!A472="","缺少状态编码；","")&amp;IF('07_动态状态'!B472="","缺少状态名称；","")&amp;IF('07_动态状态'!C472="","缺少状态类别；","")&amp;IF(AND('07_动态状态'!A472&lt;&gt;"",COUNTIF('07_动态状态'!$A$2:$A$501,'07_动态状态'!A472)&gt;1),"ID重复；",""),"")</f>
        <v/>
      </c>
      <c r="G2972" s="14">
        <f>IF(F2972&lt;&gt;"","按字段批注、数据字典和来源记录修正后复核","")</f>
        <v/>
      </c>
      <c r="H2972" s="14">
        <f>IF(F2972&lt;&gt;"","待处理","")</f>
        <v/>
      </c>
    </row>
    <row r="2973">
      <c r="A2973" s="14">
        <f>IF(F2973&lt;&gt;"","ISSUE-"&amp;TEXT(ROW()-1,"00000"),"")</f>
        <v/>
      </c>
      <c r="B2973" s="14">
        <f>IF(F2973&lt;&gt;"","错误","")</f>
        <v/>
      </c>
      <c r="C2973" s="14">
        <f>IF('07_动态状态'!A473&lt;&gt;"","07_动态状态","")</f>
        <v/>
      </c>
      <c r="D2973" s="14">
        <f>IF('07_动态状态'!A473&lt;&gt;"",'07_动态状态'!A473,"")</f>
        <v/>
      </c>
      <c r="E2973" s="14">
        <f>IF(F2973&lt;&gt;"","综合校验","")</f>
        <v/>
      </c>
      <c r="F2973" s="14">
        <f>IF('07_动态状态'!A473&lt;&gt;"",IF('07_动态状态'!A473="","缺少状态编码；","")&amp;IF('07_动态状态'!B473="","缺少状态名称；","")&amp;IF('07_动态状态'!C473="","缺少状态类别；","")&amp;IF(AND('07_动态状态'!A473&lt;&gt;"",COUNTIF('07_动态状态'!$A$2:$A$501,'07_动态状态'!A473)&gt;1),"ID重复；",""),"")</f>
        <v/>
      </c>
      <c r="G2973" s="14">
        <f>IF(F2973&lt;&gt;"","按字段批注、数据字典和来源记录修正后复核","")</f>
        <v/>
      </c>
      <c r="H2973" s="14">
        <f>IF(F2973&lt;&gt;"","待处理","")</f>
        <v/>
      </c>
    </row>
    <row r="2974">
      <c r="A2974" s="14">
        <f>IF(F2974&lt;&gt;"","ISSUE-"&amp;TEXT(ROW()-1,"00000"),"")</f>
        <v/>
      </c>
      <c r="B2974" s="14">
        <f>IF(F2974&lt;&gt;"","错误","")</f>
        <v/>
      </c>
      <c r="C2974" s="14">
        <f>IF('07_动态状态'!A474&lt;&gt;"","07_动态状态","")</f>
        <v/>
      </c>
      <c r="D2974" s="14">
        <f>IF('07_动态状态'!A474&lt;&gt;"",'07_动态状态'!A474,"")</f>
        <v/>
      </c>
      <c r="E2974" s="14">
        <f>IF(F2974&lt;&gt;"","综合校验","")</f>
        <v/>
      </c>
      <c r="F2974" s="14">
        <f>IF('07_动态状态'!A474&lt;&gt;"",IF('07_动态状态'!A474="","缺少状态编码；","")&amp;IF('07_动态状态'!B474="","缺少状态名称；","")&amp;IF('07_动态状态'!C474="","缺少状态类别；","")&amp;IF(AND('07_动态状态'!A474&lt;&gt;"",COUNTIF('07_动态状态'!$A$2:$A$501,'07_动态状态'!A474)&gt;1),"ID重复；",""),"")</f>
        <v/>
      </c>
      <c r="G2974" s="14">
        <f>IF(F2974&lt;&gt;"","按字段批注、数据字典和来源记录修正后复核","")</f>
        <v/>
      </c>
      <c r="H2974" s="14">
        <f>IF(F2974&lt;&gt;"","待处理","")</f>
        <v/>
      </c>
    </row>
    <row r="2975">
      <c r="A2975" s="14">
        <f>IF(F2975&lt;&gt;"","ISSUE-"&amp;TEXT(ROW()-1,"00000"),"")</f>
        <v/>
      </c>
      <c r="B2975" s="14">
        <f>IF(F2975&lt;&gt;"","错误","")</f>
        <v/>
      </c>
      <c r="C2975" s="14">
        <f>IF('07_动态状态'!A475&lt;&gt;"","07_动态状态","")</f>
        <v/>
      </c>
      <c r="D2975" s="14">
        <f>IF('07_动态状态'!A475&lt;&gt;"",'07_动态状态'!A475,"")</f>
        <v/>
      </c>
      <c r="E2975" s="14">
        <f>IF(F2975&lt;&gt;"","综合校验","")</f>
        <v/>
      </c>
      <c r="F2975" s="14">
        <f>IF('07_动态状态'!A475&lt;&gt;"",IF('07_动态状态'!A475="","缺少状态编码；","")&amp;IF('07_动态状态'!B475="","缺少状态名称；","")&amp;IF('07_动态状态'!C475="","缺少状态类别；","")&amp;IF(AND('07_动态状态'!A475&lt;&gt;"",COUNTIF('07_动态状态'!$A$2:$A$501,'07_动态状态'!A475)&gt;1),"ID重复；",""),"")</f>
        <v/>
      </c>
      <c r="G2975" s="14">
        <f>IF(F2975&lt;&gt;"","按字段批注、数据字典和来源记录修正后复核","")</f>
        <v/>
      </c>
      <c r="H2975" s="14">
        <f>IF(F2975&lt;&gt;"","待处理","")</f>
        <v/>
      </c>
    </row>
    <row r="2976">
      <c r="A2976" s="14">
        <f>IF(F2976&lt;&gt;"","ISSUE-"&amp;TEXT(ROW()-1,"00000"),"")</f>
        <v/>
      </c>
      <c r="B2976" s="14">
        <f>IF(F2976&lt;&gt;"","错误","")</f>
        <v/>
      </c>
      <c r="C2976" s="14">
        <f>IF('07_动态状态'!A476&lt;&gt;"","07_动态状态","")</f>
        <v/>
      </c>
      <c r="D2976" s="14">
        <f>IF('07_动态状态'!A476&lt;&gt;"",'07_动态状态'!A476,"")</f>
        <v/>
      </c>
      <c r="E2976" s="14">
        <f>IF(F2976&lt;&gt;"","综合校验","")</f>
        <v/>
      </c>
      <c r="F2976" s="14">
        <f>IF('07_动态状态'!A476&lt;&gt;"",IF('07_动态状态'!A476="","缺少状态编码；","")&amp;IF('07_动态状态'!B476="","缺少状态名称；","")&amp;IF('07_动态状态'!C476="","缺少状态类别；","")&amp;IF(AND('07_动态状态'!A476&lt;&gt;"",COUNTIF('07_动态状态'!$A$2:$A$501,'07_动态状态'!A476)&gt;1),"ID重复；",""),"")</f>
        <v/>
      </c>
      <c r="G2976" s="14">
        <f>IF(F2976&lt;&gt;"","按字段批注、数据字典和来源记录修正后复核","")</f>
        <v/>
      </c>
      <c r="H2976" s="14">
        <f>IF(F2976&lt;&gt;"","待处理","")</f>
        <v/>
      </c>
    </row>
    <row r="2977">
      <c r="A2977" s="14">
        <f>IF(F2977&lt;&gt;"","ISSUE-"&amp;TEXT(ROW()-1,"00000"),"")</f>
        <v/>
      </c>
      <c r="B2977" s="14">
        <f>IF(F2977&lt;&gt;"","错误","")</f>
        <v/>
      </c>
      <c r="C2977" s="14">
        <f>IF('07_动态状态'!A477&lt;&gt;"","07_动态状态","")</f>
        <v/>
      </c>
      <c r="D2977" s="14">
        <f>IF('07_动态状态'!A477&lt;&gt;"",'07_动态状态'!A477,"")</f>
        <v/>
      </c>
      <c r="E2977" s="14">
        <f>IF(F2977&lt;&gt;"","综合校验","")</f>
        <v/>
      </c>
      <c r="F2977" s="14">
        <f>IF('07_动态状态'!A477&lt;&gt;"",IF('07_动态状态'!A477="","缺少状态编码；","")&amp;IF('07_动态状态'!B477="","缺少状态名称；","")&amp;IF('07_动态状态'!C477="","缺少状态类别；","")&amp;IF(AND('07_动态状态'!A477&lt;&gt;"",COUNTIF('07_动态状态'!$A$2:$A$501,'07_动态状态'!A477)&gt;1),"ID重复；",""),"")</f>
        <v/>
      </c>
      <c r="G2977" s="14">
        <f>IF(F2977&lt;&gt;"","按字段批注、数据字典和来源记录修正后复核","")</f>
        <v/>
      </c>
      <c r="H2977" s="14">
        <f>IF(F2977&lt;&gt;"","待处理","")</f>
        <v/>
      </c>
    </row>
    <row r="2978">
      <c r="A2978" s="14">
        <f>IF(F2978&lt;&gt;"","ISSUE-"&amp;TEXT(ROW()-1,"00000"),"")</f>
        <v/>
      </c>
      <c r="B2978" s="14">
        <f>IF(F2978&lt;&gt;"","错误","")</f>
        <v/>
      </c>
      <c r="C2978" s="14">
        <f>IF('07_动态状态'!A478&lt;&gt;"","07_动态状态","")</f>
        <v/>
      </c>
      <c r="D2978" s="14">
        <f>IF('07_动态状态'!A478&lt;&gt;"",'07_动态状态'!A478,"")</f>
        <v/>
      </c>
      <c r="E2978" s="14">
        <f>IF(F2978&lt;&gt;"","综合校验","")</f>
        <v/>
      </c>
      <c r="F2978" s="14">
        <f>IF('07_动态状态'!A478&lt;&gt;"",IF('07_动态状态'!A478="","缺少状态编码；","")&amp;IF('07_动态状态'!B478="","缺少状态名称；","")&amp;IF('07_动态状态'!C478="","缺少状态类别；","")&amp;IF(AND('07_动态状态'!A478&lt;&gt;"",COUNTIF('07_动态状态'!$A$2:$A$501,'07_动态状态'!A478)&gt;1),"ID重复；",""),"")</f>
        <v/>
      </c>
      <c r="G2978" s="14">
        <f>IF(F2978&lt;&gt;"","按字段批注、数据字典和来源记录修正后复核","")</f>
        <v/>
      </c>
      <c r="H2978" s="14">
        <f>IF(F2978&lt;&gt;"","待处理","")</f>
        <v/>
      </c>
    </row>
    <row r="2979">
      <c r="A2979" s="14">
        <f>IF(F2979&lt;&gt;"","ISSUE-"&amp;TEXT(ROW()-1,"00000"),"")</f>
        <v/>
      </c>
      <c r="B2979" s="14">
        <f>IF(F2979&lt;&gt;"","错误","")</f>
        <v/>
      </c>
      <c r="C2979" s="14">
        <f>IF('07_动态状态'!A479&lt;&gt;"","07_动态状态","")</f>
        <v/>
      </c>
      <c r="D2979" s="14">
        <f>IF('07_动态状态'!A479&lt;&gt;"",'07_动态状态'!A479,"")</f>
        <v/>
      </c>
      <c r="E2979" s="14">
        <f>IF(F2979&lt;&gt;"","综合校验","")</f>
        <v/>
      </c>
      <c r="F2979" s="14">
        <f>IF('07_动态状态'!A479&lt;&gt;"",IF('07_动态状态'!A479="","缺少状态编码；","")&amp;IF('07_动态状态'!B479="","缺少状态名称；","")&amp;IF('07_动态状态'!C479="","缺少状态类别；","")&amp;IF(AND('07_动态状态'!A479&lt;&gt;"",COUNTIF('07_动态状态'!$A$2:$A$501,'07_动态状态'!A479)&gt;1),"ID重复；",""),"")</f>
        <v/>
      </c>
      <c r="G2979" s="14">
        <f>IF(F2979&lt;&gt;"","按字段批注、数据字典和来源记录修正后复核","")</f>
        <v/>
      </c>
      <c r="H2979" s="14">
        <f>IF(F2979&lt;&gt;"","待处理","")</f>
        <v/>
      </c>
    </row>
    <row r="2980">
      <c r="A2980" s="14">
        <f>IF(F2980&lt;&gt;"","ISSUE-"&amp;TEXT(ROW()-1,"00000"),"")</f>
        <v/>
      </c>
      <c r="B2980" s="14">
        <f>IF(F2980&lt;&gt;"","错误","")</f>
        <v/>
      </c>
      <c r="C2980" s="14">
        <f>IF('07_动态状态'!A480&lt;&gt;"","07_动态状态","")</f>
        <v/>
      </c>
      <c r="D2980" s="14">
        <f>IF('07_动态状态'!A480&lt;&gt;"",'07_动态状态'!A480,"")</f>
        <v/>
      </c>
      <c r="E2980" s="14">
        <f>IF(F2980&lt;&gt;"","综合校验","")</f>
        <v/>
      </c>
      <c r="F2980" s="14">
        <f>IF('07_动态状态'!A480&lt;&gt;"",IF('07_动态状态'!A480="","缺少状态编码；","")&amp;IF('07_动态状态'!B480="","缺少状态名称；","")&amp;IF('07_动态状态'!C480="","缺少状态类别；","")&amp;IF(AND('07_动态状态'!A480&lt;&gt;"",COUNTIF('07_动态状态'!$A$2:$A$501,'07_动态状态'!A480)&gt;1),"ID重复；",""),"")</f>
        <v/>
      </c>
      <c r="G2980" s="14">
        <f>IF(F2980&lt;&gt;"","按字段批注、数据字典和来源记录修正后复核","")</f>
        <v/>
      </c>
      <c r="H2980" s="14">
        <f>IF(F2980&lt;&gt;"","待处理","")</f>
        <v/>
      </c>
    </row>
    <row r="2981">
      <c r="A2981" s="14">
        <f>IF(F2981&lt;&gt;"","ISSUE-"&amp;TEXT(ROW()-1,"00000"),"")</f>
        <v/>
      </c>
      <c r="B2981" s="14">
        <f>IF(F2981&lt;&gt;"","错误","")</f>
        <v/>
      </c>
      <c r="C2981" s="14">
        <f>IF('07_动态状态'!A481&lt;&gt;"","07_动态状态","")</f>
        <v/>
      </c>
      <c r="D2981" s="14">
        <f>IF('07_动态状态'!A481&lt;&gt;"",'07_动态状态'!A481,"")</f>
        <v/>
      </c>
      <c r="E2981" s="14">
        <f>IF(F2981&lt;&gt;"","综合校验","")</f>
        <v/>
      </c>
      <c r="F2981" s="14">
        <f>IF('07_动态状态'!A481&lt;&gt;"",IF('07_动态状态'!A481="","缺少状态编码；","")&amp;IF('07_动态状态'!B481="","缺少状态名称；","")&amp;IF('07_动态状态'!C481="","缺少状态类别；","")&amp;IF(AND('07_动态状态'!A481&lt;&gt;"",COUNTIF('07_动态状态'!$A$2:$A$501,'07_动态状态'!A481)&gt;1),"ID重复；",""),"")</f>
        <v/>
      </c>
      <c r="G2981" s="14">
        <f>IF(F2981&lt;&gt;"","按字段批注、数据字典和来源记录修正后复核","")</f>
        <v/>
      </c>
      <c r="H2981" s="14">
        <f>IF(F2981&lt;&gt;"","待处理","")</f>
        <v/>
      </c>
    </row>
    <row r="2982">
      <c r="A2982" s="14">
        <f>IF(F2982&lt;&gt;"","ISSUE-"&amp;TEXT(ROW()-1,"00000"),"")</f>
        <v/>
      </c>
      <c r="B2982" s="14">
        <f>IF(F2982&lt;&gt;"","错误","")</f>
        <v/>
      </c>
      <c r="C2982" s="14">
        <f>IF('07_动态状态'!A482&lt;&gt;"","07_动态状态","")</f>
        <v/>
      </c>
      <c r="D2982" s="14">
        <f>IF('07_动态状态'!A482&lt;&gt;"",'07_动态状态'!A482,"")</f>
        <v/>
      </c>
      <c r="E2982" s="14">
        <f>IF(F2982&lt;&gt;"","综合校验","")</f>
        <v/>
      </c>
      <c r="F2982" s="14">
        <f>IF('07_动态状态'!A482&lt;&gt;"",IF('07_动态状态'!A482="","缺少状态编码；","")&amp;IF('07_动态状态'!B482="","缺少状态名称；","")&amp;IF('07_动态状态'!C482="","缺少状态类别；","")&amp;IF(AND('07_动态状态'!A482&lt;&gt;"",COUNTIF('07_动态状态'!$A$2:$A$501,'07_动态状态'!A482)&gt;1),"ID重复；",""),"")</f>
        <v/>
      </c>
      <c r="G2982" s="14">
        <f>IF(F2982&lt;&gt;"","按字段批注、数据字典和来源记录修正后复核","")</f>
        <v/>
      </c>
      <c r="H2982" s="14">
        <f>IF(F2982&lt;&gt;"","待处理","")</f>
        <v/>
      </c>
    </row>
    <row r="2983">
      <c r="A2983" s="14">
        <f>IF(F2983&lt;&gt;"","ISSUE-"&amp;TEXT(ROW()-1,"00000"),"")</f>
        <v/>
      </c>
      <c r="B2983" s="14">
        <f>IF(F2983&lt;&gt;"","错误","")</f>
        <v/>
      </c>
      <c r="C2983" s="14">
        <f>IF('07_动态状态'!A483&lt;&gt;"","07_动态状态","")</f>
        <v/>
      </c>
      <c r="D2983" s="14">
        <f>IF('07_动态状态'!A483&lt;&gt;"",'07_动态状态'!A483,"")</f>
        <v/>
      </c>
      <c r="E2983" s="14">
        <f>IF(F2983&lt;&gt;"","综合校验","")</f>
        <v/>
      </c>
      <c r="F2983" s="14">
        <f>IF('07_动态状态'!A483&lt;&gt;"",IF('07_动态状态'!A483="","缺少状态编码；","")&amp;IF('07_动态状态'!B483="","缺少状态名称；","")&amp;IF('07_动态状态'!C483="","缺少状态类别；","")&amp;IF(AND('07_动态状态'!A483&lt;&gt;"",COUNTIF('07_动态状态'!$A$2:$A$501,'07_动态状态'!A483)&gt;1),"ID重复；",""),"")</f>
        <v/>
      </c>
      <c r="G2983" s="14">
        <f>IF(F2983&lt;&gt;"","按字段批注、数据字典和来源记录修正后复核","")</f>
        <v/>
      </c>
      <c r="H2983" s="14">
        <f>IF(F2983&lt;&gt;"","待处理","")</f>
        <v/>
      </c>
    </row>
    <row r="2984">
      <c r="A2984" s="14">
        <f>IF(F2984&lt;&gt;"","ISSUE-"&amp;TEXT(ROW()-1,"00000"),"")</f>
        <v/>
      </c>
      <c r="B2984" s="14">
        <f>IF(F2984&lt;&gt;"","错误","")</f>
        <v/>
      </c>
      <c r="C2984" s="14">
        <f>IF('07_动态状态'!A484&lt;&gt;"","07_动态状态","")</f>
        <v/>
      </c>
      <c r="D2984" s="14">
        <f>IF('07_动态状态'!A484&lt;&gt;"",'07_动态状态'!A484,"")</f>
        <v/>
      </c>
      <c r="E2984" s="14">
        <f>IF(F2984&lt;&gt;"","综合校验","")</f>
        <v/>
      </c>
      <c r="F2984" s="14">
        <f>IF('07_动态状态'!A484&lt;&gt;"",IF('07_动态状态'!A484="","缺少状态编码；","")&amp;IF('07_动态状态'!B484="","缺少状态名称；","")&amp;IF('07_动态状态'!C484="","缺少状态类别；","")&amp;IF(AND('07_动态状态'!A484&lt;&gt;"",COUNTIF('07_动态状态'!$A$2:$A$501,'07_动态状态'!A484)&gt;1),"ID重复；",""),"")</f>
        <v/>
      </c>
      <c r="G2984" s="14">
        <f>IF(F2984&lt;&gt;"","按字段批注、数据字典和来源记录修正后复核","")</f>
        <v/>
      </c>
      <c r="H2984" s="14">
        <f>IF(F2984&lt;&gt;"","待处理","")</f>
        <v/>
      </c>
    </row>
    <row r="2985">
      <c r="A2985" s="14">
        <f>IF(F2985&lt;&gt;"","ISSUE-"&amp;TEXT(ROW()-1,"00000"),"")</f>
        <v/>
      </c>
      <c r="B2985" s="14">
        <f>IF(F2985&lt;&gt;"","错误","")</f>
        <v/>
      </c>
      <c r="C2985" s="14">
        <f>IF('07_动态状态'!A485&lt;&gt;"","07_动态状态","")</f>
        <v/>
      </c>
      <c r="D2985" s="14">
        <f>IF('07_动态状态'!A485&lt;&gt;"",'07_动态状态'!A485,"")</f>
        <v/>
      </c>
      <c r="E2985" s="14">
        <f>IF(F2985&lt;&gt;"","综合校验","")</f>
        <v/>
      </c>
      <c r="F2985" s="14">
        <f>IF('07_动态状态'!A485&lt;&gt;"",IF('07_动态状态'!A485="","缺少状态编码；","")&amp;IF('07_动态状态'!B485="","缺少状态名称；","")&amp;IF('07_动态状态'!C485="","缺少状态类别；","")&amp;IF(AND('07_动态状态'!A485&lt;&gt;"",COUNTIF('07_动态状态'!$A$2:$A$501,'07_动态状态'!A485)&gt;1),"ID重复；",""),"")</f>
        <v/>
      </c>
      <c r="G2985" s="14">
        <f>IF(F2985&lt;&gt;"","按字段批注、数据字典和来源记录修正后复核","")</f>
        <v/>
      </c>
      <c r="H2985" s="14">
        <f>IF(F2985&lt;&gt;"","待处理","")</f>
        <v/>
      </c>
    </row>
    <row r="2986">
      <c r="A2986" s="14">
        <f>IF(F2986&lt;&gt;"","ISSUE-"&amp;TEXT(ROW()-1,"00000"),"")</f>
        <v/>
      </c>
      <c r="B2986" s="14">
        <f>IF(F2986&lt;&gt;"","错误","")</f>
        <v/>
      </c>
      <c r="C2986" s="14">
        <f>IF('07_动态状态'!A486&lt;&gt;"","07_动态状态","")</f>
        <v/>
      </c>
      <c r="D2986" s="14">
        <f>IF('07_动态状态'!A486&lt;&gt;"",'07_动态状态'!A486,"")</f>
        <v/>
      </c>
      <c r="E2986" s="14">
        <f>IF(F2986&lt;&gt;"","综合校验","")</f>
        <v/>
      </c>
      <c r="F2986" s="14">
        <f>IF('07_动态状态'!A486&lt;&gt;"",IF('07_动态状态'!A486="","缺少状态编码；","")&amp;IF('07_动态状态'!B486="","缺少状态名称；","")&amp;IF('07_动态状态'!C486="","缺少状态类别；","")&amp;IF(AND('07_动态状态'!A486&lt;&gt;"",COUNTIF('07_动态状态'!$A$2:$A$501,'07_动态状态'!A486)&gt;1),"ID重复；",""),"")</f>
        <v/>
      </c>
      <c r="G2986" s="14">
        <f>IF(F2986&lt;&gt;"","按字段批注、数据字典和来源记录修正后复核","")</f>
        <v/>
      </c>
      <c r="H2986" s="14">
        <f>IF(F2986&lt;&gt;"","待处理","")</f>
        <v/>
      </c>
    </row>
    <row r="2987">
      <c r="A2987" s="14">
        <f>IF(F2987&lt;&gt;"","ISSUE-"&amp;TEXT(ROW()-1,"00000"),"")</f>
        <v/>
      </c>
      <c r="B2987" s="14">
        <f>IF(F2987&lt;&gt;"","错误","")</f>
        <v/>
      </c>
      <c r="C2987" s="14">
        <f>IF('07_动态状态'!A487&lt;&gt;"","07_动态状态","")</f>
        <v/>
      </c>
      <c r="D2987" s="14">
        <f>IF('07_动态状态'!A487&lt;&gt;"",'07_动态状态'!A487,"")</f>
        <v/>
      </c>
      <c r="E2987" s="14">
        <f>IF(F2987&lt;&gt;"","综合校验","")</f>
        <v/>
      </c>
      <c r="F2987" s="14">
        <f>IF('07_动态状态'!A487&lt;&gt;"",IF('07_动态状态'!A487="","缺少状态编码；","")&amp;IF('07_动态状态'!B487="","缺少状态名称；","")&amp;IF('07_动态状态'!C487="","缺少状态类别；","")&amp;IF(AND('07_动态状态'!A487&lt;&gt;"",COUNTIF('07_动态状态'!$A$2:$A$501,'07_动态状态'!A487)&gt;1),"ID重复；",""),"")</f>
        <v/>
      </c>
      <c r="G2987" s="14">
        <f>IF(F2987&lt;&gt;"","按字段批注、数据字典和来源记录修正后复核","")</f>
        <v/>
      </c>
      <c r="H2987" s="14">
        <f>IF(F2987&lt;&gt;"","待处理","")</f>
        <v/>
      </c>
    </row>
    <row r="2988">
      <c r="A2988" s="14">
        <f>IF(F2988&lt;&gt;"","ISSUE-"&amp;TEXT(ROW()-1,"00000"),"")</f>
        <v/>
      </c>
      <c r="B2988" s="14">
        <f>IF(F2988&lt;&gt;"","错误","")</f>
        <v/>
      </c>
      <c r="C2988" s="14">
        <f>IF('07_动态状态'!A488&lt;&gt;"","07_动态状态","")</f>
        <v/>
      </c>
      <c r="D2988" s="14">
        <f>IF('07_动态状态'!A488&lt;&gt;"",'07_动态状态'!A488,"")</f>
        <v/>
      </c>
      <c r="E2988" s="14">
        <f>IF(F2988&lt;&gt;"","综合校验","")</f>
        <v/>
      </c>
      <c r="F2988" s="14">
        <f>IF('07_动态状态'!A488&lt;&gt;"",IF('07_动态状态'!A488="","缺少状态编码；","")&amp;IF('07_动态状态'!B488="","缺少状态名称；","")&amp;IF('07_动态状态'!C488="","缺少状态类别；","")&amp;IF(AND('07_动态状态'!A488&lt;&gt;"",COUNTIF('07_动态状态'!$A$2:$A$501,'07_动态状态'!A488)&gt;1),"ID重复；",""),"")</f>
        <v/>
      </c>
      <c r="G2988" s="14">
        <f>IF(F2988&lt;&gt;"","按字段批注、数据字典和来源记录修正后复核","")</f>
        <v/>
      </c>
      <c r="H2988" s="14">
        <f>IF(F2988&lt;&gt;"","待处理","")</f>
        <v/>
      </c>
    </row>
    <row r="2989">
      <c r="A2989" s="14">
        <f>IF(F2989&lt;&gt;"","ISSUE-"&amp;TEXT(ROW()-1,"00000"),"")</f>
        <v/>
      </c>
      <c r="B2989" s="14">
        <f>IF(F2989&lt;&gt;"","错误","")</f>
        <v/>
      </c>
      <c r="C2989" s="14">
        <f>IF('07_动态状态'!A489&lt;&gt;"","07_动态状态","")</f>
        <v/>
      </c>
      <c r="D2989" s="14">
        <f>IF('07_动态状态'!A489&lt;&gt;"",'07_动态状态'!A489,"")</f>
        <v/>
      </c>
      <c r="E2989" s="14">
        <f>IF(F2989&lt;&gt;"","综合校验","")</f>
        <v/>
      </c>
      <c r="F2989" s="14">
        <f>IF('07_动态状态'!A489&lt;&gt;"",IF('07_动态状态'!A489="","缺少状态编码；","")&amp;IF('07_动态状态'!B489="","缺少状态名称；","")&amp;IF('07_动态状态'!C489="","缺少状态类别；","")&amp;IF(AND('07_动态状态'!A489&lt;&gt;"",COUNTIF('07_动态状态'!$A$2:$A$501,'07_动态状态'!A489)&gt;1),"ID重复；",""),"")</f>
        <v/>
      </c>
      <c r="G2989" s="14">
        <f>IF(F2989&lt;&gt;"","按字段批注、数据字典和来源记录修正后复核","")</f>
        <v/>
      </c>
      <c r="H2989" s="14">
        <f>IF(F2989&lt;&gt;"","待处理","")</f>
        <v/>
      </c>
    </row>
    <row r="2990">
      <c r="A2990" s="14">
        <f>IF(F2990&lt;&gt;"","ISSUE-"&amp;TEXT(ROW()-1,"00000"),"")</f>
        <v/>
      </c>
      <c r="B2990" s="14">
        <f>IF(F2990&lt;&gt;"","错误","")</f>
        <v/>
      </c>
      <c r="C2990" s="14">
        <f>IF('07_动态状态'!A490&lt;&gt;"","07_动态状态","")</f>
        <v/>
      </c>
      <c r="D2990" s="14">
        <f>IF('07_动态状态'!A490&lt;&gt;"",'07_动态状态'!A490,"")</f>
        <v/>
      </c>
      <c r="E2990" s="14">
        <f>IF(F2990&lt;&gt;"","综合校验","")</f>
        <v/>
      </c>
      <c r="F2990" s="14">
        <f>IF('07_动态状态'!A490&lt;&gt;"",IF('07_动态状态'!A490="","缺少状态编码；","")&amp;IF('07_动态状态'!B490="","缺少状态名称；","")&amp;IF('07_动态状态'!C490="","缺少状态类别；","")&amp;IF(AND('07_动态状态'!A490&lt;&gt;"",COUNTIF('07_动态状态'!$A$2:$A$501,'07_动态状态'!A490)&gt;1),"ID重复；",""),"")</f>
        <v/>
      </c>
      <c r="G2990" s="14">
        <f>IF(F2990&lt;&gt;"","按字段批注、数据字典和来源记录修正后复核","")</f>
        <v/>
      </c>
      <c r="H2990" s="14">
        <f>IF(F2990&lt;&gt;"","待处理","")</f>
        <v/>
      </c>
    </row>
    <row r="2991">
      <c r="A2991" s="14">
        <f>IF(F2991&lt;&gt;"","ISSUE-"&amp;TEXT(ROW()-1,"00000"),"")</f>
        <v/>
      </c>
      <c r="B2991" s="14">
        <f>IF(F2991&lt;&gt;"","错误","")</f>
        <v/>
      </c>
      <c r="C2991" s="14">
        <f>IF('07_动态状态'!A491&lt;&gt;"","07_动态状态","")</f>
        <v/>
      </c>
      <c r="D2991" s="14">
        <f>IF('07_动态状态'!A491&lt;&gt;"",'07_动态状态'!A491,"")</f>
        <v/>
      </c>
      <c r="E2991" s="14">
        <f>IF(F2991&lt;&gt;"","综合校验","")</f>
        <v/>
      </c>
      <c r="F2991" s="14">
        <f>IF('07_动态状态'!A491&lt;&gt;"",IF('07_动态状态'!A491="","缺少状态编码；","")&amp;IF('07_动态状态'!B491="","缺少状态名称；","")&amp;IF('07_动态状态'!C491="","缺少状态类别；","")&amp;IF(AND('07_动态状态'!A491&lt;&gt;"",COUNTIF('07_动态状态'!$A$2:$A$501,'07_动态状态'!A491)&gt;1),"ID重复；",""),"")</f>
        <v/>
      </c>
      <c r="G2991" s="14">
        <f>IF(F2991&lt;&gt;"","按字段批注、数据字典和来源记录修正后复核","")</f>
        <v/>
      </c>
      <c r="H2991" s="14">
        <f>IF(F2991&lt;&gt;"","待处理","")</f>
        <v/>
      </c>
    </row>
    <row r="2992">
      <c r="A2992" s="14">
        <f>IF(F2992&lt;&gt;"","ISSUE-"&amp;TEXT(ROW()-1,"00000"),"")</f>
        <v/>
      </c>
      <c r="B2992" s="14">
        <f>IF(F2992&lt;&gt;"","错误","")</f>
        <v/>
      </c>
      <c r="C2992" s="14">
        <f>IF('07_动态状态'!A492&lt;&gt;"","07_动态状态","")</f>
        <v/>
      </c>
      <c r="D2992" s="14">
        <f>IF('07_动态状态'!A492&lt;&gt;"",'07_动态状态'!A492,"")</f>
        <v/>
      </c>
      <c r="E2992" s="14">
        <f>IF(F2992&lt;&gt;"","综合校验","")</f>
        <v/>
      </c>
      <c r="F2992" s="14">
        <f>IF('07_动态状态'!A492&lt;&gt;"",IF('07_动态状态'!A492="","缺少状态编码；","")&amp;IF('07_动态状态'!B492="","缺少状态名称；","")&amp;IF('07_动态状态'!C492="","缺少状态类别；","")&amp;IF(AND('07_动态状态'!A492&lt;&gt;"",COUNTIF('07_动态状态'!$A$2:$A$501,'07_动态状态'!A492)&gt;1),"ID重复；",""),"")</f>
        <v/>
      </c>
      <c r="G2992" s="14">
        <f>IF(F2992&lt;&gt;"","按字段批注、数据字典和来源记录修正后复核","")</f>
        <v/>
      </c>
      <c r="H2992" s="14">
        <f>IF(F2992&lt;&gt;"","待处理","")</f>
        <v/>
      </c>
    </row>
    <row r="2993">
      <c r="A2993" s="14">
        <f>IF(F2993&lt;&gt;"","ISSUE-"&amp;TEXT(ROW()-1,"00000"),"")</f>
        <v/>
      </c>
      <c r="B2993" s="14">
        <f>IF(F2993&lt;&gt;"","错误","")</f>
        <v/>
      </c>
      <c r="C2993" s="14">
        <f>IF('07_动态状态'!A493&lt;&gt;"","07_动态状态","")</f>
        <v/>
      </c>
      <c r="D2993" s="14">
        <f>IF('07_动态状态'!A493&lt;&gt;"",'07_动态状态'!A493,"")</f>
        <v/>
      </c>
      <c r="E2993" s="14">
        <f>IF(F2993&lt;&gt;"","综合校验","")</f>
        <v/>
      </c>
      <c r="F2993" s="14">
        <f>IF('07_动态状态'!A493&lt;&gt;"",IF('07_动态状态'!A493="","缺少状态编码；","")&amp;IF('07_动态状态'!B493="","缺少状态名称；","")&amp;IF('07_动态状态'!C493="","缺少状态类别；","")&amp;IF(AND('07_动态状态'!A493&lt;&gt;"",COUNTIF('07_动态状态'!$A$2:$A$501,'07_动态状态'!A493)&gt;1),"ID重复；",""),"")</f>
        <v/>
      </c>
      <c r="G2993" s="14">
        <f>IF(F2993&lt;&gt;"","按字段批注、数据字典和来源记录修正后复核","")</f>
        <v/>
      </c>
      <c r="H2993" s="14">
        <f>IF(F2993&lt;&gt;"","待处理","")</f>
        <v/>
      </c>
    </row>
    <row r="2994">
      <c r="A2994" s="14">
        <f>IF(F2994&lt;&gt;"","ISSUE-"&amp;TEXT(ROW()-1,"00000"),"")</f>
        <v/>
      </c>
      <c r="B2994" s="14">
        <f>IF(F2994&lt;&gt;"","错误","")</f>
        <v/>
      </c>
      <c r="C2994" s="14">
        <f>IF('07_动态状态'!A494&lt;&gt;"","07_动态状态","")</f>
        <v/>
      </c>
      <c r="D2994" s="14">
        <f>IF('07_动态状态'!A494&lt;&gt;"",'07_动态状态'!A494,"")</f>
        <v/>
      </c>
      <c r="E2994" s="14">
        <f>IF(F2994&lt;&gt;"","综合校验","")</f>
        <v/>
      </c>
      <c r="F2994" s="14">
        <f>IF('07_动态状态'!A494&lt;&gt;"",IF('07_动态状态'!A494="","缺少状态编码；","")&amp;IF('07_动态状态'!B494="","缺少状态名称；","")&amp;IF('07_动态状态'!C494="","缺少状态类别；","")&amp;IF(AND('07_动态状态'!A494&lt;&gt;"",COUNTIF('07_动态状态'!$A$2:$A$501,'07_动态状态'!A494)&gt;1),"ID重复；",""),"")</f>
        <v/>
      </c>
      <c r="G2994" s="14">
        <f>IF(F2994&lt;&gt;"","按字段批注、数据字典和来源记录修正后复核","")</f>
        <v/>
      </c>
      <c r="H2994" s="14">
        <f>IF(F2994&lt;&gt;"","待处理","")</f>
        <v/>
      </c>
    </row>
    <row r="2995">
      <c r="A2995" s="14">
        <f>IF(F2995&lt;&gt;"","ISSUE-"&amp;TEXT(ROW()-1,"00000"),"")</f>
        <v/>
      </c>
      <c r="B2995" s="14">
        <f>IF(F2995&lt;&gt;"","错误","")</f>
        <v/>
      </c>
      <c r="C2995" s="14">
        <f>IF('07_动态状态'!A495&lt;&gt;"","07_动态状态","")</f>
        <v/>
      </c>
      <c r="D2995" s="14">
        <f>IF('07_动态状态'!A495&lt;&gt;"",'07_动态状态'!A495,"")</f>
        <v/>
      </c>
      <c r="E2995" s="14">
        <f>IF(F2995&lt;&gt;"","综合校验","")</f>
        <v/>
      </c>
      <c r="F2995" s="14">
        <f>IF('07_动态状态'!A495&lt;&gt;"",IF('07_动态状态'!A495="","缺少状态编码；","")&amp;IF('07_动态状态'!B495="","缺少状态名称；","")&amp;IF('07_动态状态'!C495="","缺少状态类别；","")&amp;IF(AND('07_动态状态'!A495&lt;&gt;"",COUNTIF('07_动态状态'!$A$2:$A$501,'07_动态状态'!A495)&gt;1),"ID重复；",""),"")</f>
        <v/>
      </c>
      <c r="G2995" s="14">
        <f>IF(F2995&lt;&gt;"","按字段批注、数据字典和来源记录修正后复核","")</f>
        <v/>
      </c>
      <c r="H2995" s="14">
        <f>IF(F2995&lt;&gt;"","待处理","")</f>
        <v/>
      </c>
    </row>
    <row r="2996">
      <c r="A2996" s="14">
        <f>IF(F2996&lt;&gt;"","ISSUE-"&amp;TEXT(ROW()-1,"00000"),"")</f>
        <v/>
      </c>
      <c r="B2996" s="14">
        <f>IF(F2996&lt;&gt;"","错误","")</f>
        <v/>
      </c>
      <c r="C2996" s="14">
        <f>IF('07_动态状态'!A496&lt;&gt;"","07_动态状态","")</f>
        <v/>
      </c>
      <c r="D2996" s="14">
        <f>IF('07_动态状态'!A496&lt;&gt;"",'07_动态状态'!A496,"")</f>
        <v/>
      </c>
      <c r="E2996" s="14">
        <f>IF(F2996&lt;&gt;"","综合校验","")</f>
        <v/>
      </c>
      <c r="F2996" s="14">
        <f>IF('07_动态状态'!A496&lt;&gt;"",IF('07_动态状态'!A496="","缺少状态编码；","")&amp;IF('07_动态状态'!B496="","缺少状态名称；","")&amp;IF('07_动态状态'!C496="","缺少状态类别；","")&amp;IF(AND('07_动态状态'!A496&lt;&gt;"",COUNTIF('07_动态状态'!$A$2:$A$501,'07_动态状态'!A496)&gt;1),"ID重复；",""),"")</f>
        <v/>
      </c>
      <c r="G2996" s="14">
        <f>IF(F2996&lt;&gt;"","按字段批注、数据字典和来源记录修正后复核","")</f>
        <v/>
      </c>
      <c r="H2996" s="14">
        <f>IF(F2996&lt;&gt;"","待处理","")</f>
        <v/>
      </c>
    </row>
    <row r="2997">
      <c r="A2997" s="14">
        <f>IF(F2997&lt;&gt;"","ISSUE-"&amp;TEXT(ROW()-1,"00000"),"")</f>
        <v/>
      </c>
      <c r="B2997" s="14">
        <f>IF(F2997&lt;&gt;"","错误","")</f>
        <v/>
      </c>
      <c r="C2997" s="14">
        <f>IF('07_动态状态'!A497&lt;&gt;"","07_动态状态","")</f>
        <v/>
      </c>
      <c r="D2997" s="14">
        <f>IF('07_动态状态'!A497&lt;&gt;"",'07_动态状态'!A497,"")</f>
        <v/>
      </c>
      <c r="E2997" s="14">
        <f>IF(F2997&lt;&gt;"","综合校验","")</f>
        <v/>
      </c>
      <c r="F2997" s="14">
        <f>IF('07_动态状态'!A497&lt;&gt;"",IF('07_动态状态'!A497="","缺少状态编码；","")&amp;IF('07_动态状态'!B497="","缺少状态名称；","")&amp;IF('07_动态状态'!C497="","缺少状态类别；","")&amp;IF(AND('07_动态状态'!A497&lt;&gt;"",COUNTIF('07_动态状态'!$A$2:$A$501,'07_动态状态'!A497)&gt;1),"ID重复；",""),"")</f>
        <v/>
      </c>
      <c r="G2997" s="14">
        <f>IF(F2997&lt;&gt;"","按字段批注、数据字典和来源记录修正后复核","")</f>
        <v/>
      </c>
      <c r="H2997" s="14">
        <f>IF(F2997&lt;&gt;"","待处理","")</f>
        <v/>
      </c>
    </row>
    <row r="2998">
      <c r="A2998" s="14">
        <f>IF(F2998&lt;&gt;"","ISSUE-"&amp;TEXT(ROW()-1,"00000"),"")</f>
        <v/>
      </c>
      <c r="B2998" s="14">
        <f>IF(F2998&lt;&gt;"","错误","")</f>
        <v/>
      </c>
      <c r="C2998" s="14">
        <f>IF('07_动态状态'!A498&lt;&gt;"","07_动态状态","")</f>
        <v/>
      </c>
      <c r="D2998" s="14">
        <f>IF('07_动态状态'!A498&lt;&gt;"",'07_动态状态'!A498,"")</f>
        <v/>
      </c>
      <c r="E2998" s="14">
        <f>IF(F2998&lt;&gt;"","综合校验","")</f>
        <v/>
      </c>
      <c r="F2998" s="14">
        <f>IF('07_动态状态'!A498&lt;&gt;"",IF('07_动态状态'!A498="","缺少状态编码；","")&amp;IF('07_动态状态'!B498="","缺少状态名称；","")&amp;IF('07_动态状态'!C498="","缺少状态类别；","")&amp;IF(AND('07_动态状态'!A498&lt;&gt;"",COUNTIF('07_动态状态'!$A$2:$A$501,'07_动态状态'!A498)&gt;1),"ID重复；",""),"")</f>
        <v/>
      </c>
      <c r="G2998" s="14">
        <f>IF(F2998&lt;&gt;"","按字段批注、数据字典和来源记录修正后复核","")</f>
        <v/>
      </c>
      <c r="H2998" s="14">
        <f>IF(F2998&lt;&gt;"","待处理","")</f>
        <v/>
      </c>
    </row>
    <row r="2999">
      <c r="A2999" s="14">
        <f>IF(F2999&lt;&gt;"","ISSUE-"&amp;TEXT(ROW()-1,"00000"),"")</f>
        <v/>
      </c>
      <c r="B2999" s="14">
        <f>IF(F2999&lt;&gt;"","错误","")</f>
        <v/>
      </c>
      <c r="C2999" s="14">
        <f>IF('07_动态状态'!A499&lt;&gt;"","07_动态状态","")</f>
        <v/>
      </c>
      <c r="D2999" s="14">
        <f>IF('07_动态状态'!A499&lt;&gt;"",'07_动态状态'!A499,"")</f>
        <v/>
      </c>
      <c r="E2999" s="14">
        <f>IF(F2999&lt;&gt;"","综合校验","")</f>
        <v/>
      </c>
      <c r="F2999" s="14">
        <f>IF('07_动态状态'!A499&lt;&gt;"",IF('07_动态状态'!A499="","缺少状态编码；","")&amp;IF('07_动态状态'!B499="","缺少状态名称；","")&amp;IF('07_动态状态'!C499="","缺少状态类别；","")&amp;IF(AND('07_动态状态'!A499&lt;&gt;"",COUNTIF('07_动态状态'!$A$2:$A$501,'07_动态状态'!A499)&gt;1),"ID重复；",""),"")</f>
        <v/>
      </c>
      <c r="G2999" s="14">
        <f>IF(F2999&lt;&gt;"","按字段批注、数据字典和来源记录修正后复核","")</f>
        <v/>
      </c>
      <c r="H2999" s="14">
        <f>IF(F2999&lt;&gt;"","待处理","")</f>
        <v/>
      </c>
    </row>
    <row r="3000">
      <c r="A3000" s="14">
        <f>IF(F3000&lt;&gt;"","ISSUE-"&amp;TEXT(ROW()-1,"00000"),"")</f>
        <v/>
      </c>
      <c r="B3000" s="14">
        <f>IF(F3000&lt;&gt;"","错误","")</f>
        <v/>
      </c>
      <c r="C3000" s="14">
        <f>IF('07_动态状态'!A500&lt;&gt;"","07_动态状态","")</f>
        <v/>
      </c>
      <c r="D3000" s="14">
        <f>IF('07_动态状态'!A500&lt;&gt;"",'07_动态状态'!A500,"")</f>
        <v/>
      </c>
      <c r="E3000" s="14">
        <f>IF(F3000&lt;&gt;"","综合校验","")</f>
        <v/>
      </c>
      <c r="F3000" s="14">
        <f>IF('07_动态状态'!A500&lt;&gt;"",IF('07_动态状态'!A500="","缺少状态编码；","")&amp;IF('07_动态状态'!B500="","缺少状态名称；","")&amp;IF('07_动态状态'!C500="","缺少状态类别；","")&amp;IF(AND('07_动态状态'!A500&lt;&gt;"",COUNTIF('07_动态状态'!$A$2:$A$501,'07_动态状态'!A500)&gt;1),"ID重复；",""),"")</f>
        <v/>
      </c>
      <c r="G3000" s="14">
        <f>IF(F3000&lt;&gt;"","按字段批注、数据字典和来源记录修正后复核","")</f>
        <v/>
      </c>
      <c r="H3000" s="14">
        <f>IF(F3000&lt;&gt;"","待处理","")</f>
        <v/>
      </c>
    </row>
    <row r="3001">
      <c r="A3001" s="14">
        <f>IF(F3001&lt;&gt;"","ISSUE-"&amp;TEXT(ROW()-1,"00000"),"")</f>
        <v/>
      </c>
      <c r="B3001" s="14">
        <f>IF(F3001&lt;&gt;"","错误","")</f>
        <v/>
      </c>
      <c r="C3001" s="14">
        <f>IF('07_动态状态'!A501&lt;&gt;"","07_动态状态","")</f>
        <v/>
      </c>
      <c r="D3001" s="14">
        <f>IF('07_动态状态'!A501&lt;&gt;"",'07_动态状态'!A501,"")</f>
        <v/>
      </c>
      <c r="E3001" s="14">
        <f>IF(F3001&lt;&gt;"","综合校验","")</f>
        <v/>
      </c>
      <c r="F3001" s="14">
        <f>IF('07_动态状态'!A501&lt;&gt;"",IF('07_动态状态'!A501="","缺少状态编码；","")&amp;IF('07_动态状态'!B501="","缺少状态名称；","")&amp;IF('07_动态状态'!C501="","缺少状态类别；","")&amp;IF(AND('07_动态状态'!A501&lt;&gt;"",COUNTIF('07_动态状态'!$A$2:$A$501,'07_动态状态'!A501)&gt;1),"ID重复；",""),"")</f>
        <v/>
      </c>
      <c r="G3001" s="14">
        <f>IF(F3001&lt;&gt;"","按字段批注、数据字典和来源记录修正后复核","")</f>
        <v/>
      </c>
      <c r="H3001" s="14">
        <f>IF(F3001&lt;&gt;"","待处理","")</f>
        <v/>
      </c>
    </row>
    <row r="3002">
      <c r="A3002" s="14">
        <f>IF(F3002&lt;&gt;"","ISSUE-"&amp;TEXT(ROW()-1,"00000"),"")</f>
        <v/>
      </c>
      <c r="B3002" s="14">
        <f>IF(F3002&lt;&gt;"","错误","")</f>
        <v/>
      </c>
      <c r="C3002" s="14">
        <f>IF('08_资产清单'!A2&lt;&gt;"","08_资产清单","")</f>
        <v/>
      </c>
      <c r="D3002" s="14">
        <f>IF('08_资产清单'!A2&lt;&gt;"",'08_资产清单'!A2,"")</f>
        <v/>
      </c>
      <c r="E3002" s="14">
        <f>IF(F3002&lt;&gt;"","综合校验","")</f>
        <v/>
      </c>
      <c r="F3002" s="14">
        <f>IF('08_资产清单'!A2&lt;&gt;"",IF('08_资产清单'!A2="","缺少资产ID；","")&amp;IF('08_资产清单'!B2="","缺少资产名称；","")&amp;IF('08_资产清单'!C2="","缺少对象ID；","")&amp;IF('08_资产清单'!D2="","缺少资产类别；","")&amp;IF('08_资产清单'!G2="","缺少文件名；","")&amp;IF(AND('08_资产清单'!C2&lt;&gt;"",COUNTIF('02_固定地理'!$A$2:$A$501,'08_资产清单'!C2)+COUNTIF('03_地点锚点'!$A$2:$A$501,'08_资产清单'!C2)+COUNTIF('04_路径网络'!$A$2:$A$501,'08_资产清单'!C2)+COUNTIF('06_建筑锚点'!$A$2:$A$501,'08_资产清单'!C2)=0),"资产引用对象不存在；","")&amp;IF(AND('08_资产清单'!E2&lt;&gt;"",COUNTIF('07_动态状态'!$A$2:$A$501,'08_资产清单'!E2)=0),"状态编码不存在；","")&amp;IF(AND('08_资产清单'!G2&lt;&gt;"",COUNTIF('08_资产清单'!$G$2:$G$501,'08_资产清单'!G2)&gt;1),"文件名重复；","")&amp;IF(AND('08_资产清单'!A2&lt;&gt;"",COUNTIF('08_资产清单'!$A$2:$A$501,'08_资产清单'!A2)&gt;1),"ID重复；",""),"")</f>
        <v/>
      </c>
      <c r="G3002" s="14">
        <f>IF(F3002&lt;&gt;"","按字段批注、数据字典和来源记录修正后复核","")</f>
        <v/>
      </c>
      <c r="H3002" s="14">
        <f>IF(F3002&lt;&gt;"","待处理","")</f>
        <v/>
      </c>
    </row>
    <row r="3003">
      <c r="A3003" s="14">
        <f>IF(F3003&lt;&gt;"","ISSUE-"&amp;TEXT(ROW()-1,"00000"),"")</f>
        <v/>
      </c>
      <c r="B3003" s="14">
        <f>IF(F3003&lt;&gt;"","错误","")</f>
        <v/>
      </c>
      <c r="C3003" s="14">
        <f>IF('08_资产清单'!A3&lt;&gt;"","08_资产清单","")</f>
        <v/>
      </c>
      <c r="D3003" s="14">
        <f>IF('08_资产清单'!A3&lt;&gt;"",'08_资产清单'!A3,"")</f>
        <v/>
      </c>
      <c r="E3003" s="14">
        <f>IF(F3003&lt;&gt;"","综合校验","")</f>
        <v/>
      </c>
      <c r="F3003" s="14">
        <f>IF('08_资产清单'!A3&lt;&gt;"",IF('08_资产清单'!A3="","缺少资产ID；","")&amp;IF('08_资产清单'!B3="","缺少资产名称；","")&amp;IF('08_资产清单'!C3="","缺少对象ID；","")&amp;IF('08_资产清单'!D3="","缺少资产类别；","")&amp;IF('08_资产清单'!G3="","缺少文件名；","")&amp;IF(AND('08_资产清单'!C3&lt;&gt;"",COUNTIF('02_固定地理'!$A$2:$A$501,'08_资产清单'!C3)+COUNTIF('03_地点锚点'!$A$2:$A$501,'08_资产清单'!C3)+COUNTIF('04_路径网络'!$A$2:$A$501,'08_资产清单'!C3)+COUNTIF('06_建筑锚点'!$A$2:$A$501,'08_资产清单'!C3)=0),"资产引用对象不存在；","")&amp;IF(AND('08_资产清单'!E3&lt;&gt;"",COUNTIF('07_动态状态'!$A$2:$A$501,'08_资产清单'!E3)=0),"状态编码不存在；","")&amp;IF(AND('08_资产清单'!G3&lt;&gt;"",COUNTIF('08_资产清单'!$G$2:$G$501,'08_资产清单'!G3)&gt;1),"文件名重复；","")&amp;IF(AND('08_资产清单'!A3&lt;&gt;"",COUNTIF('08_资产清单'!$A$2:$A$501,'08_资产清单'!A3)&gt;1),"ID重复；",""),"")</f>
        <v/>
      </c>
      <c r="G3003" s="14">
        <f>IF(F3003&lt;&gt;"","按字段批注、数据字典和来源记录修正后复核","")</f>
        <v/>
      </c>
      <c r="H3003" s="14">
        <f>IF(F3003&lt;&gt;"","待处理","")</f>
        <v/>
      </c>
    </row>
    <row r="3004">
      <c r="A3004" s="14">
        <f>IF(F3004&lt;&gt;"","ISSUE-"&amp;TEXT(ROW()-1,"00000"),"")</f>
        <v/>
      </c>
      <c r="B3004" s="14">
        <f>IF(F3004&lt;&gt;"","错误","")</f>
        <v/>
      </c>
      <c r="C3004" s="14">
        <f>IF('08_资产清单'!A4&lt;&gt;"","08_资产清单","")</f>
        <v/>
      </c>
      <c r="D3004" s="14">
        <f>IF('08_资产清单'!A4&lt;&gt;"",'08_资产清单'!A4,"")</f>
        <v/>
      </c>
      <c r="E3004" s="14">
        <f>IF(F3004&lt;&gt;"","综合校验","")</f>
        <v/>
      </c>
      <c r="F3004" s="14">
        <f>IF('08_资产清单'!A4&lt;&gt;"",IF('08_资产清单'!A4="","缺少资产ID；","")&amp;IF('08_资产清单'!B4="","缺少资产名称；","")&amp;IF('08_资产清单'!C4="","缺少对象ID；","")&amp;IF('08_资产清单'!D4="","缺少资产类别；","")&amp;IF('08_资产清单'!G4="","缺少文件名；","")&amp;IF(AND('08_资产清单'!C4&lt;&gt;"",COUNTIF('02_固定地理'!$A$2:$A$501,'08_资产清单'!C4)+COUNTIF('03_地点锚点'!$A$2:$A$501,'08_资产清单'!C4)+COUNTIF('04_路径网络'!$A$2:$A$501,'08_资产清单'!C4)+COUNTIF('06_建筑锚点'!$A$2:$A$501,'08_资产清单'!C4)=0),"资产引用对象不存在；","")&amp;IF(AND('08_资产清单'!E4&lt;&gt;"",COUNTIF('07_动态状态'!$A$2:$A$501,'08_资产清单'!E4)=0),"状态编码不存在；","")&amp;IF(AND('08_资产清单'!G4&lt;&gt;"",COUNTIF('08_资产清单'!$G$2:$G$501,'08_资产清单'!G4)&gt;1),"文件名重复；","")&amp;IF(AND('08_资产清单'!A4&lt;&gt;"",COUNTIF('08_资产清单'!$A$2:$A$501,'08_资产清单'!A4)&gt;1),"ID重复；",""),"")</f>
        <v/>
      </c>
      <c r="G3004" s="14">
        <f>IF(F3004&lt;&gt;"","按字段批注、数据字典和来源记录修正后复核","")</f>
        <v/>
      </c>
      <c r="H3004" s="14">
        <f>IF(F3004&lt;&gt;"","待处理","")</f>
        <v/>
      </c>
    </row>
    <row r="3005">
      <c r="A3005" s="14">
        <f>IF(F3005&lt;&gt;"","ISSUE-"&amp;TEXT(ROW()-1,"00000"),"")</f>
        <v/>
      </c>
      <c r="B3005" s="14">
        <f>IF(F3005&lt;&gt;"","错误","")</f>
        <v/>
      </c>
      <c r="C3005" s="14">
        <f>IF('08_资产清单'!A5&lt;&gt;"","08_资产清单","")</f>
        <v/>
      </c>
      <c r="D3005" s="14">
        <f>IF('08_资产清单'!A5&lt;&gt;"",'08_资产清单'!A5,"")</f>
        <v/>
      </c>
      <c r="E3005" s="14">
        <f>IF(F3005&lt;&gt;"","综合校验","")</f>
        <v/>
      </c>
      <c r="F3005" s="14">
        <f>IF('08_资产清单'!A5&lt;&gt;"",IF('08_资产清单'!A5="","缺少资产ID；","")&amp;IF('08_资产清单'!B5="","缺少资产名称；","")&amp;IF('08_资产清单'!C5="","缺少对象ID；","")&amp;IF('08_资产清单'!D5="","缺少资产类别；","")&amp;IF('08_资产清单'!G5="","缺少文件名；","")&amp;IF(AND('08_资产清单'!C5&lt;&gt;"",COUNTIF('02_固定地理'!$A$2:$A$501,'08_资产清单'!C5)+COUNTIF('03_地点锚点'!$A$2:$A$501,'08_资产清单'!C5)+COUNTIF('04_路径网络'!$A$2:$A$501,'08_资产清单'!C5)+COUNTIF('06_建筑锚点'!$A$2:$A$501,'08_资产清单'!C5)=0),"资产引用对象不存在；","")&amp;IF(AND('08_资产清单'!E5&lt;&gt;"",COUNTIF('07_动态状态'!$A$2:$A$501,'08_资产清单'!E5)=0),"状态编码不存在；","")&amp;IF(AND('08_资产清单'!G5&lt;&gt;"",COUNTIF('08_资产清单'!$G$2:$G$501,'08_资产清单'!G5)&gt;1),"文件名重复；","")&amp;IF(AND('08_资产清单'!A5&lt;&gt;"",COUNTIF('08_资产清单'!$A$2:$A$501,'08_资产清单'!A5)&gt;1),"ID重复；",""),"")</f>
        <v/>
      </c>
      <c r="G3005" s="14">
        <f>IF(F3005&lt;&gt;"","按字段批注、数据字典和来源记录修正后复核","")</f>
        <v/>
      </c>
      <c r="H3005" s="14">
        <f>IF(F3005&lt;&gt;"","待处理","")</f>
        <v/>
      </c>
    </row>
    <row r="3006">
      <c r="A3006" s="14">
        <f>IF(F3006&lt;&gt;"","ISSUE-"&amp;TEXT(ROW()-1,"00000"),"")</f>
        <v/>
      </c>
      <c r="B3006" s="14">
        <f>IF(F3006&lt;&gt;"","错误","")</f>
        <v/>
      </c>
      <c r="C3006" s="14">
        <f>IF('08_资产清单'!A6&lt;&gt;"","08_资产清单","")</f>
        <v/>
      </c>
      <c r="D3006" s="14">
        <f>IF('08_资产清单'!A6&lt;&gt;"",'08_资产清单'!A6,"")</f>
        <v/>
      </c>
      <c r="E3006" s="14">
        <f>IF(F3006&lt;&gt;"","综合校验","")</f>
        <v/>
      </c>
      <c r="F3006" s="14">
        <f>IF('08_资产清单'!A6&lt;&gt;"",IF('08_资产清单'!A6="","缺少资产ID；","")&amp;IF('08_资产清单'!B6="","缺少资产名称；","")&amp;IF('08_资产清单'!C6="","缺少对象ID；","")&amp;IF('08_资产清单'!D6="","缺少资产类别；","")&amp;IF('08_资产清单'!G6="","缺少文件名；","")&amp;IF(AND('08_资产清单'!C6&lt;&gt;"",COUNTIF('02_固定地理'!$A$2:$A$501,'08_资产清单'!C6)+COUNTIF('03_地点锚点'!$A$2:$A$501,'08_资产清单'!C6)+COUNTIF('04_路径网络'!$A$2:$A$501,'08_资产清单'!C6)+COUNTIF('06_建筑锚点'!$A$2:$A$501,'08_资产清单'!C6)=0),"资产引用对象不存在；","")&amp;IF(AND('08_资产清单'!E6&lt;&gt;"",COUNTIF('07_动态状态'!$A$2:$A$501,'08_资产清单'!E6)=0),"状态编码不存在；","")&amp;IF(AND('08_资产清单'!G6&lt;&gt;"",COUNTIF('08_资产清单'!$G$2:$G$501,'08_资产清单'!G6)&gt;1),"文件名重复；","")&amp;IF(AND('08_资产清单'!A6&lt;&gt;"",COUNTIF('08_资产清单'!$A$2:$A$501,'08_资产清单'!A6)&gt;1),"ID重复；",""),"")</f>
        <v/>
      </c>
      <c r="G3006" s="14">
        <f>IF(F3006&lt;&gt;"","按字段批注、数据字典和来源记录修正后复核","")</f>
        <v/>
      </c>
      <c r="H3006" s="14">
        <f>IF(F3006&lt;&gt;"","待处理","")</f>
        <v/>
      </c>
    </row>
    <row r="3007">
      <c r="A3007" s="14">
        <f>IF(F3007&lt;&gt;"","ISSUE-"&amp;TEXT(ROW()-1,"00000"),"")</f>
        <v/>
      </c>
      <c r="B3007" s="14">
        <f>IF(F3007&lt;&gt;"","错误","")</f>
        <v/>
      </c>
      <c r="C3007" s="14">
        <f>IF('08_资产清单'!A7&lt;&gt;"","08_资产清单","")</f>
        <v/>
      </c>
      <c r="D3007" s="14">
        <f>IF('08_资产清单'!A7&lt;&gt;"",'08_资产清单'!A7,"")</f>
        <v/>
      </c>
      <c r="E3007" s="14">
        <f>IF(F3007&lt;&gt;"","综合校验","")</f>
        <v/>
      </c>
      <c r="F3007" s="14">
        <f>IF('08_资产清单'!A7&lt;&gt;"",IF('08_资产清单'!A7="","缺少资产ID；","")&amp;IF('08_资产清单'!B7="","缺少资产名称；","")&amp;IF('08_资产清单'!C7="","缺少对象ID；","")&amp;IF('08_资产清单'!D7="","缺少资产类别；","")&amp;IF('08_资产清单'!G7="","缺少文件名；","")&amp;IF(AND('08_资产清单'!C7&lt;&gt;"",COUNTIF('02_固定地理'!$A$2:$A$501,'08_资产清单'!C7)+COUNTIF('03_地点锚点'!$A$2:$A$501,'08_资产清单'!C7)+COUNTIF('04_路径网络'!$A$2:$A$501,'08_资产清单'!C7)+COUNTIF('06_建筑锚点'!$A$2:$A$501,'08_资产清单'!C7)=0),"资产引用对象不存在；","")&amp;IF(AND('08_资产清单'!E7&lt;&gt;"",COUNTIF('07_动态状态'!$A$2:$A$501,'08_资产清单'!E7)=0),"状态编码不存在；","")&amp;IF(AND('08_资产清单'!G7&lt;&gt;"",COUNTIF('08_资产清单'!$G$2:$G$501,'08_资产清单'!G7)&gt;1),"文件名重复；","")&amp;IF(AND('08_资产清单'!A7&lt;&gt;"",COUNTIF('08_资产清单'!$A$2:$A$501,'08_资产清单'!A7)&gt;1),"ID重复；",""),"")</f>
        <v/>
      </c>
      <c r="G3007" s="14">
        <f>IF(F3007&lt;&gt;"","按字段批注、数据字典和来源记录修正后复核","")</f>
        <v/>
      </c>
      <c r="H3007" s="14">
        <f>IF(F3007&lt;&gt;"","待处理","")</f>
        <v/>
      </c>
    </row>
    <row r="3008">
      <c r="A3008" s="14">
        <f>IF(F3008&lt;&gt;"","ISSUE-"&amp;TEXT(ROW()-1,"00000"),"")</f>
        <v/>
      </c>
      <c r="B3008" s="14">
        <f>IF(F3008&lt;&gt;"","错误","")</f>
        <v/>
      </c>
      <c r="C3008" s="14">
        <f>IF('08_资产清单'!A8&lt;&gt;"","08_资产清单","")</f>
        <v/>
      </c>
      <c r="D3008" s="14">
        <f>IF('08_资产清单'!A8&lt;&gt;"",'08_资产清单'!A8,"")</f>
        <v/>
      </c>
      <c r="E3008" s="14">
        <f>IF(F3008&lt;&gt;"","综合校验","")</f>
        <v/>
      </c>
      <c r="F3008" s="14">
        <f>IF('08_资产清单'!A8&lt;&gt;"",IF('08_资产清单'!A8="","缺少资产ID；","")&amp;IF('08_资产清单'!B8="","缺少资产名称；","")&amp;IF('08_资产清单'!C8="","缺少对象ID；","")&amp;IF('08_资产清单'!D8="","缺少资产类别；","")&amp;IF('08_资产清单'!G8="","缺少文件名；","")&amp;IF(AND('08_资产清单'!C8&lt;&gt;"",COUNTIF('02_固定地理'!$A$2:$A$501,'08_资产清单'!C8)+COUNTIF('03_地点锚点'!$A$2:$A$501,'08_资产清单'!C8)+COUNTIF('04_路径网络'!$A$2:$A$501,'08_资产清单'!C8)+COUNTIF('06_建筑锚点'!$A$2:$A$501,'08_资产清单'!C8)=0),"资产引用对象不存在；","")&amp;IF(AND('08_资产清单'!E8&lt;&gt;"",COUNTIF('07_动态状态'!$A$2:$A$501,'08_资产清单'!E8)=0),"状态编码不存在；","")&amp;IF(AND('08_资产清单'!G8&lt;&gt;"",COUNTIF('08_资产清单'!$G$2:$G$501,'08_资产清单'!G8)&gt;1),"文件名重复；","")&amp;IF(AND('08_资产清单'!A8&lt;&gt;"",COUNTIF('08_资产清单'!$A$2:$A$501,'08_资产清单'!A8)&gt;1),"ID重复；",""),"")</f>
        <v/>
      </c>
      <c r="G3008" s="14">
        <f>IF(F3008&lt;&gt;"","按字段批注、数据字典和来源记录修正后复核","")</f>
        <v/>
      </c>
      <c r="H3008" s="14">
        <f>IF(F3008&lt;&gt;"","待处理","")</f>
        <v/>
      </c>
    </row>
    <row r="3009">
      <c r="A3009" s="14">
        <f>IF(F3009&lt;&gt;"","ISSUE-"&amp;TEXT(ROW()-1,"00000"),"")</f>
        <v/>
      </c>
      <c r="B3009" s="14">
        <f>IF(F3009&lt;&gt;"","错误","")</f>
        <v/>
      </c>
      <c r="C3009" s="14">
        <f>IF('08_资产清单'!A9&lt;&gt;"","08_资产清单","")</f>
        <v/>
      </c>
      <c r="D3009" s="14">
        <f>IF('08_资产清单'!A9&lt;&gt;"",'08_资产清单'!A9,"")</f>
        <v/>
      </c>
      <c r="E3009" s="14">
        <f>IF(F3009&lt;&gt;"","综合校验","")</f>
        <v/>
      </c>
      <c r="F3009" s="14">
        <f>IF('08_资产清单'!A9&lt;&gt;"",IF('08_资产清单'!A9="","缺少资产ID；","")&amp;IF('08_资产清单'!B9="","缺少资产名称；","")&amp;IF('08_资产清单'!C9="","缺少对象ID；","")&amp;IF('08_资产清单'!D9="","缺少资产类别；","")&amp;IF('08_资产清单'!G9="","缺少文件名；","")&amp;IF(AND('08_资产清单'!C9&lt;&gt;"",COUNTIF('02_固定地理'!$A$2:$A$501,'08_资产清单'!C9)+COUNTIF('03_地点锚点'!$A$2:$A$501,'08_资产清单'!C9)+COUNTIF('04_路径网络'!$A$2:$A$501,'08_资产清单'!C9)+COUNTIF('06_建筑锚点'!$A$2:$A$501,'08_资产清单'!C9)=0),"资产引用对象不存在；","")&amp;IF(AND('08_资产清单'!E9&lt;&gt;"",COUNTIF('07_动态状态'!$A$2:$A$501,'08_资产清单'!E9)=0),"状态编码不存在；","")&amp;IF(AND('08_资产清单'!G9&lt;&gt;"",COUNTIF('08_资产清单'!$G$2:$G$501,'08_资产清单'!G9)&gt;1),"文件名重复；","")&amp;IF(AND('08_资产清单'!A9&lt;&gt;"",COUNTIF('08_资产清单'!$A$2:$A$501,'08_资产清单'!A9)&gt;1),"ID重复；",""),"")</f>
        <v/>
      </c>
      <c r="G3009" s="14">
        <f>IF(F3009&lt;&gt;"","按字段批注、数据字典和来源记录修正后复核","")</f>
        <v/>
      </c>
      <c r="H3009" s="14">
        <f>IF(F3009&lt;&gt;"","待处理","")</f>
        <v/>
      </c>
    </row>
    <row r="3010">
      <c r="A3010" s="14">
        <f>IF(F3010&lt;&gt;"","ISSUE-"&amp;TEXT(ROW()-1,"00000"),"")</f>
        <v/>
      </c>
      <c r="B3010" s="14">
        <f>IF(F3010&lt;&gt;"","错误","")</f>
        <v/>
      </c>
      <c r="C3010" s="14">
        <f>IF('08_资产清单'!A10&lt;&gt;"","08_资产清单","")</f>
        <v/>
      </c>
      <c r="D3010" s="14">
        <f>IF('08_资产清单'!A10&lt;&gt;"",'08_资产清单'!A10,"")</f>
        <v/>
      </c>
      <c r="E3010" s="14">
        <f>IF(F3010&lt;&gt;"","综合校验","")</f>
        <v/>
      </c>
      <c r="F3010" s="14">
        <f>IF('08_资产清单'!A10&lt;&gt;"",IF('08_资产清单'!A10="","缺少资产ID；","")&amp;IF('08_资产清单'!B10="","缺少资产名称；","")&amp;IF('08_资产清单'!C10="","缺少对象ID；","")&amp;IF('08_资产清单'!D10="","缺少资产类别；","")&amp;IF('08_资产清单'!G10="","缺少文件名；","")&amp;IF(AND('08_资产清单'!C10&lt;&gt;"",COUNTIF('02_固定地理'!$A$2:$A$501,'08_资产清单'!C10)+COUNTIF('03_地点锚点'!$A$2:$A$501,'08_资产清单'!C10)+COUNTIF('04_路径网络'!$A$2:$A$501,'08_资产清单'!C10)+COUNTIF('06_建筑锚点'!$A$2:$A$501,'08_资产清单'!C10)=0),"资产引用对象不存在；","")&amp;IF(AND('08_资产清单'!E10&lt;&gt;"",COUNTIF('07_动态状态'!$A$2:$A$501,'08_资产清单'!E10)=0),"状态编码不存在；","")&amp;IF(AND('08_资产清单'!G10&lt;&gt;"",COUNTIF('08_资产清单'!$G$2:$G$501,'08_资产清单'!G10)&gt;1),"文件名重复；","")&amp;IF(AND('08_资产清单'!A10&lt;&gt;"",COUNTIF('08_资产清单'!$A$2:$A$501,'08_资产清单'!A10)&gt;1),"ID重复；",""),"")</f>
        <v/>
      </c>
      <c r="G3010" s="14">
        <f>IF(F3010&lt;&gt;"","按字段批注、数据字典和来源记录修正后复核","")</f>
        <v/>
      </c>
      <c r="H3010" s="14">
        <f>IF(F3010&lt;&gt;"","待处理","")</f>
        <v/>
      </c>
    </row>
    <row r="3011">
      <c r="A3011" s="14">
        <f>IF(F3011&lt;&gt;"","ISSUE-"&amp;TEXT(ROW()-1,"00000"),"")</f>
        <v/>
      </c>
      <c r="B3011" s="14">
        <f>IF(F3011&lt;&gt;"","错误","")</f>
        <v/>
      </c>
      <c r="C3011" s="14">
        <f>IF('08_资产清单'!A11&lt;&gt;"","08_资产清单","")</f>
        <v/>
      </c>
      <c r="D3011" s="14">
        <f>IF('08_资产清单'!A11&lt;&gt;"",'08_资产清单'!A11,"")</f>
        <v/>
      </c>
      <c r="E3011" s="14">
        <f>IF(F3011&lt;&gt;"","综合校验","")</f>
        <v/>
      </c>
      <c r="F3011" s="14">
        <f>IF('08_资产清单'!A11&lt;&gt;"",IF('08_资产清单'!A11="","缺少资产ID；","")&amp;IF('08_资产清单'!B11="","缺少资产名称；","")&amp;IF('08_资产清单'!C11="","缺少对象ID；","")&amp;IF('08_资产清单'!D11="","缺少资产类别；","")&amp;IF('08_资产清单'!G11="","缺少文件名；","")&amp;IF(AND('08_资产清单'!C11&lt;&gt;"",COUNTIF('02_固定地理'!$A$2:$A$501,'08_资产清单'!C11)+COUNTIF('03_地点锚点'!$A$2:$A$501,'08_资产清单'!C11)+COUNTIF('04_路径网络'!$A$2:$A$501,'08_资产清单'!C11)+COUNTIF('06_建筑锚点'!$A$2:$A$501,'08_资产清单'!C11)=0),"资产引用对象不存在；","")&amp;IF(AND('08_资产清单'!E11&lt;&gt;"",COUNTIF('07_动态状态'!$A$2:$A$501,'08_资产清单'!E11)=0),"状态编码不存在；","")&amp;IF(AND('08_资产清单'!G11&lt;&gt;"",COUNTIF('08_资产清单'!$G$2:$G$501,'08_资产清单'!G11)&gt;1),"文件名重复；","")&amp;IF(AND('08_资产清单'!A11&lt;&gt;"",COUNTIF('08_资产清单'!$A$2:$A$501,'08_资产清单'!A11)&gt;1),"ID重复；",""),"")</f>
        <v/>
      </c>
      <c r="G3011" s="14">
        <f>IF(F3011&lt;&gt;"","按字段批注、数据字典和来源记录修正后复核","")</f>
        <v/>
      </c>
      <c r="H3011" s="14">
        <f>IF(F3011&lt;&gt;"","待处理","")</f>
        <v/>
      </c>
    </row>
    <row r="3012">
      <c r="A3012" s="14">
        <f>IF(F3012&lt;&gt;"","ISSUE-"&amp;TEXT(ROW()-1,"00000"),"")</f>
        <v/>
      </c>
      <c r="B3012" s="14">
        <f>IF(F3012&lt;&gt;"","错误","")</f>
        <v/>
      </c>
      <c r="C3012" s="14">
        <f>IF('08_资产清单'!A12&lt;&gt;"","08_资产清单","")</f>
        <v/>
      </c>
      <c r="D3012" s="14">
        <f>IF('08_资产清单'!A12&lt;&gt;"",'08_资产清单'!A12,"")</f>
        <v/>
      </c>
      <c r="E3012" s="14">
        <f>IF(F3012&lt;&gt;"","综合校验","")</f>
        <v/>
      </c>
      <c r="F3012" s="14">
        <f>IF('08_资产清单'!A12&lt;&gt;"",IF('08_资产清单'!A12="","缺少资产ID；","")&amp;IF('08_资产清单'!B12="","缺少资产名称；","")&amp;IF('08_资产清单'!C12="","缺少对象ID；","")&amp;IF('08_资产清单'!D12="","缺少资产类别；","")&amp;IF('08_资产清单'!G12="","缺少文件名；","")&amp;IF(AND('08_资产清单'!C12&lt;&gt;"",COUNTIF('02_固定地理'!$A$2:$A$501,'08_资产清单'!C12)+COUNTIF('03_地点锚点'!$A$2:$A$501,'08_资产清单'!C12)+COUNTIF('04_路径网络'!$A$2:$A$501,'08_资产清单'!C12)+COUNTIF('06_建筑锚点'!$A$2:$A$501,'08_资产清单'!C12)=0),"资产引用对象不存在；","")&amp;IF(AND('08_资产清单'!E12&lt;&gt;"",COUNTIF('07_动态状态'!$A$2:$A$501,'08_资产清单'!E12)=0),"状态编码不存在；","")&amp;IF(AND('08_资产清单'!G12&lt;&gt;"",COUNTIF('08_资产清单'!$G$2:$G$501,'08_资产清单'!G12)&gt;1),"文件名重复；","")&amp;IF(AND('08_资产清单'!A12&lt;&gt;"",COUNTIF('08_资产清单'!$A$2:$A$501,'08_资产清单'!A12)&gt;1),"ID重复；",""),"")</f>
        <v/>
      </c>
      <c r="G3012" s="14">
        <f>IF(F3012&lt;&gt;"","按字段批注、数据字典和来源记录修正后复核","")</f>
        <v/>
      </c>
      <c r="H3012" s="14">
        <f>IF(F3012&lt;&gt;"","待处理","")</f>
        <v/>
      </c>
    </row>
    <row r="3013">
      <c r="A3013" s="14">
        <f>IF(F3013&lt;&gt;"","ISSUE-"&amp;TEXT(ROW()-1,"00000"),"")</f>
        <v/>
      </c>
      <c r="B3013" s="14">
        <f>IF(F3013&lt;&gt;"","错误","")</f>
        <v/>
      </c>
      <c r="C3013" s="14">
        <f>IF('08_资产清单'!A13&lt;&gt;"","08_资产清单","")</f>
        <v/>
      </c>
      <c r="D3013" s="14">
        <f>IF('08_资产清单'!A13&lt;&gt;"",'08_资产清单'!A13,"")</f>
        <v/>
      </c>
      <c r="E3013" s="14">
        <f>IF(F3013&lt;&gt;"","综合校验","")</f>
        <v/>
      </c>
      <c r="F3013" s="14">
        <f>IF('08_资产清单'!A13&lt;&gt;"",IF('08_资产清单'!A13="","缺少资产ID；","")&amp;IF('08_资产清单'!B13="","缺少资产名称；","")&amp;IF('08_资产清单'!C13="","缺少对象ID；","")&amp;IF('08_资产清单'!D13="","缺少资产类别；","")&amp;IF('08_资产清单'!G13="","缺少文件名；","")&amp;IF(AND('08_资产清单'!C13&lt;&gt;"",COUNTIF('02_固定地理'!$A$2:$A$501,'08_资产清单'!C13)+COUNTIF('03_地点锚点'!$A$2:$A$501,'08_资产清单'!C13)+COUNTIF('04_路径网络'!$A$2:$A$501,'08_资产清单'!C13)+COUNTIF('06_建筑锚点'!$A$2:$A$501,'08_资产清单'!C13)=0),"资产引用对象不存在；","")&amp;IF(AND('08_资产清单'!E13&lt;&gt;"",COUNTIF('07_动态状态'!$A$2:$A$501,'08_资产清单'!E13)=0),"状态编码不存在；","")&amp;IF(AND('08_资产清单'!G13&lt;&gt;"",COUNTIF('08_资产清单'!$G$2:$G$501,'08_资产清单'!G13)&gt;1),"文件名重复；","")&amp;IF(AND('08_资产清单'!A13&lt;&gt;"",COUNTIF('08_资产清单'!$A$2:$A$501,'08_资产清单'!A13)&gt;1),"ID重复；",""),"")</f>
        <v/>
      </c>
      <c r="G3013" s="14">
        <f>IF(F3013&lt;&gt;"","按字段批注、数据字典和来源记录修正后复核","")</f>
        <v/>
      </c>
      <c r="H3013" s="14">
        <f>IF(F3013&lt;&gt;"","待处理","")</f>
        <v/>
      </c>
    </row>
    <row r="3014">
      <c r="A3014" s="14">
        <f>IF(F3014&lt;&gt;"","ISSUE-"&amp;TEXT(ROW()-1,"00000"),"")</f>
        <v/>
      </c>
      <c r="B3014" s="14">
        <f>IF(F3014&lt;&gt;"","错误","")</f>
        <v/>
      </c>
      <c r="C3014" s="14">
        <f>IF('08_资产清单'!A14&lt;&gt;"","08_资产清单","")</f>
        <v/>
      </c>
      <c r="D3014" s="14">
        <f>IF('08_资产清单'!A14&lt;&gt;"",'08_资产清单'!A14,"")</f>
        <v/>
      </c>
      <c r="E3014" s="14">
        <f>IF(F3014&lt;&gt;"","综合校验","")</f>
        <v/>
      </c>
      <c r="F3014" s="14">
        <f>IF('08_资产清单'!A14&lt;&gt;"",IF('08_资产清单'!A14="","缺少资产ID；","")&amp;IF('08_资产清单'!B14="","缺少资产名称；","")&amp;IF('08_资产清单'!C14="","缺少对象ID；","")&amp;IF('08_资产清单'!D14="","缺少资产类别；","")&amp;IF('08_资产清单'!G14="","缺少文件名；","")&amp;IF(AND('08_资产清单'!C14&lt;&gt;"",COUNTIF('02_固定地理'!$A$2:$A$501,'08_资产清单'!C14)+COUNTIF('03_地点锚点'!$A$2:$A$501,'08_资产清单'!C14)+COUNTIF('04_路径网络'!$A$2:$A$501,'08_资产清单'!C14)+COUNTIF('06_建筑锚点'!$A$2:$A$501,'08_资产清单'!C14)=0),"资产引用对象不存在；","")&amp;IF(AND('08_资产清单'!E14&lt;&gt;"",COUNTIF('07_动态状态'!$A$2:$A$501,'08_资产清单'!E14)=0),"状态编码不存在；","")&amp;IF(AND('08_资产清单'!G14&lt;&gt;"",COUNTIF('08_资产清单'!$G$2:$G$501,'08_资产清单'!G14)&gt;1),"文件名重复；","")&amp;IF(AND('08_资产清单'!A14&lt;&gt;"",COUNTIF('08_资产清单'!$A$2:$A$501,'08_资产清单'!A14)&gt;1),"ID重复；",""),"")</f>
        <v/>
      </c>
      <c r="G3014" s="14">
        <f>IF(F3014&lt;&gt;"","按字段批注、数据字典和来源记录修正后复核","")</f>
        <v/>
      </c>
      <c r="H3014" s="14">
        <f>IF(F3014&lt;&gt;"","待处理","")</f>
        <v/>
      </c>
    </row>
    <row r="3015">
      <c r="A3015" s="14">
        <f>IF(F3015&lt;&gt;"","ISSUE-"&amp;TEXT(ROW()-1,"00000"),"")</f>
        <v/>
      </c>
      <c r="B3015" s="14">
        <f>IF(F3015&lt;&gt;"","错误","")</f>
        <v/>
      </c>
      <c r="C3015" s="14">
        <f>IF('08_资产清单'!A15&lt;&gt;"","08_资产清单","")</f>
        <v/>
      </c>
      <c r="D3015" s="14">
        <f>IF('08_资产清单'!A15&lt;&gt;"",'08_资产清单'!A15,"")</f>
        <v/>
      </c>
      <c r="E3015" s="14">
        <f>IF(F3015&lt;&gt;"","综合校验","")</f>
        <v/>
      </c>
      <c r="F3015" s="14">
        <f>IF('08_资产清单'!A15&lt;&gt;"",IF('08_资产清单'!A15="","缺少资产ID；","")&amp;IF('08_资产清单'!B15="","缺少资产名称；","")&amp;IF('08_资产清单'!C15="","缺少对象ID；","")&amp;IF('08_资产清单'!D15="","缺少资产类别；","")&amp;IF('08_资产清单'!G15="","缺少文件名；","")&amp;IF(AND('08_资产清单'!C15&lt;&gt;"",COUNTIF('02_固定地理'!$A$2:$A$501,'08_资产清单'!C15)+COUNTIF('03_地点锚点'!$A$2:$A$501,'08_资产清单'!C15)+COUNTIF('04_路径网络'!$A$2:$A$501,'08_资产清单'!C15)+COUNTIF('06_建筑锚点'!$A$2:$A$501,'08_资产清单'!C15)=0),"资产引用对象不存在；","")&amp;IF(AND('08_资产清单'!E15&lt;&gt;"",COUNTIF('07_动态状态'!$A$2:$A$501,'08_资产清单'!E15)=0),"状态编码不存在；","")&amp;IF(AND('08_资产清单'!G15&lt;&gt;"",COUNTIF('08_资产清单'!$G$2:$G$501,'08_资产清单'!G15)&gt;1),"文件名重复；","")&amp;IF(AND('08_资产清单'!A15&lt;&gt;"",COUNTIF('08_资产清单'!$A$2:$A$501,'08_资产清单'!A15)&gt;1),"ID重复；",""),"")</f>
        <v/>
      </c>
      <c r="G3015" s="14">
        <f>IF(F3015&lt;&gt;"","按字段批注、数据字典和来源记录修正后复核","")</f>
        <v/>
      </c>
      <c r="H3015" s="14">
        <f>IF(F3015&lt;&gt;"","待处理","")</f>
        <v/>
      </c>
    </row>
    <row r="3016">
      <c r="A3016" s="14">
        <f>IF(F3016&lt;&gt;"","ISSUE-"&amp;TEXT(ROW()-1,"00000"),"")</f>
        <v/>
      </c>
      <c r="B3016" s="14">
        <f>IF(F3016&lt;&gt;"","错误","")</f>
        <v/>
      </c>
      <c r="C3016" s="14">
        <f>IF('08_资产清单'!A16&lt;&gt;"","08_资产清单","")</f>
        <v/>
      </c>
      <c r="D3016" s="14">
        <f>IF('08_资产清单'!A16&lt;&gt;"",'08_资产清单'!A16,"")</f>
        <v/>
      </c>
      <c r="E3016" s="14">
        <f>IF(F3016&lt;&gt;"","综合校验","")</f>
        <v/>
      </c>
      <c r="F3016" s="14">
        <f>IF('08_资产清单'!A16&lt;&gt;"",IF('08_资产清单'!A16="","缺少资产ID；","")&amp;IF('08_资产清单'!B16="","缺少资产名称；","")&amp;IF('08_资产清单'!C16="","缺少对象ID；","")&amp;IF('08_资产清单'!D16="","缺少资产类别；","")&amp;IF('08_资产清单'!G16="","缺少文件名；","")&amp;IF(AND('08_资产清单'!C16&lt;&gt;"",COUNTIF('02_固定地理'!$A$2:$A$501,'08_资产清单'!C16)+COUNTIF('03_地点锚点'!$A$2:$A$501,'08_资产清单'!C16)+COUNTIF('04_路径网络'!$A$2:$A$501,'08_资产清单'!C16)+COUNTIF('06_建筑锚点'!$A$2:$A$501,'08_资产清单'!C16)=0),"资产引用对象不存在；","")&amp;IF(AND('08_资产清单'!E16&lt;&gt;"",COUNTIF('07_动态状态'!$A$2:$A$501,'08_资产清单'!E16)=0),"状态编码不存在；","")&amp;IF(AND('08_资产清单'!G16&lt;&gt;"",COUNTIF('08_资产清单'!$G$2:$G$501,'08_资产清单'!G16)&gt;1),"文件名重复；","")&amp;IF(AND('08_资产清单'!A16&lt;&gt;"",COUNTIF('08_资产清单'!$A$2:$A$501,'08_资产清单'!A16)&gt;1),"ID重复；",""),"")</f>
        <v/>
      </c>
      <c r="G3016" s="14">
        <f>IF(F3016&lt;&gt;"","按字段批注、数据字典和来源记录修正后复核","")</f>
        <v/>
      </c>
      <c r="H3016" s="14">
        <f>IF(F3016&lt;&gt;"","待处理","")</f>
        <v/>
      </c>
    </row>
    <row r="3017">
      <c r="A3017" s="14">
        <f>IF(F3017&lt;&gt;"","ISSUE-"&amp;TEXT(ROW()-1,"00000"),"")</f>
        <v/>
      </c>
      <c r="B3017" s="14">
        <f>IF(F3017&lt;&gt;"","错误","")</f>
        <v/>
      </c>
      <c r="C3017" s="14">
        <f>IF('08_资产清单'!A17&lt;&gt;"","08_资产清单","")</f>
        <v/>
      </c>
      <c r="D3017" s="14">
        <f>IF('08_资产清单'!A17&lt;&gt;"",'08_资产清单'!A17,"")</f>
        <v/>
      </c>
      <c r="E3017" s="14">
        <f>IF(F3017&lt;&gt;"","综合校验","")</f>
        <v/>
      </c>
      <c r="F3017" s="14">
        <f>IF('08_资产清单'!A17&lt;&gt;"",IF('08_资产清单'!A17="","缺少资产ID；","")&amp;IF('08_资产清单'!B17="","缺少资产名称；","")&amp;IF('08_资产清单'!C17="","缺少对象ID；","")&amp;IF('08_资产清单'!D17="","缺少资产类别；","")&amp;IF('08_资产清单'!G17="","缺少文件名；","")&amp;IF(AND('08_资产清单'!C17&lt;&gt;"",COUNTIF('02_固定地理'!$A$2:$A$501,'08_资产清单'!C17)+COUNTIF('03_地点锚点'!$A$2:$A$501,'08_资产清单'!C17)+COUNTIF('04_路径网络'!$A$2:$A$501,'08_资产清单'!C17)+COUNTIF('06_建筑锚点'!$A$2:$A$501,'08_资产清单'!C17)=0),"资产引用对象不存在；","")&amp;IF(AND('08_资产清单'!E17&lt;&gt;"",COUNTIF('07_动态状态'!$A$2:$A$501,'08_资产清单'!E17)=0),"状态编码不存在；","")&amp;IF(AND('08_资产清单'!G17&lt;&gt;"",COUNTIF('08_资产清单'!$G$2:$G$501,'08_资产清单'!G17)&gt;1),"文件名重复；","")&amp;IF(AND('08_资产清单'!A17&lt;&gt;"",COUNTIF('08_资产清单'!$A$2:$A$501,'08_资产清单'!A17)&gt;1),"ID重复；",""),"")</f>
        <v/>
      </c>
      <c r="G3017" s="14">
        <f>IF(F3017&lt;&gt;"","按字段批注、数据字典和来源记录修正后复核","")</f>
        <v/>
      </c>
      <c r="H3017" s="14">
        <f>IF(F3017&lt;&gt;"","待处理","")</f>
        <v/>
      </c>
    </row>
    <row r="3018">
      <c r="A3018" s="14">
        <f>IF(F3018&lt;&gt;"","ISSUE-"&amp;TEXT(ROW()-1,"00000"),"")</f>
        <v/>
      </c>
      <c r="B3018" s="14">
        <f>IF(F3018&lt;&gt;"","错误","")</f>
        <v/>
      </c>
      <c r="C3018" s="14">
        <f>IF('08_资产清单'!A18&lt;&gt;"","08_资产清单","")</f>
        <v/>
      </c>
      <c r="D3018" s="14">
        <f>IF('08_资产清单'!A18&lt;&gt;"",'08_资产清单'!A18,"")</f>
        <v/>
      </c>
      <c r="E3018" s="14">
        <f>IF(F3018&lt;&gt;"","综合校验","")</f>
        <v/>
      </c>
      <c r="F3018" s="14">
        <f>IF('08_资产清单'!A18&lt;&gt;"",IF('08_资产清单'!A18="","缺少资产ID；","")&amp;IF('08_资产清单'!B18="","缺少资产名称；","")&amp;IF('08_资产清单'!C18="","缺少对象ID；","")&amp;IF('08_资产清单'!D18="","缺少资产类别；","")&amp;IF('08_资产清单'!G18="","缺少文件名；","")&amp;IF(AND('08_资产清单'!C18&lt;&gt;"",COUNTIF('02_固定地理'!$A$2:$A$501,'08_资产清单'!C18)+COUNTIF('03_地点锚点'!$A$2:$A$501,'08_资产清单'!C18)+COUNTIF('04_路径网络'!$A$2:$A$501,'08_资产清单'!C18)+COUNTIF('06_建筑锚点'!$A$2:$A$501,'08_资产清单'!C18)=0),"资产引用对象不存在；","")&amp;IF(AND('08_资产清单'!E18&lt;&gt;"",COUNTIF('07_动态状态'!$A$2:$A$501,'08_资产清单'!E18)=0),"状态编码不存在；","")&amp;IF(AND('08_资产清单'!G18&lt;&gt;"",COUNTIF('08_资产清单'!$G$2:$G$501,'08_资产清单'!G18)&gt;1),"文件名重复；","")&amp;IF(AND('08_资产清单'!A18&lt;&gt;"",COUNTIF('08_资产清单'!$A$2:$A$501,'08_资产清单'!A18)&gt;1),"ID重复；",""),"")</f>
        <v/>
      </c>
      <c r="G3018" s="14">
        <f>IF(F3018&lt;&gt;"","按字段批注、数据字典和来源记录修正后复核","")</f>
        <v/>
      </c>
      <c r="H3018" s="14">
        <f>IF(F3018&lt;&gt;"","待处理","")</f>
        <v/>
      </c>
    </row>
    <row r="3019">
      <c r="A3019" s="14">
        <f>IF(F3019&lt;&gt;"","ISSUE-"&amp;TEXT(ROW()-1,"00000"),"")</f>
        <v/>
      </c>
      <c r="B3019" s="14">
        <f>IF(F3019&lt;&gt;"","错误","")</f>
        <v/>
      </c>
      <c r="C3019" s="14">
        <f>IF('08_资产清单'!A19&lt;&gt;"","08_资产清单","")</f>
        <v/>
      </c>
      <c r="D3019" s="14">
        <f>IF('08_资产清单'!A19&lt;&gt;"",'08_资产清单'!A19,"")</f>
        <v/>
      </c>
      <c r="E3019" s="14">
        <f>IF(F3019&lt;&gt;"","综合校验","")</f>
        <v/>
      </c>
      <c r="F3019" s="14">
        <f>IF('08_资产清单'!A19&lt;&gt;"",IF('08_资产清单'!A19="","缺少资产ID；","")&amp;IF('08_资产清单'!B19="","缺少资产名称；","")&amp;IF('08_资产清单'!C19="","缺少对象ID；","")&amp;IF('08_资产清单'!D19="","缺少资产类别；","")&amp;IF('08_资产清单'!G19="","缺少文件名；","")&amp;IF(AND('08_资产清单'!C19&lt;&gt;"",COUNTIF('02_固定地理'!$A$2:$A$501,'08_资产清单'!C19)+COUNTIF('03_地点锚点'!$A$2:$A$501,'08_资产清单'!C19)+COUNTIF('04_路径网络'!$A$2:$A$501,'08_资产清单'!C19)+COUNTIF('06_建筑锚点'!$A$2:$A$501,'08_资产清单'!C19)=0),"资产引用对象不存在；","")&amp;IF(AND('08_资产清单'!E19&lt;&gt;"",COUNTIF('07_动态状态'!$A$2:$A$501,'08_资产清单'!E19)=0),"状态编码不存在；","")&amp;IF(AND('08_资产清单'!G19&lt;&gt;"",COUNTIF('08_资产清单'!$G$2:$G$501,'08_资产清单'!G19)&gt;1),"文件名重复；","")&amp;IF(AND('08_资产清单'!A19&lt;&gt;"",COUNTIF('08_资产清单'!$A$2:$A$501,'08_资产清单'!A19)&gt;1),"ID重复；",""),"")</f>
        <v/>
      </c>
      <c r="G3019" s="14">
        <f>IF(F3019&lt;&gt;"","按字段批注、数据字典和来源记录修正后复核","")</f>
        <v/>
      </c>
      <c r="H3019" s="14">
        <f>IF(F3019&lt;&gt;"","待处理","")</f>
        <v/>
      </c>
    </row>
    <row r="3020">
      <c r="A3020" s="14">
        <f>IF(F3020&lt;&gt;"","ISSUE-"&amp;TEXT(ROW()-1,"00000"),"")</f>
        <v/>
      </c>
      <c r="B3020" s="14">
        <f>IF(F3020&lt;&gt;"","错误","")</f>
        <v/>
      </c>
      <c r="C3020" s="14">
        <f>IF('08_资产清单'!A20&lt;&gt;"","08_资产清单","")</f>
        <v/>
      </c>
      <c r="D3020" s="14">
        <f>IF('08_资产清单'!A20&lt;&gt;"",'08_资产清单'!A20,"")</f>
        <v/>
      </c>
      <c r="E3020" s="14">
        <f>IF(F3020&lt;&gt;"","综合校验","")</f>
        <v/>
      </c>
      <c r="F3020" s="14">
        <f>IF('08_资产清单'!A20&lt;&gt;"",IF('08_资产清单'!A20="","缺少资产ID；","")&amp;IF('08_资产清单'!B20="","缺少资产名称；","")&amp;IF('08_资产清单'!C20="","缺少对象ID；","")&amp;IF('08_资产清单'!D20="","缺少资产类别；","")&amp;IF('08_资产清单'!G20="","缺少文件名；","")&amp;IF(AND('08_资产清单'!C20&lt;&gt;"",COUNTIF('02_固定地理'!$A$2:$A$501,'08_资产清单'!C20)+COUNTIF('03_地点锚点'!$A$2:$A$501,'08_资产清单'!C20)+COUNTIF('04_路径网络'!$A$2:$A$501,'08_资产清单'!C20)+COUNTIF('06_建筑锚点'!$A$2:$A$501,'08_资产清单'!C20)=0),"资产引用对象不存在；","")&amp;IF(AND('08_资产清单'!E20&lt;&gt;"",COUNTIF('07_动态状态'!$A$2:$A$501,'08_资产清单'!E20)=0),"状态编码不存在；","")&amp;IF(AND('08_资产清单'!G20&lt;&gt;"",COUNTIF('08_资产清单'!$G$2:$G$501,'08_资产清单'!G20)&gt;1),"文件名重复；","")&amp;IF(AND('08_资产清单'!A20&lt;&gt;"",COUNTIF('08_资产清单'!$A$2:$A$501,'08_资产清单'!A20)&gt;1),"ID重复；",""),"")</f>
        <v/>
      </c>
      <c r="G3020" s="14">
        <f>IF(F3020&lt;&gt;"","按字段批注、数据字典和来源记录修正后复核","")</f>
        <v/>
      </c>
      <c r="H3020" s="14">
        <f>IF(F3020&lt;&gt;"","待处理","")</f>
        <v/>
      </c>
    </row>
    <row r="3021">
      <c r="A3021" s="14">
        <f>IF(F3021&lt;&gt;"","ISSUE-"&amp;TEXT(ROW()-1,"00000"),"")</f>
        <v/>
      </c>
      <c r="B3021" s="14">
        <f>IF(F3021&lt;&gt;"","错误","")</f>
        <v/>
      </c>
      <c r="C3021" s="14">
        <f>IF('08_资产清单'!A21&lt;&gt;"","08_资产清单","")</f>
        <v/>
      </c>
      <c r="D3021" s="14">
        <f>IF('08_资产清单'!A21&lt;&gt;"",'08_资产清单'!A21,"")</f>
        <v/>
      </c>
      <c r="E3021" s="14">
        <f>IF(F3021&lt;&gt;"","综合校验","")</f>
        <v/>
      </c>
      <c r="F3021" s="14">
        <f>IF('08_资产清单'!A21&lt;&gt;"",IF('08_资产清单'!A21="","缺少资产ID；","")&amp;IF('08_资产清单'!B21="","缺少资产名称；","")&amp;IF('08_资产清单'!C21="","缺少对象ID；","")&amp;IF('08_资产清单'!D21="","缺少资产类别；","")&amp;IF('08_资产清单'!G21="","缺少文件名；","")&amp;IF(AND('08_资产清单'!C21&lt;&gt;"",COUNTIF('02_固定地理'!$A$2:$A$501,'08_资产清单'!C21)+COUNTIF('03_地点锚点'!$A$2:$A$501,'08_资产清单'!C21)+COUNTIF('04_路径网络'!$A$2:$A$501,'08_资产清单'!C21)+COUNTIF('06_建筑锚点'!$A$2:$A$501,'08_资产清单'!C21)=0),"资产引用对象不存在；","")&amp;IF(AND('08_资产清单'!E21&lt;&gt;"",COUNTIF('07_动态状态'!$A$2:$A$501,'08_资产清单'!E21)=0),"状态编码不存在；","")&amp;IF(AND('08_资产清单'!G21&lt;&gt;"",COUNTIF('08_资产清单'!$G$2:$G$501,'08_资产清单'!G21)&gt;1),"文件名重复；","")&amp;IF(AND('08_资产清单'!A21&lt;&gt;"",COUNTIF('08_资产清单'!$A$2:$A$501,'08_资产清单'!A21)&gt;1),"ID重复；",""),"")</f>
        <v/>
      </c>
      <c r="G3021" s="14">
        <f>IF(F3021&lt;&gt;"","按字段批注、数据字典和来源记录修正后复核","")</f>
        <v/>
      </c>
      <c r="H3021" s="14">
        <f>IF(F3021&lt;&gt;"","待处理","")</f>
        <v/>
      </c>
    </row>
    <row r="3022">
      <c r="A3022" s="14">
        <f>IF(F3022&lt;&gt;"","ISSUE-"&amp;TEXT(ROW()-1,"00000"),"")</f>
        <v/>
      </c>
      <c r="B3022" s="14">
        <f>IF(F3022&lt;&gt;"","错误","")</f>
        <v/>
      </c>
      <c r="C3022" s="14">
        <f>IF('08_资产清单'!A22&lt;&gt;"","08_资产清单","")</f>
        <v/>
      </c>
      <c r="D3022" s="14">
        <f>IF('08_资产清单'!A22&lt;&gt;"",'08_资产清单'!A22,"")</f>
        <v/>
      </c>
      <c r="E3022" s="14">
        <f>IF(F3022&lt;&gt;"","综合校验","")</f>
        <v/>
      </c>
      <c r="F3022" s="14">
        <f>IF('08_资产清单'!A22&lt;&gt;"",IF('08_资产清单'!A22="","缺少资产ID；","")&amp;IF('08_资产清单'!B22="","缺少资产名称；","")&amp;IF('08_资产清单'!C22="","缺少对象ID；","")&amp;IF('08_资产清单'!D22="","缺少资产类别；","")&amp;IF('08_资产清单'!G22="","缺少文件名；","")&amp;IF(AND('08_资产清单'!C22&lt;&gt;"",COUNTIF('02_固定地理'!$A$2:$A$501,'08_资产清单'!C22)+COUNTIF('03_地点锚点'!$A$2:$A$501,'08_资产清单'!C22)+COUNTIF('04_路径网络'!$A$2:$A$501,'08_资产清单'!C22)+COUNTIF('06_建筑锚点'!$A$2:$A$501,'08_资产清单'!C22)=0),"资产引用对象不存在；","")&amp;IF(AND('08_资产清单'!E22&lt;&gt;"",COUNTIF('07_动态状态'!$A$2:$A$501,'08_资产清单'!E22)=0),"状态编码不存在；","")&amp;IF(AND('08_资产清单'!G22&lt;&gt;"",COUNTIF('08_资产清单'!$G$2:$G$501,'08_资产清单'!G22)&gt;1),"文件名重复；","")&amp;IF(AND('08_资产清单'!A22&lt;&gt;"",COUNTIF('08_资产清单'!$A$2:$A$501,'08_资产清单'!A22)&gt;1),"ID重复；",""),"")</f>
        <v/>
      </c>
      <c r="G3022" s="14">
        <f>IF(F3022&lt;&gt;"","按字段批注、数据字典和来源记录修正后复核","")</f>
        <v/>
      </c>
      <c r="H3022" s="14">
        <f>IF(F3022&lt;&gt;"","待处理","")</f>
        <v/>
      </c>
    </row>
    <row r="3023">
      <c r="A3023" s="14">
        <f>IF(F3023&lt;&gt;"","ISSUE-"&amp;TEXT(ROW()-1,"00000"),"")</f>
        <v/>
      </c>
      <c r="B3023" s="14">
        <f>IF(F3023&lt;&gt;"","错误","")</f>
        <v/>
      </c>
      <c r="C3023" s="14">
        <f>IF('08_资产清单'!A23&lt;&gt;"","08_资产清单","")</f>
        <v/>
      </c>
      <c r="D3023" s="14">
        <f>IF('08_资产清单'!A23&lt;&gt;"",'08_资产清单'!A23,"")</f>
        <v/>
      </c>
      <c r="E3023" s="14">
        <f>IF(F3023&lt;&gt;"","综合校验","")</f>
        <v/>
      </c>
      <c r="F3023" s="14">
        <f>IF('08_资产清单'!A23&lt;&gt;"",IF('08_资产清单'!A23="","缺少资产ID；","")&amp;IF('08_资产清单'!B23="","缺少资产名称；","")&amp;IF('08_资产清单'!C23="","缺少对象ID；","")&amp;IF('08_资产清单'!D23="","缺少资产类别；","")&amp;IF('08_资产清单'!G23="","缺少文件名；","")&amp;IF(AND('08_资产清单'!C23&lt;&gt;"",COUNTIF('02_固定地理'!$A$2:$A$501,'08_资产清单'!C23)+COUNTIF('03_地点锚点'!$A$2:$A$501,'08_资产清单'!C23)+COUNTIF('04_路径网络'!$A$2:$A$501,'08_资产清单'!C23)+COUNTIF('06_建筑锚点'!$A$2:$A$501,'08_资产清单'!C23)=0),"资产引用对象不存在；","")&amp;IF(AND('08_资产清单'!E23&lt;&gt;"",COUNTIF('07_动态状态'!$A$2:$A$501,'08_资产清单'!E23)=0),"状态编码不存在；","")&amp;IF(AND('08_资产清单'!G23&lt;&gt;"",COUNTIF('08_资产清单'!$G$2:$G$501,'08_资产清单'!G23)&gt;1),"文件名重复；","")&amp;IF(AND('08_资产清单'!A23&lt;&gt;"",COUNTIF('08_资产清单'!$A$2:$A$501,'08_资产清单'!A23)&gt;1),"ID重复；",""),"")</f>
        <v/>
      </c>
      <c r="G3023" s="14">
        <f>IF(F3023&lt;&gt;"","按字段批注、数据字典和来源记录修正后复核","")</f>
        <v/>
      </c>
      <c r="H3023" s="14">
        <f>IF(F3023&lt;&gt;"","待处理","")</f>
        <v/>
      </c>
    </row>
    <row r="3024">
      <c r="A3024" s="14">
        <f>IF(F3024&lt;&gt;"","ISSUE-"&amp;TEXT(ROW()-1,"00000"),"")</f>
        <v/>
      </c>
      <c r="B3024" s="14">
        <f>IF(F3024&lt;&gt;"","错误","")</f>
        <v/>
      </c>
      <c r="C3024" s="14">
        <f>IF('08_资产清单'!A24&lt;&gt;"","08_资产清单","")</f>
        <v/>
      </c>
      <c r="D3024" s="14">
        <f>IF('08_资产清单'!A24&lt;&gt;"",'08_资产清单'!A24,"")</f>
        <v/>
      </c>
      <c r="E3024" s="14">
        <f>IF(F3024&lt;&gt;"","综合校验","")</f>
        <v/>
      </c>
      <c r="F3024" s="14">
        <f>IF('08_资产清单'!A24&lt;&gt;"",IF('08_资产清单'!A24="","缺少资产ID；","")&amp;IF('08_资产清单'!B24="","缺少资产名称；","")&amp;IF('08_资产清单'!C24="","缺少对象ID；","")&amp;IF('08_资产清单'!D24="","缺少资产类别；","")&amp;IF('08_资产清单'!G24="","缺少文件名；","")&amp;IF(AND('08_资产清单'!C24&lt;&gt;"",COUNTIF('02_固定地理'!$A$2:$A$501,'08_资产清单'!C24)+COUNTIF('03_地点锚点'!$A$2:$A$501,'08_资产清单'!C24)+COUNTIF('04_路径网络'!$A$2:$A$501,'08_资产清单'!C24)+COUNTIF('06_建筑锚点'!$A$2:$A$501,'08_资产清单'!C24)=0),"资产引用对象不存在；","")&amp;IF(AND('08_资产清单'!E24&lt;&gt;"",COUNTIF('07_动态状态'!$A$2:$A$501,'08_资产清单'!E24)=0),"状态编码不存在；","")&amp;IF(AND('08_资产清单'!G24&lt;&gt;"",COUNTIF('08_资产清单'!$G$2:$G$501,'08_资产清单'!G24)&gt;1),"文件名重复；","")&amp;IF(AND('08_资产清单'!A24&lt;&gt;"",COUNTIF('08_资产清单'!$A$2:$A$501,'08_资产清单'!A24)&gt;1),"ID重复；",""),"")</f>
        <v/>
      </c>
      <c r="G3024" s="14">
        <f>IF(F3024&lt;&gt;"","按字段批注、数据字典和来源记录修正后复核","")</f>
        <v/>
      </c>
      <c r="H3024" s="14">
        <f>IF(F3024&lt;&gt;"","待处理","")</f>
        <v/>
      </c>
    </row>
    <row r="3025">
      <c r="A3025" s="14">
        <f>IF(F3025&lt;&gt;"","ISSUE-"&amp;TEXT(ROW()-1,"00000"),"")</f>
        <v/>
      </c>
      <c r="B3025" s="14">
        <f>IF(F3025&lt;&gt;"","错误","")</f>
        <v/>
      </c>
      <c r="C3025" s="14">
        <f>IF('08_资产清单'!A25&lt;&gt;"","08_资产清单","")</f>
        <v/>
      </c>
      <c r="D3025" s="14">
        <f>IF('08_资产清单'!A25&lt;&gt;"",'08_资产清单'!A25,"")</f>
        <v/>
      </c>
      <c r="E3025" s="14">
        <f>IF(F3025&lt;&gt;"","综合校验","")</f>
        <v/>
      </c>
      <c r="F3025" s="14">
        <f>IF('08_资产清单'!A25&lt;&gt;"",IF('08_资产清单'!A25="","缺少资产ID；","")&amp;IF('08_资产清单'!B25="","缺少资产名称；","")&amp;IF('08_资产清单'!C25="","缺少对象ID；","")&amp;IF('08_资产清单'!D25="","缺少资产类别；","")&amp;IF('08_资产清单'!G25="","缺少文件名；","")&amp;IF(AND('08_资产清单'!C25&lt;&gt;"",COUNTIF('02_固定地理'!$A$2:$A$501,'08_资产清单'!C25)+COUNTIF('03_地点锚点'!$A$2:$A$501,'08_资产清单'!C25)+COUNTIF('04_路径网络'!$A$2:$A$501,'08_资产清单'!C25)+COUNTIF('06_建筑锚点'!$A$2:$A$501,'08_资产清单'!C25)=0),"资产引用对象不存在；","")&amp;IF(AND('08_资产清单'!E25&lt;&gt;"",COUNTIF('07_动态状态'!$A$2:$A$501,'08_资产清单'!E25)=0),"状态编码不存在；","")&amp;IF(AND('08_资产清单'!G25&lt;&gt;"",COUNTIF('08_资产清单'!$G$2:$G$501,'08_资产清单'!G25)&gt;1),"文件名重复；","")&amp;IF(AND('08_资产清单'!A25&lt;&gt;"",COUNTIF('08_资产清单'!$A$2:$A$501,'08_资产清单'!A25)&gt;1),"ID重复；",""),"")</f>
        <v/>
      </c>
      <c r="G3025" s="14">
        <f>IF(F3025&lt;&gt;"","按字段批注、数据字典和来源记录修正后复核","")</f>
        <v/>
      </c>
      <c r="H3025" s="14">
        <f>IF(F3025&lt;&gt;"","待处理","")</f>
        <v/>
      </c>
    </row>
    <row r="3026">
      <c r="A3026" s="14">
        <f>IF(F3026&lt;&gt;"","ISSUE-"&amp;TEXT(ROW()-1,"00000"),"")</f>
        <v/>
      </c>
      <c r="B3026" s="14">
        <f>IF(F3026&lt;&gt;"","错误","")</f>
        <v/>
      </c>
      <c r="C3026" s="14">
        <f>IF('08_资产清单'!A26&lt;&gt;"","08_资产清单","")</f>
        <v/>
      </c>
      <c r="D3026" s="14">
        <f>IF('08_资产清单'!A26&lt;&gt;"",'08_资产清单'!A26,"")</f>
        <v/>
      </c>
      <c r="E3026" s="14">
        <f>IF(F3026&lt;&gt;"","综合校验","")</f>
        <v/>
      </c>
      <c r="F3026" s="14">
        <f>IF('08_资产清单'!A26&lt;&gt;"",IF('08_资产清单'!A26="","缺少资产ID；","")&amp;IF('08_资产清单'!B26="","缺少资产名称；","")&amp;IF('08_资产清单'!C26="","缺少对象ID；","")&amp;IF('08_资产清单'!D26="","缺少资产类别；","")&amp;IF('08_资产清单'!G26="","缺少文件名；","")&amp;IF(AND('08_资产清单'!C26&lt;&gt;"",COUNTIF('02_固定地理'!$A$2:$A$501,'08_资产清单'!C26)+COUNTIF('03_地点锚点'!$A$2:$A$501,'08_资产清单'!C26)+COUNTIF('04_路径网络'!$A$2:$A$501,'08_资产清单'!C26)+COUNTIF('06_建筑锚点'!$A$2:$A$501,'08_资产清单'!C26)=0),"资产引用对象不存在；","")&amp;IF(AND('08_资产清单'!E26&lt;&gt;"",COUNTIF('07_动态状态'!$A$2:$A$501,'08_资产清单'!E26)=0),"状态编码不存在；","")&amp;IF(AND('08_资产清单'!G26&lt;&gt;"",COUNTIF('08_资产清单'!$G$2:$G$501,'08_资产清单'!G26)&gt;1),"文件名重复；","")&amp;IF(AND('08_资产清单'!A26&lt;&gt;"",COUNTIF('08_资产清单'!$A$2:$A$501,'08_资产清单'!A26)&gt;1),"ID重复；",""),"")</f>
        <v/>
      </c>
      <c r="G3026" s="14">
        <f>IF(F3026&lt;&gt;"","按字段批注、数据字典和来源记录修正后复核","")</f>
        <v/>
      </c>
      <c r="H3026" s="14">
        <f>IF(F3026&lt;&gt;"","待处理","")</f>
        <v/>
      </c>
    </row>
    <row r="3027">
      <c r="A3027" s="14">
        <f>IF(F3027&lt;&gt;"","ISSUE-"&amp;TEXT(ROW()-1,"00000"),"")</f>
        <v/>
      </c>
      <c r="B3027" s="14">
        <f>IF(F3027&lt;&gt;"","错误","")</f>
        <v/>
      </c>
      <c r="C3027" s="14">
        <f>IF('08_资产清单'!A27&lt;&gt;"","08_资产清单","")</f>
        <v/>
      </c>
      <c r="D3027" s="14">
        <f>IF('08_资产清单'!A27&lt;&gt;"",'08_资产清单'!A27,"")</f>
        <v/>
      </c>
      <c r="E3027" s="14">
        <f>IF(F3027&lt;&gt;"","综合校验","")</f>
        <v/>
      </c>
      <c r="F3027" s="14">
        <f>IF('08_资产清单'!A27&lt;&gt;"",IF('08_资产清单'!A27="","缺少资产ID；","")&amp;IF('08_资产清单'!B27="","缺少资产名称；","")&amp;IF('08_资产清单'!C27="","缺少对象ID；","")&amp;IF('08_资产清单'!D27="","缺少资产类别；","")&amp;IF('08_资产清单'!G27="","缺少文件名；","")&amp;IF(AND('08_资产清单'!C27&lt;&gt;"",COUNTIF('02_固定地理'!$A$2:$A$501,'08_资产清单'!C27)+COUNTIF('03_地点锚点'!$A$2:$A$501,'08_资产清单'!C27)+COUNTIF('04_路径网络'!$A$2:$A$501,'08_资产清单'!C27)+COUNTIF('06_建筑锚点'!$A$2:$A$501,'08_资产清单'!C27)=0),"资产引用对象不存在；","")&amp;IF(AND('08_资产清单'!E27&lt;&gt;"",COUNTIF('07_动态状态'!$A$2:$A$501,'08_资产清单'!E27)=0),"状态编码不存在；","")&amp;IF(AND('08_资产清单'!G27&lt;&gt;"",COUNTIF('08_资产清单'!$G$2:$G$501,'08_资产清单'!G27)&gt;1),"文件名重复；","")&amp;IF(AND('08_资产清单'!A27&lt;&gt;"",COUNTIF('08_资产清单'!$A$2:$A$501,'08_资产清单'!A27)&gt;1),"ID重复；",""),"")</f>
        <v/>
      </c>
      <c r="G3027" s="14">
        <f>IF(F3027&lt;&gt;"","按字段批注、数据字典和来源记录修正后复核","")</f>
        <v/>
      </c>
      <c r="H3027" s="14">
        <f>IF(F3027&lt;&gt;"","待处理","")</f>
        <v/>
      </c>
    </row>
    <row r="3028">
      <c r="A3028" s="14">
        <f>IF(F3028&lt;&gt;"","ISSUE-"&amp;TEXT(ROW()-1,"00000"),"")</f>
        <v/>
      </c>
      <c r="B3028" s="14">
        <f>IF(F3028&lt;&gt;"","错误","")</f>
        <v/>
      </c>
      <c r="C3028" s="14">
        <f>IF('08_资产清单'!A28&lt;&gt;"","08_资产清单","")</f>
        <v/>
      </c>
      <c r="D3028" s="14">
        <f>IF('08_资产清单'!A28&lt;&gt;"",'08_资产清单'!A28,"")</f>
        <v/>
      </c>
      <c r="E3028" s="14">
        <f>IF(F3028&lt;&gt;"","综合校验","")</f>
        <v/>
      </c>
      <c r="F3028" s="14">
        <f>IF('08_资产清单'!A28&lt;&gt;"",IF('08_资产清单'!A28="","缺少资产ID；","")&amp;IF('08_资产清单'!B28="","缺少资产名称；","")&amp;IF('08_资产清单'!C28="","缺少对象ID；","")&amp;IF('08_资产清单'!D28="","缺少资产类别；","")&amp;IF('08_资产清单'!G28="","缺少文件名；","")&amp;IF(AND('08_资产清单'!C28&lt;&gt;"",COUNTIF('02_固定地理'!$A$2:$A$501,'08_资产清单'!C28)+COUNTIF('03_地点锚点'!$A$2:$A$501,'08_资产清单'!C28)+COUNTIF('04_路径网络'!$A$2:$A$501,'08_资产清单'!C28)+COUNTIF('06_建筑锚点'!$A$2:$A$501,'08_资产清单'!C28)=0),"资产引用对象不存在；","")&amp;IF(AND('08_资产清单'!E28&lt;&gt;"",COUNTIF('07_动态状态'!$A$2:$A$501,'08_资产清单'!E28)=0),"状态编码不存在；","")&amp;IF(AND('08_资产清单'!G28&lt;&gt;"",COUNTIF('08_资产清单'!$G$2:$G$501,'08_资产清单'!G28)&gt;1),"文件名重复；","")&amp;IF(AND('08_资产清单'!A28&lt;&gt;"",COUNTIF('08_资产清单'!$A$2:$A$501,'08_资产清单'!A28)&gt;1),"ID重复；",""),"")</f>
        <v/>
      </c>
      <c r="G3028" s="14">
        <f>IF(F3028&lt;&gt;"","按字段批注、数据字典和来源记录修正后复核","")</f>
        <v/>
      </c>
      <c r="H3028" s="14">
        <f>IF(F3028&lt;&gt;"","待处理","")</f>
        <v/>
      </c>
    </row>
    <row r="3029">
      <c r="A3029" s="14">
        <f>IF(F3029&lt;&gt;"","ISSUE-"&amp;TEXT(ROW()-1,"00000"),"")</f>
        <v/>
      </c>
      <c r="B3029" s="14">
        <f>IF(F3029&lt;&gt;"","错误","")</f>
        <v/>
      </c>
      <c r="C3029" s="14">
        <f>IF('08_资产清单'!A29&lt;&gt;"","08_资产清单","")</f>
        <v/>
      </c>
      <c r="D3029" s="14">
        <f>IF('08_资产清单'!A29&lt;&gt;"",'08_资产清单'!A29,"")</f>
        <v/>
      </c>
      <c r="E3029" s="14">
        <f>IF(F3029&lt;&gt;"","综合校验","")</f>
        <v/>
      </c>
      <c r="F3029" s="14">
        <f>IF('08_资产清单'!A29&lt;&gt;"",IF('08_资产清单'!A29="","缺少资产ID；","")&amp;IF('08_资产清单'!B29="","缺少资产名称；","")&amp;IF('08_资产清单'!C29="","缺少对象ID；","")&amp;IF('08_资产清单'!D29="","缺少资产类别；","")&amp;IF('08_资产清单'!G29="","缺少文件名；","")&amp;IF(AND('08_资产清单'!C29&lt;&gt;"",COUNTIF('02_固定地理'!$A$2:$A$501,'08_资产清单'!C29)+COUNTIF('03_地点锚点'!$A$2:$A$501,'08_资产清单'!C29)+COUNTIF('04_路径网络'!$A$2:$A$501,'08_资产清单'!C29)+COUNTIF('06_建筑锚点'!$A$2:$A$501,'08_资产清单'!C29)=0),"资产引用对象不存在；","")&amp;IF(AND('08_资产清单'!E29&lt;&gt;"",COUNTIF('07_动态状态'!$A$2:$A$501,'08_资产清单'!E29)=0),"状态编码不存在；","")&amp;IF(AND('08_资产清单'!G29&lt;&gt;"",COUNTIF('08_资产清单'!$G$2:$G$501,'08_资产清单'!G29)&gt;1),"文件名重复；","")&amp;IF(AND('08_资产清单'!A29&lt;&gt;"",COUNTIF('08_资产清单'!$A$2:$A$501,'08_资产清单'!A29)&gt;1),"ID重复；",""),"")</f>
        <v/>
      </c>
      <c r="G3029" s="14">
        <f>IF(F3029&lt;&gt;"","按字段批注、数据字典和来源记录修正后复核","")</f>
        <v/>
      </c>
      <c r="H3029" s="14">
        <f>IF(F3029&lt;&gt;"","待处理","")</f>
        <v/>
      </c>
    </row>
    <row r="3030">
      <c r="A3030" s="14">
        <f>IF(F3030&lt;&gt;"","ISSUE-"&amp;TEXT(ROW()-1,"00000"),"")</f>
        <v/>
      </c>
      <c r="B3030" s="14">
        <f>IF(F3030&lt;&gt;"","错误","")</f>
        <v/>
      </c>
      <c r="C3030" s="14">
        <f>IF('08_资产清单'!A30&lt;&gt;"","08_资产清单","")</f>
        <v/>
      </c>
      <c r="D3030" s="14">
        <f>IF('08_资产清单'!A30&lt;&gt;"",'08_资产清单'!A30,"")</f>
        <v/>
      </c>
      <c r="E3030" s="14">
        <f>IF(F3030&lt;&gt;"","综合校验","")</f>
        <v/>
      </c>
      <c r="F3030" s="14">
        <f>IF('08_资产清单'!A30&lt;&gt;"",IF('08_资产清单'!A30="","缺少资产ID；","")&amp;IF('08_资产清单'!B30="","缺少资产名称；","")&amp;IF('08_资产清单'!C30="","缺少对象ID；","")&amp;IF('08_资产清单'!D30="","缺少资产类别；","")&amp;IF('08_资产清单'!G30="","缺少文件名；","")&amp;IF(AND('08_资产清单'!C30&lt;&gt;"",COUNTIF('02_固定地理'!$A$2:$A$501,'08_资产清单'!C30)+COUNTIF('03_地点锚点'!$A$2:$A$501,'08_资产清单'!C30)+COUNTIF('04_路径网络'!$A$2:$A$501,'08_资产清单'!C30)+COUNTIF('06_建筑锚点'!$A$2:$A$501,'08_资产清单'!C30)=0),"资产引用对象不存在；","")&amp;IF(AND('08_资产清单'!E30&lt;&gt;"",COUNTIF('07_动态状态'!$A$2:$A$501,'08_资产清单'!E30)=0),"状态编码不存在；","")&amp;IF(AND('08_资产清单'!G30&lt;&gt;"",COUNTIF('08_资产清单'!$G$2:$G$501,'08_资产清单'!G30)&gt;1),"文件名重复；","")&amp;IF(AND('08_资产清单'!A30&lt;&gt;"",COUNTIF('08_资产清单'!$A$2:$A$501,'08_资产清单'!A30)&gt;1),"ID重复；",""),"")</f>
        <v/>
      </c>
      <c r="G3030" s="14">
        <f>IF(F3030&lt;&gt;"","按字段批注、数据字典和来源记录修正后复核","")</f>
        <v/>
      </c>
      <c r="H3030" s="14">
        <f>IF(F3030&lt;&gt;"","待处理","")</f>
        <v/>
      </c>
    </row>
    <row r="3031">
      <c r="A3031" s="14">
        <f>IF(F3031&lt;&gt;"","ISSUE-"&amp;TEXT(ROW()-1,"00000"),"")</f>
        <v/>
      </c>
      <c r="B3031" s="14">
        <f>IF(F3031&lt;&gt;"","错误","")</f>
        <v/>
      </c>
      <c r="C3031" s="14">
        <f>IF('08_资产清单'!A31&lt;&gt;"","08_资产清单","")</f>
        <v/>
      </c>
      <c r="D3031" s="14">
        <f>IF('08_资产清单'!A31&lt;&gt;"",'08_资产清单'!A31,"")</f>
        <v/>
      </c>
      <c r="E3031" s="14">
        <f>IF(F3031&lt;&gt;"","综合校验","")</f>
        <v/>
      </c>
      <c r="F3031" s="14">
        <f>IF('08_资产清单'!A31&lt;&gt;"",IF('08_资产清单'!A31="","缺少资产ID；","")&amp;IF('08_资产清单'!B31="","缺少资产名称；","")&amp;IF('08_资产清单'!C31="","缺少对象ID；","")&amp;IF('08_资产清单'!D31="","缺少资产类别；","")&amp;IF('08_资产清单'!G31="","缺少文件名；","")&amp;IF(AND('08_资产清单'!C31&lt;&gt;"",COUNTIF('02_固定地理'!$A$2:$A$501,'08_资产清单'!C31)+COUNTIF('03_地点锚点'!$A$2:$A$501,'08_资产清单'!C31)+COUNTIF('04_路径网络'!$A$2:$A$501,'08_资产清单'!C31)+COUNTIF('06_建筑锚点'!$A$2:$A$501,'08_资产清单'!C31)=0),"资产引用对象不存在；","")&amp;IF(AND('08_资产清单'!E31&lt;&gt;"",COUNTIF('07_动态状态'!$A$2:$A$501,'08_资产清单'!E31)=0),"状态编码不存在；","")&amp;IF(AND('08_资产清单'!G31&lt;&gt;"",COUNTIF('08_资产清单'!$G$2:$G$501,'08_资产清单'!G31)&gt;1),"文件名重复；","")&amp;IF(AND('08_资产清单'!A31&lt;&gt;"",COUNTIF('08_资产清单'!$A$2:$A$501,'08_资产清单'!A31)&gt;1),"ID重复；",""),"")</f>
        <v/>
      </c>
      <c r="G3031" s="14">
        <f>IF(F3031&lt;&gt;"","按字段批注、数据字典和来源记录修正后复核","")</f>
        <v/>
      </c>
      <c r="H3031" s="14">
        <f>IF(F3031&lt;&gt;"","待处理","")</f>
        <v/>
      </c>
    </row>
    <row r="3032">
      <c r="A3032" s="14">
        <f>IF(F3032&lt;&gt;"","ISSUE-"&amp;TEXT(ROW()-1,"00000"),"")</f>
        <v/>
      </c>
      <c r="B3032" s="14">
        <f>IF(F3032&lt;&gt;"","错误","")</f>
        <v/>
      </c>
      <c r="C3032" s="14">
        <f>IF('08_资产清单'!A32&lt;&gt;"","08_资产清单","")</f>
        <v/>
      </c>
      <c r="D3032" s="14">
        <f>IF('08_资产清单'!A32&lt;&gt;"",'08_资产清单'!A32,"")</f>
        <v/>
      </c>
      <c r="E3032" s="14">
        <f>IF(F3032&lt;&gt;"","综合校验","")</f>
        <v/>
      </c>
      <c r="F3032" s="14">
        <f>IF('08_资产清单'!A32&lt;&gt;"",IF('08_资产清单'!A32="","缺少资产ID；","")&amp;IF('08_资产清单'!B32="","缺少资产名称；","")&amp;IF('08_资产清单'!C32="","缺少对象ID；","")&amp;IF('08_资产清单'!D32="","缺少资产类别；","")&amp;IF('08_资产清单'!G32="","缺少文件名；","")&amp;IF(AND('08_资产清单'!C32&lt;&gt;"",COUNTIF('02_固定地理'!$A$2:$A$501,'08_资产清单'!C32)+COUNTIF('03_地点锚点'!$A$2:$A$501,'08_资产清单'!C32)+COUNTIF('04_路径网络'!$A$2:$A$501,'08_资产清单'!C32)+COUNTIF('06_建筑锚点'!$A$2:$A$501,'08_资产清单'!C32)=0),"资产引用对象不存在；","")&amp;IF(AND('08_资产清单'!E32&lt;&gt;"",COUNTIF('07_动态状态'!$A$2:$A$501,'08_资产清单'!E32)=0),"状态编码不存在；","")&amp;IF(AND('08_资产清单'!G32&lt;&gt;"",COUNTIF('08_资产清单'!$G$2:$G$501,'08_资产清单'!G32)&gt;1),"文件名重复；","")&amp;IF(AND('08_资产清单'!A32&lt;&gt;"",COUNTIF('08_资产清单'!$A$2:$A$501,'08_资产清单'!A32)&gt;1),"ID重复；",""),"")</f>
        <v/>
      </c>
      <c r="G3032" s="14">
        <f>IF(F3032&lt;&gt;"","按字段批注、数据字典和来源记录修正后复核","")</f>
        <v/>
      </c>
      <c r="H3032" s="14">
        <f>IF(F3032&lt;&gt;"","待处理","")</f>
        <v/>
      </c>
    </row>
    <row r="3033">
      <c r="A3033" s="14">
        <f>IF(F3033&lt;&gt;"","ISSUE-"&amp;TEXT(ROW()-1,"00000"),"")</f>
        <v/>
      </c>
      <c r="B3033" s="14">
        <f>IF(F3033&lt;&gt;"","错误","")</f>
        <v/>
      </c>
      <c r="C3033" s="14">
        <f>IF('08_资产清单'!A33&lt;&gt;"","08_资产清单","")</f>
        <v/>
      </c>
      <c r="D3033" s="14">
        <f>IF('08_资产清单'!A33&lt;&gt;"",'08_资产清单'!A33,"")</f>
        <v/>
      </c>
      <c r="E3033" s="14">
        <f>IF(F3033&lt;&gt;"","综合校验","")</f>
        <v/>
      </c>
      <c r="F3033" s="14">
        <f>IF('08_资产清单'!A33&lt;&gt;"",IF('08_资产清单'!A33="","缺少资产ID；","")&amp;IF('08_资产清单'!B33="","缺少资产名称；","")&amp;IF('08_资产清单'!C33="","缺少对象ID；","")&amp;IF('08_资产清单'!D33="","缺少资产类别；","")&amp;IF('08_资产清单'!G33="","缺少文件名；","")&amp;IF(AND('08_资产清单'!C33&lt;&gt;"",COUNTIF('02_固定地理'!$A$2:$A$501,'08_资产清单'!C33)+COUNTIF('03_地点锚点'!$A$2:$A$501,'08_资产清单'!C33)+COUNTIF('04_路径网络'!$A$2:$A$501,'08_资产清单'!C33)+COUNTIF('06_建筑锚点'!$A$2:$A$501,'08_资产清单'!C33)=0),"资产引用对象不存在；","")&amp;IF(AND('08_资产清单'!E33&lt;&gt;"",COUNTIF('07_动态状态'!$A$2:$A$501,'08_资产清单'!E33)=0),"状态编码不存在；","")&amp;IF(AND('08_资产清单'!G33&lt;&gt;"",COUNTIF('08_资产清单'!$G$2:$G$501,'08_资产清单'!G33)&gt;1),"文件名重复；","")&amp;IF(AND('08_资产清单'!A33&lt;&gt;"",COUNTIF('08_资产清单'!$A$2:$A$501,'08_资产清单'!A33)&gt;1),"ID重复；",""),"")</f>
        <v/>
      </c>
      <c r="G3033" s="14">
        <f>IF(F3033&lt;&gt;"","按字段批注、数据字典和来源记录修正后复核","")</f>
        <v/>
      </c>
      <c r="H3033" s="14">
        <f>IF(F3033&lt;&gt;"","待处理","")</f>
        <v/>
      </c>
    </row>
    <row r="3034">
      <c r="A3034" s="14">
        <f>IF(F3034&lt;&gt;"","ISSUE-"&amp;TEXT(ROW()-1,"00000"),"")</f>
        <v/>
      </c>
      <c r="B3034" s="14">
        <f>IF(F3034&lt;&gt;"","错误","")</f>
        <v/>
      </c>
      <c r="C3034" s="14">
        <f>IF('08_资产清单'!A34&lt;&gt;"","08_资产清单","")</f>
        <v/>
      </c>
      <c r="D3034" s="14">
        <f>IF('08_资产清单'!A34&lt;&gt;"",'08_资产清单'!A34,"")</f>
        <v/>
      </c>
      <c r="E3034" s="14">
        <f>IF(F3034&lt;&gt;"","综合校验","")</f>
        <v/>
      </c>
      <c r="F3034" s="14">
        <f>IF('08_资产清单'!A34&lt;&gt;"",IF('08_资产清单'!A34="","缺少资产ID；","")&amp;IF('08_资产清单'!B34="","缺少资产名称；","")&amp;IF('08_资产清单'!C34="","缺少对象ID；","")&amp;IF('08_资产清单'!D34="","缺少资产类别；","")&amp;IF('08_资产清单'!G34="","缺少文件名；","")&amp;IF(AND('08_资产清单'!C34&lt;&gt;"",COUNTIF('02_固定地理'!$A$2:$A$501,'08_资产清单'!C34)+COUNTIF('03_地点锚点'!$A$2:$A$501,'08_资产清单'!C34)+COUNTIF('04_路径网络'!$A$2:$A$501,'08_资产清单'!C34)+COUNTIF('06_建筑锚点'!$A$2:$A$501,'08_资产清单'!C34)=0),"资产引用对象不存在；","")&amp;IF(AND('08_资产清单'!E34&lt;&gt;"",COUNTIF('07_动态状态'!$A$2:$A$501,'08_资产清单'!E34)=0),"状态编码不存在；","")&amp;IF(AND('08_资产清单'!G34&lt;&gt;"",COUNTIF('08_资产清单'!$G$2:$G$501,'08_资产清单'!G34)&gt;1),"文件名重复；","")&amp;IF(AND('08_资产清单'!A34&lt;&gt;"",COUNTIF('08_资产清单'!$A$2:$A$501,'08_资产清单'!A34)&gt;1),"ID重复；",""),"")</f>
        <v/>
      </c>
      <c r="G3034" s="14">
        <f>IF(F3034&lt;&gt;"","按字段批注、数据字典和来源记录修正后复核","")</f>
        <v/>
      </c>
      <c r="H3034" s="14">
        <f>IF(F3034&lt;&gt;"","待处理","")</f>
        <v/>
      </c>
    </row>
    <row r="3035">
      <c r="A3035" s="14">
        <f>IF(F3035&lt;&gt;"","ISSUE-"&amp;TEXT(ROW()-1,"00000"),"")</f>
        <v/>
      </c>
      <c r="B3035" s="14">
        <f>IF(F3035&lt;&gt;"","错误","")</f>
        <v/>
      </c>
      <c r="C3035" s="14">
        <f>IF('08_资产清单'!A35&lt;&gt;"","08_资产清单","")</f>
        <v/>
      </c>
      <c r="D3035" s="14">
        <f>IF('08_资产清单'!A35&lt;&gt;"",'08_资产清单'!A35,"")</f>
        <v/>
      </c>
      <c r="E3035" s="14">
        <f>IF(F3035&lt;&gt;"","综合校验","")</f>
        <v/>
      </c>
      <c r="F3035" s="14">
        <f>IF('08_资产清单'!A35&lt;&gt;"",IF('08_资产清单'!A35="","缺少资产ID；","")&amp;IF('08_资产清单'!B35="","缺少资产名称；","")&amp;IF('08_资产清单'!C35="","缺少对象ID；","")&amp;IF('08_资产清单'!D35="","缺少资产类别；","")&amp;IF('08_资产清单'!G35="","缺少文件名；","")&amp;IF(AND('08_资产清单'!C35&lt;&gt;"",COUNTIF('02_固定地理'!$A$2:$A$501,'08_资产清单'!C35)+COUNTIF('03_地点锚点'!$A$2:$A$501,'08_资产清单'!C35)+COUNTIF('04_路径网络'!$A$2:$A$501,'08_资产清单'!C35)+COUNTIF('06_建筑锚点'!$A$2:$A$501,'08_资产清单'!C35)=0),"资产引用对象不存在；","")&amp;IF(AND('08_资产清单'!E35&lt;&gt;"",COUNTIF('07_动态状态'!$A$2:$A$501,'08_资产清单'!E35)=0),"状态编码不存在；","")&amp;IF(AND('08_资产清单'!G35&lt;&gt;"",COUNTIF('08_资产清单'!$G$2:$G$501,'08_资产清单'!G35)&gt;1),"文件名重复；","")&amp;IF(AND('08_资产清单'!A35&lt;&gt;"",COUNTIF('08_资产清单'!$A$2:$A$501,'08_资产清单'!A35)&gt;1),"ID重复；",""),"")</f>
        <v/>
      </c>
      <c r="G3035" s="14">
        <f>IF(F3035&lt;&gt;"","按字段批注、数据字典和来源记录修正后复核","")</f>
        <v/>
      </c>
      <c r="H3035" s="14">
        <f>IF(F3035&lt;&gt;"","待处理","")</f>
        <v/>
      </c>
    </row>
    <row r="3036">
      <c r="A3036" s="14">
        <f>IF(F3036&lt;&gt;"","ISSUE-"&amp;TEXT(ROW()-1,"00000"),"")</f>
        <v/>
      </c>
      <c r="B3036" s="14">
        <f>IF(F3036&lt;&gt;"","错误","")</f>
        <v/>
      </c>
      <c r="C3036" s="14">
        <f>IF('08_资产清单'!A36&lt;&gt;"","08_资产清单","")</f>
        <v/>
      </c>
      <c r="D3036" s="14">
        <f>IF('08_资产清单'!A36&lt;&gt;"",'08_资产清单'!A36,"")</f>
        <v/>
      </c>
      <c r="E3036" s="14">
        <f>IF(F3036&lt;&gt;"","综合校验","")</f>
        <v/>
      </c>
      <c r="F3036" s="14">
        <f>IF('08_资产清单'!A36&lt;&gt;"",IF('08_资产清单'!A36="","缺少资产ID；","")&amp;IF('08_资产清单'!B36="","缺少资产名称；","")&amp;IF('08_资产清单'!C36="","缺少对象ID；","")&amp;IF('08_资产清单'!D36="","缺少资产类别；","")&amp;IF('08_资产清单'!G36="","缺少文件名；","")&amp;IF(AND('08_资产清单'!C36&lt;&gt;"",COUNTIF('02_固定地理'!$A$2:$A$501,'08_资产清单'!C36)+COUNTIF('03_地点锚点'!$A$2:$A$501,'08_资产清单'!C36)+COUNTIF('04_路径网络'!$A$2:$A$501,'08_资产清单'!C36)+COUNTIF('06_建筑锚点'!$A$2:$A$501,'08_资产清单'!C36)=0),"资产引用对象不存在；","")&amp;IF(AND('08_资产清单'!E36&lt;&gt;"",COUNTIF('07_动态状态'!$A$2:$A$501,'08_资产清单'!E36)=0),"状态编码不存在；","")&amp;IF(AND('08_资产清单'!G36&lt;&gt;"",COUNTIF('08_资产清单'!$G$2:$G$501,'08_资产清单'!G36)&gt;1),"文件名重复；","")&amp;IF(AND('08_资产清单'!A36&lt;&gt;"",COUNTIF('08_资产清单'!$A$2:$A$501,'08_资产清单'!A36)&gt;1),"ID重复；",""),"")</f>
        <v/>
      </c>
      <c r="G3036" s="14">
        <f>IF(F3036&lt;&gt;"","按字段批注、数据字典和来源记录修正后复核","")</f>
        <v/>
      </c>
      <c r="H3036" s="14">
        <f>IF(F3036&lt;&gt;"","待处理","")</f>
        <v/>
      </c>
    </row>
    <row r="3037">
      <c r="A3037" s="14">
        <f>IF(F3037&lt;&gt;"","ISSUE-"&amp;TEXT(ROW()-1,"00000"),"")</f>
        <v/>
      </c>
      <c r="B3037" s="14">
        <f>IF(F3037&lt;&gt;"","错误","")</f>
        <v/>
      </c>
      <c r="C3037" s="14">
        <f>IF('08_资产清单'!A37&lt;&gt;"","08_资产清单","")</f>
        <v/>
      </c>
      <c r="D3037" s="14">
        <f>IF('08_资产清单'!A37&lt;&gt;"",'08_资产清单'!A37,"")</f>
        <v/>
      </c>
      <c r="E3037" s="14">
        <f>IF(F3037&lt;&gt;"","综合校验","")</f>
        <v/>
      </c>
      <c r="F3037" s="14">
        <f>IF('08_资产清单'!A37&lt;&gt;"",IF('08_资产清单'!A37="","缺少资产ID；","")&amp;IF('08_资产清单'!B37="","缺少资产名称；","")&amp;IF('08_资产清单'!C37="","缺少对象ID；","")&amp;IF('08_资产清单'!D37="","缺少资产类别；","")&amp;IF('08_资产清单'!G37="","缺少文件名；","")&amp;IF(AND('08_资产清单'!C37&lt;&gt;"",COUNTIF('02_固定地理'!$A$2:$A$501,'08_资产清单'!C37)+COUNTIF('03_地点锚点'!$A$2:$A$501,'08_资产清单'!C37)+COUNTIF('04_路径网络'!$A$2:$A$501,'08_资产清单'!C37)+COUNTIF('06_建筑锚点'!$A$2:$A$501,'08_资产清单'!C37)=0),"资产引用对象不存在；","")&amp;IF(AND('08_资产清单'!E37&lt;&gt;"",COUNTIF('07_动态状态'!$A$2:$A$501,'08_资产清单'!E37)=0),"状态编码不存在；","")&amp;IF(AND('08_资产清单'!G37&lt;&gt;"",COUNTIF('08_资产清单'!$G$2:$G$501,'08_资产清单'!G37)&gt;1),"文件名重复；","")&amp;IF(AND('08_资产清单'!A37&lt;&gt;"",COUNTIF('08_资产清单'!$A$2:$A$501,'08_资产清单'!A37)&gt;1),"ID重复；",""),"")</f>
        <v/>
      </c>
      <c r="G3037" s="14">
        <f>IF(F3037&lt;&gt;"","按字段批注、数据字典和来源记录修正后复核","")</f>
        <v/>
      </c>
      <c r="H3037" s="14">
        <f>IF(F3037&lt;&gt;"","待处理","")</f>
        <v/>
      </c>
    </row>
    <row r="3038">
      <c r="A3038" s="14">
        <f>IF(F3038&lt;&gt;"","ISSUE-"&amp;TEXT(ROW()-1,"00000"),"")</f>
        <v/>
      </c>
      <c r="B3038" s="14">
        <f>IF(F3038&lt;&gt;"","错误","")</f>
        <v/>
      </c>
      <c r="C3038" s="14">
        <f>IF('08_资产清单'!A38&lt;&gt;"","08_资产清单","")</f>
        <v/>
      </c>
      <c r="D3038" s="14">
        <f>IF('08_资产清单'!A38&lt;&gt;"",'08_资产清单'!A38,"")</f>
        <v/>
      </c>
      <c r="E3038" s="14">
        <f>IF(F3038&lt;&gt;"","综合校验","")</f>
        <v/>
      </c>
      <c r="F3038" s="14">
        <f>IF('08_资产清单'!A38&lt;&gt;"",IF('08_资产清单'!A38="","缺少资产ID；","")&amp;IF('08_资产清单'!B38="","缺少资产名称；","")&amp;IF('08_资产清单'!C38="","缺少对象ID；","")&amp;IF('08_资产清单'!D38="","缺少资产类别；","")&amp;IF('08_资产清单'!G38="","缺少文件名；","")&amp;IF(AND('08_资产清单'!C38&lt;&gt;"",COUNTIF('02_固定地理'!$A$2:$A$501,'08_资产清单'!C38)+COUNTIF('03_地点锚点'!$A$2:$A$501,'08_资产清单'!C38)+COUNTIF('04_路径网络'!$A$2:$A$501,'08_资产清单'!C38)+COUNTIF('06_建筑锚点'!$A$2:$A$501,'08_资产清单'!C38)=0),"资产引用对象不存在；","")&amp;IF(AND('08_资产清单'!E38&lt;&gt;"",COUNTIF('07_动态状态'!$A$2:$A$501,'08_资产清单'!E38)=0),"状态编码不存在；","")&amp;IF(AND('08_资产清单'!G38&lt;&gt;"",COUNTIF('08_资产清单'!$G$2:$G$501,'08_资产清单'!G38)&gt;1),"文件名重复；","")&amp;IF(AND('08_资产清单'!A38&lt;&gt;"",COUNTIF('08_资产清单'!$A$2:$A$501,'08_资产清单'!A38)&gt;1),"ID重复；",""),"")</f>
        <v/>
      </c>
      <c r="G3038" s="14">
        <f>IF(F3038&lt;&gt;"","按字段批注、数据字典和来源记录修正后复核","")</f>
        <v/>
      </c>
      <c r="H3038" s="14">
        <f>IF(F3038&lt;&gt;"","待处理","")</f>
        <v/>
      </c>
    </row>
    <row r="3039">
      <c r="A3039" s="14">
        <f>IF(F3039&lt;&gt;"","ISSUE-"&amp;TEXT(ROW()-1,"00000"),"")</f>
        <v/>
      </c>
      <c r="B3039" s="14">
        <f>IF(F3039&lt;&gt;"","错误","")</f>
        <v/>
      </c>
      <c r="C3039" s="14">
        <f>IF('08_资产清单'!A39&lt;&gt;"","08_资产清单","")</f>
        <v/>
      </c>
      <c r="D3039" s="14">
        <f>IF('08_资产清单'!A39&lt;&gt;"",'08_资产清单'!A39,"")</f>
        <v/>
      </c>
      <c r="E3039" s="14">
        <f>IF(F3039&lt;&gt;"","综合校验","")</f>
        <v/>
      </c>
      <c r="F3039" s="14">
        <f>IF('08_资产清单'!A39&lt;&gt;"",IF('08_资产清单'!A39="","缺少资产ID；","")&amp;IF('08_资产清单'!B39="","缺少资产名称；","")&amp;IF('08_资产清单'!C39="","缺少对象ID；","")&amp;IF('08_资产清单'!D39="","缺少资产类别；","")&amp;IF('08_资产清单'!G39="","缺少文件名；","")&amp;IF(AND('08_资产清单'!C39&lt;&gt;"",COUNTIF('02_固定地理'!$A$2:$A$501,'08_资产清单'!C39)+COUNTIF('03_地点锚点'!$A$2:$A$501,'08_资产清单'!C39)+COUNTIF('04_路径网络'!$A$2:$A$501,'08_资产清单'!C39)+COUNTIF('06_建筑锚点'!$A$2:$A$501,'08_资产清单'!C39)=0),"资产引用对象不存在；","")&amp;IF(AND('08_资产清单'!E39&lt;&gt;"",COUNTIF('07_动态状态'!$A$2:$A$501,'08_资产清单'!E39)=0),"状态编码不存在；","")&amp;IF(AND('08_资产清单'!G39&lt;&gt;"",COUNTIF('08_资产清单'!$G$2:$G$501,'08_资产清单'!G39)&gt;1),"文件名重复；","")&amp;IF(AND('08_资产清单'!A39&lt;&gt;"",COUNTIF('08_资产清单'!$A$2:$A$501,'08_资产清单'!A39)&gt;1),"ID重复；",""),"")</f>
        <v/>
      </c>
      <c r="G3039" s="14">
        <f>IF(F3039&lt;&gt;"","按字段批注、数据字典和来源记录修正后复核","")</f>
        <v/>
      </c>
      <c r="H3039" s="14">
        <f>IF(F3039&lt;&gt;"","待处理","")</f>
        <v/>
      </c>
    </row>
    <row r="3040">
      <c r="A3040" s="14">
        <f>IF(F3040&lt;&gt;"","ISSUE-"&amp;TEXT(ROW()-1,"00000"),"")</f>
        <v/>
      </c>
      <c r="B3040" s="14">
        <f>IF(F3040&lt;&gt;"","错误","")</f>
        <v/>
      </c>
      <c r="C3040" s="14">
        <f>IF('08_资产清单'!A40&lt;&gt;"","08_资产清单","")</f>
        <v/>
      </c>
      <c r="D3040" s="14">
        <f>IF('08_资产清单'!A40&lt;&gt;"",'08_资产清单'!A40,"")</f>
        <v/>
      </c>
      <c r="E3040" s="14">
        <f>IF(F3040&lt;&gt;"","综合校验","")</f>
        <v/>
      </c>
      <c r="F3040" s="14">
        <f>IF('08_资产清单'!A40&lt;&gt;"",IF('08_资产清单'!A40="","缺少资产ID；","")&amp;IF('08_资产清单'!B40="","缺少资产名称；","")&amp;IF('08_资产清单'!C40="","缺少对象ID；","")&amp;IF('08_资产清单'!D40="","缺少资产类别；","")&amp;IF('08_资产清单'!G40="","缺少文件名；","")&amp;IF(AND('08_资产清单'!C40&lt;&gt;"",COUNTIF('02_固定地理'!$A$2:$A$501,'08_资产清单'!C40)+COUNTIF('03_地点锚点'!$A$2:$A$501,'08_资产清单'!C40)+COUNTIF('04_路径网络'!$A$2:$A$501,'08_资产清单'!C40)+COUNTIF('06_建筑锚点'!$A$2:$A$501,'08_资产清单'!C40)=0),"资产引用对象不存在；","")&amp;IF(AND('08_资产清单'!E40&lt;&gt;"",COUNTIF('07_动态状态'!$A$2:$A$501,'08_资产清单'!E40)=0),"状态编码不存在；","")&amp;IF(AND('08_资产清单'!G40&lt;&gt;"",COUNTIF('08_资产清单'!$G$2:$G$501,'08_资产清单'!G40)&gt;1),"文件名重复；","")&amp;IF(AND('08_资产清单'!A40&lt;&gt;"",COUNTIF('08_资产清单'!$A$2:$A$501,'08_资产清单'!A40)&gt;1),"ID重复；",""),"")</f>
        <v/>
      </c>
      <c r="G3040" s="14">
        <f>IF(F3040&lt;&gt;"","按字段批注、数据字典和来源记录修正后复核","")</f>
        <v/>
      </c>
      <c r="H3040" s="14">
        <f>IF(F3040&lt;&gt;"","待处理","")</f>
        <v/>
      </c>
    </row>
    <row r="3041">
      <c r="A3041" s="14">
        <f>IF(F3041&lt;&gt;"","ISSUE-"&amp;TEXT(ROW()-1,"00000"),"")</f>
        <v/>
      </c>
      <c r="B3041" s="14">
        <f>IF(F3041&lt;&gt;"","错误","")</f>
        <v/>
      </c>
      <c r="C3041" s="14">
        <f>IF('08_资产清单'!A41&lt;&gt;"","08_资产清单","")</f>
        <v/>
      </c>
      <c r="D3041" s="14">
        <f>IF('08_资产清单'!A41&lt;&gt;"",'08_资产清单'!A41,"")</f>
        <v/>
      </c>
      <c r="E3041" s="14">
        <f>IF(F3041&lt;&gt;"","综合校验","")</f>
        <v/>
      </c>
      <c r="F3041" s="14">
        <f>IF('08_资产清单'!A41&lt;&gt;"",IF('08_资产清单'!A41="","缺少资产ID；","")&amp;IF('08_资产清单'!B41="","缺少资产名称；","")&amp;IF('08_资产清单'!C41="","缺少对象ID；","")&amp;IF('08_资产清单'!D41="","缺少资产类别；","")&amp;IF('08_资产清单'!G41="","缺少文件名；","")&amp;IF(AND('08_资产清单'!C41&lt;&gt;"",COUNTIF('02_固定地理'!$A$2:$A$501,'08_资产清单'!C41)+COUNTIF('03_地点锚点'!$A$2:$A$501,'08_资产清单'!C41)+COUNTIF('04_路径网络'!$A$2:$A$501,'08_资产清单'!C41)+COUNTIF('06_建筑锚点'!$A$2:$A$501,'08_资产清单'!C41)=0),"资产引用对象不存在；","")&amp;IF(AND('08_资产清单'!E41&lt;&gt;"",COUNTIF('07_动态状态'!$A$2:$A$501,'08_资产清单'!E41)=0),"状态编码不存在；","")&amp;IF(AND('08_资产清单'!G41&lt;&gt;"",COUNTIF('08_资产清单'!$G$2:$G$501,'08_资产清单'!G41)&gt;1),"文件名重复；","")&amp;IF(AND('08_资产清单'!A41&lt;&gt;"",COUNTIF('08_资产清单'!$A$2:$A$501,'08_资产清单'!A41)&gt;1),"ID重复；",""),"")</f>
        <v/>
      </c>
      <c r="G3041" s="14">
        <f>IF(F3041&lt;&gt;"","按字段批注、数据字典和来源记录修正后复核","")</f>
        <v/>
      </c>
      <c r="H3041" s="14">
        <f>IF(F3041&lt;&gt;"","待处理","")</f>
        <v/>
      </c>
    </row>
    <row r="3042">
      <c r="A3042" s="14">
        <f>IF(F3042&lt;&gt;"","ISSUE-"&amp;TEXT(ROW()-1,"00000"),"")</f>
        <v/>
      </c>
      <c r="B3042" s="14">
        <f>IF(F3042&lt;&gt;"","错误","")</f>
        <v/>
      </c>
      <c r="C3042" s="14">
        <f>IF('08_资产清单'!A42&lt;&gt;"","08_资产清单","")</f>
        <v/>
      </c>
      <c r="D3042" s="14">
        <f>IF('08_资产清单'!A42&lt;&gt;"",'08_资产清单'!A42,"")</f>
        <v/>
      </c>
      <c r="E3042" s="14">
        <f>IF(F3042&lt;&gt;"","综合校验","")</f>
        <v/>
      </c>
      <c r="F3042" s="14">
        <f>IF('08_资产清单'!A42&lt;&gt;"",IF('08_资产清单'!A42="","缺少资产ID；","")&amp;IF('08_资产清单'!B42="","缺少资产名称；","")&amp;IF('08_资产清单'!C42="","缺少对象ID；","")&amp;IF('08_资产清单'!D42="","缺少资产类别；","")&amp;IF('08_资产清单'!G42="","缺少文件名；","")&amp;IF(AND('08_资产清单'!C42&lt;&gt;"",COUNTIF('02_固定地理'!$A$2:$A$501,'08_资产清单'!C42)+COUNTIF('03_地点锚点'!$A$2:$A$501,'08_资产清单'!C42)+COUNTIF('04_路径网络'!$A$2:$A$501,'08_资产清单'!C42)+COUNTIF('06_建筑锚点'!$A$2:$A$501,'08_资产清单'!C42)=0),"资产引用对象不存在；","")&amp;IF(AND('08_资产清单'!E42&lt;&gt;"",COUNTIF('07_动态状态'!$A$2:$A$501,'08_资产清单'!E42)=0),"状态编码不存在；","")&amp;IF(AND('08_资产清单'!G42&lt;&gt;"",COUNTIF('08_资产清单'!$G$2:$G$501,'08_资产清单'!G42)&gt;1),"文件名重复；","")&amp;IF(AND('08_资产清单'!A42&lt;&gt;"",COUNTIF('08_资产清单'!$A$2:$A$501,'08_资产清单'!A42)&gt;1),"ID重复；",""),"")</f>
        <v/>
      </c>
      <c r="G3042" s="14">
        <f>IF(F3042&lt;&gt;"","按字段批注、数据字典和来源记录修正后复核","")</f>
        <v/>
      </c>
      <c r="H3042" s="14">
        <f>IF(F3042&lt;&gt;"","待处理","")</f>
        <v/>
      </c>
    </row>
    <row r="3043">
      <c r="A3043" s="14">
        <f>IF(F3043&lt;&gt;"","ISSUE-"&amp;TEXT(ROW()-1,"00000"),"")</f>
        <v/>
      </c>
      <c r="B3043" s="14">
        <f>IF(F3043&lt;&gt;"","错误","")</f>
        <v/>
      </c>
      <c r="C3043" s="14">
        <f>IF('08_资产清单'!A43&lt;&gt;"","08_资产清单","")</f>
        <v/>
      </c>
      <c r="D3043" s="14">
        <f>IF('08_资产清单'!A43&lt;&gt;"",'08_资产清单'!A43,"")</f>
        <v/>
      </c>
      <c r="E3043" s="14">
        <f>IF(F3043&lt;&gt;"","综合校验","")</f>
        <v/>
      </c>
      <c r="F3043" s="14">
        <f>IF('08_资产清单'!A43&lt;&gt;"",IF('08_资产清单'!A43="","缺少资产ID；","")&amp;IF('08_资产清单'!B43="","缺少资产名称；","")&amp;IF('08_资产清单'!C43="","缺少对象ID；","")&amp;IF('08_资产清单'!D43="","缺少资产类别；","")&amp;IF('08_资产清单'!G43="","缺少文件名；","")&amp;IF(AND('08_资产清单'!C43&lt;&gt;"",COUNTIF('02_固定地理'!$A$2:$A$501,'08_资产清单'!C43)+COUNTIF('03_地点锚点'!$A$2:$A$501,'08_资产清单'!C43)+COUNTIF('04_路径网络'!$A$2:$A$501,'08_资产清单'!C43)+COUNTIF('06_建筑锚点'!$A$2:$A$501,'08_资产清单'!C43)=0),"资产引用对象不存在；","")&amp;IF(AND('08_资产清单'!E43&lt;&gt;"",COUNTIF('07_动态状态'!$A$2:$A$501,'08_资产清单'!E43)=0),"状态编码不存在；","")&amp;IF(AND('08_资产清单'!G43&lt;&gt;"",COUNTIF('08_资产清单'!$G$2:$G$501,'08_资产清单'!G43)&gt;1),"文件名重复；","")&amp;IF(AND('08_资产清单'!A43&lt;&gt;"",COUNTIF('08_资产清单'!$A$2:$A$501,'08_资产清单'!A43)&gt;1),"ID重复；",""),"")</f>
        <v/>
      </c>
      <c r="G3043" s="14">
        <f>IF(F3043&lt;&gt;"","按字段批注、数据字典和来源记录修正后复核","")</f>
        <v/>
      </c>
      <c r="H3043" s="14">
        <f>IF(F3043&lt;&gt;"","待处理","")</f>
        <v/>
      </c>
    </row>
    <row r="3044">
      <c r="A3044" s="14">
        <f>IF(F3044&lt;&gt;"","ISSUE-"&amp;TEXT(ROW()-1,"00000"),"")</f>
        <v/>
      </c>
      <c r="B3044" s="14">
        <f>IF(F3044&lt;&gt;"","错误","")</f>
        <v/>
      </c>
      <c r="C3044" s="14">
        <f>IF('08_资产清单'!A44&lt;&gt;"","08_资产清单","")</f>
        <v/>
      </c>
      <c r="D3044" s="14">
        <f>IF('08_资产清单'!A44&lt;&gt;"",'08_资产清单'!A44,"")</f>
        <v/>
      </c>
      <c r="E3044" s="14">
        <f>IF(F3044&lt;&gt;"","综合校验","")</f>
        <v/>
      </c>
      <c r="F3044" s="14">
        <f>IF('08_资产清单'!A44&lt;&gt;"",IF('08_资产清单'!A44="","缺少资产ID；","")&amp;IF('08_资产清单'!B44="","缺少资产名称；","")&amp;IF('08_资产清单'!C44="","缺少对象ID；","")&amp;IF('08_资产清单'!D44="","缺少资产类别；","")&amp;IF('08_资产清单'!G44="","缺少文件名；","")&amp;IF(AND('08_资产清单'!C44&lt;&gt;"",COUNTIF('02_固定地理'!$A$2:$A$501,'08_资产清单'!C44)+COUNTIF('03_地点锚点'!$A$2:$A$501,'08_资产清单'!C44)+COUNTIF('04_路径网络'!$A$2:$A$501,'08_资产清单'!C44)+COUNTIF('06_建筑锚点'!$A$2:$A$501,'08_资产清单'!C44)=0),"资产引用对象不存在；","")&amp;IF(AND('08_资产清单'!E44&lt;&gt;"",COUNTIF('07_动态状态'!$A$2:$A$501,'08_资产清单'!E44)=0),"状态编码不存在；","")&amp;IF(AND('08_资产清单'!G44&lt;&gt;"",COUNTIF('08_资产清单'!$G$2:$G$501,'08_资产清单'!G44)&gt;1),"文件名重复；","")&amp;IF(AND('08_资产清单'!A44&lt;&gt;"",COUNTIF('08_资产清单'!$A$2:$A$501,'08_资产清单'!A44)&gt;1),"ID重复；",""),"")</f>
        <v/>
      </c>
      <c r="G3044" s="14">
        <f>IF(F3044&lt;&gt;"","按字段批注、数据字典和来源记录修正后复核","")</f>
        <v/>
      </c>
      <c r="H3044" s="14">
        <f>IF(F3044&lt;&gt;"","待处理","")</f>
        <v/>
      </c>
    </row>
    <row r="3045">
      <c r="A3045" s="14">
        <f>IF(F3045&lt;&gt;"","ISSUE-"&amp;TEXT(ROW()-1,"00000"),"")</f>
        <v/>
      </c>
      <c r="B3045" s="14">
        <f>IF(F3045&lt;&gt;"","错误","")</f>
        <v/>
      </c>
      <c r="C3045" s="14">
        <f>IF('08_资产清单'!A45&lt;&gt;"","08_资产清单","")</f>
        <v/>
      </c>
      <c r="D3045" s="14">
        <f>IF('08_资产清单'!A45&lt;&gt;"",'08_资产清单'!A45,"")</f>
        <v/>
      </c>
      <c r="E3045" s="14">
        <f>IF(F3045&lt;&gt;"","综合校验","")</f>
        <v/>
      </c>
      <c r="F3045" s="14">
        <f>IF('08_资产清单'!A45&lt;&gt;"",IF('08_资产清单'!A45="","缺少资产ID；","")&amp;IF('08_资产清单'!B45="","缺少资产名称；","")&amp;IF('08_资产清单'!C45="","缺少对象ID；","")&amp;IF('08_资产清单'!D45="","缺少资产类别；","")&amp;IF('08_资产清单'!G45="","缺少文件名；","")&amp;IF(AND('08_资产清单'!C45&lt;&gt;"",COUNTIF('02_固定地理'!$A$2:$A$501,'08_资产清单'!C45)+COUNTIF('03_地点锚点'!$A$2:$A$501,'08_资产清单'!C45)+COUNTIF('04_路径网络'!$A$2:$A$501,'08_资产清单'!C45)+COUNTIF('06_建筑锚点'!$A$2:$A$501,'08_资产清单'!C45)=0),"资产引用对象不存在；","")&amp;IF(AND('08_资产清单'!E45&lt;&gt;"",COUNTIF('07_动态状态'!$A$2:$A$501,'08_资产清单'!E45)=0),"状态编码不存在；","")&amp;IF(AND('08_资产清单'!G45&lt;&gt;"",COUNTIF('08_资产清单'!$G$2:$G$501,'08_资产清单'!G45)&gt;1),"文件名重复；","")&amp;IF(AND('08_资产清单'!A45&lt;&gt;"",COUNTIF('08_资产清单'!$A$2:$A$501,'08_资产清单'!A45)&gt;1),"ID重复；",""),"")</f>
        <v/>
      </c>
      <c r="G3045" s="14">
        <f>IF(F3045&lt;&gt;"","按字段批注、数据字典和来源记录修正后复核","")</f>
        <v/>
      </c>
      <c r="H3045" s="14">
        <f>IF(F3045&lt;&gt;"","待处理","")</f>
        <v/>
      </c>
    </row>
    <row r="3046">
      <c r="A3046" s="14">
        <f>IF(F3046&lt;&gt;"","ISSUE-"&amp;TEXT(ROW()-1,"00000"),"")</f>
        <v/>
      </c>
      <c r="B3046" s="14">
        <f>IF(F3046&lt;&gt;"","错误","")</f>
        <v/>
      </c>
      <c r="C3046" s="14">
        <f>IF('08_资产清单'!A46&lt;&gt;"","08_资产清单","")</f>
        <v/>
      </c>
      <c r="D3046" s="14">
        <f>IF('08_资产清单'!A46&lt;&gt;"",'08_资产清单'!A46,"")</f>
        <v/>
      </c>
      <c r="E3046" s="14">
        <f>IF(F3046&lt;&gt;"","综合校验","")</f>
        <v/>
      </c>
      <c r="F3046" s="14">
        <f>IF('08_资产清单'!A46&lt;&gt;"",IF('08_资产清单'!A46="","缺少资产ID；","")&amp;IF('08_资产清单'!B46="","缺少资产名称；","")&amp;IF('08_资产清单'!C46="","缺少对象ID；","")&amp;IF('08_资产清单'!D46="","缺少资产类别；","")&amp;IF('08_资产清单'!G46="","缺少文件名；","")&amp;IF(AND('08_资产清单'!C46&lt;&gt;"",COUNTIF('02_固定地理'!$A$2:$A$501,'08_资产清单'!C46)+COUNTIF('03_地点锚点'!$A$2:$A$501,'08_资产清单'!C46)+COUNTIF('04_路径网络'!$A$2:$A$501,'08_资产清单'!C46)+COUNTIF('06_建筑锚点'!$A$2:$A$501,'08_资产清单'!C46)=0),"资产引用对象不存在；","")&amp;IF(AND('08_资产清单'!E46&lt;&gt;"",COUNTIF('07_动态状态'!$A$2:$A$501,'08_资产清单'!E46)=0),"状态编码不存在；","")&amp;IF(AND('08_资产清单'!G46&lt;&gt;"",COUNTIF('08_资产清单'!$G$2:$G$501,'08_资产清单'!G46)&gt;1),"文件名重复；","")&amp;IF(AND('08_资产清单'!A46&lt;&gt;"",COUNTIF('08_资产清单'!$A$2:$A$501,'08_资产清单'!A46)&gt;1),"ID重复；",""),"")</f>
        <v/>
      </c>
      <c r="G3046" s="14">
        <f>IF(F3046&lt;&gt;"","按字段批注、数据字典和来源记录修正后复核","")</f>
        <v/>
      </c>
      <c r="H3046" s="14">
        <f>IF(F3046&lt;&gt;"","待处理","")</f>
        <v/>
      </c>
    </row>
    <row r="3047">
      <c r="A3047" s="14">
        <f>IF(F3047&lt;&gt;"","ISSUE-"&amp;TEXT(ROW()-1,"00000"),"")</f>
        <v/>
      </c>
      <c r="B3047" s="14">
        <f>IF(F3047&lt;&gt;"","错误","")</f>
        <v/>
      </c>
      <c r="C3047" s="14">
        <f>IF('08_资产清单'!A47&lt;&gt;"","08_资产清单","")</f>
        <v/>
      </c>
      <c r="D3047" s="14">
        <f>IF('08_资产清单'!A47&lt;&gt;"",'08_资产清单'!A47,"")</f>
        <v/>
      </c>
      <c r="E3047" s="14">
        <f>IF(F3047&lt;&gt;"","综合校验","")</f>
        <v/>
      </c>
      <c r="F3047" s="14">
        <f>IF('08_资产清单'!A47&lt;&gt;"",IF('08_资产清单'!A47="","缺少资产ID；","")&amp;IF('08_资产清单'!B47="","缺少资产名称；","")&amp;IF('08_资产清单'!C47="","缺少对象ID；","")&amp;IF('08_资产清单'!D47="","缺少资产类别；","")&amp;IF('08_资产清单'!G47="","缺少文件名；","")&amp;IF(AND('08_资产清单'!C47&lt;&gt;"",COUNTIF('02_固定地理'!$A$2:$A$501,'08_资产清单'!C47)+COUNTIF('03_地点锚点'!$A$2:$A$501,'08_资产清单'!C47)+COUNTIF('04_路径网络'!$A$2:$A$501,'08_资产清单'!C47)+COUNTIF('06_建筑锚点'!$A$2:$A$501,'08_资产清单'!C47)=0),"资产引用对象不存在；","")&amp;IF(AND('08_资产清单'!E47&lt;&gt;"",COUNTIF('07_动态状态'!$A$2:$A$501,'08_资产清单'!E47)=0),"状态编码不存在；","")&amp;IF(AND('08_资产清单'!G47&lt;&gt;"",COUNTIF('08_资产清单'!$G$2:$G$501,'08_资产清单'!G47)&gt;1),"文件名重复；","")&amp;IF(AND('08_资产清单'!A47&lt;&gt;"",COUNTIF('08_资产清单'!$A$2:$A$501,'08_资产清单'!A47)&gt;1),"ID重复；",""),"")</f>
        <v/>
      </c>
      <c r="G3047" s="14">
        <f>IF(F3047&lt;&gt;"","按字段批注、数据字典和来源记录修正后复核","")</f>
        <v/>
      </c>
      <c r="H3047" s="14">
        <f>IF(F3047&lt;&gt;"","待处理","")</f>
        <v/>
      </c>
    </row>
    <row r="3048">
      <c r="A3048" s="14">
        <f>IF(F3048&lt;&gt;"","ISSUE-"&amp;TEXT(ROW()-1,"00000"),"")</f>
        <v/>
      </c>
      <c r="B3048" s="14">
        <f>IF(F3048&lt;&gt;"","错误","")</f>
        <v/>
      </c>
      <c r="C3048" s="14">
        <f>IF('08_资产清单'!A48&lt;&gt;"","08_资产清单","")</f>
        <v/>
      </c>
      <c r="D3048" s="14">
        <f>IF('08_资产清单'!A48&lt;&gt;"",'08_资产清单'!A48,"")</f>
        <v/>
      </c>
      <c r="E3048" s="14">
        <f>IF(F3048&lt;&gt;"","综合校验","")</f>
        <v/>
      </c>
      <c r="F3048" s="14">
        <f>IF('08_资产清单'!A48&lt;&gt;"",IF('08_资产清单'!A48="","缺少资产ID；","")&amp;IF('08_资产清单'!B48="","缺少资产名称；","")&amp;IF('08_资产清单'!C48="","缺少对象ID；","")&amp;IF('08_资产清单'!D48="","缺少资产类别；","")&amp;IF('08_资产清单'!G48="","缺少文件名；","")&amp;IF(AND('08_资产清单'!C48&lt;&gt;"",COUNTIF('02_固定地理'!$A$2:$A$501,'08_资产清单'!C48)+COUNTIF('03_地点锚点'!$A$2:$A$501,'08_资产清单'!C48)+COUNTIF('04_路径网络'!$A$2:$A$501,'08_资产清单'!C48)+COUNTIF('06_建筑锚点'!$A$2:$A$501,'08_资产清单'!C48)=0),"资产引用对象不存在；","")&amp;IF(AND('08_资产清单'!E48&lt;&gt;"",COUNTIF('07_动态状态'!$A$2:$A$501,'08_资产清单'!E48)=0),"状态编码不存在；","")&amp;IF(AND('08_资产清单'!G48&lt;&gt;"",COUNTIF('08_资产清单'!$G$2:$G$501,'08_资产清单'!G48)&gt;1),"文件名重复；","")&amp;IF(AND('08_资产清单'!A48&lt;&gt;"",COUNTIF('08_资产清单'!$A$2:$A$501,'08_资产清单'!A48)&gt;1),"ID重复；",""),"")</f>
        <v/>
      </c>
      <c r="G3048" s="14">
        <f>IF(F3048&lt;&gt;"","按字段批注、数据字典和来源记录修正后复核","")</f>
        <v/>
      </c>
      <c r="H3048" s="14">
        <f>IF(F3048&lt;&gt;"","待处理","")</f>
        <v/>
      </c>
    </row>
    <row r="3049">
      <c r="A3049" s="14">
        <f>IF(F3049&lt;&gt;"","ISSUE-"&amp;TEXT(ROW()-1,"00000"),"")</f>
        <v/>
      </c>
      <c r="B3049" s="14">
        <f>IF(F3049&lt;&gt;"","错误","")</f>
        <v/>
      </c>
      <c r="C3049" s="14">
        <f>IF('08_资产清单'!A49&lt;&gt;"","08_资产清单","")</f>
        <v/>
      </c>
      <c r="D3049" s="14">
        <f>IF('08_资产清单'!A49&lt;&gt;"",'08_资产清单'!A49,"")</f>
        <v/>
      </c>
      <c r="E3049" s="14">
        <f>IF(F3049&lt;&gt;"","综合校验","")</f>
        <v/>
      </c>
      <c r="F3049" s="14">
        <f>IF('08_资产清单'!A49&lt;&gt;"",IF('08_资产清单'!A49="","缺少资产ID；","")&amp;IF('08_资产清单'!B49="","缺少资产名称；","")&amp;IF('08_资产清单'!C49="","缺少对象ID；","")&amp;IF('08_资产清单'!D49="","缺少资产类别；","")&amp;IF('08_资产清单'!G49="","缺少文件名；","")&amp;IF(AND('08_资产清单'!C49&lt;&gt;"",COUNTIF('02_固定地理'!$A$2:$A$501,'08_资产清单'!C49)+COUNTIF('03_地点锚点'!$A$2:$A$501,'08_资产清单'!C49)+COUNTIF('04_路径网络'!$A$2:$A$501,'08_资产清单'!C49)+COUNTIF('06_建筑锚点'!$A$2:$A$501,'08_资产清单'!C49)=0),"资产引用对象不存在；","")&amp;IF(AND('08_资产清单'!E49&lt;&gt;"",COUNTIF('07_动态状态'!$A$2:$A$501,'08_资产清单'!E49)=0),"状态编码不存在；","")&amp;IF(AND('08_资产清单'!G49&lt;&gt;"",COUNTIF('08_资产清单'!$G$2:$G$501,'08_资产清单'!G49)&gt;1),"文件名重复；","")&amp;IF(AND('08_资产清单'!A49&lt;&gt;"",COUNTIF('08_资产清单'!$A$2:$A$501,'08_资产清单'!A49)&gt;1),"ID重复；",""),"")</f>
        <v/>
      </c>
      <c r="G3049" s="14">
        <f>IF(F3049&lt;&gt;"","按字段批注、数据字典和来源记录修正后复核","")</f>
        <v/>
      </c>
      <c r="H3049" s="14">
        <f>IF(F3049&lt;&gt;"","待处理","")</f>
        <v/>
      </c>
    </row>
    <row r="3050">
      <c r="A3050" s="14">
        <f>IF(F3050&lt;&gt;"","ISSUE-"&amp;TEXT(ROW()-1,"00000"),"")</f>
        <v/>
      </c>
      <c r="B3050" s="14">
        <f>IF(F3050&lt;&gt;"","错误","")</f>
        <v/>
      </c>
      <c r="C3050" s="14">
        <f>IF('08_资产清单'!A50&lt;&gt;"","08_资产清单","")</f>
        <v/>
      </c>
      <c r="D3050" s="14">
        <f>IF('08_资产清单'!A50&lt;&gt;"",'08_资产清单'!A50,"")</f>
        <v/>
      </c>
      <c r="E3050" s="14">
        <f>IF(F3050&lt;&gt;"","综合校验","")</f>
        <v/>
      </c>
      <c r="F3050" s="14">
        <f>IF('08_资产清单'!A50&lt;&gt;"",IF('08_资产清单'!A50="","缺少资产ID；","")&amp;IF('08_资产清单'!B50="","缺少资产名称；","")&amp;IF('08_资产清单'!C50="","缺少对象ID；","")&amp;IF('08_资产清单'!D50="","缺少资产类别；","")&amp;IF('08_资产清单'!G50="","缺少文件名；","")&amp;IF(AND('08_资产清单'!C50&lt;&gt;"",COUNTIF('02_固定地理'!$A$2:$A$501,'08_资产清单'!C50)+COUNTIF('03_地点锚点'!$A$2:$A$501,'08_资产清单'!C50)+COUNTIF('04_路径网络'!$A$2:$A$501,'08_资产清单'!C50)+COUNTIF('06_建筑锚点'!$A$2:$A$501,'08_资产清单'!C50)=0),"资产引用对象不存在；","")&amp;IF(AND('08_资产清单'!E50&lt;&gt;"",COUNTIF('07_动态状态'!$A$2:$A$501,'08_资产清单'!E50)=0),"状态编码不存在；","")&amp;IF(AND('08_资产清单'!G50&lt;&gt;"",COUNTIF('08_资产清单'!$G$2:$G$501,'08_资产清单'!G50)&gt;1),"文件名重复；","")&amp;IF(AND('08_资产清单'!A50&lt;&gt;"",COUNTIF('08_资产清单'!$A$2:$A$501,'08_资产清单'!A50)&gt;1),"ID重复；",""),"")</f>
        <v/>
      </c>
      <c r="G3050" s="14">
        <f>IF(F3050&lt;&gt;"","按字段批注、数据字典和来源记录修正后复核","")</f>
        <v/>
      </c>
      <c r="H3050" s="14">
        <f>IF(F3050&lt;&gt;"","待处理","")</f>
        <v/>
      </c>
    </row>
    <row r="3051">
      <c r="A3051" s="14">
        <f>IF(F3051&lt;&gt;"","ISSUE-"&amp;TEXT(ROW()-1,"00000"),"")</f>
        <v/>
      </c>
      <c r="B3051" s="14">
        <f>IF(F3051&lt;&gt;"","错误","")</f>
        <v/>
      </c>
      <c r="C3051" s="14">
        <f>IF('08_资产清单'!A51&lt;&gt;"","08_资产清单","")</f>
        <v/>
      </c>
      <c r="D3051" s="14">
        <f>IF('08_资产清单'!A51&lt;&gt;"",'08_资产清单'!A51,"")</f>
        <v/>
      </c>
      <c r="E3051" s="14">
        <f>IF(F3051&lt;&gt;"","综合校验","")</f>
        <v/>
      </c>
      <c r="F3051" s="14">
        <f>IF('08_资产清单'!A51&lt;&gt;"",IF('08_资产清单'!A51="","缺少资产ID；","")&amp;IF('08_资产清单'!B51="","缺少资产名称；","")&amp;IF('08_资产清单'!C51="","缺少对象ID；","")&amp;IF('08_资产清单'!D51="","缺少资产类别；","")&amp;IF('08_资产清单'!G51="","缺少文件名；","")&amp;IF(AND('08_资产清单'!C51&lt;&gt;"",COUNTIF('02_固定地理'!$A$2:$A$501,'08_资产清单'!C51)+COUNTIF('03_地点锚点'!$A$2:$A$501,'08_资产清单'!C51)+COUNTIF('04_路径网络'!$A$2:$A$501,'08_资产清单'!C51)+COUNTIF('06_建筑锚点'!$A$2:$A$501,'08_资产清单'!C51)=0),"资产引用对象不存在；","")&amp;IF(AND('08_资产清单'!E51&lt;&gt;"",COUNTIF('07_动态状态'!$A$2:$A$501,'08_资产清单'!E51)=0),"状态编码不存在；","")&amp;IF(AND('08_资产清单'!G51&lt;&gt;"",COUNTIF('08_资产清单'!$G$2:$G$501,'08_资产清单'!G51)&gt;1),"文件名重复；","")&amp;IF(AND('08_资产清单'!A51&lt;&gt;"",COUNTIF('08_资产清单'!$A$2:$A$501,'08_资产清单'!A51)&gt;1),"ID重复；",""),"")</f>
        <v/>
      </c>
      <c r="G3051" s="14">
        <f>IF(F3051&lt;&gt;"","按字段批注、数据字典和来源记录修正后复核","")</f>
        <v/>
      </c>
      <c r="H3051" s="14">
        <f>IF(F3051&lt;&gt;"","待处理","")</f>
        <v/>
      </c>
    </row>
    <row r="3052">
      <c r="A3052" s="14">
        <f>IF(F3052&lt;&gt;"","ISSUE-"&amp;TEXT(ROW()-1,"00000"),"")</f>
        <v/>
      </c>
      <c r="B3052" s="14">
        <f>IF(F3052&lt;&gt;"","错误","")</f>
        <v/>
      </c>
      <c r="C3052" s="14">
        <f>IF('08_资产清单'!A52&lt;&gt;"","08_资产清单","")</f>
        <v/>
      </c>
      <c r="D3052" s="14">
        <f>IF('08_资产清单'!A52&lt;&gt;"",'08_资产清单'!A52,"")</f>
        <v/>
      </c>
      <c r="E3052" s="14">
        <f>IF(F3052&lt;&gt;"","综合校验","")</f>
        <v/>
      </c>
      <c r="F3052" s="14">
        <f>IF('08_资产清单'!A52&lt;&gt;"",IF('08_资产清单'!A52="","缺少资产ID；","")&amp;IF('08_资产清单'!B52="","缺少资产名称；","")&amp;IF('08_资产清单'!C52="","缺少对象ID；","")&amp;IF('08_资产清单'!D52="","缺少资产类别；","")&amp;IF('08_资产清单'!G52="","缺少文件名；","")&amp;IF(AND('08_资产清单'!C52&lt;&gt;"",COUNTIF('02_固定地理'!$A$2:$A$501,'08_资产清单'!C52)+COUNTIF('03_地点锚点'!$A$2:$A$501,'08_资产清单'!C52)+COUNTIF('04_路径网络'!$A$2:$A$501,'08_资产清单'!C52)+COUNTIF('06_建筑锚点'!$A$2:$A$501,'08_资产清单'!C52)=0),"资产引用对象不存在；","")&amp;IF(AND('08_资产清单'!E52&lt;&gt;"",COUNTIF('07_动态状态'!$A$2:$A$501,'08_资产清单'!E52)=0),"状态编码不存在；","")&amp;IF(AND('08_资产清单'!G52&lt;&gt;"",COUNTIF('08_资产清单'!$G$2:$G$501,'08_资产清单'!G52)&gt;1),"文件名重复；","")&amp;IF(AND('08_资产清单'!A52&lt;&gt;"",COUNTIF('08_资产清单'!$A$2:$A$501,'08_资产清单'!A52)&gt;1),"ID重复；",""),"")</f>
        <v/>
      </c>
      <c r="G3052" s="14">
        <f>IF(F3052&lt;&gt;"","按字段批注、数据字典和来源记录修正后复核","")</f>
        <v/>
      </c>
      <c r="H3052" s="14">
        <f>IF(F3052&lt;&gt;"","待处理","")</f>
        <v/>
      </c>
    </row>
    <row r="3053">
      <c r="A3053" s="14">
        <f>IF(F3053&lt;&gt;"","ISSUE-"&amp;TEXT(ROW()-1,"00000"),"")</f>
        <v/>
      </c>
      <c r="B3053" s="14">
        <f>IF(F3053&lt;&gt;"","错误","")</f>
        <v/>
      </c>
      <c r="C3053" s="14">
        <f>IF('08_资产清单'!A53&lt;&gt;"","08_资产清单","")</f>
        <v/>
      </c>
      <c r="D3053" s="14">
        <f>IF('08_资产清单'!A53&lt;&gt;"",'08_资产清单'!A53,"")</f>
        <v/>
      </c>
      <c r="E3053" s="14">
        <f>IF(F3053&lt;&gt;"","综合校验","")</f>
        <v/>
      </c>
      <c r="F3053" s="14">
        <f>IF('08_资产清单'!A53&lt;&gt;"",IF('08_资产清单'!A53="","缺少资产ID；","")&amp;IF('08_资产清单'!B53="","缺少资产名称；","")&amp;IF('08_资产清单'!C53="","缺少对象ID；","")&amp;IF('08_资产清单'!D53="","缺少资产类别；","")&amp;IF('08_资产清单'!G53="","缺少文件名；","")&amp;IF(AND('08_资产清单'!C53&lt;&gt;"",COUNTIF('02_固定地理'!$A$2:$A$501,'08_资产清单'!C53)+COUNTIF('03_地点锚点'!$A$2:$A$501,'08_资产清单'!C53)+COUNTIF('04_路径网络'!$A$2:$A$501,'08_资产清单'!C53)+COUNTIF('06_建筑锚点'!$A$2:$A$501,'08_资产清单'!C53)=0),"资产引用对象不存在；","")&amp;IF(AND('08_资产清单'!E53&lt;&gt;"",COUNTIF('07_动态状态'!$A$2:$A$501,'08_资产清单'!E53)=0),"状态编码不存在；","")&amp;IF(AND('08_资产清单'!G53&lt;&gt;"",COUNTIF('08_资产清单'!$G$2:$G$501,'08_资产清单'!G53)&gt;1),"文件名重复；","")&amp;IF(AND('08_资产清单'!A53&lt;&gt;"",COUNTIF('08_资产清单'!$A$2:$A$501,'08_资产清单'!A53)&gt;1),"ID重复；",""),"")</f>
        <v/>
      </c>
      <c r="G3053" s="14">
        <f>IF(F3053&lt;&gt;"","按字段批注、数据字典和来源记录修正后复核","")</f>
        <v/>
      </c>
      <c r="H3053" s="14">
        <f>IF(F3053&lt;&gt;"","待处理","")</f>
        <v/>
      </c>
    </row>
    <row r="3054">
      <c r="A3054" s="14">
        <f>IF(F3054&lt;&gt;"","ISSUE-"&amp;TEXT(ROW()-1,"00000"),"")</f>
        <v/>
      </c>
      <c r="B3054" s="14">
        <f>IF(F3054&lt;&gt;"","错误","")</f>
        <v/>
      </c>
      <c r="C3054" s="14">
        <f>IF('08_资产清单'!A54&lt;&gt;"","08_资产清单","")</f>
        <v/>
      </c>
      <c r="D3054" s="14">
        <f>IF('08_资产清单'!A54&lt;&gt;"",'08_资产清单'!A54,"")</f>
        <v/>
      </c>
      <c r="E3054" s="14">
        <f>IF(F3054&lt;&gt;"","综合校验","")</f>
        <v/>
      </c>
      <c r="F3054" s="14">
        <f>IF('08_资产清单'!A54&lt;&gt;"",IF('08_资产清单'!A54="","缺少资产ID；","")&amp;IF('08_资产清单'!B54="","缺少资产名称；","")&amp;IF('08_资产清单'!C54="","缺少对象ID；","")&amp;IF('08_资产清单'!D54="","缺少资产类别；","")&amp;IF('08_资产清单'!G54="","缺少文件名；","")&amp;IF(AND('08_资产清单'!C54&lt;&gt;"",COUNTIF('02_固定地理'!$A$2:$A$501,'08_资产清单'!C54)+COUNTIF('03_地点锚点'!$A$2:$A$501,'08_资产清单'!C54)+COUNTIF('04_路径网络'!$A$2:$A$501,'08_资产清单'!C54)+COUNTIF('06_建筑锚点'!$A$2:$A$501,'08_资产清单'!C54)=0),"资产引用对象不存在；","")&amp;IF(AND('08_资产清单'!E54&lt;&gt;"",COUNTIF('07_动态状态'!$A$2:$A$501,'08_资产清单'!E54)=0),"状态编码不存在；","")&amp;IF(AND('08_资产清单'!G54&lt;&gt;"",COUNTIF('08_资产清单'!$G$2:$G$501,'08_资产清单'!G54)&gt;1),"文件名重复；","")&amp;IF(AND('08_资产清单'!A54&lt;&gt;"",COUNTIF('08_资产清单'!$A$2:$A$501,'08_资产清单'!A54)&gt;1),"ID重复；",""),"")</f>
        <v/>
      </c>
      <c r="G3054" s="14">
        <f>IF(F3054&lt;&gt;"","按字段批注、数据字典和来源记录修正后复核","")</f>
        <v/>
      </c>
      <c r="H3054" s="14">
        <f>IF(F3054&lt;&gt;"","待处理","")</f>
        <v/>
      </c>
    </row>
    <row r="3055">
      <c r="A3055" s="14">
        <f>IF(F3055&lt;&gt;"","ISSUE-"&amp;TEXT(ROW()-1,"00000"),"")</f>
        <v/>
      </c>
      <c r="B3055" s="14">
        <f>IF(F3055&lt;&gt;"","错误","")</f>
        <v/>
      </c>
      <c r="C3055" s="14">
        <f>IF('08_资产清单'!A55&lt;&gt;"","08_资产清单","")</f>
        <v/>
      </c>
      <c r="D3055" s="14">
        <f>IF('08_资产清单'!A55&lt;&gt;"",'08_资产清单'!A55,"")</f>
        <v/>
      </c>
      <c r="E3055" s="14">
        <f>IF(F3055&lt;&gt;"","综合校验","")</f>
        <v/>
      </c>
      <c r="F3055" s="14">
        <f>IF('08_资产清单'!A55&lt;&gt;"",IF('08_资产清单'!A55="","缺少资产ID；","")&amp;IF('08_资产清单'!B55="","缺少资产名称；","")&amp;IF('08_资产清单'!C55="","缺少对象ID；","")&amp;IF('08_资产清单'!D55="","缺少资产类别；","")&amp;IF('08_资产清单'!G55="","缺少文件名；","")&amp;IF(AND('08_资产清单'!C55&lt;&gt;"",COUNTIF('02_固定地理'!$A$2:$A$501,'08_资产清单'!C55)+COUNTIF('03_地点锚点'!$A$2:$A$501,'08_资产清单'!C55)+COUNTIF('04_路径网络'!$A$2:$A$501,'08_资产清单'!C55)+COUNTIF('06_建筑锚点'!$A$2:$A$501,'08_资产清单'!C55)=0),"资产引用对象不存在；","")&amp;IF(AND('08_资产清单'!E55&lt;&gt;"",COUNTIF('07_动态状态'!$A$2:$A$501,'08_资产清单'!E55)=0),"状态编码不存在；","")&amp;IF(AND('08_资产清单'!G55&lt;&gt;"",COUNTIF('08_资产清单'!$G$2:$G$501,'08_资产清单'!G55)&gt;1),"文件名重复；","")&amp;IF(AND('08_资产清单'!A55&lt;&gt;"",COUNTIF('08_资产清单'!$A$2:$A$501,'08_资产清单'!A55)&gt;1),"ID重复；",""),"")</f>
        <v/>
      </c>
      <c r="G3055" s="14">
        <f>IF(F3055&lt;&gt;"","按字段批注、数据字典和来源记录修正后复核","")</f>
        <v/>
      </c>
      <c r="H3055" s="14">
        <f>IF(F3055&lt;&gt;"","待处理","")</f>
        <v/>
      </c>
    </row>
    <row r="3056">
      <c r="A3056" s="14">
        <f>IF(F3056&lt;&gt;"","ISSUE-"&amp;TEXT(ROW()-1,"00000"),"")</f>
        <v/>
      </c>
      <c r="B3056" s="14">
        <f>IF(F3056&lt;&gt;"","错误","")</f>
        <v/>
      </c>
      <c r="C3056" s="14">
        <f>IF('08_资产清单'!A56&lt;&gt;"","08_资产清单","")</f>
        <v/>
      </c>
      <c r="D3056" s="14">
        <f>IF('08_资产清单'!A56&lt;&gt;"",'08_资产清单'!A56,"")</f>
        <v/>
      </c>
      <c r="E3056" s="14">
        <f>IF(F3056&lt;&gt;"","综合校验","")</f>
        <v/>
      </c>
      <c r="F3056" s="14">
        <f>IF('08_资产清单'!A56&lt;&gt;"",IF('08_资产清单'!A56="","缺少资产ID；","")&amp;IF('08_资产清单'!B56="","缺少资产名称；","")&amp;IF('08_资产清单'!C56="","缺少对象ID；","")&amp;IF('08_资产清单'!D56="","缺少资产类别；","")&amp;IF('08_资产清单'!G56="","缺少文件名；","")&amp;IF(AND('08_资产清单'!C56&lt;&gt;"",COUNTIF('02_固定地理'!$A$2:$A$501,'08_资产清单'!C56)+COUNTIF('03_地点锚点'!$A$2:$A$501,'08_资产清单'!C56)+COUNTIF('04_路径网络'!$A$2:$A$501,'08_资产清单'!C56)+COUNTIF('06_建筑锚点'!$A$2:$A$501,'08_资产清单'!C56)=0),"资产引用对象不存在；","")&amp;IF(AND('08_资产清单'!E56&lt;&gt;"",COUNTIF('07_动态状态'!$A$2:$A$501,'08_资产清单'!E56)=0),"状态编码不存在；","")&amp;IF(AND('08_资产清单'!G56&lt;&gt;"",COUNTIF('08_资产清单'!$G$2:$G$501,'08_资产清单'!G56)&gt;1),"文件名重复；","")&amp;IF(AND('08_资产清单'!A56&lt;&gt;"",COUNTIF('08_资产清单'!$A$2:$A$501,'08_资产清单'!A56)&gt;1),"ID重复；",""),"")</f>
        <v/>
      </c>
      <c r="G3056" s="14">
        <f>IF(F3056&lt;&gt;"","按字段批注、数据字典和来源记录修正后复核","")</f>
        <v/>
      </c>
      <c r="H3056" s="14">
        <f>IF(F3056&lt;&gt;"","待处理","")</f>
        <v/>
      </c>
    </row>
    <row r="3057">
      <c r="A3057" s="14">
        <f>IF(F3057&lt;&gt;"","ISSUE-"&amp;TEXT(ROW()-1,"00000"),"")</f>
        <v/>
      </c>
      <c r="B3057" s="14">
        <f>IF(F3057&lt;&gt;"","错误","")</f>
        <v/>
      </c>
      <c r="C3057" s="14">
        <f>IF('08_资产清单'!A57&lt;&gt;"","08_资产清单","")</f>
        <v/>
      </c>
      <c r="D3057" s="14">
        <f>IF('08_资产清单'!A57&lt;&gt;"",'08_资产清单'!A57,"")</f>
        <v/>
      </c>
      <c r="E3057" s="14">
        <f>IF(F3057&lt;&gt;"","综合校验","")</f>
        <v/>
      </c>
      <c r="F3057" s="14">
        <f>IF('08_资产清单'!A57&lt;&gt;"",IF('08_资产清单'!A57="","缺少资产ID；","")&amp;IF('08_资产清单'!B57="","缺少资产名称；","")&amp;IF('08_资产清单'!C57="","缺少对象ID；","")&amp;IF('08_资产清单'!D57="","缺少资产类别；","")&amp;IF('08_资产清单'!G57="","缺少文件名；","")&amp;IF(AND('08_资产清单'!C57&lt;&gt;"",COUNTIF('02_固定地理'!$A$2:$A$501,'08_资产清单'!C57)+COUNTIF('03_地点锚点'!$A$2:$A$501,'08_资产清单'!C57)+COUNTIF('04_路径网络'!$A$2:$A$501,'08_资产清单'!C57)+COUNTIF('06_建筑锚点'!$A$2:$A$501,'08_资产清单'!C57)=0),"资产引用对象不存在；","")&amp;IF(AND('08_资产清单'!E57&lt;&gt;"",COUNTIF('07_动态状态'!$A$2:$A$501,'08_资产清单'!E57)=0),"状态编码不存在；","")&amp;IF(AND('08_资产清单'!G57&lt;&gt;"",COUNTIF('08_资产清单'!$G$2:$G$501,'08_资产清单'!G57)&gt;1),"文件名重复；","")&amp;IF(AND('08_资产清单'!A57&lt;&gt;"",COUNTIF('08_资产清单'!$A$2:$A$501,'08_资产清单'!A57)&gt;1),"ID重复；",""),"")</f>
        <v/>
      </c>
      <c r="G3057" s="14">
        <f>IF(F3057&lt;&gt;"","按字段批注、数据字典和来源记录修正后复核","")</f>
        <v/>
      </c>
      <c r="H3057" s="14">
        <f>IF(F3057&lt;&gt;"","待处理","")</f>
        <v/>
      </c>
    </row>
    <row r="3058">
      <c r="A3058" s="14">
        <f>IF(F3058&lt;&gt;"","ISSUE-"&amp;TEXT(ROW()-1,"00000"),"")</f>
        <v/>
      </c>
      <c r="B3058" s="14">
        <f>IF(F3058&lt;&gt;"","错误","")</f>
        <v/>
      </c>
      <c r="C3058" s="14">
        <f>IF('08_资产清单'!A58&lt;&gt;"","08_资产清单","")</f>
        <v/>
      </c>
      <c r="D3058" s="14">
        <f>IF('08_资产清单'!A58&lt;&gt;"",'08_资产清单'!A58,"")</f>
        <v/>
      </c>
      <c r="E3058" s="14">
        <f>IF(F3058&lt;&gt;"","综合校验","")</f>
        <v/>
      </c>
      <c r="F3058" s="14">
        <f>IF('08_资产清单'!A58&lt;&gt;"",IF('08_资产清单'!A58="","缺少资产ID；","")&amp;IF('08_资产清单'!B58="","缺少资产名称；","")&amp;IF('08_资产清单'!C58="","缺少对象ID；","")&amp;IF('08_资产清单'!D58="","缺少资产类别；","")&amp;IF('08_资产清单'!G58="","缺少文件名；","")&amp;IF(AND('08_资产清单'!C58&lt;&gt;"",COUNTIF('02_固定地理'!$A$2:$A$501,'08_资产清单'!C58)+COUNTIF('03_地点锚点'!$A$2:$A$501,'08_资产清单'!C58)+COUNTIF('04_路径网络'!$A$2:$A$501,'08_资产清单'!C58)+COUNTIF('06_建筑锚点'!$A$2:$A$501,'08_资产清单'!C58)=0),"资产引用对象不存在；","")&amp;IF(AND('08_资产清单'!E58&lt;&gt;"",COUNTIF('07_动态状态'!$A$2:$A$501,'08_资产清单'!E58)=0),"状态编码不存在；","")&amp;IF(AND('08_资产清单'!G58&lt;&gt;"",COUNTIF('08_资产清单'!$G$2:$G$501,'08_资产清单'!G58)&gt;1),"文件名重复；","")&amp;IF(AND('08_资产清单'!A58&lt;&gt;"",COUNTIF('08_资产清单'!$A$2:$A$501,'08_资产清单'!A58)&gt;1),"ID重复；",""),"")</f>
        <v/>
      </c>
      <c r="G3058" s="14">
        <f>IF(F3058&lt;&gt;"","按字段批注、数据字典和来源记录修正后复核","")</f>
        <v/>
      </c>
      <c r="H3058" s="14">
        <f>IF(F3058&lt;&gt;"","待处理","")</f>
        <v/>
      </c>
    </row>
    <row r="3059">
      <c r="A3059" s="14">
        <f>IF(F3059&lt;&gt;"","ISSUE-"&amp;TEXT(ROW()-1,"00000"),"")</f>
        <v/>
      </c>
      <c r="B3059" s="14">
        <f>IF(F3059&lt;&gt;"","错误","")</f>
        <v/>
      </c>
      <c r="C3059" s="14">
        <f>IF('08_资产清单'!A59&lt;&gt;"","08_资产清单","")</f>
        <v/>
      </c>
      <c r="D3059" s="14">
        <f>IF('08_资产清单'!A59&lt;&gt;"",'08_资产清单'!A59,"")</f>
        <v/>
      </c>
      <c r="E3059" s="14">
        <f>IF(F3059&lt;&gt;"","综合校验","")</f>
        <v/>
      </c>
      <c r="F3059" s="14">
        <f>IF('08_资产清单'!A59&lt;&gt;"",IF('08_资产清单'!A59="","缺少资产ID；","")&amp;IF('08_资产清单'!B59="","缺少资产名称；","")&amp;IF('08_资产清单'!C59="","缺少对象ID；","")&amp;IF('08_资产清单'!D59="","缺少资产类别；","")&amp;IF('08_资产清单'!G59="","缺少文件名；","")&amp;IF(AND('08_资产清单'!C59&lt;&gt;"",COUNTIF('02_固定地理'!$A$2:$A$501,'08_资产清单'!C59)+COUNTIF('03_地点锚点'!$A$2:$A$501,'08_资产清单'!C59)+COUNTIF('04_路径网络'!$A$2:$A$501,'08_资产清单'!C59)+COUNTIF('06_建筑锚点'!$A$2:$A$501,'08_资产清单'!C59)=0),"资产引用对象不存在；","")&amp;IF(AND('08_资产清单'!E59&lt;&gt;"",COUNTIF('07_动态状态'!$A$2:$A$501,'08_资产清单'!E59)=0),"状态编码不存在；","")&amp;IF(AND('08_资产清单'!G59&lt;&gt;"",COUNTIF('08_资产清单'!$G$2:$G$501,'08_资产清单'!G59)&gt;1),"文件名重复；","")&amp;IF(AND('08_资产清单'!A59&lt;&gt;"",COUNTIF('08_资产清单'!$A$2:$A$501,'08_资产清单'!A59)&gt;1),"ID重复；",""),"")</f>
        <v/>
      </c>
      <c r="G3059" s="14">
        <f>IF(F3059&lt;&gt;"","按字段批注、数据字典和来源记录修正后复核","")</f>
        <v/>
      </c>
      <c r="H3059" s="14">
        <f>IF(F3059&lt;&gt;"","待处理","")</f>
        <v/>
      </c>
    </row>
    <row r="3060">
      <c r="A3060" s="14">
        <f>IF(F3060&lt;&gt;"","ISSUE-"&amp;TEXT(ROW()-1,"00000"),"")</f>
        <v/>
      </c>
      <c r="B3060" s="14">
        <f>IF(F3060&lt;&gt;"","错误","")</f>
        <v/>
      </c>
      <c r="C3060" s="14">
        <f>IF('08_资产清单'!A60&lt;&gt;"","08_资产清单","")</f>
        <v/>
      </c>
      <c r="D3060" s="14">
        <f>IF('08_资产清单'!A60&lt;&gt;"",'08_资产清单'!A60,"")</f>
        <v/>
      </c>
      <c r="E3060" s="14">
        <f>IF(F3060&lt;&gt;"","综合校验","")</f>
        <v/>
      </c>
      <c r="F3060" s="14">
        <f>IF('08_资产清单'!A60&lt;&gt;"",IF('08_资产清单'!A60="","缺少资产ID；","")&amp;IF('08_资产清单'!B60="","缺少资产名称；","")&amp;IF('08_资产清单'!C60="","缺少对象ID；","")&amp;IF('08_资产清单'!D60="","缺少资产类别；","")&amp;IF('08_资产清单'!G60="","缺少文件名；","")&amp;IF(AND('08_资产清单'!C60&lt;&gt;"",COUNTIF('02_固定地理'!$A$2:$A$501,'08_资产清单'!C60)+COUNTIF('03_地点锚点'!$A$2:$A$501,'08_资产清单'!C60)+COUNTIF('04_路径网络'!$A$2:$A$501,'08_资产清单'!C60)+COUNTIF('06_建筑锚点'!$A$2:$A$501,'08_资产清单'!C60)=0),"资产引用对象不存在；","")&amp;IF(AND('08_资产清单'!E60&lt;&gt;"",COUNTIF('07_动态状态'!$A$2:$A$501,'08_资产清单'!E60)=0),"状态编码不存在；","")&amp;IF(AND('08_资产清单'!G60&lt;&gt;"",COUNTIF('08_资产清单'!$G$2:$G$501,'08_资产清单'!G60)&gt;1),"文件名重复；","")&amp;IF(AND('08_资产清单'!A60&lt;&gt;"",COUNTIF('08_资产清单'!$A$2:$A$501,'08_资产清单'!A60)&gt;1),"ID重复；",""),"")</f>
        <v/>
      </c>
      <c r="G3060" s="14">
        <f>IF(F3060&lt;&gt;"","按字段批注、数据字典和来源记录修正后复核","")</f>
        <v/>
      </c>
      <c r="H3060" s="14">
        <f>IF(F3060&lt;&gt;"","待处理","")</f>
        <v/>
      </c>
    </row>
    <row r="3061">
      <c r="A3061" s="14">
        <f>IF(F3061&lt;&gt;"","ISSUE-"&amp;TEXT(ROW()-1,"00000"),"")</f>
        <v/>
      </c>
      <c r="B3061" s="14">
        <f>IF(F3061&lt;&gt;"","错误","")</f>
        <v/>
      </c>
      <c r="C3061" s="14">
        <f>IF('08_资产清单'!A61&lt;&gt;"","08_资产清单","")</f>
        <v/>
      </c>
      <c r="D3061" s="14">
        <f>IF('08_资产清单'!A61&lt;&gt;"",'08_资产清单'!A61,"")</f>
        <v/>
      </c>
      <c r="E3061" s="14">
        <f>IF(F3061&lt;&gt;"","综合校验","")</f>
        <v/>
      </c>
      <c r="F3061" s="14">
        <f>IF('08_资产清单'!A61&lt;&gt;"",IF('08_资产清单'!A61="","缺少资产ID；","")&amp;IF('08_资产清单'!B61="","缺少资产名称；","")&amp;IF('08_资产清单'!C61="","缺少对象ID；","")&amp;IF('08_资产清单'!D61="","缺少资产类别；","")&amp;IF('08_资产清单'!G61="","缺少文件名；","")&amp;IF(AND('08_资产清单'!C61&lt;&gt;"",COUNTIF('02_固定地理'!$A$2:$A$501,'08_资产清单'!C61)+COUNTIF('03_地点锚点'!$A$2:$A$501,'08_资产清单'!C61)+COUNTIF('04_路径网络'!$A$2:$A$501,'08_资产清单'!C61)+COUNTIF('06_建筑锚点'!$A$2:$A$501,'08_资产清单'!C61)=0),"资产引用对象不存在；","")&amp;IF(AND('08_资产清单'!E61&lt;&gt;"",COUNTIF('07_动态状态'!$A$2:$A$501,'08_资产清单'!E61)=0),"状态编码不存在；","")&amp;IF(AND('08_资产清单'!G61&lt;&gt;"",COUNTIF('08_资产清单'!$G$2:$G$501,'08_资产清单'!G61)&gt;1),"文件名重复；","")&amp;IF(AND('08_资产清单'!A61&lt;&gt;"",COUNTIF('08_资产清单'!$A$2:$A$501,'08_资产清单'!A61)&gt;1),"ID重复；",""),"")</f>
        <v/>
      </c>
      <c r="G3061" s="14">
        <f>IF(F3061&lt;&gt;"","按字段批注、数据字典和来源记录修正后复核","")</f>
        <v/>
      </c>
      <c r="H3061" s="14">
        <f>IF(F3061&lt;&gt;"","待处理","")</f>
        <v/>
      </c>
    </row>
    <row r="3062">
      <c r="A3062" s="14">
        <f>IF(F3062&lt;&gt;"","ISSUE-"&amp;TEXT(ROW()-1,"00000"),"")</f>
        <v/>
      </c>
      <c r="B3062" s="14">
        <f>IF(F3062&lt;&gt;"","错误","")</f>
        <v/>
      </c>
      <c r="C3062" s="14">
        <f>IF('08_资产清单'!A62&lt;&gt;"","08_资产清单","")</f>
        <v/>
      </c>
      <c r="D3062" s="14">
        <f>IF('08_资产清单'!A62&lt;&gt;"",'08_资产清单'!A62,"")</f>
        <v/>
      </c>
      <c r="E3062" s="14">
        <f>IF(F3062&lt;&gt;"","综合校验","")</f>
        <v/>
      </c>
      <c r="F3062" s="14">
        <f>IF('08_资产清单'!A62&lt;&gt;"",IF('08_资产清单'!A62="","缺少资产ID；","")&amp;IF('08_资产清单'!B62="","缺少资产名称；","")&amp;IF('08_资产清单'!C62="","缺少对象ID；","")&amp;IF('08_资产清单'!D62="","缺少资产类别；","")&amp;IF('08_资产清单'!G62="","缺少文件名；","")&amp;IF(AND('08_资产清单'!C62&lt;&gt;"",COUNTIF('02_固定地理'!$A$2:$A$501,'08_资产清单'!C62)+COUNTIF('03_地点锚点'!$A$2:$A$501,'08_资产清单'!C62)+COUNTIF('04_路径网络'!$A$2:$A$501,'08_资产清单'!C62)+COUNTIF('06_建筑锚点'!$A$2:$A$501,'08_资产清单'!C62)=0),"资产引用对象不存在；","")&amp;IF(AND('08_资产清单'!E62&lt;&gt;"",COUNTIF('07_动态状态'!$A$2:$A$501,'08_资产清单'!E62)=0),"状态编码不存在；","")&amp;IF(AND('08_资产清单'!G62&lt;&gt;"",COUNTIF('08_资产清单'!$G$2:$G$501,'08_资产清单'!G62)&gt;1),"文件名重复；","")&amp;IF(AND('08_资产清单'!A62&lt;&gt;"",COUNTIF('08_资产清单'!$A$2:$A$501,'08_资产清单'!A62)&gt;1),"ID重复；",""),"")</f>
        <v/>
      </c>
      <c r="G3062" s="14">
        <f>IF(F3062&lt;&gt;"","按字段批注、数据字典和来源记录修正后复核","")</f>
        <v/>
      </c>
      <c r="H3062" s="14">
        <f>IF(F3062&lt;&gt;"","待处理","")</f>
        <v/>
      </c>
    </row>
    <row r="3063">
      <c r="A3063" s="14">
        <f>IF(F3063&lt;&gt;"","ISSUE-"&amp;TEXT(ROW()-1,"00000"),"")</f>
        <v/>
      </c>
      <c r="B3063" s="14">
        <f>IF(F3063&lt;&gt;"","错误","")</f>
        <v/>
      </c>
      <c r="C3063" s="14">
        <f>IF('08_资产清单'!A63&lt;&gt;"","08_资产清单","")</f>
        <v/>
      </c>
      <c r="D3063" s="14">
        <f>IF('08_资产清单'!A63&lt;&gt;"",'08_资产清单'!A63,"")</f>
        <v/>
      </c>
      <c r="E3063" s="14">
        <f>IF(F3063&lt;&gt;"","综合校验","")</f>
        <v/>
      </c>
      <c r="F3063" s="14">
        <f>IF('08_资产清单'!A63&lt;&gt;"",IF('08_资产清单'!A63="","缺少资产ID；","")&amp;IF('08_资产清单'!B63="","缺少资产名称；","")&amp;IF('08_资产清单'!C63="","缺少对象ID；","")&amp;IF('08_资产清单'!D63="","缺少资产类别；","")&amp;IF('08_资产清单'!G63="","缺少文件名；","")&amp;IF(AND('08_资产清单'!C63&lt;&gt;"",COUNTIF('02_固定地理'!$A$2:$A$501,'08_资产清单'!C63)+COUNTIF('03_地点锚点'!$A$2:$A$501,'08_资产清单'!C63)+COUNTIF('04_路径网络'!$A$2:$A$501,'08_资产清单'!C63)+COUNTIF('06_建筑锚点'!$A$2:$A$501,'08_资产清单'!C63)=0),"资产引用对象不存在；","")&amp;IF(AND('08_资产清单'!E63&lt;&gt;"",COUNTIF('07_动态状态'!$A$2:$A$501,'08_资产清单'!E63)=0),"状态编码不存在；","")&amp;IF(AND('08_资产清单'!G63&lt;&gt;"",COUNTIF('08_资产清单'!$G$2:$G$501,'08_资产清单'!G63)&gt;1),"文件名重复；","")&amp;IF(AND('08_资产清单'!A63&lt;&gt;"",COUNTIF('08_资产清单'!$A$2:$A$501,'08_资产清单'!A63)&gt;1),"ID重复；",""),"")</f>
        <v/>
      </c>
      <c r="G3063" s="14">
        <f>IF(F3063&lt;&gt;"","按字段批注、数据字典和来源记录修正后复核","")</f>
        <v/>
      </c>
      <c r="H3063" s="14">
        <f>IF(F3063&lt;&gt;"","待处理","")</f>
        <v/>
      </c>
    </row>
    <row r="3064">
      <c r="A3064" s="14">
        <f>IF(F3064&lt;&gt;"","ISSUE-"&amp;TEXT(ROW()-1,"00000"),"")</f>
        <v/>
      </c>
      <c r="B3064" s="14">
        <f>IF(F3064&lt;&gt;"","错误","")</f>
        <v/>
      </c>
      <c r="C3064" s="14">
        <f>IF('08_资产清单'!A64&lt;&gt;"","08_资产清单","")</f>
        <v/>
      </c>
      <c r="D3064" s="14">
        <f>IF('08_资产清单'!A64&lt;&gt;"",'08_资产清单'!A64,"")</f>
        <v/>
      </c>
      <c r="E3064" s="14">
        <f>IF(F3064&lt;&gt;"","综合校验","")</f>
        <v/>
      </c>
      <c r="F3064" s="14">
        <f>IF('08_资产清单'!A64&lt;&gt;"",IF('08_资产清单'!A64="","缺少资产ID；","")&amp;IF('08_资产清单'!B64="","缺少资产名称；","")&amp;IF('08_资产清单'!C64="","缺少对象ID；","")&amp;IF('08_资产清单'!D64="","缺少资产类别；","")&amp;IF('08_资产清单'!G64="","缺少文件名；","")&amp;IF(AND('08_资产清单'!C64&lt;&gt;"",COUNTIF('02_固定地理'!$A$2:$A$501,'08_资产清单'!C64)+COUNTIF('03_地点锚点'!$A$2:$A$501,'08_资产清单'!C64)+COUNTIF('04_路径网络'!$A$2:$A$501,'08_资产清单'!C64)+COUNTIF('06_建筑锚点'!$A$2:$A$501,'08_资产清单'!C64)=0),"资产引用对象不存在；","")&amp;IF(AND('08_资产清单'!E64&lt;&gt;"",COUNTIF('07_动态状态'!$A$2:$A$501,'08_资产清单'!E64)=0),"状态编码不存在；","")&amp;IF(AND('08_资产清单'!G64&lt;&gt;"",COUNTIF('08_资产清单'!$G$2:$G$501,'08_资产清单'!G64)&gt;1),"文件名重复；","")&amp;IF(AND('08_资产清单'!A64&lt;&gt;"",COUNTIF('08_资产清单'!$A$2:$A$501,'08_资产清单'!A64)&gt;1),"ID重复；",""),"")</f>
        <v/>
      </c>
      <c r="G3064" s="14">
        <f>IF(F3064&lt;&gt;"","按字段批注、数据字典和来源记录修正后复核","")</f>
        <v/>
      </c>
      <c r="H3064" s="14">
        <f>IF(F3064&lt;&gt;"","待处理","")</f>
        <v/>
      </c>
    </row>
    <row r="3065">
      <c r="A3065" s="14">
        <f>IF(F3065&lt;&gt;"","ISSUE-"&amp;TEXT(ROW()-1,"00000"),"")</f>
        <v/>
      </c>
      <c r="B3065" s="14">
        <f>IF(F3065&lt;&gt;"","错误","")</f>
        <v/>
      </c>
      <c r="C3065" s="14">
        <f>IF('08_资产清单'!A65&lt;&gt;"","08_资产清单","")</f>
        <v/>
      </c>
      <c r="D3065" s="14">
        <f>IF('08_资产清单'!A65&lt;&gt;"",'08_资产清单'!A65,"")</f>
        <v/>
      </c>
      <c r="E3065" s="14">
        <f>IF(F3065&lt;&gt;"","综合校验","")</f>
        <v/>
      </c>
      <c r="F3065" s="14">
        <f>IF('08_资产清单'!A65&lt;&gt;"",IF('08_资产清单'!A65="","缺少资产ID；","")&amp;IF('08_资产清单'!B65="","缺少资产名称；","")&amp;IF('08_资产清单'!C65="","缺少对象ID；","")&amp;IF('08_资产清单'!D65="","缺少资产类别；","")&amp;IF('08_资产清单'!G65="","缺少文件名；","")&amp;IF(AND('08_资产清单'!C65&lt;&gt;"",COUNTIF('02_固定地理'!$A$2:$A$501,'08_资产清单'!C65)+COUNTIF('03_地点锚点'!$A$2:$A$501,'08_资产清单'!C65)+COUNTIF('04_路径网络'!$A$2:$A$501,'08_资产清单'!C65)+COUNTIF('06_建筑锚点'!$A$2:$A$501,'08_资产清单'!C65)=0),"资产引用对象不存在；","")&amp;IF(AND('08_资产清单'!E65&lt;&gt;"",COUNTIF('07_动态状态'!$A$2:$A$501,'08_资产清单'!E65)=0),"状态编码不存在；","")&amp;IF(AND('08_资产清单'!G65&lt;&gt;"",COUNTIF('08_资产清单'!$G$2:$G$501,'08_资产清单'!G65)&gt;1),"文件名重复；","")&amp;IF(AND('08_资产清单'!A65&lt;&gt;"",COUNTIF('08_资产清单'!$A$2:$A$501,'08_资产清单'!A65)&gt;1),"ID重复；",""),"")</f>
        <v/>
      </c>
      <c r="G3065" s="14">
        <f>IF(F3065&lt;&gt;"","按字段批注、数据字典和来源记录修正后复核","")</f>
        <v/>
      </c>
      <c r="H3065" s="14">
        <f>IF(F3065&lt;&gt;"","待处理","")</f>
        <v/>
      </c>
    </row>
    <row r="3066">
      <c r="A3066" s="14">
        <f>IF(F3066&lt;&gt;"","ISSUE-"&amp;TEXT(ROW()-1,"00000"),"")</f>
        <v/>
      </c>
      <c r="B3066" s="14">
        <f>IF(F3066&lt;&gt;"","错误","")</f>
        <v/>
      </c>
      <c r="C3066" s="14">
        <f>IF('08_资产清单'!A66&lt;&gt;"","08_资产清单","")</f>
        <v/>
      </c>
      <c r="D3066" s="14">
        <f>IF('08_资产清单'!A66&lt;&gt;"",'08_资产清单'!A66,"")</f>
        <v/>
      </c>
      <c r="E3066" s="14">
        <f>IF(F3066&lt;&gt;"","综合校验","")</f>
        <v/>
      </c>
      <c r="F3066" s="14">
        <f>IF('08_资产清单'!A66&lt;&gt;"",IF('08_资产清单'!A66="","缺少资产ID；","")&amp;IF('08_资产清单'!B66="","缺少资产名称；","")&amp;IF('08_资产清单'!C66="","缺少对象ID；","")&amp;IF('08_资产清单'!D66="","缺少资产类别；","")&amp;IF('08_资产清单'!G66="","缺少文件名；","")&amp;IF(AND('08_资产清单'!C66&lt;&gt;"",COUNTIF('02_固定地理'!$A$2:$A$501,'08_资产清单'!C66)+COUNTIF('03_地点锚点'!$A$2:$A$501,'08_资产清单'!C66)+COUNTIF('04_路径网络'!$A$2:$A$501,'08_资产清单'!C66)+COUNTIF('06_建筑锚点'!$A$2:$A$501,'08_资产清单'!C66)=0),"资产引用对象不存在；","")&amp;IF(AND('08_资产清单'!E66&lt;&gt;"",COUNTIF('07_动态状态'!$A$2:$A$501,'08_资产清单'!E66)=0),"状态编码不存在；","")&amp;IF(AND('08_资产清单'!G66&lt;&gt;"",COUNTIF('08_资产清单'!$G$2:$G$501,'08_资产清单'!G66)&gt;1),"文件名重复；","")&amp;IF(AND('08_资产清单'!A66&lt;&gt;"",COUNTIF('08_资产清单'!$A$2:$A$501,'08_资产清单'!A66)&gt;1),"ID重复；",""),"")</f>
        <v/>
      </c>
      <c r="G3066" s="14">
        <f>IF(F3066&lt;&gt;"","按字段批注、数据字典和来源记录修正后复核","")</f>
        <v/>
      </c>
      <c r="H3066" s="14">
        <f>IF(F3066&lt;&gt;"","待处理","")</f>
        <v/>
      </c>
    </row>
    <row r="3067">
      <c r="A3067" s="14">
        <f>IF(F3067&lt;&gt;"","ISSUE-"&amp;TEXT(ROW()-1,"00000"),"")</f>
        <v/>
      </c>
      <c r="B3067" s="14">
        <f>IF(F3067&lt;&gt;"","错误","")</f>
        <v/>
      </c>
      <c r="C3067" s="14">
        <f>IF('08_资产清单'!A67&lt;&gt;"","08_资产清单","")</f>
        <v/>
      </c>
      <c r="D3067" s="14">
        <f>IF('08_资产清单'!A67&lt;&gt;"",'08_资产清单'!A67,"")</f>
        <v/>
      </c>
      <c r="E3067" s="14">
        <f>IF(F3067&lt;&gt;"","综合校验","")</f>
        <v/>
      </c>
      <c r="F3067" s="14">
        <f>IF('08_资产清单'!A67&lt;&gt;"",IF('08_资产清单'!A67="","缺少资产ID；","")&amp;IF('08_资产清单'!B67="","缺少资产名称；","")&amp;IF('08_资产清单'!C67="","缺少对象ID；","")&amp;IF('08_资产清单'!D67="","缺少资产类别；","")&amp;IF('08_资产清单'!G67="","缺少文件名；","")&amp;IF(AND('08_资产清单'!C67&lt;&gt;"",COUNTIF('02_固定地理'!$A$2:$A$501,'08_资产清单'!C67)+COUNTIF('03_地点锚点'!$A$2:$A$501,'08_资产清单'!C67)+COUNTIF('04_路径网络'!$A$2:$A$501,'08_资产清单'!C67)+COUNTIF('06_建筑锚点'!$A$2:$A$501,'08_资产清单'!C67)=0),"资产引用对象不存在；","")&amp;IF(AND('08_资产清单'!E67&lt;&gt;"",COUNTIF('07_动态状态'!$A$2:$A$501,'08_资产清单'!E67)=0),"状态编码不存在；","")&amp;IF(AND('08_资产清单'!G67&lt;&gt;"",COUNTIF('08_资产清单'!$G$2:$G$501,'08_资产清单'!G67)&gt;1),"文件名重复；","")&amp;IF(AND('08_资产清单'!A67&lt;&gt;"",COUNTIF('08_资产清单'!$A$2:$A$501,'08_资产清单'!A67)&gt;1),"ID重复；",""),"")</f>
        <v/>
      </c>
      <c r="G3067" s="14">
        <f>IF(F3067&lt;&gt;"","按字段批注、数据字典和来源记录修正后复核","")</f>
        <v/>
      </c>
      <c r="H3067" s="14">
        <f>IF(F3067&lt;&gt;"","待处理","")</f>
        <v/>
      </c>
    </row>
    <row r="3068">
      <c r="A3068" s="14">
        <f>IF(F3068&lt;&gt;"","ISSUE-"&amp;TEXT(ROW()-1,"00000"),"")</f>
        <v/>
      </c>
      <c r="B3068" s="14">
        <f>IF(F3068&lt;&gt;"","错误","")</f>
        <v/>
      </c>
      <c r="C3068" s="14">
        <f>IF('08_资产清单'!A68&lt;&gt;"","08_资产清单","")</f>
        <v/>
      </c>
      <c r="D3068" s="14">
        <f>IF('08_资产清单'!A68&lt;&gt;"",'08_资产清单'!A68,"")</f>
        <v/>
      </c>
      <c r="E3068" s="14">
        <f>IF(F3068&lt;&gt;"","综合校验","")</f>
        <v/>
      </c>
      <c r="F3068" s="14">
        <f>IF('08_资产清单'!A68&lt;&gt;"",IF('08_资产清单'!A68="","缺少资产ID；","")&amp;IF('08_资产清单'!B68="","缺少资产名称；","")&amp;IF('08_资产清单'!C68="","缺少对象ID；","")&amp;IF('08_资产清单'!D68="","缺少资产类别；","")&amp;IF('08_资产清单'!G68="","缺少文件名；","")&amp;IF(AND('08_资产清单'!C68&lt;&gt;"",COUNTIF('02_固定地理'!$A$2:$A$501,'08_资产清单'!C68)+COUNTIF('03_地点锚点'!$A$2:$A$501,'08_资产清单'!C68)+COUNTIF('04_路径网络'!$A$2:$A$501,'08_资产清单'!C68)+COUNTIF('06_建筑锚点'!$A$2:$A$501,'08_资产清单'!C68)=0),"资产引用对象不存在；","")&amp;IF(AND('08_资产清单'!E68&lt;&gt;"",COUNTIF('07_动态状态'!$A$2:$A$501,'08_资产清单'!E68)=0),"状态编码不存在；","")&amp;IF(AND('08_资产清单'!G68&lt;&gt;"",COUNTIF('08_资产清单'!$G$2:$G$501,'08_资产清单'!G68)&gt;1),"文件名重复；","")&amp;IF(AND('08_资产清单'!A68&lt;&gt;"",COUNTIF('08_资产清单'!$A$2:$A$501,'08_资产清单'!A68)&gt;1),"ID重复；",""),"")</f>
        <v/>
      </c>
      <c r="G3068" s="14">
        <f>IF(F3068&lt;&gt;"","按字段批注、数据字典和来源记录修正后复核","")</f>
        <v/>
      </c>
      <c r="H3068" s="14">
        <f>IF(F3068&lt;&gt;"","待处理","")</f>
        <v/>
      </c>
    </row>
    <row r="3069">
      <c r="A3069" s="14">
        <f>IF(F3069&lt;&gt;"","ISSUE-"&amp;TEXT(ROW()-1,"00000"),"")</f>
        <v/>
      </c>
      <c r="B3069" s="14">
        <f>IF(F3069&lt;&gt;"","错误","")</f>
        <v/>
      </c>
      <c r="C3069" s="14">
        <f>IF('08_资产清单'!A69&lt;&gt;"","08_资产清单","")</f>
        <v/>
      </c>
      <c r="D3069" s="14">
        <f>IF('08_资产清单'!A69&lt;&gt;"",'08_资产清单'!A69,"")</f>
        <v/>
      </c>
      <c r="E3069" s="14">
        <f>IF(F3069&lt;&gt;"","综合校验","")</f>
        <v/>
      </c>
      <c r="F3069" s="14">
        <f>IF('08_资产清单'!A69&lt;&gt;"",IF('08_资产清单'!A69="","缺少资产ID；","")&amp;IF('08_资产清单'!B69="","缺少资产名称；","")&amp;IF('08_资产清单'!C69="","缺少对象ID；","")&amp;IF('08_资产清单'!D69="","缺少资产类别；","")&amp;IF('08_资产清单'!G69="","缺少文件名；","")&amp;IF(AND('08_资产清单'!C69&lt;&gt;"",COUNTIF('02_固定地理'!$A$2:$A$501,'08_资产清单'!C69)+COUNTIF('03_地点锚点'!$A$2:$A$501,'08_资产清单'!C69)+COUNTIF('04_路径网络'!$A$2:$A$501,'08_资产清单'!C69)+COUNTIF('06_建筑锚点'!$A$2:$A$501,'08_资产清单'!C69)=0),"资产引用对象不存在；","")&amp;IF(AND('08_资产清单'!E69&lt;&gt;"",COUNTIF('07_动态状态'!$A$2:$A$501,'08_资产清单'!E69)=0),"状态编码不存在；","")&amp;IF(AND('08_资产清单'!G69&lt;&gt;"",COUNTIF('08_资产清单'!$G$2:$G$501,'08_资产清单'!G69)&gt;1),"文件名重复；","")&amp;IF(AND('08_资产清单'!A69&lt;&gt;"",COUNTIF('08_资产清单'!$A$2:$A$501,'08_资产清单'!A69)&gt;1),"ID重复；",""),"")</f>
        <v/>
      </c>
      <c r="G3069" s="14">
        <f>IF(F3069&lt;&gt;"","按字段批注、数据字典和来源记录修正后复核","")</f>
        <v/>
      </c>
      <c r="H3069" s="14">
        <f>IF(F3069&lt;&gt;"","待处理","")</f>
        <v/>
      </c>
    </row>
    <row r="3070">
      <c r="A3070" s="14">
        <f>IF(F3070&lt;&gt;"","ISSUE-"&amp;TEXT(ROW()-1,"00000"),"")</f>
        <v/>
      </c>
      <c r="B3070" s="14">
        <f>IF(F3070&lt;&gt;"","错误","")</f>
        <v/>
      </c>
      <c r="C3070" s="14">
        <f>IF('08_资产清单'!A70&lt;&gt;"","08_资产清单","")</f>
        <v/>
      </c>
      <c r="D3070" s="14">
        <f>IF('08_资产清单'!A70&lt;&gt;"",'08_资产清单'!A70,"")</f>
        <v/>
      </c>
      <c r="E3070" s="14">
        <f>IF(F3070&lt;&gt;"","综合校验","")</f>
        <v/>
      </c>
      <c r="F3070" s="14">
        <f>IF('08_资产清单'!A70&lt;&gt;"",IF('08_资产清单'!A70="","缺少资产ID；","")&amp;IF('08_资产清单'!B70="","缺少资产名称；","")&amp;IF('08_资产清单'!C70="","缺少对象ID；","")&amp;IF('08_资产清单'!D70="","缺少资产类别；","")&amp;IF('08_资产清单'!G70="","缺少文件名；","")&amp;IF(AND('08_资产清单'!C70&lt;&gt;"",COUNTIF('02_固定地理'!$A$2:$A$501,'08_资产清单'!C70)+COUNTIF('03_地点锚点'!$A$2:$A$501,'08_资产清单'!C70)+COUNTIF('04_路径网络'!$A$2:$A$501,'08_资产清单'!C70)+COUNTIF('06_建筑锚点'!$A$2:$A$501,'08_资产清单'!C70)=0),"资产引用对象不存在；","")&amp;IF(AND('08_资产清单'!E70&lt;&gt;"",COUNTIF('07_动态状态'!$A$2:$A$501,'08_资产清单'!E70)=0),"状态编码不存在；","")&amp;IF(AND('08_资产清单'!G70&lt;&gt;"",COUNTIF('08_资产清单'!$G$2:$G$501,'08_资产清单'!G70)&gt;1),"文件名重复；","")&amp;IF(AND('08_资产清单'!A70&lt;&gt;"",COUNTIF('08_资产清单'!$A$2:$A$501,'08_资产清单'!A70)&gt;1),"ID重复；",""),"")</f>
        <v/>
      </c>
      <c r="G3070" s="14">
        <f>IF(F3070&lt;&gt;"","按字段批注、数据字典和来源记录修正后复核","")</f>
        <v/>
      </c>
      <c r="H3070" s="14">
        <f>IF(F3070&lt;&gt;"","待处理","")</f>
        <v/>
      </c>
    </row>
    <row r="3071">
      <c r="A3071" s="14">
        <f>IF(F3071&lt;&gt;"","ISSUE-"&amp;TEXT(ROW()-1,"00000"),"")</f>
        <v/>
      </c>
      <c r="B3071" s="14">
        <f>IF(F3071&lt;&gt;"","错误","")</f>
        <v/>
      </c>
      <c r="C3071" s="14">
        <f>IF('08_资产清单'!A71&lt;&gt;"","08_资产清单","")</f>
        <v/>
      </c>
      <c r="D3071" s="14">
        <f>IF('08_资产清单'!A71&lt;&gt;"",'08_资产清单'!A71,"")</f>
        <v/>
      </c>
      <c r="E3071" s="14">
        <f>IF(F3071&lt;&gt;"","综合校验","")</f>
        <v/>
      </c>
      <c r="F3071" s="14">
        <f>IF('08_资产清单'!A71&lt;&gt;"",IF('08_资产清单'!A71="","缺少资产ID；","")&amp;IF('08_资产清单'!B71="","缺少资产名称；","")&amp;IF('08_资产清单'!C71="","缺少对象ID；","")&amp;IF('08_资产清单'!D71="","缺少资产类别；","")&amp;IF('08_资产清单'!G71="","缺少文件名；","")&amp;IF(AND('08_资产清单'!C71&lt;&gt;"",COUNTIF('02_固定地理'!$A$2:$A$501,'08_资产清单'!C71)+COUNTIF('03_地点锚点'!$A$2:$A$501,'08_资产清单'!C71)+COUNTIF('04_路径网络'!$A$2:$A$501,'08_资产清单'!C71)+COUNTIF('06_建筑锚点'!$A$2:$A$501,'08_资产清单'!C71)=0),"资产引用对象不存在；","")&amp;IF(AND('08_资产清单'!E71&lt;&gt;"",COUNTIF('07_动态状态'!$A$2:$A$501,'08_资产清单'!E71)=0),"状态编码不存在；","")&amp;IF(AND('08_资产清单'!G71&lt;&gt;"",COUNTIF('08_资产清单'!$G$2:$G$501,'08_资产清单'!G71)&gt;1),"文件名重复；","")&amp;IF(AND('08_资产清单'!A71&lt;&gt;"",COUNTIF('08_资产清单'!$A$2:$A$501,'08_资产清单'!A71)&gt;1),"ID重复；",""),"")</f>
        <v/>
      </c>
      <c r="G3071" s="14">
        <f>IF(F3071&lt;&gt;"","按字段批注、数据字典和来源记录修正后复核","")</f>
        <v/>
      </c>
      <c r="H3071" s="14">
        <f>IF(F3071&lt;&gt;"","待处理","")</f>
        <v/>
      </c>
    </row>
    <row r="3072">
      <c r="A3072" s="14">
        <f>IF(F3072&lt;&gt;"","ISSUE-"&amp;TEXT(ROW()-1,"00000"),"")</f>
        <v/>
      </c>
      <c r="B3072" s="14">
        <f>IF(F3072&lt;&gt;"","错误","")</f>
        <v/>
      </c>
      <c r="C3072" s="14">
        <f>IF('08_资产清单'!A72&lt;&gt;"","08_资产清单","")</f>
        <v/>
      </c>
      <c r="D3072" s="14">
        <f>IF('08_资产清单'!A72&lt;&gt;"",'08_资产清单'!A72,"")</f>
        <v/>
      </c>
      <c r="E3072" s="14">
        <f>IF(F3072&lt;&gt;"","综合校验","")</f>
        <v/>
      </c>
      <c r="F3072" s="14">
        <f>IF('08_资产清单'!A72&lt;&gt;"",IF('08_资产清单'!A72="","缺少资产ID；","")&amp;IF('08_资产清单'!B72="","缺少资产名称；","")&amp;IF('08_资产清单'!C72="","缺少对象ID；","")&amp;IF('08_资产清单'!D72="","缺少资产类别；","")&amp;IF('08_资产清单'!G72="","缺少文件名；","")&amp;IF(AND('08_资产清单'!C72&lt;&gt;"",COUNTIF('02_固定地理'!$A$2:$A$501,'08_资产清单'!C72)+COUNTIF('03_地点锚点'!$A$2:$A$501,'08_资产清单'!C72)+COUNTIF('04_路径网络'!$A$2:$A$501,'08_资产清单'!C72)+COUNTIF('06_建筑锚点'!$A$2:$A$501,'08_资产清单'!C72)=0),"资产引用对象不存在；","")&amp;IF(AND('08_资产清单'!E72&lt;&gt;"",COUNTIF('07_动态状态'!$A$2:$A$501,'08_资产清单'!E72)=0),"状态编码不存在；","")&amp;IF(AND('08_资产清单'!G72&lt;&gt;"",COUNTIF('08_资产清单'!$G$2:$G$501,'08_资产清单'!G72)&gt;1),"文件名重复；","")&amp;IF(AND('08_资产清单'!A72&lt;&gt;"",COUNTIF('08_资产清单'!$A$2:$A$501,'08_资产清单'!A72)&gt;1),"ID重复；",""),"")</f>
        <v/>
      </c>
      <c r="G3072" s="14">
        <f>IF(F3072&lt;&gt;"","按字段批注、数据字典和来源记录修正后复核","")</f>
        <v/>
      </c>
      <c r="H3072" s="14">
        <f>IF(F3072&lt;&gt;"","待处理","")</f>
        <v/>
      </c>
    </row>
    <row r="3073">
      <c r="A3073" s="14">
        <f>IF(F3073&lt;&gt;"","ISSUE-"&amp;TEXT(ROW()-1,"00000"),"")</f>
        <v/>
      </c>
      <c r="B3073" s="14">
        <f>IF(F3073&lt;&gt;"","错误","")</f>
        <v/>
      </c>
      <c r="C3073" s="14">
        <f>IF('08_资产清单'!A73&lt;&gt;"","08_资产清单","")</f>
        <v/>
      </c>
      <c r="D3073" s="14">
        <f>IF('08_资产清单'!A73&lt;&gt;"",'08_资产清单'!A73,"")</f>
        <v/>
      </c>
      <c r="E3073" s="14">
        <f>IF(F3073&lt;&gt;"","综合校验","")</f>
        <v/>
      </c>
      <c r="F3073" s="14">
        <f>IF('08_资产清单'!A73&lt;&gt;"",IF('08_资产清单'!A73="","缺少资产ID；","")&amp;IF('08_资产清单'!B73="","缺少资产名称；","")&amp;IF('08_资产清单'!C73="","缺少对象ID；","")&amp;IF('08_资产清单'!D73="","缺少资产类别；","")&amp;IF('08_资产清单'!G73="","缺少文件名；","")&amp;IF(AND('08_资产清单'!C73&lt;&gt;"",COUNTIF('02_固定地理'!$A$2:$A$501,'08_资产清单'!C73)+COUNTIF('03_地点锚点'!$A$2:$A$501,'08_资产清单'!C73)+COUNTIF('04_路径网络'!$A$2:$A$501,'08_资产清单'!C73)+COUNTIF('06_建筑锚点'!$A$2:$A$501,'08_资产清单'!C73)=0),"资产引用对象不存在；","")&amp;IF(AND('08_资产清单'!E73&lt;&gt;"",COUNTIF('07_动态状态'!$A$2:$A$501,'08_资产清单'!E73)=0),"状态编码不存在；","")&amp;IF(AND('08_资产清单'!G73&lt;&gt;"",COUNTIF('08_资产清单'!$G$2:$G$501,'08_资产清单'!G73)&gt;1),"文件名重复；","")&amp;IF(AND('08_资产清单'!A73&lt;&gt;"",COUNTIF('08_资产清单'!$A$2:$A$501,'08_资产清单'!A73)&gt;1),"ID重复；",""),"")</f>
        <v/>
      </c>
      <c r="G3073" s="14">
        <f>IF(F3073&lt;&gt;"","按字段批注、数据字典和来源记录修正后复核","")</f>
        <v/>
      </c>
      <c r="H3073" s="14">
        <f>IF(F3073&lt;&gt;"","待处理","")</f>
        <v/>
      </c>
    </row>
    <row r="3074">
      <c r="A3074" s="14">
        <f>IF(F3074&lt;&gt;"","ISSUE-"&amp;TEXT(ROW()-1,"00000"),"")</f>
        <v/>
      </c>
      <c r="B3074" s="14">
        <f>IF(F3074&lt;&gt;"","错误","")</f>
        <v/>
      </c>
      <c r="C3074" s="14">
        <f>IF('08_资产清单'!A74&lt;&gt;"","08_资产清单","")</f>
        <v/>
      </c>
      <c r="D3074" s="14">
        <f>IF('08_资产清单'!A74&lt;&gt;"",'08_资产清单'!A74,"")</f>
        <v/>
      </c>
      <c r="E3074" s="14">
        <f>IF(F3074&lt;&gt;"","综合校验","")</f>
        <v/>
      </c>
      <c r="F3074" s="14">
        <f>IF('08_资产清单'!A74&lt;&gt;"",IF('08_资产清单'!A74="","缺少资产ID；","")&amp;IF('08_资产清单'!B74="","缺少资产名称；","")&amp;IF('08_资产清单'!C74="","缺少对象ID；","")&amp;IF('08_资产清单'!D74="","缺少资产类别；","")&amp;IF('08_资产清单'!G74="","缺少文件名；","")&amp;IF(AND('08_资产清单'!C74&lt;&gt;"",COUNTIF('02_固定地理'!$A$2:$A$501,'08_资产清单'!C74)+COUNTIF('03_地点锚点'!$A$2:$A$501,'08_资产清单'!C74)+COUNTIF('04_路径网络'!$A$2:$A$501,'08_资产清单'!C74)+COUNTIF('06_建筑锚点'!$A$2:$A$501,'08_资产清单'!C74)=0),"资产引用对象不存在；","")&amp;IF(AND('08_资产清单'!E74&lt;&gt;"",COUNTIF('07_动态状态'!$A$2:$A$501,'08_资产清单'!E74)=0),"状态编码不存在；","")&amp;IF(AND('08_资产清单'!G74&lt;&gt;"",COUNTIF('08_资产清单'!$G$2:$G$501,'08_资产清单'!G74)&gt;1),"文件名重复；","")&amp;IF(AND('08_资产清单'!A74&lt;&gt;"",COUNTIF('08_资产清单'!$A$2:$A$501,'08_资产清单'!A74)&gt;1),"ID重复；",""),"")</f>
        <v/>
      </c>
      <c r="G3074" s="14">
        <f>IF(F3074&lt;&gt;"","按字段批注、数据字典和来源记录修正后复核","")</f>
        <v/>
      </c>
      <c r="H3074" s="14">
        <f>IF(F3074&lt;&gt;"","待处理","")</f>
        <v/>
      </c>
    </row>
    <row r="3075">
      <c r="A3075" s="14">
        <f>IF(F3075&lt;&gt;"","ISSUE-"&amp;TEXT(ROW()-1,"00000"),"")</f>
        <v/>
      </c>
      <c r="B3075" s="14">
        <f>IF(F3075&lt;&gt;"","错误","")</f>
        <v/>
      </c>
      <c r="C3075" s="14">
        <f>IF('08_资产清单'!A75&lt;&gt;"","08_资产清单","")</f>
        <v/>
      </c>
      <c r="D3075" s="14">
        <f>IF('08_资产清单'!A75&lt;&gt;"",'08_资产清单'!A75,"")</f>
        <v/>
      </c>
      <c r="E3075" s="14">
        <f>IF(F3075&lt;&gt;"","综合校验","")</f>
        <v/>
      </c>
      <c r="F3075" s="14">
        <f>IF('08_资产清单'!A75&lt;&gt;"",IF('08_资产清单'!A75="","缺少资产ID；","")&amp;IF('08_资产清单'!B75="","缺少资产名称；","")&amp;IF('08_资产清单'!C75="","缺少对象ID；","")&amp;IF('08_资产清单'!D75="","缺少资产类别；","")&amp;IF('08_资产清单'!G75="","缺少文件名；","")&amp;IF(AND('08_资产清单'!C75&lt;&gt;"",COUNTIF('02_固定地理'!$A$2:$A$501,'08_资产清单'!C75)+COUNTIF('03_地点锚点'!$A$2:$A$501,'08_资产清单'!C75)+COUNTIF('04_路径网络'!$A$2:$A$501,'08_资产清单'!C75)+COUNTIF('06_建筑锚点'!$A$2:$A$501,'08_资产清单'!C75)=0),"资产引用对象不存在；","")&amp;IF(AND('08_资产清单'!E75&lt;&gt;"",COUNTIF('07_动态状态'!$A$2:$A$501,'08_资产清单'!E75)=0),"状态编码不存在；","")&amp;IF(AND('08_资产清单'!G75&lt;&gt;"",COUNTIF('08_资产清单'!$G$2:$G$501,'08_资产清单'!G75)&gt;1),"文件名重复；","")&amp;IF(AND('08_资产清单'!A75&lt;&gt;"",COUNTIF('08_资产清单'!$A$2:$A$501,'08_资产清单'!A75)&gt;1),"ID重复；",""),"")</f>
        <v/>
      </c>
      <c r="G3075" s="14">
        <f>IF(F3075&lt;&gt;"","按字段批注、数据字典和来源记录修正后复核","")</f>
        <v/>
      </c>
      <c r="H3075" s="14">
        <f>IF(F3075&lt;&gt;"","待处理","")</f>
        <v/>
      </c>
    </row>
    <row r="3076">
      <c r="A3076" s="14">
        <f>IF(F3076&lt;&gt;"","ISSUE-"&amp;TEXT(ROW()-1,"00000"),"")</f>
        <v/>
      </c>
      <c r="B3076" s="14">
        <f>IF(F3076&lt;&gt;"","错误","")</f>
        <v/>
      </c>
      <c r="C3076" s="14">
        <f>IF('08_资产清单'!A76&lt;&gt;"","08_资产清单","")</f>
        <v/>
      </c>
      <c r="D3076" s="14">
        <f>IF('08_资产清单'!A76&lt;&gt;"",'08_资产清单'!A76,"")</f>
        <v/>
      </c>
      <c r="E3076" s="14">
        <f>IF(F3076&lt;&gt;"","综合校验","")</f>
        <v/>
      </c>
      <c r="F3076" s="14">
        <f>IF('08_资产清单'!A76&lt;&gt;"",IF('08_资产清单'!A76="","缺少资产ID；","")&amp;IF('08_资产清单'!B76="","缺少资产名称；","")&amp;IF('08_资产清单'!C76="","缺少对象ID；","")&amp;IF('08_资产清单'!D76="","缺少资产类别；","")&amp;IF('08_资产清单'!G76="","缺少文件名；","")&amp;IF(AND('08_资产清单'!C76&lt;&gt;"",COUNTIF('02_固定地理'!$A$2:$A$501,'08_资产清单'!C76)+COUNTIF('03_地点锚点'!$A$2:$A$501,'08_资产清单'!C76)+COUNTIF('04_路径网络'!$A$2:$A$501,'08_资产清单'!C76)+COUNTIF('06_建筑锚点'!$A$2:$A$501,'08_资产清单'!C76)=0),"资产引用对象不存在；","")&amp;IF(AND('08_资产清单'!E76&lt;&gt;"",COUNTIF('07_动态状态'!$A$2:$A$501,'08_资产清单'!E76)=0),"状态编码不存在；","")&amp;IF(AND('08_资产清单'!G76&lt;&gt;"",COUNTIF('08_资产清单'!$G$2:$G$501,'08_资产清单'!G76)&gt;1),"文件名重复；","")&amp;IF(AND('08_资产清单'!A76&lt;&gt;"",COUNTIF('08_资产清单'!$A$2:$A$501,'08_资产清单'!A76)&gt;1),"ID重复；",""),"")</f>
        <v/>
      </c>
      <c r="G3076" s="14">
        <f>IF(F3076&lt;&gt;"","按字段批注、数据字典和来源记录修正后复核","")</f>
        <v/>
      </c>
      <c r="H3076" s="14">
        <f>IF(F3076&lt;&gt;"","待处理","")</f>
        <v/>
      </c>
    </row>
    <row r="3077">
      <c r="A3077" s="14">
        <f>IF(F3077&lt;&gt;"","ISSUE-"&amp;TEXT(ROW()-1,"00000"),"")</f>
        <v/>
      </c>
      <c r="B3077" s="14">
        <f>IF(F3077&lt;&gt;"","错误","")</f>
        <v/>
      </c>
      <c r="C3077" s="14">
        <f>IF('08_资产清单'!A77&lt;&gt;"","08_资产清单","")</f>
        <v/>
      </c>
      <c r="D3077" s="14">
        <f>IF('08_资产清单'!A77&lt;&gt;"",'08_资产清单'!A77,"")</f>
        <v/>
      </c>
      <c r="E3077" s="14">
        <f>IF(F3077&lt;&gt;"","综合校验","")</f>
        <v/>
      </c>
      <c r="F3077" s="14">
        <f>IF('08_资产清单'!A77&lt;&gt;"",IF('08_资产清单'!A77="","缺少资产ID；","")&amp;IF('08_资产清单'!B77="","缺少资产名称；","")&amp;IF('08_资产清单'!C77="","缺少对象ID；","")&amp;IF('08_资产清单'!D77="","缺少资产类别；","")&amp;IF('08_资产清单'!G77="","缺少文件名；","")&amp;IF(AND('08_资产清单'!C77&lt;&gt;"",COUNTIF('02_固定地理'!$A$2:$A$501,'08_资产清单'!C77)+COUNTIF('03_地点锚点'!$A$2:$A$501,'08_资产清单'!C77)+COUNTIF('04_路径网络'!$A$2:$A$501,'08_资产清单'!C77)+COUNTIF('06_建筑锚点'!$A$2:$A$501,'08_资产清单'!C77)=0),"资产引用对象不存在；","")&amp;IF(AND('08_资产清单'!E77&lt;&gt;"",COUNTIF('07_动态状态'!$A$2:$A$501,'08_资产清单'!E77)=0),"状态编码不存在；","")&amp;IF(AND('08_资产清单'!G77&lt;&gt;"",COUNTIF('08_资产清单'!$G$2:$G$501,'08_资产清单'!G77)&gt;1),"文件名重复；","")&amp;IF(AND('08_资产清单'!A77&lt;&gt;"",COUNTIF('08_资产清单'!$A$2:$A$501,'08_资产清单'!A77)&gt;1),"ID重复；",""),"")</f>
        <v/>
      </c>
      <c r="G3077" s="14">
        <f>IF(F3077&lt;&gt;"","按字段批注、数据字典和来源记录修正后复核","")</f>
        <v/>
      </c>
      <c r="H3077" s="14">
        <f>IF(F3077&lt;&gt;"","待处理","")</f>
        <v/>
      </c>
    </row>
    <row r="3078">
      <c r="A3078" s="14">
        <f>IF(F3078&lt;&gt;"","ISSUE-"&amp;TEXT(ROW()-1,"00000"),"")</f>
        <v/>
      </c>
      <c r="B3078" s="14">
        <f>IF(F3078&lt;&gt;"","错误","")</f>
        <v/>
      </c>
      <c r="C3078" s="14">
        <f>IF('08_资产清单'!A78&lt;&gt;"","08_资产清单","")</f>
        <v/>
      </c>
      <c r="D3078" s="14">
        <f>IF('08_资产清单'!A78&lt;&gt;"",'08_资产清单'!A78,"")</f>
        <v/>
      </c>
      <c r="E3078" s="14">
        <f>IF(F3078&lt;&gt;"","综合校验","")</f>
        <v/>
      </c>
      <c r="F3078" s="14">
        <f>IF('08_资产清单'!A78&lt;&gt;"",IF('08_资产清单'!A78="","缺少资产ID；","")&amp;IF('08_资产清单'!B78="","缺少资产名称；","")&amp;IF('08_资产清单'!C78="","缺少对象ID；","")&amp;IF('08_资产清单'!D78="","缺少资产类别；","")&amp;IF('08_资产清单'!G78="","缺少文件名；","")&amp;IF(AND('08_资产清单'!C78&lt;&gt;"",COUNTIF('02_固定地理'!$A$2:$A$501,'08_资产清单'!C78)+COUNTIF('03_地点锚点'!$A$2:$A$501,'08_资产清单'!C78)+COUNTIF('04_路径网络'!$A$2:$A$501,'08_资产清单'!C78)+COUNTIF('06_建筑锚点'!$A$2:$A$501,'08_资产清单'!C78)=0),"资产引用对象不存在；","")&amp;IF(AND('08_资产清单'!E78&lt;&gt;"",COUNTIF('07_动态状态'!$A$2:$A$501,'08_资产清单'!E78)=0),"状态编码不存在；","")&amp;IF(AND('08_资产清单'!G78&lt;&gt;"",COUNTIF('08_资产清单'!$G$2:$G$501,'08_资产清单'!G78)&gt;1),"文件名重复；","")&amp;IF(AND('08_资产清单'!A78&lt;&gt;"",COUNTIF('08_资产清单'!$A$2:$A$501,'08_资产清单'!A78)&gt;1),"ID重复；",""),"")</f>
        <v/>
      </c>
      <c r="G3078" s="14">
        <f>IF(F3078&lt;&gt;"","按字段批注、数据字典和来源记录修正后复核","")</f>
        <v/>
      </c>
      <c r="H3078" s="14">
        <f>IF(F3078&lt;&gt;"","待处理","")</f>
        <v/>
      </c>
    </row>
    <row r="3079">
      <c r="A3079" s="14">
        <f>IF(F3079&lt;&gt;"","ISSUE-"&amp;TEXT(ROW()-1,"00000"),"")</f>
        <v/>
      </c>
      <c r="B3079" s="14">
        <f>IF(F3079&lt;&gt;"","错误","")</f>
        <v/>
      </c>
      <c r="C3079" s="14">
        <f>IF('08_资产清单'!A79&lt;&gt;"","08_资产清单","")</f>
        <v/>
      </c>
      <c r="D3079" s="14">
        <f>IF('08_资产清单'!A79&lt;&gt;"",'08_资产清单'!A79,"")</f>
        <v/>
      </c>
      <c r="E3079" s="14">
        <f>IF(F3079&lt;&gt;"","综合校验","")</f>
        <v/>
      </c>
      <c r="F3079" s="14">
        <f>IF('08_资产清单'!A79&lt;&gt;"",IF('08_资产清单'!A79="","缺少资产ID；","")&amp;IF('08_资产清单'!B79="","缺少资产名称；","")&amp;IF('08_资产清单'!C79="","缺少对象ID；","")&amp;IF('08_资产清单'!D79="","缺少资产类别；","")&amp;IF('08_资产清单'!G79="","缺少文件名；","")&amp;IF(AND('08_资产清单'!C79&lt;&gt;"",COUNTIF('02_固定地理'!$A$2:$A$501,'08_资产清单'!C79)+COUNTIF('03_地点锚点'!$A$2:$A$501,'08_资产清单'!C79)+COUNTIF('04_路径网络'!$A$2:$A$501,'08_资产清单'!C79)+COUNTIF('06_建筑锚点'!$A$2:$A$501,'08_资产清单'!C79)=0),"资产引用对象不存在；","")&amp;IF(AND('08_资产清单'!E79&lt;&gt;"",COUNTIF('07_动态状态'!$A$2:$A$501,'08_资产清单'!E79)=0),"状态编码不存在；","")&amp;IF(AND('08_资产清单'!G79&lt;&gt;"",COUNTIF('08_资产清单'!$G$2:$G$501,'08_资产清单'!G79)&gt;1),"文件名重复；","")&amp;IF(AND('08_资产清单'!A79&lt;&gt;"",COUNTIF('08_资产清单'!$A$2:$A$501,'08_资产清单'!A79)&gt;1),"ID重复；",""),"")</f>
        <v/>
      </c>
      <c r="G3079" s="14">
        <f>IF(F3079&lt;&gt;"","按字段批注、数据字典和来源记录修正后复核","")</f>
        <v/>
      </c>
      <c r="H3079" s="14">
        <f>IF(F3079&lt;&gt;"","待处理","")</f>
        <v/>
      </c>
    </row>
    <row r="3080">
      <c r="A3080" s="14">
        <f>IF(F3080&lt;&gt;"","ISSUE-"&amp;TEXT(ROW()-1,"00000"),"")</f>
        <v/>
      </c>
      <c r="B3080" s="14">
        <f>IF(F3080&lt;&gt;"","错误","")</f>
        <v/>
      </c>
      <c r="C3080" s="14">
        <f>IF('08_资产清单'!A80&lt;&gt;"","08_资产清单","")</f>
        <v/>
      </c>
      <c r="D3080" s="14">
        <f>IF('08_资产清单'!A80&lt;&gt;"",'08_资产清单'!A80,"")</f>
        <v/>
      </c>
      <c r="E3080" s="14">
        <f>IF(F3080&lt;&gt;"","综合校验","")</f>
        <v/>
      </c>
      <c r="F3080" s="14">
        <f>IF('08_资产清单'!A80&lt;&gt;"",IF('08_资产清单'!A80="","缺少资产ID；","")&amp;IF('08_资产清单'!B80="","缺少资产名称；","")&amp;IF('08_资产清单'!C80="","缺少对象ID；","")&amp;IF('08_资产清单'!D80="","缺少资产类别；","")&amp;IF('08_资产清单'!G80="","缺少文件名；","")&amp;IF(AND('08_资产清单'!C80&lt;&gt;"",COUNTIF('02_固定地理'!$A$2:$A$501,'08_资产清单'!C80)+COUNTIF('03_地点锚点'!$A$2:$A$501,'08_资产清单'!C80)+COUNTIF('04_路径网络'!$A$2:$A$501,'08_资产清单'!C80)+COUNTIF('06_建筑锚点'!$A$2:$A$501,'08_资产清单'!C80)=0),"资产引用对象不存在；","")&amp;IF(AND('08_资产清单'!E80&lt;&gt;"",COUNTIF('07_动态状态'!$A$2:$A$501,'08_资产清单'!E80)=0),"状态编码不存在；","")&amp;IF(AND('08_资产清单'!G80&lt;&gt;"",COUNTIF('08_资产清单'!$G$2:$G$501,'08_资产清单'!G80)&gt;1),"文件名重复；","")&amp;IF(AND('08_资产清单'!A80&lt;&gt;"",COUNTIF('08_资产清单'!$A$2:$A$501,'08_资产清单'!A80)&gt;1),"ID重复；",""),"")</f>
        <v/>
      </c>
      <c r="G3080" s="14">
        <f>IF(F3080&lt;&gt;"","按字段批注、数据字典和来源记录修正后复核","")</f>
        <v/>
      </c>
      <c r="H3080" s="14">
        <f>IF(F3080&lt;&gt;"","待处理","")</f>
        <v/>
      </c>
    </row>
    <row r="3081">
      <c r="A3081" s="14">
        <f>IF(F3081&lt;&gt;"","ISSUE-"&amp;TEXT(ROW()-1,"00000"),"")</f>
        <v/>
      </c>
      <c r="B3081" s="14">
        <f>IF(F3081&lt;&gt;"","错误","")</f>
        <v/>
      </c>
      <c r="C3081" s="14">
        <f>IF('08_资产清单'!A81&lt;&gt;"","08_资产清单","")</f>
        <v/>
      </c>
      <c r="D3081" s="14">
        <f>IF('08_资产清单'!A81&lt;&gt;"",'08_资产清单'!A81,"")</f>
        <v/>
      </c>
      <c r="E3081" s="14">
        <f>IF(F3081&lt;&gt;"","综合校验","")</f>
        <v/>
      </c>
      <c r="F3081" s="14">
        <f>IF('08_资产清单'!A81&lt;&gt;"",IF('08_资产清单'!A81="","缺少资产ID；","")&amp;IF('08_资产清单'!B81="","缺少资产名称；","")&amp;IF('08_资产清单'!C81="","缺少对象ID；","")&amp;IF('08_资产清单'!D81="","缺少资产类别；","")&amp;IF('08_资产清单'!G81="","缺少文件名；","")&amp;IF(AND('08_资产清单'!C81&lt;&gt;"",COUNTIF('02_固定地理'!$A$2:$A$501,'08_资产清单'!C81)+COUNTIF('03_地点锚点'!$A$2:$A$501,'08_资产清单'!C81)+COUNTIF('04_路径网络'!$A$2:$A$501,'08_资产清单'!C81)+COUNTIF('06_建筑锚点'!$A$2:$A$501,'08_资产清单'!C81)=0),"资产引用对象不存在；","")&amp;IF(AND('08_资产清单'!E81&lt;&gt;"",COUNTIF('07_动态状态'!$A$2:$A$501,'08_资产清单'!E81)=0),"状态编码不存在；","")&amp;IF(AND('08_资产清单'!G81&lt;&gt;"",COUNTIF('08_资产清单'!$G$2:$G$501,'08_资产清单'!G81)&gt;1),"文件名重复；","")&amp;IF(AND('08_资产清单'!A81&lt;&gt;"",COUNTIF('08_资产清单'!$A$2:$A$501,'08_资产清单'!A81)&gt;1),"ID重复；",""),"")</f>
        <v/>
      </c>
      <c r="G3081" s="14">
        <f>IF(F3081&lt;&gt;"","按字段批注、数据字典和来源记录修正后复核","")</f>
        <v/>
      </c>
      <c r="H3081" s="14">
        <f>IF(F3081&lt;&gt;"","待处理","")</f>
        <v/>
      </c>
    </row>
    <row r="3082">
      <c r="A3082" s="14">
        <f>IF(F3082&lt;&gt;"","ISSUE-"&amp;TEXT(ROW()-1,"00000"),"")</f>
        <v/>
      </c>
      <c r="B3082" s="14">
        <f>IF(F3082&lt;&gt;"","错误","")</f>
        <v/>
      </c>
      <c r="C3082" s="14">
        <f>IF('08_资产清单'!A82&lt;&gt;"","08_资产清单","")</f>
        <v/>
      </c>
      <c r="D3082" s="14">
        <f>IF('08_资产清单'!A82&lt;&gt;"",'08_资产清单'!A82,"")</f>
        <v/>
      </c>
      <c r="E3082" s="14">
        <f>IF(F3082&lt;&gt;"","综合校验","")</f>
        <v/>
      </c>
      <c r="F3082" s="14">
        <f>IF('08_资产清单'!A82&lt;&gt;"",IF('08_资产清单'!A82="","缺少资产ID；","")&amp;IF('08_资产清单'!B82="","缺少资产名称；","")&amp;IF('08_资产清单'!C82="","缺少对象ID；","")&amp;IF('08_资产清单'!D82="","缺少资产类别；","")&amp;IF('08_资产清单'!G82="","缺少文件名；","")&amp;IF(AND('08_资产清单'!C82&lt;&gt;"",COUNTIF('02_固定地理'!$A$2:$A$501,'08_资产清单'!C82)+COUNTIF('03_地点锚点'!$A$2:$A$501,'08_资产清单'!C82)+COUNTIF('04_路径网络'!$A$2:$A$501,'08_资产清单'!C82)+COUNTIF('06_建筑锚点'!$A$2:$A$501,'08_资产清单'!C82)=0),"资产引用对象不存在；","")&amp;IF(AND('08_资产清单'!E82&lt;&gt;"",COUNTIF('07_动态状态'!$A$2:$A$501,'08_资产清单'!E82)=0),"状态编码不存在；","")&amp;IF(AND('08_资产清单'!G82&lt;&gt;"",COUNTIF('08_资产清单'!$G$2:$G$501,'08_资产清单'!G82)&gt;1),"文件名重复；","")&amp;IF(AND('08_资产清单'!A82&lt;&gt;"",COUNTIF('08_资产清单'!$A$2:$A$501,'08_资产清单'!A82)&gt;1),"ID重复；",""),"")</f>
        <v/>
      </c>
      <c r="G3082" s="14">
        <f>IF(F3082&lt;&gt;"","按字段批注、数据字典和来源记录修正后复核","")</f>
        <v/>
      </c>
      <c r="H3082" s="14">
        <f>IF(F3082&lt;&gt;"","待处理","")</f>
        <v/>
      </c>
    </row>
    <row r="3083">
      <c r="A3083" s="14">
        <f>IF(F3083&lt;&gt;"","ISSUE-"&amp;TEXT(ROW()-1,"00000"),"")</f>
        <v/>
      </c>
      <c r="B3083" s="14">
        <f>IF(F3083&lt;&gt;"","错误","")</f>
        <v/>
      </c>
      <c r="C3083" s="14">
        <f>IF('08_资产清单'!A83&lt;&gt;"","08_资产清单","")</f>
        <v/>
      </c>
      <c r="D3083" s="14">
        <f>IF('08_资产清单'!A83&lt;&gt;"",'08_资产清单'!A83,"")</f>
        <v/>
      </c>
      <c r="E3083" s="14">
        <f>IF(F3083&lt;&gt;"","综合校验","")</f>
        <v/>
      </c>
      <c r="F3083" s="14">
        <f>IF('08_资产清单'!A83&lt;&gt;"",IF('08_资产清单'!A83="","缺少资产ID；","")&amp;IF('08_资产清单'!B83="","缺少资产名称；","")&amp;IF('08_资产清单'!C83="","缺少对象ID；","")&amp;IF('08_资产清单'!D83="","缺少资产类别；","")&amp;IF('08_资产清单'!G83="","缺少文件名；","")&amp;IF(AND('08_资产清单'!C83&lt;&gt;"",COUNTIF('02_固定地理'!$A$2:$A$501,'08_资产清单'!C83)+COUNTIF('03_地点锚点'!$A$2:$A$501,'08_资产清单'!C83)+COUNTIF('04_路径网络'!$A$2:$A$501,'08_资产清单'!C83)+COUNTIF('06_建筑锚点'!$A$2:$A$501,'08_资产清单'!C83)=0),"资产引用对象不存在；","")&amp;IF(AND('08_资产清单'!E83&lt;&gt;"",COUNTIF('07_动态状态'!$A$2:$A$501,'08_资产清单'!E83)=0),"状态编码不存在；","")&amp;IF(AND('08_资产清单'!G83&lt;&gt;"",COUNTIF('08_资产清单'!$G$2:$G$501,'08_资产清单'!G83)&gt;1),"文件名重复；","")&amp;IF(AND('08_资产清单'!A83&lt;&gt;"",COUNTIF('08_资产清单'!$A$2:$A$501,'08_资产清单'!A83)&gt;1),"ID重复；",""),"")</f>
        <v/>
      </c>
      <c r="G3083" s="14">
        <f>IF(F3083&lt;&gt;"","按字段批注、数据字典和来源记录修正后复核","")</f>
        <v/>
      </c>
      <c r="H3083" s="14">
        <f>IF(F3083&lt;&gt;"","待处理","")</f>
        <v/>
      </c>
    </row>
    <row r="3084">
      <c r="A3084" s="14">
        <f>IF(F3084&lt;&gt;"","ISSUE-"&amp;TEXT(ROW()-1,"00000"),"")</f>
        <v/>
      </c>
      <c r="B3084" s="14">
        <f>IF(F3084&lt;&gt;"","错误","")</f>
        <v/>
      </c>
      <c r="C3084" s="14">
        <f>IF('08_资产清单'!A84&lt;&gt;"","08_资产清单","")</f>
        <v/>
      </c>
      <c r="D3084" s="14">
        <f>IF('08_资产清单'!A84&lt;&gt;"",'08_资产清单'!A84,"")</f>
        <v/>
      </c>
      <c r="E3084" s="14">
        <f>IF(F3084&lt;&gt;"","综合校验","")</f>
        <v/>
      </c>
      <c r="F3084" s="14">
        <f>IF('08_资产清单'!A84&lt;&gt;"",IF('08_资产清单'!A84="","缺少资产ID；","")&amp;IF('08_资产清单'!B84="","缺少资产名称；","")&amp;IF('08_资产清单'!C84="","缺少对象ID；","")&amp;IF('08_资产清单'!D84="","缺少资产类别；","")&amp;IF('08_资产清单'!G84="","缺少文件名；","")&amp;IF(AND('08_资产清单'!C84&lt;&gt;"",COUNTIF('02_固定地理'!$A$2:$A$501,'08_资产清单'!C84)+COUNTIF('03_地点锚点'!$A$2:$A$501,'08_资产清单'!C84)+COUNTIF('04_路径网络'!$A$2:$A$501,'08_资产清单'!C84)+COUNTIF('06_建筑锚点'!$A$2:$A$501,'08_资产清单'!C84)=0),"资产引用对象不存在；","")&amp;IF(AND('08_资产清单'!E84&lt;&gt;"",COUNTIF('07_动态状态'!$A$2:$A$501,'08_资产清单'!E84)=0),"状态编码不存在；","")&amp;IF(AND('08_资产清单'!G84&lt;&gt;"",COUNTIF('08_资产清单'!$G$2:$G$501,'08_资产清单'!G84)&gt;1),"文件名重复；","")&amp;IF(AND('08_资产清单'!A84&lt;&gt;"",COUNTIF('08_资产清单'!$A$2:$A$501,'08_资产清单'!A84)&gt;1),"ID重复；",""),"")</f>
        <v/>
      </c>
      <c r="G3084" s="14">
        <f>IF(F3084&lt;&gt;"","按字段批注、数据字典和来源记录修正后复核","")</f>
        <v/>
      </c>
      <c r="H3084" s="14">
        <f>IF(F3084&lt;&gt;"","待处理","")</f>
        <v/>
      </c>
    </row>
    <row r="3085">
      <c r="A3085" s="14">
        <f>IF(F3085&lt;&gt;"","ISSUE-"&amp;TEXT(ROW()-1,"00000"),"")</f>
        <v/>
      </c>
      <c r="B3085" s="14">
        <f>IF(F3085&lt;&gt;"","错误","")</f>
        <v/>
      </c>
      <c r="C3085" s="14">
        <f>IF('08_资产清单'!A85&lt;&gt;"","08_资产清单","")</f>
        <v/>
      </c>
      <c r="D3085" s="14">
        <f>IF('08_资产清单'!A85&lt;&gt;"",'08_资产清单'!A85,"")</f>
        <v/>
      </c>
      <c r="E3085" s="14">
        <f>IF(F3085&lt;&gt;"","综合校验","")</f>
        <v/>
      </c>
      <c r="F3085" s="14">
        <f>IF('08_资产清单'!A85&lt;&gt;"",IF('08_资产清单'!A85="","缺少资产ID；","")&amp;IF('08_资产清单'!B85="","缺少资产名称；","")&amp;IF('08_资产清单'!C85="","缺少对象ID；","")&amp;IF('08_资产清单'!D85="","缺少资产类别；","")&amp;IF('08_资产清单'!G85="","缺少文件名；","")&amp;IF(AND('08_资产清单'!C85&lt;&gt;"",COUNTIF('02_固定地理'!$A$2:$A$501,'08_资产清单'!C85)+COUNTIF('03_地点锚点'!$A$2:$A$501,'08_资产清单'!C85)+COUNTIF('04_路径网络'!$A$2:$A$501,'08_资产清单'!C85)+COUNTIF('06_建筑锚点'!$A$2:$A$501,'08_资产清单'!C85)=0),"资产引用对象不存在；","")&amp;IF(AND('08_资产清单'!E85&lt;&gt;"",COUNTIF('07_动态状态'!$A$2:$A$501,'08_资产清单'!E85)=0),"状态编码不存在；","")&amp;IF(AND('08_资产清单'!G85&lt;&gt;"",COUNTIF('08_资产清单'!$G$2:$G$501,'08_资产清单'!G85)&gt;1),"文件名重复；","")&amp;IF(AND('08_资产清单'!A85&lt;&gt;"",COUNTIF('08_资产清单'!$A$2:$A$501,'08_资产清单'!A85)&gt;1),"ID重复；",""),"")</f>
        <v/>
      </c>
      <c r="G3085" s="14">
        <f>IF(F3085&lt;&gt;"","按字段批注、数据字典和来源记录修正后复核","")</f>
        <v/>
      </c>
      <c r="H3085" s="14">
        <f>IF(F3085&lt;&gt;"","待处理","")</f>
        <v/>
      </c>
    </row>
    <row r="3086">
      <c r="A3086" s="14">
        <f>IF(F3086&lt;&gt;"","ISSUE-"&amp;TEXT(ROW()-1,"00000"),"")</f>
        <v/>
      </c>
      <c r="B3086" s="14">
        <f>IF(F3086&lt;&gt;"","错误","")</f>
        <v/>
      </c>
      <c r="C3086" s="14">
        <f>IF('08_资产清单'!A86&lt;&gt;"","08_资产清单","")</f>
        <v/>
      </c>
      <c r="D3086" s="14">
        <f>IF('08_资产清单'!A86&lt;&gt;"",'08_资产清单'!A86,"")</f>
        <v/>
      </c>
      <c r="E3086" s="14">
        <f>IF(F3086&lt;&gt;"","综合校验","")</f>
        <v/>
      </c>
      <c r="F3086" s="14">
        <f>IF('08_资产清单'!A86&lt;&gt;"",IF('08_资产清单'!A86="","缺少资产ID；","")&amp;IF('08_资产清单'!B86="","缺少资产名称；","")&amp;IF('08_资产清单'!C86="","缺少对象ID；","")&amp;IF('08_资产清单'!D86="","缺少资产类别；","")&amp;IF('08_资产清单'!G86="","缺少文件名；","")&amp;IF(AND('08_资产清单'!C86&lt;&gt;"",COUNTIF('02_固定地理'!$A$2:$A$501,'08_资产清单'!C86)+COUNTIF('03_地点锚点'!$A$2:$A$501,'08_资产清单'!C86)+COUNTIF('04_路径网络'!$A$2:$A$501,'08_资产清单'!C86)+COUNTIF('06_建筑锚点'!$A$2:$A$501,'08_资产清单'!C86)=0),"资产引用对象不存在；","")&amp;IF(AND('08_资产清单'!E86&lt;&gt;"",COUNTIF('07_动态状态'!$A$2:$A$501,'08_资产清单'!E86)=0),"状态编码不存在；","")&amp;IF(AND('08_资产清单'!G86&lt;&gt;"",COUNTIF('08_资产清单'!$G$2:$G$501,'08_资产清单'!G86)&gt;1),"文件名重复；","")&amp;IF(AND('08_资产清单'!A86&lt;&gt;"",COUNTIF('08_资产清单'!$A$2:$A$501,'08_资产清单'!A86)&gt;1),"ID重复；",""),"")</f>
        <v/>
      </c>
      <c r="G3086" s="14">
        <f>IF(F3086&lt;&gt;"","按字段批注、数据字典和来源记录修正后复核","")</f>
        <v/>
      </c>
      <c r="H3086" s="14">
        <f>IF(F3086&lt;&gt;"","待处理","")</f>
        <v/>
      </c>
    </row>
    <row r="3087">
      <c r="A3087" s="14">
        <f>IF(F3087&lt;&gt;"","ISSUE-"&amp;TEXT(ROW()-1,"00000"),"")</f>
        <v/>
      </c>
      <c r="B3087" s="14">
        <f>IF(F3087&lt;&gt;"","错误","")</f>
        <v/>
      </c>
      <c r="C3087" s="14">
        <f>IF('08_资产清单'!A87&lt;&gt;"","08_资产清单","")</f>
        <v/>
      </c>
      <c r="D3087" s="14">
        <f>IF('08_资产清单'!A87&lt;&gt;"",'08_资产清单'!A87,"")</f>
        <v/>
      </c>
      <c r="E3087" s="14">
        <f>IF(F3087&lt;&gt;"","综合校验","")</f>
        <v/>
      </c>
      <c r="F3087" s="14">
        <f>IF('08_资产清单'!A87&lt;&gt;"",IF('08_资产清单'!A87="","缺少资产ID；","")&amp;IF('08_资产清单'!B87="","缺少资产名称；","")&amp;IF('08_资产清单'!C87="","缺少对象ID；","")&amp;IF('08_资产清单'!D87="","缺少资产类别；","")&amp;IF('08_资产清单'!G87="","缺少文件名；","")&amp;IF(AND('08_资产清单'!C87&lt;&gt;"",COUNTIF('02_固定地理'!$A$2:$A$501,'08_资产清单'!C87)+COUNTIF('03_地点锚点'!$A$2:$A$501,'08_资产清单'!C87)+COUNTIF('04_路径网络'!$A$2:$A$501,'08_资产清单'!C87)+COUNTIF('06_建筑锚点'!$A$2:$A$501,'08_资产清单'!C87)=0),"资产引用对象不存在；","")&amp;IF(AND('08_资产清单'!E87&lt;&gt;"",COUNTIF('07_动态状态'!$A$2:$A$501,'08_资产清单'!E87)=0),"状态编码不存在；","")&amp;IF(AND('08_资产清单'!G87&lt;&gt;"",COUNTIF('08_资产清单'!$G$2:$G$501,'08_资产清单'!G87)&gt;1),"文件名重复；","")&amp;IF(AND('08_资产清单'!A87&lt;&gt;"",COUNTIF('08_资产清单'!$A$2:$A$501,'08_资产清单'!A87)&gt;1),"ID重复；",""),"")</f>
        <v/>
      </c>
      <c r="G3087" s="14">
        <f>IF(F3087&lt;&gt;"","按字段批注、数据字典和来源记录修正后复核","")</f>
        <v/>
      </c>
      <c r="H3087" s="14">
        <f>IF(F3087&lt;&gt;"","待处理","")</f>
        <v/>
      </c>
    </row>
    <row r="3088">
      <c r="A3088" s="14">
        <f>IF(F3088&lt;&gt;"","ISSUE-"&amp;TEXT(ROW()-1,"00000"),"")</f>
        <v/>
      </c>
      <c r="B3088" s="14">
        <f>IF(F3088&lt;&gt;"","错误","")</f>
        <v/>
      </c>
      <c r="C3088" s="14">
        <f>IF('08_资产清单'!A88&lt;&gt;"","08_资产清单","")</f>
        <v/>
      </c>
      <c r="D3088" s="14">
        <f>IF('08_资产清单'!A88&lt;&gt;"",'08_资产清单'!A88,"")</f>
        <v/>
      </c>
      <c r="E3088" s="14">
        <f>IF(F3088&lt;&gt;"","综合校验","")</f>
        <v/>
      </c>
      <c r="F3088" s="14">
        <f>IF('08_资产清单'!A88&lt;&gt;"",IF('08_资产清单'!A88="","缺少资产ID；","")&amp;IF('08_资产清单'!B88="","缺少资产名称；","")&amp;IF('08_资产清单'!C88="","缺少对象ID；","")&amp;IF('08_资产清单'!D88="","缺少资产类别；","")&amp;IF('08_资产清单'!G88="","缺少文件名；","")&amp;IF(AND('08_资产清单'!C88&lt;&gt;"",COUNTIF('02_固定地理'!$A$2:$A$501,'08_资产清单'!C88)+COUNTIF('03_地点锚点'!$A$2:$A$501,'08_资产清单'!C88)+COUNTIF('04_路径网络'!$A$2:$A$501,'08_资产清单'!C88)+COUNTIF('06_建筑锚点'!$A$2:$A$501,'08_资产清单'!C88)=0),"资产引用对象不存在；","")&amp;IF(AND('08_资产清单'!E88&lt;&gt;"",COUNTIF('07_动态状态'!$A$2:$A$501,'08_资产清单'!E88)=0),"状态编码不存在；","")&amp;IF(AND('08_资产清单'!G88&lt;&gt;"",COUNTIF('08_资产清单'!$G$2:$G$501,'08_资产清单'!G88)&gt;1),"文件名重复；","")&amp;IF(AND('08_资产清单'!A88&lt;&gt;"",COUNTIF('08_资产清单'!$A$2:$A$501,'08_资产清单'!A88)&gt;1),"ID重复；",""),"")</f>
        <v/>
      </c>
      <c r="G3088" s="14">
        <f>IF(F3088&lt;&gt;"","按字段批注、数据字典和来源记录修正后复核","")</f>
        <v/>
      </c>
      <c r="H3088" s="14">
        <f>IF(F3088&lt;&gt;"","待处理","")</f>
        <v/>
      </c>
    </row>
    <row r="3089">
      <c r="A3089" s="14">
        <f>IF(F3089&lt;&gt;"","ISSUE-"&amp;TEXT(ROW()-1,"00000"),"")</f>
        <v/>
      </c>
      <c r="B3089" s="14">
        <f>IF(F3089&lt;&gt;"","错误","")</f>
        <v/>
      </c>
      <c r="C3089" s="14">
        <f>IF('08_资产清单'!A89&lt;&gt;"","08_资产清单","")</f>
        <v/>
      </c>
      <c r="D3089" s="14">
        <f>IF('08_资产清单'!A89&lt;&gt;"",'08_资产清单'!A89,"")</f>
        <v/>
      </c>
      <c r="E3089" s="14">
        <f>IF(F3089&lt;&gt;"","综合校验","")</f>
        <v/>
      </c>
      <c r="F3089" s="14">
        <f>IF('08_资产清单'!A89&lt;&gt;"",IF('08_资产清单'!A89="","缺少资产ID；","")&amp;IF('08_资产清单'!B89="","缺少资产名称；","")&amp;IF('08_资产清单'!C89="","缺少对象ID；","")&amp;IF('08_资产清单'!D89="","缺少资产类别；","")&amp;IF('08_资产清单'!G89="","缺少文件名；","")&amp;IF(AND('08_资产清单'!C89&lt;&gt;"",COUNTIF('02_固定地理'!$A$2:$A$501,'08_资产清单'!C89)+COUNTIF('03_地点锚点'!$A$2:$A$501,'08_资产清单'!C89)+COUNTIF('04_路径网络'!$A$2:$A$501,'08_资产清单'!C89)+COUNTIF('06_建筑锚点'!$A$2:$A$501,'08_资产清单'!C89)=0),"资产引用对象不存在；","")&amp;IF(AND('08_资产清单'!E89&lt;&gt;"",COUNTIF('07_动态状态'!$A$2:$A$501,'08_资产清单'!E89)=0),"状态编码不存在；","")&amp;IF(AND('08_资产清单'!G89&lt;&gt;"",COUNTIF('08_资产清单'!$G$2:$G$501,'08_资产清单'!G89)&gt;1),"文件名重复；","")&amp;IF(AND('08_资产清单'!A89&lt;&gt;"",COUNTIF('08_资产清单'!$A$2:$A$501,'08_资产清单'!A89)&gt;1),"ID重复；",""),"")</f>
        <v/>
      </c>
      <c r="G3089" s="14">
        <f>IF(F3089&lt;&gt;"","按字段批注、数据字典和来源记录修正后复核","")</f>
        <v/>
      </c>
      <c r="H3089" s="14">
        <f>IF(F3089&lt;&gt;"","待处理","")</f>
        <v/>
      </c>
    </row>
    <row r="3090">
      <c r="A3090" s="14">
        <f>IF(F3090&lt;&gt;"","ISSUE-"&amp;TEXT(ROW()-1,"00000"),"")</f>
        <v/>
      </c>
      <c r="B3090" s="14">
        <f>IF(F3090&lt;&gt;"","错误","")</f>
        <v/>
      </c>
      <c r="C3090" s="14">
        <f>IF('08_资产清单'!A90&lt;&gt;"","08_资产清单","")</f>
        <v/>
      </c>
      <c r="D3090" s="14">
        <f>IF('08_资产清单'!A90&lt;&gt;"",'08_资产清单'!A90,"")</f>
        <v/>
      </c>
      <c r="E3090" s="14">
        <f>IF(F3090&lt;&gt;"","综合校验","")</f>
        <v/>
      </c>
      <c r="F3090" s="14">
        <f>IF('08_资产清单'!A90&lt;&gt;"",IF('08_资产清单'!A90="","缺少资产ID；","")&amp;IF('08_资产清单'!B90="","缺少资产名称；","")&amp;IF('08_资产清单'!C90="","缺少对象ID；","")&amp;IF('08_资产清单'!D90="","缺少资产类别；","")&amp;IF('08_资产清单'!G90="","缺少文件名；","")&amp;IF(AND('08_资产清单'!C90&lt;&gt;"",COUNTIF('02_固定地理'!$A$2:$A$501,'08_资产清单'!C90)+COUNTIF('03_地点锚点'!$A$2:$A$501,'08_资产清单'!C90)+COUNTIF('04_路径网络'!$A$2:$A$501,'08_资产清单'!C90)+COUNTIF('06_建筑锚点'!$A$2:$A$501,'08_资产清单'!C90)=0),"资产引用对象不存在；","")&amp;IF(AND('08_资产清单'!E90&lt;&gt;"",COUNTIF('07_动态状态'!$A$2:$A$501,'08_资产清单'!E90)=0),"状态编码不存在；","")&amp;IF(AND('08_资产清单'!G90&lt;&gt;"",COUNTIF('08_资产清单'!$G$2:$G$501,'08_资产清单'!G90)&gt;1),"文件名重复；","")&amp;IF(AND('08_资产清单'!A90&lt;&gt;"",COUNTIF('08_资产清单'!$A$2:$A$501,'08_资产清单'!A90)&gt;1),"ID重复；",""),"")</f>
        <v/>
      </c>
      <c r="G3090" s="14">
        <f>IF(F3090&lt;&gt;"","按字段批注、数据字典和来源记录修正后复核","")</f>
        <v/>
      </c>
      <c r="H3090" s="14">
        <f>IF(F3090&lt;&gt;"","待处理","")</f>
        <v/>
      </c>
    </row>
    <row r="3091">
      <c r="A3091" s="14">
        <f>IF(F3091&lt;&gt;"","ISSUE-"&amp;TEXT(ROW()-1,"00000"),"")</f>
        <v/>
      </c>
      <c r="B3091" s="14">
        <f>IF(F3091&lt;&gt;"","错误","")</f>
        <v/>
      </c>
      <c r="C3091" s="14">
        <f>IF('08_资产清单'!A91&lt;&gt;"","08_资产清单","")</f>
        <v/>
      </c>
      <c r="D3091" s="14">
        <f>IF('08_资产清单'!A91&lt;&gt;"",'08_资产清单'!A91,"")</f>
        <v/>
      </c>
      <c r="E3091" s="14">
        <f>IF(F3091&lt;&gt;"","综合校验","")</f>
        <v/>
      </c>
      <c r="F3091" s="14">
        <f>IF('08_资产清单'!A91&lt;&gt;"",IF('08_资产清单'!A91="","缺少资产ID；","")&amp;IF('08_资产清单'!B91="","缺少资产名称；","")&amp;IF('08_资产清单'!C91="","缺少对象ID；","")&amp;IF('08_资产清单'!D91="","缺少资产类别；","")&amp;IF('08_资产清单'!G91="","缺少文件名；","")&amp;IF(AND('08_资产清单'!C91&lt;&gt;"",COUNTIF('02_固定地理'!$A$2:$A$501,'08_资产清单'!C91)+COUNTIF('03_地点锚点'!$A$2:$A$501,'08_资产清单'!C91)+COUNTIF('04_路径网络'!$A$2:$A$501,'08_资产清单'!C91)+COUNTIF('06_建筑锚点'!$A$2:$A$501,'08_资产清单'!C91)=0),"资产引用对象不存在；","")&amp;IF(AND('08_资产清单'!E91&lt;&gt;"",COUNTIF('07_动态状态'!$A$2:$A$501,'08_资产清单'!E91)=0),"状态编码不存在；","")&amp;IF(AND('08_资产清单'!G91&lt;&gt;"",COUNTIF('08_资产清单'!$G$2:$G$501,'08_资产清单'!G91)&gt;1),"文件名重复；","")&amp;IF(AND('08_资产清单'!A91&lt;&gt;"",COUNTIF('08_资产清单'!$A$2:$A$501,'08_资产清单'!A91)&gt;1),"ID重复；",""),"")</f>
        <v/>
      </c>
      <c r="G3091" s="14">
        <f>IF(F3091&lt;&gt;"","按字段批注、数据字典和来源记录修正后复核","")</f>
        <v/>
      </c>
      <c r="H3091" s="14">
        <f>IF(F3091&lt;&gt;"","待处理","")</f>
        <v/>
      </c>
    </row>
    <row r="3092">
      <c r="A3092" s="14">
        <f>IF(F3092&lt;&gt;"","ISSUE-"&amp;TEXT(ROW()-1,"00000"),"")</f>
        <v/>
      </c>
      <c r="B3092" s="14">
        <f>IF(F3092&lt;&gt;"","错误","")</f>
        <v/>
      </c>
      <c r="C3092" s="14">
        <f>IF('08_资产清单'!A92&lt;&gt;"","08_资产清单","")</f>
        <v/>
      </c>
      <c r="D3092" s="14">
        <f>IF('08_资产清单'!A92&lt;&gt;"",'08_资产清单'!A92,"")</f>
        <v/>
      </c>
      <c r="E3092" s="14">
        <f>IF(F3092&lt;&gt;"","综合校验","")</f>
        <v/>
      </c>
      <c r="F3092" s="14">
        <f>IF('08_资产清单'!A92&lt;&gt;"",IF('08_资产清单'!A92="","缺少资产ID；","")&amp;IF('08_资产清单'!B92="","缺少资产名称；","")&amp;IF('08_资产清单'!C92="","缺少对象ID；","")&amp;IF('08_资产清单'!D92="","缺少资产类别；","")&amp;IF('08_资产清单'!G92="","缺少文件名；","")&amp;IF(AND('08_资产清单'!C92&lt;&gt;"",COUNTIF('02_固定地理'!$A$2:$A$501,'08_资产清单'!C92)+COUNTIF('03_地点锚点'!$A$2:$A$501,'08_资产清单'!C92)+COUNTIF('04_路径网络'!$A$2:$A$501,'08_资产清单'!C92)+COUNTIF('06_建筑锚点'!$A$2:$A$501,'08_资产清单'!C92)=0),"资产引用对象不存在；","")&amp;IF(AND('08_资产清单'!E92&lt;&gt;"",COUNTIF('07_动态状态'!$A$2:$A$501,'08_资产清单'!E92)=0),"状态编码不存在；","")&amp;IF(AND('08_资产清单'!G92&lt;&gt;"",COUNTIF('08_资产清单'!$G$2:$G$501,'08_资产清单'!G92)&gt;1),"文件名重复；","")&amp;IF(AND('08_资产清单'!A92&lt;&gt;"",COUNTIF('08_资产清单'!$A$2:$A$501,'08_资产清单'!A92)&gt;1),"ID重复；",""),"")</f>
        <v/>
      </c>
      <c r="G3092" s="14">
        <f>IF(F3092&lt;&gt;"","按字段批注、数据字典和来源记录修正后复核","")</f>
        <v/>
      </c>
      <c r="H3092" s="14">
        <f>IF(F3092&lt;&gt;"","待处理","")</f>
        <v/>
      </c>
    </row>
    <row r="3093">
      <c r="A3093" s="14">
        <f>IF(F3093&lt;&gt;"","ISSUE-"&amp;TEXT(ROW()-1,"00000"),"")</f>
        <v/>
      </c>
      <c r="B3093" s="14">
        <f>IF(F3093&lt;&gt;"","错误","")</f>
        <v/>
      </c>
      <c r="C3093" s="14">
        <f>IF('08_资产清单'!A93&lt;&gt;"","08_资产清单","")</f>
        <v/>
      </c>
      <c r="D3093" s="14">
        <f>IF('08_资产清单'!A93&lt;&gt;"",'08_资产清单'!A93,"")</f>
        <v/>
      </c>
      <c r="E3093" s="14">
        <f>IF(F3093&lt;&gt;"","综合校验","")</f>
        <v/>
      </c>
      <c r="F3093" s="14">
        <f>IF('08_资产清单'!A93&lt;&gt;"",IF('08_资产清单'!A93="","缺少资产ID；","")&amp;IF('08_资产清单'!B93="","缺少资产名称；","")&amp;IF('08_资产清单'!C93="","缺少对象ID；","")&amp;IF('08_资产清单'!D93="","缺少资产类别；","")&amp;IF('08_资产清单'!G93="","缺少文件名；","")&amp;IF(AND('08_资产清单'!C93&lt;&gt;"",COUNTIF('02_固定地理'!$A$2:$A$501,'08_资产清单'!C93)+COUNTIF('03_地点锚点'!$A$2:$A$501,'08_资产清单'!C93)+COUNTIF('04_路径网络'!$A$2:$A$501,'08_资产清单'!C93)+COUNTIF('06_建筑锚点'!$A$2:$A$501,'08_资产清单'!C93)=0),"资产引用对象不存在；","")&amp;IF(AND('08_资产清单'!E93&lt;&gt;"",COUNTIF('07_动态状态'!$A$2:$A$501,'08_资产清单'!E93)=0),"状态编码不存在；","")&amp;IF(AND('08_资产清单'!G93&lt;&gt;"",COUNTIF('08_资产清单'!$G$2:$G$501,'08_资产清单'!G93)&gt;1),"文件名重复；","")&amp;IF(AND('08_资产清单'!A93&lt;&gt;"",COUNTIF('08_资产清单'!$A$2:$A$501,'08_资产清单'!A93)&gt;1),"ID重复；",""),"")</f>
        <v/>
      </c>
      <c r="G3093" s="14">
        <f>IF(F3093&lt;&gt;"","按字段批注、数据字典和来源记录修正后复核","")</f>
        <v/>
      </c>
      <c r="H3093" s="14">
        <f>IF(F3093&lt;&gt;"","待处理","")</f>
        <v/>
      </c>
    </row>
    <row r="3094">
      <c r="A3094" s="14">
        <f>IF(F3094&lt;&gt;"","ISSUE-"&amp;TEXT(ROW()-1,"00000"),"")</f>
        <v/>
      </c>
      <c r="B3094" s="14">
        <f>IF(F3094&lt;&gt;"","错误","")</f>
        <v/>
      </c>
      <c r="C3094" s="14">
        <f>IF('08_资产清单'!A94&lt;&gt;"","08_资产清单","")</f>
        <v/>
      </c>
      <c r="D3094" s="14">
        <f>IF('08_资产清单'!A94&lt;&gt;"",'08_资产清单'!A94,"")</f>
        <v/>
      </c>
      <c r="E3094" s="14">
        <f>IF(F3094&lt;&gt;"","综合校验","")</f>
        <v/>
      </c>
      <c r="F3094" s="14">
        <f>IF('08_资产清单'!A94&lt;&gt;"",IF('08_资产清单'!A94="","缺少资产ID；","")&amp;IF('08_资产清单'!B94="","缺少资产名称；","")&amp;IF('08_资产清单'!C94="","缺少对象ID；","")&amp;IF('08_资产清单'!D94="","缺少资产类别；","")&amp;IF('08_资产清单'!G94="","缺少文件名；","")&amp;IF(AND('08_资产清单'!C94&lt;&gt;"",COUNTIF('02_固定地理'!$A$2:$A$501,'08_资产清单'!C94)+COUNTIF('03_地点锚点'!$A$2:$A$501,'08_资产清单'!C94)+COUNTIF('04_路径网络'!$A$2:$A$501,'08_资产清单'!C94)+COUNTIF('06_建筑锚点'!$A$2:$A$501,'08_资产清单'!C94)=0),"资产引用对象不存在；","")&amp;IF(AND('08_资产清单'!E94&lt;&gt;"",COUNTIF('07_动态状态'!$A$2:$A$501,'08_资产清单'!E94)=0),"状态编码不存在；","")&amp;IF(AND('08_资产清单'!G94&lt;&gt;"",COUNTIF('08_资产清单'!$G$2:$G$501,'08_资产清单'!G94)&gt;1),"文件名重复；","")&amp;IF(AND('08_资产清单'!A94&lt;&gt;"",COUNTIF('08_资产清单'!$A$2:$A$501,'08_资产清单'!A94)&gt;1),"ID重复；",""),"")</f>
        <v/>
      </c>
      <c r="G3094" s="14">
        <f>IF(F3094&lt;&gt;"","按字段批注、数据字典和来源记录修正后复核","")</f>
        <v/>
      </c>
      <c r="H3094" s="14">
        <f>IF(F3094&lt;&gt;"","待处理","")</f>
        <v/>
      </c>
    </row>
    <row r="3095">
      <c r="A3095" s="14">
        <f>IF(F3095&lt;&gt;"","ISSUE-"&amp;TEXT(ROW()-1,"00000"),"")</f>
        <v/>
      </c>
      <c r="B3095" s="14">
        <f>IF(F3095&lt;&gt;"","错误","")</f>
        <v/>
      </c>
      <c r="C3095" s="14">
        <f>IF('08_资产清单'!A95&lt;&gt;"","08_资产清单","")</f>
        <v/>
      </c>
      <c r="D3095" s="14">
        <f>IF('08_资产清单'!A95&lt;&gt;"",'08_资产清单'!A95,"")</f>
        <v/>
      </c>
      <c r="E3095" s="14">
        <f>IF(F3095&lt;&gt;"","综合校验","")</f>
        <v/>
      </c>
      <c r="F3095" s="14">
        <f>IF('08_资产清单'!A95&lt;&gt;"",IF('08_资产清单'!A95="","缺少资产ID；","")&amp;IF('08_资产清单'!B95="","缺少资产名称；","")&amp;IF('08_资产清单'!C95="","缺少对象ID；","")&amp;IF('08_资产清单'!D95="","缺少资产类别；","")&amp;IF('08_资产清单'!G95="","缺少文件名；","")&amp;IF(AND('08_资产清单'!C95&lt;&gt;"",COUNTIF('02_固定地理'!$A$2:$A$501,'08_资产清单'!C95)+COUNTIF('03_地点锚点'!$A$2:$A$501,'08_资产清单'!C95)+COUNTIF('04_路径网络'!$A$2:$A$501,'08_资产清单'!C95)+COUNTIF('06_建筑锚点'!$A$2:$A$501,'08_资产清单'!C95)=0),"资产引用对象不存在；","")&amp;IF(AND('08_资产清单'!E95&lt;&gt;"",COUNTIF('07_动态状态'!$A$2:$A$501,'08_资产清单'!E95)=0),"状态编码不存在；","")&amp;IF(AND('08_资产清单'!G95&lt;&gt;"",COUNTIF('08_资产清单'!$G$2:$G$501,'08_资产清单'!G95)&gt;1),"文件名重复；","")&amp;IF(AND('08_资产清单'!A95&lt;&gt;"",COUNTIF('08_资产清单'!$A$2:$A$501,'08_资产清单'!A95)&gt;1),"ID重复；",""),"")</f>
        <v/>
      </c>
      <c r="G3095" s="14">
        <f>IF(F3095&lt;&gt;"","按字段批注、数据字典和来源记录修正后复核","")</f>
        <v/>
      </c>
      <c r="H3095" s="14">
        <f>IF(F3095&lt;&gt;"","待处理","")</f>
        <v/>
      </c>
    </row>
    <row r="3096">
      <c r="A3096" s="14">
        <f>IF(F3096&lt;&gt;"","ISSUE-"&amp;TEXT(ROW()-1,"00000"),"")</f>
        <v/>
      </c>
      <c r="B3096" s="14">
        <f>IF(F3096&lt;&gt;"","错误","")</f>
        <v/>
      </c>
      <c r="C3096" s="14">
        <f>IF('08_资产清单'!A96&lt;&gt;"","08_资产清单","")</f>
        <v/>
      </c>
      <c r="D3096" s="14">
        <f>IF('08_资产清单'!A96&lt;&gt;"",'08_资产清单'!A96,"")</f>
        <v/>
      </c>
      <c r="E3096" s="14">
        <f>IF(F3096&lt;&gt;"","综合校验","")</f>
        <v/>
      </c>
      <c r="F3096" s="14">
        <f>IF('08_资产清单'!A96&lt;&gt;"",IF('08_资产清单'!A96="","缺少资产ID；","")&amp;IF('08_资产清单'!B96="","缺少资产名称；","")&amp;IF('08_资产清单'!C96="","缺少对象ID；","")&amp;IF('08_资产清单'!D96="","缺少资产类别；","")&amp;IF('08_资产清单'!G96="","缺少文件名；","")&amp;IF(AND('08_资产清单'!C96&lt;&gt;"",COUNTIF('02_固定地理'!$A$2:$A$501,'08_资产清单'!C96)+COUNTIF('03_地点锚点'!$A$2:$A$501,'08_资产清单'!C96)+COUNTIF('04_路径网络'!$A$2:$A$501,'08_资产清单'!C96)+COUNTIF('06_建筑锚点'!$A$2:$A$501,'08_资产清单'!C96)=0),"资产引用对象不存在；","")&amp;IF(AND('08_资产清单'!E96&lt;&gt;"",COUNTIF('07_动态状态'!$A$2:$A$501,'08_资产清单'!E96)=0),"状态编码不存在；","")&amp;IF(AND('08_资产清单'!G96&lt;&gt;"",COUNTIF('08_资产清单'!$G$2:$G$501,'08_资产清单'!G96)&gt;1),"文件名重复；","")&amp;IF(AND('08_资产清单'!A96&lt;&gt;"",COUNTIF('08_资产清单'!$A$2:$A$501,'08_资产清单'!A96)&gt;1),"ID重复；",""),"")</f>
        <v/>
      </c>
      <c r="G3096" s="14">
        <f>IF(F3096&lt;&gt;"","按字段批注、数据字典和来源记录修正后复核","")</f>
        <v/>
      </c>
      <c r="H3096" s="14">
        <f>IF(F3096&lt;&gt;"","待处理","")</f>
        <v/>
      </c>
    </row>
    <row r="3097">
      <c r="A3097" s="14">
        <f>IF(F3097&lt;&gt;"","ISSUE-"&amp;TEXT(ROW()-1,"00000"),"")</f>
        <v/>
      </c>
      <c r="B3097" s="14">
        <f>IF(F3097&lt;&gt;"","错误","")</f>
        <v/>
      </c>
      <c r="C3097" s="14">
        <f>IF('08_资产清单'!A97&lt;&gt;"","08_资产清单","")</f>
        <v/>
      </c>
      <c r="D3097" s="14">
        <f>IF('08_资产清单'!A97&lt;&gt;"",'08_资产清单'!A97,"")</f>
        <v/>
      </c>
      <c r="E3097" s="14">
        <f>IF(F3097&lt;&gt;"","综合校验","")</f>
        <v/>
      </c>
      <c r="F3097" s="14">
        <f>IF('08_资产清单'!A97&lt;&gt;"",IF('08_资产清单'!A97="","缺少资产ID；","")&amp;IF('08_资产清单'!B97="","缺少资产名称；","")&amp;IF('08_资产清单'!C97="","缺少对象ID；","")&amp;IF('08_资产清单'!D97="","缺少资产类别；","")&amp;IF('08_资产清单'!G97="","缺少文件名；","")&amp;IF(AND('08_资产清单'!C97&lt;&gt;"",COUNTIF('02_固定地理'!$A$2:$A$501,'08_资产清单'!C97)+COUNTIF('03_地点锚点'!$A$2:$A$501,'08_资产清单'!C97)+COUNTIF('04_路径网络'!$A$2:$A$501,'08_资产清单'!C97)+COUNTIF('06_建筑锚点'!$A$2:$A$501,'08_资产清单'!C97)=0),"资产引用对象不存在；","")&amp;IF(AND('08_资产清单'!E97&lt;&gt;"",COUNTIF('07_动态状态'!$A$2:$A$501,'08_资产清单'!E97)=0),"状态编码不存在；","")&amp;IF(AND('08_资产清单'!G97&lt;&gt;"",COUNTIF('08_资产清单'!$G$2:$G$501,'08_资产清单'!G97)&gt;1),"文件名重复；","")&amp;IF(AND('08_资产清单'!A97&lt;&gt;"",COUNTIF('08_资产清单'!$A$2:$A$501,'08_资产清单'!A97)&gt;1),"ID重复；",""),"")</f>
        <v/>
      </c>
      <c r="G3097" s="14">
        <f>IF(F3097&lt;&gt;"","按字段批注、数据字典和来源记录修正后复核","")</f>
        <v/>
      </c>
      <c r="H3097" s="14">
        <f>IF(F3097&lt;&gt;"","待处理","")</f>
        <v/>
      </c>
    </row>
    <row r="3098">
      <c r="A3098" s="14">
        <f>IF(F3098&lt;&gt;"","ISSUE-"&amp;TEXT(ROW()-1,"00000"),"")</f>
        <v/>
      </c>
      <c r="B3098" s="14">
        <f>IF(F3098&lt;&gt;"","错误","")</f>
        <v/>
      </c>
      <c r="C3098" s="14">
        <f>IF('08_资产清单'!A98&lt;&gt;"","08_资产清单","")</f>
        <v/>
      </c>
      <c r="D3098" s="14">
        <f>IF('08_资产清单'!A98&lt;&gt;"",'08_资产清单'!A98,"")</f>
        <v/>
      </c>
      <c r="E3098" s="14">
        <f>IF(F3098&lt;&gt;"","综合校验","")</f>
        <v/>
      </c>
      <c r="F3098" s="14">
        <f>IF('08_资产清单'!A98&lt;&gt;"",IF('08_资产清单'!A98="","缺少资产ID；","")&amp;IF('08_资产清单'!B98="","缺少资产名称；","")&amp;IF('08_资产清单'!C98="","缺少对象ID；","")&amp;IF('08_资产清单'!D98="","缺少资产类别；","")&amp;IF('08_资产清单'!G98="","缺少文件名；","")&amp;IF(AND('08_资产清单'!C98&lt;&gt;"",COUNTIF('02_固定地理'!$A$2:$A$501,'08_资产清单'!C98)+COUNTIF('03_地点锚点'!$A$2:$A$501,'08_资产清单'!C98)+COUNTIF('04_路径网络'!$A$2:$A$501,'08_资产清单'!C98)+COUNTIF('06_建筑锚点'!$A$2:$A$501,'08_资产清单'!C98)=0),"资产引用对象不存在；","")&amp;IF(AND('08_资产清单'!E98&lt;&gt;"",COUNTIF('07_动态状态'!$A$2:$A$501,'08_资产清单'!E98)=0),"状态编码不存在；","")&amp;IF(AND('08_资产清单'!G98&lt;&gt;"",COUNTIF('08_资产清单'!$G$2:$G$501,'08_资产清单'!G98)&gt;1),"文件名重复；","")&amp;IF(AND('08_资产清单'!A98&lt;&gt;"",COUNTIF('08_资产清单'!$A$2:$A$501,'08_资产清单'!A98)&gt;1),"ID重复；",""),"")</f>
        <v/>
      </c>
      <c r="G3098" s="14">
        <f>IF(F3098&lt;&gt;"","按字段批注、数据字典和来源记录修正后复核","")</f>
        <v/>
      </c>
      <c r="H3098" s="14">
        <f>IF(F3098&lt;&gt;"","待处理","")</f>
        <v/>
      </c>
    </row>
    <row r="3099">
      <c r="A3099" s="14">
        <f>IF(F3099&lt;&gt;"","ISSUE-"&amp;TEXT(ROW()-1,"00000"),"")</f>
        <v/>
      </c>
      <c r="B3099" s="14">
        <f>IF(F3099&lt;&gt;"","错误","")</f>
        <v/>
      </c>
      <c r="C3099" s="14">
        <f>IF('08_资产清单'!A99&lt;&gt;"","08_资产清单","")</f>
        <v/>
      </c>
      <c r="D3099" s="14">
        <f>IF('08_资产清单'!A99&lt;&gt;"",'08_资产清单'!A99,"")</f>
        <v/>
      </c>
      <c r="E3099" s="14">
        <f>IF(F3099&lt;&gt;"","综合校验","")</f>
        <v/>
      </c>
      <c r="F3099" s="14">
        <f>IF('08_资产清单'!A99&lt;&gt;"",IF('08_资产清单'!A99="","缺少资产ID；","")&amp;IF('08_资产清单'!B99="","缺少资产名称；","")&amp;IF('08_资产清单'!C99="","缺少对象ID；","")&amp;IF('08_资产清单'!D99="","缺少资产类别；","")&amp;IF('08_资产清单'!G99="","缺少文件名；","")&amp;IF(AND('08_资产清单'!C99&lt;&gt;"",COUNTIF('02_固定地理'!$A$2:$A$501,'08_资产清单'!C99)+COUNTIF('03_地点锚点'!$A$2:$A$501,'08_资产清单'!C99)+COUNTIF('04_路径网络'!$A$2:$A$501,'08_资产清单'!C99)+COUNTIF('06_建筑锚点'!$A$2:$A$501,'08_资产清单'!C99)=0),"资产引用对象不存在；","")&amp;IF(AND('08_资产清单'!E99&lt;&gt;"",COUNTIF('07_动态状态'!$A$2:$A$501,'08_资产清单'!E99)=0),"状态编码不存在；","")&amp;IF(AND('08_资产清单'!G99&lt;&gt;"",COUNTIF('08_资产清单'!$G$2:$G$501,'08_资产清单'!G99)&gt;1),"文件名重复；","")&amp;IF(AND('08_资产清单'!A99&lt;&gt;"",COUNTIF('08_资产清单'!$A$2:$A$501,'08_资产清单'!A99)&gt;1),"ID重复；",""),"")</f>
        <v/>
      </c>
      <c r="G3099" s="14">
        <f>IF(F3099&lt;&gt;"","按字段批注、数据字典和来源记录修正后复核","")</f>
        <v/>
      </c>
      <c r="H3099" s="14">
        <f>IF(F3099&lt;&gt;"","待处理","")</f>
        <v/>
      </c>
    </row>
    <row r="3100">
      <c r="A3100" s="14">
        <f>IF(F3100&lt;&gt;"","ISSUE-"&amp;TEXT(ROW()-1,"00000"),"")</f>
        <v/>
      </c>
      <c r="B3100" s="14">
        <f>IF(F3100&lt;&gt;"","错误","")</f>
        <v/>
      </c>
      <c r="C3100" s="14">
        <f>IF('08_资产清单'!A100&lt;&gt;"","08_资产清单","")</f>
        <v/>
      </c>
      <c r="D3100" s="14">
        <f>IF('08_资产清单'!A100&lt;&gt;"",'08_资产清单'!A100,"")</f>
        <v/>
      </c>
      <c r="E3100" s="14">
        <f>IF(F3100&lt;&gt;"","综合校验","")</f>
        <v/>
      </c>
      <c r="F3100" s="14">
        <f>IF('08_资产清单'!A100&lt;&gt;"",IF('08_资产清单'!A100="","缺少资产ID；","")&amp;IF('08_资产清单'!B100="","缺少资产名称；","")&amp;IF('08_资产清单'!C100="","缺少对象ID；","")&amp;IF('08_资产清单'!D100="","缺少资产类别；","")&amp;IF('08_资产清单'!G100="","缺少文件名；","")&amp;IF(AND('08_资产清单'!C100&lt;&gt;"",COUNTIF('02_固定地理'!$A$2:$A$501,'08_资产清单'!C100)+COUNTIF('03_地点锚点'!$A$2:$A$501,'08_资产清单'!C100)+COUNTIF('04_路径网络'!$A$2:$A$501,'08_资产清单'!C100)+COUNTIF('06_建筑锚点'!$A$2:$A$501,'08_资产清单'!C100)=0),"资产引用对象不存在；","")&amp;IF(AND('08_资产清单'!E100&lt;&gt;"",COUNTIF('07_动态状态'!$A$2:$A$501,'08_资产清单'!E100)=0),"状态编码不存在；","")&amp;IF(AND('08_资产清单'!G100&lt;&gt;"",COUNTIF('08_资产清单'!$G$2:$G$501,'08_资产清单'!G100)&gt;1),"文件名重复；","")&amp;IF(AND('08_资产清单'!A100&lt;&gt;"",COUNTIF('08_资产清单'!$A$2:$A$501,'08_资产清单'!A100)&gt;1),"ID重复；",""),"")</f>
        <v/>
      </c>
      <c r="G3100" s="14">
        <f>IF(F3100&lt;&gt;"","按字段批注、数据字典和来源记录修正后复核","")</f>
        <v/>
      </c>
      <c r="H3100" s="14">
        <f>IF(F3100&lt;&gt;"","待处理","")</f>
        <v/>
      </c>
    </row>
    <row r="3101">
      <c r="A3101" s="14">
        <f>IF(F3101&lt;&gt;"","ISSUE-"&amp;TEXT(ROW()-1,"00000"),"")</f>
        <v/>
      </c>
      <c r="B3101" s="14">
        <f>IF(F3101&lt;&gt;"","错误","")</f>
        <v/>
      </c>
      <c r="C3101" s="14">
        <f>IF('08_资产清单'!A101&lt;&gt;"","08_资产清单","")</f>
        <v/>
      </c>
      <c r="D3101" s="14">
        <f>IF('08_资产清单'!A101&lt;&gt;"",'08_资产清单'!A101,"")</f>
        <v/>
      </c>
      <c r="E3101" s="14">
        <f>IF(F3101&lt;&gt;"","综合校验","")</f>
        <v/>
      </c>
      <c r="F3101" s="14">
        <f>IF('08_资产清单'!A101&lt;&gt;"",IF('08_资产清单'!A101="","缺少资产ID；","")&amp;IF('08_资产清单'!B101="","缺少资产名称；","")&amp;IF('08_资产清单'!C101="","缺少对象ID；","")&amp;IF('08_资产清单'!D101="","缺少资产类别；","")&amp;IF('08_资产清单'!G101="","缺少文件名；","")&amp;IF(AND('08_资产清单'!C101&lt;&gt;"",COUNTIF('02_固定地理'!$A$2:$A$501,'08_资产清单'!C101)+COUNTIF('03_地点锚点'!$A$2:$A$501,'08_资产清单'!C101)+COUNTIF('04_路径网络'!$A$2:$A$501,'08_资产清单'!C101)+COUNTIF('06_建筑锚点'!$A$2:$A$501,'08_资产清单'!C101)=0),"资产引用对象不存在；","")&amp;IF(AND('08_资产清单'!E101&lt;&gt;"",COUNTIF('07_动态状态'!$A$2:$A$501,'08_资产清单'!E101)=0),"状态编码不存在；","")&amp;IF(AND('08_资产清单'!G101&lt;&gt;"",COUNTIF('08_资产清单'!$G$2:$G$501,'08_资产清单'!G101)&gt;1),"文件名重复；","")&amp;IF(AND('08_资产清单'!A101&lt;&gt;"",COUNTIF('08_资产清单'!$A$2:$A$501,'08_资产清单'!A101)&gt;1),"ID重复；",""),"")</f>
        <v/>
      </c>
      <c r="G3101" s="14">
        <f>IF(F3101&lt;&gt;"","按字段批注、数据字典和来源记录修正后复核","")</f>
        <v/>
      </c>
      <c r="H3101" s="14">
        <f>IF(F3101&lt;&gt;"","待处理","")</f>
        <v/>
      </c>
    </row>
    <row r="3102">
      <c r="A3102" s="14">
        <f>IF(F3102&lt;&gt;"","ISSUE-"&amp;TEXT(ROW()-1,"00000"),"")</f>
        <v/>
      </c>
      <c r="B3102" s="14">
        <f>IF(F3102&lt;&gt;"","错误","")</f>
        <v/>
      </c>
      <c r="C3102" s="14">
        <f>IF('08_资产清单'!A102&lt;&gt;"","08_资产清单","")</f>
        <v/>
      </c>
      <c r="D3102" s="14">
        <f>IF('08_资产清单'!A102&lt;&gt;"",'08_资产清单'!A102,"")</f>
        <v/>
      </c>
      <c r="E3102" s="14">
        <f>IF(F3102&lt;&gt;"","综合校验","")</f>
        <v/>
      </c>
      <c r="F3102" s="14">
        <f>IF('08_资产清单'!A102&lt;&gt;"",IF('08_资产清单'!A102="","缺少资产ID；","")&amp;IF('08_资产清单'!B102="","缺少资产名称；","")&amp;IF('08_资产清单'!C102="","缺少对象ID；","")&amp;IF('08_资产清单'!D102="","缺少资产类别；","")&amp;IF('08_资产清单'!G102="","缺少文件名；","")&amp;IF(AND('08_资产清单'!C102&lt;&gt;"",COUNTIF('02_固定地理'!$A$2:$A$501,'08_资产清单'!C102)+COUNTIF('03_地点锚点'!$A$2:$A$501,'08_资产清单'!C102)+COUNTIF('04_路径网络'!$A$2:$A$501,'08_资产清单'!C102)+COUNTIF('06_建筑锚点'!$A$2:$A$501,'08_资产清单'!C102)=0),"资产引用对象不存在；","")&amp;IF(AND('08_资产清单'!E102&lt;&gt;"",COUNTIF('07_动态状态'!$A$2:$A$501,'08_资产清单'!E102)=0),"状态编码不存在；","")&amp;IF(AND('08_资产清单'!G102&lt;&gt;"",COUNTIF('08_资产清单'!$G$2:$G$501,'08_资产清单'!G102)&gt;1),"文件名重复；","")&amp;IF(AND('08_资产清单'!A102&lt;&gt;"",COUNTIF('08_资产清单'!$A$2:$A$501,'08_资产清单'!A102)&gt;1),"ID重复；",""),"")</f>
        <v/>
      </c>
      <c r="G3102" s="14">
        <f>IF(F3102&lt;&gt;"","按字段批注、数据字典和来源记录修正后复核","")</f>
        <v/>
      </c>
      <c r="H3102" s="14">
        <f>IF(F3102&lt;&gt;"","待处理","")</f>
        <v/>
      </c>
    </row>
    <row r="3103">
      <c r="A3103" s="14">
        <f>IF(F3103&lt;&gt;"","ISSUE-"&amp;TEXT(ROW()-1,"00000"),"")</f>
        <v/>
      </c>
      <c r="B3103" s="14">
        <f>IF(F3103&lt;&gt;"","错误","")</f>
        <v/>
      </c>
      <c r="C3103" s="14">
        <f>IF('08_资产清单'!A103&lt;&gt;"","08_资产清单","")</f>
        <v/>
      </c>
      <c r="D3103" s="14">
        <f>IF('08_资产清单'!A103&lt;&gt;"",'08_资产清单'!A103,"")</f>
        <v/>
      </c>
      <c r="E3103" s="14">
        <f>IF(F3103&lt;&gt;"","综合校验","")</f>
        <v/>
      </c>
      <c r="F3103" s="14">
        <f>IF('08_资产清单'!A103&lt;&gt;"",IF('08_资产清单'!A103="","缺少资产ID；","")&amp;IF('08_资产清单'!B103="","缺少资产名称；","")&amp;IF('08_资产清单'!C103="","缺少对象ID；","")&amp;IF('08_资产清单'!D103="","缺少资产类别；","")&amp;IF('08_资产清单'!G103="","缺少文件名；","")&amp;IF(AND('08_资产清单'!C103&lt;&gt;"",COUNTIF('02_固定地理'!$A$2:$A$501,'08_资产清单'!C103)+COUNTIF('03_地点锚点'!$A$2:$A$501,'08_资产清单'!C103)+COUNTIF('04_路径网络'!$A$2:$A$501,'08_资产清单'!C103)+COUNTIF('06_建筑锚点'!$A$2:$A$501,'08_资产清单'!C103)=0),"资产引用对象不存在；","")&amp;IF(AND('08_资产清单'!E103&lt;&gt;"",COUNTIF('07_动态状态'!$A$2:$A$501,'08_资产清单'!E103)=0),"状态编码不存在；","")&amp;IF(AND('08_资产清单'!G103&lt;&gt;"",COUNTIF('08_资产清单'!$G$2:$G$501,'08_资产清单'!G103)&gt;1),"文件名重复；","")&amp;IF(AND('08_资产清单'!A103&lt;&gt;"",COUNTIF('08_资产清单'!$A$2:$A$501,'08_资产清单'!A103)&gt;1),"ID重复；",""),"")</f>
        <v/>
      </c>
      <c r="G3103" s="14">
        <f>IF(F3103&lt;&gt;"","按字段批注、数据字典和来源记录修正后复核","")</f>
        <v/>
      </c>
      <c r="H3103" s="14">
        <f>IF(F3103&lt;&gt;"","待处理","")</f>
        <v/>
      </c>
    </row>
    <row r="3104">
      <c r="A3104" s="14">
        <f>IF(F3104&lt;&gt;"","ISSUE-"&amp;TEXT(ROW()-1,"00000"),"")</f>
        <v/>
      </c>
      <c r="B3104" s="14">
        <f>IF(F3104&lt;&gt;"","错误","")</f>
        <v/>
      </c>
      <c r="C3104" s="14">
        <f>IF('08_资产清单'!A104&lt;&gt;"","08_资产清单","")</f>
        <v/>
      </c>
      <c r="D3104" s="14">
        <f>IF('08_资产清单'!A104&lt;&gt;"",'08_资产清单'!A104,"")</f>
        <v/>
      </c>
      <c r="E3104" s="14">
        <f>IF(F3104&lt;&gt;"","综合校验","")</f>
        <v/>
      </c>
      <c r="F3104" s="14">
        <f>IF('08_资产清单'!A104&lt;&gt;"",IF('08_资产清单'!A104="","缺少资产ID；","")&amp;IF('08_资产清单'!B104="","缺少资产名称；","")&amp;IF('08_资产清单'!C104="","缺少对象ID；","")&amp;IF('08_资产清单'!D104="","缺少资产类别；","")&amp;IF('08_资产清单'!G104="","缺少文件名；","")&amp;IF(AND('08_资产清单'!C104&lt;&gt;"",COUNTIF('02_固定地理'!$A$2:$A$501,'08_资产清单'!C104)+COUNTIF('03_地点锚点'!$A$2:$A$501,'08_资产清单'!C104)+COUNTIF('04_路径网络'!$A$2:$A$501,'08_资产清单'!C104)+COUNTIF('06_建筑锚点'!$A$2:$A$501,'08_资产清单'!C104)=0),"资产引用对象不存在；","")&amp;IF(AND('08_资产清单'!E104&lt;&gt;"",COUNTIF('07_动态状态'!$A$2:$A$501,'08_资产清单'!E104)=0),"状态编码不存在；","")&amp;IF(AND('08_资产清单'!G104&lt;&gt;"",COUNTIF('08_资产清单'!$G$2:$G$501,'08_资产清单'!G104)&gt;1),"文件名重复；","")&amp;IF(AND('08_资产清单'!A104&lt;&gt;"",COUNTIF('08_资产清单'!$A$2:$A$501,'08_资产清单'!A104)&gt;1),"ID重复；",""),"")</f>
        <v/>
      </c>
      <c r="G3104" s="14">
        <f>IF(F3104&lt;&gt;"","按字段批注、数据字典和来源记录修正后复核","")</f>
        <v/>
      </c>
      <c r="H3104" s="14">
        <f>IF(F3104&lt;&gt;"","待处理","")</f>
        <v/>
      </c>
    </row>
    <row r="3105">
      <c r="A3105" s="14">
        <f>IF(F3105&lt;&gt;"","ISSUE-"&amp;TEXT(ROW()-1,"00000"),"")</f>
        <v/>
      </c>
      <c r="B3105" s="14">
        <f>IF(F3105&lt;&gt;"","错误","")</f>
        <v/>
      </c>
      <c r="C3105" s="14">
        <f>IF('08_资产清单'!A105&lt;&gt;"","08_资产清单","")</f>
        <v/>
      </c>
      <c r="D3105" s="14">
        <f>IF('08_资产清单'!A105&lt;&gt;"",'08_资产清单'!A105,"")</f>
        <v/>
      </c>
      <c r="E3105" s="14">
        <f>IF(F3105&lt;&gt;"","综合校验","")</f>
        <v/>
      </c>
      <c r="F3105" s="14">
        <f>IF('08_资产清单'!A105&lt;&gt;"",IF('08_资产清单'!A105="","缺少资产ID；","")&amp;IF('08_资产清单'!B105="","缺少资产名称；","")&amp;IF('08_资产清单'!C105="","缺少对象ID；","")&amp;IF('08_资产清单'!D105="","缺少资产类别；","")&amp;IF('08_资产清单'!G105="","缺少文件名；","")&amp;IF(AND('08_资产清单'!C105&lt;&gt;"",COUNTIF('02_固定地理'!$A$2:$A$501,'08_资产清单'!C105)+COUNTIF('03_地点锚点'!$A$2:$A$501,'08_资产清单'!C105)+COUNTIF('04_路径网络'!$A$2:$A$501,'08_资产清单'!C105)+COUNTIF('06_建筑锚点'!$A$2:$A$501,'08_资产清单'!C105)=0),"资产引用对象不存在；","")&amp;IF(AND('08_资产清单'!E105&lt;&gt;"",COUNTIF('07_动态状态'!$A$2:$A$501,'08_资产清单'!E105)=0),"状态编码不存在；","")&amp;IF(AND('08_资产清单'!G105&lt;&gt;"",COUNTIF('08_资产清单'!$G$2:$G$501,'08_资产清单'!G105)&gt;1),"文件名重复；","")&amp;IF(AND('08_资产清单'!A105&lt;&gt;"",COUNTIF('08_资产清单'!$A$2:$A$501,'08_资产清单'!A105)&gt;1),"ID重复；",""),"")</f>
        <v/>
      </c>
      <c r="G3105" s="14">
        <f>IF(F3105&lt;&gt;"","按字段批注、数据字典和来源记录修正后复核","")</f>
        <v/>
      </c>
      <c r="H3105" s="14">
        <f>IF(F3105&lt;&gt;"","待处理","")</f>
        <v/>
      </c>
    </row>
    <row r="3106">
      <c r="A3106" s="14">
        <f>IF(F3106&lt;&gt;"","ISSUE-"&amp;TEXT(ROW()-1,"00000"),"")</f>
        <v/>
      </c>
      <c r="B3106" s="14">
        <f>IF(F3106&lt;&gt;"","错误","")</f>
        <v/>
      </c>
      <c r="C3106" s="14">
        <f>IF('08_资产清单'!A106&lt;&gt;"","08_资产清单","")</f>
        <v/>
      </c>
      <c r="D3106" s="14">
        <f>IF('08_资产清单'!A106&lt;&gt;"",'08_资产清单'!A106,"")</f>
        <v/>
      </c>
      <c r="E3106" s="14">
        <f>IF(F3106&lt;&gt;"","综合校验","")</f>
        <v/>
      </c>
      <c r="F3106" s="14">
        <f>IF('08_资产清单'!A106&lt;&gt;"",IF('08_资产清单'!A106="","缺少资产ID；","")&amp;IF('08_资产清单'!B106="","缺少资产名称；","")&amp;IF('08_资产清单'!C106="","缺少对象ID；","")&amp;IF('08_资产清单'!D106="","缺少资产类别；","")&amp;IF('08_资产清单'!G106="","缺少文件名；","")&amp;IF(AND('08_资产清单'!C106&lt;&gt;"",COUNTIF('02_固定地理'!$A$2:$A$501,'08_资产清单'!C106)+COUNTIF('03_地点锚点'!$A$2:$A$501,'08_资产清单'!C106)+COUNTIF('04_路径网络'!$A$2:$A$501,'08_资产清单'!C106)+COUNTIF('06_建筑锚点'!$A$2:$A$501,'08_资产清单'!C106)=0),"资产引用对象不存在；","")&amp;IF(AND('08_资产清单'!E106&lt;&gt;"",COUNTIF('07_动态状态'!$A$2:$A$501,'08_资产清单'!E106)=0),"状态编码不存在；","")&amp;IF(AND('08_资产清单'!G106&lt;&gt;"",COUNTIF('08_资产清单'!$G$2:$G$501,'08_资产清单'!G106)&gt;1),"文件名重复；","")&amp;IF(AND('08_资产清单'!A106&lt;&gt;"",COUNTIF('08_资产清单'!$A$2:$A$501,'08_资产清单'!A106)&gt;1),"ID重复；",""),"")</f>
        <v/>
      </c>
      <c r="G3106" s="14">
        <f>IF(F3106&lt;&gt;"","按字段批注、数据字典和来源记录修正后复核","")</f>
        <v/>
      </c>
      <c r="H3106" s="14">
        <f>IF(F3106&lt;&gt;"","待处理","")</f>
        <v/>
      </c>
    </row>
    <row r="3107">
      <c r="A3107" s="14">
        <f>IF(F3107&lt;&gt;"","ISSUE-"&amp;TEXT(ROW()-1,"00000"),"")</f>
        <v/>
      </c>
      <c r="B3107" s="14">
        <f>IF(F3107&lt;&gt;"","错误","")</f>
        <v/>
      </c>
      <c r="C3107" s="14">
        <f>IF('08_资产清单'!A107&lt;&gt;"","08_资产清单","")</f>
        <v/>
      </c>
      <c r="D3107" s="14">
        <f>IF('08_资产清单'!A107&lt;&gt;"",'08_资产清单'!A107,"")</f>
        <v/>
      </c>
      <c r="E3107" s="14">
        <f>IF(F3107&lt;&gt;"","综合校验","")</f>
        <v/>
      </c>
      <c r="F3107" s="14">
        <f>IF('08_资产清单'!A107&lt;&gt;"",IF('08_资产清单'!A107="","缺少资产ID；","")&amp;IF('08_资产清单'!B107="","缺少资产名称；","")&amp;IF('08_资产清单'!C107="","缺少对象ID；","")&amp;IF('08_资产清单'!D107="","缺少资产类别；","")&amp;IF('08_资产清单'!G107="","缺少文件名；","")&amp;IF(AND('08_资产清单'!C107&lt;&gt;"",COUNTIF('02_固定地理'!$A$2:$A$501,'08_资产清单'!C107)+COUNTIF('03_地点锚点'!$A$2:$A$501,'08_资产清单'!C107)+COUNTIF('04_路径网络'!$A$2:$A$501,'08_资产清单'!C107)+COUNTIF('06_建筑锚点'!$A$2:$A$501,'08_资产清单'!C107)=0),"资产引用对象不存在；","")&amp;IF(AND('08_资产清单'!E107&lt;&gt;"",COUNTIF('07_动态状态'!$A$2:$A$501,'08_资产清单'!E107)=0),"状态编码不存在；","")&amp;IF(AND('08_资产清单'!G107&lt;&gt;"",COUNTIF('08_资产清单'!$G$2:$G$501,'08_资产清单'!G107)&gt;1),"文件名重复；","")&amp;IF(AND('08_资产清单'!A107&lt;&gt;"",COUNTIF('08_资产清单'!$A$2:$A$501,'08_资产清单'!A107)&gt;1),"ID重复；",""),"")</f>
        <v/>
      </c>
      <c r="G3107" s="14">
        <f>IF(F3107&lt;&gt;"","按字段批注、数据字典和来源记录修正后复核","")</f>
        <v/>
      </c>
      <c r="H3107" s="14">
        <f>IF(F3107&lt;&gt;"","待处理","")</f>
        <v/>
      </c>
    </row>
    <row r="3108">
      <c r="A3108" s="14">
        <f>IF(F3108&lt;&gt;"","ISSUE-"&amp;TEXT(ROW()-1,"00000"),"")</f>
        <v/>
      </c>
      <c r="B3108" s="14">
        <f>IF(F3108&lt;&gt;"","错误","")</f>
        <v/>
      </c>
      <c r="C3108" s="14">
        <f>IF('08_资产清单'!A108&lt;&gt;"","08_资产清单","")</f>
        <v/>
      </c>
      <c r="D3108" s="14">
        <f>IF('08_资产清单'!A108&lt;&gt;"",'08_资产清单'!A108,"")</f>
        <v/>
      </c>
      <c r="E3108" s="14">
        <f>IF(F3108&lt;&gt;"","综合校验","")</f>
        <v/>
      </c>
      <c r="F3108" s="14">
        <f>IF('08_资产清单'!A108&lt;&gt;"",IF('08_资产清单'!A108="","缺少资产ID；","")&amp;IF('08_资产清单'!B108="","缺少资产名称；","")&amp;IF('08_资产清单'!C108="","缺少对象ID；","")&amp;IF('08_资产清单'!D108="","缺少资产类别；","")&amp;IF('08_资产清单'!G108="","缺少文件名；","")&amp;IF(AND('08_资产清单'!C108&lt;&gt;"",COUNTIF('02_固定地理'!$A$2:$A$501,'08_资产清单'!C108)+COUNTIF('03_地点锚点'!$A$2:$A$501,'08_资产清单'!C108)+COUNTIF('04_路径网络'!$A$2:$A$501,'08_资产清单'!C108)+COUNTIF('06_建筑锚点'!$A$2:$A$501,'08_资产清单'!C108)=0),"资产引用对象不存在；","")&amp;IF(AND('08_资产清单'!E108&lt;&gt;"",COUNTIF('07_动态状态'!$A$2:$A$501,'08_资产清单'!E108)=0),"状态编码不存在；","")&amp;IF(AND('08_资产清单'!G108&lt;&gt;"",COUNTIF('08_资产清单'!$G$2:$G$501,'08_资产清单'!G108)&gt;1),"文件名重复；","")&amp;IF(AND('08_资产清单'!A108&lt;&gt;"",COUNTIF('08_资产清单'!$A$2:$A$501,'08_资产清单'!A108)&gt;1),"ID重复；",""),"")</f>
        <v/>
      </c>
      <c r="G3108" s="14">
        <f>IF(F3108&lt;&gt;"","按字段批注、数据字典和来源记录修正后复核","")</f>
        <v/>
      </c>
      <c r="H3108" s="14">
        <f>IF(F3108&lt;&gt;"","待处理","")</f>
        <v/>
      </c>
    </row>
    <row r="3109">
      <c r="A3109" s="14">
        <f>IF(F3109&lt;&gt;"","ISSUE-"&amp;TEXT(ROW()-1,"00000"),"")</f>
        <v/>
      </c>
      <c r="B3109" s="14">
        <f>IF(F3109&lt;&gt;"","错误","")</f>
        <v/>
      </c>
      <c r="C3109" s="14">
        <f>IF('08_资产清单'!A109&lt;&gt;"","08_资产清单","")</f>
        <v/>
      </c>
      <c r="D3109" s="14">
        <f>IF('08_资产清单'!A109&lt;&gt;"",'08_资产清单'!A109,"")</f>
        <v/>
      </c>
      <c r="E3109" s="14">
        <f>IF(F3109&lt;&gt;"","综合校验","")</f>
        <v/>
      </c>
      <c r="F3109" s="14">
        <f>IF('08_资产清单'!A109&lt;&gt;"",IF('08_资产清单'!A109="","缺少资产ID；","")&amp;IF('08_资产清单'!B109="","缺少资产名称；","")&amp;IF('08_资产清单'!C109="","缺少对象ID；","")&amp;IF('08_资产清单'!D109="","缺少资产类别；","")&amp;IF('08_资产清单'!G109="","缺少文件名；","")&amp;IF(AND('08_资产清单'!C109&lt;&gt;"",COUNTIF('02_固定地理'!$A$2:$A$501,'08_资产清单'!C109)+COUNTIF('03_地点锚点'!$A$2:$A$501,'08_资产清单'!C109)+COUNTIF('04_路径网络'!$A$2:$A$501,'08_资产清单'!C109)+COUNTIF('06_建筑锚点'!$A$2:$A$501,'08_资产清单'!C109)=0),"资产引用对象不存在；","")&amp;IF(AND('08_资产清单'!E109&lt;&gt;"",COUNTIF('07_动态状态'!$A$2:$A$501,'08_资产清单'!E109)=0),"状态编码不存在；","")&amp;IF(AND('08_资产清单'!G109&lt;&gt;"",COUNTIF('08_资产清单'!$G$2:$G$501,'08_资产清单'!G109)&gt;1),"文件名重复；","")&amp;IF(AND('08_资产清单'!A109&lt;&gt;"",COUNTIF('08_资产清单'!$A$2:$A$501,'08_资产清单'!A109)&gt;1),"ID重复；",""),"")</f>
        <v/>
      </c>
      <c r="G3109" s="14">
        <f>IF(F3109&lt;&gt;"","按字段批注、数据字典和来源记录修正后复核","")</f>
        <v/>
      </c>
      <c r="H3109" s="14">
        <f>IF(F3109&lt;&gt;"","待处理","")</f>
        <v/>
      </c>
    </row>
    <row r="3110">
      <c r="A3110" s="14">
        <f>IF(F3110&lt;&gt;"","ISSUE-"&amp;TEXT(ROW()-1,"00000"),"")</f>
        <v/>
      </c>
      <c r="B3110" s="14">
        <f>IF(F3110&lt;&gt;"","错误","")</f>
        <v/>
      </c>
      <c r="C3110" s="14">
        <f>IF('08_资产清单'!A110&lt;&gt;"","08_资产清单","")</f>
        <v/>
      </c>
      <c r="D3110" s="14">
        <f>IF('08_资产清单'!A110&lt;&gt;"",'08_资产清单'!A110,"")</f>
        <v/>
      </c>
      <c r="E3110" s="14">
        <f>IF(F3110&lt;&gt;"","综合校验","")</f>
        <v/>
      </c>
      <c r="F3110" s="14">
        <f>IF('08_资产清单'!A110&lt;&gt;"",IF('08_资产清单'!A110="","缺少资产ID；","")&amp;IF('08_资产清单'!B110="","缺少资产名称；","")&amp;IF('08_资产清单'!C110="","缺少对象ID；","")&amp;IF('08_资产清单'!D110="","缺少资产类别；","")&amp;IF('08_资产清单'!G110="","缺少文件名；","")&amp;IF(AND('08_资产清单'!C110&lt;&gt;"",COUNTIF('02_固定地理'!$A$2:$A$501,'08_资产清单'!C110)+COUNTIF('03_地点锚点'!$A$2:$A$501,'08_资产清单'!C110)+COUNTIF('04_路径网络'!$A$2:$A$501,'08_资产清单'!C110)+COUNTIF('06_建筑锚点'!$A$2:$A$501,'08_资产清单'!C110)=0),"资产引用对象不存在；","")&amp;IF(AND('08_资产清单'!E110&lt;&gt;"",COUNTIF('07_动态状态'!$A$2:$A$501,'08_资产清单'!E110)=0),"状态编码不存在；","")&amp;IF(AND('08_资产清单'!G110&lt;&gt;"",COUNTIF('08_资产清单'!$G$2:$G$501,'08_资产清单'!G110)&gt;1),"文件名重复；","")&amp;IF(AND('08_资产清单'!A110&lt;&gt;"",COUNTIF('08_资产清单'!$A$2:$A$501,'08_资产清单'!A110)&gt;1),"ID重复；",""),"")</f>
        <v/>
      </c>
      <c r="G3110" s="14">
        <f>IF(F3110&lt;&gt;"","按字段批注、数据字典和来源记录修正后复核","")</f>
        <v/>
      </c>
      <c r="H3110" s="14">
        <f>IF(F3110&lt;&gt;"","待处理","")</f>
        <v/>
      </c>
    </row>
    <row r="3111">
      <c r="A3111" s="14">
        <f>IF(F3111&lt;&gt;"","ISSUE-"&amp;TEXT(ROW()-1,"00000"),"")</f>
        <v/>
      </c>
      <c r="B3111" s="14">
        <f>IF(F3111&lt;&gt;"","错误","")</f>
        <v/>
      </c>
      <c r="C3111" s="14">
        <f>IF('08_资产清单'!A111&lt;&gt;"","08_资产清单","")</f>
        <v/>
      </c>
      <c r="D3111" s="14">
        <f>IF('08_资产清单'!A111&lt;&gt;"",'08_资产清单'!A111,"")</f>
        <v/>
      </c>
      <c r="E3111" s="14">
        <f>IF(F3111&lt;&gt;"","综合校验","")</f>
        <v/>
      </c>
      <c r="F3111" s="14">
        <f>IF('08_资产清单'!A111&lt;&gt;"",IF('08_资产清单'!A111="","缺少资产ID；","")&amp;IF('08_资产清单'!B111="","缺少资产名称；","")&amp;IF('08_资产清单'!C111="","缺少对象ID；","")&amp;IF('08_资产清单'!D111="","缺少资产类别；","")&amp;IF('08_资产清单'!G111="","缺少文件名；","")&amp;IF(AND('08_资产清单'!C111&lt;&gt;"",COUNTIF('02_固定地理'!$A$2:$A$501,'08_资产清单'!C111)+COUNTIF('03_地点锚点'!$A$2:$A$501,'08_资产清单'!C111)+COUNTIF('04_路径网络'!$A$2:$A$501,'08_资产清单'!C111)+COUNTIF('06_建筑锚点'!$A$2:$A$501,'08_资产清单'!C111)=0),"资产引用对象不存在；","")&amp;IF(AND('08_资产清单'!E111&lt;&gt;"",COUNTIF('07_动态状态'!$A$2:$A$501,'08_资产清单'!E111)=0),"状态编码不存在；","")&amp;IF(AND('08_资产清单'!G111&lt;&gt;"",COUNTIF('08_资产清单'!$G$2:$G$501,'08_资产清单'!G111)&gt;1),"文件名重复；","")&amp;IF(AND('08_资产清单'!A111&lt;&gt;"",COUNTIF('08_资产清单'!$A$2:$A$501,'08_资产清单'!A111)&gt;1),"ID重复；",""),"")</f>
        <v/>
      </c>
      <c r="G3111" s="14">
        <f>IF(F3111&lt;&gt;"","按字段批注、数据字典和来源记录修正后复核","")</f>
        <v/>
      </c>
      <c r="H3111" s="14">
        <f>IF(F3111&lt;&gt;"","待处理","")</f>
        <v/>
      </c>
    </row>
    <row r="3112">
      <c r="A3112" s="14">
        <f>IF(F3112&lt;&gt;"","ISSUE-"&amp;TEXT(ROW()-1,"00000"),"")</f>
        <v/>
      </c>
      <c r="B3112" s="14">
        <f>IF(F3112&lt;&gt;"","错误","")</f>
        <v/>
      </c>
      <c r="C3112" s="14">
        <f>IF('08_资产清单'!A112&lt;&gt;"","08_资产清单","")</f>
        <v/>
      </c>
      <c r="D3112" s="14">
        <f>IF('08_资产清单'!A112&lt;&gt;"",'08_资产清单'!A112,"")</f>
        <v/>
      </c>
      <c r="E3112" s="14">
        <f>IF(F3112&lt;&gt;"","综合校验","")</f>
        <v/>
      </c>
      <c r="F3112" s="14">
        <f>IF('08_资产清单'!A112&lt;&gt;"",IF('08_资产清单'!A112="","缺少资产ID；","")&amp;IF('08_资产清单'!B112="","缺少资产名称；","")&amp;IF('08_资产清单'!C112="","缺少对象ID；","")&amp;IF('08_资产清单'!D112="","缺少资产类别；","")&amp;IF('08_资产清单'!G112="","缺少文件名；","")&amp;IF(AND('08_资产清单'!C112&lt;&gt;"",COUNTIF('02_固定地理'!$A$2:$A$501,'08_资产清单'!C112)+COUNTIF('03_地点锚点'!$A$2:$A$501,'08_资产清单'!C112)+COUNTIF('04_路径网络'!$A$2:$A$501,'08_资产清单'!C112)+COUNTIF('06_建筑锚点'!$A$2:$A$501,'08_资产清单'!C112)=0),"资产引用对象不存在；","")&amp;IF(AND('08_资产清单'!E112&lt;&gt;"",COUNTIF('07_动态状态'!$A$2:$A$501,'08_资产清单'!E112)=0),"状态编码不存在；","")&amp;IF(AND('08_资产清单'!G112&lt;&gt;"",COUNTIF('08_资产清单'!$G$2:$G$501,'08_资产清单'!G112)&gt;1),"文件名重复；","")&amp;IF(AND('08_资产清单'!A112&lt;&gt;"",COUNTIF('08_资产清单'!$A$2:$A$501,'08_资产清单'!A112)&gt;1),"ID重复；",""),"")</f>
        <v/>
      </c>
      <c r="G3112" s="14">
        <f>IF(F3112&lt;&gt;"","按字段批注、数据字典和来源记录修正后复核","")</f>
        <v/>
      </c>
      <c r="H3112" s="14">
        <f>IF(F3112&lt;&gt;"","待处理","")</f>
        <v/>
      </c>
    </row>
    <row r="3113">
      <c r="A3113" s="14">
        <f>IF(F3113&lt;&gt;"","ISSUE-"&amp;TEXT(ROW()-1,"00000"),"")</f>
        <v/>
      </c>
      <c r="B3113" s="14">
        <f>IF(F3113&lt;&gt;"","错误","")</f>
        <v/>
      </c>
      <c r="C3113" s="14">
        <f>IF('08_资产清单'!A113&lt;&gt;"","08_资产清单","")</f>
        <v/>
      </c>
      <c r="D3113" s="14">
        <f>IF('08_资产清单'!A113&lt;&gt;"",'08_资产清单'!A113,"")</f>
        <v/>
      </c>
      <c r="E3113" s="14">
        <f>IF(F3113&lt;&gt;"","综合校验","")</f>
        <v/>
      </c>
      <c r="F3113" s="14">
        <f>IF('08_资产清单'!A113&lt;&gt;"",IF('08_资产清单'!A113="","缺少资产ID；","")&amp;IF('08_资产清单'!B113="","缺少资产名称；","")&amp;IF('08_资产清单'!C113="","缺少对象ID；","")&amp;IF('08_资产清单'!D113="","缺少资产类别；","")&amp;IF('08_资产清单'!G113="","缺少文件名；","")&amp;IF(AND('08_资产清单'!C113&lt;&gt;"",COUNTIF('02_固定地理'!$A$2:$A$501,'08_资产清单'!C113)+COUNTIF('03_地点锚点'!$A$2:$A$501,'08_资产清单'!C113)+COUNTIF('04_路径网络'!$A$2:$A$501,'08_资产清单'!C113)+COUNTIF('06_建筑锚点'!$A$2:$A$501,'08_资产清单'!C113)=0),"资产引用对象不存在；","")&amp;IF(AND('08_资产清单'!E113&lt;&gt;"",COUNTIF('07_动态状态'!$A$2:$A$501,'08_资产清单'!E113)=0),"状态编码不存在；","")&amp;IF(AND('08_资产清单'!G113&lt;&gt;"",COUNTIF('08_资产清单'!$G$2:$G$501,'08_资产清单'!G113)&gt;1),"文件名重复；","")&amp;IF(AND('08_资产清单'!A113&lt;&gt;"",COUNTIF('08_资产清单'!$A$2:$A$501,'08_资产清单'!A113)&gt;1),"ID重复；",""),"")</f>
        <v/>
      </c>
      <c r="G3113" s="14">
        <f>IF(F3113&lt;&gt;"","按字段批注、数据字典和来源记录修正后复核","")</f>
        <v/>
      </c>
      <c r="H3113" s="14">
        <f>IF(F3113&lt;&gt;"","待处理","")</f>
        <v/>
      </c>
    </row>
    <row r="3114">
      <c r="A3114" s="14">
        <f>IF(F3114&lt;&gt;"","ISSUE-"&amp;TEXT(ROW()-1,"00000"),"")</f>
        <v/>
      </c>
      <c r="B3114" s="14">
        <f>IF(F3114&lt;&gt;"","错误","")</f>
        <v/>
      </c>
      <c r="C3114" s="14">
        <f>IF('08_资产清单'!A114&lt;&gt;"","08_资产清单","")</f>
        <v/>
      </c>
      <c r="D3114" s="14">
        <f>IF('08_资产清单'!A114&lt;&gt;"",'08_资产清单'!A114,"")</f>
        <v/>
      </c>
      <c r="E3114" s="14">
        <f>IF(F3114&lt;&gt;"","综合校验","")</f>
        <v/>
      </c>
      <c r="F3114" s="14">
        <f>IF('08_资产清单'!A114&lt;&gt;"",IF('08_资产清单'!A114="","缺少资产ID；","")&amp;IF('08_资产清单'!B114="","缺少资产名称；","")&amp;IF('08_资产清单'!C114="","缺少对象ID；","")&amp;IF('08_资产清单'!D114="","缺少资产类别；","")&amp;IF('08_资产清单'!G114="","缺少文件名；","")&amp;IF(AND('08_资产清单'!C114&lt;&gt;"",COUNTIF('02_固定地理'!$A$2:$A$501,'08_资产清单'!C114)+COUNTIF('03_地点锚点'!$A$2:$A$501,'08_资产清单'!C114)+COUNTIF('04_路径网络'!$A$2:$A$501,'08_资产清单'!C114)+COUNTIF('06_建筑锚点'!$A$2:$A$501,'08_资产清单'!C114)=0),"资产引用对象不存在；","")&amp;IF(AND('08_资产清单'!E114&lt;&gt;"",COUNTIF('07_动态状态'!$A$2:$A$501,'08_资产清单'!E114)=0),"状态编码不存在；","")&amp;IF(AND('08_资产清单'!G114&lt;&gt;"",COUNTIF('08_资产清单'!$G$2:$G$501,'08_资产清单'!G114)&gt;1),"文件名重复；","")&amp;IF(AND('08_资产清单'!A114&lt;&gt;"",COUNTIF('08_资产清单'!$A$2:$A$501,'08_资产清单'!A114)&gt;1),"ID重复；",""),"")</f>
        <v/>
      </c>
      <c r="G3114" s="14">
        <f>IF(F3114&lt;&gt;"","按字段批注、数据字典和来源记录修正后复核","")</f>
        <v/>
      </c>
      <c r="H3114" s="14">
        <f>IF(F3114&lt;&gt;"","待处理","")</f>
        <v/>
      </c>
    </row>
    <row r="3115">
      <c r="A3115" s="14">
        <f>IF(F3115&lt;&gt;"","ISSUE-"&amp;TEXT(ROW()-1,"00000"),"")</f>
        <v/>
      </c>
      <c r="B3115" s="14">
        <f>IF(F3115&lt;&gt;"","错误","")</f>
        <v/>
      </c>
      <c r="C3115" s="14">
        <f>IF('08_资产清单'!A115&lt;&gt;"","08_资产清单","")</f>
        <v/>
      </c>
      <c r="D3115" s="14">
        <f>IF('08_资产清单'!A115&lt;&gt;"",'08_资产清单'!A115,"")</f>
        <v/>
      </c>
      <c r="E3115" s="14">
        <f>IF(F3115&lt;&gt;"","综合校验","")</f>
        <v/>
      </c>
      <c r="F3115" s="14">
        <f>IF('08_资产清单'!A115&lt;&gt;"",IF('08_资产清单'!A115="","缺少资产ID；","")&amp;IF('08_资产清单'!B115="","缺少资产名称；","")&amp;IF('08_资产清单'!C115="","缺少对象ID；","")&amp;IF('08_资产清单'!D115="","缺少资产类别；","")&amp;IF('08_资产清单'!G115="","缺少文件名；","")&amp;IF(AND('08_资产清单'!C115&lt;&gt;"",COUNTIF('02_固定地理'!$A$2:$A$501,'08_资产清单'!C115)+COUNTIF('03_地点锚点'!$A$2:$A$501,'08_资产清单'!C115)+COUNTIF('04_路径网络'!$A$2:$A$501,'08_资产清单'!C115)+COUNTIF('06_建筑锚点'!$A$2:$A$501,'08_资产清单'!C115)=0),"资产引用对象不存在；","")&amp;IF(AND('08_资产清单'!E115&lt;&gt;"",COUNTIF('07_动态状态'!$A$2:$A$501,'08_资产清单'!E115)=0),"状态编码不存在；","")&amp;IF(AND('08_资产清单'!G115&lt;&gt;"",COUNTIF('08_资产清单'!$G$2:$G$501,'08_资产清单'!G115)&gt;1),"文件名重复；","")&amp;IF(AND('08_资产清单'!A115&lt;&gt;"",COUNTIF('08_资产清单'!$A$2:$A$501,'08_资产清单'!A115)&gt;1),"ID重复；",""),"")</f>
        <v/>
      </c>
      <c r="G3115" s="14">
        <f>IF(F3115&lt;&gt;"","按字段批注、数据字典和来源记录修正后复核","")</f>
        <v/>
      </c>
      <c r="H3115" s="14">
        <f>IF(F3115&lt;&gt;"","待处理","")</f>
        <v/>
      </c>
    </row>
    <row r="3116">
      <c r="A3116" s="14">
        <f>IF(F3116&lt;&gt;"","ISSUE-"&amp;TEXT(ROW()-1,"00000"),"")</f>
        <v/>
      </c>
      <c r="B3116" s="14">
        <f>IF(F3116&lt;&gt;"","错误","")</f>
        <v/>
      </c>
      <c r="C3116" s="14">
        <f>IF('08_资产清单'!A116&lt;&gt;"","08_资产清单","")</f>
        <v/>
      </c>
      <c r="D3116" s="14">
        <f>IF('08_资产清单'!A116&lt;&gt;"",'08_资产清单'!A116,"")</f>
        <v/>
      </c>
      <c r="E3116" s="14">
        <f>IF(F3116&lt;&gt;"","综合校验","")</f>
        <v/>
      </c>
      <c r="F3116" s="14">
        <f>IF('08_资产清单'!A116&lt;&gt;"",IF('08_资产清单'!A116="","缺少资产ID；","")&amp;IF('08_资产清单'!B116="","缺少资产名称；","")&amp;IF('08_资产清单'!C116="","缺少对象ID；","")&amp;IF('08_资产清单'!D116="","缺少资产类别；","")&amp;IF('08_资产清单'!G116="","缺少文件名；","")&amp;IF(AND('08_资产清单'!C116&lt;&gt;"",COUNTIF('02_固定地理'!$A$2:$A$501,'08_资产清单'!C116)+COUNTIF('03_地点锚点'!$A$2:$A$501,'08_资产清单'!C116)+COUNTIF('04_路径网络'!$A$2:$A$501,'08_资产清单'!C116)+COUNTIF('06_建筑锚点'!$A$2:$A$501,'08_资产清单'!C116)=0),"资产引用对象不存在；","")&amp;IF(AND('08_资产清单'!E116&lt;&gt;"",COUNTIF('07_动态状态'!$A$2:$A$501,'08_资产清单'!E116)=0),"状态编码不存在；","")&amp;IF(AND('08_资产清单'!G116&lt;&gt;"",COUNTIF('08_资产清单'!$G$2:$G$501,'08_资产清单'!G116)&gt;1),"文件名重复；","")&amp;IF(AND('08_资产清单'!A116&lt;&gt;"",COUNTIF('08_资产清单'!$A$2:$A$501,'08_资产清单'!A116)&gt;1),"ID重复；",""),"")</f>
        <v/>
      </c>
      <c r="G3116" s="14">
        <f>IF(F3116&lt;&gt;"","按字段批注、数据字典和来源记录修正后复核","")</f>
        <v/>
      </c>
      <c r="H3116" s="14">
        <f>IF(F3116&lt;&gt;"","待处理","")</f>
        <v/>
      </c>
    </row>
    <row r="3117">
      <c r="A3117" s="14">
        <f>IF(F3117&lt;&gt;"","ISSUE-"&amp;TEXT(ROW()-1,"00000"),"")</f>
        <v/>
      </c>
      <c r="B3117" s="14">
        <f>IF(F3117&lt;&gt;"","错误","")</f>
        <v/>
      </c>
      <c r="C3117" s="14">
        <f>IF('08_资产清单'!A117&lt;&gt;"","08_资产清单","")</f>
        <v/>
      </c>
      <c r="D3117" s="14">
        <f>IF('08_资产清单'!A117&lt;&gt;"",'08_资产清单'!A117,"")</f>
        <v/>
      </c>
      <c r="E3117" s="14">
        <f>IF(F3117&lt;&gt;"","综合校验","")</f>
        <v/>
      </c>
      <c r="F3117" s="14">
        <f>IF('08_资产清单'!A117&lt;&gt;"",IF('08_资产清单'!A117="","缺少资产ID；","")&amp;IF('08_资产清单'!B117="","缺少资产名称；","")&amp;IF('08_资产清单'!C117="","缺少对象ID；","")&amp;IF('08_资产清单'!D117="","缺少资产类别；","")&amp;IF('08_资产清单'!G117="","缺少文件名；","")&amp;IF(AND('08_资产清单'!C117&lt;&gt;"",COUNTIF('02_固定地理'!$A$2:$A$501,'08_资产清单'!C117)+COUNTIF('03_地点锚点'!$A$2:$A$501,'08_资产清单'!C117)+COUNTIF('04_路径网络'!$A$2:$A$501,'08_资产清单'!C117)+COUNTIF('06_建筑锚点'!$A$2:$A$501,'08_资产清单'!C117)=0),"资产引用对象不存在；","")&amp;IF(AND('08_资产清单'!E117&lt;&gt;"",COUNTIF('07_动态状态'!$A$2:$A$501,'08_资产清单'!E117)=0),"状态编码不存在；","")&amp;IF(AND('08_资产清单'!G117&lt;&gt;"",COUNTIF('08_资产清单'!$G$2:$G$501,'08_资产清单'!G117)&gt;1),"文件名重复；","")&amp;IF(AND('08_资产清单'!A117&lt;&gt;"",COUNTIF('08_资产清单'!$A$2:$A$501,'08_资产清单'!A117)&gt;1),"ID重复；",""),"")</f>
        <v/>
      </c>
      <c r="G3117" s="14">
        <f>IF(F3117&lt;&gt;"","按字段批注、数据字典和来源记录修正后复核","")</f>
        <v/>
      </c>
      <c r="H3117" s="14">
        <f>IF(F3117&lt;&gt;"","待处理","")</f>
        <v/>
      </c>
    </row>
    <row r="3118">
      <c r="A3118" s="14">
        <f>IF(F3118&lt;&gt;"","ISSUE-"&amp;TEXT(ROW()-1,"00000"),"")</f>
        <v/>
      </c>
      <c r="B3118" s="14">
        <f>IF(F3118&lt;&gt;"","错误","")</f>
        <v/>
      </c>
      <c r="C3118" s="14">
        <f>IF('08_资产清单'!A118&lt;&gt;"","08_资产清单","")</f>
        <v/>
      </c>
      <c r="D3118" s="14">
        <f>IF('08_资产清单'!A118&lt;&gt;"",'08_资产清单'!A118,"")</f>
        <v/>
      </c>
      <c r="E3118" s="14">
        <f>IF(F3118&lt;&gt;"","综合校验","")</f>
        <v/>
      </c>
      <c r="F3118" s="14">
        <f>IF('08_资产清单'!A118&lt;&gt;"",IF('08_资产清单'!A118="","缺少资产ID；","")&amp;IF('08_资产清单'!B118="","缺少资产名称；","")&amp;IF('08_资产清单'!C118="","缺少对象ID；","")&amp;IF('08_资产清单'!D118="","缺少资产类别；","")&amp;IF('08_资产清单'!G118="","缺少文件名；","")&amp;IF(AND('08_资产清单'!C118&lt;&gt;"",COUNTIF('02_固定地理'!$A$2:$A$501,'08_资产清单'!C118)+COUNTIF('03_地点锚点'!$A$2:$A$501,'08_资产清单'!C118)+COUNTIF('04_路径网络'!$A$2:$A$501,'08_资产清单'!C118)+COUNTIF('06_建筑锚点'!$A$2:$A$501,'08_资产清单'!C118)=0),"资产引用对象不存在；","")&amp;IF(AND('08_资产清单'!E118&lt;&gt;"",COUNTIF('07_动态状态'!$A$2:$A$501,'08_资产清单'!E118)=0),"状态编码不存在；","")&amp;IF(AND('08_资产清单'!G118&lt;&gt;"",COUNTIF('08_资产清单'!$G$2:$G$501,'08_资产清单'!G118)&gt;1),"文件名重复；","")&amp;IF(AND('08_资产清单'!A118&lt;&gt;"",COUNTIF('08_资产清单'!$A$2:$A$501,'08_资产清单'!A118)&gt;1),"ID重复；",""),"")</f>
        <v/>
      </c>
      <c r="G3118" s="14">
        <f>IF(F3118&lt;&gt;"","按字段批注、数据字典和来源记录修正后复核","")</f>
        <v/>
      </c>
      <c r="H3118" s="14">
        <f>IF(F3118&lt;&gt;"","待处理","")</f>
        <v/>
      </c>
    </row>
    <row r="3119">
      <c r="A3119" s="14">
        <f>IF(F3119&lt;&gt;"","ISSUE-"&amp;TEXT(ROW()-1,"00000"),"")</f>
        <v/>
      </c>
      <c r="B3119" s="14">
        <f>IF(F3119&lt;&gt;"","错误","")</f>
        <v/>
      </c>
      <c r="C3119" s="14">
        <f>IF('08_资产清单'!A119&lt;&gt;"","08_资产清单","")</f>
        <v/>
      </c>
      <c r="D3119" s="14">
        <f>IF('08_资产清单'!A119&lt;&gt;"",'08_资产清单'!A119,"")</f>
        <v/>
      </c>
      <c r="E3119" s="14">
        <f>IF(F3119&lt;&gt;"","综合校验","")</f>
        <v/>
      </c>
      <c r="F3119" s="14">
        <f>IF('08_资产清单'!A119&lt;&gt;"",IF('08_资产清单'!A119="","缺少资产ID；","")&amp;IF('08_资产清单'!B119="","缺少资产名称；","")&amp;IF('08_资产清单'!C119="","缺少对象ID；","")&amp;IF('08_资产清单'!D119="","缺少资产类别；","")&amp;IF('08_资产清单'!G119="","缺少文件名；","")&amp;IF(AND('08_资产清单'!C119&lt;&gt;"",COUNTIF('02_固定地理'!$A$2:$A$501,'08_资产清单'!C119)+COUNTIF('03_地点锚点'!$A$2:$A$501,'08_资产清单'!C119)+COUNTIF('04_路径网络'!$A$2:$A$501,'08_资产清单'!C119)+COUNTIF('06_建筑锚点'!$A$2:$A$501,'08_资产清单'!C119)=0),"资产引用对象不存在；","")&amp;IF(AND('08_资产清单'!E119&lt;&gt;"",COUNTIF('07_动态状态'!$A$2:$A$501,'08_资产清单'!E119)=0),"状态编码不存在；","")&amp;IF(AND('08_资产清单'!G119&lt;&gt;"",COUNTIF('08_资产清单'!$G$2:$G$501,'08_资产清单'!G119)&gt;1),"文件名重复；","")&amp;IF(AND('08_资产清单'!A119&lt;&gt;"",COUNTIF('08_资产清单'!$A$2:$A$501,'08_资产清单'!A119)&gt;1),"ID重复；",""),"")</f>
        <v/>
      </c>
      <c r="G3119" s="14">
        <f>IF(F3119&lt;&gt;"","按字段批注、数据字典和来源记录修正后复核","")</f>
        <v/>
      </c>
      <c r="H3119" s="14">
        <f>IF(F3119&lt;&gt;"","待处理","")</f>
        <v/>
      </c>
    </row>
    <row r="3120">
      <c r="A3120" s="14">
        <f>IF(F3120&lt;&gt;"","ISSUE-"&amp;TEXT(ROW()-1,"00000"),"")</f>
        <v/>
      </c>
      <c r="B3120" s="14">
        <f>IF(F3120&lt;&gt;"","错误","")</f>
        <v/>
      </c>
      <c r="C3120" s="14">
        <f>IF('08_资产清单'!A120&lt;&gt;"","08_资产清单","")</f>
        <v/>
      </c>
      <c r="D3120" s="14">
        <f>IF('08_资产清单'!A120&lt;&gt;"",'08_资产清单'!A120,"")</f>
        <v/>
      </c>
      <c r="E3120" s="14">
        <f>IF(F3120&lt;&gt;"","综合校验","")</f>
        <v/>
      </c>
      <c r="F3120" s="14">
        <f>IF('08_资产清单'!A120&lt;&gt;"",IF('08_资产清单'!A120="","缺少资产ID；","")&amp;IF('08_资产清单'!B120="","缺少资产名称；","")&amp;IF('08_资产清单'!C120="","缺少对象ID；","")&amp;IF('08_资产清单'!D120="","缺少资产类别；","")&amp;IF('08_资产清单'!G120="","缺少文件名；","")&amp;IF(AND('08_资产清单'!C120&lt;&gt;"",COUNTIF('02_固定地理'!$A$2:$A$501,'08_资产清单'!C120)+COUNTIF('03_地点锚点'!$A$2:$A$501,'08_资产清单'!C120)+COUNTIF('04_路径网络'!$A$2:$A$501,'08_资产清单'!C120)+COUNTIF('06_建筑锚点'!$A$2:$A$501,'08_资产清单'!C120)=0),"资产引用对象不存在；","")&amp;IF(AND('08_资产清单'!E120&lt;&gt;"",COUNTIF('07_动态状态'!$A$2:$A$501,'08_资产清单'!E120)=0),"状态编码不存在；","")&amp;IF(AND('08_资产清单'!G120&lt;&gt;"",COUNTIF('08_资产清单'!$G$2:$G$501,'08_资产清单'!G120)&gt;1),"文件名重复；","")&amp;IF(AND('08_资产清单'!A120&lt;&gt;"",COUNTIF('08_资产清单'!$A$2:$A$501,'08_资产清单'!A120)&gt;1),"ID重复；",""),"")</f>
        <v/>
      </c>
      <c r="G3120" s="14">
        <f>IF(F3120&lt;&gt;"","按字段批注、数据字典和来源记录修正后复核","")</f>
        <v/>
      </c>
      <c r="H3120" s="14">
        <f>IF(F3120&lt;&gt;"","待处理","")</f>
        <v/>
      </c>
    </row>
    <row r="3121">
      <c r="A3121" s="14">
        <f>IF(F3121&lt;&gt;"","ISSUE-"&amp;TEXT(ROW()-1,"00000"),"")</f>
        <v/>
      </c>
      <c r="B3121" s="14">
        <f>IF(F3121&lt;&gt;"","错误","")</f>
        <v/>
      </c>
      <c r="C3121" s="14">
        <f>IF('08_资产清单'!A121&lt;&gt;"","08_资产清单","")</f>
        <v/>
      </c>
      <c r="D3121" s="14">
        <f>IF('08_资产清单'!A121&lt;&gt;"",'08_资产清单'!A121,"")</f>
        <v/>
      </c>
      <c r="E3121" s="14">
        <f>IF(F3121&lt;&gt;"","综合校验","")</f>
        <v/>
      </c>
      <c r="F3121" s="14">
        <f>IF('08_资产清单'!A121&lt;&gt;"",IF('08_资产清单'!A121="","缺少资产ID；","")&amp;IF('08_资产清单'!B121="","缺少资产名称；","")&amp;IF('08_资产清单'!C121="","缺少对象ID；","")&amp;IF('08_资产清单'!D121="","缺少资产类别；","")&amp;IF('08_资产清单'!G121="","缺少文件名；","")&amp;IF(AND('08_资产清单'!C121&lt;&gt;"",COUNTIF('02_固定地理'!$A$2:$A$501,'08_资产清单'!C121)+COUNTIF('03_地点锚点'!$A$2:$A$501,'08_资产清单'!C121)+COUNTIF('04_路径网络'!$A$2:$A$501,'08_资产清单'!C121)+COUNTIF('06_建筑锚点'!$A$2:$A$501,'08_资产清单'!C121)=0),"资产引用对象不存在；","")&amp;IF(AND('08_资产清单'!E121&lt;&gt;"",COUNTIF('07_动态状态'!$A$2:$A$501,'08_资产清单'!E121)=0),"状态编码不存在；","")&amp;IF(AND('08_资产清单'!G121&lt;&gt;"",COUNTIF('08_资产清单'!$G$2:$G$501,'08_资产清单'!G121)&gt;1),"文件名重复；","")&amp;IF(AND('08_资产清单'!A121&lt;&gt;"",COUNTIF('08_资产清单'!$A$2:$A$501,'08_资产清单'!A121)&gt;1),"ID重复；",""),"")</f>
        <v/>
      </c>
      <c r="G3121" s="14">
        <f>IF(F3121&lt;&gt;"","按字段批注、数据字典和来源记录修正后复核","")</f>
        <v/>
      </c>
      <c r="H3121" s="14">
        <f>IF(F3121&lt;&gt;"","待处理","")</f>
        <v/>
      </c>
    </row>
    <row r="3122">
      <c r="A3122" s="14">
        <f>IF(F3122&lt;&gt;"","ISSUE-"&amp;TEXT(ROW()-1,"00000"),"")</f>
        <v/>
      </c>
      <c r="B3122" s="14">
        <f>IF(F3122&lt;&gt;"","错误","")</f>
        <v/>
      </c>
      <c r="C3122" s="14">
        <f>IF('08_资产清单'!A122&lt;&gt;"","08_资产清单","")</f>
        <v/>
      </c>
      <c r="D3122" s="14">
        <f>IF('08_资产清单'!A122&lt;&gt;"",'08_资产清单'!A122,"")</f>
        <v/>
      </c>
      <c r="E3122" s="14">
        <f>IF(F3122&lt;&gt;"","综合校验","")</f>
        <v/>
      </c>
      <c r="F3122" s="14">
        <f>IF('08_资产清单'!A122&lt;&gt;"",IF('08_资产清单'!A122="","缺少资产ID；","")&amp;IF('08_资产清单'!B122="","缺少资产名称；","")&amp;IF('08_资产清单'!C122="","缺少对象ID；","")&amp;IF('08_资产清单'!D122="","缺少资产类别；","")&amp;IF('08_资产清单'!G122="","缺少文件名；","")&amp;IF(AND('08_资产清单'!C122&lt;&gt;"",COUNTIF('02_固定地理'!$A$2:$A$501,'08_资产清单'!C122)+COUNTIF('03_地点锚点'!$A$2:$A$501,'08_资产清单'!C122)+COUNTIF('04_路径网络'!$A$2:$A$501,'08_资产清单'!C122)+COUNTIF('06_建筑锚点'!$A$2:$A$501,'08_资产清单'!C122)=0),"资产引用对象不存在；","")&amp;IF(AND('08_资产清单'!E122&lt;&gt;"",COUNTIF('07_动态状态'!$A$2:$A$501,'08_资产清单'!E122)=0),"状态编码不存在；","")&amp;IF(AND('08_资产清单'!G122&lt;&gt;"",COUNTIF('08_资产清单'!$G$2:$G$501,'08_资产清单'!G122)&gt;1),"文件名重复；","")&amp;IF(AND('08_资产清单'!A122&lt;&gt;"",COUNTIF('08_资产清单'!$A$2:$A$501,'08_资产清单'!A122)&gt;1),"ID重复；",""),"")</f>
        <v/>
      </c>
      <c r="G3122" s="14">
        <f>IF(F3122&lt;&gt;"","按字段批注、数据字典和来源记录修正后复核","")</f>
        <v/>
      </c>
      <c r="H3122" s="14">
        <f>IF(F3122&lt;&gt;"","待处理","")</f>
        <v/>
      </c>
    </row>
    <row r="3123">
      <c r="A3123" s="14">
        <f>IF(F3123&lt;&gt;"","ISSUE-"&amp;TEXT(ROW()-1,"00000"),"")</f>
        <v/>
      </c>
      <c r="B3123" s="14">
        <f>IF(F3123&lt;&gt;"","错误","")</f>
        <v/>
      </c>
      <c r="C3123" s="14">
        <f>IF('08_资产清单'!A123&lt;&gt;"","08_资产清单","")</f>
        <v/>
      </c>
      <c r="D3123" s="14">
        <f>IF('08_资产清单'!A123&lt;&gt;"",'08_资产清单'!A123,"")</f>
        <v/>
      </c>
      <c r="E3123" s="14">
        <f>IF(F3123&lt;&gt;"","综合校验","")</f>
        <v/>
      </c>
      <c r="F3123" s="14">
        <f>IF('08_资产清单'!A123&lt;&gt;"",IF('08_资产清单'!A123="","缺少资产ID；","")&amp;IF('08_资产清单'!B123="","缺少资产名称；","")&amp;IF('08_资产清单'!C123="","缺少对象ID；","")&amp;IF('08_资产清单'!D123="","缺少资产类别；","")&amp;IF('08_资产清单'!G123="","缺少文件名；","")&amp;IF(AND('08_资产清单'!C123&lt;&gt;"",COUNTIF('02_固定地理'!$A$2:$A$501,'08_资产清单'!C123)+COUNTIF('03_地点锚点'!$A$2:$A$501,'08_资产清单'!C123)+COUNTIF('04_路径网络'!$A$2:$A$501,'08_资产清单'!C123)+COUNTIF('06_建筑锚点'!$A$2:$A$501,'08_资产清单'!C123)=0),"资产引用对象不存在；","")&amp;IF(AND('08_资产清单'!E123&lt;&gt;"",COUNTIF('07_动态状态'!$A$2:$A$501,'08_资产清单'!E123)=0),"状态编码不存在；","")&amp;IF(AND('08_资产清单'!G123&lt;&gt;"",COUNTIF('08_资产清单'!$G$2:$G$501,'08_资产清单'!G123)&gt;1),"文件名重复；","")&amp;IF(AND('08_资产清单'!A123&lt;&gt;"",COUNTIF('08_资产清单'!$A$2:$A$501,'08_资产清单'!A123)&gt;1),"ID重复；",""),"")</f>
        <v/>
      </c>
      <c r="G3123" s="14">
        <f>IF(F3123&lt;&gt;"","按字段批注、数据字典和来源记录修正后复核","")</f>
        <v/>
      </c>
      <c r="H3123" s="14">
        <f>IF(F3123&lt;&gt;"","待处理","")</f>
        <v/>
      </c>
    </row>
    <row r="3124">
      <c r="A3124" s="14">
        <f>IF(F3124&lt;&gt;"","ISSUE-"&amp;TEXT(ROW()-1,"00000"),"")</f>
        <v/>
      </c>
      <c r="B3124" s="14">
        <f>IF(F3124&lt;&gt;"","错误","")</f>
        <v/>
      </c>
      <c r="C3124" s="14">
        <f>IF('08_资产清单'!A124&lt;&gt;"","08_资产清单","")</f>
        <v/>
      </c>
      <c r="D3124" s="14">
        <f>IF('08_资产清单'!A124&lt;&gt;"",'08_资产清单'!A124,"")</f>
        <v/>
      </c>
      <c r="E3124" s="14">
        <f>IF(F3124&lt;&gt;"","综合校验","")</f>
        <v/>
      </c>
      <c r="F3124" s="14">
        <f>IF('08_资产清单'!A124&lt;&gt;"",IF('08_资产清单'!A124="","缺少资产ID；","")&amp;IF('08_资产清单'!B124="","缺少资产名称；","")&amp;IF('08_资产清单'!C124="","缺少对象ID；","")&amp;IF('08_资产清单'!D124="","缺少资产类别；","")&amp;IF('08_资产清单'!G124="","缺少文件名；","")&amp;IF(AND('08_资产清单'!C124&lt;&gt;"",COUNTIF('02_固定地理'!$A$2:$A$501,'08_资产清单'!C124)+COUNTIF('03_地点锚点'!$A$2:$A$501,'08_资产清单'!C124)+COUNTIF('04_路径网络'!$A$2:$A$501,'08_资产清单'!C124)+COUNTIF('06_建筑锚点'!$A$2:$A$501,'08_资产清单'!C124)=0),"资产引用对象不存在；","")&amp;IF(AND('08_资产清单'!E124&lt;&gt;"",COUNTIF('07_动态状态'!$A$2:$A$501,'08_资产清单'!E124)=0),"状态编码不存在；","")&amp;IF(AND('08_资产清单'!G124&lt;&gt;"",COUNTIF('08_资产清单'!$G$2:$G$501,'08_资产清单'!G124)&gt;1),"文件名重复；","")&amp;IF(AND('08_资产清单'!A124&lt;&gt;"",COUNTIF('08_资产清单'!$A$2:$A$501,'08_资产清单'!A124)&gt;1),"ID重复；",""),"")</f>
        <v/>
      </c>
      <c r="G3124" s="14">
        <f>IF(F3124&lt;&gt;"","按字段批注、数据字典和来源记录修正后复核","")</f>
        <v/>
      </c>
      <c r="H3124" s="14">
        <f>IF(F3124&lt;&gt;"","待处理","")</f>
        <v/>
      </c>
    </row>
    <row r="3125">
      <c r="A3125" s="14">
        <f>IF(F3125&lt;&gt;"","ISSUE-"&amp;TEXT(ROW()-1,"00000"),"")</f>
        <v/>
      </c>
      <c r="B3125" s="14">
        <f>IF(F3125&lt;&gt;"","错误","")</f>
        <v/>
      </c>
      <c r="C3125" s="14">
        <f>IF('08_资产清单'!A125&lt;&gt;"","08_资产清单","")</f>
        <v/>
      </c>
      <c r="D3125" s="14">
        <f>IF('08_资产清单'!A125&lt;&gt;"",'08_资产清单'!A125,"")</f>
        <v/>
      </c>
      <c r="E3125" s="14">
        <f>IF(F3125&lt;&gt;"","综合校验","")</f>
        <v/>
      </c>
      <c r="F3125" s="14">
        <f>IF('08_资产清单'!A125&lt;&gt;"",IF('08_资产清单'!A125="","缺少资产ID；","")&amp;IF('08_资产清单'!B125="","缺少资产名称；","")&amp;IF('08_资产清单'!C125="","缺少对象ID；","")&amp;IF('08_资产清单'!D125="","缺少资产类别；","")&amp;IF('08_资产清单'!G125="","缺少文件名；","")&amp;IF(AND('08_资产清单'!C125&lt;&gt;"",COUNTIF('02_固定地理'!$A$2:$A$501,'08_资产清单'!C125)+COUNTIF('03_地点锚点'!$A$2:$A$501,'08_资产清单'!C125)+COUNTIF('04_路径网络'!$A$2:$A$501,'08_资产清单'!C125)+COUNTIF('06_建筑锚点'!$A$2:$A$501,'08_资产清单'!C125)=0),"资产引用对象不存在；","")&amp;IF(AND('08_资产清单'!E125&lt;&gt;"",COUNTIF('07_动态状态'!$A$2:$A$501,'08_资产清单'!E125)=0),"状态编码不存在；","")&amp;IF(AND('08_资产清单'!G125&lt;&gt;"",COUNTIF('08_资产清单'!$G$2:$G$501,'08_资产清单'!G125)&gt;1),"文件名重复；","")&amp;IF(AND('08_资产清单'!A125&lt;&gt;"",COUNTIF('08_资产清单'!$A$2:$A$501,'08_资产清单'!A125)&gt;1),"ID重复；",""),"")</f>
        <v/>
      </c>
      <c r="G3125" s="14">
        <f>IF(F3125&lt;&gt;"","按字段批注、数据字典和来源记录修正后复核","")</f>
        <v/>
      </c>
      <c r="H3125" s="14">
        <f>IF(F3125&lt;&gt;"","待处理","")</f>
        <v/>
      </c>
    </row>
    <row r="3126">
      <c r="A3126" s="14">
        <f>IF(F3126&lt;&gt;"","ISSUE-"&amp;TEXT(ROW()-1,"00000"),"")</f>
        <v/>
      </c>
      <c r="B3126" s="14">
        <f>IF(F3126&lt;&gt;"","错误","")</f>
        <v/>
      </c>
      <c r="C3126" s="14">
        <f>IF('08_资产清单'!A126&lt;&gt;"","08_资产清单","")</f>
        <v/>
      </c>
      <c r="D3126" s="14">
        <f>IF('08_资产清单'!A126&lt;&gt;"",'08_资产清单'!A126,"")</f>
        <v/>
      </c>
      <c r="E3126" s="14">
        <f>IF(F3126&lt;&gt;"","综合校验","")</f>
        <v/>
      </c>
      <c r="F3126" s="14">
        <f>IF('08_资产清单'!A126&lt;&gt;"",IF('08_资产清单'!A126="","缺少资产ID；","")&amp;IF('08_资产清单'!B126="","缺少资产名称；","")&amp;IF('08_资产清单'!C126="","缺少对象ID；","")&amp;IF('08_资产清单'!D126="","缺少资产类别；","")&amp;IF('08_资产清单'!G126="","缺少文件名；","")&amp;IF(AND('08_资产清单'!C126&lt;&gt;"",COUNTIF('02_固定地理'!$A$2:$A$501,'08_资产清单'!C126)+COUNTIF('03_地点锚点'!$A$2:$A$501,'08_资产清单'!C126)+COUNTIF('04_路径网络'!$A$2:$A$501,'08_资产清单'!C126)+COUNTIF('06_建筑锚点'!$A$2:$A$501,'08_资产清单'!C126)=0),"资产引用对象不存在；","")&amp;IF(AND('08_资产清单'!E126&lt;&gt;"",COUNTIF('07_动态状态'!$A$2:$A$501,'08_资产清单'!E126)=0),"状态编码不存在；","")&amp;IF(AND('08_资产清单'!G126&lt;&gt;"",COUNTIF('08_资产清单'!$G$2:$G$501,'08_资产清单'!G126)&gt;1),"文件名重复；","")&amp;IF(AND('08_资产清单'!A126&lt;&gt;"",COUNTIF('08_资产清单'!$A$2:$A$501,'08_资产清单'!A126)&gt;1),"ID重复；",""),"")</f>
        <v/>
      </c>
      <c r="G3126" s="14">
        <f>IF(F3126&lt;&gt;"","按字段批注、数据字典和来源记录修正后复核","")</f>
        <v/>
      </c>
      <c r="H3126" s="14">
        <f>IF(F3126&lt;&gt;"","待处理","")</f>
        <v/>
      </c>
    </row>
    <row r="3127">
      <c r="A3127" s="14">
        <f>IF(F3127&lt;&gt;"","ISSUE-"&amp;TEXT(ROW()-1,"00000"),"")</f>
        <v/>
      </c>
      <c r="B3127" s="14">
        <f>IF(F3127&lt;&gt;"","错误","")</f>
        <v/>
      </c>
      <c r="C3127" s="14">
        <f>IF('08_资产清单'!A127&lt;&gt;"","08_资产清单","")</f>
        <v/>
      </c>
      <c r="D3127" s="14">
        <f>IF('08_资产清单'!A127&lt;&gt;"",'08_资产清单'!A127,"")</f>
        <v/>
      </c>
      <c r="E3127" s="14">
        <f>IF(F3127&lt;&gt;"","综合校验","")</f>
        <v/>
      </c>
      <c r="F3127" s="14">
        <f>IF('08_资产清单'!A127&lt;&gt;"",IF('08_资产清单'!A127="","缺少资产ID；","")&amp;IF('08_资产清单'!B127="","缺少资产名称；","")&amp;IF('08_资产清单'!C127="","缺少对象ID；","")&amp;IF('08_资产清单'!D127="","缺少资产类别；","")&amp;IF('08_资产清单'!G127="","缺少文件名；","")&amp;IF(AND('08_资产清单'!C127&lt;&gt;"",COUNTIF('02_固定地理'!$A$2:$A$501,'08_资产清单'!C127)+COUNTIF('03_地点锚点'!$A$2:$A$501,'08_资产清单'!C127)+COUNTIF('04_路径网络'!$A$2:$A$501,'08_资产清单'!C127)+COUNTIF('06_建筑锚点'!$A$2:$A$501,'08_资产清单'!C127)=0),"资产引用对象不存在；","")&amp;IF(AND('08_资产清单'!E127&lt;&gt;"",COUNTIF('07_动态状态'!$A$2:$A$501,'08_资产清单'!E127)=0),"状态编码不存在；","")&amp;IF(AND('08_资产清单'!G127&lt;&gt;"",COUNTIF('08_资产清单'!$G$2:$G$501,'08_资产清单'!G127)&gt;1),"文件名重复；","")&amp;IF(AND('08_资产清单'!A127&lt;&gt;"",COUNTIF('08_资产清单'!$A$2:$A$501,'08_资产清单'!A127)&gt;1),"ID重复；",""),"")</f>
        <v/>
      </c>
      <c r="G3127" s="14">
        <f>IF(F3127&lt;&gt;"","按字段批注、数据字典和来源记录修正后复核","")</f>
        <v/>
      </c>
      <c r="H3127" s="14">
        <f>IF(F3127&lt;&gt;"","待处理","")</f>
        <v/>
      </c>
    </row>
    <row r="3128">
      <c r="A3128" s="14">
        <f>IF(F3128&lt;&gt;"","ISSUE-"&amp;TEXT(ROW()-1,"00000"),"")</f>
        <v/>
      </c>
      <c r="B3128" s="14">
        <f>IF(F3128&lt;&gt;"","错误","")</f>
        <v/>
      </c>
      <c r="C3128" s="14">
        <f>IF('08_资产清单'!A128&lt;&gt;"","08_资产清单","")</f>
        <v/>
      </c>
      <c r="D3128" s="14">
        <f>IF('08_资产清单'!A128&lt;&gt;"",'08_资产清单'!A128,"")</f>
        <v/>
      </c>
      <c r="E3128" s="14">
        <f>IF(F3128&lt;&gt;"","综合校验","")</f>
        <v/>
      </c>
      <c r="F3128" s="14">
        <f>IF('08_资产清单'!A128&lt;&gt;"",IF('08_资产清单'!A128="","缺少资产ID；","")&amp;IF('08_资产清单'!B128="","缺少资产名称；","")&amp;IF('08_资产清单'!C128="","缺少对象ID；","")&amp;IF('08_资产清单'!D128="","缺少资产类别；","")&amp;IF('08_资产清单'!G128="","缺少文件名；","")&amp;IF(AND('08_资产清单'!C128&lt;&gt;"",COUNTIF('02_固定地理'!$A$2:$A$501,'08_资产清单'!C128)+COUNTIF('03_地点锚点'!$A$2:$A$501,'08_资产清单'!C128)+COUNTIF('04_路径网络'!$A$2:$A$501,'08_资产清单'!C128)+COUNTIF('06_建筑锚点'!$A$2:$A$501,'08_资产清单'!C128)=0),"资产引用对象不存在；","")&amp;IF(AND('08_资产清单'!E128&lt;&gt;"",COUNTIF('07_动态状态'!$A$2:$A$501,'08_资产清单'!E128)=0),"状态编码不存在；","")&amp;IF(AND('08_资产清单'!G128&lt;&gt;"",COUNTIF('08_资产清单'!$G$2:$G$501,'08_资产清单'!G128)&gt;1),"文件名重复；","")&amp;IF(AND('08_资产清单'!A128&lt;&gt;"",COUNTIF('08_资产清单'!$A$2:$A$501,'08_资产清单'!A128)&gt;1),"ID重复；",""),"")</f>
        <v/>
      </c>
      <c r="G3128" s="14">
        <f>IF(F3128&lt;&gt;"","按字段批注、数据字典和来源记录修正后复核","")</f>
        <v/>
      </c>
      <c r="H3128" s="14">
        <f>IF(F3128&lt;&gt;"","待处理","")</f>
        <v/>
      </c>
    </row>
    <row r="3129">
      <c r="A3129" s="14">
        <f>IF(F3129&lt;&gt;"","ISSUE-"&amp;TEXT(ROW()-1,"00000"),"")</f>
        <v/>
      </c>
      <c r="B3129" s="14">
        <f>IF(F3129&lt;&gt;"","错误","")</f>
        <v/>
      </c>
      <c r="C3129" s="14">
        <f>IF('08_资产清单'!A129&lt;&gt;"","08_资产清单","")</f>
        <v/>
      </c>
      <c r="D3129" s="14">
        <f>IF('08_资产清单'!A129&lt;&gt;"",'08_资产清单'!A129,"")</f>
        <v/>
      </c>
      <c r="E3129" s="14">
        <f>IF(F3129&lt;&gt;"","综合校验","")</f>
        <v/>
      </c>
      <c r="F3129" s="14">
        <f>IF('08_资产清单'!A129&lt;&gt;"",IF('08_资产清单'!A129="","缺少资产ID；","")&amp;IF('08_资产清单'!B129="","缺少资产名称；","")&amp;IF('08_资产清单'!C129="","缺少对象ID；","")&amp;IF('08_资产清单'!D129="","缺少资产类别；","")&amp;IF('08_资产清单'!G129="","缺少文件名；","")&amp;IF(AND('08_资产清单'!C129&lt;&gt;"",COUNTIF('02_固定地理'!$A$2:$A$501,'08_资产清单'!C129)+COUNTIF('03_地点锚点'!$A$2:$A$501,'08_资产清单'!C129)+COUNTIF('04_路径网络'!$A$2:$A$501,'08_资产清单'!C129)+COUNTIF('06_建筑锚点'!$A$2:$A$501,'08_资产清单'!C129)=0),"资产引用对象不存在；","")&amp;IF(AND('08_资产清单'!E129&lt;&gt;"",COUNTIF('07_动态状态'!$A$2:$A$501,'08_资产清单'!E129)=0),"状态编码不存在；","")&amp;IF(AND('08_资产清单'!G129&lt;&gt;"",COUNTIF('08_资产清单'!$G$2:$G$501,'08_资产清单'!G129)&gt;1),"文件名重复；","")&amp;IF(AND('08_资产清单'!A129&lt;&gt;"",COUNTIF('08_资产清单'!$A$2:$A$501,'08_资产清单'!A129)&gt;1),"ID重复；",""),"")</f>
        <v/>
      </c>
      <c r="G3129" s="14">
        <f>IF(F3129&lt;&gt;"","按字段批注、数据字典和来源记录修正后复核","")</f>
        <v/>
      </c>
      <c r="H3129" s="14">
        <f>IF(F3129&lt;&gt;"","待处理","")</f>
        <v/>
      </c>
    </row>
    <row r="3130">
      <c r="A3130" s="14">
        <f>IF(F3130&lt;&gt;"","ISSUE-"&amp;TEXT(ROW()-1,"00000"),"")</f>
        <v/>
      </c>
      <c r="B3130" s="14">
        <f>IF(F3130&lt;&gt;"","错误","")</f>
        <v/>
      </c>
      <c r="C3130" s="14">
        <f>IF('08_资产清单'!A130&lt;&gt;"","08_资产清单","")</f>
        <v/>
      </c>
      <c r="D3130" s="14">
        <f>IF('08_资产清单'!A130&lt;&gt;"",'08_资产清单'!A130,"")</f>
        <v/>
      </c>
      <c r="E3130" s="14">
        <f>IF(F3130&lt;&gt;"","综合校验","")</f>
        <v/>
      </c>
      <c r="F3130" s="14">
        <f>IF('08_资产清单'!A130&lt;&gt;"",IF('08_资产清单'!A130="","缺少资产ID；","")&amp;IF('08_资产清单'!B130="","缺少资产名称；","")&amp;IF('08_资产清单'!C130="","缺少对象ID；","")&amp;IF('08_资产清单'!D130="","缺少资产类别；","")&amp;IF('08_资产清单'!G130="","缺少文件名；","")&amp;IF(AND('08_资产清单'!C130&lt;&gt;"",COUNTIF('02_固定地理'!$A$2:$A$501,'08_资产清单'!C130)+COUNTIF('03_地点锚点'!$A$2:$A$501,'08_资产清单'!C130)+COUNTIF('04_路径网络'!$A$2:$A$501,'08_资产清单'!C130)+COUNTIF('06_建筑锚点'!$A$2:$A$501,'08_资产清单'!C130)=0),"资产引用对象不存在；","")&amp;IF(AND('08_资产清单'!E130&lt;&gt;"",COUNTIF('07_动态状态'!$A$2:$A$501,'08_资产清单'!E130)=0),"状态编码不存在；","")&amp;IF(AND('08_资产清单'!G130&lt;&gt;"",COUNTIF('08_资产清单'!$G$2:$G$501,'08_资产清单'!G130)&gt;1),"文件名重复；","")&amp;IF(AND('08_资产清单'!A130&lt;&gt;"",COUNTIF('08_资产清单'!$A$2:$A$501,'08_资产清单'!A130)&gt;1),"ID重复；",""),"")</f>
        <v/>
      </c>
      <c r="G3130" s="14">
        <f>IF(F3130&lt;&gt;"","按字段批注、数据字典和来源记录修正后复核","")</f>
        <v/>
      </c>
      <c r="H3130" s="14">
        <f>IF(F3130&lt;&gt;"","待处理","")</f>
        <v/>
      </c>
    </row>
    <row r="3131">
      <c r="A3131" s="14">
        <f>IF(F3131&lt;&gt;"","ISSUE-"&amp;TEXT(ROW()-1,"00000"),"")</f>
        <v/>
      </c>
      <c r="B3131" s="14">
        <f>IF(F3131&lt;&gt;"","错误","")</f>
        <v/>
      </c>
      <c r="C3131" s="14">
        <f>IF('08_资产清单'!A131&lt;&gt;"","08_资产清单","")</f>
        <v/>
      </c>
      <c r="D3131" s="14">
        <f>IF('08_资产清单'!A131&lt;&gt;"",'08_资产清单'!A131,"")</f>
        <v/>
      </c>
      <c r="E3131" s="14">
        <f>IF(F3131&lt;&gt;"","综合校验","")</f>
        <v/>
      </c>
      <c r="F3131" s="14">
        <f>IF('08_资产清单'!A131&lt;&gt;"",IF('08_资产清单'!A131="","缺少资产ID；","")&amp;IF('08_资产清单'!B131="","缺少资产名称；","")&amp;IF('08_资产清单'!C131="","缺少对象ID；","")&amp;IF('08_资产清单'!D131="","缺少资产类别；","")&amp;IF('08_资产清单'!G131="","缺少文件名；","")&amp;IF(AND('08_资产清单'!C131&lt;&gt;"",COUNTIF('02_固定地理'!$A$2:$A$501,'08_资产清单'!C131)+COUNTIF('03_地点锚点'!$A$2:$A$501,'08_资产清单'!C131)+COUNTIF('04_路径网络'!$A$2:$A$501,'08_资产清单'!C131)+COUNTIF('06_建筑锚点'!$A$2:$A$501,'08_资产清单'!C131)=0),"资产引用对象不存在；","")&amp;IF(AND('08_资产清单'!E131&lt;&gt;"",COUNTIF('07_动态状态'!$A$2:$A$501,'08_资产清单'!E131)=0),"状态编码不存在；","")&amp;IF(AND('08_资产清单'!G131&lt;&gt;"",COUNTIF('08_资产清单'!$G$2:$G$501,'08_资产清单'!G131)&gt;1),"文件名重复；","")&amp;IF(AND('08_资产清单'!A131&lt;&gt;"",COUNTIF('08_资产清单'!$A$2:$A$501,'08_资产清单'!A131)&gt;1),"ID重复；",""),"")</f>
        <v/>
      </c>
      <c r="G3131" s="14">
        <f>IF(F3131&lt;&gt;"","按字段批注、数据字典和来源记录修正后复核","")</f>
        <v/>
      </c>
      <c r="H3131" s="14">
        <f>IF(F3131&lt;&gt;"","待处理","")</f>
        <v/>
      </c>
    </row>
    <row r="3132">
      <c r="A3132" s="14">
        <f>IF(F3132&lt;&gt;"","ISSUE-"&amp;TEXT(ROW()-1,"00000"),"")</f>
        <v/>
      </c>
      <c r="B3132" s="14">
        <f>IF(F3132&lt;&gt;"","错误","")</f>
        <v/>
      </c>
      <c r="C3132" s="14">
        <f>IF('08_资产清单'!A132&lt;&gt;"","08_资产清单","")</f>
        <v/>
      </c>
      <c r="D3132" s="14">
        <f>IF('08_资产清单'!A132&lt;&gt;"",'08_资产清单'!A132,"")</f>
        <v/>
      </c>
      <c r="E3132" s="14">
        <f>IF(F3132&lt;&gt;"","综合校验","")</f>
        <v/>
      </c>
      <c r="F3132" s="14">
        <f>IF('08_资产清单'!A132&lt;&gt;"",IF('08_资产清单'!A132="","缺少资产ID；","")&amp;IF('08_资产清单'!B132="","缺少资产名称；","")&amp;IF('08_资产清单'!C132="","缺少对象ID；","")&amp;IF('08_资产清单'!D132="","缺少资产类别；","")&amp;IF('08_资产清单'!G132="","缺少文件名；","")&amp;IF(AND('08_资产清单'!C132&lt;&gt;"",COUNTIF('02_固定地理'!$A$2:$A$501,'08_资产清单'!C132)+COUNTIF('03_地点锚点'!$A$2:$A$501,'08_资产清单'!C132)+COUNTIF('04_路径网络'!$A$2:$A$501,'08_资产清单'!C132)+COUNTIF('06_建筑锚点'!$A$2:$A$501,'08_资产清单'!C132)=0),"资产引用对象不存在；","")&amp;IF(AND('08_资产清单'!E132&lt;&gt;"",COUNTIF('07_动态状态'!$A$2:$A$501,'08_资产清单'!E132)=0),"状态编码不存在；","")&amp;IF(AND('08_资产清单'!G132&lt;&gt;"",COUNTIF('08_资产清单'!$G$2:$G$501,'08_资产清单'!G132)&gt;1),"文件名重复；","")&amp;IF(AND('08_资产清单'!A132&lt;&gt;"",COUNTIF('08_资产清单'!$A$2:$A$501,'08_资产清单'!A132)&gt;1),"ID重复；",""),"")</f>
        <v/>
      </c>
      <c r="G3132" s="14">
        <f>IF(F3132&lt;&gt;"","按字段批注、数据字典和来源记录修正后复核","")</f>
        <v/>
      </c>
      <c r="H3132" s="14">
        <f>IF(F3132&lt;&gt;"","待处理","")</f>
        <v/>
      </c>
    </row>
    <row r="3133">
      <c r="A3133" s="14">
        <f>IF(F3133&lt;&gt;"","ISSUE-"&amp;TEXT(ROW()-1,"00000"),"")</f>
        <v/>
      </c>
      <c r="B3133" s="14">
        <f>IF(F3133&lt;&gt;"","错误","")</f>
        <v/>
      </c>
      <c r="C3133" s="14">
        <f>IF('08_资产清单'!A133&lt;&gt;"","08_资产清单","")</f>
        <v/>
      </c>
      <c r="D3133" s="14">
        <f>IF('08_资产清单'!A133&lt;&gt;"",'08_资产清单'!A133,"")</f>
        <v/>
      </c>
      <c r="E3133" s="14">
        <f>IF(F3133&lt;&gt;"","综合校验","")</f>
        <v/>
      </c>
      <c r="F3133" s="14">
        <f>IF('08_资产清单'!A133&lt;&gt;"",IF('08_资产清单'!A133="","缺少资产ID；","")&amp;IF('08_资产清单'!B133="","缺少资产名称；","")&amp;IF('08_资产清单'!C133="","缺少对象ID；","")&amp;IF('08_资产清单'!D133="","缺少资产类别；","")&amp;IF('08_资产清单'!G133="","缺少文件名；","")&amp;IF(AND('08_资产清单'!C133&lt;&gt;"",COUNTIF('02_固定地理'!$A$2:$A$501,'08_资产清单'!C133)+COUNTIF('03_地点锚点'!$A$2:$A$501,'08_资产清单'!C133)+COUNTIF('04_路径网络'!$A$2:$A$501,'08_资产清单'!C133)+COUNTIF('06_建筑锚点'!$A$2:$A$501,'08_资产清单'!C133)=0),"资产引用对象不存在；","")&amp;IF(AND('08_资产清单'!E133&lt;&gt;"",COUNTIF('07_动态状态'!$A$2:$A$501,'08_资产清单'!E133)=0),"状态编码不存在；","")&amp;IF(AND('08_资产清单'!G133&lt;&gt;"",COUNTIF('08_资产清单'!$G$2:$G$501,'08_资产清单'!G133)&gt;1),"文件名重复；","")&amp;IF(AND('08_资产清单'!A133&lt;&gt;"",COUNTIF('08_资产清单'!$A$2:$A$501,'08_资产清单'!A133)&gt;1),"ID重复；",""),"")</f>
        <v/>
      </c>
      <c r="G3133" s="14">
        <f>IF(F3133&lt;&gt;"","按字段批注、数据字典和来源记录修正后复核","")</f>
        <v/>
      </c>
      <c r="H3133" s="14">
        <f>IF(F3133&lt;&gt;"","待处理","")</f>
        <v/>
      </c>
    </row>
    <row r="3134">
      <c r="A3134" s="14">
        <f>IF(F3134&lt;&gt;"","ISSUE-"&amp;TEXT(ROW()-1,"00000"),"")</f>
        <v/>
      </c>
      <c r="B3134" s="14">
        <f>IF(F3134&lt;&gt;"","错误","")</f>
        <v/>
      </c>
      <c r="C3134" s="14">
        <f>IF('08_资产清单'!A134&lt;&gt;"","08_资产清单","")</f>
        <v/>
      </c>
      <c r="D3134" s="14">
        <f>IF('08_资产清单'!A134&lt;&gt;"",'08_资产清单'!A134,"")</f>
        <v/>
      </c>
      <c r="E3134" s="14">
        <f>IF(F3134&lt;&gt;"","综合校验","")</f>
        <v/>
      </c>
      <c r="F3134" s="14">
        <f>IF('08_资产清单'!A134&lt;&gt;"",IF('08_资产清单'!A134="","缺少资产ID；","")&amp;IF('08_资产清单'!B134="","缺少资产名称；","")&amp;IF('08_资产清单'!C134="","缺少对象ID；","")&amp;IF('08_资产清单'!D134="","缺少资产类别；","")&amp;IF('08_资产清单'!G134="","缺少文件名；","")&amp;IF(AND('08_资产清单'!C134&lt;&gt;"",COUNTIF('02_固定地理'!$A$2:$A$501,'08_资产清单'!C134)+COUNTIF('03_地点锚点'!$A$2:$A$501,'08_资产清单'!C134)+COUNTIF('04_路径网络'!$A$2:$A$501,'08_资产清单'!C134)+COUNTIF('06_建筑锚点'!$A$2:$A$501,'08_资产清单'!C134)=0),"资产引用对象不存在；","")&amp;IF(AND('08_资产清单'!E134&lt;&gt;"",COUNTIF('07_动态状态'!$A$2:$A$501,'08_资产清单'!E134)=0),"状态编码不存在；","")&amp;IF(AND('08_资产清单'!G134&lt;&gt;"",COUNTIF('08_资产清单'!$G$2:$G$501,'08_资产清单'!G134)&gt;1),"文件名重复；","")&amp;IF(AND('08_资产清单'!A134&lt;&gt;"",COUNTIF('08_资产清单'!$A$2:$A$501,'08_资产清单'!A134)&gt;1),"ID重复；",""),"")</f>
        <v/>
      </c>
      <c r="G3134" s="14">
        <f>IF(F3134&lt;&gt;"","按字段批注、数据字典和来源记录修正后复核","")</f>
        <v/>
      </c>
      <c r="H3134" s="14">
        <f>IF(F3134&lt;&gt;"","待处理","")</f>
        <v/>
      </c>
    </row>
    <row r="3135">
      <c r="A3135" s="14">
        <f>IF(F3135&lt;&gt;"","ISSUE-"&amp;TEXT(ROW()-1,"00000"),"")</f>
        <v/>
      </c>
      <c r="B3135" s="14">
        <f>IF(F3135&lt;&gt;"","错误","")</f>
        <v/>
      </c>
      <c r="C3135" s="14">
        <f>IF('08_资产清单'!A135&lt;&gt;"","08_资产清单","")</f>
        <v/>
      </c>
      <c r="D3135" s="14">
        <f>IF('08_资产清单'!A135&lt;&gt;"",'08_资产清单'!A135,"")</f>
        <v/>
      </c>
      <c r="E3135" s="14">
        <f>IF(F3135&lt;&gt;"","综合校验","")</f>
        <v/>
      </c>
      <c r="F3135" s="14">
        <f>IF('08_资产清单'!A135&lt;&gt;"",IF('08_资产清单'!A135="","缺少资产ID；","")&amp;IF('08_资产清单'!B135="","缺少资产名称；","")&amp;IF('08_资产清单'!C135="","缺少对象ID；","")&amp;IF('08_资产清单'!D135="","缺少资产类别；","")&amp;IF('08_资产清单'!G135="","缺少文件名；","")&amp;IF(AND('08_资产清单'!C135&lt;&gt;"",COUNTIF('02_固定地理'!$A$2:$A$501,'08_资产清单'!C135)+COUNTIF('03_地点锚点'!$A$2:$A$501,'08_资产清单'!C135)+COUNTIF('04_路径网络'!$A$2:$A$501,'08_资产清单'!C135)+COUNTIF('06_建筑锚点'!$A$2:$A$501,'08_资产清单'!C135)=0),"资产引用对象不存在；","")&amp;IF(AND('08_资产清单'!E135&lt;&gt;"",COUNTIF('07_动态状态'!$A$2:$A$501,'08_资产清单'!E135)=0),"状态编码不存在；","")&amp;IF(AND('08_资产清单'!G135&lt;&gt;"",COUNTIF('08_资产清单'!$G$2:$G$501,'08_资产清单'!G135)&gt;1),"文件名重复；","")&amp;IF(AND('08_资产清单'!A135&lt;&gt;"",COUNTIF('08_资产清单'!$A$2:$A$501,'08_资产清单'!A135)&gt;1),"ID重复；",""),"")</f>
        <v/>
      </c>
      <c r="G3135" s="14">
        <f>IF(F3135&lt;&gt;"","按字段批注、数据字典和来源记录修正后复核","")</f>
        <v/>
      </c>
      <c r="H3135" s="14">
        <f>IF(F3135&lt;&gt;"","待处理","")</f>
        <v/>
      </c>
    </row>
    <row r="3136">
      <c r="A3136" s="14">
        <f>IF(F3136&lt;&gt;"","ISSUE-"&amp;TEXT(ROW()-1,"00000"),"")</f>
        <v/>
      </c>
      <c r="B3136" s="14">
        <f>IF(F3136&lt;&gt;"","错误","")</f>
        <v/>
      </c>
      <c r="C3136" s="14">
        <f>IF('08_资产清单'!A136&lt;&gt;"","08_资产清单","")</f>
        <v/>
      </c>
      <c r="D3136" s="14">
        <f>IF('08_资产清单'!A136&lt;&gt;"",'08_资产清单'!A136,"")</f>
        <v/>
      </c>
      <c r="E3136" s="14">
        <f>IF(F3136&lt;&gt;"","综合校验","")</f>
        <v/>
      </c>
      <c r="F3136" s="14">
        <f>IF('08_资产清单'!A136&lt;&gt;"",IF('08_资产清单'!A136="","缺少资产ID；","")&amp;IF('08_资产清单'!B136="","缺少资产名称；","")&amp;IF('08_资产清单'!C136="","缺少对象ID；","")&amp;IF('08_资产清单'!D136="","缺少资产类别；","")&amp;IF('08_资产清单'!G136="","缺少文件名；","")&amp;IF(AND('08_资产清单'!C136&lt;&gt;"",COUNTIF('02_固定地理'!$A$2:$A$501,'08_资产清单'!C136)+COUNTIF('03_地点锚点'!$A$2:$A$501,'08_资产清单'!C136)+COUNTIF('04_路径网络'!$A$2:$A$501,'08_资产清单'!C136)+COUNTIF('06_建筑锚点'!$A$2:$A$501,'08_资产清单'!C136)=0),"资产引用对象不存在；","")&amp;IF(AND('08_资产清单'!E136&lt;&gt;"",COUNTIF('07_动态状态'!$A$2:$A$501,'08_资产清单'!E136)=0),"状态编码不存在；","")&amp;IF(AND('08_资产清单'!G136&lt;&gt;"",COUNTIF('08_资产清单'!$G$2:$G$501,'08_资产清单'!G136)&gt;1),"文件名重复；","")&amp;IF(AND('08_资产清单'!A136&lt;&gt;"",COUNTIF('08_资产清单'!$A$2:$A$501,'08_资产清单'!A136)&gt;1),"ID重复；",""),"")</f>
        <v/>
      </c>
      <c r="G3136" s="14">
        <f>IF(F3136&lt;&gt;"","按字段批注、数据字典和来源记录修正后复核","")</f>
        <v/>
      </c>
      <c r="H3136" s="14">
        <f>IF(F3136&lt;&gt;"","待处理","")</f>
        <v/>
      </c>
    </row>
    <row r="3137">
      <c r="A3137" s="14">
        <f>IF(F3137&lt;&gt;"","ISSUE-"&amp;TEXT(ROW()-1,"00000"),"")</f>
        <v/>
      </c>
      <c r="B3137" s="14">
        <f>IF(F3137&lt;&gt;"","错误","")</f>
        <v/>
      </c>
      <c r="C3137" s="14">
        <f>IF('08_资产清单'!A137&lt;&gt;"","08_资产清单","")</f>
        <v/>
      </c>
      <c r="D3137" s="14">
        <f>IF('08_资产清单'!A137&lt;&gt;"",'08_资产清单'!A137,"")</f>
        <v/>
      </c>
      <c r="E3137" s="14">
        <f>IF(F3137&lt;&gt;"","综合校验","")</f>
        <v/>
      </c>
      <c r="F3137" s="14">
        <f>IF('08_资产清单'!A137&lt;&gt;"",IF('08_资产清单'!A137="","缺少资产ID；","")&amp;IF('08_资产清单'!B137="","缺少资产名称；","")&amp;IF('08_资产清单'!C137="","缺少对象ID；","")&amp;IF('08_资产清单'!D137="","缺少资产类别；","")&amp;IF('08_资产清单'!G137="","缺少文件名；","")&amp;IF(AND('08_资产清单'!C137&lt;&gt;"",COUNTIF('02_固定地理'!$A$2:$A$501,'08_资产清单'!C137)+COUNTIF('03_地点锚点'!$A$2:$A$501,'08_资产清单'!C137)+COUNTIF('04_路径网络'!$A$2:$A$501,'08_资产清单'!C137)+COUNTIF('06_建筑锚点'!$A$2:$A$501,'08_资产清单'!C137)=0),"资产引用对象不存在；","")&amp;IF(AND('08_资产清单'!E137&lt;&gt;"",COUNTIF('07_动态状态'!$A$2:$A$501,'08_资产清单'!E137)=0),"状态编码不存在；","")&amp;IF(AND('08_资产清单'!G137&lt;&gt;"",COUNTIF('08_资产清单'!$G$2:$G$501,'08_资产清单'!G137)&gt;1),"文件名重复；","")&amp;IF(AND('08_资产清单'!A137&lt;&gt;"",COUNTIF('08_资产清单'!$A$2:$A$501,'08_资产清单'!A137)&gt;1),"ID重复；",""),"")</f>
        <v/>
      </c>
      <c r="G3137" s="14">
        <f>IF(F3137&lt;&gt;"","按字段批注、数据字典和来源记录修正后复核","")</f>
        <v/>
      </c>
      <c r="H3137" s="14">
        <f>IF(F3137&lt;&gt;"","待处理","")</f>
        <v/>
      </c>
    </row>
    <row r="3138">
      <c r="A3138" s="14">
        <f>IF(F3138&lt;&gt;"","ISSUE-"&amp;TEXT(ROW()-1,"00000"),"")</f>
        <v/>
      </c>
      <c r="B3138" s="14">
        <f>IF(F3138&lt;&gt;"","错误","")</f>
        <v/>
      </c>
      <c r="C3138" s="14">
        <f>IF('08_资产清单'!A138&lt;&gt;"","08_资产清单","")</f>
        <v/>
      </c>
      <c r="D3138" s="14">
        <f>IF('08_资产清单'!A138&lt;&gt;"",'08_资产清单'!A138,"")</f>
        <v/>
      </c>
      <c r="E3138" s="14">
        <f>IF(F3138&lt;&gt;"","综合校验","")</f>
        <v/>
      </c>
      <c r="F3138" s="14">
        <f>IF('08_资产清单'!A138&lt;&gt;"",IF('08_资产清单'!A138="","缺少资产ID；","")&amp;IF('08_资产清单'!B138="","缺少资产名称；","")&amp;IF('08_资产清单'!C138="","缺少对象ID；","")&amp;IF('08_资产清单'!D138="","缺少资产类别；","")&amp;IF('08_资产清单'!G138="","缺少文件名；","")&amp;IF(AND('08_资产清单'!C138&lt;&gt;"",COUNTIF('02_固定地理'!$A$2:$A$501,'08_资产清单'!C138)+COUNTIF('03_地点锚点'!$A$2:$A$501,'08_资产清单'!C138)+COUNTIF('04_路径网络'!$A$2:$A$501,'08_资产清单'!C138)+COUNTIF('06_建筑锚点'!$A$2:$A$501,'08_资产清单'!C138)=0),"资产引用对象不存在；","")&amp;IF(AND('08_资产清单'!E138&lt;&gt;"",COUNTIF('07_动态状态'!$A$2:$A$501,'08_资产清单'!E138)=0),"状态编码不存在；","")&amp;IF(AND('08_资产清单'!G138&lt;&gt;"",COUNTIF('08_资产清单'!$G$2:$G$501,'08_资产清单'!G138)&gt;1),"文件名重复；","")&amp;IF(AND('08_资产清单'!A138&lt;&gt;"",COUNTIF('08_资产清单'!$A$2:$A$501,'08_资产清单'!A138)&gt;1),"ID重复；",""),"")</f>
        <v/>
      </c>
      <c r="G3138" s="14">
        <f>IF(F3138&lt;&gt;"","按字段批注、数据字典和来源记录修正后复核","")</f>
        <v/>
      </c>
      <c r="H3138" s="14">
        <f>IF(F3138&lt;&gt;"","待处理","")</f>
        <v/>
      </c>
    </row>
    <row r="3139">
      <c r="A3139" s="14">
        <f>IF(F3139&lt;&gt;"","ISSUE-"&amp;TEXT(ROW()-1,"00000"),"")</f>
        <v/>
      </c>
      <c r="B3139" s="14">
        <f>IF(F3139&lt;&gt;"","错误","")</f>
        <v/>
      </c>
      <c r="C3139" s="14">
        <f>IF('08_资产清单'!A139&lt;&gt;"","08_资产清单","")</f>
        <v/>
      </c>
      <c r="D3139" s="14">
        <f>IF('08_资产清单'!A139&lt;&gt;"",'08_资产清单'!A139,"")</f>
        <v/>
      </c>
      <c r="E3139" s="14">
        <f>IF(F3139&lt;&gt;"","综合校验","")</f>
        <v/>
      </c>
      <c r="F3139" s="14">
        <f>IF('08_资产清单'!A139&lt;&gt;"",IF('08_资产清单'!A139="","缺少资产ID；","")&amp;IF('08_资产清单'!B139="","缺少资产名称；","")&amp;IF('08_资产清单'!C139="","缺少对象ID；","")&amp;IF('08_资产清单'!D139="","缺少资产类别；","")&amp;IF('08_资产清单'!G139="","缺少文件名；","")&amp;IF(AND('08_资产清单'!C139&lt;&gt;"",COUNTIF('02_固定地理'!$A$2:$A$501,'08_资产清单'!C139)+COUNTIF('03_地点锚点'!$A$2:$A$501,'08_资产清单'!C139)+COUNTIF('04_路径网络'!$A$2:$A$501,'08_资产清单'!C139)+COUNTIF('06_建筑锚点'!$A$2:$A$501,'08_资产清单'!C139)=0),"资产引用对象不存在；","")&amp;IF(AND('08_资产清单'!E139&lt;&gt;"",COUNTIF('07_动态状态'!$A$2:$A$501,'08_资产清单'!E139)=0),"状态编码不存在；","")&amp;IF(AND('08_资产清单'!G139&lt;&gt;"",COUNTIF('08_资产清单'!$G$2:$G$501,'08_资产清单'!G139)&gt;1),"文件名重复；","")&amp;IF(AND('08_资产清单'!A139&lt;&gt;"",COUNTIF('08_资产清单'!$A$2:$A$501,'08_资产清单'!A139)&gt;1),"ID重复；",""),"")</f>
        <v/>
      </c>
      <c r="G3139" s="14">
        <f>IF(F3139&lt;&gt;"","按字段批注、数据字典和来源记录修正后复核","")</f>
        <v/>
      </c>
      <c r="H3139" s="14">
        <f>IF(F3139&lt;&gt;"","待处理","")</f>
        <v/>
      </c>
    </row>
    <row r="3140">
      <c r="A3140" s="14">
        <f>IF(F3140&lt;&gt;"","ISSUE-"&amp;TEXT(ROW()-1,"00000"),"")</f>
        <v/>
      </c>
      <c r="B3140" s="14">
        <f>IF(F3140&lt;&gt;"","错误","")</f>
        <v/>
      </c>
      <c r="C3140" s="14">
        <f>IF('08_资产清单'!A140&lt;&gt;"","08_资产清单","")</f>
        <v/>
      </c>
      <c r="D3140" s="14">
        <f>IF('08_资产清单'!A140&lt;&gt;"",'08_资产清单'!A140,"")</f>
        <v/>
      </c>
      <c r="E3140" s="14">
        <f>IF(F3140&lt;&gt;"","综合校验","")</f>
        <v/>
      </c>
      <c r="F3140" s="14">
        <f>IF('08_资产清单'!A140&lt;&gt;"",IF('08_资产清单'!A140="","缺少资产ID；","")&amp;IF('08_资产清单'!B140="","缺少资产名称；","")&amp;IF('08_资产清单'!C140="","缺少对象ID；","")&amp;IF('08_资产清单'!D140="","缺少资产类别；","")&amp;IF('08_资产清单'!G140="","缺少文件名；","")&amp;IF(AND('08_资产清单'!C140&lt;&gt;"",COUNTIF('02_固定地理'!$A$2:$A$501,'08_资产清单'!C140)+COUNTIF('03_地点锚点'!$A$2:$A$501,'08_资产清单'!C140)+COUNTIF('04_路径网络'!$A$2:$A$501,'08_资产清单'!C140)+COUNTIF('06_建筑锚点'!$A$2:$A$501,'08_资产清单'!C140)=0),"资产引用对象不存在；","")&amp;IF(AND('08_资产清单'!E140&lt;&gt;"",COUNTIF('07_动态状态'!$A$2:$A$501,'08_资产清单'!E140)=0),"状态编码不存在；","")&amp;IF(AND('08_资产清单'!G140&lt;&gt;"",COUNTIF('08_资产清单'!$G$2:$G$501,'08_资产清单'!G140)&gt;1),"文件名重复；","")&amp;IF(AND('08_资产清单'!A140&lt;&gt;"",COUNTIF('08_资产清单'!$A$2:$A$501,'08_资产清单'!A140)&gt;1),"ID重复；",""),"")</f>
        <v/>
      </c>
      <c r="G3140" s="14">
        <f>IF(F3140&lt;&gt;"","按字段批注、数据字典和来源记录修正后复核","")</f>
        <v/>
      </c>
      <c r="H3140" s="14">
        <f>IF(F3140&lt;&gt;"","待处理","")</f>
        <v/>
      </c>
    </row>
    <row r="3141">
      <c r="A3141" s="14">
        <f>IF(F3141&lt;&gt;"","ISSUE-"&amp;TEXT(ROW()-1,"00000"),"")</f>
        <v/>
      </c>
      <c r="B3141" s="14">
        <f>IF(F3141&lt;&gt;"","错误","")</f>
        <v/>
      </c>
      <c r="C3141" s="14">
        <f>IF('08_资产清单'!A141&lt;&gt;"","08_资产清单","")</f>
        <v/>
      </c>
      <c r="D3141" s="14">
        <f>IF('08_资产清单'!A141&lt;&gt;"",'08_资产清单'!A141,"")</f>
        <v/>
      </c>
      <c r="E3141" s="14">
        <f>IF(F3141&lt;&gt;"","综合校验","")</f>
        <v/>
      </c>
      <c r="F3141" s="14">
        <f>IF('08_资产清单'!A141&lt;&gt;"",IF('08_资产清单'!A141="","缺少资产ID；","")&amp;IF('08_资产清单'!B141="","缺少资产名称；","")&amp;IF('08_资产清单'!C141="","缺少对象ID；","")&amp;IF('08_资产清单'!D141="","缺少资产类别；","")&amp;IF('08_资产清单'!G141="","缺少文件名；","")&amp;IF(AND('08_资产清单'!C141&lt;&gt;"",COUNTIF('02_固定地理'!$A$2:$A$501,'08_资产清单'!C141)+COUNTIF('03_地点锚点'!$A$2:$A$501,'08_资产清单'!C141)+COUNTIF('04_路径网络'!$A$2:$A$501,'08_资产清单'!C141)+COUNTIF('06_建筑锚点'!$A$2:$A$501,'08_资产清单'!C141)=0),"资产引用对象不存在；","")&amp;IF(AND('08_资产清单'!E141&lt;&gt;"",COUNTIF('07_动态状态'!$A$2:$A$501,'08_资产清单'!E141)=0),"状态编码不存在；","")&amp;IF(AND('08_资产清单'!G141&lt;&gt;"",COUNTIF('08_资产清单'!$G$2:$G$501,'08_资产清单'!G141)&gt;1),"文件名重复；","")&amp;IF(AND('08_资产清单'!A141&lt;&gt;"",COUNTIF('08_资产清单'!$A$2:$A$501,'08_资产清单'!A141)&gt;1),"ID重复；",""),"")</f>
        <v/>
      </c>
      <c r="G3141" s="14">
        <f>IF(F3141&lt;&gt;"","按字段批注、数据字典和来源记录修正后复核","")</f>
        <v/>
      </c>
      <c r="H3141" s="14">
        <f>IF(F3141&lt;&gt;"","待处理","")</f>
        <v/>
      </c>
    </row>
    <row r="3142">
      <c r="A3142" s="14">
        <f>IF(F3142&lt;&gt;"","ISSUE-"&amp;TEXT(ROW()-1,"00000"),"")</f>
        <v/>
      </c>
      <c r="B3142" s="14">
        <f>IF(F3142&lt;&gt;"","错误","")</f>
        <v/>
      </c>
      <c r="C3142" s="14">
        <f>IF('08_资产清单'!A142&lt;&gt;"","08_资产清单","")</f>
        <v/>
      </c>
      <c r="D3142" s="14">
        <f>IF('08_资产清单'!A142&lt;&gt;"",'08_资产清单'!A142,"")</f>
        <v/>
      </c>
      <c r="E3142" s="14">
        <f>IF(F3142&lt;&gt;"","综合校验","")</f>
        <v/>
      </c>
      <c r="F3142" s="14">
        <f>IF('08_资产清单'!A142&lt;&gt;"",IF('08_资产清单'!A142="","缺少资产ID；","")&amp;IF('08_资产清单'!B142="","缺少资产名称；","")&amp;IF('08_资产清单'!C142="","缺少对象ID；","")&amp;IF('08_资产清单'!D142="","缺少资产类别；","")&amp;IF('08_资产清单'!G142="","缺少文件名；","")&amp;IF(AND('08_资产清单'!C142&lt;&gt;"",COUNTIF('02_固定地理'!$A$2:$A$501,'08_资产清单'!C142)+COUNTIF('03_地点锚点'!$A$2:$A$501,'08_资产清单'!C142)+COUNTIF('04_路径网络'!$A$2:$A$501,'08_资产清单'!C142)+COUNTIF('06_建筑锚点'!$A$2:$A$501,'08_资产清单'!C142)=0),"资产引用对象不存在；","")&amp;IF(AND('08_资产清单'!E142&lt;&gt;"",COUNTIF('07_动态状态'!$A$2:$A$501,'08_资产清单'!E142)=0),"状态编码不存在；","")&amp;IF(AND('08_资产清单'!G142&lt;&gt;"",COUNTIF('08_资产清单'!$G$2:$G$501,'08_资产清单'!G142)&gt;1),"文件名重复；","")&amp;IF(AND('08_资产清单'!A142&lt;&gt;"",COUNTIF('08_资产清单'!$A$2:$A$501,'08_资产清单'!A142)&gt;1),"ID重复；",""),"")</f>
        <v/>
      </c>
      <c r="G3142" s="14">
        <f>IF(F3142&lt;&gt;"","按字段批注、数据字典和来源记录修正后复核","")</f>
        <v/>
      </c>
      <c r="H3142" s="14">
        <f>IF(F3142&lt;&gt;"","待处理","")</f>
        <v/>
      </c>
    </row>
    <row r="3143">
      <c r="A3143" s="14">
        <f>IF(F3143&lt;&gt;"","ISSUE-"&amp;TEXT(ROW()-1,"00000"),"")</f>
        <v/>
      </c>
      <c r="B3143" s="14">
        <f>IF(F3143&lt;&gt;"","错误","")</f>
        <v/>
      </c>
      <c r="C3143" s="14">
        <f>IF('08_资产清单'!A143&lt;&gt;"","08_资产清单","")</f>
        <v/>
      </c>
      <c r="D3143" s="14">
        <f>IF('08_资产清单'!A143&lt;&gt;"",'08_资产清单'!A143,"")</f>
        <v/>
      </c>
      <c r="E3143" s="14">
        <f>IF(F3143&lt;&gt;"","综合校验","")</f>
        <v/>
      </c>
      <c r="F3143" s="14">
        <f>IF('08_资产清单'!A143&lt;&gt;"",IF('08_资产清单'!A143="","缺少资产ID；","")&amp;IF('08_资产清单'!B143="","缺少资产名称；","")&amp;IF('08_资产清单'!C143="","缺少对象ID；","")&amp;IF('08_资产清单'!D143="","缺少资产类别；","")&amp;IF('08_资产清单'!G143="","缺少文件名；","")&amp;IF(AND('08_资产清单'!C143&lt;&gt;"",COUNTIF('02_固定地理'!$A$2:$A$501,'08_资产清单'!C143)+COUNTIF('03_地点锚点'!$A$2:$A$501,'08_资产清单'!C143)+COUNTIF('04_路径网络'!$A$2:$A$501,'08_资产清单'!C143)+COUNTIF('06_建筑锚点'!$A$2:$A$501,'08_资产清单'!C143)=0),"资产引用对象不存在；","")&amp;IF(AND('08_资产清单'!E143&lt;&gt;"",COUNTIF('07_动态状态'!$A$2:$A$501,'08_资产清单'!E143)=0),"状态编码不存在；","")&amp;IF(AND('08_资产清单'!G143&lt;&gt;"",COUNTIF('08_资产清单'!$G$2:$G$501,'08_资产清单'!G143)&gt;1),"文件名重复；","")&amp;IF(AND('08_资产清单'!A143&lt;&gt;"",COUNTIF('08_资产清单'!$A$2:$A$501,'08_资产清单'!A143)&gt;1),"ID重复；",""),"")</f>
        <v/>
      </c>
      <c r="G3143" s="14">
        <f>IF(F3143&lt;&gt;"","按字段批注、数据字典和来源记录修正后复核","")</f>
        <v/>
      </c>
      <c r="H3143" s="14">
        <f>IF(F3143&lt;&gt;"","待处理","")</f>
        <v/>
      </c>
    </row>
    <row r="3144">
      <c r="A3144" s="14">
        <f>IF(F3144&lt;&gt;"","ISSUE-"&amp;TEXT(ROW()-1,"00000"),"")</f>
        <v/>
      </c>
      <c r="B3144" s="14">
        <f>IF(F3144&lt;&gt;"","错误","")</f>
        <v/>
      </c>
      <c r="C3144" s="14">
        <f>IF('08_资产清单'!A144&lt;&gt;"","08_资产清单","")</f>
        <v/>
      </c>
      <c r="D3144" s="14">
        <f>IF('08_资产清单'!A144&lt;&gt;"",'08_资产清单'!A144,"")</f>
        <v/>
      </c>
      <c r="E3144" s="14">
        <f>IF(F3144&lt;&gt;"","综合校验","")</f>
        <v/>
      </c>
      <c r="F3144" s="14">
        <f>IF('08_资产清单'!A144&lt;&gt;"",IF('08_资产清单'!A144="","缺少资产ID；","")&amp;IF('08_资产清单'!B144="","缺少资产名称；","")&amp;IF('08_资产清单'!C144="","缺少对象ID；","")&amp;IF('08_资产清单'!D144="","缺少资产类别；","")&amp;IF('08_资产清单'!G144="","缺少文件名；","")&amp;IF(AND('08_资产清单'!C144&lt;&gt;"",COUNTIF('02_固定地理'!$A$2:$A$501,'08_资产清单'!C144)+COUNTIF('03_地点锚点'!$A$2:$A$501,'08_资产清单'!C144)+COUNTIF('04_路径网络'!$A$2:$A$501,'08_资产清单'!C144)+COUNTIF('06_建筑锚点'!$A$2:$A$501,'08_资产清单'!C144)=0),"资产引用对象不存在；","")&amp;IF(AND('08_资产清单'!E144&lt;&gt;"",COUNTIF('07_动态状态'!$A$2:$A$501,'08_资产清单'!E144)=0),"状态编码不存在；","")&amp;IF(AND('08_资产清单'!G144&lt;&gt;"",COUNTIF('08_资产清单'!$G$2:$G$501,'08_资产清单'!G144)&gt;1),"文件名重复；","")&amp;IF(AND('08_资产清单'!A144&lt;&gt;"",COUNTIF('08_资产清单'!$A$2:$A$501,'08_资产清单'!A144)&gt;1),"ID重复；",""),"")</f>
        <v/>
      </c>
      <c r="G3144" s="14">
        <f>IF(F3144&lt;&gt;"","按字段批注、数据字典和来源记录修正后复核","")</f>
        <v/>
      </c>
      <c r="H3144" s="14">
        <f>IF(F3144&lt;&gt;"","待处理","")</f>
        <v/>
      </c>
    </row>
    <row r="3145">
      <c r="A3145" s="14">
        <f>IF(F3145&lt;&gt;"","ISSUE-"&amp;TEXT(ROW()-1,"00000"),"")</f>
        <v/>
      </c>
      <c r="B3145" s="14">
        <f>IF(F3145&lt;&gt;"","错误","")</f>
        <v/>
      </c>
      <c r="C3145" s="14">
        <f>IF('08_资产清单'!A145&lt;&gt;"","08_资产清单","")</f>
        <v/>
      </c>
      <c r="D3145" s="14">
        <f>IF('08_资产清单'!A145&lt;&gt;"",'08_资产清单'!A145,"")</f>
        <v/>
      </c>
      <c r="E3145" s="14">
        <f>IF(F3145&lt;&gt;"","综合校验","")</f>
        <v/>
      </c>
      <c r="F3145" s="14">
        <f>IF('08_资产清单'!A145&lt;&gt;"",IF('08_资产清单'!A145="","缺少资产ID；","")&amp;IF('08_资产清单'!B145="","缺少资产名称；","")&amp;IF('08_资产清单'!C145="","缺少对象ID；","")&amp;IF('08_资产清单'!D145="","缺少资产类别；","")&amp;IF('08_资产清单'!G145="","缺少文件名；","")&amp;IF(AND('08_资产清单'!C145&lt;&gt;"",COUNTIF('02_固定地理'!$A$2:$A$501,'08_资产清单'!C145)+COUNTIF('03_地点锚点'!$A$2:$A$501,'08_资产清单'!C145)+COUNTIF('04_路径网络'!$A$2:$A$501,'08_资产清单'!C145)+COUNTIF('06_建筑锚点'!$A$2:$A$501,'08_资产清单'!C145)=0),"资产引用对象不存在；","")&amp;IF(AND('08_资产清单'!E145&lt;&gt;"",COUNTIF('07_动态状态'!$A$2:$A$501,'08_资产清单'!E145)=0),"状态编码不存在；","")&amp;IF(AND('08_资产清单'!G145&lt;&gt;"",COUNTIF('08_资产清单'!$G$2:$G$501,'08_资产清单'!G145)&gt;1),"文件名重复；","")&amp;IF(AND('08_资产清单'!A145&lt;&gt;"",COUNTIF('08_资产清单'!$A$2:$A$501,'08_资产清单'!A145)&gt;1),"ID重复；",""),"")</f>
        <v/>
      </c>
      <c r="G3145" s="14">
        <f>IF(F3145&lt;&gt;"","按字段批注、数据字典和来源记录修正后复核","")</f>
        <v/>
      </c>
      <c r="H3145" s="14">
        <f>IF(F3145&lt;&gt;"","待处理","")</f>
        <v/>
      </c>
    </row>
    <row r="3146">
      <c r="A3146" s="14">
        <f>IF(F3146&lt;&gt;"","ISSUE-"&amp;TEXT(ROW()-1,"00000"),"")</f>
        <v/>
      </c>
      <c r="B3146" s="14">
        <f>IF(F3146&lt;&gt;"","错误","")</f>
        <v/>
      </c>
      <c r="C3146" s="14">
        <f>IF('08_资产清单'!A146&lt;&gt;"","08_资产清单","")</f>
        <v/>
      </c>
      <c r="D3146" s="14">
        <f>IF('08_资产清单'!A146&lt;&gt;"",'08_资产清单'!A146,"")</f>
        <v/>
      </c>
      <c r="E3146" s="14">
        <f>IF(F3146&lt;&gt;"","综合校验","")</f>
        <v/>
      </c>
      <c r="F3146" s="14">
        <f>IF('08_资产清单'!A146&lt;&gt;"",IF('08_资产清单'!A146="","缺少资产ID；","")&amp;IF('08_资产清单'!B146="","缺少资产名称；","")&amp;IF('08_资产清单'!C146="","缺少对象ID；","")&amp;IF('08_资产清单'!D146="","缺少资产类别；","")&amp;IF('08_资产清单'!G146="","缺少文件名；","")&amp;IF(AND('08_资产清单'!C146&lt;&gt;"",COUNTIF('02_固定地理'!$A$2:$A$501,'08_资产清单'!C146)+COUNTIF('03_地点锚点'!$A$2:$A$501,'08_资产清单'!C146)+COUNTIF('04_路径网络'!$A$2:$A$501,'08_资产清单'!C146)+COUNTIF('06_建筑锚点'!$A$2:$A$501,'08_资产清单'!C146)=0),"资产引用对象不存在；","")&amp;IF(AND('08_资产清单'!E146&lt;&gt;"",COUNTIF('07_动态状态'!$A$2:$A$501,'08_资产清单'!E146)=0),"状态编码不存在；","")&amp;IF(AND('08_资产清单'!G146&lt;&gt;"",COUNTIF('08_资产清单'!$G$2:$G$501,'08_资产清单'!G146)&gt;1),"文件名重复；","")&amp;IF(AND('08_资产清单'!A146&lt;&gt;"",COUNTIF('08_资产清单'!$A$2:$A$501,'08_资产清单'!A146)&gt;1),"ID重复；",""),"")</f>
        <v/>
      </c>
      <c r="G3146" s="14">
        <f>IF(F3146&lt;&gt;"","按字段批注、数据字典和来源记录修正后复核","")</f>
        <v/>
      </c>
      <c r="H3146" s="14">
        <f>IF(F3146&lt;&gt;"","待处理","")</f>
        <v/>
      </c>
    </row>
    <row r="3147">
      <c r="A3147" s="14">
        <f>IF(F3147&lt;&gt;"","ISSUE-"&amp;TEXT(ROW()-1,"00000"),"")</f>
        <v/>
      </c>
      <c r="B3147" s="14">
        <f>IF(F3147&lt;&gt;"","错误","")</f>
        <v/>
      </c>
      <c r="C3147" s="14">
        <f>IF('08_资产清单'!A147&lt;&gt;"","08_资产清单","")</f>
        <v/>
      </c>
      <c r="D3147" s="14">
        <f>IF('08_资产清单'!A147&lt;&gt;"",'08_资产清单'!A147,"")</f>
        <v/>
      </c>
      <c r="E3147" s="14">
        <f>IF(F3147&lt;&gt;"","综合校验","")</f>
        <v/>
      </c>
      <c r="F3147" s="14">
        <f>IF('08_资产清单'!A147&lt;&gt;"",IF('08_资产清单'!A147="","缺少资产ID；","")&amp;IF('08_资产清单'!B147="","缺少资产名称；","")&amp;IF('08_资产清单'!C147="","缺少对象ID；","")&amp;IF('08_资产清单'!D147="","缺少资产类别；","")&amp;IF('08_资产清单'!G147="","缺少文件名；","")&amp;IF(AND('08_资产清单'!C147&lt;&gt;"",COUNTIF('02_固定地理'!$A$2:$A$501,'08_资产清单'!C147)+COUNTIF('03_地点锚点'!$A$2:$A$501,'08_资产清单'!C147)+COUNTIF('04_路径网络'!$A$2:$A$501,'08_资产清单'!C147)+COUNTIF('06_建筑锚点'!$A$2:$A$501,'08_资产清单'!C147)=0),"资产引用对象不存在；","")&amp;IF(AND('08_资产清单'!E147&lt;&gt;"",COUNTIF('07_动态状态'!$A$2:$A$501,'08_资产清单'!E147)=0),"状态编码不存在；","")&amp;IF(AND('08_资产清单'!G147&lt;&gt;"",COUNTIF('08_资产清单'!$G$2:$G$501,'08_资产清单'!G147)&gt;1),"文件名重复；","")&amp;IF(AND('08_资产清单'!A147&lt;&gt;"",COUNTIF('08_资产清单'!$A$2:$A$501,'08_资产清单'!A147)&gt;1),"ID重复；",""),"")</f>
        <v/>
      </c>
      <c r="G3147" s="14">
        <f>IF(F3147&lt;&gt;"","按字段批注、数据字典和来源记录修正后复核","")</f>
        <v/>
      </c>
      <c r="H3147" s="14">
        <f>IF(F3147&lt;&gt;"","待处理","")</f>
        <v/>
      </c>
    </row>
    <row r="3148">
      <c r="A3148" s="14">
        <f>IF(F3148&lt;&gt;"","ISSUE-"&amp;TEXT(ROW()-1,"00000"),"")</f>
        <v/>
      </c>
      <c r="B3148" s="14">
        <f>IF(F3148&lt;&gt;"","错误","")</f>
        <v/>
      </c>
      <c r="C3148" s="14">
        <f>IF('08_资产清单'!A148&lt;&gt;"","08_资产清单","")</f>
        <v/>
      </c>
      <c r="D3148" s="14">
        <f>IF('08_资产清单'!A148&lt;&gt;"",'08_资产清单'!A148,"")</f>
        <v/>
      </c>
      <c r="E3148" s="14">
        <f>IF(F3148&lt;&gt;"","综合校验","")</f>
        <v/>
      </c>
      <c r="F3148" s="14">
        <f>IF('08_资产清单'!A148&lt;&gt;"",IF('08_资产清单'!A148="","缺少资产ID；","")&amp;IF('08_资产清单'!B148="","缺少资产名称；","")&amp;IF('08_资产清单'!C148="","缺少对象ID；","")&amp;IF('08_资产清单'!D148="","缺少资产类别；","")&amp;IF('08_资产清单'!G148="","缺少文件名；","")&amp;IF(AND('08_资产清单'!C148&lt;&gt;"",COUNTIF('02_固定地理'!$A$2:$A$501,'08_资产清单'!C148)+COUNTIF('03_地点锚点'!$A$2:$A$501,'08_资产清单'!C148)+COUNTIF('04_路径网络'!$A$2:$A$501,'08_资产清单'!C148)+COUNTIF('06_建筑锚点'!$A$2:$A$501,'08_资产清单'!C148)=0),"资产引用对象不存在；","")&amp;IF(AND('08_资产清单'!E148&lt;&gt;"",COUNTIF('07_动态状态'!$A$2:$A$501,'08_资产清单'!E148)=0),"状态编码不存在；","")&amp;IF(AND('08_资产清单'!G148&lt;&gt;"",COUNTIF('08_资产清单'!$G$2:$G$501,'08_资产清单'!G148)&gt;1),"文件名重复；","")&amp;IF(AND('08_资产清单'!A148&lt;&gt;"",COUNTIF('08_资产清单'!$A$2:$A$501,'08_资产清单'!A148)&gt;1),"ID重复；",""),"")</f>
        <v/>
      </c>
      <c r="G3148" s="14">
        <f>IF(F3148&lt;&gt;"","按字段批注、数据字典和来源记录修正后复核","")</f>
        <v/>
      </c>
      <c r="H3148" s="14">
        <f>IF(F3148&lt;&gt;"","待处理","")</f>
        <v/>
      </c>
    </row>
    <row r="3149">
      <c r="A3149" s="14">
        <f>IF(F3149&lt;&gt;"","ISSUE-"&amp;TEXT(ROW()-1,"00000"),"")</f>
        <v/>
      </c>
      <c r="B3149" s="14">
        <f>IF(F3149&lt;&gt;"","错误","")</f>
        <v/>
      </c>
      <c r="C3149" s="14">
        <f>IF('08_资产清单'!A149&lt;&gt;"","08_资产清单","")</f>
        <v/>
      </c>
      <c r="D3149" s="14">
        <f>IF('08_资产清单'!A149&lt;&gt;"",'08_资产清单'!A149,"")</f>
        <v/>
      </c>
      <c r="E3149" s="14">
        <f>IF(F3149&lt;&gt;"","综合校验","")</f>
        <v/>
      </c>
      <c r="F3149" s="14">
        <f>IF('08_资产清单'!A149&lt;&gt;"",IF('08_资产清单'!A149="","缺少资产ID；","")&amp;IF('08_资产清单'!B149="","缺少资产名称；","")&amp;IF('08_资产清单'!C149="","缺少对象ID；","")&amp;IF('08_资产清单'!D149="","缺少资产类别；","")&amp;IF('08_资产清单'!G149="","缺少文件名；","")&amp;IF(AND('08_资产清单'!C149&lt;&gt;"",COUNTIF('02_固定地理'!$A$2:$A$501,'08_资产清单'!C149)+COUNTIF('03_地点锚点'!$A$2:$A$501,'08_资产清单'!C149)+COUNTIF('04_路径网络'!$A$2:$A$501,'08_资产清单'!C149)+COUNTIF('06_建筑锚点'!$A$2:$A$501,'08_资产清单'!C149)=0),"资产引用对象不存在；","")&amp;IF(AND('08_资产清单'!E149&lt;&gt;"",COUNTIF('07_动态状态'!$A$2:$A$501,'08_资产清单'!E149)=0),"状态编码不存在；","")&amp;IF(AND('08_资产清单'!G149&lt;&gt;"",COUNTIF('08_资产清单'!$G$2:$G$501,'08_资产清单'!G149)&gt;1),"文件名重复；","")&amp;IF(AND('08_资产清单'!A149&lt;&gt;"",COUNTIF('08_资产清单'!$A$2:$A$501,'08_资产清单'!A149)&gt;1),"ID重复；",""),"")</f>
        <v/>
      </c>
      <c r="G3149" s="14">
        <f>IF(F3149&lt;&gt;"","按字段批注、数据字典和来源记录修正后复核","")</f>
        <v/>
      </c>
      <c r="H3149" s="14">
        <f>IF(F3149&lt;&gt;"","待处理","")</f>
        <v/>
      </c>
    </row>
    <row r="3150">
      <c r="A3150" s="14">
        <f>IF(F3150&lt;&gt;"","ISSUE-"&amp;TEXT(ROW()-1,"00000"),"")</f>
        <v/>
      </c>
      <c r="B3150" s="14">
        <f>IF(F3150&lt;&gt;"","错误","")</f>
        <v/>
      </c>
      <c r="C3150" s="14">
        <f>IF('08_资产清单'!A150&lt;&gt;"","08_资产清单","")</f>
        <v/>
      </c>
      <c r="D3150" s="14">
        <f>IF('08_资产清单'!A150&lt;&gt;"",'08_资产清单'!A150,"")</f>
        <v/>
      </c>
      <c r="E3150" s="14">
        <f>IF(F3150&lt;&gt;"","综合校验","")</f>
        <v/>
      </c>
      <c r="F3150" s="14">
        <f>IF('08_资产清单'!A150&lt;&gt;"",IF('08_资产清单'!A150="","缺少资产ID；","")&amp;IF('08_资产清单'!B150="","缺少资产名称；","")&amp;IF('08_资产清单'!C150="","缺少对象ID；","")&amp;IF('08_资产清单'!D150="","缺少资产类别；","")&amp;IF('08_资产清单'!G150="","缺少文件名；","")&amp;IF(AND('08_资产清单'!C150&lt;&gt;"",COUNTIF('02_固定地理'!$A$2:$A$501,'08_资产清单'!C150)+COUNTIF('03_地点锚点'!$A$2:$A$501,'08_资产清单'!C150)+COUNTIF('04_路径网络'!$A$2:$A$501,'08_资产清单'!C150)+COUNTIF('06_建筑锚点'!$A$2:$A$501,'08_资产清单'!C150)=0),"资产引用对象不存在；","")&amp;IF(AND('08_资产清单'!E150&lt;&gt;"",COUNTIF('07_动态状态'!$A$2:$A$501,'08_资产清单'!E150)=0),"状态编码不存在；","")&amp;IF(AND('08_资产清单'!G150&lt;&gt;"",COUNTIF('08_资产清单'!$G$2:$G$501,'08_资产清单'!G150)&gt;1),"文件名重复；","")&amp;IF(AND('08_资产清单'!A150&lt;&gt;"",COUNTIF('08_资产清单'!$A$2:$A$501,'08_资产清单'!A150)&gt;1),"ID重复；",""),"")</f>
        <v/>
      </c>
      <c r="G3150" s="14">
        <f>IF(F3150&lt;&gt;"","按字段批注、数据字典和来源记录修正后复核","")</f>
        <v/>
      </c>
      <c r="H3150" s="14">
        <f>IF(F3150&lt;&gt;"","待处理","")</f>
        <v/>
      </c>
    </row>
    <row r="3151">
      <c r="A3151" s="14">
        <f>IF(F3151&lt;&gt;"","ISSUE-"&amp;TEXT(ROW()-1,"00000"),"")</f>
        <v/>
      </c>
      <c r="B3151" s="14">
        <f>IF(F3151&lt;&gt;"","错误","")</f>
        <v/>
      </c>
      <c r="C3151" s="14">
        <f>IF('08_资产清单'!A151&lt;&gt;"","08_资产清单","")</f>
        <v/>
      </c>
      <c r="D3151" s="14">
        <f>IF('08_资产清单'!A151&lt;&gt;"",'08_资产清单'!A151,"")</f>
        <v/>
      </c>
      <c r="E3151" s="14">
        <f>IF(F3151&lt;&gt;"","综合校验","")</f>
        <v/>
      </c>
      <c r="F3151" s="14">
        <f>IF('08_资产清单'!A151&lt;&gt;"",IF('08_资产清单'!A151="","缺少资产ID；","")&amp;IF('08_资产清单'!B151="","缺少资产名称；","")&amp;IF('08_资产清单'!C151="","缺少对象ID；","")&amp;IF('08_资产清单'!D151="","缺少资产类别；","")&amp;IF('08_资产清单'!G151="","缺少文件名；","")&amp;IF(AND('08_资产清单'!C151&lt;&gt;"",COUNTIF('02_固定地理'!$A$2:$A$501,'08_资产清单'!C151)+COUNTIF('03_地点锚点'!$A$2:$A$501,'08_资产清单'!C151)+COUNTIF('04_路径网络'!$A$2:$A$501,'08_资产清单'!C151)+COUNTIF('06_建筑锚点'!$A$2:$A$501,'08_资产清单'!C151)=0),"资产引用对象不存在；","")&amp;IF(AND('08_资产清单'!E151&lt;&gt;"",COUNTIF('07_动态状态'!$A$2:$A$501,'08_资产清单'!E151)=0),"状态编码不存在；","")&amp;IF(AND('08_资产清单'!G151&lt;&gt;"",COUNTIF('08_资产清单'!$G$2:$G$501,'08_资产清单'!G151)&gt;1),"文件名重复；","")&amp;IF(AND('08_资产清单'!A151&lt;&gt;"",COUNTIF('08_资产清单'!$A$2:$A$501,'08_资产清单'!A151)&gt;1),"ID重复；",""),"")</f>
        <v/>
      </c>
      <c r="G3151" s="14">
        <f>IF(F3151&lt;&gt;"","按字段批注、数据字典和来源记录修正后复核","")</f>
        <v/>
      </c>
      <c r="H3151" s="14">
        <f>IF(F3151&lt;&gt;"","待处理","")</f>
        <v/>
      </c>
    </row>
    <row r="3152">
      <c r="A3152" s="14">
        <f>IF(F3152&lt;&gt;"","ISSUE-"&amp;TEXT(ROW()-1,"00000"),"")</f>
        <v/>
      </c>
      <c r="B3152" s="14">
        <f>IF(F3152&lt;&gt;"","错误","")</f>
        <v/>
      </c>
      <c r="C3152" s="14">
        <f>IF('08_资产清单'!A152&lt;&gt;"","08_资产清单","")</f>
        <v/>
      </c>
      <c r="D3152" s="14">
        <f>IF('08_资产清单'!A152&lt;&gt;"",'08_资产清单'!A152,"")</f>
        <v/>
      </c>
      <c r="E3152" s="14">
        <f>IF(F3152&lt;&gt;"","综合校验","")</f>
        <v/>
      </c>
      <c r="F3152" s="14">
        <f>IF('08_资产清单'!A152&lt;&gt;"",IF('08_资产清单'!A152="","缺少资产ID；","")&amp;IF('08_资产清单'!B152="","缺少资产名称；","")&amp;IF('08_资产清单'!C152="","缺少对象ID；","")&amp;IF('08_资产清单'!D152="","缺少资产类别；","")&amp;IF('08_资产清单'!G152="","缺少文件名；","")&amp;IF(AND('08_资产清单'!C152&lt;&gt;"",COUNTIF('02_固定地理'!$A$2:$A$501,'08_资产清单'!C152)+COUNTIF('03_地点锚点'!$A$2:$A$501,'08_资产清单'!C152)+COUNTIF('04_路径网络'!$A$2:$A$501,'08_资产清单'!C152)+COUNTIF('06_建筑锚点'!$A$2:$A$501,'08_资产清单'!C152)=0),"资产引用对象不存在；","")&amp;IF(AND('08_资产清单'!E152&lt;&gt;"",COUNTIF('07_动态状态'!$A$2:$A$501,'08_资产清单'!E152)=0),"状态编码不存在；","")&amp;IF(AND('08_资产清单'!G152&lt;&gt;"",COUNTIF('08_资产清单'!$G$2:$G$501,'08_资产清单'!G152)&gt;1),"文件名重复；","")&amp;IF(AND('08_资产清单'!A152&lt;&gt;"",COUNTIF('08_资产清单'!$A$2:$A$501,'08_资产清单'!A152)&gt;1),"ID重复；",""),"")</f>
        <v/>
      </c>
      <c r="G3152" s="14">
        <f>IF(F3152&lt;&gt;"","按字段批注、数据字典和来源记录修正后复核","")</f>
        <v/>
      </c>
      <c r="H3152" s="14">
        <f>IF(F3152&lt;&gt;"","待处理","")</f>
        <v/>
      </c>
    </row>
    <row r="3153">
      <c r="A3153" s="14">
        <f>IF(F3153&lt;&gt;"","ISSUE-"&amp;TEXT(ROW()-1,"00000"),"")</f>
        <v/>
      </c>
      <c r="B3153" s="14">
        <f>IF(F3153&lt;&gt;"","错误","")</f>
        <v/>
      </c>
      <c r="C3153" s="14">
        <f>IF('08_资产清单'!A153&lt;&gt;"","08_资产清单","")</f>
        <v/>
      </c>
      <c r="D3153" s="14">
        <f>IF('08_资产清单'!A153&lt;&gt;"",'08_资产清单'!A153,"")</f>
        <v/>
      </c>
      <c r="E3153" s="14">
        <f>IF(F3153&lt;&gt;"","综合校验","")</f>
        <v/>
      </c>
      <c r="F3153" s="14">
        <f>IF('08_资产清单'!A153&lt;&gt;"",IF('08_资产清单'!A153="","缺少资产ID；","")&amp;IF('08_资产清单'!B153="","缺少资产名称；","")&amp;IF('08_资产清单'!C153="","缺少对象ID；","")&amp;IF('08_资产清单'!D153="","缺少资产类别；","")&amp;IF('08_资产清单'!G153="","缺少文件名；","")&amp;IF(AND('08_资产清单'!C153&lt;&gt;"",COUNTIF('02_固定地理'!$A$2:$A$501,'08_资产清单'!C153)+COUNTIF('03_地点锚点'!$A$2:$A$501,'08_资产清单'!C153)+COUNTIF('04_路径网络'!$A$2:$A$501,'08_资产清单'!C153)+COUNTIF('06_建筑锚点'!$A$2:$A$501,'08_资产清单'!C153)=0),"资产引用对象不存在；","")&amp;IF(AND('08_资产清单'!E153&lt;&gt;"",COUNTIF('07_动态状态'!$A$2:$A$501,'08_资产清单'!E153)=0),"状态编码不存在；","")&amp;IF(AND('08_资产清单'!G153&lt;&gt;"",COUNTIF('08_资产清单'!$G$2:$G$501,'08_资产清单'!G153)&gt;1),"文件名重复；","")&amp;IF(AND('08_资产清单'!A153&lt;&gt;"",COUNTIF('08_资产清单'!$A$2:$A$501,'08_资产清单'!A153)&gt;1),"ID重复；",""),"")</f>
        <v/>
      </c>
      <c r="G3153" s="14">
        <f>IF(F3153&lt;&gt;"","按字段批注、数据字典和来源记录修正后复核","")</f>
        <v/>
      </c>
      <c r="H3153" s="14">
        <f>IF(F3153&lt;&gt;"","待处理","")</f>
        <v/>
      </c>
    </row>
    <row r="3154">
      <c r="A3154" s="14">
        <f>IF(F3154&lt;&gt;"","ISSUE-"&amp;TEXT(ROW()-1,"00000"),"")</f>
        <v/>
      </c>
      <c r="B3154" s="14">
        <f>IF(F3154&lt;&gt;"","错误","")</f>
        <v/>
      </c>
      <c r="C3154" s="14">
        <f>IF('08_资产清单'!A154&lt;&gt;"","08_资产清单","")</f>
        <v/>
      </c>
      <c r="D3154" s="14">
        <f>IF('08_资产清单'!A154&lt;&gt;"",'08_资产清单'!A154,"")</f>
        <v/>
      </c>
      <c r="E3154" s="14">
        <f>IF(F3154&lt;&gt;"","综合校验","")</f>
        <v/>
      </c>
      <c r="F3154" s="14">
        <f>IF('08_资产清单'!A154&lt;&gt;"",IF('08_资产清单'!A154="","缺少资产ID；","")&amp;IF('08_资产清单'!B154="","缺少资产名称；","")&amp;IF('08_资产清单'!C154="","缺少对象ID；","")&amp;IF('08_资产清单'!D154="","缺少资产类别；","")&amp;IF('08_资产清单'!G154="","缺少文件名；","")&amp;IF(AND('08_资产清单'!C154&lt;&gt;"",COUNTIF('02_固定地理'!$A$2:$A$501,'08_资产清单'!C154)+COUNTIF('03_地点锚点'!$A$2:$A$501,'08_资产清单'!C154)+COUNTIF('04_路径网络'!$A$2:$A$501,'08_资产清单'!C154)+COUNTIF('06_建筑锚点'!$A$2:$A$501,'08_资产清单'!C154)=0),"资产引用对象不存在；","")&amp;IF(AND('08_资产清单'!E154&lt;&gt;"",COUNTIF('07_动态状态'!$A$2:$A$501,'08_资产清单'!E154)=0),"状态编码不存在；","")&amp;IF(AND('08_资产清单'!G154&lt;&gt;"",COUNTIF('08_资产清单'!$G$2:$G$501,'08_资产清单'!G154)&gt;1),"文件名重复；","")&amp;IF(AND('08_资产清单'!A154&lt;&gt;"",COUNTIF('08_资产清单'!$A$2:$A$501,'08_资产清单'!A154)&gt;1),"ID重复；",""),"")</f>
        <v/>
      </c>
      <c r="G3154" s="14">
        <f>IF(F3154&lt;&gt;"","按字段批注、数据字典和来源记录修正后复核","")</f>
        <v/>
      </c>
      <c r="H3154" s="14">
        <f>IF(F3154&lt;&gt;"","待处理","")</f>
        <v/>
      </c>
    </row>
    <row r="3155">
      <c r="A3155" s="14">
        <f>IF(F3155&lt;&gt;"","ISSUE-"&amp;TEXT(ROW()-1,"00000"),"")</f>
        <v/>
      </c>
      <c r="B3155" s="14">
        <f>IF(F3155&lt;&gt;"","错误","")</f>
        <v/>
      </c>
      <c r="C3155" s="14">
        <f>IF('08_资产清单'!A155&lt;&gt;"","08_资产清单","")</f>
        <v/>
      </c>
      <c r="D3155" s="14">
        <f>IF('08_资产清单'!A155&lt;&gt;"",'08_资产清单'!A155,"")</f>
        <v/>
      </c>
      <c r="E3155" s="14">
        <f>IF(F3155&lt;&gt;"","综合校验","")</f>
        <v/>
      </c>
      <c r="F3155" s="14">
        <f>IF('08_资产清单'!A155&lt;&gt;"",IF('08_资产清单'!A155="","缺少资产ID；","")&amp;IF('08_资产清单'!B155="","缺少资产名称；","")&amp;IF('08_资产清单'!C155="","缺少对象ID；","")&amp;IF('08_资产清单'!D155="","缺少资产类别；","")&amp;IF('08_资产清单'!G155="","缺少文件名；","")&amp;IF(AND('08_资产清单'!C155&lt;&gt;"",COUNTIF('02_固定地理'!$A$2:$A$501,'08_资产清单'!C155)+COUNTIF('03_地点锚点'!$A$2:$A$501,'08_资产清单'!C155)+COUNTIF('04_路径网络'!$A$2:$A$501,'08_资产清单'!C155)+COUNTIF('06_建筑锚点'!$A$2:$A$501,'08_资产清单'!C155)=0),"资产引用对象不存在；","")&amp;IF(AND('08_资产清单'!E155&lt;&gt;"",COUNTIF('07_动态状态'!$A$2:$A$501,'08_资产清单'!E155)=0),"状态编码不存在；","")&amp;IF(AND('08_资产清单'!G155&lt;&gt;"",COUNTIF('08_资产清单'!$G$2:$G$501,'08_资产清单'!G155)&gt;1),"文件名重复；","")&amp;IF(AND('08_资产清单'!A155&lt;&gt;"",COUNTIF('08_资产清单'!$A$2:$A$501,'08_资产清单'!A155)&gt;1),"ID重复；",""),"")</f>
        <v/>
      </c>
      <c r="G3155" s="14">
        <f>IF(F3155&lt;&gt;"","按字段批注、数据字典和来源记录修正后复核","")</f>
        <v/>
      </c>
      <c r="H3155" s="14">
        <f>IF(F3155&lt;&gt;"","待处理","")</f>
        <v/>
      </c>
    </row>
    <row r="3156">
      <c r="A3156" s="14">
        <f>IF(F3156&lt;&gt;"","ISSUE-"&amp;TEXT(ROW()-1,"00000"),"")</f>
        <v/>
      </c>
      <c r="B3156" s="14">
        <f>IF(F3156&lt;&gt;"","错误","")</f>
        <v/>
      </c>
      <c r="C3156" s="14">
        <f>IF('08_资产清单'!A156&lt;&gt;"","08_资产清单","")</f>
        <v/>
      </c>
      <c r="D3156" s="14">
        <f>IF('08_资产清单'!A156&lt;&gt;"",'08_资产清单'!A156,"")</f>
        <v/>
      </c>
      <c r="E3156" s="14">
        <f>IF(F3156&lt;&gt;"","综合校验","")</f>
        <v/>
      </c>
      <c r="F3156" s="14">
        <f>IF('08_资产清单'!A156&lt;&gt;"",IF('08_资产清单'!A156="","缺少资产ID；","")&amp;IF('08_资产清单'!B156="","缺少资产名称；","")&amp;IF('08_资产清单'!C156="","缺少对象ID；","")&amp;IF('08_资产清单'!D156="","缺少资产类别；","")&amp;IF('08_资产清单'!G156="","缺少文件名；","")&amp;IF(AND('08_资产清单'!C156&lt;&gt;"",COUNTIF('02_固定地理'!$A$2:$A$501,'08_资产清单'!C156)+COUNTIF('03_地点锚点'!$A$2:$A$501,'08_资产清单'!C156)+COUNTIF('04_路径网络'!$A$2:$A$501,'08_资产清单'!C156)+COUNTIF('06_建筑锚点'!$A$2:$A$501,'08_资产清单'!C156)=0),"资产引用对象不存在；","")&amp;IF(AND('08_资产清单'!E156&lt;&gt;"",COUNTIF('07_动态状态'!$A$2:$A$501,'08_资产清单'!E156)=0),"状态编码不存在；","")&amp;IF(AND('08_资产清单'!G156&lt;&gt;"",COUNTIF('08_资产清单'!$G$2:$G$501,'08_资产清单'!G156)&gt;1),"文件名重复；","")&amp;IF(AND('08_资产清单'!A156&lt;&gt;"",COUNTIF('08_资产清单'!$A$2:$A$501,'08_资产清单'!A156)&gt;1),"ID重复；",""),"")</f>
        <v/>
      </c>
      <c r="G3156" s="14">
        <f>IF(F3156&lt;&gt;"","按字段批注、数据字典和来源记录修正后复核","")</f>
        <v/>
      </c>
      <c r="H3156" s="14">
        <f>IF(F3156&lt;&gt;"","待处理","")</f>
        <v/>
      </c>
    </row>
    <row r="3157">
      <c r="A3157" s="14">
        <f>IF(F3157&lt;&gt;"","ISSUE-"&amp;TEXT(ROW()-1,"00000"),"")</f>
        <v/>
      </c>
      <c r="B3157" s="14">
        <f>IF(F3157&lt;&gt;"","错误","")</f>
        <v/>
      </c>
      <c r="C3157" s="14">
        <f>IF('08_资产清单'!A157&lt;&gt;"","08_资产清单","")</f>
        <v/>
      </c>
      <c r="D3157" s="14">
        <f>IF('08_资产清单'!A157&lt;&gt;"",'08_资产清单'!A157,"")</f>
        <v/>
      </c>
      <c r="E3157" s="14">
        <f>IF(F3157&lt;&gt;"","综合校验","")</f>
        <v/>
      </c>
      <c r="F3157" s="14">
        <f>IF('08_资产清单'!A157&lt;&gt;"",IF('08_资产清单'!A157="","缺少资产ID；","")&amp;IF('08_资产清单'!B157="","缺少资产名称；","")&amp;IF('08_资产清单'!C157="","缺少对象ID；","")&amp;IF('08_资产清单'!D157="","缺少资产类别；","")&amp;IF('08_资产清单'!G157="","缺少文件名；","")&amp;IF(AND('08_资产清单'!C157&lt;&gt;"",COUNTIF('02_固定地理'!$A$2:$A$501,'08_资产清单'!C157)+COUNTIF('03_地点锚点'!$A$2:$A$501,'08_资产清单'!C157)+COUNTIF('04_路径网络'!$A$2:$A$501,'08_资产清单'!C157)+COUNTIF('06_建筑锚点'!$A$2:$A$501,'08_资产清单'!C157)=0),"资产引用对象不存在；","")&amp;IF(AND('08_资产清单'!E157&lt;&gt;"",COUNTIF('07_动态状态'!$A$2:$A$501,'08_资产清单'!E157)=0),"状态编码不存在；","")&amp;IF(AND('08_资产清单'!G157&lt;&gt;"",COUNTIF('08_资产清单'!$G$2:$G$501,'08_资产清单'!G157)&gt;1),"文件名重复；","")&amp;IF(AND('08_资产清单'!A157&lt;&gt;"",COUNTIF('08_资产清单'!$A$2:$A$501,'08_资产清单'!A157)&gt;1),"ID重复；",""),"")</f>
        <v/>
      </c>
      <c r="G3157" s="14">
        <f>IF(F3157&lt;&gt;"","按字段批注、数据字典和来源记录修正后复核","")</f>
        <v/>
      </c>
      <c r="H3157" s="14">
        <f>IF(F3157&lt;&gt;"","待处理","")</f>
        <v/>
      </c>
    </row>
    <row r="3158">
      <c r="A3158" s="14">
        <f>IF(F3158&lt;&gt;"","ISSUE-"&amp;TEXT(ROW()-1,"00000"),"")</f>
        <v/>
      </c>
      <c r="B3158" s="14">
        <f>IF(F3158&lt;&gt;"","错误","")</f>
        <v/>
      </c>
      <c r="C3158" s="14">
        <f>IF('08_资产清单'!A158&lt;&gt;"","08_资产清单","")</f>
        <v/>
      </c>
      <c r="D3158" s="14">
        <f>IF('08_资产清单'!A158&lt;&gt;"",'08_资产清单'!A158,"")</f>
        <v/>
      </c>
      <c r="E3158" s="14">
        <f>IF(F3158&lt;&gt;"","综合校验","")</f>
        <v/>
      </c>
      <c r="F3158" s="14">
        <f>IF('08_资产清单'!A158&lt;&gt;"",IF('08_资产清单'!A158="","缺少资产ID；","")&amp;IF('08_资产清单'!B158="","缺少资产名称；","")&amp;IF('08_资产清单'!C158="","缺少对象ID；","")&amp;IF('08_资产清单'!D158="","缺少资产类别；","")&amp;IF('08_资产清单'!G158="","缺少文件名；","")&amp;IF(AND('08_资产清单'!C158&lt;&gt;"",COUNTIF('02_固定地理'!$A$2:$A$501,'08_资产清单'!C158)+COUNTIF('03_地点锚点'!$A$2:$A$501,'08_资产清单'!C158)+COUNTIF('04_路径网络'!$A$2:$A$501,'08_资产清单'!C158)+COUNTIF('06_建筑锚点'!$A$2:$A$501,'08_资产清单'!C158)=0),"资产引用对象不存在；","")&amp;IF(AND('08_资产清单'!E158&lt;&gt;"",COUNTIF('07_动态状态'!$A$2:$A$501,'08_资产清单'!E158)=0),"状态编码不存在；","")&amp;IF(AND('08_资产清单'!G158&lt;&gt;"",COUNTIF('08_资产清单'!$G$2:$G$501,'08_资产清单'!G158)&gt;1),"文件名重复；","")&amp;IF(AND('08_资产清单'!A158&lt;&gt;"",COUNTIF('08_资产清单'!$A$2:$A$501,'08_资产清单'!A158)&gt;1),"ID重复；",""),"")</f>
        <v/>
      </c>
      <c r="G3158" s="14">
        <f>IF(F3158&lt;&gt;"","按字段批注、数据字典和来源记录修正后复核","")</f>
        <v/>
      </c>
      <c r="H3158" s="14">
        <f>IF(F3158&lt;&gt;"","待处理","")</f>
        <v/>
      </c>
    </row>
    <row r="3159">
      <c r="A3159" s="14">
        <f>IF(F3159&lt;&gt;"","ISSUE-"&amp;TEXT(ROW()-1,"00000"),"")</f>
        <v/>
      </c>
      <c r="B3159" s="14">
        <f>IF(F3159&lt;&gt;"","错误","")</f>
        <v/>
      </c>
      <c r="C3159" s="14">
        <f>IF('08_资产清单'!A159&lt;&gt;"","08_资产清单","")</f>
        <v/>
      </c>
      <c r="D3159" s="14">
        <f>IF('08_资产清单'!A159&lt;&gt;"",'08_资产清单'!A159,"")</f>
        <v/>
      </c>
      <c r="E3159" s="14">
        <f>IF(F3159&lt;&gt;"","综合校验","")</f>
        <v/>
      </c>
      <c r="F3159" s="14">
        <f>IF('08_资产清单'!A159&lt;&gt;"",IF('08_资产清单'!A159="","缺少资产ID；","")&amp;IF('08_资产清单'!B159="","缺少资产名称；","")&amp;IF('08_资产清单'!C159="","缺少对象ID；","")&amp;IF('08_资产清单'!D159="","缺少资产类别；","")&amp;IF('08_资产清单'!G159="","缺少文件名；","")&amp;IF(AND('08_资产清单'!C159&lt;&gt;"",COUNTIF('02_固定地理'!$A$2:$A$501,'08_资产清单'!C159)+COUNTIF('03_地点锚点'!$A$2:$A$501,'08_资产清单'!C159)+COUNTIF('04_路径网络'!$A$2:$A$501,'08_资产清单'!C159)+COUNTIF('06_建筑锚点'!$A$2:$A$501,'08_资产清单'!C159)=0),"资产引用对象不存在；","")&amp;IF(AND('08_资产清单'!E159&lt;&gt;"",COUNTIF('07_动态状态'!$A$2:$A$501,'08_资产清单'!E159)=0),"状态编码不存在；","")&amp;IF(AND('08_资产清单'!G159&lt;&gt;"",COUNTIF('08_资产清单'!$G$2:$G$501,'08_资产清单'!G159)&gt;1),"文件名重复；","")&amp;IF(AND('08_资产清单'!A159&lt;&gt;"",COUNTIF('08_资产清单'!$A$2:$A$501,'08_资产清单'!A159)&gt;1),"ID重复；",""),"")</f>
        <v/>
      </c>
      <c r="G3159" s="14">
        <f>IF(F3159&lt;&gt;"","按字段批注、数据字典和来源记录修正后复核","")</f>
        <v/>
      </c>
      <c r="H3159" s="14">
        <f>IF(F3159&lt;&gt;"","待处理","")</f>
        <v/>
      </c>
    </row>
    <row r="3160">
      <c r="A3160" s="14">
        <f>IF(F3160&lt;&gt;"","ISSUE-"&amp;TEXT(ROW()-1,"00000"),"")</f>
        <v/>
      </c>
      <c r="B3160" s="14">
        <f>IF(F3160&lt;&gt;"","错误","")</f>
        <v/>
      </c>
      <c r="C3160" s="14">
        <f>IF('08_资产清单'!A160&lt;&gt;"","08_资产清单","")</f>
        <v/>
      </c>
      <c r="D3160" s="14">
        <f>IF('08_资产清单'!A160&lt;&gt;"",'08_资产清单'!A160,"")</f>
        <v/>
      </c>
      <c r="E3160" s="14">
        <f>IF(F3160&lt;&gt;"","综合校验","")</f>
        <v/>
      </c>
      <c r="F3160" s="14">
        <f>IF('08_资产清单'!A160&lt;&gt;"",IF('08_资产清单'!A160="","缺少资产ID；","")&amp;IF('08_资产清单'!B160="","缺少资产名称；","")&amp;IF('08_资产清单'!C160="","缺少对象ID；","")&amp;IF('08_资产清单'!D160="","缺少资产类别；","")&amp;IF('08_资产清单'!G160="","缺少文件名；","")&amp;IF(AND('08_资产清单'!C160&lt;&gt;"",COUNTIF('02_固定地理'!$A$2:$A$501,'08_资产清单'!C160)+COUNTIF('03_地点锚点'!$A$2:$A$501,'08_资产清单'!C160)+COUNTIF('04_路径网络'!$A$2:$A$501,'08_资产清单'!C160)+COUNTIF('06_建筑锚点'!$A$2:$A$501,'08_资产清单'!C160)=0),"资产引用对象不存在；","")&amp;IF(AND('08_资产清单'!E160&lt;&gt;"",COUNTIF('07_动态状态'!$A$2:$A$501,'08_资产清单'!E160)=0),"状态编码不存在；","")&amp;IF(AND('08_资产清单'!G160&lt;&gt;"",COUNTIF('08_资产清单'!$G$2:$G$501,'08_资产清单'!G160)&gt;1),"文件名重复；","")&amp;IF(AND('08_资产清单'!A160&lt;&gt;"",COUNTIF('08_资产清单'!$A$2:$A$501,'08_资产清单'!A160)&gt;1),"ID重复；",""),"")</f>
        <v/>
      </c>
      <c r="G3160" s="14">
        <f>IF(F3160&lt;&gt;"","按字段批注、数据字典和来源记录修正后复核","")</f>
        <v/>
      </c>
      <c r="H3160" s="14">
        <f>IF(F3160&lt;&gt;"","待处理","")</f>
        <v/>
      </c>
    </row>
    <row r="3161">
      <c r="A3161" s="14">
        <f>IF(F3161&lt;&gt;"","ISSUE-"&amp;TEXT(ROW()-1,"00000"),"")</f>
        <v/>
      </c>
      <c r="B3161" s="14">
        <f>IF(F3161&lt;&gt;"","错误","")</f>
        <v/>
      </c>
      <c r="C3161" s="14">
        <f>IF('08_资产清单'!A161&lt;&gt;"","08_资产清单","")</f>
        <v/>
      </c>
      <c r="D3161" s="14">
        <f>IF('08_资产清单'!A161&lt;&gt;"",'08_资产清单'!A161,"")</f>
        <v/>
      </c>
      <c r="E3161" s="14">
        <f>IF(F3161&lt;&gt;"","综合校验","")</f>
        <v/>
      </c>
      <c r="F3161" s="14">
        <f>IF('08_资产清单'!A161&lt;&gt;"",IF('08_资产清单'!A161="","缺少资产ID；","")&amp;IF('08_资产清单'!B161="","缺少资产名称；","")&amp;IF('08_资产清单'!C161="","缺少对象ID；","")&amp;IF('08_资产清单'!D161="","缺少资产类别；","")&amp;IF('08_资产清单'!G161="","缺少文件名；","")&amp;IF(AND('08_资产清单'!C161&lt;&gt;"",COUNTIF('02_固定地理'!$A$2:$A$501,'08_资产清单'!C161)+COUNTIF('03_地点锚点'!$A$2:$A$501,'08_资产清单'!C161)+COUNTIF('04_路径网络'!$A$2:$A$501,'08_资产清单'!C161)+COUNTIF('06_建筑锚点'!$A$2:$A$501,'08_资产清单'!C161)=0),"资产引用对象不存在；","")&amp;IF(AND('08_资产清单'!E161&lt;&gt;"",COUNTIF('07_动态状态'!$A$2:$A$501,'08_资产清单'!E161)=0),"状态编码不存在；","")&amp;IF(AND('08_资产清单'!G161&lt;&gt;"",COUNTIF('08_资产清单'!$G$2:$G$501,'08_资产清单'!G161)&gt;1),"文件名重复；","")&amp;IF(AND('08_资产清单'!A161&lt;&gt;"",COUNTIF('08_资产清单'!$A$2:$A$501,'08_资产清单'!A161)&gt;1),"ID重复；",""),"")</f>
        <v/>
      </c>
      <c r="G3161" s="14">
        <f>IF(F3161&lt;&gt;"","按字段批注、数据字典和来源记录修正后复核","")</f>
        <v/>
      </c>
      <c r="H3161" s="14">
        <f>IF(F3161&lt;&gt;"","待处理","")</f>
        <v/>
      </c>
    </row>
    <row r="3162">
      <c r="A3162" s="14">
        <f>IF(F3162&lt;&gt;"","ISSUE-"&amp;TEXT(ROW()-1,"00000"),"")</f>
        <v/>
      </c>
      <c r="B3162" s="14">
        <f>IF(F3162&lt;&gt;"","错误","")</f>
        <v/>
      </c>
      <c r="C3162" s="14">
        <f>IF('08_资产清单'!A162&lt;&gt;"","08_资产清单","")</f>
        <v/>
      </c>
      <c r="D3162" s="14">
        <f>IF('08_资产清单'!A162&lt;&gt;"",'08_资产清单'!A162,"")</f>
        <v/>
      </c>
      <c r="E3162" s="14">
        <f>IF(F3162&lt;&gt;"","综合校验","")</f>
        <v/>
      </c>
      <c r="F3162" s="14">
        <f>IF('08_资产清单'!A162&lt;&gt;"",IF('08_资产清单'!A162="","缺少资产ID；","")&amp;IF('08_资产清单'!B162="","缺少资产名称；","")&amp;IF('08_资产清单'!C162="","缺少对象ID；","")&amp;IF('08_资产清单'!D162="","缺少资产类别；","")&amp;IF('08_资产清单'!G162="","缺少文件名；","")&amp;IF(AND('08_资产清单'!C162&lt;&gt;"",COUNTIF('02_固定地理'!$A$2:$A$501,'08_资产清单'!C162)+COUNTIF('03_地点锚点'!$A$2:$A$501,'08_资产清单'!C162)+COUNTIF('04_路径网络'!$A$2:$A$501,'08_资产清单'!C162)+COUNTIF('06_建筑锚点'!$A$2:$A$501,'08_资产清单'!C162)=0),"资产引用对象不存在；","")&amp;IF(AND('08_资产清单'!E162&lt;&gt;"",COUNTIF('07_动态状态'!$A$2:$A$501,'08_资产清单'!E162)=0),"状态编码不存在；","")&amp;IF(AND('08_资产清单'!G162&lt;&gt;"",COUNTIF('08_资产清单'!$G$2:$G$501,'08_资产清单'!G162)&gt;1),"文件名重复；","")&amp;IF(AND('08_资产清单'!A162&lt;&gt;"",COUNTIF('08_资产清单'!$A$2:$A$501,'08_资产清单'!A162)&gt;1),"ID重复；",""),"")</f>
        <v/>
      </c>
      <c r="G3162" s="14">
        <f>IF(F3162&lt;&gt;"","按字段批注、数据字典和来源记录修正后复核","")</f>
        <v/>
      </c>
      <c r="H3162" s="14">
        <f>IF(F3162&lt;&gt;"","待处理","")</f>
        <v/>
      </c>
    </row>
    <row r="3163">
      <c r="A3163" s="14">
        <f>IF(F3163&lt;&gt;"","ISSUE-"&amp;TEXT(ROW()-1,"00000"),"")</f>
        <v/>
      </c>
      <c r="B3163" s="14">
        <f>IF(F3163&lt;&gt;"","错误","")</f>
        <v/>
      </c>
      <c r="C3163" s="14">
        <f>IF('08_资产清单'!A163&lt;&gt;"","08_资产清单","")</f>
        <v/>
      </c>
      <c r="D3163" s="14">
        <f>IF('08_资产清单'!A163&lt;&gt;"",'08_资产清单'!A163,"")</f>
        <v/>
      </c>
      <c r="E3163" s="14">
        <f>IF(F3163&lt;&gt;"","综合校验","")</f>
        <v/>
      </c>
      <c r="F3163" s="14">
        <f>IF('08_资产清单'!A163&lt;&gt;"",IF('08_资产清单'!A163="","缺少资产ID；","")&amp;IF('08_资产清单'!B163="","缺少资产名称；","")&amp;IF('08_资产清单'!C163="","缺少对象ID；","")&amp;IF('08_资产清单'!D163="","缺少资产类别；","")&amp;IF('08_资产清单'!G163="","缺少文件名；","")&amp;IF(AND('08_资产清单'!C163&lt;&gt;"",COUNTIF('02_固定地理'!$A$2:$A$501,'08_资产清单'!C163)+COUNTIF('03_地点锚点'!$A$2:$A$501,'08_资产清单'!C163)+COUNTIF('04_路径网络'!$A$2:$A$501,'08_资产清单'!C163)+COUNTIF('06_建筑锚点'!$A$2:$A$501,'08_资产清单'!C163)=0),"资产引用对象不存在；","")&amp;IF(AND('08_资产清单'!E163&lt;&gt;"",COUNTIF('07_动态状态'!$A$2:$A$501,'08_资产清单'!E163)=0),"状态编码不存在；","")&amp;IF(AND('08_资产清单'!G163&lt;&gt;"",COUNTIF('08_资产清单'!$G$2:$G$501,'08_资产清单'!G163)&gt;1),"文件名重复；","")&amp;IF(AND('08_资产清单'!A163&lt;&gt;"",COUNTIF('08_资产清单'!$A$2:$A$501,'08_资产清单'!A163)&gt;1),"ID重复；",""),"")</f>
        <v/>
      </c>
      <c r="G3163" s="14">
        <f>IF(F3163&lt;&gt;"","按字段批注、数据字典和来源记录修正后复核","")</f>
        <v/>
      </c>
      <c r="H3163" s="14">
        <f>IF(F3163&lt;&gt;"","待处理","")</f>
        <v/>
      </c>
    </row>
    <row r="3164">
      <c r="A3164" s="14">
        <f>IF(F3164&lt;&gt;"","ISSUE-"&amp;TEXT(ROW()-1,"00000"),"")</f>
        <v/>
      </c>
      <c r="B3164" s="14">
        <f>IF(F3164&lt;&gt;"","错误","")</f>
        <v/>
      </c>
      <c r="C3164" s="14">
        <f>IF('08_资产清单'!A164&lt;&gt;"","08_资产清单","")</f>
        <v/>
      </c>
      <c r="D3164" s="14">
        <f>IF('08_资产清单'!A164&lt;&gt;"",'08_资产清单'!A164,"")</f>
        <v/>
      </c>
      <c r="E3164" s="14">
        <f>IF(F3164&lt;&gt;"","综合校验","")</f>
        <v/>
      </c>
      <c r="F3164" s="14">
        <f>IF('08_资产清单'!A164&lt;&gt;"",IF('08_资产清单'!A164="","缺少资产ID；","")&amp;IF('08_资产清单'!B164="","缺少资产名称；","")&amp;IF('08_资产清单'!C164="","缺少对象ID；","")&amp;IF('08_资产清单'!D164="","缺少资产类别；","")&amp;IF('08_资产清单'!G164="","缺少文件名；","")&amp;IF(AND('08_资产清单'!C164&lt;&gt;"",COUNTIF('02_固定地理'!$A$2:$A$501,'08_资产清单'!C164)+COUNTIF('03_地点锚点'!$A$2:$A$501,'08_资产清单'!C164)+COUNTIF('04_路径网络'!$A$2:$A$501,'08_资产清单'!C164)+COUNTIF('06_建筑锚点'!$A$2:$A$501,'08_资产清单'!C164)=0),"资产引用对象不存在；","")&amp;IF(AND('08_资产清单'!E164&lt;&gt;"",COUNTIF('07_动态状态'!$A$2:$A$501,'08_资产清单'!E164)=0),"状态编码不存在；","")&amp;IF(AND('08_资产清单'!G164&lt;&gt;"",COUNTIF('08_资产清单'!$G$2:$G$501,'08_资产清单'!G164)&gt;1),"文件名重复；","")&amp;IF(AND('08_资产清单'!A164&lt;&gt;"",COUNTIF('08_资产清单'!$A$2:$A$501,'08_资产清单'!A164)&gt;1),"ID重复；",""),"")</f>
        <v/>
      </c>
      <c r="G3164" s="14">
        <f>IF(F3164&lt;&gt;"","按字段批注、数据字典和来源记录修正后复核","")</f>
        <v/>
      </c>
      <c r="H3164" s="14">
        <f>IF(F3164&lt;&gt;"","待处理","")</f>
        <v/>
      </c>
    </row>
    <row r="3165">
      <c r="A3165" s="14">
        <f>IF(F3165&lt;&gt;"","ISSUE-"&amp;TEXT(ROW()-1,"00000"),"")</f>
        <v/>
      </c>
      <c r="B3165" s="14">
        <f>IF(F3165&lt;&gt;"","错误","")</f>
        <v/>
      </c>
      <c r="C3165" s="14">
        <f>IF('08_资产清单'!A165&lt;&gt;"","08_资产清单","")</f>
        <v/>
      </c>
      <c r="D3165" s="14">
        <f>IF('08_资产清单'!A165&lt;&gt;"",'08_资产清单'!A165,"")</f>
        <v/>
      </c>
      <c r="E3165" s="14">
        <f>IF(F3165&lt;&gt;"","综合校验","")</f>
        <v/>
      </c>
      <c r="F3165" s="14">
        <f>IF('08_资产清单'!A165&lt;&gt;"",IF('08_资产清单'!A165="","缺少资产ID；","")&amp;IF('08_资产清单'!B165="","缺少资产名称；","")&amp;IF('08_资产清单'!C165="","缺少对象ID；","")&amp;IF('08_资产清单'!D165="","缺少资产类别；","")&amp;IF('08_资产清单'!G165="","缺少文件名；","")&amp;IF(AND('08_资产清单'!C165&lt;&gt;"",COUNTIF('02_固定地理'!$A$2:$A$501,'08_资产清单'!C165)+COUNTIF('03_地点锚点'!$A$2:$A$501,'08_资产清单'!C165)+COUNTIF('04_路径网络'!$A$2:$A$501,'08_资产清单'!C165)+COUNTIF('06_建筑锚点'!$A$2:$A$501,'08_资产清单'!C165)=0),"资产引用对象不存在；","")&amp;IF(AND('08_资产清单'!E165&lt;&gt;"",COUNTIF('07_动态状态'!$A$2:$A$501,'08_资产清单'!E165)=0),"状态编码不存在；","")&amp;IF(AND('08_资产清单'!G165&lt;&gt;"",COUNTIF('08_资产清单'!$G$2:$G$501,'08_资产清单'!G165)&gt;1),"文件名重复；","")&amp;IF(AND('08_资产清单'!A165&lt;&gt;"",COUNTIF('08_资产清单'!$A$2:$A$501,'08_资产清单'!A165)&gt;1),"ID重复；",""),"")</f>
        <v/>
      </c>
      <c r="G3165" s="14">
        <f>IF(F3165&lt;&gt;"","按字段批注、数据字典和来源记录修正后复核","")</f>
        <v/>
      </c>
      <c r="H3165" s="14">
        <f>IF(F3165&lt;&gt;"","待处理","")</f>
        <v/>
      </c>
    </row>
    <row r="3166">
      <c r="A3166" s="14">
        <f>IF(F3166&lt;&gt;"","ISSUE-"&amp;TEXT(ROW()-1,"00000"),"")</f>
        <v/>
      </c>
      <c r="B3166" s="14">
        <f>IF(F3166&lt;&gt;"","错误","")</f>
        <v/>
      </c>
      <c r="C3166" s="14">
        <f>IF('08_资产清单'!A166&lt;&gt;"","08_资产清单","")</f>
        <v/>
      </c>
      <c r="D3166" s="14">
        <f>IF('08_资产清单'!A166&lt;&gt;"",'08_资产清单'!A166,"")</f>
        <v/>
      </c>
      <c r="E3166" s="14">
        <f>IF(F3166&lt;&gt;"","综合校验","")</f>
        <v/>
      </c>
      <c r="F3166" s="14">
        <f>IF('08_资产清单'!A166&lt;&gt;"",IF('08_资产清单'!A166="","缺少资产ID；","")&amp;IF('08_资产清单'!B166="","缺少资产名称；","")&amp;IF('08_资产清单'!C166="","缺少对象ID；","")&amp;IF('08_资产清单'!D166="","缺少资产类别；","")&amp;IF('08_资产清单'!G166="","缺少文件名；","")&amp;IF(AND('08_资产清单'!C166&lt;&gt;"",COUNTIF('02_固定地理'!$A$2:$A$501,'08_资产清单'!C166)+COUNTIF('03_地点锚点'!$A$2:$A$501,'08_资产清单'!C166)+COUNTIF('04_路径网络'!$A$2:$A$501,'08_资产清单'!C166)+COUNTIF('06_建筑锚点'!$A$2:$A$501,'08_资产清单'!C166)=0),"资产引用对象不存在；","")&amp;IF(AND('08_资产清单'!E166&lt;&gt;"",COUNTIF('07_动态状态'!$A$2:$A$501,'08_资产清单'!E166)=0),"状态编码不存在；","")&amp;IF(AND('08_资产清单'!G166&lt;&gt;"",COUNTIF('08_资产清单'!$G$2:$G$501,'08_资产清单'!G166)&gt;1),"文件名重复；","")&amp;IF(AND('08_资产清单'!A166&lt;&gt;"",COUNTIF('08_资产清单'!$A$2:$A$501,'08_资产清单'!A166)&gt;1),"ID重复；",""),"")</f>
        <v/>
      </c>
      <c r="G3166" s="14">
        <f>IF(F3166&lt;&gt;"","按字段批注、数据字典和来源记录修正后复核","")</f>
        <v/>
      </c>
      <c r="H3166" s="14">
        <f>IF(F3166&lt;&gt;"","待处理","")</f>
        <v/>
      </c>
    </row>
    <row r="3167">
      <c r="A3167" s="14">
        <f>IF(F3167&lt;&gt;"","ISSUE-"&amp;TEXT(ROW()-1,"00000"),"")</f>
        <v/>
      </c>
      <c r="B3167" s="14">
        <f>IF(F3167&lt;&gt;"","错误","")</f>
        <v/>
      </c>
      <c r="C3167" s="14">
        <f>IF('08_资产清单'!A167&lt;&gt;"","08_资产清单","")</f>
        <v/>
      </c>
      <c r="D3167" s="14">
        <f>IF('08_资产清单'!A167&lt;&gt;"",'08_资产清单'!A167,"")</f>
        <v/>
      </c>
      <c r="E3167" s="14">
        <f>IF(F3167&lt;&gt;"","综合校验","")</f>
        <v/>
      </c>
      <c r="F3167" s="14">
        <f>IF('08_资产清单'!A167&lt;&gt;"",IF('08_资产清单'!A167="","缺少资产ID；","")&amp;IF('08_资产清单'!B167="","缺少资产名称；","")&amp;IF('08_资产清单'!C167="","缺少对象ID；","")&amp;IF('08_资产清单'!D167="","缺少资产类别；","")&amp;IF('08_资产清单'!G167="","缺少文件名；","")&amp;IF(AND('08_资产清单'!C167&lt;&gt;"",COUNTIF('02_固定地理'!$A$2:$A$501,'08_资产清单'!C167)+COUNTIF('03_地点锚点'!$A$2:$A$501,'08_资产清单'!C167)+COUNTIF('04_路径网络'!$A$2:$A$501,'08_资产清单'!C167)+COUNTIF('06_建筑锚点'!$A$2:$A$501,'08_资产清单'!C167)=0),"资产引用对象不存在；","")&amp;IF(AND('08_资产清单'!E167&lt;&gt;"",COUNTIF('07_动态状态'!$A$2:$A$501,'08_资产清单'!E167)=0),"状态编码不存在；","")&amp;IF(AND('08_资产清单'!G167&lt;&gt;"",COUNTIF('08_资产清单'!$G$2:$G$501,'08_资产清单'!G167)&gt;1),"文件名重复；","")&amp;IF(AND('08_资产清单'!A167&lt;&gt;"",COUNTIF('08_资产清单'!$A$2:$A$501,'08_资产清单'!A167)&gt;1),"ID重复；",""),"")</f>
        <v/>
      </c>
      <c r="G3167" s="14">
        <f>IF(F3167&lt;&gt;"","按字段批注、数据字典和来源记录修正后复核","")</f>
        <v/>
      </c>
      <c r="H3167" s="14">
        <f>IF(F3167&lt;&gt;"","待处理","")</f>
        <v/>
      </c>
    </row>
    <row r="3168">
      <c r="A3168" s="14">
        <f>IF(F3168&lt;&gt;"","ISSUE-"&amp;TEXT(ROW()-1,"00000"),"")</f>
        <v/>
      </c>
      <c r="B3168" s="14">
        <f>IF(F3168&lt;&gt;"","错误","")</f>
        <v/>
      </c>
      <c r="C3168" s="14">
        <f>IF('08_资产清单'!A168&lt;&gt;"","08_资产清单","")</f>
        <v/>
      </c>
      <c r="D3168" s="14">
        <f>IF('08_资产清单'!A168&lt;&gt;"",'08_资产清单'!A168,"")</f>
        <v/>
      </c>
      <c r="E3168" s="14">
        <f>IF(F3168&lt;&gt;"","综合校验","")</f>
        <v/>
      </c>
      <c r="F3168" s="14">
        <f>IF('08_资产清单'!A168&lt;&gt;"",IF('08_资产清单'!A168="","缺少资产ID；","")&amp;IF('08_资产清单'!B168="","缺少资产名称；","")&amp;IF('08_资产清单'!C168="","缺少对象ID；","")&amp;IF('08_资产清单'!D168="","缺少资产类别；","")&amp;IF('08_资产清单'!G168="","缺少文件名；","")&amp;IF(AND('08_资产清单'!C168&lt;&gt;"",COUNTIF('02_固定地理'!$A$2:$A$501,'08_资产清单'!C168)+COUNTIF('03_地点锚点'!$A$2:$A$501,'08_资产清单'!C168)+COUNTIF('04_路径网络'!$A$2:$A$501,'08_资产清单'!C168)+COUNTIF('06_建筑锚点'!$A$2:$A$501,'08_资产清单'!C168)=0),"资产引用对象不存在；","")&amp;IF(AND('08_资产清单'!E168&lt;&gt;"",COUNTIF('07_动态状态'!$A$2:$A$501,'08_资产清单'!E168)=0),"状态编码不存在；","")&amp;IF(AND('08_资产清单'!G168&lt;&gt;"",COUNTIF('08_资产清单'!$G$2:$G$501,'08_资产清单'!G168)&gt;1),"文件名重复；","")&amp;IF(AND('08_资产清单'!A168&lt;&gt;"",COUNTIF('08_资产清单'!$A$2:$A$501,'08_资产清单'!A168)&gt;1),"ID重复；",""),"")</f>
        <v/>
      </c>
      <c r="G3168" s="14">
        <f>IF(F3168&lt;&gt;"","按字段批注、数据字典和来源记录修正后复核","")</f>
        <v/>
      </c>
      <c r="H3168" s="14">
        <f>IF(F3168&lt;&gt;"","待处理","")</f>
        <v/>
      </c>
    </row>
    <row r="3169">
      <c r="A3169" s="14">
        <f>IF(F3169&lt;&gt;"","ISSUE-"&amp;TEXT(ROW()-1,"00000"),"")</f>
        <v/>
      </c>
      <c r="B3169" s="14">
        <f>IF(F3169&lt;&gt;"","错误","")</f>
        <v/>
      </c>
      <c r="C3169" s="14">
        <f>IF('08_资产清单'!A169&lt;&gt;"","08_资产清单","")</f>
        <v/>
      </c>
      <c r="D3169" s="14">
        <f>IF('08_资产清单'!A169&lt;&gt;"",'08_资产清单'!A169,"")</f>
        <v/>
      </c>
      <c r="E3169" s="14">
        <f>IF(F3169&lt;&gt;"","综合校验","")</f>
        <v/>
      </c>
      <c r="F3169" s="14">
        <f>IF('08_资产清单'!A169&lt;&gt;"",IF('08_资产清单'!A169="","缺少资产ID；","")&amp;IF('08_资产清单'!B169="","缺少资产名称；","")&amp;IF('08_资产清单'!C169="","缺少对象ID；","")&amp;IF('08_资产清单'!D169="","缺少资产类别；","")&amp;IF('08_资产清单'!G169="","缺少文件名；","")&amp;IF(AND('08_资产清单'!C169&lt;&gt;"",COUNTIF('02_固定地理'!$A$2:$A$501,'08_资产清单'!C169)+COUNTIF('03_地点锚点'!$A$2:$A$501,'08_资产清单'!C169)+COUNTIF('04_路径网络'!$A$2:$A$501,'08_资产清单'!C169)+COUNTIF('06_建筑锚点'!$A$2:$A$501,'08_资产清单'!C169)=0),"资产引用对象不存在；","")&amp;IF(AND('08_资产清单'!E169&lt;&gt;"",COUNTIF('07_动态状态'!$A$2:$A$501,'08_资产清单'!E169)=0),"状态编码不存在；","")&amp;IF(AND('08_资产清单'!G169&lt;&gt;"",COUNTIF('08_资产清单'!$G$2:$G$501,'08_资产清单'!G169)&gt;1),"文件名重复；","")&amp;IF(AND('08_资产清单'!A169&lt;&gt;"",COUNTIF('08_资产清单'!$A$2:$A$501,'08_资产清单'!A169)&gt;1),"ID重复；",""),"")</f>
        <v/>
      </c>
      <c r="G3169" s="14">
        <f>IF(F3169&lt;&gt;"","按字段批注、数据字典和来源记录修正后复核","")</f>
        <v/>
      </c>
      <c r="H3169" s="14">
        <f>IF(F3169&lt;&gt;"","待处理","")</f>
        <v/>
      </c>
    </row>
    <row r="3170">
      <c r="A3170" s="14">
        <f>IF(F3170&lt;&gt;"","ISSUE-"&amp;TEXT(ROW()-1,"00000"),"")</f>
        <v/>
      </c>
      <c r="B3170" s="14">
        <f>IF(F3170&lt;&gt;"","错误","")</f>
        <v/>
      </c>
      <c r="C3170" s="14">
        <f>IF('08_资产清单'!A170&lt;&gt;"","08_资产清单","")</f>
        <v/>
      </c>
      <c r="D3170" s="14">
        <f>IF('08_资产清单'!A170&lt;&gt;"",'08_资产清单'!A170,"")</f>
        <v/>
      </c>
      <c r="E3170" s="14">
        <f>IF(F3170&lt;&gt;"","综合校验","")</f>
        <v/>
      </c>
      <c r="F3170" s="14">
        <f>IF('08_资产清单'!A170&lt;&gt;"",IF('08_资产清单'!A170="","缺少资产ID；","")&amp;IF('08_资产清单'!B170="","缺少资产名称；","")&amp;IF('08_资产清单'!C170="","缺少对象ID；","")&amp;IF('08_资产清单'!D170="","缺少资产类别；","")&amp;IF('08_资产清单'!G170="","缺少文件名；","")&amp;IF(AND('08_资产清单'!C170&lt;&gt;"",COUNTIF('02_固定地理'!$A$2:$A$501,'08_资产清单'!C170)+COUNTIF('03_地点锚点'!$A$2:$A$501,'08_资产清单'!C170)+COUNTIF('04_路径网络'!$A$2:$A$501,'08_资产清单'!C170)+COUNTIF('06_建筑锚点'!$A$2:$A$501,'08_资产清单'!C170)=0),"资产引用对象不存在；","")&amp;IF(AND('08_资产清单'!E170&lt;&gt;"",COUNTIF('07_动态状态'!$A$2:$A$501,'08_资产清单'!E170)=0),"状态编码不存在；","")&amp;IF(AND('08_资产清单'!G170&lt;&gt;"",COUNTIF('08_资产清单'!$G$2:$G$501,'08_资产清单'!G170)&gt;1),"文件名重复；","")&amp;IF(AND('08_资产清单'!A170&lt;&gt;"",COUNTIF('08_资产清单'!$A$2:$A$501,'08_资产清单'!A170)&gt;1),"ID重复；",""),"")</f>
        <v/>
      </c>
      <c r="G3170" s="14">
        <f>IF(F3170&lt;&gt;"","按字段批注、数据字典和来源记录修正后复核","")</f>
        <v/>
      </c>
      <c r="H3170" s="14">
        <f>IF(F3170&lt;&gt;"","待处理","")</f>
        <v/>
      </c>
    </row>
    <row r="3171">
      <c r="A3171" s="14">
        <f>IF(F3171&lt;&gt;"","ISSUE-"&amp;TEXT(ROW()-1,"00000"),"")</f>
        <v/>
      </c>
      <c r="B3171" s="14">
        <f>IF(F3171&lt;&gt;"","错误","")</f>
        <v/>
      </c>
      <c r="C3171" s="14">
        <f>IF('08_资产清单'!A171&lt;&gt;"","08_资产清单","")</f>
        <v/>
      </c>
      <c r="D3171" s="14">
        <f>IF('08_资产清单'!A171&lt;&gt;"",'08_资产清单'!A171,"")</f>
        <v/>
      </c>
      <c r="E3171" s="14">
        <f>IF(F3171&lt;&gt;"","综合校验","")</f>
        <v/>
      </c>
      <c r="F3171" s="14">
        <f>IF('08_资产清单'!A171&lt;&gt;"",IF('08_资产清单'!A171="","缺少资产ID；","")&amp;IF('08_资产清单'!B171="","缺少资产名称；","")&amp;IF('08_资产清单'!C171="","缺少对象ID；","")&amp;IF('08_资产清单'!D171="","缺少资产类别；","")&amp;IF('08_资产清单'!G171="","缺少文件名；","")&amp;IF(AND('08_资产清单'!C171&lt;&gt;"",COUNTIF('02_固定地理'!$A$2:$A$501,'08_资产清单'!C171)+COUNTIF('03_地点锚点'!$A$2:$A$501,'08_资产清单'!C171)+COUNTIF('04_路径网络'!$A$2:$A$501,'08_资产清单'!C171)+COUNTIF('06_建筑锚点'!$A$2:$A$501,'08_资产清单'!C171)=0),"资产引用对象不存在；","")&amp;IF(AND('08_资产清单'!E171&lt;&gt;"",COUNTIF('07_动态状态'!$A$2:$A$501,'08_资产清单'!E171)=0),"状态编码不存在；","")&amp;IF(AND('08_资产清单'!G171&lt;&gt;"",COUNTIF('08_资产清单'!$G$2:$G$501,'08_资产清单'!G171)&gt;1),"文件名重复；","")&amp;IF(AND('08_资产清单'!A171&lt;&gt;"",COUNTIF('08_资产清单'!$A$2:$A$501,'08_资产清单'!A171)&gt;1),"ID重复；",""),"")</f>
        <v/>
      </c>
      <c r="G3171" s="14">
        <f>IF(F3171&lt;&gt;"","按字段批注、数据字典和来源记录修正后复核","")</f>
        <v/>
      </c>
      <c r="H3171" s="14">
        <f>IF(F3171&lt;&gt;"","待处理","")</f>
        <v/>
      </c>
    </row>
    <row r="3172">
      <c r="A3172" s="14">
        <f>IF(F3172&lt;&gt;"","ISSUE-"&amp;TEXT(ROW()-1,"00000"),"")</f>
        <v/>
      </c>
      <c r="B3172" s="14">
        <f>IF(F3172&lt;&gt;"","错误","")</f>
        <v/>
      </c>
      <c r="C3172" s="14">
        <f>IF('08_资产清单'!A172&lt;&gt;"","08_资产清单","")</f>
        <v/>
      </c>
      <c r="D3172" s="14">
        <f>IF('08_资产清单'!A172&lt;&gt;"",'08_资产清单'!A172,"")</f>
        <v/>
      </c>
      <c r="E3172" s="14">
        <f>IF(F3172&lt;&gt;"","综合校验","")</f>
        <v/>
      </c>
      <c r="F3172" s="14">
        <f>IF('08_资产清单'!A172&lt;&gt;"",IF('08_资产清单'!A172="","缺少资产ID；","")&amp;IF('08_资产清单'!B172="","缺少资产名称；","")&amp;IF('08_资产清单'!C172="","缺少对象ID；","")&amp;IF('08_资产清单'!D172="","缺少资产类别；","")&amp;IF('08_资产清单'!G172="","缺少文件名；","")&amp;IF(AND('08_资产清单'!C172&lt;&gt;"",COUNTIF('02_固定地理'!$A$2:$A$501,'08_资产清单'!C172)+COUNTIF('03_地点锚点'!$A$2:$A$501,'08_资产清单'!C172)+COUNTIF('04_路径网络'!$A$2:$A$501,'08_资产清单'!C172)+COUNTIF('06_建筑锚点'!$A$2:$A$501,'08_资产清单'!C172)=0),"资产引用对象不存在；","")&amp;IF(AND('08_资产清单'!E172&lt;&gt;"",COUNTIF('07_动态状态'!$A$2:$A$501,'08_资产清单'!E172)=0),"状态编码不存在；","")&amp;IF(AND('08_资产清单'!G172&lt;&gt;"",COUNTIF('08_资产清单'!$G$2:$G$501,'08_资产清单'!G172)&gt;1),"文件名重复；","")&amp;IF(AND('08_资产清单'!A172&lt;&gt;"",COUNTIF('08_资产清单'!$A$2:$A$501,'08_资产清单'!A172)&gt;1),"ID重复；",""),"")</f>
        <v/>
      </c>
      <c r="G3172" s="14">
        <f>IF(F3172&lt;&gt;"","按字段批注、数据字典和来源记录修正后复核","")</f>
        <v/>
      </c>
      <c r="H3172" s="14">
        <f>IF(F3172&lt;&gt;"","待处理","")</f>
        <v/>
      </c>
    </row>
    <row r="3173">
      <c r="A3173" s="14">
        <f>IF(F3173&lt;&gt;"","ISSUE-"&amp;TEXT(ROW()-1,"00000"),"")</f>
        <v/>
      </c>
      <c r="B3173" s="14">
        <f>IF(F3173&lt;&gt;"","错误","")</f>
        <v/>
      </c>
      <c r="C3173" s="14">
        <f>IF('08_资产清单'!A173&lt;&gt;"","08_资产清单","")</f>
        <v/>
      </c>
      <c r="D3173" s="14">
        <f>IF('08_资产清单'!A173&lt;&gt;"",'08_资产清单'!A173,"")</f>
        <v/>
      </c>
      <c r="E3173" s="14">
        <f>IF(F3173&lt;&gt;"","综合校验","")</f>
        <v/>
      </c>
      <c r="F3173" s="14">
        <f>IF('08_资产清单'!A173&lt;&gt;"",IF('08_资产清单'!A173="","缺少资产ID；","")&amp;IF('08_资产清单'!B173="","缺少资产名称；","")&amp;IF('08_资产清单'!C173="","缺少对象ID；","")&amp;IF('08_资产清单'!D173="","缺少资产类别；","")&amp;IF('08_资产清单'!G173="","缺少文件名；","")&amp;IF(AND('08_资产清单'!C173&lt;&gt;"",COUNTIF('02_固定地理'!$A$2:$A$501,'08_资产清单'!C173)+COUNTIF('03_地点锚点'!$A$2:$A$501,'08_资产清单'!C173)+COUNTIF('04_路径网络'!$A$2:$A$501,'08_资产清单'!C173)+COUNTIF('06_建筑锚点'!$A$2:$A$501,'08_资产清单'!C173)=0),"资产引用对象不存在；","")&amp;IF(AND('08_资产清单'!E173&lt;&gt;"",COUNTIF('07_动态状态'!$A$2:$A$501,'08_资产清单'!E173)=0),"状态编码不存在；","")&amp;IF(AND('08_资产清单'!G173&lt;&gt;"",COUNTIF('08_资产清单'!$G$2:$G$501,'08_资产清单'!G173)&gt;1),"文件名重复；","")&amp;IF(AND('08_资产清单'!A173&lt;&gt;"",COUNTIF('08_资产清单'!$A$2:$A$501,'08_资产清单'!A173)&gt;1),"ID重复；",""),"")</f>
        <v/>
      </c>
      <c r="G3173" s="14">
        <f>IF(F3173&lt;&gt;"","按字段批注、数据字典和来源记录修正后复核","")</f>
        <v/>
      </c>
      <c r="H3173" s="14">
        <f>IF(F3173&lt;&gt;"","待处理","")</f>
        <v/>
      </c>
    </row>
    <row r="3174">
      <c r="A3174" s="14">
        <f>IF(F3174&lt;&gt;"","ISSUE-"&amp;TEXT(ROW()-1,"00000"),"")</f>
        <v/>
      </c>
      <c r="B3174" s="14">
        <f>IF(F3174&lt;&gt;"","错误","")</f>
        <v/>
      </c>
      <c r="C3174" s="14">
        <f>IF('08_资产清单'!A174&lt;&gt;"","08_资产清单","")</f>
        <v/>
      </c>
      <c r="D3174" s="14">
        <f>IF('08_资产清单'!A174&lt;&gt;"",'08_资产清单'!A174,"")</f>
        <v/>
      </c>
      <c r="E3174" s="14">
        <f>IF(F3174&lt;&gt;"","综合校验","")</f>
        <v/>
      </c>
      <c r="F3174" s="14">
        <f>IF('08_资产清单'!A174&lt;&gt;"",IF('08_资产清单'!A174="","缺少资产ID；","")&amp;IF('08_资产清单'!B174="","缺少资产名称；","")&amp;IF('08_资产清单'!C174="","缺少对象ID；","")&amp;IF('08_资产清单'!D174="","缺少资产类别；","")&amp;IF('08_资产清单'!G174="","缺少文件名；","")&amp;IF(AND('08_资产清单'!C174&lt;&gt;"",COUNTIF('02_固定地理'!$A$2:$A$501,'08_资产清单'!C174)+COUNTIF('03_地点锚点'!$A$2:$A$501,'08_资产清单'!C174)+COUNTIF('04_路径网络'!$A$2:$A$501,'08_资产清单'!C174)+COUNTIF('06_建筑锚点'!$A$2:$A$501,'08_资产清单'!C174)=0),"资产引用对象不存在；","")&amp;IF(AND('08_资产清单'!E174&lt;&gt;"",COUNTIF('07_动态状态'!$A$2:$A$501,'08_资产清单'!E174)=0),"状态编码不存在；","")&amp;IF(AND('08_资产清单'!G174&lt;&gt;"",COUNTIF('08_资产清单'!$G$2:$G$501,'08_资产清单'!G174)&gt;1),"文件名重复；","")&amp;IF(AND('08_资产清单'!A174&lt;&gt;"",COUNTIF('08_资产清单'!$A$2:$A$501,'08_资产清单'!A174)&gt;1),"ID重复；",""),"")</f>
        <v/>
      </c>
      <c r="G3174" s="14">
        <f>IF(F3174&lt;&gt;"","按字段批注、数据字典和来源记录修正后复核","")</f>
        <v/>
      </c>
      <c r="H3174" s="14">
        <f>IF(F3174&lt;&gt;"","待处理","")</f>
        <v/>
      </c>
    </row>
    <row r="3175">
      <c r="A3175" s="14">
        <f>IF(F3175&lt;&gt;"","ISSUE-"&amp;TEXT(ROW()-1,"00000"),"")</f>
        <v/>
      </c>
      <c r="B3175" s="14">
        <f>IF(F3175&lt;&gt;"","错误","")</f>
        <v/>
      </c>
      <c r="C3175" s="14">
        <f>IF('08_资产清单'!A175&lt;&gt;"","08_资产清单","")</f>
        <v/>
      </c>
      <c r="D3175" s="14">
        <f>IF('08_资产清单'!A175&lt;&gt;"",'08_资产清单'!A175,"")</f>
        <v/>
      </c>
      <c r="E3175" s="14">
        <f>IF(F3175&lt;&gt;"","综合校验","")</f>
        <v/>
      </c>
      <c r="F3175" s="14">
        <f>IF('08_资产清单'!A175&lt;&gt;"",IF('08_资产清单'!A175="","缺少资产ID；","")&amp;IF('08_资产清单'!B175="","缺少资产名称；","")&amp;IF('08_资产清单'!C175="","缺少对象ID；","")&amp;IF('08_资产清单'!D175="","缺少资产类别；","")&amp;IF('08_资产清单'!G175="","缺少文件名；","")&amp;IF(AND('08_资产清单'!C175&lt;&gt;"",COUNTIF('02_固定地理'!$A$2:$A$501,'08_资产清单'!C175)+COUNTIF('03_地点锚点'!$A$2:$A$501,'08_资产清单'!C175)+COUNTIF('04_路径网络'!$A$2:$A$501,'08_资产清单'!C175)+COUNTIF('06_建筑锚点'!$A$2:$A$501,'08_资产清单'!C175)=0),"资产引用对象不存在；","")&amp;IF(AND('08_资产清单'!E175&lt;&gt;"",COUNTIF('07_动态状态'!$A$2:$A$501,'08_资产清单'!E175)=0),"状态编码不存在；","")&amp;IF(AND('08_资产清单'!G175&lt;&gt;"",COUNTIF('08_资产清单'!$G$2:$G$501,'08_资产清单'!G175)&gt;1),"文件名重复；","")&amp;IF(AND('08_资产清单'!A175&lt;&gt;"",COUNTIF('08_资产清单'!$A$2:$A$501,'08_资产清单'!A175)&gt;1),"ID重复；",""),"")</f>
        <v/>
      </c>
      <c r="G3175" s="14">
        <f>IF(F3175&lt;&gt;"","按字段批注、数据字典和来源记录修正后复核","")</f>
        <v/>
      </c>
      <c r="H3175" s="14">
        <f>IF(F3175&lt;&gt;"","待处理","")</f>
        <v/>
      </c>
    </row>
    <row r="3176">
      <c r="A3176" s="14">
        <f>IF(F3176&lt;&gt;"","ISSUE-"&amp;TEXT(ROW()-1,"00000"),"")</f>
        <v/>
      </c>
      <c r="B3176" s="14">
        <f>IF(F3176&lt;&gt;"","错误","")</f>
        <v/>
      </c>
      <c r="C3176" s="14">
        <f>IF('08_资产清单'!A176&lt;&gt;"","08_资产清单","")</f>
        <v/>
      </c>
      <c r="D3176" s="14">
        <f>IF('08_资产清单'!A176&lt;&gt;"",'08_资产清单'!A176,"")</f>
        <v/>
      </c>
      <c r="E3176" s="14">
        <f>IF(F3176&lt;&gt;"","综合校验","")</f>
        <v/>
      </c>
      <c r="F3176" s="14">
        <f>IF('08_资产清单'!A176&lt;&gt;"",IF('08_资产清单'!A176="","缺少资产ID；","")&amp;IF('08_资产清单'!B176="","缺少资产名称；","")&amp;IF('08_资产清单'!C176="","缺少对象ID；","")&amp;IF('08_资产清单'!D176="","缺少资产类别；","")&amp;IF('08_资产清单'!G176="","缺少文件名；","")&amp;IF(AND('08_资产清单'!C176&lt;&gt;"",COUNTIF('02_固定地理'!$A$2:$A$501,'08_资产清单'!C176)+COUNTIF('03_地点锚点'!$A$2:$A$501,'08_资产清单'!C176)+COUNTIF('04_路径网络'!$A$2:$A$501,'08_资产清单'!C176)+COUNTIF('06_建筑锚点'!$A$2:$A$501,'08_资产清单'!C176)=0),"资产引用对象不存在；","")&amp;IF(AND('08_资产清单'!E176&lt;&gt;"",COUNTIF('07_动态状态'!$A$2:$A$501,'08_资产清单'!E176)=0),"状态编码不存在；","")&amp;IF(AND('08_资产清单'!G176&lt;&gt;"",COUNTIF('08_资产清单'!$G$2:$G$501,'08_资产清单'!G176)&gt;1),"文件名重复；","")&amp;IF(AND('08_资产清单'!A176&lt;&gt;"",COUNTIF('08_资产清单'!$A$2:$A$501,'08_资产清单'!A176)&gt;1),"ID重复；",""),"")</f>
        <v/>
      </c>
      <c r="G3176" s="14">
        <f>IF(F3176&lt;&gt;"","按字段批注、数据字典和来源记录修正后复核","")</f>
        <v/>
      </c>
      <c r="H3176" s="14">
        <f>IF(F3176&lt;&gt;"","待处理","")</f>
        <v/>
      </c>
    </row>
    <row r="3177">
      <c r="A3177" s="14">
        <f>IF(F3177&lt;&gt;"","ISSUE-"&amp;TEXT(ROW()-1,"00000"),"")</f>
        <v/>
      </c>
      <c r="B3177" s="14">
        <f>IF(F3177&lt;&gt;"","错误","")</f>
        <v/>
      </c>
      <c r="C3177" s="14">
        <f>IF('08_资产清单'!A177&lt;&gt;"","08_资产清单","")</f>
        <v/>
      </c>
      <c r="D3177" s="14">
        <f>IF('08_资产清单'!A177&lt;&gt;"",'08_资产清单'!A177,"")</f>
        <v/>
      </c>
      <c r="E3177" s="14">
        <f>IF(F3177&lt;&gt;"","综合校验","")</f>
        <v/>
      </c>
      <c r="F3177" s="14">
        <f>IF('08_资产清单'!A177&lt;&gt;"",IF('08_资产清单'!A177="","缺少资产ID；","")&amp;IF('08_资产清单'!B177="","缺少资产名称；","")&amp;IF('08_资产清单'!C177="","缺少对象ID；","")&amp;IF('08_资产清单'!D177="","缺少资产类别；","")&amp;IF('08_资产清单'!G177="","缺少文件名；","")&amp;IF(AND('08_资产清单'!C177&lt;&gt;"",COUNTIF('02_固定地理'!$A$2:$A$501,'08_资产清单'!C177)+COUNTIF('03_地点锚点'!$A$2:$A$501,'08_资产清单'!C177)+COUNTIF('04_路径网络'!$A$2:$A$501,'08_资产清单'!C177)+COUNTIF('06_建筑锚点'!$A$2:$A$501,'08_资产清单'!C177)=0),"资产引用对象不存在；","")&amp;IF(AND('08_资产清单'!E177&lt;&gt;"",COUNTIF('07_动态状态'!$A$2:$A$501,'08_资产清单'!E177)=0),"状态编码不存在；","")&amp;IF(AND('08_资产清单'!G177&lt;&gt;"",COUNTIF('08_资产清单'!$G$2:$G$501,'08_资产清单'!G177)&gt;1),"文件名重复；","")&amp;IF(AND('08_资产清单'!A177&lt;&gt;"",COUNTIF('08_资产清单'!$A$2:$A$501,'08_资产清单'!A177)&gt;1),"ID重复；",""),"")</f>
        <v/>
      </c>
      <c r="G3177" s="14">
        <f>IF(F3177&lt;&gt;"","按字段批注、数据字典和来源记录修正后复核","")</f>
        <v/>
      </c>
      <c r="H3177" s="14">
        <f>IF(F3177&lt;&gt;"","待处理","")</f>
        <v/>
      </c>
    </row>
    <row r="3178">
      <c r="A3178" s="14">
        <f>IF(F3178&lt;&gt;"","ISSUE-"&amp;TEXT(ROW()-1,"00000"),"")</f>
        <v/>
      </c>
      <c r="B3178" s="14">
        <f>IF(F3178&lt;&gt;"","错误","")</f>
        <v/>
      </c>
      <c r="C3178" s="14">
        <f>IF('08_资产清单'!A178&lt;&gt;"","08_资产清单","")</f>
        <v/>
      </c>
      <c r="D3178" s="14">
        <f>IF('08_资产清单'!A178&lt;&gt;"",'08_资产清单'!A178,"")</f>
        <v/>
      </c>
      <c r="E3178" s="14">
        <f>IF(F3178&lt;&gt;"","综合校验","")</f>
        <v/>
      </c>
      <c r="F3178" s="14">
        <f>IF('08_资产清单'!A178&lt;&gt;"",IF('08_资产清单'!A178="","缺少资产ID；","")&amp;IF('08_资产清单'!B178="","缺少资产名称；","")&amp;IF('08_资产清单'!C178="","缺少对象ID；","")&amp;IF('08_资产清单'!D178="","缺少资产类别；","")&amp;IF('08_资产清单'!G178="","缺少文件名；","")&amp;IF(AND('08_资产清单'!C178&lt;&gt;"",COUNTIF('02_固定地理'!$A$2:$A$501,'08_资产清单'!C178)+COUNTIF('03_地点锚点'!$A$2:$A$501,'08_资产清单'!C178)+COUNTIF('04_路径网络'!$A$2:$A$501,'08_资产清单'!C178)+COUNTIF('06_建筑锚点'!$A$2:$A$501,'08_资产清单'!C178)=0),"资产引用对象不存在；","")&amp;IF(AND('08_资产清单'!E178&lt;&gt;"",COUNTIF('07_动态状态'!$A$2:$A$501,'08_资产清单'!E178)=0),"状态编码不存在；","")&amp;IF(AND('08_资产清单'!G178&lt;&gt;"",COUNTIF('08_资产清单'!$G$2:$G$501,'08_资产清单'!G178)&gt;1),"文件名重复；","")&amp;IF(AND('08_资产清单'!A178&lt;&gt;"",COUNTIF('08_资产清单'!$A$2:$A$501,'08_资产清单'!A178)&gt;1),"ID重复；",""),"")</f>
        <v/>
      </c>
      <c r="G3178" s="14">
        <f>IF(F3178&lt;&gt;"","按字段批注、数据字典和来源记录修正后复核","")</f>
        <v/>
      </c>
      <c r="H3178" s="14">
        <f>IF(F3178&lt;&gt;"","待处理","")</f>
        <v/>
      </c>
    </row>
    <row r="3179">
      <c r="A3179" s="14">
        <f>IF(F3179&lt;&gt;"","ISSUE-"&amp;TEXT(ROW()-1,"00000"),"")</f>
        <v/>
      </c>
      <c r="B3179" s="14">
        <f>IF(F3179&lt;&gt;"","错误","")</f>
        <v/>
      </c>
      <c r="C3179" s="14">
        <f>IF('08_资产清单'!A179&lt;&gt;"","08_资产清单","")</f>
        <v/>
      </c>
      <c r="D3179" s="14">
        <f>IF('08_资产清单'!A179&lt;&gt;"",'08_资产清单'!A179,"")</f>
        <v/>
      </c>
      <c r="E3179" s="14">
        <f>IF(F3179&lt;&gt;"","综合校验","")</f>
        <v/>
      </c>
      <c r="F3179" s="14">
        <f>IF('08_资产清单'!A179&lt;&gt;"",IF('08_资产清单'!A179="","缺少资产ID；","")&amp;IF('08_资产清单'!B179="","缺少资产名称；","")&amp;IF('08_资产清单'!C179="","缺少对象ID；","")&amp;IF('08_资产清单'!D179="","缺少资产类别；","")&amp;IF('08_资产清单'!G179="","缺少文件名；","")&amp;IF(AND('08_资产清单'!C179&lt;&gt;"",COUNTIF('02_固定地理'!$A$2:$A$501,'08_资产清单'!C179)+COUNTIF('03_地点锚点'!$A$2:$A$501,'08_资产清单'!C179)+COUNTIF('04_路径网络'!$A$2:$A$501,'08_资产清单'!C179)+COUNTIF('06_建筑锚点'!$A$2:$A$501,'08_资产清单'!C179)=0),"资产引用对象不存在；","")&amp;IF(AND('08_资产清单'!E179&lt;&gt;"",COUNTIF('07_动态状态'!$A$2:$A$501,'08_资产清单'!E179)=0),"状态编码不存在；","")&amp;IF(AND('08_资产清单'!G179&lt;&gt;"",COUNTIF('08_资产清单'!$G$2:$G$501,'08_资产清单'!G179)&gt;1),"文件名重复；","")&amp;IF(AND('08_资产清单'!A179&lt;&gt;"",COUNTIF('08_资产清单'!$A$2:$A$501,'08_资产清单'!A179)&gt;1),"ID重复；",""),"")</f>
        <v/>
      </c>
      <c r="G3179" s="14">
        <f>IF(F3179&lt;&gt;"","按字段批注、数据字典和来源记录修正后复核","")</f>
        <v/>
      </c>
      <c r="H3179" s="14">
        <f>IF(F3179&lt;&gt;"","待处理","")</f>
        <v/>
      </c>
    </row>
    <row r="3180">
      <c r="A3180" s="14">
        <f>IF(F3180&lt;&gt;"","ISSUE-"&amp;TEXT(ROW()-1,"00000"),"")</f>
        <v/>
      </c>
      <c r="B3180" s="14">
        <f>IF(F3180&lt;&gt;"","错误","")</f>
        <v/>
      </c>
      <c r="C3180" s="14">
        <f>IF('08_资产清单'!A180&lt;&gt;"","08_资产清单","")</f>
        <v/>
      </c>
      <c r="D3180" s="14">
        <f>IF('08_资产清单'!A180&lt;&gt;"",'08_资产清单'!A180,"")</f>
        <v/>
      </c>
      <c r="E3180" s="14">
        <f>IF(F3180&lt;&gt;"","综合校验","")</f>
        <v/>
      </c>
      <c r="F3180" s="14">
        <f>IF('08_资产清单'!A180&lt;&gt;"",IF('08_资产清单'!A180="","缺少资产ID；","")&amp;IF('08_资产清单'!B180="","缺少资产名称；","")&amp;IF('08_资产清单'!C180="","缺少对象ID；","")&amp;IF('08_资产清单'!D180="","缺少资产类别；","")&amp;IF('08_资产清单'!G180="","缺少文件名；","")&amp;IF(AND('08_资产清单'!C180&lt;&gt;"",COUNTIF('02_固定地理'!$A$2:$A$501,'08_资产清单'!C180)+COUNTIF('03_地点锚点'!$A$2:$A$501,'08_资产清单'!C180)+COUNTIF('04_路径网络'!$A$2:$A$501,'08_资产清单'!C180)+COUNTIF('06_建筑锚点'!$A$2:$A$501,'08_资产清单'!C180)=0),"资产引用对象不存在；","")&amp;IF(AND('08_资产清单'!E180&lt;&gt;"",COUNTIF('07_动态状态'!$A$2:$A$501,'08_资产清单'!E180)=0),"状态编码不存在；","")&amp;IF(AND('08_资产清单'!G180&lt;&gt;"",COUNTIF('08_资产清单'!$G$2:$G$501,'08_资产清单'!G180)&gt;1),"文件名重复；","")&amp;IF(AND('08_资产清单'!A180&lt;&gt;"",COUNTIF('08_资产清单'!$A$2:$A$501,'08_资产清单'!A180)&gt;1),"ID重复；",""),"")</f>
        <v/>
      </c>
      <c r="G3180" s="14">
        <f>IF(F3180&lt;&gt;"","按字段批注、数据字典和来源记录修正后复核","")</f>
        <v/>
      </c>
      <c r="H3180" s="14">
        <f>IF(F3180&lt;&gt;"","待处理","")</f>
        <v/>
      </c>
    </row>
    <row r="3181">
      <c r="A3181" s="14">
        <f>IF(F3181&lt;&gt;"","ISSUE-"&amp;TEXT(ROW()-1,"00000"),"")</f>
        <v/>
      </c>
      <c r="B3181" s="14">
        <f>IF(F3181&lt;&gt;"","错误","")</f>
        <v/>
      </c>
      <c r="C3181" s="14">
        <f>IF('08_资产清单'!A181&lt;&gt;"","08_资产清单","")</f>
        <v/>
      </c>
      <c r="D3181" s="14">
        <f>IF('08_资产清单'!A181&lt;&gt;"",'08_资产清单'!A181,"")</f>
        <v/>
      </c>
      <c r="E3181" s="14">
        <f>IF(F3181&lt;&gt;"","综合校验","")</f>
        <v/>
      </c>
      <c r="F3181" s="14">
        <f>IF('08_资产清单'!A181&lt;&gt;"",IF('08_资产清单'!A181="","缺少资产ID；","")&amp;IF('08_资产清单'!B181="","缺少资产名称；","")&amp;IF('08_资产清单'!C181="","缺少对象ID；","")&amp;IF('08_资产清单'!D181="","缺少资产类别；","")&amp;IF('08_资产清单'!G181="","缺少文件名；","")&amp;IF(AND('08_资产清单'!C181&lt;&gt;"",COUNTIF('02_固定地理'!$A$2:$A$501,'08_资产清单'!C181)+COUNTIF('03_地点锚点'!$A$2:$A$501,'08_资产清单'!C181)+COUNTIF('04_路径网络'!$A$2:$A$501,'08_资产清单'!C181)+COUNTIF('06_建筑锚点'!$A$2:$A$501,'08_资产清单'!C181)=0),"资产引用对象不存在；","")&amp;IF(AND('08_资产清单'!E181&lt;&gt;"",COUNTIF('07_动态状态'!$A$2:$A$501,'08_资产清单'!E181)=0),"状态编码不存在；","")&amp;IF(AND('08_资产清单'!G181&lt;&gt;"",COUNTIF('08_资产清单'!$G$2:$G$501,'08_资产清单'!G181)&gt;1),"文件名重复；","")&amp;IF(AND('08_资产清单'!A181&lt;&gt;"",COUNTIF('08_资产清单'!$A$2:$A$501,'08_资产清单'!A181)&gt;1),"ID重复；",""),"")</f>
        <v/>
      </c>
      <c r="G3181" s="14">
        <f>IF(F3181&lt;&gt;"","按字段批注、数据字典和来源记录修正后复核","")</f>
        <v/>
      </c>
      <c r="H3181" s="14">
        <f>IF(F3181&lt;&gt;"","待处理","")</f>
        <v/>
      </c>
    </row>
    <row r="3182">
      <c r="A3182" s="14">
        <f>IF(F3182&lt;&gt;"","ISSUE-"&amp;TEXT(ROW()-1,"00000"),"")</f>
        <v/>
      </c>
      <c r="B3182" s="14">
        <f>IF(F3182&lt;&gt;"","错误","")</f>
        <v/>
      </c>
      <c r="C3182" s="14">
        <f>IF('08_资产清单'!A182&lt;&gt;"","08_资产清单","")</f>
        <v/>
      </c>
      <c r="D3182" s="14">
        <f>IF('08_资产清单'!A182&lt;&gt;"",'08_资产清单'!A182,"")</f>
        <v/>
      </c>
      <c r="E3182" s="14">
        <f>IF(F3182&lt;&gt;"","综合校验","")</f>
        <v/>
      </c>
      <c r="F3182" s="14">
        <f>IF('08_资产清单'!A182&lt;&gt;"",IF('08_资产清单'!A182="","缺少资产ID；","")&amp;IF('08_资产清单'!B182="","缺少资产名称；","")&amp;IF('08_资产清单'!C182="","缺少对象ID；","")&amp;IF('08_资产清单'!D182="","缺少资产类别；","")&amp;IF('08_资产清单'!G182="","缺少文件名；","")&amp;IF(AND('08_资产清单'!C182&lt;&gt;"",COUNTIF('02_固定地理'!$A$2:$A$501,'08_资产清单'!C182)+COUNTIF('03_地点锚点'!$A$2:$A$501,'08_资产清单'!C182)+COUNTIF('04_路径网络'!$A$2:$A$501,'08_资产清单'!C182)+COUNTIF('06_建筑锚点'!$A$2:$A$501,'08_资产清单'!C182)=0),"资产引用对象不存在；","")&amp;IF(AND('08_资产清单'!E182&lt;&gt;"",COUNTIF('07_动态状态'!$A$2:$A$501,'08_资产清单'!E182)=0),"状态编码不存在；","")&amp;IF(AND('08_资产清单'!G182&lt;&gt;"",COUNTIF('08_资产清单'!$G$2:$G$501,'08_资产清单'!G182)&gt;1),"文件名重复；","")&amp;IF(AND('08_资产清单'!A182&lt;&gt;"",COUNTIF('08_资产清单'!$A$2:$A$501,'08_资产清单'!A182)&gt;1),"ID重复；",""),"")</f>
        <v/>
      </c>
      <c r="G3182" s="14">
        <f>IF(F3182&lt;&gt;"","按字段批注、数据字典和来源记录修正后复核","")</f>
        <v/>
      </c>
      <c r="H3182" s="14">
        <f>IF(F3182&lt;&gt;"","待处理","")</f>
        <v/>
      </c>
    </row>
    <row r="3183">
      <c r="A3183" s="14">
        <f>IF(F3183&lt;&gt;"","ISSUE-"&amp;TEXT(ROW()-1,"00000"),"")</f>
        <v/>
      </c>
      <c r="B3183" s="14">
        <f>IF(F3183&lt;&gt;"","错误","")</f>
        <v/>
      </c>
      <c r="C3183" s="14">
        <f>IF('08_资产清单'!A183&lt;&gt;"","08_资产清单","")</f>
        <v/>
      </c>
      <c r="D3183" s="14">
        <f>IF('08_资产清单'!A183&lt;&gt;"",'08_资产清单'!A183,"")</f>
        <v/>
      </c>
      <c r="E3183" s="14">
        <f>IF(F3183&lt;&gt;"","综合校验","")</f>
        <v/>
      </c>
      <c r="F3183" s="14">
        <f>IF('08_资产清单'!A183&lt;&gt;"",IF('08_资产清单'!A183="","缺少资产ID；","")&amp;IF('08_资产清单'!B183="","缺少资产名称；","")&amp;IF('08_资产清单'!C183="","缺少对象ID；","")&amp;IF('08_资产清单'!D183="","缺少资产类别；","")&amp;IF('08_资产清单'!G183="","缺少文件名；","")&amp;IF(AND('08_资产清单'!C183&lt;&gt;"",COUNTIF('02_固定地理'!$A$2:$A$501,'08_资产清单'!C183)+COUNTIF('03_地点锚点'!$A$2:$A$501,'08_资产清单'!C183)+COUNTIF('04_路径网络'!$A$2:$A$501,'08_资产清单'!C183)+COUNTIF('06_建筑锚点'!$A$2:$A$501,'08_资产清单'!C183)=0),"资产引用对象不存在；","")&amp;IF(AND('08_资产清单'!E183&lt;&gt;"",COUNTIF('07_动态状态'!$A$2:$A$501,'08_资产清单'!E183)=0),"状态编码不存在；","")&amp;IF(AND('08_资产清单'!G183&lt;&gt;"",COUNTIF('08_资产清单'!$G$2:$G$501,'08_资产清单'!G183)&gt;1),"文件名重复；","")&amp;IF(AND('08_资产清单'!A183&lt;&gt;"",COUNTIF('08_资产清单'!$A$2:$A$501,'08_资产清单'!A183)&gt;1),"ID重复；",""),"")</f>
        <v/>
      </c>
      <c r="G3183" s="14">
        <f>IF(F3183&lt;&gt;"","按字段批注、数据字典和来源记录修正后复核","")</f>
        <v/>
      </c>
      <c r="H3183" s="14">
        <f>IF(F3183&lt;&gt;"","待处理","")</f>
        <v/>
      </c>
    </row>
    <row r="3184">
      <c r="A3184" s="14">
        <f>IF(F3184&lt;&gt;"","ISSUE-"&amp;TEXT(ROW()-1,"00000"),"")</f>
        <v/>
      </c>
      <c r="B3184" s="14">
        <f>IF(F3184&lt;&gt;"","错误","")</f>
        <v/>
      </c>
      <c r="C3184" s="14">
        <f>IF('08_资产清单'!A184&lt;&gt;"","08_资产清单","")</f>
        <v/>
      </c>
      <c r="D3184" s="14">
        <f>IF('08_资产清单'!A184&lt;&gt;"",'08_资产清单'!A184,"")</f>
        <v/>
      </c>
      <c r="E3184" s="14">
        <f>IF(F3184&lt;&gt;"","综合校验","")</f>
        <v/>
      </c>
      <c r="F3184" s="14">
        <f>IF('08_资产清单'!A184&lt;&gt;"",IF('08_资产清单'!A184="","缺少资产ID；","")&amp;IF('08_资产清单'!B184="","缺少资产名称；","")&amp;IF('08_资产清单'!C184="","缺少对象ID；","")&amp;IF('08_资产清单'!D184="","缺少资产类别；","")&amp;IF('08_资产清单'!G184="","缺少文件名；","")&amp;IF(AND('08_资产清单'!C184&lt;&gt;"",COUNTIF('02_固定地理'!$A$2:$A$501,'08_资产清单'!C184)+COUNTIF('03_地点锚点'!$A$2:$A$501,'08_资产清单'!C184)+COUNTIF('04_路径网络'!$A$2:$A$501,'08_资产清单'!C184)+COUNTIF('06_建筑锚点'!$A$2:$A$501,'08_资产清单'!C184)=0),"资产引用对象不存在；","")&amp;IF(AND('08_资产清单'!E184&lt;&gt;"",COUNTIF('07_动态状态'!$A$2:$A$501,'08_资产清单'!E184)=0),"状态编码不存在；","")&amp;IF(AND('08_资产清单'!G184&lt;&gt;"",COUNTIF('08_资产清单'!$G$2:$G$501,'08_资产清单'!G184)&gt;1),"文件名重复；","")&amp;IF(AND('08_资产清单'!A184&lt;&gt;"",COUNTIF('08_资产清单'!$A$2:$A$501,'08_资产清单'!A184)&gt;1),"ID重复；",""),"")</f>
        <v/>
      </c>
      <c r="G3184" s="14">
        <f>IF(F3184&lt;&gt;"","按字段批注、数据字典和来源记录修正后复核","")</f>
        <v/>
      </c>
      <c r="H3184" s="14">
        <f>IF(F3184&lt;&gt;"","待处理","")</f>
        <v/>
      </c>
    </row>
    <row r="3185">
      <c r="A3185" s="14">
        <f>IF(F3185&lt;&gt;"","ISSUE-"&amp;TEXT(ROW()-1,"00000"),"")</f>
        <v/>
      </c>
      <c r="B3185" s="14">
        <f>IF(F3185&lt;&gt;"","错误","")</f>
        <v/>
      </c>
      <c r="C3185" s="14">
        <f>IF('08_资产清单'!A185&lt;&gt;"","08_资产清单","")</f>
        <v/>
      </c>
      <c r="D3185" s="14">
        <f>IF('08_资产清单'!A185&lt;&gt;"",'08_资产清单'!A185,"")</f>
        <v/>
      </c>
      <c r="E3185" s="14">
        <f>IF(F3185&lt;&gt;"","综合校验","")</f>
        <v/>
      </c>
      <c r="F3185" s="14">
        <f>IF('08_资产清单'!A185&lt;&gt;"",IF('08_资产清单'!A185="","缺少资产ID；","")&amp;IF('08_资产清单'!B185="","缺少资产名称；","")&amp;IF('08_资产清单'!C185="","缺少对象ID；","")&amp;IF('08_资产清单'!D185="","缺少资产类别；","")&amp;IF('08_资产清单'!G185="","缺少文件名；","")&amp;IF(AND('08_资产清单'!C185&lt;&gt;"",COUNTIF('02_固定地理'!$A$2:$A$501,'08_资产清单'!C185)+COUNTIF('03_地点锚点'!$A$2:$A$501,'08_资产清单'!C185)+COUNTIF('04_路径网络'!$A$2:$A$501,'08_资产清单'!C185)+COUNTIF('06_建筑锚点'!$A$2:$A$501,'08_资产清单'!C185)=0),"资产引用对象不存在；","")&amp;IF(AND('08_资产清单'!E185&lt;&gt;"",COUNTIF('07_动态状态'!$A$2:$A$501,'08_资产清单'!E185)=0),"状态编码不存在；","")&amp;IF(AND('08_资产清单'!G185&lt;&gt;"",COUNTIF('08_资产清单'!$G$2:$G$501,'08_资产清单'!G185)&gt;1),"文件名重复；","")&amp;IF(AND('08_资产清单'!A185&lt;&gt;"",COUNTIF('08_资产清单'!$A$2:$A$501,'08_资产清单'!A185)&gt;1),"ID重复；",""),"")</f>
        <v/>
      </c>
      <c r="G3185" s="14">
        <f>IF(F3185&lt;&gt;"","按字段批注、数据字典和来源记录修正后复核","")</f>
        <v/>
      </c>
      <c r="H3185" s="14">
        <f>IF(F3185&lt;&gt;"","待处理","")</f>
        <v/>
      </c>
    </row>
    <row r="3186">
      <c r="A3186" s="14">
        <f>IF(F3186&lt;&gt;"","ISSUE-"&amp;TEXT(ROW()-1,"00000"),"")</f>
        <v/>
      </c>
      <c r="B3186" s="14">
        <f>IF(F3186&lt;&gt;"","错误","")</f>
        <v/>
      </c>
      <c r="C3186" s="14">
        <f>IF('08_资产清单'!A186&lt;&gt;"","08_资产清单","")</f>
        <v/>
      </c>
      <c r="D3186" s="14">
        <f>IF('08_资产清单'!A186&lt;&gt;"",'08_资产清单'!A186,"")</f>
        <v/>
      </c>
      <c r="E3186" s="14">
        <f>IF(F3186&lt;&gt;"","综合校验","")</f>
        <v/>
      </c>
      <c r="F3186" s="14">
        <f>IF('08_资产清单'!A186&lt;&gt;"",IF('08_资产清单'!A186="","缺少资产ID；","")&amp;IF('08_资产清单'!B186="","缺少资产名称；","")&amp;IF('08_资产清单'!C186="","缺少对象ID；","")&amp;IF('08_资产清单'!D186="","缺少资产类别；","")&amp;IF('08_资产清单'!G186="","缺少文件名；","")&amp;IF(AND('08_资产清单'!C186&lt;&gt;"",COUNTIF('02_固定地理'!$A$2:$A$501,'08_资产清单'!C186)+COUNTIF('03_地点锚点'!$A$2:$A$501,'08_资产清单'!C186)+COUNTIF('04_路径网络'!$A$2:$A$501,'08_资产清单'!C186)+COUNTIF('06_建筑锚点'!$A$2:$A$501,'08_资产清单'!C186)=0),"资产引用对象不存在；","")&amp;IF(AND('08_资产清单'!E186&lt;&gt;"",COUNTIF('07_动态状态'!$A$2:$A$501,'08_资产清单'!E186)=0),"状态编码不存在；","")&amp;IF(AND('08_资产清单'!G186&lt;&gt;"",COUNTIF('08_资产清单'!$G$2:$G$501,'08_资产清单'!G186)&gt;1),"文件名重复；","")&amp;IF(AND('08_资产清单'!A186&lt;&gt;"",COUNTIF('08_资产清单'!$A$2:$A$501,'08_资产清单'!A186)&gt;1),"ID重复；",""),"")</f>
        <v/>
      </c>
      <c r="G3186" s="14">
        <f>IF(F3186&lt;&gt;"","按字段批注、数据字典和来源记录修正后复核","")</f>
        <v/>
      </c>
      <c r="H3186" s="14">
        <f>IF(F3186&lt;&gt;"","待处理","")</f>
        <v/>
      </c>
    </row>
    <row r="3187">
      <c r="A3187" s="14">
        <f>IF(F3187&lt;&gt;"","ISSUE-"&amp;TEXT(ROW()-1,"00000"),"")</f>
        <v/>
      </c>
      <c r="B3187" s="14">
        <f>IF(F3187&lt;&gt;"","错误","")</f>
        <v/>
      </c>
      <c r="C3187" s="14">
        <f>IF('08_资产清单'!A187&lt;&gt;"","08_资产清单","")</f>
        <v/>
      </c>
      <c r="D3187" s="14">
        <f>IF('08_资产清单'!A187&lt;&gt;"",'08_资产清单'!A187,"")</f>
        <v/>
      </c>
      <c r="E3187" s="14">
        <f>IF(F3187&lt;&gt;"","综合校验","")</f>
        <v/>
      </c>
      <c r="F3187" s="14">
        <f>IF('08_资产清单'!A187&lt;&gt;"",IF('08_资产清单'!A187="","缺少资产ID；","")&amp;IF('08_资产清单'!B187="","缺少资产名称；","")&amp;IF('08_资产清单'!C187="","缺少对象ID；","")&amp;IF('08_资产清单'!D187="","缺少资产类别；","")&amp;IF('08_资产清单'!G187="","缺少文件名；","")&amp;IF(AND('08_资产清单'!C187&lt;&gt;"",COUNTIF('02_固定地理'!$A$2:$A$501,'08_资产清单'!C187)+COUNTIF('03_地点锚点'!$A$2:$A$501,'08_资产清单'!C187)+COUNTIF('04_路径网络'!$A$2:$A$501,'08_资产清单'!C187)+COUNTIF('06_建筑锚点'!$A$2:$A$501,'08_资产清单'!C187)=0),"资产引用对象不存在；","")&amp;IF(AND('08_资产清单'!E187&lt;&gt;"",COUNTIF('07_动态状态'!$A$2:$A$501,'08_资产清单'!E187)=0),"状态编码不存在；","")&amp;IF(AND('08_资产清单'!G187&lt;&gt;"",COUNTIF('08_资产清单'!$G$2:$G$501,'08_资产清单'!G187)&gt;1),"文件名重复；","")&amp;IF(AND('08_资产清单'!A187&lt;&gt;"",COUNTIF('08_资产清单'!$A$2:$A$501,'08_资产清单'!A187)&gt;1),"ID重复；",""),"")</f>
        <v/>
      </c>
      <c r="G3187" s="14">
        <f>IF(F3187&lt;&gt;"","按字段批注、数据字典和来源记录修正后复核","")</f>
        <v/>
      </c>
      <c r="H3187" s="14">
        <f>IF(F3187&lt;&gt;"","待处理","")</f>
        <v/>
      </c>
    </row>
    <row r="3188">
      <c r="A3188" s="14">
        <f>IF(F3188&lt;&gt;"","ISSUE-"&amp;TEXT(ROW()-1,"00000"),"")</f>
        <v/>
      </c>
      <c r="B3188" s="14">
        <f>IF(F3188&lt;&gt;"","错误","")</f>
        <v/>
      </c>
      <c r="C3188" s="14">
        <f>IF('08_资产清单'!A188&lt;&gt;"","08_资产清单","")</f>
        <v/>
      </c>
      <c r="D3188" s="14">
        <f>IF('08_资产清单'!A188&lt;&gt;"",'08_资产清单'!A188,"")</f>
        <v/>
      </c>
      <c r="E3188" s="14">
        <f>IF(F3188&lt;&gt;"","综合校验","")</f>
        <v/>
      </c>
      <c r="F3188" s="14">
        <f>IF('08_资产清单'!A188&lt;&gt;"",IF('08_资产清单'!A188="","缺少资产ID；","")&amp;IF('08_资产清单'!B188="","缺少资产名称；","")&amp;IF('08_资产清单'!C188="","缺少对象ID；","")&amp;IF('08_资产清单'!D188="","缺少资产类别；","")&amp;IF('08_资产清单'!G188="","缺少文件名；","")&amp;IF(AND('08_资产清单'!C188&lt;&gt;"",COUNTIF('02_固定地理'!$A$2:$A$501,'08_资产清单'!C188)+COUNTIF('03_地点锚点'!$A$2:$A$501,'08_资产清单'!C188)+COUNTIF('04_路径网络'!$A$2:$A$501,'08_资产清单'!C188)+COUNTIF('06_建筑锚点'!$A$2:$A$501,'08_资产清单'!C188)=0),"资产引用对象不存在；","")&amp;IF(AND('08_资产清单'!E188&lt;&gt;"",COUNTIF('07_动态状态'!$A$2:$A$501,'08_资产清单'!E188)=0),"状态编码不存在；","")&amp;IF(AND('08_资产清单'!G188&lt;&gt;"",COUNTIF('08_资产清单'!$G$2:$G$501,'08_资产清单'!G188)&gt;1),"文件名重复；","")&amp;IF(AND('08_资产清单'!A188&lt;&gt;"",COUNTIF('08_资产清单'!$A$2:$A$501,'08_资产清单'!A188)&gt;1),"ID重复；",""),"")</f>
        <v/>
      </c>
      <c r="G3188" s="14">
        <f>IF(F3188&lt;&gt;"","按字段批注、数据字典和来源记录修正后复核","")</f>
        <v/>
      </c>
      <c r="H3188" s="14">
        <f>IF(F3188&lt;&gt;"","待处理","")</f>
        <v/>
      </c>
    </row>
    <row r="3189">
      <c r="A3189" s="14">
        <f>IF(F3189&lt;&gt;"","ISSUE-"&amp;TEXT(ROW()-1,"00000"),"")</f>
        <v/>
      </c>
      <c r="B3189" s="14">
        <f>IF(F3189&lt;&gt;"","错误","")</f>
        <v/>
      </c>
      <c r="C3189" s="14">
        <f>IF('08_资产清单'!A189&lt;&gt;"","08_资产清单","")</f>
        <v/>
      </c>
      <c r="D3189" s="14">
        <f>IF('08_资产清单'!A189&lt;&gt;"",'08_资产清单'!A189,"")</f>
        <v/>
      </c>
      <c r="E3189" s="14">
        <f>IF(F3189&lt;&gt;"","综合校验","")</f>
        <v/>
      </c>
      <c r="F3189" s="14">
        <f>IF('08_资产清单'!A189&lt;&gt;"",IF('08_资产清单'!A189="","缺少资产ID；","")&amp;IF('08_资产清单'!B189="","缺少资产名称；","")&amp;IF('08_资产清单'!C189="","缺少对象ID；","")&amp;IF('08_资产清单'!D189="","缺少资产类别；","")&amp;IF('08_资产清单'!G189="","缺少文件名；","")&amp;IF(AND('08_资产清单'!C189&lt;&gt;"",COUNTIF('02_固定地理'!$A$2:$A$501,'08_资产清单'!C189)+COUNTIF('03_地点锚点'!$A$2:$A$501,'08_资产清单'!C189)+COUNTIF('04_路径网络'!$A$2:$A$501,'08_资产清单'!C189)+COUNTIF('06_建筑锚点'!$A$2:$A$501,'08_资产清单'!C189)=0),"资产引用对象不存在；","")&amp;IF(AND('08_资产清单'!E189&lt;&gt;"",COUNTIF('07_动态状态'!$A$2:$A$501,'08_资产清单'!E189)=0),"状态编码不存在；","")&amp;IF(AND('08_资产清单'!G189&lt;&gt;"",COUNTIF('08_资产清单'!$G$2:$G$501,'08_资产清单'!G189)&gt;1),"文件名重复；","")&amp;IF(AND('08_资产清单'!A189&lt;&gt;"",COUNTIF('08_资产清单'!$A$2:$A$501,'08_资产清单'!A189)&gt;1),"ID重复；",""),"")</f>
        <v/>
      </c>
      <c r="G3189" s="14">
        <f>IF(F3189&lt;&gt;"","按字段批注、数据字典和来源记录修正后复核","")</f>
        <v/>
      </c>
      <c r="H3189" s="14">
        <f>IF(F3189&lt;&gt;"","待处理","")</f>
        <v/>
      </c>
    </row>
    <row r="3190">
      <c r="A3190" s="14">
        <f>IF(F3190&lt;&gt;"","ISSUE-"&amp;TEXT(ROW()-1,"00000"),"")</f>
        <v/>
      </c>
      <c r="B3190" s="14">
        <f>IF(F3190&lt;&gt;"","错误","")</f>
        <v/>
      </c>
      <c r="C3190" s="14">
        <f>IF('08_资产清单'!A190&lt;&gt;"","08_资产清单","")</f>
        <v/>
      </c>
      <c r="D3190" s="14">
        <f>IF('08_资产清单'!A190&lt;&gt;"",'08_资产清单'!A190,"")</f>
        <v/>
      </c>
      <c r="E3190" s="14">
        <f>IF(F3190&lt;&gt;"","综合校验","")</f>
        <v/>
      </c>
      <c r="F3190" s="14">
        <f>IF('08_资产清单'!A190&lt;&gt;"",IF('08_资产清单'!A190="","缺少资产ID；","")&amp;IF('08_资产清单'!B190="","缺少资产名称；","")&amp;IF('08_资产清单'!C190="","缺少对象ID；","")&amp;IF('08_资产清单'!D190="","缺少资产类别；","")&amp;IF('08_资产清单'!G190="","缺少文件名；","")&amp;IF(AND('08_资产清单'!C190&lt;&gt;"",COUNTIF('02_固定地理'!$A$2:$A$501,'08_资产清单'!C190)+COUNTIF('03_地点锚点'!$A$2:$A$501,'08_资产清单'!C190)+COUNTIF('04_路径网络'!$A$2:$A$501,'08_资产清单'!C190)+COUNTIF('06_建筑锚点'!$A$2:$A$501,'08_资产清单'!C190)=0),"资产引用对象不存在；","")&amp;IF(AND('08_资产清单'!E190&lt;&gt;"",COUNTIF('07_动态状态'!$A$2:$A$501,'08_资产清单'!E190)=0),"状态编码不存在；","")&amp;IF(AND('08_资产清单'!G190&lt;&gt;"",COUNTIF('08_资产清单'!$G$2:$G$501,'08_资产清单'!G190)&gt;1),"文件名重复；","")&amp;IF(AND('08_资产清单'!A190&lt;&gt;"",COUNTIF('08_资产清单'!$A$2:$A$501,'08_资产清单'!A190)&gt;1),"ID重复；",""),"")</f>
        <v/>
      </c>
      <c r="G3190" s="14">
        <f>IF(F3190&lt;&gt;"","按字段批注、数据字典和来源记录修正后复核","")</f>
        <v/>
      </c>
      <c r="H3190" s="14">
        <f>IF(F3190&lt;&gt;"","待处理","")</f>
        <v/>
      </c>
    </row>
    <row r="3191">
      <c r="A3191" s="14">
        <f>IF(F3191&lt;&gt;"","ISSUE-"&amp;TEXT(ROW()-1,"00000"),"")</f>
        <v/>
      </c>
      <c r="B3191" s="14">
        <f>IF(F3191&lt;&gt;"","错误","")</f>
        <v/>
      </c>
      <c r="C3191" s="14">
        <f>IF('08_资产清单'!A191&lt;&gt;"","08_资产清单","")</f>
        <v/>
      </c>
      <c r="D3191" s="14">
        <f>IF('08_资产清单'!A191&lt;&gt;"",'08_资产清单'!A191,"")</f>
        <v/>
      </c>
      <c r="E3191" s="14">
        <f>IF(F3191&lt;&gt;"","综合校验","")</f>
        <v/>
      </c>
      <c r="F3191" s="14">
        <f>IF('08_资产清单'!A191&lt;&gt;"",IF('08_资产清单'!A191="","缺少资产ID；","")&amp;IF('08_资产清单'!B191="","缺少资产名称；","")&amp;IF('08_资产清单'!C191="","缺少对象ID；","")&amp;IF('08_资产清单'!D191="","缺少资产类别；","")&amp;IF('08_资产清单'!G191="","缺少文件名；","")&amp;IF(AND('08_资产清单'!C191&lt;&gt;"",COUNTIF('02_固定地理'!$A$2:$A$501,'08_资产清单'!C191)+COUNTIF('03_地点锚点'!$A$2:$A$501,'08_资产清单'!C191)+COUNTIF('04_路径网络'!$A$2:$A$501,'08_资产清单'!C191)+COUNTIF('06_建筑锚点'!$A$2:$A$501,'08_资产清单'!C191)=0),"资产引用对象不存在；","")&amp;IF(AND('08_资产清单'!E191&lt;&gt;"",COUNTIF('07_动态状态'!$A$2:$A$501,'08_资产清单'!E191)=0),"状态编码不存在；","")&amp;IF(AND('08_资产清单'!G191&lt;&gt;"",COUNTIF('08_资产清单'!$G$2:$G$501,'08_资产清单'!G191)&gt;1),"文件名重复；","")&amp;IF(AND('08_资产清单'!A191&lt;&gt;"",COUNTIF('08_资产清单'!$A$2:$A$501,'08_资产清单'!A191)&gt;1),"ID重复；",""),"")</f>
        <v/>
      </c>
      <c r="G3191" s="14">
        <f>IF(F3191&lt;&gt;"","按字段批注、数据字典和来源记录修正后复核","")</f>
        <v/>
      </c>
      <c r="H3191" s="14">
        <f>IF(F3191&lt;&gt;"","待处理","")</f>
        <v/>
      </c>
    </row>
    <row r="3192">
      <c r="A3192" s="14">
        <f>IF(F3192&lt;&gt;"","ISSUE-"&amp;TEXT(ROW()-1,"00000"),"")</f>
        <v/>
      </c>
      <c r="B3192" s="14">
        <f>IF(F3192&lt;&gt;"","错误","")</f>
        <v/>
      </c>
      <c r="C3192" s="14">
        <f>IF('08_资产清单'!A192&lt;&gt;"","08_资产清单","")</f>
        <v/>
      </c>
      <c r="D3192" s="14">
        <f>IF('08_资产清单'!A192&lt;&gt;"",'08_资产清单'!A192,"")</f>
        <v/>
      </c>
      <c r="E3192" s="14">
        <f>IF(F3192&lt;&gt;"","综合校验","")</f>
        <v/>
      </c>
      <c r="F3192" s="14">
        <f>IF('08_资产清单'!A192&lt;&gt;"",IF('08_资产清单'!A192="","缺少资产ID；","")&amp;IF('08_资产清单'!B192="","缺少资产名称；","")&amp;IF('08_资产清单'!C192="","缺少对象ID；","")&amp;IF('08_资产清单'!D192="","缺少资产类别；","")&amp;IF('08_资产清单'!G192="","缺少文件名；","")&amp;IF(AND('08_资产清单'!C192&lt;&gt;"",COUNTIF('02_固定地理'!$A$2:$A$501,'08_资产清单'!C192)+COUNTIF('03_地点锚点'!$A$2:$A$501,'08_资产清单'!C192)+COUNTIF('04_路径网络'!$A$2:$A$501,'08_资产清单'!C192)+COUNTIF('06_建筑锚点'!$A$2:$A$501,'08_资产清单'!C192)=0),"资产引用对象不存在；","")&amp;IF(AND('08_资产清单'!E192&lt;&gt;"",COUNTIF('07_动态状态'!$A$2:$A$501,'08_资产清单'!E192)=0),"状态编码不存在；","")&amp;IF(AND('08_资产清单'!G192&lt;&gt;"",COUNTIF('08_资产清单'!$G$2:$G$501,'08_资产清单'!G192)&gt;1),"文件名重复；","")&amp;IF(AND('08_资产清单'!A192&lt;&gt;"",COUNTIF('08_资产清单'!$A$2:$A$501,'08_资产清单'!A192)&gt;1),"ID重复；",""),"")</f>
        <v/>
      </c>
      <c r="G3192" s="14">
        <f>IF(F3192&lt;&gt;"","按字段批注、数据字典和来源记录修正后复核","")</f>
        <v/>
      </c>
      <c r="H3192" s="14">
        <f>IF(F3192&lt;&gt;"","待处理","")</f>
        <v/>
      </c>
    </row>
    <row r="3193">
      <c r="A3193" s="14">
        <f>IF(F3193&lt;&gt;"","ISSUE-"&amp;TEXT(ROW()-1,"00000"),"")</f>
        <v/>
      </c>
      <c r="B3193" s="14">
        <f>IF(F3193&lt;&gt;"","错误","")</f>
        <v/>
      </c>
      <c r="C3193" s="14">
        <f>IF('08_资产清单'!A193&lt;&gt;"","08_资产清单","")</f>
        <v/>
      </c>
      <c r="D3193" s="14">
        <f>IF('08_资产清单'!A193&lt;&gt;"",'08_资产清单'!A193,"")</f>
        <v/>
      </c>
      <c r="E3193" s="14">
        <f>IF(F3193&lt;&gt;"","综合校验","")</f>
        <v/>
      </c>
      <c r="F3193" s="14">
        <f>IF('08_资产清单'!A193&lt;&gt;"",IF('08_资产清单'!A193="","缺少资产ID；","")&amp;IF('08_资产清单'!B193="","缺少资产名称；","")&amp;IF('08_资产清单'!C193="","缺少对象ID；","")&amp;IF('08_资产清单'!D193="","缺少资产类别；","")&amp;IF('08_资产清单'!G193="","缺少文件名；","")&amp;IF(AND('08_资产清单'!C193&lt;&gt;"",COUNTIF('02_固定地理'!$A$2:$A$501,'08_资产清单'!C193)+COUNTIF('03_地点锚点'!$A$2:$A$501,'08_资产清单'!C193)+COUNTIF('04_路径网络'!$A$2:$A$501,'08_资产清单'!C193)+COUNTIF('06_建筑锚点'!$A$2:$A$501,'08_资产清单'!C193)=0),"资产引用对象不存在；","")&amp;IF(AND('08_资产清单'!E193&lt;&gt;"",COUNTIF('07_动态状态'!$A$2:$A$501,'08_资产清单'!E193)=0),"状态编码不存在；","")&amp;IF(AND('08_资产清单'!G193&lt;&gt;"",COUNTIF('08_资产清单'!$G$2:$G$501,'08_资产清单'!G193)&gt;1),"文件名重复；","")&amp;IF(AND('08_资产清单'!A193&lt;&gt;"",COUNTIF('08_资产清单'!$A$2:$A$501,'08_资产清单'!A193)&gt;1),"ID重复；",""),"")</f>
        <v/>
      </c>
      <c r="G3193" s="14">
        <f>IF(F3193&lt;&gt;"","按字段批注、数据字典和来源记录修正后复核","")</f>
        <v/>
      </c>
      <c r="H3193" s="14">
        <f>IF(F3193&lt;&gt;"","待处理","")</f>
        <v/>
      </c>
    </row>
    <row r="3194">
      <c r="A3194" s="14">
        <f>IF(F3194&lt;&gt;"","ISSUE-"&amp;TEXT(ROW()-1,"00000"),"")</f>
        <v/>
      </c>
      <c r="B3194" s="14">
        <f>IF(F3194&lt;&gt;"","错误","")</f>
        <v/>
      </c>
      <c r="C3194" s="14">
        <f>IF('08_资产清单'!A194&lt;&gt;"","08_资产清单","")</f>
        <v/>
      </c>
      <c r="D3194" s="14">
        <f>IF('08_资产清单'!A194&lt;&gt;"",'08_资产清单'!A194,"")</f>
        <v/>
      </c>
      <c r="E3194" s="14">
        <f>IF(F3194&lt;&gt;"","综合校验","")</f>
        <v/>
      </c>
      <c r="F3194" s="14">
        <f>IF('08_资产清单'!A194&lt;&gt;"",IF('08_资产清单'!A194="","缺少资产ID；","")&amp;IF('08_资产清单'!B194="","缺少资产名称；","")&amp;IF('08_资产清单'!C194="","缺少对象ID；","")&amp;IF('08_资产清单'!D194="","缺少资产类别；","")&amp;IF('08_资产清单'!G194="","缺少文件名；","")&amp;IF(AND('08_资产清单'!C194&lt;&gt;"",COUNTIF('02_固定地理'!$A$2:$A$501,'08_资产清单'!C194)+COUNTIF('03_地点锚点'!$A$2:$A$501,'08_资产清单'!C194)+COUNTIF('04_路径网络'!$A$2:$A$501,'08_资产清单'!C194)+COUNTIF('06_建筑锚点'!$A$2:$A$501,'08_资产清单'!C194)=0),"资产引用对象不存在；","")&amp;IF(AND('08_资产清单'!E194&lt;&gt;"",COUNTIF('07_动态状态'!$A$2:$A$501,'08_资产清单'!E194)=0),"状态编码不存在；","")&amp;IF(AND('08_资产清单'!G194&lt;&gt;"",COUNTIF('08_资产清单'!$G$2:$G$501,'08_资产清单'!G194)&gt;1),"文件名重复；","")&amp;IF(AND('08_资产清单'!A194&lt;&gt;"",COUNTIF('08_资产清单'!$A$2:$A$501,'08_资产清单'!A194)&gt;1),"ID重复；",""),"")</f>
        <v/>
      </c>
      <c r="G3194" s="14">
        <f>IF(F3194&lt;&gt;"","按字段批注、数据字典和来源记录修正后复核","")</f>
        <v/>
      </c>
      <c r="H3194" s="14">
        <f>IF(F3194&lt;&gt;"","待处理","")</f>
        <v/>
      </c>
    </row>
    <row r="3195">
      <c r="A3195" s="14">
        <f>IF(F3195&lt;&gt;"","ISSUE-"&amp;TEXT(ROW()-1,"00000"),"")</f>
        <v/>
      </c>
      <c r="B3195" s="14">
        <f>IF(F3195&lt;&gt;"","错误","")</f>
        <v/>
      </c>
      <c r="C3195" s="14">
        <f>IF('08_资产清单'!A195&lt;&gt;"","08_资产清单","")</f>
        <v/>
      </c>
      <c r="D3195" s="14">
        <f>IF('08_资产清单'!A195&lt;&gt;"",'08_资产清单'!A195,"")</f>
        <v/>
      </c>
      <c r="E3195" s="14">
        <f>IF(F3195&lt;&gt;"","综合校验","")</f>
        <v/>
      </c>
      <c r="F3195" s="14">
        <f>IF('08_资产清单'!A195&lt;&gt;"",IF('08_资产清单'!A195="","缺少资产ID；","")&amp;IF('08_资产清单'!B195="","缺少资产名称；","")&amp;IF('08_资产清单'!C195="","缺少对象ID；","")&amp;IF('08_资产清单'!D195="","缺少资产类别；","")&amp;IF('08_资产清单'!G195="","缺少文件名；","")&amp;IF(AND('08_资产清单'!C195&lt;&gt;"",COUNTIF('02_固定地理'!$A$2:$A$501,'08_资产清单'!C195)+COUNTIF('03_地点锚点'!$A$2:$A$501,'08_资产清单'!C195)+COUNTIF('04_路径网络'!$A$2:$A$501,'08_资产清单'!C195)+COUNTIF('06_建筑锚点'!$A$2:$A$501,'08_资产清单'!C195)=0),"资产引用对象不存在；","")&amp;IF(AND('08_资产清单'!E195&lt;&gt;"",COUNTIF('07_动态状态'!$A$2:$A$501,'08_资产清单'!E195)=0),"状态编码不存在；","")&amp;IF(AND('08_资产清单'!G195&lt;&gt;"",COUNTIF('08_资产清单'!$G$2:$G$501,'08_资产清单'!G195)&gt;1),"文件名重复；","")&amp;IF(AND('08_资产清单'!A195&lt;&gt;"",COUNTIF('08_资产清单'!$A$2:$A$501,'08_资产清单'!A195)&gt;1),"ID重复；",""),"")</f>
        <v/>
      </c>
      <c r="G3195" s="14">
        <f>IF(F3195&lt;&gt;"","按字段批注、数据字典和来源记录修正后复核","")</f>
        <v/>
      </c>
      <c r="H3195" s="14">
        <f>IF(F3195&lt;&gt;"","待处理","")</f>
        <v/>
      </c>
    </row>
    <row r="3196">
      <c r="A3196" s="14">
        <f>IF(F3196&lt;&gt;"","ISSUE-"&amp;TEXT(ROW()-1,"00000"),"")</f>
        <v/>
      </c>
      <c r="B3196" s="14">
        <f>IF(F3196&lt;&gt;"","错误","")</f>
        <v/>
      </c>
      <c r="C3196" s="14">
        <f>IF('08_资产清单'!A196&lt;&gt;"","08_资产清单","")</f>
        <v/>
      </c>
      <c r="D3196" s="14">
        <f>IF('08_资产清单'!A196&lt;&gt;"",'08_资产清单'!A196,"")</f>
        <v/>
      </c>
      <c r="E3196" s="14">
        <f>IF(F3196&lt;&gt;"","综合校验","")</f>
        <v/>
      </c>
      <c r="F3196" s="14">
        <f>IF('08_资产清单'!A196&lt;&gt;"",IF('08_资产清单'!A196="","缺少资产ID；","")&amp;IF('08_资产清单'!B196="","缺少资产名称；","")&amp;IF('08_资产清单'!C196="","缺少对象ID；","")&amp;IF('08_资产清单'!D196="","缺少资产类别；","")&amp;IF('08_资产清单'!G196="","缺少文件名；","")&amp;IF(AND('08_资产清单'!C196&lt;&gt;"",COUNTIF('02_固定地理'!$A$2:$A$501,'08_资产清单'!C196)+COUNTIF('03_地点锚点'!$A$2:$A$501,'08_资产清单'!C196)+COUNTIF('04_路径网络'!$A$2:$A$501,'08_资产清单'!C196)+COUNTIF('06_建筑锚点'!$A$2:$A$501,'08_资产清单'!C196)=0),"资产引用对象不存在；","")&amp;IF(AND('08_资产清单'!E196&lt;&gt;"",COUNTIF('07_动态状态'!$A$2:$A$501,'08_资产清单'!E196)=0),"状态编码不存在；","")&amp;IF(AND('08_资产清单'!G196&lt;&gt;"",COUNTIF('08_资产清单'!$G$2:$G$501,'08_资产清单'!G196)&gt;1),"文件名重复；","")&amp;IF(AND('08_资产清单'!A196&lt;&gt;"",COUNTIF('08_资产清单'!$A$2:$A$501,'08_资产清单'!A196)&gt;1),"ID重复；",""),"")</f>
        <v/>
      </c>
      <c r="G3196" s="14">
        <f>IF(F3196&lt;&gt;"","按字段批注、数据字典和来源记录修正后复核","")</f>
        <v/>
      </c>
      <c r="H3196" s="14">
        <f>IF(F3196&lt;&gt;"","待处理","")</f>
        <v/>
      </c>
    </row>
    <row r="3197">
      <c r="A3197" s="14">
        <f>IF(F3197&lt;&gt;"","ISSUE-"&amp;TEXT(ROW()-1,"00000"),"")</f>
        <v/>
      </c>
      <c r="B3197" s="14">
        <f>IF(F3197&lt;&gt;"","错误","")</f>
        <v/>
      </c>
      <c r="C3197" s="14">
        <f>IF('08_资产清单'!A197&lt;&gt;"","08_资产清单","")</f>
        <v/>
      </c>
      <c r="D3197" s="14">
        <f>IF('08_资产清单'!A197&lt;&gt;"",'08_资产清单'!A197,"")</f>
        <v/>
      </c>
      <c r="E3197" s="14">
        <f>IF(F3197&lt;&gt;"","综合校验","")</f>
        <v/>
      </c>
      <c r="F3197" s="14">
        <f>IF('08_资产清单'!A197&lt;&gt;"",IF('08_资产清单'!A197="","缺少资产ID；","")&amp;IF('08_资产清单'!B197="","缺少资产名称；","")&amp;IF('08_资产清单'!C197="","缺少对象ID；","")&amp;IF('08_资产清单'!D197="","缺少资产类别；","")&amp;IF('08_资产清单'!G197="","缺少文件名；","")&amp;IF(AND('08_资产清单'!C197&lt;&gt;"",COUNTIF('02_固定地理'!$A$2:$A$501,'08_资产清单'!C197)+COUNTIF('03_地点锚点'!$A$2:$A$501,'08_资产清单'!C197)+COUNTIF('04_路径网络'!$A$2:$A$501,'08_资产清单'!C197)+COUNTIF('06_建筑锚点'!$A$2:$A$501,'08_资产清单'!C197)=0),"资产引用对象不存在；","")&amp;IF(AND('08_资产清单'!E197&lt;&gt;"",COUNTIF('07_动态状态'!$A$2:$A$501,'08_资产清单'!E197)=0),"状态编码不存在；","")&amp;IF(AND('08_资产清单'!G197&lt;&gt;"",COUNTIF('08_资产清单'!$G$2:$G$501,'08_资产清单'!G197)&gt;1),"文件名重复；","")&amp;IF(AND('08_资产清单'!A197&lt;&gt;"",COUNTIF('08_资产清单'!$A$2:$A$501,'08_资产清单'!A197)&gt;1),"ID重复；",""),"")</f>
        <v/>
      </c>
      <c r="G3197" s="14">
        <f>IF(F3197&lt;&gt;"","按字段批注、数据字典和来源记录修正后复核","")</f>
        <v/>
      </c>
      <c r="H3197" s="14">
        <f>IF(F3197&lt;&gt;"","待处理","")</f>
        <v/>
      </c>
    </row>
    <row r="3198">
      <c r="A3198" s="14">
        <f>IF(F3198&lt;&gt;"","ISSUE-"&amp;TEXT(ROW()-1,"00000"),"")</f>
        <v/>
      </c>
      <c r="B3198" s="14">
        <f>IF(F3198&lt;&gt;"","错误","")</f>
        <v/>
      </c>
      <c r="C3198" s="14">
        <f>IF('08_资产清单'!A198&lt;&gt;"","08_资产清单","")</f>
        <v/>
      </c>
      <c r="D3198" s="14">
        <f>IF('08_资产清单'!A198&lt;&gt;"",'08_资产清单'!A198,"")</f>
        <v/>
      </c>
      <c r="E3198" s="14">
        <f>IF(F3198&lt;&gt;"","综合校验","")</f>
        <v/>
      </c>
      <c r="F3198" s="14">
        <f>IF('08_资产清单'!A198&lt;&gt;"",IF('08_资产清单'!A198="","缺少资产ID；","")&amp;IF('08_资产清单'!B198="","缺少资产名称；","")&amp;IF('08_资产清单'!C198="","缺少对象ID；","")&amp;IF('08_资产清单'!D198="","缺少资产类别；","")&amp;IF('08_资产清单'!G198="","缺少文件名；","")&amp;IF(AND('08_资产清单'!C198&lt;&gt;"",COUNTIF('02_固定地理'!$A$2:$A$501,'08_资产清单'!C198)+COUNTIF('03_地点锚点'!$A$2:$A$501,'08_资产清单'!C198)+COUNTIF('04_路径网络'!$A$2:$A$501,'08_资产清单'!C198)+COUNTIF('06_建筑锚点'!$A$2:$A$501,'08_资产清单'!C198)=0),"资产引用对象不存在；","")&amp;IF(AND('08_资产清单'!E198&lt;&gt;"",COUNTIF('07_动态状态'!$A$2:$A$501,'08_资产清单'!E198)=0),"状态编码不存在；","")&amp;IF(AND('08_资产清单'!G198&lt;&gt;"",COUNTIF('08_资产清单'!$G$2:$G$501,'08_资产清单'!G198)&gt;1),"文件名重复；","")&amp;IF(AND('08_资产清单'!A198&lt;&gt;"",COUNTIF('08_资产清单'!$A$2:$A$501,'08_资产清单'!A198)&gt;1),"ID重复；",""),"")</f>
        <v/>
      </c>
      <c r="G3198" s="14">
        <f>IF(F3198&lt;&gt;"","按字段批注、数据字典和来源记录修正后复核","")</f>
        <v/>
      </c>
      <c r="H3198" s="14">
        <f>IF(F3198&lt;&gt;"","待处理","")</f>
        <v/>
      </c>
    </row>
    <row r="3199">
      <c r="A3199" s="14">
        <f>IF(F3199&lt;&gt;"","ISSUE-"&amp;TEXT(ROW()-1,"00000"),"")</f>
        <v/>
      </c>
      <c r="B3199" s="14">
        <f>IF(F3199&lt;&gt;"","错误","")</f>
        <v/>
      </c>
      <c r="C3199" s="14">
        <f>IF('08_资产清单'!A199&lt;&gt;"","08_资产清单","")</f>
        <v/>
      </c>
      <c r="D3199" s="14">
        <f>IF('08_资产清单'!A199&lt;&gt;"",'08_资产清单'!A199,"")</f>
        <v/>
      </c>
      <c r="E3199" s="14">
        <f>IF(F3199&lt;&gt;"","综合校验","")</f>
        <v/>
      </c>
      <c r="F3199" s="14">
        <f>IF('08_资产清单'!A199&lt;&gt;"",IF('08_资产清单'!A199="","缺少资产ID；","")&amp;IF('08_资产清单'!B199="","缺少资产名称；","")&amp;IF('08_资产清单'!C199="","缺少对象ID；","")&amp;IF('08_资产清单'!D199="","缺少资产类别；","")&amp;IF('08_资产清单'!G199="","缺少文件名；","")&amp;IF(AND('08_资产清单'!C199&lt;&gt;"",COUNTIF('02_固定地理'!$A$2:$A$501,'08_资产清单'!C199)+COUNTIF('03_地点锚点'!$A$2:$A$501,'08_资产清单'!C199)+COUNTIF('04_路径网络'!$A$2:$A$501,'08_资产清单'!C199)+COUNTIF('06_建筑锚点'!$A$2:$A$501,'08_资产清单'!C199)=0),"资产引用对象不存在；","")&amp;IF(AND('08_资产清单'!E199&lt;&gt;"",COUNTIF('07_动态状态'!$A$2:$A$501,'08_资产清单'!E199)=0),"状态编码不存在；","")&amp;IF(AND('08_资产清单'!G199&lt;&gt;"",COUNTIF('08_资产清单'!$G$2:$G$501,'08_资产清单'!G199)&gt;1),"文件名重复；","")&amp;IF(AND('08_资产清单'!A199&lt;&gt;"",COUNTIF('08_资产清单'!$A$2:$A$501,'08_资产清单'!A199)&gt;1),"ID重复；",""),"")</f>
        <v/>
      </c>
      <c r="G3199" s="14">
        <f>IF(F3199&lt;&gt;"","按字段批注、数据字典和来源记录修正后复核","")</f>
        <v/>
      </c>
      <c r="H3199" s="14">
        <f>IF(F3199&lt;&gt;"","待处理","")</f>
        <v/>
      </c>
    </row>
    <row r="3200">
      <c r="A3200" s="14">
        <f>IF(F3200&lt;&gt;"","ISSUE-"&amp;TEXT(ROW()-1,"00000"),"")</f>
        <v/>
      </c>
      <c r="B3200" s="14">
        <f>IF(F3200&lt;&gt;"","错误","")</f>
        <v/>
      </c>
      <c r="C3200" s="14">
        <f>IF('08_资产清单'!A200&lt;&gt;"","08_资产清单","")</f>
        <v/>
      </c>
      <c r="D3200" s="14">
        <f>IF('08_资产清单'!A200&lt;&gt;"",'08_资产清单'!A200,"")</f>
        <v/>
      </c>
      <c r="E3200" s="14">
        <f>IF(F3200&lt;&gt;"","综合校验","")</f>
        <v/>
      </c>
      <c r="F3200" s="14">
        <f>IF('08_资产清单'!A200&lt;&gt;"",IF('08_资产清单'!A200="","缺少资产ID；","")&amp;IF('08_资产清单'!B200="","缺少资产名称；","")&amp;IF('08_资产清单'!C200="","缺少对象ID；","")&amp;IF('08_资产清单'!D200="","缺少资产类别；","")&amp;IF('08_资产清单'!G200="","缺少文件名；","")&amp;IF(AND('08_资产清单'!C200&lt;&gt;"",COUNTIF('02_固定地理'!$A$2:$A$501,'08_资产清单'!C200)+COUNTIF('03_地点锚点'!$A$2:$A$501,'08_资产清单'!C200)+COUNTIF('04_路径网络'!$A$2:$A$501,'08_资产清单'!C200)+COUNTIF('06_建筑锚点'!$A$2:$A$501,'08_资产清单'!C200)=0),"资产引用对象不存在；","")&amp;IF(AND('08_资产清单'!E200&lt;&gt;"",COUNTIF('07_动态状态'!$A$2:$A$501,'08_资产清单'!E200)=0),"状态编码不存在；","")&amp;IF(AND('08_资产清单'!G200&lt;&gt;"",COUNTIF('08_资产清单'!$G$2:$G$501,'08_资产清单'!G200)&gt;1),"文件名重复；","")&amp;IF(AND('08_资产清单'!A200&lt;&gt;"",COUNTIF('08_资产清单'!$A$2:$A$501,'08_资产清单'!A200)&gt;1),"ID重复；",""),"")</f>
        <v/>
      </c>
      <c r="G3200" s="14">
        <f>IF(F3200&lt;&gt;"","按字段批注、数据字典和来源记录修正后复核","")</f>
        <v/>
      </c>
      <c r="H3200" s="14">
        <f>IF(F3200&lt;&gt;"","待处理","")</f>
        <v/>
      </c>
    </row>
    <row r="3201">
      <c r="A3201" s="14">
        <f>IF(F3201&lt;&gt;"","ISSUE-"&amp;TEXT(ROW()-1,"00000"),"")</f>
        <v/>
      </c>
      <c r="B3201" s="14">
        <f>IF(F3201&lt;&gt;"","错误","")</f>
        <v/>
      </c>
      <c r="C3201" s="14">
        <f>IF('08_资产清单'!A201&lt;&gt;"","08_资产清单","")</f>
        <v/>
      </c>
      <c r="D3201" s="14">
        <f>IF('08_资产清单'!A201&lt;&gt;"",'08_资产清单'!A201,"")</f>
        <v/>
      </c>
      <c r="E3201" s="14">
        <f>IF(F3201&lt;&gt;"","综合校验","")</f>
        <v/>
      </c>
      <c r="F3201" s="14">
        <f>IF('08_资产清单'!A201&lt;&gt;"",IF('08_资产清单'!A201="","缺少资产ID；","")&amp;IF('08_资产清单'!B201="","缺少资产名称；","")&amp;IF('08_资产清单'!C201="","缺少对象ID；","")&amp;IF('08_资产清单'!D201="","缺少资产类别；","")&amp;IF('08_资产清单'!G201="","缺少文件名；","")&amp;IF(AND('08_资产清单'!C201&lt;&gt;"",COUNTIF('02_固定地理'!$A$2:$A$501,'08_资产清单'!C201)+COUNTIF('03_地点锚点'!$A$2:$A$501,'08_资产清单'!C201)+COUNTIF('04_路径网络'!$A$2:$A$501,'08_资产清单'!C201)+COUNTIF('06_建筑锚点'!$A$2:$A$501,'08_资产清单'!C201)=0),"资产引用对象不存在；","")&amp;IF(AND('08_资产清单'!E201&lt;&gt;"",COUNTIF('07_动态状态'!$A$2:$A$501,'08_资产清单'!E201)=0),"状态编码不存在；","")&amp;IF(AND('08_资产清单'!G201&lt;&gt;"",COUNTIF('08_资产清单'!$G$2:$G$501,'08_资产清单'!G201)&gt;1),"文件名重复；","")&amp;IF(AND('08_资产清单'!A201&lt;&gt;"",COUNTIF('08_资产清单'!$A$2:$A$501,'08_资产清单'!A201)&gt;1),"ID重复；",""),"")</f>
        <v/>
      </c>
      <c r="G3201" s="14">
        <f>IF(F3201&lt;&gt;"","按字段批注、数据字典和来源记录修正后复核","")</f>
        <v/>
      </c>
      <c r="H3201" s="14">
        <f>IF(F3201&lt;&gt;"","待处理","")</f>
        <v/>
      </c>
    </row>
    <row r="3202">
      <c r="A3202" s="14">
        <f>IF(F3202&lt;&gt;"","ISSUE-"&amp;TEXT(ROW()-1,"00000"),"")</f>
        <v/>
      </c>
      <c r="B3202" s="14">
        <f>IF(F3202&lt;&gt;"","错误","")</f>
        <v/>
      </c>
      <c r="C3202" s="14">
        <f>IF('08_资产清单'!A202&lt;&gt;"","08_资产清单","")</f>
        <v/>
      </c>
      <c r="D3202" s="14">
        <f>IF('08_资产清单'!A202&lt;&gt;"",'08_资产清单'!A202,"")</f>
        <v/>
      </c>
      <c r="E3202" s="14">
        <f>IF(F3202&lt;&gt;"","综合校验","")</f>
        <v/>
      </c>
      <c r="F3202" s="14">
        <f>IF('08_资产清单'!A202&lt;&gt;"",IF('08_资产清单'!A202="","缺少资产ID；","")&amp;IF('08_资产清单'!B202="","缺少资产名称；","")&amp;IF('08_资产清单'!C202="","缺少对象ID；","")&amp;IF('08_资产清单'!D202="","缺少资产类别；","")&amp;IF('08_资产清单'!G202="","缺少文件名；","")&amp;IF(AND('08_资产清单'!C202&lt;&gt;"",COUNTIF('02_固定地理'!$A$2:$A$501,'08_资产清单'!C202)+COUNTIF('03_地点锚点'!$A$2:$A$501,'08_资产清单'!C202)+COUNTIF('04_路径网络'!$A$2:$A$501,'08_资产清单'!C202)+COUNTIF('06_建筑锚点'!$A$2:$A$501,'08_资产清单'!C202)=0),"资产引用对象不存在；","")&amp;IF(AND('08_资产清单'!E202&lt;&gt;"",COUNTIF('07_动态状态'!$A$2:$A$501,'08_资产清单'!E202)=0),"状态编码不存在；","")&amp;IF(AND('08_资产清单'!G202&lt;&gt;"",COUNTIF('08_资产清单'!$G$2:$G$501,'08_资产清单'!G202)&gt;1),"文件名重复；","")&amp;IF(AND('08_资产清单'!A202&lt;&gt;"",COUNTIF('08_资产清单'!$A$2:$A$501,'08_资产清单'!A202)&gt;1),"ID重复；",""),"")</f>
        <v/>
      </c>
      <c r="G3202" s="14">
        <f>IF(F3202&lt;&gt;"","按字段批注、数据字典和来源记录修正后复核","")</f>
        <v/>
      </c>
      <c r="H3202" s="14">
        <f>IF(F3202&lt;&gt;"","待处理","")</f>
        <v/>
      </c>
    </row>
    <row r="3203">
      <c r="A3203" s="14">
        <f>IF(F3203&lt;&gt;"","ISSUE-"&amp;TEXT(ROW()-1,"00000"),"")</f>
        <v/>
      </c>
      <c r="B3203" s="14">
        <f>IF(F3203&lt;&gt;"","错误","")</f>
        <v/>
      </c>
      <c r="C3203" s="14">
        <f>IF('08_资产清单'!A203&lt;&gt;"","08_资产清单","")</f>
        <v/>
      </c>
      <c r="D3203" s="14">
        <f>IF('08_资产清单'!A203&lt;&gt;"",'08_资产清单'!A203,"")</f>
        <v/>
      </c>
      <c r="E3203" s="14">
        <f>IF(F3203&lt;&gt;"","综合校验","")</f>
        <v/>
      </c>
      <c r="F3203" s="14">
        <f>IF('08_资产清单'!A203&lt;&gt;"",IF('08_资产清单'!A203="","缺少资产ID；","")&amp;IF('08_资产清单'!B203="","缺少资产名称；","")&amp;IF('08_资产清单'!C203="","缺少对象ID；","")&amp;IF('08_资产清单'!D203="","缺少资产类别；","")&amp;IF('08_资产清单'!G203="","缺少文件名；","")&amp;IF(AND('08_资产清单'!C203&lt;&gt;"",COUNTIF('02_固定地理'!$A$2:$A$501,'08_资产清单'!C203)+COUNTIF('03_地点锚点'!$A$2:$A$501,'08_资产清单'!C203)+COUNTIF('04_路径网络'!$A$2:$A$501,'08_资产清单'!C203)+COUNTIF('06_建筑锚点'!$A$2:$A$501,'08_资产清单'!C203)=0),"资产引用对象不存在；","")&amp;IF(AND('08_资产清单'!E203&lt;&gt;"",COUNTIF('07_动态状态'!$A$2:$A$501,'08_资产清单'!E203)=0),"状态编码不存在；","")&amp;IF(AND('08_资产清单'!G203&lt;&gt;"",COUNTIF('08_资产清单'!$G$2:$G$501,'08_资产清单'!G203)&gt;1),"文件名重复；","")&amp;IF(AND('08_资产清单'!A203&lt;&gt;"",COUNTIF('08_资产清单'!$A$2:$A$501,'08_资产清单'!A203)&gt;1),"ID重复；",""),"")</f>
        <v/>
      </c>
      <c r="G3203" s="14">
        <f>IF(F3203&lt;&gt;"","按字段批注、数据字典和来源记录修正后复核","")</f>
        <v/>
      </c>
      <c r="H3203" s="14">
        <f>IF(F3203&lt;&gt;"","待处理","")</f>
        <v/>
      </c>
    </row>
    <row r="3204">
      <c r="A3204" s="14">
        <f>IF(F3204&lt;&gt;"","ISSUE-"&amp;TEXT(ROW()-1,"00000"),"")</f>
        <v/>
      </c>
      <c r="B3204" s="14">
        <f>IF(F3204&lt;&gt;"","错误","")</f>
        <v/>
      </c>
      <c r="C3204" s="14">
        <f>IF('08_资产清单'!A204&lt;&gt;"","08_资产清单","")</f>
        <v/>
      </c>
      <c r="D3204" s="14">
        <f>IF('08_资产清单'!A204&lt;&gt;"",'08_资产清单'!A204,"")</f>
        <v/>
      </c>
      <c r="E3204" s="14">
        <f>IF(F3204&lt;&gt;"","综合校验","")</f>
        <v/>
      </c>
      <c r="F3204" s="14">
        <f>IF('08_资产清单'!A204&lt;&gt;"",IF('08_资产清单'!A204="","缺少资产ID；","")&amp;IF('08_资产清单'!B204="","缺少资产名称；","")&amp;IF('08_资产清单'!C204="","缺少对象ID；","")&amp;IF('08_资产清单'!D204="","缺少资产类别；","")&amp;IF('08_资产清单'!G204="","缺少文件名；","")&amp;IF(AND('08_资产清单'!C204&lt;&gt;"",COUNTIF('02_固定地理'!$A$2:$A$501,'08_资产清单'!C204)+COUNTIF('03_地点锚点'!$A$2:$A$501,'08_资产清单'!C204)+COUNTIF('04_路径网络'!$A$2:$A$501,'08_资产清单'!C204)+COUNTIF('06_建筑锚点'!$A$2:$A$501,'08_资产清单'!C204)=0),"资产引用对象不存在；","")&amp;IF(AND('08_资产清单'!E204&lt;&gt;"",COUNTIF('07_动态状态'!$A$2:$A$501,'08_资产清单'!E204)=0),"状态编码不存在；","")&amp;IF(AND('08_资产清单'!G204&lt;&gt;"",COUNTIF('08_资产清单'!$G$2:$G$501,'08_资产清单'!G204)&gt;1),"文件名重复；","")&amp;IF(AND('08_资产清单'!A204&lt;&gt;"",COUNTIF('08_资产清单'!$A$2:$A$501,'08_资产清单'!A204)&gt;1),"ID重复；",""),"")</f>
        <v/>
      </c>
      <c r="G3204" s="14">
        <f>IF(F3204&lt;&gt;"","按字段批注、数据字典和来源记录修正后复核","")</f>
        <v/>
      </c>
      <c r="H3204" s="14">
        <f>IF(F3204&lt;&gt;"","待处理","")</f>
        <v/>
      </c>
    </row>
    <row r="3205">
      <c r="A3205" s="14">
        <f>IF(F3205&lt;&gt;"","ISSUE-"&amp;TEXT(ROW()-1,"00000"),"")</f>
        <v/>
      </c>
      <c r="B3205" s="14">
        <f>IF(F3205&lt;&gt;"","错误","")</f>
        <v/>
      </c>
      <c r="C3205" s="14">
        <f>IF('08_资产清单'!A205&lt;&gt;"","08_资产清单","")</f>
        <v/>
      </c>
      <c r="D3205" s="14">
        <f>IF('08_资产清单'!A205&lt;&gt;"",'08_资产清单'!A205,"")</f>
        <v/>
      </c>
      <c r="E3205" s="14">
        <f>IF(F3205&lt;&gt;"","综合校验","")</f>
        <v/>
      </c>
      <c r="F3205" s="14">
        <f>IF('08_资产清单'!A205&lt;&gt;"",IF('08_资产清单'!A205="","缺少资产ID；","")&amp;IF('08_资产清单'!B205="","缺少资产名称；","")&amp;IF('08_资产清单'!C205="","缺少对象ID；","")&amp;IF('08_资产清单'!D205="","缺少资产类别；","")&amp;IF('08_资产清单'!G205="","缺少文件名；","")&amp;IF(AND('08_资产清单'!C205&lt;&gt;"",COUNTIF('02_固定地理'!$A$2:$A$501,'08_资产清单'!C205)+COUNTIF('03_地点锚点'!$A$2:$A$501,'08_资产清单'!C205)+COUNTIF('04_路径网络'!$A$2:$A$501,'08_资产清单'!C205)+COUNTIF('06_建筑锚点'!$A$2:$A$501,'08_资产清单'!C205)=0),"资产引用对象不存在；","")&amp;IF(AND('08_资产清单'!E205&lt;&gt;"",COUNTIF('07_动态状态'!$A$2:$A$501,'08_资产清单'!E205)=0),"状态编码不存在；","")&amp;IF(AND('08_资产清单'!G205&lt;&gt;"",COUNTIF('08_资产清单'!$G$2:$G$501,'08_资产清单'!G205)&gt;1),"文件名重复；","")&amp;IF(AND('08_资产清单'!A205&lt;&gt;"",COUNTIF('08_资产清单'!$A$2:$A$501,'08_资产清单'!A205)&gt;1),"ID重复；",""),"")</f>
        <v/>
      </c>
      <c r="G3205" s="14">
        <f>IF(F3205&lt;&gt;"","按字段批注、数据字典和来源记录修正后复核","")</f>
        <v/>
      </c>
      <c r="H3205" s="14">
        <f>IF(F3205&lt;&gt;"","待处理","")</f>
        <v/>
      </c>
    </row>
    <row r="3206">
      <c r="A3206" s="14">
        <f>IF(F3206&lt;&gt;"","ISSUE-"&amp;TEXT(ROW()-1,"00000"),"")</f>
        <v/>
      </c>
      <c r="B3206" s="14">
        <f>IF(F3206&lt;&gt;"","错误","")</f>
        <v/>
      </c>
      <c r="C3206" s="14">
        <f>IF('08_资产清单'!A206&lt;&gt;"","08_资产清单","")</f>
        <v/>
      </c>
      <c r="D3206" s="14">
        <f>IF('08_资产清单'!A206&lt;&gt;"",'08_资产清单'!A206,"")</f>
        <v/>
      </c>
      <c r="E3206" s="14">
        <f>IF(F3206&lt;&gt;"","综合校验","")</f>
        <v/>
      </c>
      <c r="F3206" s="14">
        <f>IF('08_资产清单'!A206&lt;&gt;"",IF('08_资产清单'!A206="","缺少资产ID；","")&amp;IF('08_资产清单'!B206="","缺少资产名称；","")&amp;IF('08_资产清单'!C206="","缺少对象ID；","")&amp;IF('08_资产清单'!D206="","缺少资产类别；","")&amp;IF('08_资产清单'!G206="","缺少文件名；","")&amp;IF(AND('08_资产清单'!C206&lt;&gt;"",COUNTIF('02_固定地理'!$A$2:$A$501,'08_资产清单'!C206)+COUNTIF('03_地点锚点'!$A$2:$A$501,'08_资产清单'!C206)+COUNTIF('04_路径网络'!$A$2:$A$501,'08_资产清单'!C206)+COUNTIF('06_建筑锚点'!$A$2:$A$501,'08_资产清单'!C206)=0),"资产引用对象不存在；","")&amp;IF(AND('08_资产清单'!E206&lt;&gt;"",COUNTIF('07_动态状态'!$A$2:$A$501,'08_资产清单'!E206)=0),"状态编码不存在；","")&amp;IF(AND('08_资产清单'!G206&lt;&gt;"",COUNTIF('08_资产清单'!$G$2:$G$501,'08_资产清单'!G206)&gt;1),"文件名重复；","")&amp;IF(AND('08_资产清单'!A206&lt;&gt;"",COUNTIF('08_资产清单'!$A$2:$A$501,'08_资产清单'!A206)&gt;1),"ID重复；",""),"")</f>
        <v/>
      </c>
      <c r="G3206" s="14">
        <f>IF(F3206&lt;&gt;"","按字段批注、数据字典和来源记录修正后复核","")</f>
        <v/>
      </c>
      <c r="H3206" s="14">
        <f>IF(F3206&lt;&gt;"","待处理","")</f>
        <v/>
      </c>
    </row>
    <row r="3207">
      <c r="A3207" s="14">
        <f>IF(F3207&lt;&gt;"","ISSUE-"&amp;TEXT(ROW()-1,"00000"),"")</f>
        <v/>
      </c>
      <c r="B3207" s="14">
        <f>IF(F3207&lt;&gt;"","错误","")</f>
        <v/>
      </c>
      <c r="C3207" s="14">
        <f>IF('08_资产清单'!A207&lt;&gt;"","08_资产清单","")</f>
        <v/>
      </c>
      <c r="D3207" s="14">
        <f>IF('08_资产清单'!A207&lt;&gt;"",'08_资产清单'!A207,"")</f>
        <v/>
      </c>
      <c r="E3207" s="14">
        <f>IF(F3207&lt;&gt;"","综合校验","")</f>
        <v/>
      </c>
      <c r="F3207" s="14">
        <f>IF('08_资产清单'!A207&lt;&gt;"",IF('08_资产清单'!A207="","缺少资产ID；","")&amp;IF('08_资产清单'!B207="","缺少资产名称；","")&amp;IF('08_资产清单'!C207="","缺少对象ID；","")&amp;IF('08_资产清单'!D207="","缺少资产类别；","")&amp;IF('08_资产清单'!G207="","缺少文件名；","")&amp;IF(AND('08_资产清单'!C207&lt;&gt;"",COUNTIF('02_固定地理'!$A$2:$A$501,'08_资产清单'!C207)+COUNTIF('03_地点锚点'!$A$2:$A$501,'08_资产清单'!C207)+COUNTIF('04_路径网络'!$A$2:$A$501,'08_资产清单'!C207)+COUNTIF('06_建筑锚点'!$A$2:$A$501,'08_资产清单'!C207)=0),"资产引用对象不存在；","")&amp;IF(AND('08_资产清单'!E207&lt;&gt;"",COUNTIF('07_动态状态'!$A$2:$A$501,'08_资产清单'!E207)=0),"状态编码不存在；","")&amp;IF(AND('08_资产清单'!G207&lt;&gt;"",COUNTIF('08_资产清单'!$G$2:$G$501,'08_资产清单'!G207)&gt;1),"文件名重复；","")&amp;IF(AND('08_资产清单'!A207&lt;&gt;"",COUNTIF('08_资产清单'!$A$2:$A$501,'08_资产清单'!A207)&gt;1),"ID重复；",""),"")</f>
        <v/>
      </c>
      <c r="G3207" s="14">
        <f>IF(F3207&lt;&gt;"","按字段批注、数据字典和来源记录修正后复核","")</f>
        <v/>
      </c>
      <c r="H3207" s="14">
        <f>IF(F3207&lt;&gt;"","待处理","")</f>
        <v/>
      </c>
    </row>
    <row r="3208">
      <c r="A3208" s="14">
        <f>IF(F3208&lt;&gt;"","ISSUE-"&amp;TEXT(ROW()-1,"00000"),"")</f>
        <v/>
      </c>
      <c r="B3208" s="14">
        <f>IF(F3208&lt;&gt;"","错误","")</f>
        <v/>
      </c>
      <c r="C3208" s="14">
        <f>IF('08_资产清单'!A208&lt;&gt;"","08_资产清单","")</f>
        <v/>
      </c>
      <c r="D3208" s="14">
        <f>IF('08_资产清单'!A208&lt;&gt;"",'08_资产清单'!A208,"")</f>
        <v/>
      </c>
      <c r="E3208" s="14">
        <f>IF(F3208&lt;&gt;"","综合校验","")</f>
        <v/>
      </c>
      <c r="F3208" s="14">
        <f>IF('08_资产清单'!A208&lt;&gt;"",IF('08_资产清单'!A208="","缺少资产ID；","")&amp;IF('08_资产清单'!B208="","缺少资产名称；","")&amp;IF('08_资产清单'!C208="","缺少对象ID；","")&amp;IF('08_资产清单'!D208="","缺少资产类别；","")&amp;IF('08_资产清单'!G208="","缺少文件名；","")&amp;IF(AND('08_资产清单'!C208&lt;&gt;"",COUNTIF('02_固定地理'!$A$2:$A$501,'08_资产清单'!C208)+COUNTIF('03_地点锚点'!$A$2:$A$501,'08_资产清单'!C208)+COUNTIF('04_路径网络'!$A$2:$A$501,'08_资产清单'!C208)+COUNTIF('06_建筑锚点'!$A$2:$A$501,'08_资产清单'!C208)=0),"资产引用对象不存在；","")&amp;IF(AND('08_资产清单'!E208&lt;&gt;"",COUNTIF('07_动态状态'!$A$2:$A$501,'08_资产清单'!E208)=0),"状态编码不存在；","")&amp;IF(AND('08_资产清单'!G208&lt;&gt;"",COUNTIF('08_资产清单'!$G$2:$G$501,'08_资产清单'!G208)&gt;1),"文件名重复；","")&amp;IF(AND('08_资产清单'!A208&lt;&gt;"",COUNTIF('08_资产清单'!$A$2:$A$501,'08_资产清单'!A208)&gt;1),"ID重复；",""),"")</f>
        <v/>
      </c>
      <c r="G3208" s="14">
        <f>IF(F3208&lt;&gt;"","按字段批注、数据字典和来源记录修正后复核","")</f>
        <v/>
      </c>
      <c r="H3208" s="14">
        <f>IF(F3208&lt;&gt;"","待处理","")</f>
        <v/>
      </c>
    </row>
    <row r="3209">
      <c r="A3209" s="14">
        <f>IF(F3209&lt;&gt;"","ISSUE-"&amp;TEXT(ROW()-1,"00000"),"")</f>
        <v/>
      </c>
      <c r="B3209" s="14">
        <f>IF(F3209&lt;&gt;"","错误","")</f>
        <v/>
      </c>
      <c r="C3209" s="14">
        <f>IF('08_资产清单'!A209&lt;&gt;"","08_资产清单","")</f>
        <v/>
      </c>
      <c r="D3209" s="14">
        <f>IF('08_资产清单'!A209&lt;&gt;"",'08_资产清单'!A209,"")</f>
        <v/>
      </c>
      <c r="E3209" s="14">
        <f>IF(F3209&lt;&gt;"","综合校验","")</f>
        <v/>
      </c>
      <c r="F3209" s="14">
        <f>IF('08_资产清单'!A209&lt;&gt;"",IF('08_资产清单'!A209="","缺少资产ID；","")&amp;IF('08_资产清单'!B209="","缺少资产名称；","")&amp;IF('08_资产清单'!C209="","缺少对象ID；","")&amp;IF('08_资产清单'!D209="","缺少资产类别；","")&amp;IF('08_资产清单'!G209="","缺少文件名；","")&amp;IF(AND('08_资产清单'!C209&lt;&gt;"",COUNTIF('02_固定地理'!$A$2:$A$501,'08_资产清单'!C209)+COUNTIF('03_地点锚点'!$A$2:$A$501,'08_资产清单'!C209)+COUNTIF('04_路径网络'!$A$2:$A$501,'08_资产清单'!C209)+COUNTIF('06_建筑锚点'!$A$2:$A$501,'08_资产清单'!C209)=0),"资产引用对象不存在；","")&amp;IF(AND('08_资产清单'!E209&lt;&gt;"",COUNTIF('07_动态状态'!$A$2:$A$501,'08_资产清单'!E209)=0),"状态编码不存在；","")&amp;IF(AND('08_资产清单'!G209&lt;&gt;"",COUNTIF('08_资产清单'!$G$2:$G$501,'08_资产清单'!G209)&gt;1),"文件名重复；","")&amp;IF(AND('08_资产清单'!A209&lt;&gt;"",COUNTIF('08_资产清单'!$A$2:$A$501,'08_资产清单'!A209)&gt;1),"ID重复；",""),"")</f>
        <v/>
      </c>
      <c r="G3209" s="14">
        <f>IF(F3209&lt;&gt;"","按字段批注、数据字典和来源记录修正后复核","")</f>
        <v/>
      </c>
      <c r="H3209" s="14">
        <f>IF(F3209&lt;&gt;"","待处理","")</f>
        <v/>
      </c>
    </row>
    <row r="3210">
      <c r="A3210" s="14">
        <f>IF(F3210&lt;&gt;"","ISSUE-"&amp;TEXT(ROW()-1,"00000"),"")</f>
        <v/>
      </c>
      <c r="B3210" s="14">
        <f>IF(F3210&lt;&gt;"","错误","")</f>
        <v/>
      </c>
      <c r="C3210" s="14">
        <f>IF('08_资产清单'!A210&lt;&gt;"","08_资产清单","")</f>
        <v/>
      </c>
      <c r="D3210" s="14">
        <f>IF('08_资产清单'!A210&lt;&gt;"",'08_资产清单'!A210,"")</f>
        <v/>
      </c>
      <c r="E3210" s="14">
        <f>IF(F3210&lt;&gt;"","综合校验","")</f>
        <v/>
      </c>
      <c r="F3210" s="14">
        <f>IF('08_资产清单'!A210&lt;&gt;"",IF('08_资产清单'!A210="","缺少资产ID；","")&amp;IF('08_资产清单'!B210="","缺少资产名称；","")&amp;IF('08_资产清单'!C210="","缺少对象ID；","")&amp;IF('08_资产清单'!D210="","缺少资产类别；","")&amp;IF('08_资产清单'!G210="","缺少文件名；","")&amp;IF(AND('08_资产清单'!C210&lt;&gt;"",COUNTIF('02_固定地理'!$A$2:$A$501,'08_资产清单'!C210)+COUNTIF('03_地点锚点'!$A$2:$A$501,'08_资产清单'!C210)+COUNTIF('04_路径网络'!$A$2:$A$501,'08_资产清单'!C210)+COUNTIF('06_建筑锚点'!$A$2:$A$501,'08_资产清单'!C210)=0),"资产引用对象不存在；","")&amp;IF(AND('08_资产清单'!E210&lt;&gt;"",COUNTIF('07_动态状态'!$A$2:$A$501,'08_资产清单'!E210)=0),"状态编码不存在；","")&amp;IF(AND('08_资产清单'!G210&lt;&gt;"",COUNTIF('08_资产清单'!$G$2:$G$501,'08_资产清单'!G210)&gt;1),"文件名重复；","")&amp;IF(AND('08_资产清单'!A210&lt;&gt;"",COUNTIF('08_资产清单'!$A$2:$A$501,'08_资产清单'!A210)&gt;1),"ID重复；",""),"")</f>
        <v/>
      </c>
      <c r="G3210" s="14">
        <f>IF(F3210&lt;&gt;"","按字段批注、数据字典和来源记录修正后复核","")</f>
        <v/>
      </c>
      <c r="H3210" s="14">
        <f>IF(F3210&lt;&gt;"","待处理","")</f>
        <v/>
      </c>
    </row>
    <row r="3211">
      <c r="A3211" s="14">
        <f>IF(F3211&lt;&gt;"","ISSUE-"&amp;TEXT(ROW()-1,"00000"),"")</f>
        <v/>
      </c>
      <c r="B3211" s="14">
        <f>IF(F3211&lt;&gt;"","错误","")</f>
        <v/>
      </c>
      <c r="C3211" s="14">
        <f>IF('08_资产清单'!A211&lt;&gt;"","08_资产清单","")</f>
        <v/>
      </c>
      <c r="D3211" s="14">
        <f>IF('08_资产清单'!A211&lt;&gt;"",'08_资产清单'!A211,"")</f>
        <v/>
      </c>
      <c r="E3211" s="14">
        <f>IF(F3211&lt;&gt;"","综合校验","")</f>
        <v/>
      </c>
      <c r="F3211" s="14">
        <f>IF('08_资产清单'!A211&lt;&gt;"",IF('08_资产清单'!A211="","缺少资产ID；","")&amp;IF('08_资产清单'!B211="","缺少资产名称；","")&amp;IF('08_资产清单'!C211="","缺少对象ID；","")&amp;IF('08_资产清单'!D211="","缺少资产类别；","")&amp;IF('08_资产清单'!G211="","缺少文件名；","")&amp;IF(AND('08_资产清单'!C211&lt;&gt;"",COUNTIF('02_固定地理'!$A$2:$A$501,'08_资产清单'!C211)+COUNTIF('03_地点锚点'!$A$2:$A$501,'08_资产清单'!C211)+COUNTIF('04_路径网络'!$A$2:$A$501,'08_资产清单'!C211)+COUNTIF('06_建筑锚点'!$A$2:$A$501,'08_资产清单'!C211)=0),"资产引用对象不存在；","")&amp;IF(AND('08_资产清单'!E211&lt;&gt;"",COUNTIF('07_动态状态'!$A$2:$A$501,'08_资产清单'!E211)=0),"状态编码不存在；","")&amp;IF(AND('08_资产清单'!G211&lt;&gt;"",COUNTIF('08_资产清单'!$G$2:$G$501,'08_资产清单'!G211)&gt;1),"文件名重复；","")&amp;IF(AND('08_资产清单'!A211&lt;&gt;"",COUNTIF('08_资产清单'!$A$2:$A$501,'08_资产清单'!A211)&gt;1),"ID重复；",""),"")</f>
        <v/>
      </c>
      <c r="G3211" s="14">
        <f>IF(F3211&lt;&gt;"","按字段批注、数据字典和来源记录修正后复核","")</f>
        <v/>
      </c>
      <c r="H3211" s="14">
        <f>IF(F3211&lt;&gt;"","待处理","")</f>
        <v/>
      </c>
    </row>
    <row r="3212">
      <c r="A3212" s="14">
        <f>IF(F3212&lt;&gt;"","ISSUE-"&amp;TEXT(ROW()-1,"00000"),"")</f>
        <v/>
      </c>
      <c r="B3212" s="14">
        <f>IF(F3212&lt;&gt;"","错误","")</f>
        <v/>
      </c>
      <c r="C3212" s="14">
        <f>IF('08_资产清单'!A212&lt;&gt;"","08_资产清单","")</f>
        <v/>
      </c>
      <c r="D3212" s="14">
        <f>IF('08_资产清单'!A212&lt;&gt;"",'08_资产清单'!A212,"")</f>
        <v/>
      </c>
      <c r="E3212" s="14">
        <f>IF(F3212&lt;&gt;"","综合校验","")</f>
        <v/>
      </c>
      <c r="F3212" s="14">
        <f>IF('08_资产清单'!A212&lt;&gt;"",IF('08_资产清单'!A212="","缺少资产ID；","")&amp;IF('08_资产清单'!B212="","缺少资产名称；","")&amp;IF('08_资产清单'!C212="","缺少对象ID；","")&amp;IF('08_资产清单'!D212="","缺少资产类别；","")&amp;IF('08_资产清单'!G212="","缺少文件名；","")&amp;IF(AND('08_资产清单'!C212&lt;&gt;"",COUNTIF('02_固定地理'!$A$2:$A$501,'08_资产清单'!C212)+COUNTIF('03_地点锚点'!$A$2:$A$501,'08_资产清单'!C212)+COUNTIF('04_路径网络'!$A$2:$A$501,'08_资产清单'!C212)+COUNTIF('06_建筑锚点'!$A$2:$A$501,'08_资产清单'!C212)=0),"资产引用对象不存在；","")&amp;IF(AND('08_资产清单'!E212&lt;&gt;"",COUNTIF('07_动态状态'!$A$2:$A$501,'08_资产清单'!E212)=0),"状态编码不存在；","")&amp;IF(AND('08_资产清单'!G212&lt;&gt;"",COUNTIF('08_资产清单'!$G$2:$G$501,'08_资产清单'!G212)&gt;1),"文件名重复；","")&amp;IF(AND('08_资产清单'!A212&lt;&gt;"",COUNTIF('08_资产清单'!$A$2:$A$501,'08_资产清单'!A212)&gt;1),"ID重复；",""),"")</f>
        <v/>
      </c>
      <c r="G3212" s="14">
        <f>IF(F3212&lt;&gt;"","按字段批注、数据字典和来源记录修正后复核","")</f>
        <v/>
      </c>
      <c r="H3212" s="14">
        <f>IF(F3212&lt;&gt;"","待处理","")</f>
        <v/>
      </c>
    </row>
    <row r="3213">
      <c r="A3213" s="14">
        <f>IF(F3213&lt;&gt;"","ISSUE-"&amp;TEXT(ROW()-1,"00000"),"")</f>
        <v/>
      </c>
      <c r="B3213" s="14">
        <f>IF(F3213&lt;&gt;"","错误","")</f>
        <v/>
      </c>
      <c r="C3213" s="14">
        <f>IF('08_资产清单'!A213&lt;&gt;"","08_资产清单","")</f>
        <v/>
      </c>
      <c r="D3213" s="14">
        <f>IF('08_资产清单'!A213&lt;&gt;"",'08_资产清单'!A213,"")</f>
        <v/>
      </c>
      <c r="E3213" s="14">
        <f>IF(F3213&lt;&gt;"","综合校验","")</f>
        <v/>
      </c>
      <c r="F3213" s="14">
        <f>IF('08_资产清单'!A213&lt;&gt;"",IF('08_资产清单'!A213="","缺少资产ID；","")&amp;IF('08_资产清单'!B213="","缺少资产名称；","")&amp;IF('08_资产清单'!C213="","缺少对象ID；","")&amp;IF('08_资产清单'!D213="","缺少资产类别；","")&amp;IF('08_资产清单'!G213="","缺少文件名；","")&amp;IF(AND('08_资产清单'!C213&lt;&gt;"",COUNTIF('02_固定地理'!$A$2:$A$501,'08_资产清单'!C213)+COUNTIF('03_地点锚点'!$A$2:$A$501,'08_资产清单'!C213)+COUNTIF('04_路径网络'!$A$2:$A$501,'08_资产清单'!C213)+COUNTIF('06_建筑锚点'!$A$2:$A$501,'08_资产清单'!C213)=0),"资产引用对象不存在；","")&amp;IF(AND('08_资产清单'!E213&lt;&gt;"",COUNTIF('07_动态状态'!$A$2:$A$501,'08_资产清单'!E213)=0),"状态编码不存在；","")&amp;IF(AND('08_资产清单'!G213&lt;&gt;"",COUNTIF('08_资产清单'!$G$2:$G$501,'08_资产清单'!G213)&gt;1),"文件名重复；","")&amp;IF(AND('08_资产清单'!A213&lt;&gt;"",COUNTIF('08_资产清单'!$A$2:$A$501,'08_资产清单'!A213)&gt;1),"ID重复；",""),"")</f>
        <v/>
      </c>
      <c r="G3213" s="14">
        <f>IF(F3213&lt;&gt;"","按字段批注、数据字典和来源记录修正后复核","")</f>
        <v/>
      </c>
      <c r="H3213" s="14">
        <f>IF(F3213&lt;&gt;"","待处理","")</f>
        <v/>
      </c>
    </row>
    <row r="3214">
      <c r="A3214" s="14">
        <f>IF(F3214&lt;&gt;"","ISSUE-"&amp;TEXT(ROW()-1,"00000"),"")</f>
        <v/>
      </c>
      <c r="B3214" s="14">
        <f>IF(F3214&lt;&gt;"","错误","")</f>
        <v/>
      </c>
      <c r="C3214" s="14">
        <f>IF('08_资产清单'!A214&lt;&gt;"","08_资产清单","")</f>
        <v/>
      </c>
      <c r="D3214" s="14">
        <f>IF('08_资产清单'!A214&lt;&gt;"",'08_资产清单'!A214,"")</f>
        <v/>
      </c>
      <c r="E3214" s="14">
        <f>IF(F3214&lt;&gt;"","综合校验","")</f>
        <v/>
      </c>
      <c r="F3214" s="14">
        <f>IF('08_资产清单'!A214&lt;&gt;"",IF('08_资产清单'!A214="","缺少资产ID；","")&amp;IF('08_资产清单'!B214="","缺少资产名称；","")&amp;IF('08_资产清单'!C214="","缺少对象ID；","")&amp;IF('08_资产清单'!D214="","缺少资产类别；","")&amp;IF('08_资产清单'!G214="","缺少文件名；","")&amp;IF(AND('08_资产清单'!C214&lt;&gt;"",COUNTIF('02_固定地理'!$A$2:$A$501,'08_资产清单'!C214)+COUNTIF('03_地点锚点'!$A$2:$A$501,'08_资产清单'!C214)+COUNTIF('04_路径网络'!$A$2:$A$501,'08_资产清单'!C214)+COUNTIF('06_建筑锚点'!$A$2:$A$501,'08_资产清单'!C214)=0),"资产引用对象不存在；","")&amp;IF(AND('08_资产清单'!E214&lt;&gt;"",COUNTIF('07_动态状态'!$A$2:$A$501,'08_资产清单'!E214)=0),"状态编码不存在；","")&amp;IF(AND('08_资产清单'!G214&lt;&gt;"",COUNTIF('08_资产清单'!$G$2:$G$501,'08_资产清单'!G214)&gt;1),"文件名重复；","")&amp;IF(AND('08_资产清单'!A214&lt;&gt;"",COUNTIF('08_资产清单'!$A$2:$A$501,'08_资产清单'!A214)&gt;1),"ID重复；",""),"")</f>
        <v/>
      </c>
      <c r="G3214" s="14">
        <f>IF(F3214&lt;&gt;"","按字段批注、数据字典和来源记录修正后复核","")</f>
        <v/>
      </c>
      <c r="H3214" s="14">
        <f>IF(F3214&lt;&gt;"","待处理","")</f>
        <v/>
      </c>
    </row>
    <row r="3215">
      <c r="A3215" s="14">
        <f>IF(F3215&lt;&gt;"","ISSUE-"&amp;TEXT(ROW()-1,"00000"),"")</f>
        <v/>
      </c>
      <c r="B3215" s="14">
        <f>IF(F3215&lt;&gt;"","错误","")</f>
        <v/>
      </c>
      <c r="C3215" s="14">
        <f>IF('08_资产清单'!A215&lt;&gt;"","08_资产清单","")</f>
        <v/>
      </c>
      <c r="D3215" s="14">
        <f>IF('08_资产清单'!A215&lt;&gt;"",'08_资产清单'!A215,"")</f>
        <v/>
      </c>
      <c r="E3215" s="14">
        <f>IF(F3215&lt;&gt;"","综合校验","")</f>
        <v/>
      </c>
      <c r="F3215" s="14">
        <f>IF('08_资产清单'!A215&lt;&gt;"",IF('08_资产清单'!A215="","缺少资产ID；","")&amp;IF('08_资产清单'!B215="","缺少资产名称；","")&amp;IF('08_资产清单'!C215="","缺少对象ID；","")&amp;IF('08_资产清单'!D215="","缺少资产类别；","")&amp;IF('08_资产清单'!G215="","缺少文件名；","")&amp;IF(AND('08_资产清单'!C215&lt;&gt;"",COUNTIF('02_固定地理'!$A$2:$A$501,'08_资产清单'!C215)+COUNTIF('03_地点锚点'!$A$2:$A$501,'08_资产清单'!C215)+COUNTIF('04_路径网络'!$A$2:$A$501,'08_资产清单'!C215)+COUNTIF('06_建筑锚点'!$A$2:$A$501,'08_资产清单'!C215)=0),"资产引用对象不存在；","")&amp;IF(AND('08_资产清单'!E215&lt;&gt;"",COUNTIF('07_动态状态'!$A$2:$A$501,'08_资产清单'!E215)=0),"状态编码不存在；","")&amp;IF(AND('08_资产清单'!G215&lt;&gt;"",COUNTIF('08_资产清单'!$G$2:$G$501,'08_资产清单'!G215)&gt;1),"文件名重复；","")&amp;IF(AND('08_资产清单'!A215&lt;&gt;"",COUNTIF('08_资产清单'!$A$2:$A$501,'08_资产清单'!A215)&gt;1),"ID重复；",""),"")</f>
        <v/>
      </c>
      <c r="G3215" s="14">
        <f>IF(F3215&lt;&gt;"","按字段批注、数据字典和来源记录修正后复核","")</f>
        <v/>
      </c>
      <c r="H3215" s="14">
        <f>IF(F3215&lt;&gt;"","待处理","")</f>
        <v/>
      </c>
    </row>
    <row r="3216">
      <c r="A3216" s="14">
        <f>IF(F3216&lt;&gt;"","ISSUE-"&amp;TEXT(ROW()-1,"00000"),"")</f>
        <v/>
      </c>
      <c r="B3216" s="14">
        <f>IF(F3216&lt;&gt;"","错误","")</f>
        <v/>
      </c>
      <c r="C3216" s="14">
        <f>IF('08_资产清单'!A216&lt;&gt;"","08_资产清单","")</f>
        <v/>
      </c>
      <c r="D3216" s="14">
        <f>IF('08_资产清单'!A216&lt;&gt;"",'08_资产清单'!A216,"")</f>
        <v/>
      </c>
      <c r="E3216" s="14">
        <f>IF(F3216&lt;&gt;"","综合校验","")</f>
        <v/>
      </c>
      <c r="F3216" s="14">
        <f>IF('08_资产清单'!A216&lt;&gt;"",IF('08_资产清单'!A216="","缺少资产ID；","")&amp;IF('08_资产清单'!B216="","缺少资产名称；","")&amp;IF('08_资产清单'!C216="","缺少对象ID；","")&amp;IF('08_资产清单'!D216="","缺少资产类别；","")&amp;IF('08_资产清单'!G216="","缺少文件名；","")&amp;IF(AND('08_资产清单'!C216&lt;&gt;"",COUNTIF('02_固定地理'!$A$2:$A$501,'08_资产清单'!C216)+COUNTIF('03_地点锚点'!$A$2:$A$501,'08_资产清单'!C216)+COUNTIF('04_路径网络'!$A$2:$A$501,'08_资产清单'!C216)+COUNTIF('06_建筑锚点'!$A$2:$A$501,'08_资产清单'!C216)=0),"资产引用对象不存在；","")&amp;IF(AND('08_资产清单'!E216&lt;&gt;"",COUNTIF('07_动态状态'!$A$2:$A$501,'08_资产清单'!E216)=0),"状态编码不存在；","")&amp;IF(AND('08_资产清单'!G216&lt;&gt;"",COUNTIF('08_资产清单'!$G$2:$G$501,'08_资产清单'!G216)&gt;1),"文件名重复；","")&amp;IF(AND('08_资产清单'!A216&lt;&gt;"",COUNTIF('08_资产清单'!$A$2:$A$501,'08_资产清单'!A216)&gt;1),"ID重复；",""),"")</f>
        <v/>
      </c>
      <c r="G3216" s="14">
        <f>IF(F3216&lt;&gt;"","按字段批注、数据字典和来源记录修正后复核","")</f>
        <v/>
      </c>
      <c r="H3216" s="14">
        <f>IF(F3216&lt;&gt;"","待处理","")</f>
        <v/>
      </c>
    </row>
    <row r="3217">
      <c r="A3217" s="14">
        <f>IF(F3217&lt;&gt;"","ISSUE-"&amp;TEXT(ROW()-1,"00000"),"")</f>
        <v/>
      </c>
      <c r="B3217" s="14">
        <f>IF(F3217&lt;&gt;"","错误","")</f>
        <v/>
      </c>
      <c r="C3217" s="14">
        <f>IF('08_资产清单'!A217&lt;&gt;"","08_资产清单","")</f>
        <v/>
      </c>
      <c r="D3217" s="14">
        <f>IF('08_资产清单'!A217&lt;&gt;"",'08_资产清单'!A217,"")</f>
        <v/>
      </c>
      <c r="E3217" s="14">
        <f>IF(F3217&lt;&gt;"","综合校验","")</f>
        <v/>
      </c>
      <c r="F3217" s="14">
        <f>IF('08_资产清单'!A217&lt;&gt;"",IF('08_资产清单'!A217="","缺少资产ID；","")&amp;IF('08_资产清单'!B217="","缺少资产名称；","")&amp;IF('08_资产清单'!C217="","缺少对象ID；","")&amp;IF('08_资产清单'!D217="","缺少资产类别；","")&amp;IF('08_资产清单'!G217="","缺少文件名；","")&amp;IF(AND('08_资产清单'!C217&lt;&gt;"",COUNTIF('02_固定地理'!$A$2:$A$501,'08_资产清单'!C217)+COUNTIF('03_地点锚点'!$A$2:$A$501,'08_资产清单'!C217)+COUNTIF('04_路径网络'!$A$2:$A$501,'08_资产清单'!C217)+COUNTIF('06_建筑锚点'!$A$2:$A$501,'08_资产清单'!C217)=0),"资产引用对象不存在；","")&amp;IF(AND('08_资产清单'!E217&lt;&gt;"",COUNTIF('07_动态状态'!$A$2:$A$501,'08_资产清单'!E217)=0),"状态编码不存在；","")&amp;IF(AND('08_资产清单'!G217&lt;&gt;"",COUNTIF('08_资产清单'!$G$2:$G$501,'08_资产清单'!G217)&gt;1),"文件名重复；","")&amp;IF(AND('08_资产清单'!A217&lt;&gt;"",COUNTIF('08_资产清单'!$A$2:$A$501,'08_资产清单'!A217)&gt;1),"ID重复；",""),"")</f>
        <v/>
      </c>
      <c r="G3217" s="14">
        <f>IF(F3217&lt;&gt;"","按字段批注、数据字典和来源记录修正后复核","")</f>
        <v/>
      </c>
      <c r="H3217" s="14">
        <f>IF(F3217&lt;&gt;"","待处理","")</f>
        <v/>
      </c>
    </row>
    <row r="3218">
      <c r="A3218" s="14">
        <f>IF(F3218&lt;&gt;"","ISSUE-"&amp;TEXT(ROW()-1,"00000"),"")</f>
        <v/>
      </c>
      <c r="B3218" s="14">
        <f>IF(F3218&lt;&gt;"","错误","")</f>
        <v/>
      </c>
      <c r="C3218" s="14">
        <f>IF('08_资产清单'!A218&lt;&gt;"","08_资产清单","")</f>
        <v/>
      </c>
      <c r="D3218" s="14">
        <f>IF('08_资产清单'!A218&lt;&gt;"",'08_资产清单'!A218,"")</f>
        <v/>
      </c>
      <c r="E3218" s="14">
        <f>IF(F3218&lt;&gt;"","综合校验","")</f>
        <v/>
      </c>
      <c r="F3218" s="14">
        <f>IF('08_资产清单'!A218&lt;&gt;"",IF('08_资产清单'!A218="","缺少资产ID；","")&amp;IF('08_资产清单'!B218="","缺少资产名称；","")&amp;IF('08_资产清单'!C218="","缺少对象ID；","")&amp;IF('08_资产清单'!D218="","缺少资产类别；","")&amp;IF('08_资产清单'!G218="","缺少文件名；","")&amp;IF(AND('08_资产清单'!C218&lt;&gt;"",COUNTIF('02_固定地理'!$A$2:$A$501,'08_资产清单'!C218)+COUNTIF('03_地点锚点'!$A$2:$A$501,'08_资产清单'!C218)+COUNTIF('04_路径网络'!$A$2:$A$501,'08_资产清单'!C218)+COUNTIF('06_建筑锚点'!$A$2:$A$501,'08_资产清单'!C218)=0),"资产引用对象不存在；","")&amp;IF(AND('08_资产清单'!E218&lt;&gt;"",COUNTIF('07_动态状态'!$A$2:$A$501,'08_资产清单'!E218)=0),"状态编码不存在；","")&amp;IF(AND('08_资产清单'!G218&lt;&gt;"",COUNTIF('08_资产清单'!$G$2:$G$501,'08_资产清单'!G218)&gt;1),"文件名重复；","")&amp;IF(AND('08_资产清单'!A218&lt;&gt;"",COUNTIF('08_资产清单'!$A$2:$A$501,'08_资产清单'!A218)&gt;1),"ID重复；",""),"")</f>
        <v/>
      </c>
      <c r="G3218" s="14">
        <f>IF(F3218&lt;&gt;"","按字段批注、数据字典和来源记录修正后复核","")</f>
        <v/>
      </c>
      <c r="H3218" s="14">
        <f>IF(F3218&lt;&gt;"","待处理","")</f>
        <v/>
      </c>
    </row>
    <row r="3219">
      <c r="A3219" s="14">
        <f>IF(F3219&lt;&gt;"","ISSUE-"&amp;TEXT(ROW()-1,"00000"),"")</f>
        <v/>
      </c>
      <c r="B3219" s="14">
        <f>IF(F3219&lt;&gt;"","错误","")</f>
        <v/>
      </c>
      <c r="C3219" s="14">
        <f>IF('08_资产清单'!A219&lt;&gt;"","08_资产清单","")</f>
        <v/>
      </c>
      <c r="D3219" s="14">
        <f>IF('08_资产清单'!A219&lt;&gt;"",'08_资产清单'!A219,"")</f>
        <v/>
      </c>
      <c r="E3219" s="14">
        <f>IF(F3219&lt;&gt;"","综合校验","")</f>
        <v/>
      </c>
      <c r="F3219" s="14">
        <f>IF('08_资产清单'!A219&lt;&gt;"",IF('08_资产清单'!A219="","缺少资产ID；","")&amp;IF('08_资产清单'!B219="","缺少资产名称；","")&amp;IF('08_资产清单'!C219="","缺少对象ID；","")&amp;IF('08_资产清单'!D219="","缺少资产类别；","")&amp;IF('08_资产清单'!G219="","缺少文件名；","")&amp;IF(AND('08_资产清单'!C219&lt;&gt;"",COUNTIF('02_固定地理'!$A$2:$A$501,'08_资产清单'!C219)+COUNTIF('03_地点锚点'!$A$2:$A$501,'08_资产清单'!C219)+COUNTIF('04_路径网络'!$A$2:$A$501,'08_资产清单'!C219)+COUNTIF('06_建筑锚点'!$A$2:$A$501,'08_资产清单'!C219)=0),"资产引用对象不存在；","")&amp;IF(AND('08_资产清单'!E219&lt;&gt;"",COUNTIF('07_动态状态'!$A$2:$A$501,'08_资产清单'!E219)=0),"状态编码不存在；","")&amp;IF(AND('08_资产清单'!G219&lt;&gt;"",COUNTIF('08_资产清单'!$G$2:$G$501,'08_资产清单'!G219)&gt;1),"文件名重复；","")&amp;IF(AND('08_资产清单'!A219&lt;&gt;"",COUNTIF('08_资产清单'!$A$2:$A$501,'08_资产清单'!A219)&gt;1),"ID重复；",""),"")</f>
        <v/>
      </c>
      <c r="G3219" s="14">
        <f>IF(F3219&lt;&gt;"","按字段批注、数据字典和来源记录修正后复核","")</f>
        <v/>
      </c>
      <c r="H3219" s="14">
        <f>IF(F3219&lt;&gt;"","待处理","")</f>
        <v/>
      </c>
    </row>
    <row r="3220">
      <c r="A3220" s="14">
        <f>IF(F3220&lt;&gt;"","ISSUE-"&amp;TEXT(ROW()-1,"00000"),"")</f>
        <v/>
      </c>
      <c r="B3220" s="14">
        <f>IF(F3220&lt;&gt;"","错误","")</f>
        <v/>
      </c>
      <c r="C3220" s="14">
        <f>IF('08_资产清单'!A220&lt;&gt;"","08_资产清单","")</f>
        <v/>
      </c>
      <c r="D3220" s="14">
        <f>IF('08_资产清单'!A220&lt;&gt;"",'08_资产清单'!A220,"")</f>
        <v/>
      </c>
      <c r="E3220" s="14">
        <f>IF(F3220&lt;&gt;"","综合校验","")</f>
        <v/>
      </c>
      <c r="F3220" s="14">
        <f>IF('08_资产清单'!A220&lt;&gt;"",IF('08_资产清单'!A220="","缺少资产ID；","")&amp;IF('08_资产清单'!B220="","缺少资产名称；","")&amp;IF('08_资产清单'!C220="","缺少对象ID；","")&amp;IF('08_资产清单'!D220="","缺少资产类别；","")&amp;IF('08_资产清单'!G220="","缺少文件名；","")&amp;IF(AND('08_资产清单'!C220&lt;&gt;"",COUNTIF('02_固定地理'!$A$2:$A$501,'08_资产清单'!C220)+COUNTIF('03_地点锚点'!$A$2:$A$501,'08_资产清单'!C220)+COUNTIF('04_路径网络'!$A$2:$A$501,'08_资产清单'!C220)+COUNTIF('06_建筑锚点'!$A$2:$A$501,'08_资产清单'!C220)=0),"资产引用对象不存在；","")&amp;IF(AND('08_资产清单'!E220&lt;&gt;"",COUNTIF('07_动态状态'!$A$2:$A$501,'08_资产清单'!E220)=0),"状态编码不存在；","")&amp;IF(AND('08_资产清单'!G220&lt;&gt;"",COUNTIF('08_资产清单'!$G$2:$G$501,'08_资产清单'!G220)&gt;1),"文件名重复；","")&amp;IF(AND('08_资产清单'!A220&lt;&gt;"",COUNTIF('08_资产清单'!$A$2:$A$501,'08_资产清单'!A220)&gt;1),"ID重复；",""),"")</f>
        <v/>
      </c>
      <c r="G3220" s="14">
        <f>IF(F3220&lt;&gt;"","按字段批注、数据字典和来源记录修正后复核","")</f>
        <v/>
      </c>
      <c r="H3220" s="14">
        <f>IF(F3220&lt;&gt;"","待处理","")</f>
        <v/>
      </c>
    </row>
    <row r="3221">
      <c r="A3221" s="14">
        <f>IF(F3221&lt;&gt;"","ISSUE-"&amp;TEXT(ROW()-1,"00000"),"")</f>
        <v/>
      </c>
      <c r="B3221" s="14">
        <f>IF(F3221&lt;&gt;"","错误","")</f>
        <v/>
      </c>
      <c r="C3221" s="14">
        <f>IF('08_资产清单'!A221&lt;&gt;"","08_资产清单","")</f>
        <v/>
      </c>
      <c r="D3221" s="14">
        <f>IF('08_资产清单'!A221&lt;&gt;"",'08_资产清单'!A221,"")</f>
        <v/>
      </c>
      <c r="E3221" s="14">
        <f>IF(F3221&lt;&gt;"","综合校验","")</f>
        <v/>
      </c>
      <c r="F3221" s="14">
        <f>IF('08_资产清单'!A221&lt;&gt;"",IF('08_资产清单'!A221="","缺少资产ID；","")&amp;IF('08_资产清单'!B221="","缺少资产名称；","")&amp;IF('08_资产清单'!C221="","缺少对象ID；","")&amp;IF('08_资产清单'!D221="","缺少资产类别；","")&amp;IF('08_资产清单'!G221="","缺少文件名；","")&amp;IF(AND('08_资产清单'!C221&lt;&gt;"",COUNTIF('02_固定地理'!$A$2:$A$501,'08_资产清单'!C221)+COUNTIF('03_地点锚点'!$A$2:$A$501,'08_资产清单'!C221)+COUNTIF('04_路径网络'!$A$2:$A$501,'08_资产清单'!C221)+COUNTIF('06_建筑锚点'!$A$2:$A$501,'08_资产清单'!C221)=0),"资产引用对象不存在；","")&amp;IF(AND('08_资产清单'!E221&lt;&gt;"",COUNTIF('07_动态状态'!$A$2:$A$501,'08_资产清单'!E221)=0),"状态编码不存在；","")&amp;IF(AND('08_资产清单'!G221&lt;&gt;"",COUNTIF('08_资产清单'!$G$2:$G$501,'08_资产清单'!G221)&gt;1),"文件名重复；","")&amp;IF(AND('08_资产清单'!A221&lt;&gt;"",COUNTIF('08_资产清单'!$A$2:$A$501,'08_资产清单'!A221)&gt;1),"ID重复；",""),"")</f>
        <v/>
      </c>
      <c r="G3221" s="14">
        <f>IF(F3221&lt;&gt;"","按字段批注、数据字典和来源记录修正后复核","")</f>
        <v/>
      </c>
      <c r="H3221" s="14">
        <f>IF(F3221&lt;&gt;"","待处理","")</f>
        <v/>
      </c>
    </row>
    <row r="3222">
      <c r="A3222" s="14">
        <f>IF(F3222&lt;&gt;"","ISSUE-"&amp;TEXT(ROW()-1,"00000"),"")</f>
        <v/>
      </c>
      <c r="B3222" s="14">
        <f>IF(F3222&lt;&gt;"","错误","")</f>
        <v/>
      </c>
      <c r="C3222" s="14">
        <f>IF('08_资产清单'!A222&lt;&gt;"","08_资产清单","")</f>
        <v/>
      </c>
      <c r="D3222" s="14">
        <f>IF('08_资产清单'!A222&lt;&gt;"",'08_资产清单'!A222,"")</f>
        <v/>
      </c>
      <c r="E3222" s="14">
        <f>IF(F3222&lt;&gt;"","综合校验","")</f>
        <v/>
      </c>
      <c r="F3222" s="14">
        <f>IF('08_资产清单'!A222&lt;&gt;"",IF('08_资产清单'!A222="","缺少资产ID；","")&amp;IF('08_资产清单'!B222="","缺少资产名称；","")&amp;IF('08_资产清单'!C222="","缺少对象ID；","")&amp;IF('08_资产清单'!D222="","缺少资产类别；","")&amp;IF('08_资产清单'!G222="","缺少文件名；","")&amp;IF(AND('08_资产清单'!C222&lt;&gt;"",COUNTIF('02_固定地理'!$A$2:$A$501,'08_资产清单'!C222)+COUNTIF('03_地点锚点'!$A$2:$A$501,'08_资产清单'!C222)+COUNTIF('04_路径网络'!$A$2:$A$501,'08_资产清单'!C222)+COUNTIF('06_建筑锚点'!$A$2:$A$501,'08_资产清单'!C222)=0),"资产引用对象不存在；","")&amp;IF(AND('08_资产清单'!E222&lt;&gt;"",COUNTIF('07_动态状态'!$A$2:$A$501,'08_资产清单'!E222)=0),"状态编码不存在；","")&amp;IF(AND('08_资产清单'!G222&lt;&gt;"",COUNTIF('08_资产清单'!$G$2:$G$501,'08_资产清单'!G222)&gt;1),"文件名重复；","")&amp;IF(AND('08_资产清单'!A222&lt;&gt;"",COUNTIF('08_资产清单'!$A$2:$A$501,'08_资产清单'!A222)&gt;1),"ID重复；",""),"")</f>
        <v/>
      </c>
      <c r="G3222" s="14">
        <f>IF(F3222&lt;&gt;"","按字段批注、数据字典和来源记录修正后复核","")</f>
        <v/>
      </c>
      <c r="H3222" s="14">
        <f>IF(F3222&lt;&gt;"","待处理","")</f>
        <v/>
      </c>
    </row>
    <row r="3223">
      <c r="A3223" s="14">
        <f>IF(F3223&lt;&gt;"","ISSUE-"&amp;TEXT(ROW()-1,"00000"),"")</f>
        <v/>
      </c>
      <c r="B3223" s="14">
        <f>IF(F3223&lt;&gt;"","错误","")</f>
        <v/>
      </c>
      <c r="C3223" s="14">
        <f>IF('08_资产清单'!A223&lt;&gt;"","08_资产清单","")</f>
        <v/>
      </c>
      <c r="D3223" s="14">
        <f>IF('08_资产清单'!A223&lt;&gt;"",'08_资产清单'!A223,"")</f>
        <v/>
      </c>
      <c r="E3223" s="14">
        <f>IF(F3223&lt;&gt;"","综合校验","")</f>
        <v/>
      </c>
      <c r="F3223" s="14">
        <f>IF('08_资产清单'!A223&lt;&gt;"",IF('08_资产清单'!A223="","缺少资产ID；","")&amp;IF('08_资产清单'!B223="","缺少资产名称；","")&amp;IF('08_资产清单'!C223="","缺少对象ID；","")&amp;IF('08_资产清单'!D223="","缺少资产类别；","")&amp;IF('08_资产清单'!G223="","缺少文件名；","")&amp;IF(AND('08_资产清单'!C223&lt;&gt;"",COUNTIF('02_固定地理'!$A$2:$A$501,'08_资产清单'!C223)+COUNTIF('03_地点锚点'!$A$2:$A$501,'08_资产清单'!C223)+COUNTIF('04_路径网络'!$A$2:$A$501,'08_资产清单'!C223)+COUNTIF('06_建筑锚点'!$A$2:$A$501,'08_资产清单'!C223)=0),"资产引用对象不存在；","")&amp;IF(AND('08_资产清单'!E223&lt;&gt;"",COUNTIF('07_动态状态'!$A$2:$A$501,'08_资产清单'!E223)=0),"状态编码不存在；","")&amp;IF(AND('08_资产清单'!G223&lt;&gt;"",COUNTIF('08_资产清单'!$G$2:$G$501,'08_资产清单'!G223)&gt;1),"文件名重复；","")&amp;IF(AND('08_资产清单'!A223&lt;&gt;"",COUNTIF('08_资产清单'!$A$2:$A$501,'08_资产清单'!A223)&gt;1),"ID重复；",""),"")</f>
        <v/>
      </c>
      <c r="G3223" s="14">
        <f>IF(F3223&lt;&gt;"","按字段批注、数据字典和来源记录修正后复核","")</f>
        <v/>
      </c>
      <c r="H3223" s="14">
        <f>IF(F3223&lt;&gt;"","待处理","")</f>
        <v/>
      </c>
    </row>
    <row r="3224">
      <c r="A3224" s="14">
        <f>IF(F3224&lt;&gt;"","ISSUE-"&amp;TEXT(ROW()-1,"00000"),"")</f>
        <v/>
      </c>
      <c r="B3224" s="14">
        <f>IF(F3224&lt;&gt;"","错误","")</f>
        <v/>
      </c>
      <c r="C3224" s="14">
        <f>IF('08_资产清单'!A224&lt;&gt;"","08_资产清单","")</f>
        <v/>
      </c>
      <c r="D3224" s="14">
        <f>IF('08_资产清单'!A224&lt;&gt;"",'08_资产清单'!A224,"")</f>
        <v/>
      </c>
      <c r="E3224" s="14">
        <f>IF(F3224&lt;&gt;"","综合校验","")</f>
        <v/>
      </c>
      <c r="F3224" s="14">
        <f>IF('08_资产清单'!A224&lt;&gt;"",IF('08_资产清单'!A224="","缺少资产ID；","")&amp;IF('08_资产清单'!B224="","缺少资产名称；","")&amp;IF('08_资产清单'!C224="","缺少对象ID；","")&amp;IF('08_资产清单'!D224="","缺少资产类别；","")&amp;IF('08_资产清单'!G224="","缺少文件名；","")&amp;IF(AND('08_资产清单'!C224&lt;&gt;"",COUNTIF('02_固定地理'!$A$2:$A$501,'08_资产清单'!C224)+COUNTIF('03_地点锚点'!$A$2:$A$501,'08_资产清单'!C224)+COUNTIF('04_路径网络'!$A$2:$A$501,'08_资产清单'!C224)+COUNTIF('06_建筑锚点'!$A$2:$A$501,'08_资产清单'!C224)=0),"资产引用对象不存在；","")&amp;IF(AND('08_资产清单'!E224&lt;&gt;"",COUNTIF('07_动态状态'!$A$2:$A$501,'08_资产清单'!E224)=0),"状态编码不存在；","")&amp;IF(AND('08_资产清单'!G224&lt;&gt;"",COUNTIF('08_资产清单'!$G$2:$G$501,'08_资产清单'!G224)&gt;1),"文件名重复；","")&amp;IF(AND('08_资产清单'!A224&lt;&gt;"",COUNTIF('08_资产清单'!$A$2:$A$501,'08_资产清单'!A224)&gt;1),"ID重复；",""),"")</f>
        <v/>
      </c>
      <c r="G3224" s="14">
        <f>IF(F3224&lt;&gt;"","按字段批注、数据字典和来源记录修正后复核","")</f>
        <v/>
      </c>
      <c r="H3224" s="14">
        <f>IF(F3224&lt;&gt;"","待处理","")</f>
        <v/>
      </c>
    </row>
    <row r="3225">
      <c r="A3225" s="14">
        <f>IF(F3225&lt;&gt;"","ISSUE-"&amp;TEXT(ROW()-1,"00000"),"")</f>
        <v/>
      </c>
      <c r="B3225" s="14">
        <f>IF(F3225&lt;&gt;"","错误","")</f>
        <v/>
      </c>
      <c r="C3225" s="14">
        <f>IF('08_资产清单'!A225&lt;&gt;"","08_资产清单","")</f>
        <v/>
      </c>
      <c r="D3225" s="14">
        <f>IF('08_资产清单'!A225&lt;&gt;"",'08_资产清单'!A225,"")</f>
        <v/>
      </c>
      <c r="E3225" s="14">
        <f>IF(F3225&lt;&gt;"","综合校验","")</f>
        <v/>
      </c>
      <c r="F3225" s="14">
        <f>IF('08_资产清单'!A225&lt;&gt;"",IF('08_资产清单'!A225="","缺少资产ID；","")&amp;IF('08_资产清单'!B225="","缺少资产名称；","")&amp;IF('08_资产清单'!C225="","缺少对象ID；","")&amp;IF('08_资产清单'!D225="","缺少资产类别；","")&amp;IF('08_资产清单'!G225="","缺少文件名；","")&amp;IF(AND('08_资产清单'!C225&lt;&gt;"",COUNTIF('02_固定地理'!$A$2:$A$501,'08_资产清单'!C225)+COUNTIF('03_地点锚点'!$A$2:$A$501,'08_资产清单'!C225)+COUNTIF('04_路径网络'!$A$2:$A$501,'08_资产清单'!C225)+COUNTIF('06_建筑锚点'!$A$2:$A$501,'08_资产清单'!C225)=0),"资产引用对象不存在；","")&amp;IF(AND('08_资产清单'!E225&lt;&gt;"",COUNTIF('07_动态状态'!$A$2:$A$501,'08_资产清单'!E225)=0),"状态编码不存在；","")&amp;IF(AND('08_资产清单'!G225&lt;&gt;"",COUNTIF('08_资产清单'!$G$2:$G$501,'08_资产清单'!G225)&gt;1),"文件名重复；","")&amp;IF(AND('08_资产清单'!A225&lt;&gt;"",COUNTIF('08_资产清单'!$A$2:$A$501,'08_资产清单'!A225)&gt;1),"ID重复；",""),"")</f>
        <v/>
      </c>
      <c r="G3225" s="14">
        <f>IF(F3225&lt;&gt;"","按字段批注、数据字典和来源记录修正后复核","")</f>
        <v/>
      </c>
      <c r="H3225" s="14">
        <f>IF(F3225&lt;&gt;"","待处理","")</f>
        <v/>
      </c>
    </row>
    <row r="3226">
      <c r="A3226" s="14">
        <f>IF(F3226&lt;&gt;"","ISSUE-"&amp;TEXT(ROW()-1,"00000"),"")</f>
        <v/>
      </c>
      <c r="B3226" s="14">
        <f>IF(F3226&lt;&gt;"","错误","")</f>
        <v/>
      </c>
      <c r="C3226" s="14">
        <f>IF('08_资产清单'!A226&lt;&gt;"","08_资产清单","")</f>
        <v/>
      </c>
      <c r="D3226" s="14">
        <f>IF('08_资产清单'!A226&lt;&gt;"",'08_资产清单'!A226,"")</f>
        <v/>
      </c>
      <c r="E3226" s="14">
        <f>IF(F3226&lt;&gt;"","综合校验","")</f>
        <v/>
      </c>
      <c r="F3226" s="14">
        <f>IF('08_资产清单'!A226&lt;&gt;"",IF('08_资产清单'!A226="","缺少资产ID；","")&amp;IF('08_资产清单'!B226="","缺少资产名称；","")&amp;IF('08_资产清单'!C226="","缺少对象ID；","")&amp;IF('08_资产清单'!D226="","缺少资产类别；","")&amp;IF('08_资产清单'!G226="","缺少文件名；","")&amp;IF(AND('08_资产清单'!C226&lt;&gt;"",COUNTIF('02_固定地理'!$A$2:$A$501,'08_资产清单'!C226)+COUNTIF('03_地点锚点'!$A$2:$A$501,'08_资产清单'!C226)+COUNTIF('04_路径网络'!$A$2:$A$501,'08_资产清单'!C226)+COUNTIF('06_建筑锚点'!$A$2:$A$501,'08_资产清单'!C226)=0),"资产引用对象不存在；","")&amp;IF(AND('08_资产清单'!E226&lt;&gt;"",COUNTIF('07_动态状态'!$A$2:$A$501,'08_资产清单'!E226)=0),"状态编码不存在；","")&amp;IF(AND('08_资产清单'!G226&lt;&gt;"",COUNTIF('08_资产清单'!$G$2:$G$501,'08_资产清单'!G226)&gt;1),"文件名重复；","")&amp;IF(AND('08_资产清单'!A226&lt;&gt;"",COUNTIF('08_资产清单'!$A$2:$A$501,'08_资产清单'!A226)&gt;1),"ID重复；",""),"")</f>
        <v/>
      </c>
      <c r="G3226" s="14">
        <f>IF(F3226&lt;&gt;"","按字段批注、数据字典和来源记录修正后复核","")</f>
        <v/>
      </c>
      <c r="H3226" s="14">
        <f>IF(F3226&lt;&gt;"","待处理","")</f>
        <v/>
      </c>
    </row>
    <row r="3227">
      <c r="A3227" s="14">
        <f>IF(F3227&lt;&gt;"","ISSUE-"&amp;TEXT(ROW()-1,"00000"),"")</f>
        <v/>
      </c>
      <c r="B3227" s="14">
        <f>IF(F3227&lt;&gt;"","错误","")</f>
        <v/>
      </c>
      <c r="C3227" s="14">
        <f>IF('08_资产清单'!A227&lt;&gt;"","08_资产清单","")</f>
        <v/>
      </c>
      <c r="D3227" s="14">
        <f>IF('08_资产清单'!A227&lt;&gt;"",'08_资产清单'!A227,"")</f>
        <v/>
      </c>
      <c r="E3227" s="14">
        <f>IF(F3227&lt;&gt;"","综合校验","")</f>
        <v/>
      </c>
      <c r="F3227" s="14">
        <f>IF('08_资产清单'!A227&lt;&gt;"",IF('08_资产清单'!A227="","缺少资产ID；","")&amp;IF('08_资产清单'!B227="","缺少资产名称；","")&amp;IF('08_资产清单'!C227="","缺少对象ID；","")&amp;IF('08_资产清单'!D227="","缺少资产类别；","")&amp;IF('08_资产清单'!G227="","缺少文件名；","")&amp;IF(AND('08_资产清单'!C227&lt;&gt;"",COUNTIF('02_固定地理'!$A$2:$A$501,'08_资产清单'!C227)+COUNTIF('03_地点锚点'!$A$2:$A$501,'08_资产清单'!C227)+COUNTIF('04_路径网络'!$A$2:$A$501,'08_资产清单'!C227)+COUNTIF('06_建筑锚点'!$A$2:$A$501,'08_资产清单'!C227)=0),"资产引用对象不存在；","")&amp;IF(AND('08_资产清单'!E227&lt;&gt;"",COUNTIF('07_动态状态'!$A$2:$A$501,'08_资产清单'!E227)=0),"状态编码不存在；","")&amp;IF(AND('08_资产清单'!G227&lt;&gt;"",COUNTIF('08_资产清单'!$G$2:$G$501,'08_资产清单'!G227)&gt;1),"文件名重复；","")&amp;IF(AND('08_资产清单'!A227&lt;&gt;"",COUNTIF('08_资产清单'!$A$2:$A$501,'08_资产清单'!A227)&gt;1),"ID重复；",""),"")</f>
        <v/>
      </c>
      <c r="G3227" s="14">
        <f>IF(F3227&lt;&gt;"","按字段批注、数据字典和来源记录修正后复核","")</f>
        <v/>
      </c>
      <c r="H3227" s="14">
        <f>IF(F3227&lt;&gt;"","待处理","")</f>
        <v/>
      </c>
    </row>
    <row r="3228">
      <c r="A3228" s="14">
        <f>IF(F3228&lt;&gt;"","ISSUE-"&amp;TEXT(ROW()-1,"00000"),"")</f>
        <v/>
      </c>
      <c r="B3228" s="14">
        <f>IF(F3228&lt;&gt;"","错误","")</f>
        <v/>
      </c>
      <c r="C3228" s="14">
        <f>IF('08_资产清单'!A228&lt;&gt;"","08_资产清单","")</f>
        <v/>
      </c>
      <c r="D3228" s="14">
        <f>IF('08_资产清单'!A228&lt;&gt;"",'08_资产清单'!A228,"")</f>
        <v/>
      </c>
      <c r="E3228" s="14">
        <f>IF(F3228&lt;&gt;"","综合校验","")</f>
        <v/>
      </c>
      <c r="F3228" s="14">
        <f>IF('08_资产清单'!A228&lt;&gt;"",IF('08_资产清单'!A228="","缺少资产ID；","")&amp;IF('08_资产清单'!B228="","缺少资产名称；","")&amp;IF('08_资产清单'!C228="","缺少对象ID；","")&amp;IF('08_资产清单'!D228="","缺少资产类别；","")&amp;IF('08_资产清单'!G228="","缺少文件名；","")&amp;IF(AND('08_资产清单'!C228&lt;&gt;"",COUNTIF('02_固定地理'!$A$2:$A$501,'08_资产清单'!C228)+COUNTIF('03_地点锚点'!$A$2:$A$501,'08_资产清单'!C228)+COUNTIF('04_路径网络'!$A$2:$A$501,'08_资产清单'!C228)+COUNTIF('06_建筑锚点'!$A$2:$A$501,'08_资产清单'!C228)=0),"资产引用对象不存在；","")&amp;IF(AND('08_资产清单'!E228&lt;&gt;"",COUNTIF('07_动态状态'!$A$2:$A$501,'08_资产清单'!E228)=0),"状态编码不存在；","")&amp;IF(AND('08_资产清单'!G228&lt;&gt;"",COUNTIF('08_资产清单'!$G$2:$G$501,'08_资产清单'!G228)&gt;1),"文件名重复；","")&amp;IF(AND('08_资产清单'!A228&lt;&gt;"",COUNTIF('08_资产清单'!$A$2:$A$501,'08_资产清单'!A228)&gt;1),"ID重复；",""),"")</f>
        <v/>
      </c>
      <c r="G3228" s="14">
        <f>IF(F3228&lt;&gt;"","按字段批注、数据字典和来源记录修正后复核","")</f>
        <v/>
      </c>
      <c r="H3228" s="14">
        <f>IF(F3228&lt;&gt;"","待处理","")</f>
        <v/>
      </c>
    </row>
    <row r="3229">
      <c r="A3229" s="14">
        <f>IF(F3229&lt;&gt;"","ISSUE-"&amp;TEXT(ROW()-1,"00000"),"")</f>
        <v/>
      </c>
      <c r="B3229" s="14">
        <f>IF(F3229&lt;&gt;"","错误","")</f>
        <v/>
      </c>
      <c r="C3229" s="14">
        <f>IF('08_资产清单'!A229&lt;&gt;"","08_资产清单","")</f>
        <v/>
      </c>
      <c r="D3229" s="14">
        <f>IF('08_资产清单'!A229&lt;&gt;"",'08_资产清单'!A229,"")</f>
        <v/>
      </c>
      <c r="E3229" s="14">
        <f>IF(F3229&lt;&gt;"","综合校验","")</f>
        <v/>
      </c>
      <c r="F3229" s="14">
        <f>IF('08_资产清单'!A229&lt;&gt;"",IF('08_资产清单'!A229="","缺少资产ID；","")&amp;IF('08_资产清单'!B229="","缺少资产名称；","")&amp;IF('08_资产清单'!C229="","缺少对象ID；","")&amp;IF('08_资产清单'!D229="","缺少资产类别；","")&amp;IF('08_资产清单'!G229="","缺少文件名；","")&amp;IF(AND('08_资产清单'!C229&lt;&gt;"",COUNTIF('02_固定地理'!$A$2:$A$501,'08_资产清单'!C229)+COUNTIF('03_地点锚点'!$A$2:$A$501,'08_资产清单'!C229)+COUNTIF('04_路径网络'!$A$2:$A$501,'08_资产清单'!C229)+COUNTIF('06_建筑锚点'!$A$2:$A$501,'08_资产清单'!C229)=0),"资产引用对象不存在；","")&amp;IF(AND('08_资产清单'!E229&lt;&gt;"",COUNTIF('07_动态状态'!$A$2:$A$501,'08_资产清单'!E229)=0),"状态编码不存在；","")&amp;IF(AND('08_资产清单'!G229&lt;&gt;"",COUNTIF('08_资产清单'!$G$2:$G$501,'08_资产清单'!G229)&gt;1),"文件名重复；","")&amp;IF(AND('08_资产清单'!A229&lt;&gt;"",COUNTIF('08_资产清单'!$A$2:$A$501,'08_资产清单'!A229)&gt;1),"ID重复；",""),"")</f>
        <v/>
      </c>
      <c r="G3229" s="14">
        <f>IF(F3229&lt;&gt;"","按字段批注、数据字典和来源记录修正后复核","")</f>
        <v/>
      </c>
      <c r="H3229" s="14">
        <f>IF(F3229&lt;&gt;"","待处理","")</f>
        <v/>
      </c>
    </row>
    <row r="3230">
      <c r="A3230" s="14">
        <f>IF(F3230&lt;&gt;"","ISSUE-"&amp;TEXT(ROW()-1,"00000"),"")</f>
        <v/>
      </c>
      <c r="B3230" s="14">
        <f>IF(F3230&lt;&gt;"","错误","")</f>
        <v/>
      </c>
      <c r="C3230" s="14">
        <f>IF('08_资产清单'!A230&lt;&gt;"","08_资产清单","")</f>
        <v/>
      </c>
      <c r="D3230" s="14">
        <f>IF('08_资产清单'!A230&lt;&gt;"",'08_资产清单'!A230,"")</f>
        <v/>
      </c>
      <c r="E3230" s="14">
        <f>IF(F3230&lt;&gt;"","综合校验","")</f>
        <v/>
      </c>
      <c r="F3230" s="14">
        <f>IF('08_资产清单'!A230&lt;&gt;"",IF('08_资产清单'!A230="","缺少资产ID；","")&amp;IF('08_资产清单'!B230="","缺少资产名称；","")&amp;IF('08_资产清单'!C230="","缺少对象ID；","")&amp;IF('08_资产清单'!D230="","缺少资产类别；","")&amp;IF('08_资产清单'!G230="","缺少文件名；","")&amp;IF(AND('08_资产清单'!C230&lt;&gt;"",COUNTIF('02_固定地理'!$A$2:$A$501,'08_资产清单'!C230)+COUNTIF('03_地点锚点'!$A$2:$A$501,'08_资产清单'!C230)+COUNTIF('04_路径网络'!$A$2:$A$501,'08_资产清单'!C230)+COUNTIF('06_建筑锚点'!$A$2:$A$501,'08_资产清单'!C230)=0),"资产引用对象不存在；","")&amp;IF(AND('08_资产清单'!E230&lt;&gt;"",COUNTIF('07_动态状态'!$A$2:$A$501,'08_资产清单'!E230)=0),"状态编码不存在；","")&amp;IF(AND('08_资产清单'!G230&lt;&gt;"",COUNTIF('08_资产清单'!$G$2:$G$501,'08_资产清单'!G230)&gt;1),"文件名重复；","")&amp;IF(AND('08_资产清单'!A230&lt;&gt;"",COUNTIF('08_资产清单'!$A$2:$A$501,'08_资产清单'!A230)&gt;1),"ID重复；",""),"")</f>
        <v/>
      </c>
      <c r="G3230" s="14">
        <f>IF(F3230&lt;&gt;"","按字段批注、数据字典和来源记录修正后复核","")</f>
        <v/>
      </c>
      <c r="H3230" s="14">
        <f>IF(F3230&lt;&gt;"","待处理","")</f>
        <v/>
      </c>
    </row>
    <row r="3231">
      <c r="A3231" s="14">
        <f>IF(F3231&lt;&gt;"","ISSUE-"&amp;TEXT(ROW()-1,"00000"),"")</f>
        <v/>
      </c>
      <c r="B3231" s="14">
        <f>IF(F3231&lt;&gt;"","错误","")</f>
        <v/>
      </c>
      <c r="C3231" s="14">
        <f>IF('08_资产清单'!A231&lt;&gt;"","08_资产清单","")</f>
        <v/>
      </c>
      <c r="D3231" s="14">
        <f>IF('08_资产清单'!A231&lt;&gt;"",'08_资产清单'!A231,"")</f>
        <v/>
      </c>
      <c r="E3231" s="14">
        <f>IF(F3231&lt;&gt;"","综合校验","")</f>
        <v/>
      </c>
      <c r="F3231" s="14">
        <f>IF('08_资产清单'!A231&lt;&gt;"",IF('08_资产清单'!A231="","缺少资产ID；","")&amp;IF('08_资产清单'!B231="","缺少资产名称；","")&amp;IF('08_资产清单'!C231="","缺少对象ID；","")&amp;IF('08_资产清单'!D231="","缺少资产类别；","")&amp;IF('08_资产清单'!G231="","缺少文件名；","")&amp;IF(AND('08_资产清单'!C231&lt;&gt;"",COUNTIF('02_固定地理'!$A$2:$A$501,'08_资产清单'!C231)+COUNTIF('03_地点锚点'!$A$2:$A$501,'08_资产清单'!C231)+COUNTIF('04_路径网络'!$A$2:$A$501,'08_资产清单'!C231)+COUNTIF('06_建筑锚点'!$A$2:$A$501,'08_资产清单'!C231)=0),"资产引用对象不存在；","")&amp;IF(AND('08_资产清单'!E231&lt;&gt;"",COUNTIF('07_动态状态'!$A$2:$A$501,'08_资产清单'!E231)=0),"状态编码不存在；","")&amp;IF(AND('08_资产清单'!G231&lt;&gt;"",COUNTIF('08_资产清单'!$G$2:$G$501,'08_资产清单'!G231)&gt;1),"文件名重复；","")&amp;IF(AND('08_资产清单'!A231&lt;&gt;"",COUNTIF('08_资产清单'!$A$2:$A$501,'08_资产清单'!A231)&gt;1),"ID重复；",""),"")</f>
        <v/>
      </c>
      <c r="G3231" s="14">
        <f>IF(F3231&lt;&gt;"","按字段批注、数据字典和来源记录修正后复核","")</f>
        <v/>
      </c>
      <c r="H3231" s="14">
        <f>IF(F3231&lt;&gt;"","待处理","")</f>
        <v/>
      </c>
    </row>
    <row r="3232">
      <c r="A3232" s="14">
        <f>IF(F3232&lt;&gt;"","ISSUE-"&amp;TEXT(ROW()-1,"00000"),"")</f>
        <v/>
      </c>
      <c r="B3232" s="14">
        <f>IF(F3232&lt;&gt;"","错误","")</f>
        <v/>
      </c>
      <c r="C3232" s="14">
        <f>IF('08_资产清单'!A232&lt;&gt;"","08_资产清单","")</f>
        <v/>
      </c>
      <c r="D3232" s="14">
        <f>IF('08_资产清单'!A232&lt;&gt;"",'08_资产清单'!A232,"")</f>
        <v/>
      </c>
      <c r="E3232" s="14">
        <f>IF(F3232&lt;&gt;"","综合校验","")</f>
        <v/>
      </c>
      <c r="F3232" s="14">
        <f>IF('08_资产清单'!A232&lt;&gt;"",IF('08_资产清单'!A232="","缺少资产ID；","")&amp;IF('08_资产清单'!B232="","缺少资产名称；","")&amp;IF('08_资产清单'!C232="","缺少对象ID；","")&amp;IF('08_资产清单'!D232="","缺少资产类别；","")&amp;IF('08_资产清单'!G232="","缺少文件名；","")&amp;IF(AND('08_资产清单'!C232&lt;&gt;"",COUNTIF('02_固定地理'!$A$2:$A$501,'08_资产清单'!C232)+COUNTIF('03_地点锚点'!$A$2:$A$501,'08_资产清单'!C232)+COUNTIF('04_路径网络'!$A$2:$A$501,'08_资产清单'!C232)+COUNTIF('06_建筑锚点'!$A$2:$A$501,'08_资产清单'!C232)=0),"资产引用对象不存在；","")&amp;IF(AND('08_资产清单'!E232&lt;&gt;"",COUNTIF('07_动态状态'!$A$2:$A$501,'08_资产清单'!E232)=0),"状态编码不存在；","")&amp;IF(AND('08_资产清单'!G232&lt;&gt;"",COUNTIF('08_资产清单'!$G$2:$G$501,'08_资产清单'!G232)&gt;1),"文件名重复；","")&amp;IF(AND('08_资产清单'!A232&lt;&gt;"",COUNTIF('08_资产清单'!$A$2:$A$501,'08_资产清单'!A232)&gt;1),"ID重复；",""),"")</f>
        <v/>
      </c>
      <c r="G3232" s="14">
        <f>IF(F3232&lt;&gt;"","按字段批注、数据字典和来源记录修正后复核","")</f>
        <v/>
      </c>
      <c r="H3232" s="14">
        <f>IF(F3232&lt;&gt;"","待处理","")</f>
        <v/>
      </c>
    </row>
    <row r="3233">
      <c r="A3233" s="14">
        <f>IF(F3233&lt;&gt;"","ISSUE-"&amp;TEXT(ROW()-1,"00000"),"")</f>
        <v/>
      </c>
      <c r="B3233" s="14">
        <f>IF(F3233&lt;&gt;"","错误","")</f>
        <v/>
      </c>
      <c r="C3233" s="14">
        <f>IF('08_资产清单'!A233&lt;&gt;"","08_资产清单","")</f>
        <v/>
      </c>
      <c r="D3233" s="14">
        <f>IF('08_资产清单'!A233&lt;&gt;"",'08_资产清单'!A233,"")</f>
        <v/>
      </c>
      <c r="E3233" s="14">
        <f>IF(F3233&lt;&gt;"","综合校验","")</f>
        <v/>
      </c>
      <c r="F3233" s="14">
        <f>IF('08_资产清单'!A233&lt;&gt;"",IF('08_资产清单'!A233="","缺少资产ID；","")&amp;IF('08_资产清单'!B233="","缺少资产名称；","")&amp;IF('08_资产清单'!C233="","缺少对象ID；","")&amp;IF('08_资产清单'!D233="","缺少资产类别；","")&amp;IF('08_资产清单'!G233="","缺少文件名；","")&amp;IF(AND('08_资产清单'!C233&lt;&gt;"",COUNTIF('02_固定地理'!$A$2:$A$501,'08_资产清单'!C233)+COUNTIF('03_地点锚点'!$A$2:$A$501,'08_资产清单'!C233)+COUNTIF('04_路径网络'!$A$2:$A$501,'08_资产清单'!C233)+COUNTIF('06_建筑锚点'!$A$2:$A$501,'08_资产清单'!C233)=0),"资产引用对象不存在；","")&amp;IF(AND('08_资产清单'!E233&lt;&gt;"",COUNTIF('07_动态状态'!$A$2:$A$501,'08_资产清单'!E233)=0),"状态编码不存在；","")&amp;IF(AND('08_资产清单'!G233&lt;&gt;"",COUNTIF('08_资产清单'!$G$2:$G$501,'08_资产清单'!G233)&gt;1),"文件名重复；","")&amp;IF(AND('08_资产清单'!A233&lt;&gt;"",COUNTIF('08_资产清单'!$A$2:$A$501,'08_资产清单'!A233)&gt;1),"ID重复；",""),"")</f>
        <v/>
      </c>
      <c r="G3233" s="14">
        <f>IF(F3233&lt;&gt;"","按字段批注、数据字典和来源记录修正后复核","")</f>
        <v/>
      </c>
      <c r="H3233" s="14">
        <f>IF(F3233&lt;&gt;"","待处理","")</f>
        <v/>
      </c>
    </row>
    <row r="3234">
      <c r="A3234" s="14">
        <f>IF(F3234&lt;&gt;"","ISSUE-"&amp;TEXT(ROW()-1,"00000"),"")</f>
        <v/>
      </c>
      <c r="B3234" s="14">
        <f>IF(F3234&lt;&gt;"","错误","")</f>
        <v/>
      </c>
      <c r="C3234" s="14">
        <f>IF('08_资产清单'!A234&lt;&gt;"","08_资产清单","")</f>
        <v/>
      </c>
      <c r="D3234" s="14">
        <f>IF('08_资产清单'!A234&lt;&gt;"",'08_资产清单'!A234,"")</f>
        <v/>
      </c>
      <c r="E3234" s="14">
        <f>IF(F3234&lt;&gt;"","综合校验","")</f>
        <v/>
      </c>
      <c r="F3234" s="14">
        <f>IF('08_资产清单'!A234&lt;&gt;"",IF('08_资产清单'!A234="","缺少资产ID；","")&amp;IF('08_资产清单'!B234="","缺少资产名称；","")&amp;IF('08_资产清单'!C234="","缺少对象ID；","")&amp;IF('08_资产清单'!D234="","缺少资产类别；","")&amp;IF('08_资产清单'!G234="","缺少文件名；","")&amp;IF(AND('08_资产清单'!C234&lt;&gt;"",COUNTIF('02_固定地理'!$A$2:$A$501,'08_资产清单'!C234)+COUNTIF('03_地点锚点'!$A$2:$A$501,'08_资产清单'!C234)+COUNTIF('04_路径网络'!$A$2:$A$501,'08_资产清单'!C234)+COUNTIF('06_建筑锚点'!$A$2:$A$501,'08_资产清单'!C234)=0),"资产引用对象不存在；","")&amp;IF(AND('08_资产清单'!E234&lt;&gt;"",COUNTIF('07_动态状态'!$A$2:$A$501,'08_资产清单'!E234)=0),"状态编码不存在；","")&amp;IF(AND('08_资产清单'!G234&lt;&gt;"",COUNTIF('08_资产清单'!$G$2:$G$501,'08_资产清单'!G234)&gt;1),"文件名重复；","")&amp;IF(AND('08_资产清单'!A234&lt;&gt;"",COUNTIF('08_资产清单'!$A$2:$A$501,'08_资产清单'!A234)&gt;1),"ID重复；",""),"")</f>
        <v/>
      </c>
      <c r="G3234" s="14">
        <f>IF(F3234&lt;&gt;"","按字段批注、数据字典和来源记录修正后复核","")</f>
        <v/>
      </c>
      <c r="H3234" s="14">
        <f>IF(F3234&lt;&gt;"","待处理","")</f>
        <v/>
      </c>
    </row>
    <row r="3235">
      <c r="A3235" s="14">
        <f>IF(F3235&lt;&gt;"","ISSUE-"&amp;TEXT(ROW()-1,"00000"),"")</f>
        <v/>
      </c>
      <c r="B3235" s="14">
        <f>IF(F3235&lt;&gt;"","错误","")</f>
        <v/>
      </c>
      <c r="C3235" s="14">
        <f>IF('08_资产清单'!A235&lt;&gt;"","08_资产清单","")</f>
        <v/>
      </c>
      <c r="D3235" s="14">
        <f>IF('08_资产清单'!A235&lt;&gt;"",'08_资产清单'!A235,"")</f>
        <v/>
      </c>
      <c r="E3235" s="14">
        <f>IF(F3235&lt;&gt;"","综合校验","")</f>
        <v/>
      </c>
      <c r="F3235" s="14">
        <f>IF('08_资产清单'!A235&lt;&gt;"",IF('08_资产清单'!A235="","缺少资产ID；","")&amp;IF('08_资产清单'!B235="","缺少资产名称；","")&amp;IF('08_资产清单'!C235="","缺少对象ID；","")&amp;IF('08_资产清单'!D235="","缺少资产类别；","")&amp;IF('08_资产清单'!G235="","缺少文件名；","")&amp;IF(AND('08_资产清单'!C235&lt;&gt;"",COUNTIF('02_固定地理'!$A$2:$A$501,'08_资产清单'!C235)+COUNTIF('03_地点锚点'!$A$2:$A$501,'08_资产清单'!C235)+COUNTIF('04_路径网络'!$A$2:$A$501,'08_资产清单'!C235)+COUNTIF('06_建筑锚点'!$A$2:$A$501,'08_资产清单'!C235)=0),"资产引用对象不存在；","")&amp;IF(AND('08_资产清单'!E235&lt;&gt;"",COUNTIF('07_动态状态'!$A$2:$A$501,'08_资产清单'!E235)=0),"状态编码不存在；","")&amp;IF(AND('08_资产清单'!G235&lt;&gt;"",COUNTIF('08_资产清单'!$G$2:$G$501,'08_资产清单'!G235)&gt;1),"文件名重复；","")&amp;IF(AND('08_资产清单'!A235&lt;&gt;"",COUNTIF('08_资产清单'!$A$2:$A$501,'08_资产清单'!A235)&gt;1),"ID重复；",""),"")</f>
        <v/>
      </c>
      <c r="G3235" s="14">
        <f>IF(F3235&lt;&gt;"","按字段批注、数据字典和来源记录修正后复核","")</f>
        <v/>
      </c>
      <c r="H3235" s="14">
        <f>IF(F3235&lt;&gt;"","待处理","")</f>
        <v/>
      </c>
    </row>
    <row r="3236">
      <c r="A3236" s="14">
        <f>IF(F3236&lt;&gt;"","ISSUE-"&amp;TEXT(ROW()-1,"00000"),"")</f>
        <v/>
      </c>
      <c r="B3236" s="14">
        <f>IF(F3236&lt;&gt;"","错误","")</f>
        <v/>
      </c>
      <c r="C3236" s="14">
        <f>IF('08_资产清单'!A236&lt;&gt;"","08_资产清单","")</f>
        <v/>
      </c>
      <c r="D3236" s="14">
        <f>IF('08_资产清单'!A236&lt;&gt;"",'08_资产清单'!A236,"")</f>
        <v/>
      </c>
      <c r="E3236" s="14">
        <f>IF(F3236&lt;&gt;"","综合校验","")</f>
        <v/>
      </c>
      <c r="F3236" s="14">
        <f>IF('08_资产清单'!A236&lt;&gt;"",IF('08_资产清单'!A236="","缺少资产ID；","")&amp;IF('08_资产清单'!B236="","缺少资产名称；","")&amp;IF('08_资产清单'!C236="","缺少对象ID；","")&amp;IF('08_资产清单'!D236="","缺少资产类别；","")&amp;IF('08_资产清单'!G236="","缺少文件名；","")&amp;IF(AND('08_资产清单'!C236&lt;&gt;"",COUNTIF('02_固定地理'!$A$2:$A$501,'08_资产清单'!C236)+COUNTIF('03_地点锚点'!$A$2:$A$501,'08_资产清单'!C236)+COUNTIF('04_路径网络'!$A$2:$A$501,'08_资产清单'!C236)+COUNTIF('06_建筑锚点'!$A$2:$A$501,'08_资产清单'!C236)=0),"资产引用对象不存在；","")&amp;IF(AND('08_资产清单'!E236&lt;&gt;"",COUNTIF('07_动态状态'!$A$2:$A$501,'08_资产清单'!E236)=0),"状态编码不存在；","")&amp;IF(AND('08_资产清单'!G236&lt;&gt;"",COUNTIF('08_资产清单'!$G$2:$G$501,'08_资产清单'!G236)&gt;1),"文件名重复；","")&amp;IF(AND('08_资产清单'!A236&lt;&gt;"",COUNTIF('08_资产清单'!$A$2:$A$501,'08_资产清单'!A236)&gt;1),"ID重复；",""),"")</f>
        <v/>
      </c>
      <c r="G3236" s="14">
        <f>IF(F3236&lt;&gt;"","按字段批注、数据字典和来源记录修正后复核","")</f>
        <v/>
      </c>
      <c r="H3236" s="14">
        <f>IF(F3236&lt;&gt;"","待处理","")</f>
        <v/>
      </c>
    </row>
    <row r="3237">
      <c r="A3237" s="14">
        <f>IF(F3237&lt;&gt;"","ISSUE-"&amp;TEXT(ROW()-1,"00000"),"")</f>
        <v/>
      </c>
      <c r="B3237" s="14">
        <f>IF(F3237&lt;&gt;"","错误","")</f>
        <v/>
      </c>
      <c r="C3237" s="14">
        <f>IF('08_资产清单'!A237&lt;&gt;"","08_资产清单","")</f>
        <v/>
      </c>
      <c r="D3237" s="14">
        <f>IF('08_资产清单'!A237&lt;&gt;"",'08_资产清单'!A237,"")</f>
        <v/>
      </c>
      <c r="E3237" s="14">
        <f>IF(F3237&lt;&gt;"","综合校验","")</f>
        <v/>
      </c>
      <c r="F3237" s="14">
        <f>IF('08_资产清单'!A237&lt;&gt;"",IF('08_资产清单'!A237="","缺少资产ID；","")&amp;IF('08_资产清单'!B237="","缺少资产名称；","")&amp;IF('08_资产清单'!C237="","缺少对象ID；","")&amp;IF('08_资产清单'!D237="","缺少资产类别；","")&amp;IF('08_资产清单'!G237="","缺少文件名；","")&amp;IF(AND('08_资产清单'!C237&lt;&gt;"",COUNTIF('02_固定地理'!$A$2:$A$501,'08_资产清单'!C237)+COUNTIF('03_地点锚点'!$A$2:$A$501,'08_资产清单'!C237)+COUNTIF('04_路径网络'!$A$2:$A$501,'08_资产清单'!C237)+COUNTIF('06_建筑锚点'!$A$2:$A$501,'08_资产清单'!C237)=0),"资产引用对象不存在；","")&amp;IF(AND('08_资产清单'!E237&lt;&gt;"",COUNTIF('07_动态状态'!$A$2:$A$501,'08_资产清单'!E237)=0),"状态编码不存在；","")&amp;IF(AND('08_资产清单'!G237&lt;&gt;"",COUNTIF('08_资产清单'!$G$2:$G$501,'08_资产清单'!G237)&gt;1),"文件名重复；","")&amp;IF(AND('08_资产清单'!A237&lt;&gt;"",COUNTIF('08_资产清单'!$A$2:$A$501,'08_资产清单'!A237)&gt;1),"ID重复；",""),"")</f>
        <v/>
      </c>
      <c r="G3237" s="14">
        <f>IF(F3237&lt;&gt;"","按字段批注、数据字典和来源记录修正后复核","")</f>
        <v/>
      </c>
      <c r="H3237" s="14">
        <f>IF(F3237&lt;&gt;"","待处理","")</f>
        <v/>
      </c>
    </row>
    <row r="3238">
      <c r="A3238" s="14">
        <f>IF(F3238&lt;&gt;"","ISSUE-"&amp;TEXT(ROW()-1,"00000"),"")</f>
        <v/>
      </c>
      <c r="B3238" s="14">
        <f>IF(F3238&lt;&gt;"","错误","")</f>
        <v/>
      </c>
      <c r="C3238" s="14">
        <f>IF('08_资产清单'!A238&lt;&gt;"","08_资产清单","")</f>
        <v/>
      </c>
      <c r="D3238" s="14">
        <f>IF('08_资产清单'!A238&lt;&gt;"",'08_资产清单'!A238,"")</f>
        <v/>
      </c>
      <c r="E3238" s="14">
        <f>IF(F3238&lt;&gt;"","综合校验","")</f>
        <v/>
      </c>
      <c r="F3238" s="14">
        <f>IF('08_资产清单'!A238&lt;&gt;"",IF('08_资产清单'!A238="","缺少资产ID；","")&amp;IF('08_资产清单'!B238="","缺少资产名称；","")&amp;IF('08_资产清单'!C238="","缺少对象ID；","")&amp;IF('08_资产清单'!D238="","缺少资产类别；","")&amp;IF('08_资产清单'!G238="","缺少文件名；","")&amp;IF(AND('08_资产清单'!C238&lt;&gt;"",COUNTIF('02_固定地理'!$A$2:$A$501,'08_资产清单'!C238)+COUNTIF('03_地点锚点'!$A$2:$A$501,'08_资产清单'!C238)+COUNTIF('04_路径网络'!$A$2:$A$501,'08_资产清单'!C238)+COUNTIF('06_建筑锚点'!$A$2:$A$501,'08_资产清单'!C238)=0),"资产引用对象不存在；","")&amp;IF(AND('08_资产清单'!E238&lt;&gt;"",COUNTIF('07_动态状态'!$A$2:$A$501,'08_资产清单'!E238)=0),"状态编码不存在；","")&amp;IF(AND('08_资产清单'!G238&lt;&gt;"",COUNTIF('08_资产清单'!$G$2:$G$501,'08_资产清单'!G238)&gt;1),"文件名重复；","")&amp;IF(AND('08_资产清单'!A238&lt;&gt;"",COUNTIF('08_资产清单'!$A$2:$A$501,'08_资产清单'!A238)&gt;1),"ID重复；",""),"")</f>
        <v/>
      </c>
      <c r="G3238" s="14">
        <f>IF(F3238&lt;&gt;"","按字段批注、数据字典和来源记录修正后复核","")</f>
        <v/>
      </c>
      <c r="H3238" s="14">
        <f>IF(F3238&lt;&gt;"","待处理","")</f>
        <v/>
      </c>
    </row>
    <row r="3239">
      <c r="A3239" s="14">
        <f>IF(F3239&lt;&gt;"","ISSUE-"&amp;TEXT(ROW()-1,"00000"),"")</f>
        <v/>
      </c>
      <c r="B3239" s="14">
        <f>IF(F3239&lt;&gt;"","错误","")</f>
        <v/>
      </c>
      <c r="C3239" s="14">
        <f>IF('08_资产清单'!A239&lt;&gt;"","08_资产清单","")</f>
        <v/>
      </c>
      <c r="D3239" s="14">
        <f>IF('08_资产清单'!A239&lt;&gt;"",'08_资产清单'!A239,"")</f>
        <v/>
      </c>
      <c r="E3239" s="14">
        <f>IF(F3239&lt;&gt;"","综合校验","")</f>
        <v/>
      </c>
      <c r="F3239" s="14">
        <f>IF('08_资产清单'!A239&lt;&gt;"",IF('08_资产清单'!A239="","缺少资产ID；","")&amp;IF('08_资产清单'!B239="","缺少资产名称；","")&amp;IF('08_资产清单'!C239="","缺少对象ID；","")&amp;IF('08_资产清单'!D239="","缺少资产类别；","")&amp;IF('08_资产清单'!G239="","缺少文件名；","")&amp;IF(AND('08_资产清单'!C239&lt;&gt;"",COUNTIF('02_固定地理'!$A$2:$A$501,'08_资产清单'!C239)+COUNTIF('03_地点锚点'!$A$2:$A$501,'08_资产清单'!C239)+COUNTIF('04_路径网络'!$A$2:$A$501,'08_资产清单'!C239)+COUNTIF('06_建筑锚点'!$A$2:$A$501,'08_资产清单'!C239)=0),"资产引用对象不存在；","")&amp;IF(AND('08_资产清单'!E239&lt;&gt;"",COUNTIF('07_动态状态'!$A$2:$A$501,'08_资产清单'!E239)=0),"状态编码不存在；","")&amp;IF(AND('08_资产清单'!G239&lt;&gt;"",COUNTIF('08_资产清单'!$G$2:$G$501,'08_资产清单'!G239)&gt;1),"文件名重复；","")&amp;IF(AND('08_资产清单'!A239&lt;&gt;"",COUNTIF('08_资产清单'!$A$2:$A$501,'08_资产清单'!A239)&gt;1),"ID重复；",""),"")</f>
        <v/>
      </c>
      <c r="G3239" s="14">
        <f>IF(F3239&lt;&gt;"","按字段批注、数据字典和来源记录修正后复核","")</f>
        <v/>
      </c>
      <c r="H3239" s="14">
        <f>IF(F3239&lt;&gt;"","待处理","")</f>
        <v/>
      </c>
    </row>
    <row r="3240">
      <c r="A3240" s="14">
        <f>IF(F3240&lt;&gt;"","ISSUE-"&amp;TEXT(ROW()-1,"00000"),"")</f>
        <v/>
      </c>
      <c r="B3240" s="14">
        <f>IF(F3240&lt;&gt;"","错误","")</f>
        <v/>
      </c>
      <c r="C3240" s="14">
        <f>IF('08_资产清单'!A240&lt;&gt;"","08_资产清单","")</f>
        <v/>
      </c>
      <c r="D3240" s="14">
        <f>IF('08_资产清单'!A240&lt;&gt;"",'08_资产清单'!A240,"")</f>
        <v/>
      </c>
      <c r="E3240" s="14">
        <f>IF(F3240&lt;&gt;"","综合校验","")</f>
        <v/>
      </c>
      <c r="F3240" s="14">
        <f>IF('08_资产清单'!A240&lt;&gt;"",IF('08_资产清单'!A240="","缺少资产ID；","")&amp;IF('08_资产清单'!B240="","缺少资产名称；","")&amp;IF('08_资产清单'!C240="","缺少对象ID；","")&amp;IF('08_资产清单'!D240="","缺少资产类别；","")&amp;IF('08_资产清单'!G240="","缺少文件名；","")&amp;IF(AND('08_资产清单'!C240&lt;&gt;"",COUNTIF('02_固定地理'!$A$2:$A$501,'08_资产清单'!C240)+COUNTIF('03_地点锚点'!$A$2:$A$501,'08_资产清单'!C240)+COUNTIF('04_路径网络'!$A$2:$A$501,'08_资产清单'!C240)+COUNTIF('06_建筑锚点'!$A$2:$A$501,'08_资产清单'!C240)=0),"资产引用对象不存在；","")&amp;IF(AND('08_资产清单'!E240&lt;&gt;"",COUNTIF('07_动态状态'!$A$2:$A$501,'08_资产清单'!E240)=0),"状态编码不存在；","")&amp;IF(AND('08_资产清单'!G240&lt;&gt;"",COUNTIF('08_资产清单'!$G$2:$G$501,'08_资产清单'!G240)&gt;1),"文件名重复；","")&amp;IF(AND('08_资产清单'!A240&lt;&gt;"",COUNTIF('08_资产清单'!$A$2:$A$501,'08_资产清单'!A240)&gt;1),"ID重复；",""),"")</f>
        <v/>
      </c>
      <c r="G3240" s="14">
        <f>IF(F3240&lt;&gt;"","按字段批注、数据字典和来源记录修正后复核","")</f>
        <v/>
      </c>
      <c r="H3240" s="14">
        <f>IF(F3240&lt;&gt;"","待处理","")</f>
        <v/>
      </c>
    </row>
    <row r="3241">
      <c r="A3241" s="14">
        <f>IF(F3241&lt;&gt;"","ISSUE-"&amp;TEXT(ROW()-1,"00000"),"")</f>
        <v/>
      </c>
      <c r="B3241" s="14">
        <f>IF(F3241&lt;&gt;"","错误","")</f>
        <v/>
      </c>
      <c r="C3241" s="14">
        <f>IF('08_资产清单'!A241&lt;&gt;"","08_资产清单","")</f>
        <v/>
      </c>
      <c r="D3241" s="14">
        <f>IF('08_资产清单'!A241&lt;&gt;"",'08_资产清单'!A241,"")</f>
        <v/>
      </c>
      <c r="E3241" s="14">
        <f>IF(F3241&lt;&gt;"","综合校验","")</f>
        <v/>
      </c>
      <c r="F3241" s="14">
        <f>IF('08_资产清单'!A241&lt;&gt;"",IF('08_资产清单'!A241="","缺少资产ID；","")&amp;IF('08_资产清单'!B241="","缺少资产名称；","")&amp;IF('08_资产清单'!C241="","缺少对象ID；","")&amp;IF('08_资产清单'!D241="","缺少资产类别；","")&amp;IF('08_资产清单'!G241="","缺少文件名；","")&amp;IF(AND('08_资产清单'!C241&lt;&gt;"",COUNTIF('02_固定地理'!$A$2:$A$501,'08_资产清单'!C241)+COUNTIF('03_地点锚点'!$A$2:$A$501,'08_资产清单'!C241)+COUNTIF('04_路径网络'!$A$2:$A$501,'08_资产清单'!C241)+COUNTIF('06_建筑锚点'!$A$2:$A$501,'08_资产清单'!C241)=0),"资产引用对象不存在；","")&amp;IF(AND('08_资产清单'!E241&lt;&gt;"",COUNTIF('07_动态状态'!$A$2:$A$501,'08_资产清单'!E241)=0),"状态编码不存在；","")&amp;IF(AND('08_资产清单'!G241&lt;&gt;"",COUNTIF('08_资产清单'!$G$2:$G$501,'08_资产清单'!G241)&gt;1),"文件名重复；","")&amp;IF(AND('08_资产清单'!A241&lt;&gt;"",COUNTIF('08_资产清单'!$A$2:$A$501,'08_资产清单'!A241)&gt;1),"ID重复；",""),"")</f>
        <v/>
      </c>
      <c r="G3241" s="14">
        <f>IF(F3241&lt;&gt;"","按字段批注、数据字典和来源记录修正后复核","")</f>
        <v/>
      </c>
      <c r="H3241" s="14">
        <f>IF(F3241&lt;&gt;"","待处理","")</f>
        <v/>
      </c>
    </row>
    <row r="3242">
      <c r="A3242" s="14">
        <f>IF(F3242&lt;&gt;"","ISSUE-"&amp;TEXT(ROW()-1,"00000"),"")</f>
        <v/>
      </c>
      <c r="B3242" s="14">
        <f>IF(F3242&lt;&gt;"","错误","")</f>
        <v/>
      </c>
      <c r="C3242" s="14">
        <f>IF('08_资产清单'!A242&lt;&gt;"","08_资产清单","")</f>
        <v/>
      </c>
      <c r="D3242" s="14">
        <f>IF('08_资产清单'!A242&lt;&gt;"",'08_资产清单'!A242,"")</f>
        <v/>
      </c>
      <c r="E3242" s="14">
        <f>IF(F3242&lt;&gt;"","综合校验","")</f>
        <v/>
      </c>
      <c r="F3242" s="14">
        <f>IF('08_资产清单'!A242&lt;&gt;"",IF('08_资产清单'!A242="","缺少资产ID；","")&amp;IF('08_资产清单'!B242="","缺少资产名称；","")&amp;IF('08_资产清单'!C242="","缺少对象ID；","")&amp;IF('08_资产清单'!D242="","缺少资产类别；","")&amp;IF('08_资产清单'!G242="","缺少文件名；","")&amp;IF(AND('08_资产清单'!C242&lt;&gt;"",COUNTIF('02_固定地理'!$A$2:$A$501,'08_资产清单'!C242)+COUNTIF('03_地点锚点'!$A$2:$A$501,'08_资产清单'!C242)+COUNTIF('04_路径网络'!$A$2:$A$501,'08_资产清单'!C242)+COUNTIF('06_建筑锚点'!$A$2:$A$501,'08_资产清单'!C242)=0),"资产引用对象不存在；","")&amp;IF(AND('08_资产清单'!E242&lt;&gt;"",COUNTIF('07_动态状态'!$A$2:$A$501,'08_资产清单'!E242)=0),"状态编码不存在；","")&amp;IF(AND('08_资产清单'!G242&lt;&gt;"",COUNTIF('08_资产清单'!$G$2:$G$501,'08_资产清单'!G242)&gt;1),"文件名重复；","")&amp;IF(AND('08_资产清单'!A242&lt;&gt;"",COUNTIF('08_资产清单'!$A$2:$A$501,'08_资产清单'!A242)&gt;1),"ID重复；",""),"")</f>
        <v/>
      </c>
      <c r="G3242" s="14">
        <f>IF(F3242&lt;&gt;"","按字段批注、数据字典和来源记录修正后复核","")</f>
        <v/>
      </c>
      <c r="H3242" s="14">
        <f>IF(F3242&lt;&gt;"","待处理","")</f>
        <v/>
      </c>
    </row>
    <row r="3243">
      <c r="A3243" s="14">
        <f>IF(F3243&lt;&gt;"","ISSUE-"&amp;TEXT(ROW()-1,"00000"),"")</f>
        <v/>
      </c>
      <c r="B3243" s="14">
        <f>IF(F3243&lt;&gt;"","错误","")</f>
        <v/>
      </c>
      <c r="C3243" s="14">
        <f>IF('08_资产清单'!A243&lt;&gt;"","08_资产清单","")</f>
        <v/>
      </c>
      <c r="D3243" s="14">
        <f>IF('08_资产清单'!A243&lt;&gt;"",'08_资产清单'!A243,"")</f>
        <v/>
      </c>
      <c r="E3243" s="14">
        <f>IF(F3243&lt;&gt;"","综合校验","")</f>
        <v/>
      </c>
      <c r="F3243" s="14">
        <f>IF('08_资产清单'!A243&lt;&gt;"",IF('08_资产清单'!A243="","缺少资产ID；","")&amp;IF('08_资产清单'!B243="","缺少资产名称；","")&amp;IF('08_资产清单'!C243="","缺少对象ID；","")&amp;IF('08_资产清单'!D243="","缺少资产类别；","")&amp;IF('08_资产清单'!G243="","缺少文件名；","")&amp;IF(AND('08_资产清单'!C243&lt;&gt;"",COUNTIF('02_固定地理'!$A$2:$A$501,'08_资产清单'!C243)+COUNTIF('03_地点锚点'!$A$2:$A$501,'08_资产清单'!C243)+COUNTIF('04_路径网络'!$A$2:$A$501,'08_资产清单'!C243)+COUNTIF('06_建筑锚点'!$A$2:$A$501,'08_资产清单'!C243)=0),"资产引用对象不存在；","")&amp;IF(AND('08_资产清单'!E243&lt;&gt;"",COUNTIF('07_动态状态'!$A$2:$A$501,'08_资产清单'!E243)=0),"状态编码不存在；","")&amp;IF(AND('08_资产清单'!G243&lt;&gt;"",COUNTIF('08_资产清单'!$G$2:$G$501,'08_资产清单'!G243)&gt;1),"文件名重复；","")&amp;IF(AND('08_资产清单'!A243&lt;&gt;"",COUNTIF('08_资产清单'!$A$2:$A$501,'08_资产清单'!A243)&gt;1),"ID重复；",""),"")</f>
        <v/>
      </c>
      <c r="G3243" s="14">
        <f>IF(F3243&lt;&gt;"","按字段批注、数据字典和来源记录修正后复核","")</f>
        <v/>
      </c>
      <c r="H3243" s="14">
        <f>IF(F3243&lt;&gt;"","待处理","")</f>
        <v/>
      </c>
    </row>
    <row r="3244">
      <c r="A3244" s="14">
        <f>IF(F3244&lt;&gt;"","ISSUE-"&amp;TEXT(ROW()-1,"00000"),"")</f>
        <v/>
      </c>
      <c r="B3244" s="14">
        <f>IF(F3244&lt;&gt;"","错误","")</f>
        <v/>
      </c>
      <c r="C3244" s="14">
        <f>IF('08_资产清单'!A244&lt;&gt;"","08_资产清单","")</f>
        <v/>
      </c>
      <c r="D3244" s="14">
        <f>IF('08_资产清单'!A244&lt;&gt;"",'08_资产清单'!A244,"")</f>
        <v/>
      </c>
      <c r="E3244" s="14">
        <f>IF(F3244&lt;&gt;"","综合校验","")</f>
        <v/>
      </c>
      <c r="F3244" s="14">
        <f>IF('08_资产清单'!A244&lt;&gt;"",IF('08_资产清单'!A244="","缺少资产ID；","")&amp;IF('08_资产清单'!B244="","缺少资产名称；","")&amp;IF('08_资产清单'!C244="","缺少对象ID；","")&amp;IF('08_资产清单'!D244="","缺少资产类别；","")&amp;IF('08_资产清单'!G244="","缺少文件名；","")&amp;IF(AND('08_资产清单'!C244&lt;&gt;"",COUNTIF('02_固定地理'!$A$2:$A$501,'08_资产清单'!C244)+COUNTIF('03_地点锚点'!$A$2:$A$501,'08_资产清单'!C244)+COUNTIF('04_路径网络'!$A$2:$A$501,'08_资产清单'!C244)+COUNTIF('06_建筑锚点'!$A$2:$A$501,'08_资产清单'!C244)=0),"资产引用对象不存在；","")&amp;IF(AND('08_资产清单'!E244&lt;&gt;"",COUNTIF('07_动态状态'!$A$2:$A$501,'08_资产清单'!E244)=0),"状态编码不存在；","")&amp;IF(AND('08_资产清单'!G244&lt;&gt;"",COUNTIF('08_资产清单'!$G$2:$G$501,'08_资产清单'!G244)&gt;1),"文件名重复；","")&amp;IF(AND('08_资产清单'!A244&lt;&gt;"",COUNTIF('08_资产清单'!$A$2:$A$501,'08_资产清单'!A244)&gt;1),"ID重复；",""),"")</f>
        <v/>
      </c>
      <c r="G3244" s="14">
        <f>IF(F3244&lt;&gt;"","按字段批注、数据字典和来源记录修正后复核","")</f>
        <v/>
      </c>
      <c r="H3244" s="14">
        <f>IF(F3244&lt;&gt;"","待处理","")</f>
        <v/>
      </c>
    </row>
    <row r="3245">
      <c r="A3245" s="14">
        <f>IF(F3245&lt;&gt;"","ISSUE-"&amp;TEXT(ROW()-1,"00000"),"")</f>
        <v/>
      </c>
      <c r="B3245" s="14">
        <f>IF(F3245&lt;&gt;"","错误","")</f>
        <v/>
      </c>
      <c r="C3245" s="14">
        <f>IF('08_资产清单'!A245&lt;&gt;"","08_资产清单","")</f>
        <v/>
      </c>
      <c r="D3245" s="14">
        <f>IF('08_资产清单'!A245&lt;&gt;"",'08_资产清单'!A245,"")</f>
        <v/>
      </c>
      <c r="E3245" s="14">
        <f>IF(F3245&lt;&gt;"","综合校验","")</f>
        <v/>
      </c>
      <c r="F3245" s="14">
        <f>IF('08_资产清单'!A245&lt;&gt;"",IF('08_资产清单'!A245="","缺少资产ID；","")&amp;IF('08_资产清单'!B245="","缺少资产名称；","")&amp;IF('08_资产清单'!C245="","缺少对象ID；","")&amp;IF('08_资产清单'!D245="","缺少资产类别；","")&amp;IF('08_资产清单'!G245="","缺少文件名；","")&amp;IF(AND('08_资产清单'!C245&lt;&gt;"",COUNTIF('02_固定地理'!$A$2:$A$501,'08_资产清单'!C245)+COUNTIF('03_地点锚点'!$A$2:$A$501,'08_资产清单'!C245)+COUNTIF('04_路径网络'!$A$2:$A$501,'08_资产清单'!C245)+COUNTIF('06_建筑锚点'!$A$2:$A$501,'08_资产清单'!C245)=0),"资产引用对象不存在；","")&amp;IF(AND('08_资产清单'!E245&lt;&gt;"",COUNTIF('07_动态状态'!$A$2:$A$501,'08_资产清单'!E245)=0),"状态编码不存在；","")&amp;IF(AND('08_资产清单'!G245&lt;&gt;"",COUNTIF('08_资产清单'!$G$2:$G$501,'08_资产清单'!G245)&gt;1),"文件名重复；","")&amp;IF(AND('08_资产清单'!A245&lt;&gt;"",COUNTIF('08_资产清单'!$A$2:$A$501,'08_资产清单'!A245)&gt;1),"ID重复；",""),"")</f>
        <v/>
      </c>
      <c r="G3245" s="14">
        <f>IF(F3245&lt;&gt;"","按字段批注、数据字典和来源记录修正后复核","")</f>
        <v/>
      </c>
      <c r="H3245" s="14">
        <f>IF(F3245&lt;&gt;"","待处理","")</f>
        <v/>
      </c>
    </row>
    <row r="3246">
      <c r="A3246" s="14">
        <f>IF(F3246&lt;&gt;"","ISSUE-"&amp;TEXT(ROW()-1,"00000"),"")</f>
        <v/>
      </c>
      <c r="B3246" s="14">
        <f>IF(F3246&lt;&gt;"","错误","")</f>
        <v/>
      </c>
      <c r="C3246" s="14">
        <f>IF('08_资产清单'!A246&lt;&gt;"","08_资产清单","")</f>
        <v/>
      </c>
      <c r="D3246" s="14">
        <f>IF('08_资产清单'!A246&lt;&gt;"",'08_资产清单'!A246,"")</f>
        <v/>
      </c>
      <c r="E3246" s="14">
        <f>IF(F3246&lt;&gt;"","综合校验","")</f>
        <v/>
      </c>
      <c r="F3246" s="14">
        <f>IF('08_资产清单'!A246&lt;&gt;"",IF('08_资产清单'!A246="","缺少资产ID；","")&amp;IF('08_资产清单'!B246="","缺少资产名称；","")&amp;IF('08_资产清单'!C246="","缺少对象ID；","")&amp;IF('08_资产清单'!D246="","缺少资产类别；","")&amp;IF('08_资产清单'!G246="","缺少文件名；","")&amp;IF(AND('08_资产清单'!C246&lt;&gt;"",COUNTIF('02_固定地理'!$A$2:$A$501,'08_资产清单'!C246)+COUNTIF('03_地点锚点'!$A$2:$A$501,'08_资产清单'!C246)+COUNTIF('04_路径网络'!$A$2:$A$501,'08_资产清单'!C246)+COUNTIF('06_建筑锚点'!$A$2:$A$501,'08_资产清单'!C246)=0),"资产引用对象不存在；","")&amp;IF(AND('08_资产清单'!E246&lt;&gt;"",COUNTIF('07_动态状态'!$A$2:$A$501,'08_资产清单'!E246)=0),"状态编码不存在；","")&amp;IF(AND('08_资产清单'!G246&lt;&gt;"",COUNTIF('08_资产清单'!$G$2:$G$501,'08_资产清单'!G246)&gt;1),"文件名重复；","")&amp;IF(AND('08_资产清单'!A246&lt;&gt;"",COUNTIF('08_资产清单'!$A$2:$A$501,'08_资产清单'!A246)&gt;1),"ID重复；",""),"")</f>
        <v/>
      </c>
      <c r="G3246" s="14">
        <f>IF(F3246&lt;&gt;"","按字段批注、数据字典和来源记录修正后复核","")</f>
        <v/>
      </c>
      <c r="H3246" s="14">
        <f>IF(F3246&lt;&gt;"","待处理","")</f>
        <v/>
      </c>
    </row>
    <row r="3247">
      <c r="A3247" s="14">
        <f>IF(F3247&lt;&gt;"","ISSUE-"&amp;TEXT(ROW()-1,"00000"),"")</f>
        <v/>
      </c>
      <c r="B3247" s="14">
        <f>IF(F3247&lt;&gt;"","错误","")</f>
        <v/>
      </c>
      <c r="C3247" s="14">
        <f>IF('08_资产清单'!A247&lt;&gt;"","08_资产清单","")</f>
        <v/>
      </c>
      <c r="D3247" s="14">
        <f>IF('08_资产清单'!A247&lt;&gt;"",'08_资产清单'!A247,"")</f>
        <v/>
      </c>
      <c r="E3247" s="14">
        <f>IF(F3247&lt;&gt;"","综合校验","")</f>
        <v/>
      </c>
      <c r="F3247" s="14">
        <f>IF('08_资产清单'!A247&lt;&gt;"",IF('08_资产清单'!A247="","缺少资产ID；","")&amp;IF('08_资产清单'!B247="","缺少资产名称；","")&amp;IF('08_资产清单'!C247="","缺少对象ID；","")&amp;IF('08_资产清单'!D247="","缺少资产类别；","")&amp;IF('08_资产清单'!G247="","缺少文件名；","")&amp;IF(AND('08_资产清单'!C247&lt;&gt;"",COUNTIF('02_固定地理'!$A$2:$A$501,'08_资产清单'!C247)+COUNTIF('03_地点锚点'!$A$2:$A$501,'08_资产清单'!C247)+COUNTIF('04_路径网络'!$A$2:$A$501,'08_资产清单'!C247)+COUNTIF('06_建筑锚点'!$A$2:$A$501,'08_资产清单'!C247)=0),"资产引用对象不存在；","")&amp;IF(AND('08_资产清单'!E247&lt;&gt;"",COUNTIF('07_动态状态'!$A$2:$A$501,'08_资产清单'!E247)=0),"状态编码不存在；","")&amp;IF(AND('08_资产清单'!G247&lt;&gt;"",COUNTIF('08_资产清单'!$G$2:$G$501,'08_资产清单'!G247)&gt;1),"文件名重复；","")&amp;IF(AND('08_资产清单'!A247&lt;&gt;"",COUNTIF('08_资产清单'!$A$2:$A$501,'08_资产清单'!A247)&gt;1),"ID重复；",""),"")</f>
        <v/>
      </c>
      <c r="G3247" s="14">
        <f>IF(F3247&lt;&gt;"","按字段批注、数据字典和来源记录修正后复核","")</f>
        <v/>
      </c>
      <c r="H3247" s="14">
        <f>IF(F3247&lt;&gt;"","待处理","")</f>
        <v/>
      </c>
    </row>
    <row r="3248">
      <c r="A3248" s="14">
        <f>IF(F3248&lt;&gt;"","ISSUE-"&amp;TEXT(ROW()-1,"00000"),"")</f>
        <v/>
      </c>
      <c r="B3248" s="14">
        <f>IF(F3248&lt;&gt;"","错误","")</f>
        <v/>
      </c>
      <c r="C3248" s="14">
        <f>IF('08_资产清单'!A248&lt;&gt;"","08_资产清单","")</f>
        <v/>
      </c>
      <c r="D3248" s="14">
        <f>IF('08_资产清单'!A248&lt;&gt;"",'08_资产清单'!A248,"")</f>
        <v/>
      </c>
      <c r="E3248" s="14">
        <f>IF(F3248&lt;&gt;"","综合校验","")</f>
        <v/>
      </c>
      <c r="F3248" s="14">
        <f>IF('08_资产清单'!A248&lt;&gt;"",IF('08_资产清单'!A248="","缺少资产ID；","")&amp;IF('08_资产清单'!B248="","缺少资产名称；","")&amp;IF('08_资产清单'!C248="","缺少对象ID；","")&amp;IF('08_资产清单'!D248="","缺少资产类别；","")&amp;IF('08_资产清单'!G248="","缺少文件名；","")&amp;IF(AND('08_资产清单'!C248&lt;&gt;"",COUNTIF('02_固定地理'!$A$2:$A$501,'08_资产清单'!C248)+COUNTIF('03_地点锚点'!$A$2:$A$501,'08_资产清单'!C248)+COUNTIF('04_路径网络'!$A$2:$A$501,'08_资产清单'!C248)+COUNTIF('06_建筑锚点'!$A$2:$A$501,'08_资产清单'!C248)=0),"资产引用对象不存在；","")&amp;IF(AND('08_资产清单'!E248&lt;&gt;"",COUNTIF('07_动态状态'!$A$2:$A$501,'08_资产清单'!E248)=0),"状态编码不存在；","")&amp;IF(AND('08_资产清单'!G248&lt;&gt;"",COUNTIF('08_资产清单'!$G$2:$G$501,'08_资产清单'!G248)&gt;1),"文件名重复；","")&amp;IF(AND('08_资产清单'!A248&lt;&gt;"",COUNTIF('08_资产清单'!$A$2:$A$501,'08_资产清单'!A248)&gt;1),"ID重复；",""),"")</f>
        <v/>
      </c>
      <c r="G3248" s="14">
        <f>IF(F3248&lt;&gt;"","按字段批注、数据字典和来源记录修正后复核","")</f>
        <v/>
      </c>
      <c r="H3248" s="14">
        <f>IF(F3248&lt;&gt;"","待处理","")</f>
        <v/>
      </c>
    </row>
    <row r="3249">
      <c r="A3249" s="14">
        <f>IF(F3249&lt;&gt;"","ISSUE-"&amp;TEXT(ROW()-1,"00000"),"")</f>
        <v/>
      </c>
      <c r="B3249" s="14">
        <f>IF(F3249&lt;&gt;"","错误","")</f>
        <v/>
      </c>
      <c r="C3249" s="14">
        <f>IF('08_资产清单'!A249&lt;&gt;"","08_资产清单","")</f>
        <v/>
      </c>
      <c r="D3249" s="14">
        <f>IF('08_资产清单'!A249&lt;&gt;"",'08_资产清单'!A249,"")</f>
        <v/>
      </c>
      <c r="E3249" s="14">
        <f>IF(F3249&lt;&gt;"","综合校验","")</f>
        <v/>
      </c>
      <c r="F3249" s="14">
        <f>IF('08_资产清单'!A249&lt;&gt;"",IF('08_资产清单'!A249="","缺少资产ID；","")&amp;IF('08_资产清单'!B249="","缺少资产名称；","")&amp;IF('08_资产清单'!C249="","缺少对象ID；","")&amp;IF('08_资产清单'!D249="","缺少资产类别；","")&amp;IF('08_资产清单'!G249="","缺少文件名；","")&amp;IF(AND('08_资产清单'!C249&lt;&gt;"",COUNTIF('02_固定地理'!$A$2:$A$501,'08_资产清单'!C249)+COUNTIF('03_地点锚点'!$A$2:$A$501,'08_资产清单'!C249)+COUNTIF('04_路径网络'!$A$2:$A$501,'08_资产清单'!C249)+COUNTIF('06_建筑锚点'!$A$2:$A$501,'08_资产清单'!C249)=0),"资产引用对象不存在；","")&amp;IF(AND('08_资产清单'!E249&lt;&gt;"",COUNTIF('07_动态状态'!$A$2:$A$501,'08_资产清单'!E249)=0),"状态编码不存在；","")&amp;IF(AND('08_资产清单'!G249&lt;&gt;"",COUNTIF('08_资产清单'!$G$2:$G$501,'08_资产清单'!G249)&gt;1),"文件名重复；","")&amp;IF(AND('08_资产清单'!A249&lt;&gt;"",COUNTIF('08_资产清单'!$A$2:$A$501,'08_资产清单'!A249)&gt;1),"ID重复；",""),"")</f>
        <v/>
      </c>
      <c r="G3249" s="14">
        <f>IF(F3249&lt;&gt;"","按字段批注、数据字典和来源记录修正后复核","")</f>
        <v/>
      </c>
      <c r="H3249" s="14">
        <f>IF(F3249&lt;&gt;"","待处理","")</f>
        <v/>
      </c>
    </row>
    <row r="3250">
      <c r="A3250" s="14">
        <f>IF(F3250&lt;&gt;"","ISSUE-"&amp;TEXT(ROW()-1,"00000"),"")</f>
        <v/>
      </c>
      <c r="B3250" s="14">
        <f>IF(F3250&lt;&gt;"","错误","")</f>
        <v/>
      </c>
      <c r="C3250" s="14">
        <f>IF('08_资产清单'!A250&lt;&gt;"","08_资产清单","")</f>
        <v/>
      </c>
      <c r="D3250" s="14">
        <f>IF('08_资产清单'!A250&lt;&gt;"",'08_资产清单'!A250,"")</f>
        <v/>
      </c>
      <c r="E3250" s="14">
        <f>IF(F3250&lt;&gt;"","综合校验","")</f>
        <v/>
      </c>
      <c r="F3250" s="14">
        <f>IF('08_资产清单'!A250&lt;&gt;"",IF('08_资产清单'!A250="","缺少资产ID；","")&amp;IF('08_资产清单'!B250="","缺少资产名称；","")&amp;IF('08_资产清单'!C250="","缺少对象ID；","")&amp;IF('08_资产清单'!D250="","缺少资产类别；","")&amp;IF('08_资产清单'!G250="","缺少文件名；","")&amp;IF(AND('08_资产清单'!C250&lt;&gt;"",COUNTIF('02_固定地理'!$A$2:$A$501,'08_资产清单'!C250)+COUNTIF('03_地点锚点'!$A$2:$A$501,'08_资产清单'!C250)+COUNTIF('04_路径网络'!$A$2:$A$501,'08_资产清单'!C250)+COUNTIF('06_建筑锚点'!$A$2:$A$501,'08_资产清单'!C250)=0),"资产引用对象不存在；","")&amp;IF(AND('08_资产清单'!E250&lt;&gt;"",COUNTIF('07_动态状态'!$A$2:$A$501,'08_资产清单'!E250)=0),"状态编码不存在；","")&amp;IF(AND('08_资产清单'!G250&lt;&gt;"",COUNTIF('08_资产清单'!$G$2:$G$501,'08_资产清单'!G250)&gt;1),"文件名重复；","")&amp;IF(AND('08_资产清单'!A250&lt;&gt;"",COUNTIF('08_资产清单'!$A$2:$A$501,'08_资产清单'!A250)&gt;1),"ID重复；",""),"")</f>
        <v/>
      </c>
      <c r="G3250" s="14">
        <f>IF(F3250&lt;&gt;"","按字段批注、数据字典和来源记录修正后复核","")</f>
        <v/>
      </c>
      <c r="H3250" s="14">
        <f>IF(F3250&lt;&gt;"","待处理","")</f>
        <v/>
      </c>
    </row>
    <row r="3251">
      <c r="A3251" s="14">
        <f>IF(F3251&lt;&gt;"","ISSUE-"&amp;TEXT(ROW()-1,"00000"),"")</f>
        <v/>
      </c>
      <c r="B3251" s="14">
        <f>IF(F3251&lt;&gt;"","错误","")</f>
        <v/>
      </c>
      <c r="C3251" s="14">
        <f>IF('08_资产清单'!A251&lt;&gt;"","08_资产清单","")</f>
        <v/>
      </c>
      <c r="D3251" s="14">
        <f>IF('08_资产清单'!A251&lt;&gt;"",'08_资产清单'!A251,"")</f>
        <v/>
      </c>
      <c r="E3251" s="14">
        <f>IF(F3251&lt;&gt;"","综合校验","")</f>
        <v/>
      </c>
      <c r="F3251" s="14">
        <f>IF('08_资产清单'!A251&lt;&gt;"",IF('08_资产清单'!A251="","缺少资产ID；","")&amp;IF('08_资产清单'!B251="","缺少资产名称；","")&amp;IF('08_资产清单'!C251="","缺少对象ID；","")&amp;IF('08_资产清单'!D251="","缺少资产类别；","")&amp;IF('08_资产清单'!G251="","缺少文件名；","")&amp;IF(AND('08_资产清单'!C251&lt;&gt;"",COUNTIF('02_固定地理'!$A$2:$A$501,'08_资产清单'!C251)+COUNTIF('03_地点锚点'!$A$2:$A$501,'08_资产清单'!C251)+COUNTIF('04_路径网络'!$A$2:$A$501,'08_资产清单'!C251)+COUNTIF('06_建筑锚点'!$A$2:$A$501,'08_资产清单'!C251)=0),"资产引用对象不存在；","")&amp;IF(AND('08_资产清单'!E251&lt;&gt;"",COUNTIF('07_动态状态'!$A$2:$A$501,'08_资产清单'!E251)=0),"状态编码不存在；","")&amp;IF(AND('08_资产清单'!G251&lt;&gt;"",COUNTIF('08_资产清单'!$G$2:$G$501,'08_资产清单'!G251)&gt;1),"文件名重复；","")&amp;IF(AND('08_资产清单'!A251&lt;&gt;"",COUNTIF('08_资产清单'!$A$2:$A$501,'08_资产清单'!A251)&gt;1),"ID重复；",""),"")</f>
        <v/>
      </c>
      <c r="G3251" s="14">
        <f>IF(F3251&lt;&gt;"","按字段批注、数据字典和来源记录修正后复核","")</f>
        <v/>
      </c>
      <c r="H3251" s="14">
        <f>IF(F3251&lt;&gt;"","待处理","")</f>
        <v/>
      </c>
    </row>
    <row r="3252">
      <c r="A3252" s="14">
        <f>IF(F3252&lt;&gt;"","ISSUE-"&amp;TEXT(ROW()-1,"00000"),"")</f>
        <v/>
      </c>
      <c r="B3252" s="14">
        <f>IF(F3252&lt;&gt;"","错误","")</f>
        <v/>
      </c>
      <c r="C3252" s="14">
        <f>IF('08_资产清单'!A252&lt;&gt;"","08_资产清单","")</f>
        <v/>
      </c>
      <c r="D3252" s="14">
        <f>IF('08_资产清单'!A252&lt;&gt;"",'08_资产清单'!A252,"")</f>
        <v/>
      </c>
      <c r="E3252" s="14">
        <f>IF(F3252&lt;&gt;"","综合校验","")</f>
        <v/>
      </c>
      <c r="F3252" s="14">
        <f>IF('08_资产清单'!A252&lt;&gt;"",IF('08_资产清单'!A252="","缺少资产ID；","")&amp;IF('08_资产清单'!B252="","缺少资产名称；","")&amp;IF('08_资产清单'!C252="","缺少对象ID；","")&amp;IF('08_资产清单'!D252="","缺少资产类别；","")&amp;IF('08_资产清单'!G252="","缺少文件名；","")&amp;IF(AND('08_资产清单'!C252&lt;&gt;"",COUNTIF('02_固定地理'!$A$2:$A$501,'08_资产清单'!C252)+COUNTIF('03_地点锚点'!$A$2:$A$501,'08_资产清单'!C252)+COUNTIF('04_路径网络'!$A$2:$A$501,'08_资产清单'!C252)+COUNTIF('06_建筑锚点'!$A$2:$A$501,'08_资产清单'!C252)=0),"资产引用对象不存在；","")&amp;IF(AND('08_资产清单'!E252&lt;&gt;"",COUNTIF('07_动态状态'!$A$2:$A$501,'08_资产清单'!E252)=0),"状态编码不存在；","")&amp;IF(AND('08_资产清单'!G252&lt;&gt;"",COUNTIF('08_资产清单'!$G$2:$G$501,'08_资产清单'!G252)&gt;1),"文件名重复；","")&amp;IF(AND('08_资产清单'!A252&lt;&gt;"",COUNTIF('08_资产清单'!$A$2:$A$501,'08_资产清单'!A252)&gt;1),"ID重复；",""),"")</f>
        <v/>
      </c>
      <c r="G3252" s="14">
        <f>IF(F3252&lt;&gt;"","按字段批注、数据字典和来源记录修正后复核","")</f>
        <v/>
      </c>
      <c r="H3252" s="14">
        <f>IF(F3252&lt;&gt;"","待处理","")</f>
        <v/>
      </c>
    </row>
    <row r="3253">
      <c r="A3253" s="14">
        <f>IF(F3253&lt;&gt;"","ISSUE-"&amp;TEXT(ROW()-1,"00000"),"")</f>
        <v/>
      </c>
      <c r="B3253" s="14">
        <f>IF(F3253&lt;&gt;"","错误","")</f>
        <v/>
      </c>
      <c r="C3253" s="14">
        <f>IF('08_资产清单'!A253&lt;&gt;"","08_资产清单","")</f>
        <v/>
      </c>
      <c r="D3253" s="14">
        <f>IF('08_资产清单'!A253&lt;&gt;"",'08_资产清单'!A253,"")</f>
        <v/>
      </c>
      <c r="E3253" s="14">
        <f>IF(F3253&lt;&gt;"","综合校验","")</f>
        <v/>
      </c>
      <c r="F3253" s="14">
        <f>IF('08_资产清单'!A253&lt;&gt;"",IF('08_资产清单'!A253="","缺少资产ID；","")&amp;IF('08_资产清单'!B253="","缺少资产名称；","")&amp;IF('08_资产清单'!C253="","缺少对象ID；","")&amp;IF('08_资产清单'!D253="","缺少资产类别；","")&amp;IF('08_资产清单'!G253="","缺少文件名；","")&amp;IF(AND('08_资产清单'!C253&lt;&gt;"",COUNTIF('02_固定地理'!$A$2:$A$501,'08_资产清单'!C253)+COUNTIF('03_地点锚点'!$A$2:$A$501,'08_资产清单'!C253)+COUNTIF('04_路径网络'!$A$2:$A$501,'08_资产清单'!C253)+COUNTIF('06_建筑锚点'!$A$2:$A$501,'08_资产清单'!C253)=0),"资产引用对象不存在；","")&amp;IF(AND('08_资产清单'!E253&lt;&gt;"",COUNTIF('07_动态状态'!$A$2:$A$501,'08_资产清单'!E253)=0),"状态编码不存在；","")&amp;IF(AND('08_资产清单'!G253&lt;&gt;"",COUNTIF('08_资产清单'!$G$2:$G$501,'08_资产清单'!G253)&gt;1),"文件名重复；","")&amp;IF(AND('08_资产清单'!A253&lt;&gt;"",COUNTIF('08_资产清单'!$A$2:$A$501,'08_资产清单'!A253)&gt;1),"ID重复；",""),"")</f>
        <v/>
      </c>
      <c r="G3253" s="14">
        <f>IF(F3253&lt;&gt;"","按字段批注、数据字典和来源记录修正后复核","")</f>
        <v/>
      </c>
      <c r="H3253" s="14">
        <f>IF(F3253&lt;&gt;"","待处理","")</f>
        <v/>
      </c>
    </row>
    <row r="3254">
      <c r="A3254" s="14">
        <f>IF(F3254&lt;&gt;"","ISSUE-"&amp;TEXT(ROW()-1,"00000"),"")</f>
        <v/>
      </c>
      <c r="B3254" s="14">
        <f>IF(F3254&lt;&gt;"","错误","")</f>
        <v/>
      </c>
      <c r="C3254" s="14">
        <f>IF('08_资产清单'!A254&lt;&gt;"","08_资产清单","")</f>
        <v/>
      </c>
      <c r="D3254" s="14">
        <f>IF('08_资产清单'!A254&lt;&gt;"",'08_资产清单'!A254,"")</f>
        <v/>
      </c>
      <c r="E3254" s="14">
        <f>IF(F3254&lt;&gt;"","综合校验","")</f>
        <v/>
      </c>
      <c r="F3254" s="14">
        <f>IF('08_资产清单'!A254&lt;&gt;"",IF('08_资产清单'!A254="","缺少资产ID；","")&amp;IF('08_资产清单'!B254="","缺少资产名称；","")&amp;IF('08_资产清单'!C254="","缺少对象ID；","")&amp;IF('08_资产清单'!D254="","缺少资产类别；","")&amp;IF('08_资产清单'!G254="","缺少文件名；","")&amp;IF(AND('08_资产清单'!C254&lt;&gt;"",COUNTIF('02_固定地理'!$A$2:$A$501,'08_资产清单'!C254)+COUNTIF('03_地点锚点'!$A$2:$A$501,'08_资产清单'!C254)+COUNTIF('04_路径网络'!$A$2:$A$501,'08_资产清单'!C254)+COUNTIF('06_建筑锚点'!$A$2:$A$501,'08_资产清单'!C254)=0),"资产引用对象不存在；","")&amp;IF(AND('08_资产清单'!E254&lt;&gt;"",COUNTIF('07_动态状态'!$A$2:$A$501,'08_资产清单'!E254)=0),"状态编码不存在；","")&amp;IF(AND('08_资产清单'!G254&lt;&gt;"",COUNTIF('08_资产清单'!$G$2:$G$501,'08_资产清单'!G254)&gt;1),"文件名重复；","")&amp;IF(AND('08_资产清单'!A254&lt;&gt;"",COUNTIF('08_资产清单'!$A$2:$A$501,'08_资产清单'!A254)&gt;1),"ID重复；",""),"")</f>
        <v/>
      </c>
      <c r="G3254" s="14">
        <f>IF(F3254&lt;&gt;"","按字段批注、数据字典和来源记录修正后复核","")</f>
        <v/>
      </c>
      <c r="H3254" s="14">
        <f>IF(F3254&lt;&gt;"","待处理","")</f>
        <v/>
      </c>
    </row>
    <row r="3255">
      <c r="A3255" s="14">
        <f>IF(F3255&lt;&gt;"","ISSUE-"&amp;TEXT(ROW()-1,"00000"),"")</f>
        <v/>
      </c>
      <c r="B3255" s="14">
        <f>IF(F3255&lt;&gt;"","错误","")</f>
        <v/>
      </c>
      <c r="C3255" s="14">
        <f>IF('08_资产清单'!A255&lt;&gt;"","08_资产清单","")</f>
        <v/>
      </c>
      <c r="D3255" s="14">
        <f>IF('08_资产清单'!A255&lt;&gt;"",'08_资产清单'!A255,"")</f>
        <v/>
      </c>
      <c r="E3255" s="14">
        <f>IF(F3255&lt;&gt;"","综合校验","")</f>
        <v/>
      </c>
      <c r="F3255" s="14">
        <f>IF('08_资产清单'!A255&lt;&gt;"",IF('08_资产清单'!A255="","缺少资产ID；","")&amp;IF('08_资产清单'!B255="","缺少资产名称；","")&amp;IF('08_资产清单'!C255="","缺少对象ID；","")&amp;IF('08_资产清单'!D255="","缺少资产类别；","")&amp;IF('08_资产清单'!G255="","缺少文件名；","")&amp;IF(AND('08_资产清单'!C255&lt;&gt;"",COUNTIF('02_固定地理'!$A$2:$A$501,'08_资产清单'!C255)+COUNTIF('03_地点锚点'!$A$2:$A$501,'08_资产清单'!C255)+COUNTIF('04_路径网络'!$A$2:$A$501,'08_资产清单'!C255)+COUNTIF('06_建筑锚点'!$A$2:$A$501,'08_资产清单'!C255)=0),"资产引用对象不存在；","")&amp;IF(AND('08_资产清单'!E255&lt;&gt;"",COUNTIF('07_动态状态'!$A$2:$A$501,'08_资产清单'!E255)=0),"状态编码不存在；","")&amp;IF(AND('08_资产清单'!G255&lt;&gt;"",COUNTIF('08_资产清单'!$G$2:$G$501,'08_资产清单'!G255)&gt;1),"文件名重复；","")&amp;IF(AND('08_资产清单'!A255&lt;&gt;"",COUNTIF('08_资产清单'!$A$2:$A$501,'08_资产清单'!A255)&gt;1),"ID重复；",""),"")</f>
        <v/>
      </c>
      <c r="G3255" s="14">
        <f>IF(F3255&lt;&gt;"","按字段批注、数据字典和来源记录修正后复核","")</f>
        <v/>
      </c>
      <c r="H3255" s="14">
        <f>IF(F3255&lt;&gt;"","待处理","")</f>
        <v/>
      </c>
    </row>
    <row r="3256">
      <c r="A3256" s="14">
        <f>IF(F3256&lt;&gt;"","ISSUE-"&amp;TEXT(ROW()-1,"00000"),"")</f>
        <v/>
      </c>
      <c r="B3256" s="14">
        <f>IF(F3256&lt;&gt;"","错误","")</f>
        <v/>
      </c>
      <c r="C3256" s="14">
        <f>IF('08_资产清单'!A256&lt;&gt;"","08_资产清单","")</f>
        <v/>
      </c>
      <c r="D3256" s="14">
        <f>IF('08_资产清单'!A256&lt;&gt;"",'08_资产清单'!A256,"")</f>
        <v/>
      </c>
      <c r="E3256" s="14">
        <f>IF(F3256&lt;&gt;"","综合校验","")</f>
        <v/>
      </c>
      <c r="F3256" s="14">
        <f>IF('08_资产清单'!A256&lt;&gt;"",IF('08_资产清单'!A256="","缺少资产ID；","")&amp;IF('08_资产清单'!B256="","缺少资产名称；","")&amp;IF('08_资产清单'!C256="","缺少对象ID；","")&amp;IF('08_资产清单'!D256="","缺少资产类别；","")&amp;IF('08_资产清单'!G256="","缺少文件名；","")&amp;IF(AND('08_资产清单'!C256&lt;&gt;"",COUNTIF('02_固定地理'!$A$2:$A$501,'08_资产清单'!C256)+COUNTIF('03_地点锚点'!$A$2:$A$501,'08_资产清单'!C256)+COUNTIF('04_路径网络'!$A$2:$A$501,'08_资产清单'!C256)+COUNTIF('06_建筑锚点'!$A$2:$A$501,'08_资产清单'!C256)=0),"资产引用对象不存在；","")&amp;IF(AND('08_资产清单'!E256&lt;&gt;"",COUNTIF('07_动态状态'!$A$2:$A$501,'08_资产清单'!E256)=0),"状态编码不存在；","")&amp;IF(AND('08_资产清单'!G256&lt;&gt;"",COUNTIF('08_资产清单'!$G$2:$G$501,'08_资产清单'!G256)&gt;1),"文件名重复；","")&amp;IF(AND('08_资产清单'!A256&lt;&gt;"",COUNTIF('08_资产清单'!$A$2:$A$501,'08_资产清单'!A256)&gt;1),"ID重复；",""),"")</f>
        <v/>
      </c>
      <c r="G3256" s="14">
        <f>IF(F3256&lt;&gt;"","按字段批注、数据字典和来源记录修正后复核","")</f>
        <v/>
      </c>
      <c r="H3256" s="14">
        <f>IF(F3256&lt;&gt;"","待处理","")</f>
        <v/>
      </c>
    </row>
    <row r="3257">
      <c r="A3257" s="14">
        <f>IF(F3257&lt;&gt;"","ISSUE-"&amp;TEXT(ROW()-1,"00000"),"")</f>
        <v/>
      </c>
      <c r="B3257" s="14">
        <f>IF(F3257&lt;&gt;"","错误","")</f>
        <v/>
      </c>
      <c r="C3257" s="14">
        <f>IF('08_资产清单'!A257&lt;&gt;"","08_资产清单","")</f>
        <v/>
      </c>
      <c r="D3257" s="14">
        <f>IF('08_资产清单'!A257&lt;&gt;"",'08_资产清单'!A257,"")</f>
        <v/>
      </c>
      <c r="E3257" s="14">
        <f>IF(F3257&lt;&gt;"","综合校验","")</f>
        <v/>
      </c>
      <c r="F3257" s="14">
        <f>IF('08_资产清单'!A257&lt;&gt;"",IF('08_资产清单'!A257="","缺少资产ID；","")&amp;IF('08_资产清单'!B257="","缺少资产名称；","")&amp;IF('08_资产清单'!C257="","缺少对象ID；","")&amp;IF('08_资产清单'!D257="","缺少资产类别；","")&amp;IF('08_资产清单'!G257="","缺少文件名；","")&amp;IF(AND('08_资产清单'!C257&lt;&gt;"",COUNTIF('02_固定地理'!$A$2:$A$501,'08_资产清单'!C257)+COUNTIF('03_地点锚点'!$A$2:$A$501,'08_资产清单'!C257)+COUNTIF('04_路径网络'!$A$2:$A$501,'08_资产清单'!C257)+COUNTIF('06_建筑锚点'!$A$2:$A$501,'08_资产清单'!C257)=0),"资产引用对象不存在；","")&amp;IF(AND('08_资产清单'!E257&lt;&gt;"",COUNTIF('07_动态状态'!$A$2:$A$501,'08_资产清单'!E257)=0),"状态编码不存在；","")&amp;IF(AND('08_资产清单'!G257&lt;&gt;"",COUNTIF('08_资产清单'!$G$2:$G$501,'08_资产清单'!G257)&gt;1),"文件名重复；","")&amp;IF(AND('08_资产清单'!A257&lt;&gt;"",COUNTIF('08_资产清单'!$A$2:$A$501,'08_资产清单'!A257)&gt;1),"ID重复；",""),"")</f>
        <v/>
      </c>
      <c r="G3257" s="14">
        <f>IF(F3257&lt;&gt;"","按字段批注、数据字典和来源记录修正后复核","")</f>
        <v/>
      </c>
      <c r="H3257" s="14">
        <f>IF(F3257&lt;&gt;"","待处理","")</f>
        <v/>
      </c>
    </row>
    <row r="3258">
      <c r="A3258" s="14">
        <f>IF(F3258&lt;&gt;"","ISSUE-"&amp;TEXT(ROW()-1,"00000"),"")</f>
        <v/>
      </c>
      <c r="B3258" s="14">
        <f>IF(F3258&lt;&gt;"","错误","")</f>
        <v/>
      </c>
      <c r="C3258" s="14">
        <f>IF('08_资产清单'!A258&lt;&gt;"","08_资产清单","")</f>
        <v/>
      </c>
      <c r="D3258" s="14">
        <f>IF('08_资产清单'!A258&lt;&gt;"",'08_资产清单'!A258,"")</f>
        <v/>
      </c>
      <c r="E3258" s="14">
        <f>IF(F3258&lt;&gt;"","综合校验","")</f>
        <v/>
      </c>
      <c r="F3258" s="14">
        <f>IF('08_资产清单'!A258&lt;&gt;"",IF('08_资产清单'!A258="","缺少资产ID；","")&amp;IF('08_资产清单'!B258="","缺少资产名称；","")&amp;IF('08_资产清单'!C258="","缺少对象ID；","")&amp;IF('08_资产清单'!D258="","缺少资产类别；","")&amp;IF('08_资产清单'!G258="","缺少文件名；","")&amp;IF(AND('08_资产清单'!C258&lt;&gt;"",COUNTIF('02_固定地理'!$A$2:$A$501,'08_资产清单'!C258)+COUNTIF('03_地点锚点'!$A$2:$A$501,'08_资产清单'!C258)+COUNTIF('04_路径网络'!$A$2:$A$501,'08_资产清单'!C258)+COUNTIF('06_建筑锚点'!$A$2:$A$501,'08_资产清单'!C258)=0),"资产引用对象不存在；","")&amp;IF(AND('08_资产清单'!E258&lt;&gt;"",COUNTIF('07_动态状态'!$A$2:$A$501,'08_资产清单'!E258)=0),"状态编码不存在；","")&amp;IF(AND('08_资产清单'!G258&lt;&gt;"",COUNTIF('08_资产清单'!$G$2:$G$501,'08_资产清单'!G258)&gt;1),"文件名重复；","")&amp;IF(AND('08_资产清单'!A258&lt;&gt;"",COUNTIF('08_资产清单'!$A$2:$A$501,'08_资产清单'!A258)&gt;1),"ID重复；",""),"")</f>
        <v/>
      </c>
      <c r="G3258" s="14">
        <f>IF(F3258&lt;&gt;"","按字段批注、数据字典和来源记录修正后复核","")</f>
        <v/>
      </c>
      <c r="H3258" s="14">
        <f>IF(F3258&lt;&gt;"","待处理","")</f>
        <v/>
      </c>
    </row>
    <row r="3259">
      <c r="A3259" s="14">
        <f>IF(F3259&lt;&gt;"","ISSUE-"&amp;TEXT(ROW()-1,"00000"),"")</f>
        <v/>
      </c>
      <c r="B3259" s="14">
        <f>IF(F3259&lt;&gt;"","错误","")</f>
        <v/>
      </c>
      <c r="C3259" s="14">
        <f>IF('08_资产清单'!A259&lt;&gt;"","08_资产清单","")</f>
        <v/>
      </c>
      <c r="D3259" s="14">
        <f>IF('08_资产清单'!A259&lt;&gt;"",'08_资产清单'!A259,"")</f>
        <v/>
      </c>
      <c r="E3259" s="14">
        <f>IF(F3259&lt;&gt;"","综合校验","")</f>
        <v/>
      </c>
      <c r="F3259" s="14">
        <f>IF('08_资产清单'!A259&lt;&gt;"",IF('08_资产清单'!A259="","缺少资产ID；","")&amp;IF('08_资产清单'!B259="","缺少资产名称；","")&amp;IF('08_资产清单'!C259="","缺少对象ID；","")&amp;IF('08_资产清单'!D259="","缺少资产类别；","")&amp;IF('08_资产清单'!G259="","缺少文件名；","")&amp;IF(AND('08_资产清单'!C259&lt;&gt;"",COUNTIF('02_固定地理'!$A$2:$A$501,'08_资产清单'!C259)+COUNTIF('03_地点锚点'!$A$2:$A$501,'08_资产清单'!C259)+COUNTIF('04_路径网络'!$A$2:$A$501,'08_资产清单'!C259)+COUNTIF('06_建筑锚点'!$A$2:$A$501,'08_资产清单'!C259)=0),"资产引用对象不存在；","")&amp;IF(AND('08_资产清单'!E259&lt;&gt;"",COUNTIF('07_动态状态'!$A$2:$A$501,'08_资产清单'!E259)=0),"状态编码不存在；","")&amp;IF(AND('08_资产清单'!G259&lt;&gt;"",COUNTIF('08_资产清单'!$G$2:$G$501,'08_资产清单'!G259)&gt;1),"文件名重复；","")&amp;IF(AND('08_资产清单'!A259&lt;&gt;"",COUNTIF('08_资产清单'!$A$2:$A$501,'08_资产清单'!A259)&gt;1),"ID重复；",""),"")</f>
        <v/>
      </c>
      <c r="G3259" s="14">
        <f>IF(F3259&lt;&gt;"","按字段批注、数据字典和来源记录修正后复核","")</f>
        <v/>
      </c>
      <c r="H3259" s="14">
        <f>IF(F3259&lt;&gt;"","待处理","")</f>
        <v/>
      </c>
    </row>
    <row r="3260">
      <c r="A3260" s="14">
        <f>IF(F3260&lt;&gt;"","ISSUE-"&amp;TEXT(ROW()-1,"00000"),"")</f>
        <v/>
      </c>
      <c r="B3260" s="14">
        <f>IF(F3260&lt;&gt;"","错误","")</f>
        <v/>
      </c>
      <c r="C3260" s="14">
        <f>IF('08_资产清单'!A260&lt;&gt;"","08_资产清单","")</f>
        <v/>
      </c>
      <c r="D3260" s="14">
        <f>IF('08_资产清单'!A260&lt;&gt;"",'08_资产清单'!A260,"")</f>
        <v/>
      </c>
      <c r="E3260" s="14">
        <f>IF(F3260&lt;&gt;"","综合校验","")</f>
        <v/>
      </c>
      <c r="F3260" s="14">
        <f>IF('08_资产清单'!A260&lt;&gt;"",IF('08_资产清单'!A260="","缺少资产ID；","")&amp;IF('08_资产清单'!B260="","缺少资产名称；","")&amp;IF('08_资产清单'!C260="","缺少对象ID；","")&amp;IF('08_资产清单'!D260="","缺少资产类别；","")&amp;IF('08_资产清单'!G260="","缺少文件名；","")&amp;IF(AND('08_资产清单'!C260&lt;&gt;"",COUNTIF('02_固定地理'!$A$2:$A$501,'08_资产清单'!C260)+COUNTIF('03_地点锚点'!$A$2:$A$501,'08_资产清单'!C260)+COUNTIF('04_路径网络'!$A$2:$A$501,'08_资产清单'!C260)+COUNTIF('06_建筑锚点'!$A$2:$A$501,'08_资产清单'!C260)=0),"资产引用对象不存在；","")&amp;IF(AND('08_资产清单'!E260&lt;&gt;"",COUNTIF('07_动态状态'!$A$2:$A$501,'08_资产清单'!E260)=0),"状态编码不存在；","")&amp;IF(AND('08_资产清单'!G260&lt;&gt;"",COUNTIF('08_资产清单'!$G$2:$G$501,'08_资产清单'!G260)&gt;1),"文件名重复；","")&amp;IF(AND('08_资产清单'!A260&lt;&gt;"",COUNTIF('08_资产清单'!$A$2:$A$501,'08_资产清单'!A260)&gt;1),"ID重复；",""),"")</f>
        <v/>
      </c>
      <c r="G3260" s="14">
        <f>IF(F3260&lt;&gt;"","按字段批注、数据字典和来源记录修正后复核","")</f>
        <v/>
      </c>
      <c r="H3260" s="14">
        <f>IF(F3260&lt;&gt;"","待处理","")</f>
        <v/>
      </c>
    </row>
    <row r="3261">
      <c r="A3261" s="14">
        <f>IF(F3261&lt;&gt;"","ISSUE-"&amp;TEXT(ROW()-1,"00000"),"")</f>
        <v/>
      </c>
      <c r="B3261" s="14">
        <f>IF(F3261&lt;&gt;"","错误","")</f>
        <v/>
      </c>
      <c r="C3261" s="14">
        <f>IF('08_资产清单'!A261&lt;&gt;"","08_资产清单","")</f>
        <v/>
      </c>
      <c r="D3261" s="14">
        <f>IF('08_资产清单'!A261&lt;&gt;"",'08_资产清单'!A261,"")</f>
        <v/>
      </c>
      <c r="E3261" s="14">
        <f>IF(F3261&lt;&gt;"","综合校验","")</f>
        <v/>
      </c>
      <c r="F3261" s="14">
        <f>IF('08_资产清单'!A261&lt;&gt;"",IF('08_资产清单'!A261="","缺少资产ID；","")&amp;IF('08_资产清单'!B261="","缺少资产名称；","")&amp;IF('08_资产清单'!C261="","缺少对象ID；","")&amp;IF('08_资产清单'!D261="","缺少资产类别；","")&amp;IF('08_资产清单'!G261="","缺少文件名；","")&amp;IF(AND('08_资产清单'!C261&lt;&gt;"",COUNTIF('02_固定地理'!$A$2:$A$501,'08_资产清单'!C261)+COUNTIF('03_地点锚点'!$A$2:$A$501,'08_资产清单'!C261)+COUNTIF('04_路径网络'!$A$2:$A$501,'08_资产清单'!C261)+COUNTIF('06_建筑锚点'!$A$2:$A$501,'08_资产清单'!C261)=0),"资产引用对象不存在；","")&amp;IF(AND('08_资产清单'!E261&lt;&gt;"",COUNTIF('07_动态状态'!$A$2:$A$501,'08_资产清单'!E261)=0),"状态编码不存在；","")&amp;IF(AND('08_资产清单'!G261&lt;&gt;"",COUNTIF('08_资产清单'!$G$2:$G$501,'08_资产清单'!G261)&gt;1),"文件名重复；","")&amp;IF(AND('08_资产清单'!A261&lt;&gt;"",COUNTIF('08_资产清单'!$A$2:$A$501,'08_资产清单'!A261)&gt;1),"ID重复；",""),"")</f>
        <v/>
      </c>
      <c r="G3261" s="14">
        <f>IF(F3261&lt;&gt;"","按字段批注、数据字典和来源记录修正后复核","")</f>
        <v/>
      </c>
      <c r="H3261" s="14">
        <f>IF(F3261&lt;&gt;"","待处理","")</f>
        <v/>
      </c>
    </row>
    <row r="3262">
      <c r="A3262" s="14">
        <f>IF(F3262&lt;&gt;"","ISSUE-"&amp;TEXT(ROW()-1,"00000"),"")</f>
        <v/>
      </c>
      <c r="B3262" s="14">
        <f>IF(F3262&lt;&gt;"","错误","")</f>
        <v/>
      </c>
      <c r="C3262" s="14">
        <f>IF('08_资产清单'!A262&lt;&gt;"","08_资产清单","")</f>
        <v/>
      </c>
      <c r="D3262" s="14">
        <f>IF('08_资产清单'!A262&lt;&gt;"",'08_资产清单'!A262,"")</f>
        <v/>
      </c>
      <c r="E3262" s="14">
        <f>IF(F3262&lt;&gt;"","综合校验","")</f>
        <v/>
      </c>
      <c r="F3262" s="14">
        <f>IF('08_资产清单'!A262&lt;&gt;"",IF('08_资产清单'!A262="","缺少资产ID；","")&amp;IF('08_资产清单'!B262="","缺少资产名称；","")&amp;IF('08_资产清单'!C262="","缺少对象ID；","")&amp;IF('08_资产清单'!D262="","缺少资产类别；","")&amp;IF('08_资产清单'!G262="","缺少文件名；","")&amp;IF(AND('08_资产清单'!C262&lt;&gt;"",COUNTIF('02_固定地理'!$A$2:$A$501,'08_资产清单'!C262)+COUNTIF('03_地点锚点'!$A$2:$A$501,'08_资产清单'!C262)+COUNTIF('04_路径网络'!$A$2:$A$501,'08_资产清单'!C262)+COUNTIF('06_建筑锚点'!$A$2:$A$501,'08_资产清单'!C262)=0),"资产引用对象不存在；","")&amp;IF(AND('08_资产清单'!E262&lt;&gt;"",COUNTIF('07_动态状态'!$A$2:$A$501,'08_资产清单'!E262)=0),"状态编码不存在；","")&amp;IF(AND('08_资产清单'!G262&lt;&gt;"",COUNTIF('08_资产清单'!$G$2:$G$501,'08_资产清单'!G262)&gt;1),"文件名重复；","")&amp;IF(AND('08_资产清单'!A262&lt;&gt;"",COUNTIF('08_资产清单'!$A$2:$A$501,'08_资产清单'!A262)&gt;1),"ID重复；",""),"")</f>
        <v/>
      </c>
      <c r="G3262" s="14">
        <f>IF(F3262&lt;&gt;"","按字段批注、数据字典和来源记录修正后复核","")</f>
        <v/>
      </c>
      <c r="H3262" s="14">
        <f>IF(F3262&lt;&gt;"","待处理","")</f>
        <v/>
      </c>
    </row>
    <row r="3263">
      <c r="A3263" s="14">
        <f>IF(F3263&lt;&gt;"","ISSUE-"&amp;TEXT(ROW()-1,"00000"),"")</f>
        <v/>
      </c>
      <c r="B3263" s="14">
        <f>IF(F3263&lt;&gt;"","错误","")</f>
        <v/>
      </c>
      <c r="C3263" s="14">
        <f>IF('08_资产清单'!A263&lt;&gt;"","08_资产清单","")</f>
        <v/>
      </c>
      <c r="D3263" s="14">
        <f>IF('08_资产清单'!A263&lt;&gt;"",'08_资产清单'!A263,"")</f>
        <v/>
      </c>
      <c r="E3263" s="14">
        <f>IF(F3263&lt;&gt;"","综合校验","")</f>
        <v/>
      </c>
      <c r="F3263" s="14">
        <f>IF('08_资产清单'!A263&lt;&gt;"",IF('08_资产清单'!A263="","缺少资产ID；","")&amp;IF('08_资产清单'!B263="","缺少资产名称；","")&amp;IF('08_资产清单'!C263="","缺少对象ID；","")&amp;IF('08_资产清单'!D263="","缺少资产类别；","")&amp;IF('08_资产清单'!G263="","缺少文件名；","")&amp;IF(AND('08_资产清单'!C263&lt;&gt;"",COUNTIF('02_固定地理'!$A$2:$A$501,'08_资产清单'!C263)+COUNTIF('03_地点锚点'!$A$2:$A$501,'08_资产清单'!C263)+COUNTIF('04_路径网络'!$A$2:$A$501,'08_资产清单'!C263)+COUNTIF('06_建筑锚点'!$A$2:$A$501,'08_资产清单'!C263)=0),"资产引用对象不存在；","")&amp;IF(AND('08_资产清单'!E263&lt;&gt;"",COUNTIF('07_动态状态'!$A$2:$A$501,'08_资产清单'!E263)=0),"状态编码不存在；","")&amp;IF(AND('08_资产清单'!G263&lt;&gt;"",COUNTIF('08_资产清单'!$G$2:$G$501,'08_资产清单'!G263)&gt;1),"文件名重复；","")&amp;IF(AND('08_资产清单'!A263&lt;&gt;"",COUNTIF('08_资产清单'!$A$2:$A$501,'08_资产清单'!A263)&gt;1),"ID重复；",""),"")</f>
        <v/>
      </c>
      <c r="G3263" s="14">
        <f>IF(F3263&lt;&gt;"","按字段批注、数据字典和来源记录修正后复核","")</f>
        <v/>
      </c>
      <c r="H3263" s="14">
        <f>IF(F3263&lt;&gt;"","待处理","")</f>
        <v/>
      </c>
    </row>
    <row r="3264">
      <c r="A3264" s="14">
        <f>IF(F3264&lt;&gt;"","ISSUE-"&amp;TEXT(ROW()-1,"00000"),"")</f>
        <v/>
      </c>
      <c r="B3264" s="14">
        <f>IF(F3264&lt;&gt;"","错误","")</f>
        <v/>
      </c>
      <c r="C3264" s="14">
        <f>IF('08_资产清单'!A264&lt;&gt;"","08_资产清单","")</f>
        <v/>
      </c>
      <c r="D3264" s="14">
        <f>IF('08_资产清单'!A264&lt;&gt;"",'08_资产清单'!A264,"")</f>
        <v/>
      </c>
      <c r="E3264" s="14">
        <f>IF(F3264&lt;&gt;"","综合校验","")</f>
        <v/>
      </c>
      <c r="F3264" s="14">
        <f>IF('08_资产清单'!A264&lt;&gt;"",IF('08_资产清单'!A264="","缺少资产ID；","")&amp;IF('08_资产清单'!B264="","缺少资产名称；","")&amp;IF('08_资产清单'!C264="","缺少对象ID；","")&amp;IF('08_资产清单'!D264="","缺少资产类别；","")&amp;IF('08_资产清单'!G264="","缺少文件名；","")&amp;IF(AND('08_资产清单'!C264&lt;&gt;"",COUNTIF('02_固定地理'!$A$2:$A$501,'08_资产清单'!C264)+COUNTIF('03_地点锚点'!$A$2:$A$501,'08_资产清单'!C264)+COUNTIF('04_路径网络'!$A$2:$A$501,'08_资产清单'!C264)+COUNTIF('06_建筑锚点'!$A$2:$A$501,'08_资产清单'!C264)=0),"资产引用对象不存在；","")&amp;IF(AND('08_资产清单'!E264&lt;&gt;"",COUNTIF('07_动态状态'!$A$2:$A$501,'08_资产清单'!E264)=0),"状态编码不存在；","")&amp;IF(AND('08_资产清单'!G264&lt;&gt;"",COUNTIF('08_资产清单'!$G$2:$G$501,'08_资产清单'!G264)&gt;1),"文件名重复；","")&amp;IF(AND('08_资产清单'!A264&lt;&gt;"",COUNTIF('08_资产清单'!$A$2:$A$501,'08_资产清单'!A264)&gt;1),"ID重复；",""),"")</f>
        <v/>
      </c>
      <c r="G3264" s="14">
        <f>IF(F3264&lt;&gt;"","按字段批注、数据字典和来源记录修正后复核","")</f>
        <v/>
      </c>
      <c r="H3264" s="14">
        <f>IF(F3264&lt;&gt;"","待处理","")</f>
        <v/>
      </c>
    </row>
    <row r="3265">
      <c r="A3265" s="14">
        <f>IF(F3265&lt;&gt;"","ISSUE-"&amp;TEXT(ROW()-1,"00000"),"")</f>
        <v/>
      </c>
      <c r="B3265" s="14">
        <f>IF(F3265&lt;&gt;"","错误","")</f>
        <v/>
      </c>
      <c r="C3265" s="14">
        <f>IF('08_资产清单'!A265&lt;&gt;"","08_资产清单","")</f>
        <v/>
      </c>
      <c r="D3265" s="14">
        <f>IF('08_资产清单'!A265&lt;&gt;"",'08_资产清单'!A265,"")</f>
        <v/>
      </c>
      <c r="E3265" s="14">
        <f>IF(F3265&lt;&gt;"","综合校验","")</f>
        <v/>
      </c>
      <c r="F3265" s="14">
        <f>IF('08_资产清单'!A265&lt;&gt;"",IF('08_资产清单'!A265="","缺少资产ID；","")&amp;IF('08_资产清单'!B265="","缺少资产名称；","")&amp;IF('08_资产清单'!C265="","缺少对象ID；","")&amp;IF('08_资产清单'!D265="","缺少资产类别；","")&amp;IF('08_资产清单'!G265="","缺少文件名；","")&amp;IF(AND('08_资产清单'!C265&lt;&gt;"",COUNTIF('02_固定地理'!$A$2:$A$501,'08_资产清单'!C265)+COUNTIF('03_地点锚点'!$A$2:$A$501,'08_资产清单'!C265)+COUNTIF('04_路径网络'!$A$2:$A$501,'08_资产清单'!C265)+COUNTIF('06_建筑锚点'!$A$2:$A$501,'08_资产清单'!C265)=0),"资产引用对象不存在；","")&amp;IF(AND('08_资产清单'!E265&lt;&gt;"",COUNTIF('07_动态状态'!$A$2:$A$501,'08_资产清单'!E265)=0),"状态编码不存在；","")&amp;IF(AND('08_资产清单'!G265&lt;&gt;"",COUNTIF('08_资产清单'!$G$2:$G$501,'08_资产清单'!G265)&gt;1),"文件名重复；","")&amp;IF(AND('08_资产清单'!A265&lt;&gt;"",COUNTIF('08_资产清单'!$A$2:$A$501,'08_资产清单'!A265)&gt;1),"ID重复；",""),"")</f>
        <v/>
      </c>
      <c r="G3265" s="14">
        <f>IF(F3265&lt;&gt;"","按字段批注、数据字典和来源记录修正后复核","")</f>
        <v/>
      </c>
      <c r="H3265" s="14">
        <f>IF(F3265&lt;&gt;"","待处理","")</f>
        <v/>
      </c>
    </row>
    <row r="3266">
      <c r="A3266" s="14">
        <f>IF(F3266&lt;&gt;"","ISSUE-"&amp;TEXT(ROW()-1,"00000"),"")</f>
        <v/>
      </c>
      <c r="B3266" s="14">
        <f>IF(F3266&lt;&gt;"","错误","")</f>
        <v/>
      </c>
      <c r="C3266" s="14">
        <f>IF('08_资产清单'!A266&lt;&gt;"","08_资产清单","")</f>
        <v/>
      </c>
      <c r="D3266" s="14">
        <f>IF('08_资产清单'!A266&lt;&gt;"",'08_资产清单'!A266,"")</f>
        <v/>
      </c>
      <c r="E3266" s="14">
        <f>IF(F3266&lt;&gt;"","综合校验","")</f>
        <v/>
      </c>
      <c r="F3266" s="14">
        <f>IF('08_资产清单'!A266&lt;&gt;"",IF('08_资产清单'!A266="","缺少资产ID；","")&amp;IF('08_资产清单'!B266="","缺少资产名称；","")&amp;IF('08_资产清单'!C266="","缺少对象ID；","")&amp;IF('08_资产清单'!D266="","缺少资产类别；","")&amp;IF('08_资产清单'!G266="","缺少文件名；","")&amp;IF(AND('08_资产清单'!C266&lt;&gt;"",COUNTIF('02_固定地理'!$A$2:$A$501,'08_资产清单'!C266)+COUNTIF('03_地点锚点'!$A$2:$A$501,'08_资产清单'!C266)+COUNTIF('04_路径网络'!$A$2:$A$501,'08_资产清单'!C266)+COUNTIF('06_建筑锚点'!$A$2:$A$501,'08_资产清单'!C266)=0),"资产引用对象不存在；","")&amp;IF(AND('08_资产清单'!E266&lt;&gt;"",COUNTIF('07_动态状态'!$A$2:$A$501,'08_资产清单'!E266)=0),"状态编码不存在；","")&amp;IF(AND('08_资产清单'!G266&lt;&gt;"",COUNTIF('08_资产清单'!$G$2:$G$501,'08_资产清单'!G266)&gt;1),"文件名重复；","")&amp;IF(AND('08_资产清单'!A266&lt;&gt;"",COUNTIF('08_资产清单'!$A$2:$A$501,'08_资产清单'!A266)&gt;1),"ID重复；",""),"")</f>
        <v/>
      </c>
      <c r="G3266" s="14">
        <f>IF(F3266&lt;&gt;"","按字段批注、数据字典和来源记录修正后复核","")</f>
        <v/>
      </c>
      <c r="H3266" s="14">
        <f>IF(F3266&lt;&gt;"","待处理","")</f>
        <v/>
      </c>
    </row>
    <row r="3267">
      <c r="A3267" s="14">
        <f>IF(F3267&lt;&gt;"","ISSUE-"&amp;TEXT(ROW()-1,"00000"),"")</f>
        <v/>
      </c>
      <c r="B3267" s="14">
        <f>IF(F3267&lt;&gt;"","错误","")</f>
        <v/>
      </c>
      <c r="C3267" s="14">
        <f>IF('08_资产清单'!A267&lt;&gt;"","08_资产清单","")</f>
        <v/>
      </c>
      <c r="D3267" s="14">
        <f>IF('08_资产清单'!A267&lt;&gt;"",'08_资产清单'!A267,"")</f>
        <v/>
      </c>
      <c r="E3267" s="14">
        <f>IF(F3267&lt;&gt;"","综合校验","")</f>
        <v/>
      </c>
      <c r="F3267" s="14">
        <f>IF('08_资产清单'!A267&lt;&gt;"",IF('08_资产清单'!A267="","缺少资产ID；","")&amp;IF('08_资产清单'!B267="","缺少资产名称；","")&amp;IF('08_资产清单'!C267="","缺少对象ID；","")&amp;IF('08_资产清单'!D267="","缺少资产类别；","")&amp;IF('08_资产清单'!G267="","缺少文件名；","")&amp;IF(AND('08_资产清单'!C267&lt;&gt;"",COUNTIF('02_固定地理'!$A$2:$A$501,'08_资产清单'!C267)+COUNTIF('03_地点锚点'!$A$2:$A$501,'08_资产清单'!C267)+COUNTIF('04_路径网络'!$A$2:$A$501,'08_资产清单'!C267)+COUNTIF('06_建筑锚点'!$A$2:$A$501,'08_资产清单'!C267)=0),"资产引用对象不存在；","")&amp;IF(AND('08_资产清单'!E267&lt;&gt;"",COUNTIF('07_动态状态'!$A$2:$A$501,'08_资产清单'!E267)=0),"状态编码不存在；","")&amp;IF(AND('08_资产清单'!G267&lt;&gt;"",COUNTIF('08_资产清单'!$G$2:$G$501,'08_资产清单'!G267)&gt;1),"文件名重复；","")&amp;IF(AND('08_资产清单'!A267&lt;&gt;"",COUNTIF('08_资产清单'!$A$2:$A$501,'08_资产清单'!A267)&gt;1),"ID重复；",""),"")</f>
        <v/>
      </c>
      <c r="G3267" s="14">
        <f>IF(F3267&lt;&gt;"","按字段批注、数据字典和来源记录修正后复核","")</f>
        <v/>
      </c>
      <c r="H3267" s="14">
        <f>IF(F3267&lt;&gt;"","待处理","")</f>
        <v/>
      </c>
    </row>
    <row r="3268">
      <c r="A3268" s="14">
        <f>IF(F3268&lt;&gt;"","ISSUE-"&amp;TEXT(ROW()-1,"00000"),"")</f>
        <v/>
      </c>
      <c r="B3268" s="14">
        <f>IF(F3268&lt;&gt;"","错误","")</f>
        <v/>
      </c>
      <c r="C3268" s="14">
        <f>IF('08_资产清单'!A268&lt;&gt;"","08_资产清单","")</f>
        <v/>
      </c>
      <c r="D3268" s="14">
        <f>IF('08_资产清单'!A268&lt;&gt;"",'08_资产清单'!A268,"")</f>
        <v/>
      </c>
      <c r="E3268" s="14">
        <f>IF(F3268&lt;&gt;"","综合校验","")</f>
        <v/>
      </c>
      <c r="F3268" s="14">
        <f>IF('08_资产清单'!A268&lt;&gt;"",IF('08_资产清单'!A268="","缺少资产ID；","")&amp;IF('08_资产清单'!B268="","缺少资产名称；","")&amp;IF('08_资产清单'!C268="","缺少对象ID；","")&amp;IF('08_资产清单'!D268="","缺少资产类别；","")&amp;IF('08_资产清单'!G268="","缺少文件名；","")&amp;IF(AND('08_资产清单'!C268&lt;&gt;"",COUNTIF('02_固定地理'!$A$2:$A$501,'08_资产清单'!C268)+COUNTIF('03_地点锚点'!$A$2:$A$501,'08_资产清单'!C268)+COUNTIF('04_路径网络'!$A$2:$A$501,'08_资产清单'!C268)+COUNTIF('06_建筑锚点'!$A$2:$A$501,'08_资产清单'!C268)=0),"资产引用对象不存在；","")&amp;IF(AND('08_资产清单'!E268&lt;&gt;"",COUNTIF('07_动态状态'!$A$2:$A$501,'08_资产清单'!E268)=0),"状态编码不存在；","")&amp;IF(AND('08_资产清单'!G268&lt;&gt;"",COUNTIF('08_资产清单'!$G$2:$G$501,'08_资产清单'!G268)&gt;1),"文件名重复；","")&amp;IF(AND('08_资产清单'!A268&lt;&gt;"",COUNTIF('08_资产清单'!$A$2:$A$501,'08_资产清单'!A268)&gt;1),"ID重复；",""),"")</f>
        <v/>
      </c>
      <c r="G3268" s="14">
        <f>IF(F3268&lt;&gt;"","按字段批注、数据字典和来源记录修正后复核","")</f>
        <v/>
      </c>
      <c r="H3268" s="14">
        <f>IF(F3268&lt;&gt;"","待处理","")</f>
        <v/>
      </c>
    </row>
    <row r="3269">
      <c r="A3269" s="14">
        <f>IF(F3269&lt;&gt;"","ISSUE-"&amp;TEXT(ROW()-1,"00000"),"")</f>
        <v/>
      </c>
      <c r="B3269" s="14">
        <f>IF(F3269&lt;&gt;"","错误","")</f>
        <v/>
      </c>
      <c r="C3269" s="14">
        <f>IF('08_资产清单'!A269&lt;&gt;"","08_资产清单","")</f>
        <v/>
      </c>
      <c r="D3269" s="14">
        <f>IF('08_资产清单'!A269&lt;&gt;"",'08_资产清单'!A269,"")</f>
        <v/>
      </c>
      <c r="E3269" s="14">
        <f>IF(F3269&lt;&gt;"","综合校验","")</f>
        <v/>
      </c>
      <c r="F3269" s="14">
        <f>IF('08_资产清单'!A269&lt;&gt;"",IF('08_资产清单'!A269="","缺少资产ID；","")&amp;IF('08_资产清单'!B269="","缺少资产名称；","")&amp;IF('08_资产清单'!C269="","缺少对象ID；","")&amp;IF('08_资产清单'!D269="","缺少资产类别；","")&amp;IF('08_资产清单'!G269="","缺少文件名；","")&amp;IF(AND('08_资产清单'!C269&lt;&gt;"",COUNTIF('02_固定地理'!$A$2:$A$501,'08_资产清单'!C269)+COUNTIF('03_地点锚点'!$A$2:$A$501,'08_资产清单'!C269)+COUNTIF('04_路径网络'!$A$2:$A$501,'08_资产清单'!C269)+COUNTIF('06_建筑锚点'!$A$2:$A$501,'08_资产清单'!C269)=0),"资产引用对象不存在；","")&amp;IF(AND('08_资产清单'!E269&lt;&gt;"",COUNTIF('07_动态状态'!$A$2:$A$501,'08_资产清单'!E269)=0),"状态编码不存在；","")&amp;IF(AND('08_资产清单'!G269&lt;&gt;"",COUNTIF('08_资产清单'!$G$2:$G$501,'08_资产清单'!G269)&gt;1),"文件名重复；","")&amp;IF(AND('08_资产清单'!A269&lt;&gt;"",COUNTIF('08_资产清单'!$A$2:$A$501,'08_资产清单'!A269)&gt;1),"ID重复；",""),"")</f>
        <v/>
      </c>
      <c r="G3269" s="14">
        <f>IF(F3269&lt;&gt;"","按字段批注、数据字典和来源记录修正后复核","")</f>
        <v/>
      </c>
      <c r="H3269" s="14">
        <f>IF(F3269&lt;&gt;"","待处理","")</f>
        <v/>
      </c>
    </row>
    <row r="3270">
      <c r="A3270" s="14">
        <f>IF(F3270&lt;&gt;"","ISSUE-"&amp;TEXT(ROW()-1,"00000"),"")</f>
        <v/>
      </c>
      <c r="B3270" s="14">
        <f>IF(F3270&lt;&gt;"","错误","")</f>
        <v/>
      </c>
      <c r="C3270" s="14">
        <f>IF('08_资产清单'!A270&lt;&gt;"","08_资产清单","")</f>
        <v/>
      </c>
      <c r="D3270" s="14">
        <f>IF('08_资产清单'!A270&lt;&gt;"",'08_资产清单'!A270,"")</f>
        <v/>
      </c>
      <c r="E3270" s="14">
        <f>IF(F3270&lt;&gt;"","综合校验","")</f>
        <v/>
      </c>
      <c r="F3270" s="14">
        <f>IF('08_资产清单'!A270&lt;&gt;"",IF('08_资产清单'!A270="","缺少资产ID；","")&amp;IF('08_资产清单'!B270="","缺少资产名称；","")&amp;IF('08_资产清单'!C270="","缺少对象ID；","")&amp;IF('08_资产清单'!D270="","缺少资产类别；","")&amp;IF('08_资产清单'!G270="","缺少文件名；","")&amp;IF(AND('08_资产清单'!C270&lt;&gt;"",COUNTIF('02_固定地理'!$A$2:$A$501,'08_资产清单'!C270)+COUNTIF('03_地点锚点'!$A$2:$A$501,'08_资产清单'!C270)+COUNTIF('04_路径网络'!$A$2:$A$501,'08_资产清单'!C270)+COUNTIF('06_建筑锚点'!$A$2:$A$501,'08_资产清单'!C270)=0),"资产引用对象不存在；","")&amp;IF(AND('08_资产清单'!E270&lt;&gt;"",COUNTIF('07_动态状态'!$A$2:$A$501,'08_资产清单'!E270)=0),"状态编码不存在；","")&amp;IF(AND('08_资产清单'!G270&lt;&gt;"",COUNTIF('08_资产清单'!$G$2:$G$501,'08_资产清单'!G270)&gt;1),"文件名重复；","")&amp;IF(AND('08_资产清单'!A270&lt;&gt;"",COUNTIF('08_资产清单'!$A$2:$A$501,'08_资产清单'!A270)&gt;1),"ID重复；",""),"")</f>
        <v/>
      </c>
      <c r="G3270" s="14">
        <f>IF(F3270&lt;&gt;"","按字段批注、数据字典和来源记录修正后复核","")</f>
        <v/>
      </c>
      <c r="H3270" s="14">
        <f>IF(F3270&lt;&gt;"","待处理","")</f>
        <v/>
      </c>
    </row>
    <row r="3271">
      <c r="A3271" s="14">
        <f>IF(F3271&lt;&gt;"","ISSUE-"&amp;TEXT(ROW()-1,"00000"),"")</f>
        <v/>
      </c>
      <c r="B3271" s="14">
        <f>IF(F3271&lt;&gt;"","错误","")</f>
        <v/>
      </c>
      <c r="C3271" s="14">
        <f>IF('08_资产清单'!A271&lt;&gt;"","08_资产清单","")</f>
        <v/>
      </c>
      <c r="D3271" s="14">
        <f>IF('08_资产清单'!A271&lt;&gt;"",'08_资产清单'!A271,"")</f>
        <v/>
      </c>
      <c r="E3271" s="14">
        <f>IF(F3271&lt;&gt;"","综合校验","")</f>
        <v/>
      </c>
      <c r="F3271" s="14">
        <f>IF('08_资产清单'!A271&lt;&gt;"",IF('08_资产清单'!A271="","缺少资产ID；","")&amp;IF('08_资产清单'!B271="","缺少资产名称；","")&amp;IF('08_资产清单'!C271="","缺少对象ID；","")&amp;IF('08_资产清单'!D271="","缺少资产类别；","")&amp;IF('08_资产清单'!G271="","缺少文件名；","")&amp;IF(AND('08_资产清单'!C271&lt;&gt;"",COUNTIF('02_固定地理'!$A$2:$A$501,'08_资产清单'!C271)+COUNTIF('03_地点锚点'!$A$2:$A$501,'08_资产清单'!C271)+COUNTIF('04_路径网络'!$A$2:$A$501,'08_资产清单'!C271)+COUNTIF('06_建筑锚点'!$A$2:$A$501,'08_资产清单'!C271)=0),"资产引用对象不存在；","")&amp;IF(AND('08_资产清单'!E271&lt;&gt;"",COUNTIF('07_动态状态'!$A$2:$A$501,'08_资产清单'!E271)=0),"状态编码不存在；","")&amp;IF(AND('08_资产清单'!G271&lt;&gt;"",COUNTIF('08_资产清单'!$G$2:$G$501,'08_资产清单'!G271)&gt;1),"文件名重复；","")&amp;IF(AND('08_资产清单'!A271&lt;&gt;"",COUNTIF('08_资产清单'!$A$2:$A$501,'08_资产清单'!A271)&gt;1),"ID重复；",""),"")</f>
        <v/>
      </c>
      <c r="G3271" s="14">
        <f>IF(F3271&lt;&gt;"","按字段批注、数据字典和来源记录修正后复核","")</f>
        <v/>
      </c>
      <c r="H3271" s="14">
        <f>IF(F3271&lt;&gt;"","待处理","")</f>
        <v/>
      </c>
    </row>
    <row r="3272">
      <c r="A3272" s="14">
        <f>IF(F3272&lt;&gt;"","ISSUE-"&amp;TEXT(ROW()-1,"00000"),"")</f>
        <v/>
      </c>
      <c r="B3272" s="14">
        <f>IF(F3272&lt;&gt;"","错误","")</f>
        <v/>
      </c>
      <c r="C3272" s="14">
        <f>IF('08_资产清单'!A272&lt;&gt;"","08_资产清单","")</f>
        <v/>
      </c>
      <c r="D3272" s="14">
        <f>IF('08_资产清单'!A272&lt;&gt;"",'08_资产清单'!A272,"")</f>
        <v/>
      </c>
      <c r="E3272" s="14">
        <f>IF(F3272&lt;&gt;"","综合校验","")</f>
        <v/>
      </c>
      <c r="F3272" s="14">
        <f>IF('08_资产清单'!A272&lt;&gt;"",IF('08_资产清单'!A272="","缺少资产ID；","")&amp;IF('08_资产清单'!B272="","缺少资产名称；","")&amp;IF('08_资产清单'!C272="","缺少对象ID；","")&amp;IF('08_资产清单'!D272="","缺少资产类别；","")&amp;IF('08_资产清单'!G272="","缺少文件名；","")&amp;IF(AND('08_资产清单'!C272&lt;&gt;"",COUNTIF('02_固定地理'!$A$2:$A$501,'08_资产清单'!C272)+COUNTIF('03_地点锚点'!$A$2:$A$501,'08_资产清单'!C272)+COUNTIF('04_路径网络'!$A$2:$A$501,'08_资产清单'!C272)+COUNTIF('06_建筑锚点'!$A$2:$A$501,'08_资产清单'!C272)=0),"资产引用对象不存在；","")&amp;IF(AND('08_资产清单'!E272&lt;&gt;"",COUNTIF('07_动态状态'!$A$2:$A$501,'08_资产清单'!E272)=0),"状态编码不存在；","")&amp;IF(AND('08_资产清单'!G272&lt;&gt;"",COUNTIF('08_资产清单'!$G$2:$G$501,'08_资产清单'!G272)&gt;1),"文件名重复；","")&amp;IF(AND('08_资产清单'!A272&lt;&gt;"",COUNTIF('08_资产清单'!$A$2:$A$501,'08_资产清单'!A272)&gt;1),"ID重复；",""),"")</f>
        <v/>
      </c>
      <c r="G3272" s="14">
        <f>IF(F3272&lt;&gt;"","按字段批注、数据字典和来源记录修正后复核","")</f>
        <v/>
      </c>
      <c r="H3272" s="14">
        <f>IF(F3272&lt;&gt;"","待处理","")</f>
        <v/>
      </c>
    </row>
    <row r="3273">
      <c r="A3273" s="14">
        <f>IF(F3273&lt;&gt;"","ISSUE-"&amp;TEXT(ROW()-1,"00000"),"")</f>
        <v/>
      </c>
      <c r="B3273" s="14">
        <f>IF(F3273&lt;&gt;"","错误","")</f>
        <v/>
      </c>
      <c r="C3273" s="14">
        <f>IF('08_资产清单'!A273&lt;&gt;"","08_资产清单","")</f>
        <v/>
      </c>
      <c r="D3273" s="14">
        <f>IF('08_资产清单'!A273&lt;&gt;"",'08_资产清单'!A273,"")</f>
        <v/>
      </c>
      <c r="E3273" s="14">
        <f>IF(F3273&lt;&gt;"","综合校验","")</f>
        <v/>
      </c>
      <c r="F3273" s="14">
        <f>IF('08_资产清单'!A273&lt;&gt;"",IF('08_资产清单'!A273="","缺少资产ID；","")&amp;IF('08_资产清单'!B273="","缺少资产名称；","")&amp;IF('08_资产清单'!C273="","缺少对象ID；","")&amp;IF('08_资产清单'!D273="","缺少资产类别；","")&amp;IF('08_资产清单'!G273="","缺少文件名；","")&amp;IF(AND('08_资产清单'!C273&lt;&gt;"",COUNTIF('02_固定地理'!$A$2:$A$501,'08_资产清单'!C273)+COUNTIF('03_地点锚点'!$A$2:$A$501,'08_资产清单'!C273)+COUNTIF('04_路径网络'!$A$2:$A$501,'08_资产清单'!C273)+COUNTIF('06_建筑锚点'!$A$2:$A$501,'08_资产清单'!C273)=0),"资产引用对象不存在；","")&amp;IF(AND('08_资产清单'!E273&lt;&gt;"",COUNTIF('07_动态状态'!$A$2:$A$501,'08_资产清单'!E273)=0),"状态编码不存在；","")&amp;IF(AND('08_资产清单'!G273&lt;&gt;"",COUNTIF('08_资产清单'!$G$2:$G$501,'08_资产清单'!G273)&gt;1),"文件名重复；","")&amp;IF(AND('08_资产清单'!A273&lt;&gt;"",COUNTIF('08_资产清单'!$A$2:$A$501,'08_资产清单'!A273)&gt;1),"ID重复；",""),"")</f>
        <v/>
      </c>
      <c r="G3273" s="14">
        <f>IF(F3273&lt;&gt;"","按字段批注、数据字典和来源记录修正后复核","")</f>
        <v/>
      </c>
      <c r="H3273" s="14">
        <f>IF(F3273&lt;&gt;"","待处理","")</f>
        <v/>
      </c>
    </row>
    <row r="3274">
      <c r="A3274" s="14">
        <f>IF(F3274&lt;&gt;"","ISSUE-"&amp;TEXT(ROW()-1,"00000"),"")</f>
        <v/>
      </c>
      <c r="B3274" s="14">
        <f>IF(F3274&lt;&gt;"","错误","")</f>
        <v/>
      </c>
      <c r="C3274" s="14">
        <f>IF('08_资产清单'!A274&lt;&gt;"","08_资产清单","")</f>
        <v/>
      </c>
      <c r="D3274" s="14">
        <f>IF('08_资产清单'!A274&lt;&gt;"",'08_资产清单'!A274,"")</f>
        <v/>
      </c>
      <c r="E3274" s="14">
        <f>IF(F3274&lt;&gt;"","综合校验","")</f>
        <v/>
      </c>
      <c r="F3274" s="14">
        <f>IF('08_资产清单'!A274&lt;&gt;"",IF('08_资产清单'!A274="","缺少资产ID；","")&amp;IF('08_资产清单'!B274="","缺少资产名称；","")&amp;IF('08_资产清单'!C274="","缺少对象ID；","")&amp;IF('08_资产清单'!D274="","缺少资产类别；","")&amp;IF('08_资产清单'!G274="","缺少文件名；","")&amp;IF(AND('08_资产清单'!C274&lt;&gt;"",COUNTIF('02_固定地理'!$A$2:$A$501,'08_资产清单'!C274)+COUNTIF('03_地点锚点'!$A$2:$A$501,'08_资产清单'!C274)+COUNTIF('04_路径网络'!$A$2:$A$501,'08_资产清单'!C274)+COUNTIF('06_建筑锚点'!$A$2:$A$501,'08_资产清单'!C274)=0),"资产引用对象不存在；","")&amp;IF(AND('08_资产清单'!E274&lt;&gt;"",COUNTIF('07_动态状态'!$A$2:$A$501,'08_资产清单'!E274)=0),"状态编码不存在；","")&amp;IF(AND('08_资产清单'!G274&lt;&gt;"",COUNTIF('08_资产清单'!$G$2:$G$501,'08_资产清单'!G274)&gt;1),"文件名重复；","")&amp;IF(AND('08_资产清单'!A274&lt;&gt;"",COUNTIF('08_资产清单'!$A$2:$A$501,'08_资产清单'!A274)&gt;1),"ID重复；",""),"")</f>
        <v/>
      </c>
      <c r="G3274" s="14">
        <f>IF(F3274&lt;&gt;"","按字段批注、数据字典和来源记录修正后复核","")</f>
        <v/>
      </c>
      <c r="H3274" s="14">
        <f>IF(F3274&lt;&gt;"","待处理","")</f>
        <v/>
      </c>
    </row>
    <row r="3275">
      <c r="A3275" s="14">
        <f>IF(F3275&lt;&gt;"","ISSUE-"&amp;TEXT(ROW()-1,"00000"),"")</f>
        <v/>
      </c>
      <c r="B3275" s="14">
        <f>IF(F3275&lt;&gt;"","错误","")</f>
        <v/>
      </c>
      <c r="C3275" s="14">
        <f>IF('08_资产清单'!A275&lt;&gt;"","08_资产清单","")</f>
        <v/>
      </c>
      <c r="D3275" s="14">
        <f>IF('08_资产清单'!A275&lt;&gt;"",'08_资产清单'!A275,"")</f>
        <v/>
      </c>
      <c r="E3275" s="14">
        <f>IF(F3275&lt;&gt;"","综合校验","")</f>
        <v/>
      </c>
      <c r="F3275" s="14">
        <f>IF('08_资产清单'!A275&lt;&gt;"",IF('08_资产清单'!A275="","缺少资产ID；","")&amp;IF('08_资产清单'!B275="","缺少资产名称；","")&amp;IF('08_资产清单'!C275="","缺少对象ID；","")&amp;IF('08_资产清单'!D275="","缺少资产类别；","")&amp;IF('08_资产清单'!G275="","缺少文件名；","")&amp;IF(AND('08_资产清单'!C275&lt;&gt;"",COUNTIF('02_固定地理'!$A$2:$A$501,'08_资产清单'!C275)+COUNTIF('03_地点锚点'!$A$2:$A$501,'08_资产清单'!C275)+COUNTIF('04_路径网络'!$A$2:$A$501,'08_资产清单'!C275)+COUNTIF('06_建筑锚点'!$A$2:$A$501,'08_资产清单'!C275)=0),"资产引用对象不存在；","")&amp;IF(AND('08_资产清单'!E275&lt;&gt;"",COUNTIF('07_动态状态'!$A$2:$A$501,'08_资产清单'!E275)=0),"状态编码不存在；","")&amp;IF(AND('08_资产清单'!G275&lt;&gt;"",COUNTIF('08_资产清单'!$G$2:$G$501,'08_资产清单'!G275)&gt;1),"文件名重复；","")&amp;IF(AND('08_资产清单'!A275&lt;&gt;"",COUNTIF('08_资产清单'!$A$2:$A$501,'08_资产清单'!A275)&gt;1),"ID重复；",""),"")</f>
        <v/>
      </c>
      <c r="G3275" s="14">
        <f>IF(F3275&lt;&gt;"","按字段批注、数据字典和来源记录修正后复核","")</f>
        <v/>
      </c>
      <c r="H3275" s="14">
        <f>IF(F3275&lt;&gt;"","待处理","")</f>
        <v/>
      </c>
    </row>
    <row r="3276">
      <c r="A3276" s="14">
        <f>IF(F3276&lt;&gt;"","ISSUE-"&amp;TEXT(ROW()-1,"00000"),"")</f>
        <v/>
      </c>
      <c r="B3276" s="14">
        <f>IF(F3276&lt;&gt;"","错误","")</f>
        <v/>
      </c>
      <c r="C3276" s="14">
        <f>IF('08_资产清单'!A276&lt;&gt;"","08_资产清单","")</f>
        <v/>
      </c>
      <c r="D3276" s="14">
        <f>IF('08_资产清单'!A276&lt;&gt;"",'08_资产清单'!A276,"")</f>
        <v/>
      </c>
      <c r="E3276" s="14">
        <f>IF(F3276&lt;&gt;"","综合校验","")</f>
        <v/>
      </c>
      <c r="F3276" s="14">
        <f>IF('08_资产清单'!A276&lt;&gt;"",IF('08_资产清单'!A276="","缺少资产ID；","")&amp;IF('08_资产清单'!B276="","缺少资产名称；","")&amp;IF('08_资产清单'!C276="","缺少对象ID；","")&amp;IF('08_资产清单'!D276="","缺少资产类别；","")&amp;IF('08_资产清单'!G276="","缺少文件名；","")&amp;IF(AND('08_资产清单'!C276&lt;&gt;"",COUNTIF('02_固定地理'!$A$2:$A$501,'08_资产清单'!C276)+COUNTIF('03_地点锚点'!$A$2:$A$501,'08_资产清单'!C276)+COUNTIF('04_路径网络'!$A$2:$A$501,'08_资产清单'!C276)+COUNTIF('06_建筑锚点'!$A$2:$A$501,'08_资产清单'!C276)=0),"资产引用对象不存在；","")&amp;IF(AND('08_资产清单'!E276&lt;&gt;"",COUNTIF('07_动态状态'!$A$2:$A$501,'08_资产清单'!E276)=0),"状态编码不存在；","")&amp;IF(AND('08_资产清单'!G276&lt;&gt;"",COUNTIF('08_资产清单'!$G$2:$G$501,'08_资产清单'!G276)&gt;1),"文件名重复；","")&amp;IF(AND('08_资产清单'!A276&lt;&gt;"",COUNTIF('08_资产清单'!$A$2:$A$501,'08_资产清单'!A276)&gt;1),"ID重复；",""),"")</f>
        <v/>
      </c>
      <c r="G3276" s="14">
        <f>IF(F3276&lt;&gt;"","按字段批注、数据字典和来源记录修正后复核","")</f>
        <v/>
      </c>
      <c r="H3276" s="14">
        <f>IF(F3276&lt;&gt;"","待处理","")</f>
        <v/>
      </c>
    </row>
    <row r="3277">
      <c r="A3277" s="14">
        <f>IF(F3277&lt;&gt;"","ISSUE-"&amp;TEXT(ROW()-1,"00000"),"")</f>
        <v/>
      </c>
      <c r="B3277" s="14">
        <f>IF(F3277&lt;&gt;"","错误","")</f>
        <v/>
      </c>
      <c r="C3277" s="14">
        <f>IF('08_资产清单'!A277&lt;&gt;"","08_资产清单","")</f>
        <v/>
      </c>
      <c r="D3277" s="14">
        <f>IF('08_资产清单'!A277&lt;&gt;"",'08_资产清单'!A277,"")</f>
        <v/>
      </c>
      <c r="E3277" s="14">
        <f>IF(F3277&lt;&gt;"","综合校验","")</f>
        <v/>
      </c>
      <c r="F3277" s="14">
        <f>IF('08_资产清单'!A277&lt;&gt;"",IF('08_资产清单'!A277="","缺少资产ID；","")&amp;IF('08_资产清单'!B277="","缺少资产名称；","")&amp;IF('08_资产清单'!C277="","缺少对象ID；","")&amp;IF('08_资产清单'!D277="","缺少资产类别；","")&amp;IF('08_资产清单'!G277="","缺少文件名；","")&amp;IF(AND('08_资产清单'!C277&lt;&gt;"",COUNTIF('02_固定地理'!$A$2:$A$501,'08_资产清单'!C277)+COUNTIF('03_地点锚点'!$A$2:$A$501,'08_资产清单'!C277)+COUNTIF('04_路径网络'!$A$2:$A$501,'08_资产清单'!C277)+COUNTIF('06_建筑锚点'!$A$2:$A$501,'08_资产清单'!C277)=0),"资产引用对象不存在；","")&amp;IF(AND('08_资产清单'!E277&lt;&gt;"",COUNTIF('07_动态状态'!$A$2:$A$501,'08_资产清单'!E277)=0),"状态编码不存在；","")&amp;IF(AND('08_资产清单'!G277&lt;&gt;"",COUNTIF('08_资产清单'!$G$2:$G$501,'08_资产清单'!G277)&gt;1),"文件名重复；","")&amp;IF(AND('08_资产清单'!A277&lt;&gt;"",COUNTIF('08_资产清单'!$A$2:$A$501,'08_资产清单'!A277)&gt;1),"ID重复；",""),"")</f>
        <v/>
      </c>
      <c r="G3277" s="14">
        <f>IF(F3277&lt;&gt;"","按字段批注、数据字典和来源记录修正后复核","")</f>
        <v/>
      </c>
      <c r="H3277" s="14">
        <f>IF(F3277&lt;&gt;"","待处理","")</f>
        <v/>
      </c>
    </row>
    <row r="3278">
      <c r="A3278" s="14">
        <f>IF(F3278&lt;&gt;"","ISSUE-"&amp;TEXT(ROW()-1,"00000"),"")</f>
        <v/>
      </c>
      <c r="B3278" s="14">
        <f>IF(F3278&lt;&gt;"","错误","")</f>
        <v/>
      </c>
      <c r="C3278" s="14">
        <f>IF('08_资产清单'!A278&lt;&gt;"","08_资产清单","")</f>
        <v/>
      </c>
      <c r="D3278" s="14">
        <f>IF('08_资产清单'!A278&lt;&gt;"",'08_资产清单'!A278,"")</f>
        <v/>
      </c>
      <c r="E3278" s="14">
        <f>IF(F3278&lt;&gt;"","综合校验","")</f>
        <v/>
      </c>
      <c r="F3278" s="14">
        <f>IF('08_资产清单'!A278&lt;&gt;"",IF('08_资产清单'!A278="","缺少资产ID；","")&amp;IF('08_资产清单'!B278="","缺少资产名称；","")&amp;IF('08_资产清单'!C278="","缺少对象ID；","")&amp;IF('08_资产清单'!D278="","缺少资产类别；","")&amp;IF('08_资产清单'!G278="","缺少文件名；","")&amp;IF(AND('08_资产清单'!C278&lt;&gt;"",COUNTIF('02_固定地理'!$A$2:$A$501,'08_资产清单'!C278)+COUNTIF('03_地点锚点'!$A$2:$A$501,'08_资产清单'!C278)+COUNTIF('04_路径网络'!$A$2:$A$501,'08_资产清单'!C278)+COUNTIF('06_建筑锚点'!$A$2:$A$501,'08_资产清单'!C278)=0),"资产引用对象不存在；","")&amp;IF(AND('08_资产清单'!E278&lt;&gt;"",COUNTIF('07_动态状态'!$A$2:$A$501,'08_资产清单'!E278)=0),"状态编码不存在；","")&amp;IF(AND('08_资产清单'!G278&lt;&gt;"",COUNTIF('08_资产清单'!$G$2:$G$501,'08_资产清单'!G278)&gt;1),"文件名重复；","")&amp;IF(AND('08_资产清单'!A278&lt;&gt;"",COUNTIF('08_资产清单'!$A$2:$A$501,'08_资产清单'!A278)&gt;1),"ID重复；",""),"")</f>
        <v/>
      </c>
      <c r="G3278" s="14">
        <f>IF(F3278&lt;&gt;"","按字段批注、数据字典和来源记录修正后复核","")</f>
        <v/>
      </c>
      <c r="H3278" s="14">
        <f>IF(F3278&lt;&gt;"","待处理","")</f>
        <v/>
      </c>
    </row>
    <row r="3279">
      <c r="A3279" s="14">
        <f>IF(F3279&lt;&gt;"","ISSUE-"&amp;TEXT(ROW()-1,"00000"),"")</f>
        <v/>
      </c>
      <c r="B3279" s="14">
        <f>IF(F3279&lt;&gt;"","错误","")</f>
        <v/>
      </c>
      <c r="C3279" s="14">
        <f>IF('08_资产清单'!A279&lt;&gt;"","08_资产清单","")</f>
        <v/>
      </c>
      <c r="D3279" s="14">
        <f>IF('08_资产清单'!A279&lt;&gt;"",'08_资产清单'!A279,"")</f>
        <v/>
      </c>
      <c r="E3279" s="14">
        <f>IF(F3279&lt;&gt;"","综合校验","")</f>
        <v/>
      </c>
      <c r="F3279" s="14">
        <f>IF('08_资产清单'!A279&lt;&gt;"",IF('08_资产清单'!A279="","缺少资产ID；","")&amp;IF('08_资产清单'!B279="","缺少资产名称；","")&amp;IF('08_资产清单'!C279="","缺少对象ID；","")&amp;IF('08_资产清单'!D279="","缺少资产类别；","")&amp;IF('08_资产清单'!G279="","缺少文件名；","")&amp;IF(AND('08_资产清单'!C279&lt;&gt;"",COUNTIF('02_固定地理'!$A$2:$A$501,'08_资产清单'!C279)+COUNTIF('03_地点锚点'!$A$2:$A$501,'08_资产清单'!C279)+COUNTIF('04_路径网络'!$A$2:$A$501,'08_资产清单'!C279)+COUNTIF('06_建筑锚点'!$A$2:$A$501,'08_资产清单'!C279)=0),"资产引用对象不存在；","")&amp;IF(AND('08_资产清单'!E279&lt;&gt;"",COUNTIF('07_动态状态'!$A$2:$A$501,'08_资产清单'!E279)=0),"状态编码不存在；","")&amp;IF(AND('08_资产清单'!G279&lt;&gt;"",COUNTIF('08_资产清单'!$G$2:$G$501,'08_资产清单'!G279)&gt;1),"文件名重复；","")&amp;IF(AND('08_资产清单'!A279&lt;&gt;"",COUNTIF('08_资产清单'!$A$2:$A$501,'08_资产清单'!A279)&gt;1),"ID重复；",""),"")</f>
        <v/>
      </c>
      <c r="G3279" s="14">
        <f>IF(F3279&lt;&gt;"","按字段批注、数据字典和来源记录修正后复核","")</f>
        <v/>
      </c>
      <c r="H3279" s="14">
        <f>IF(F3279&lt;&gt;"","待处理","")</f>
        <v/>
      </c>
    </row>
    <row r="3280">
      <c r="A3280" s="14">
        <f>IF(F3280&lt;&gt;"","ISSUE-"&amp;TEXT(ROW()-1,"00000"),"")</f>
        <v/>
      </c>
      <c r="B3280" s="14">
        <f>IF(F3280&lt;&gt;"","错误","")</f>
        <v/>
      </c>
      <c r="C3280" s="14">
        <f>IF('08_资产清单'!A280&lt;&gt;"","08_资产清单","")</f>
        <v/>
      </c>
      <c r="D3280" s="14">
        <f>IF('08_资产清单'!A280&lt;&gt;"",'08_资产清单'!A280,"")</f>
        <v/>
      </c>
      <c r="E3280" s="14">
        <f>IF(F3280&lt;&gt;"","综合校验","")</f>
        <v/>
      </c>
      <c r="F3280" s="14">
        <f>IF('08_资产清单'!A280&lt;&gt;"",IF('08_资产清单'!A280="","缺少资产ID；","")&amp;IF('08_资产清单'!B280="","缺少资产名称；","")&amp;IF('08_资产清单'!C280="","缺少对象ID；","")&amp;IF('08_资产清单'!D280="","缺少资产类别；","")&amp;IF('08_资产清单'!G280="","缺少文件名；","")&amp;IF(AND('08_资产清单'!C280&lt;&gt;"",COUNTIF('02_固定地理'!$A$2:$A$501,'08_资产清单'!C280)+COUNTIF('03_地点锚点'!$A$2:$A$501,'08_资产清单'!C280)+COUNTIF('04_路径网络'!$A$2:$A$501,'08_资产清单'!C280)+COUNTIF('06_建筑锚点'!$A$2:$A$501,'08_资产清单'!C280)=0),"资产引用对象不存在；","")&amp;IF(AND('08_资产清单'!E280&lt;&gt;"",COUNTIF('07_动态状态'!$A$2:$A$501,'08_资产清单'!E280)=0),"状态编码不存在；","")&amp;IF(AND('08_资产清单'!G280&lt;&gt;"",COUNTIF('08_资产清单'!$G$2:$G$501,'08_资产清单'!G280)&gt;1),"文件名重复；","")&amp;IF(AND('08_资产清单'!A280&lt;&gt;"",COUNTIF('08_资产清单'!$A$2:$A$501,'08_资产清单'!A280)&gt;1),"ID重复；",""),"")</f>
        <v/>
      </c>
      <c r="G3280" s="14">
        <f>IF(F3280&lt;&gt;"","按字段批注、数据字典和来源记录修正后复核","")</f>
        <v/>
      </c>
      <c r="H3280" s="14">
        <f>IF(F3280&lt;&gt;"","待处理","")</f>
        <v/>
      </c>
    </row>
    <row r="3281">
      <c r="A3281" s="14">
        <f>IF(F3281&lt;&gt;"","ISSUE-"&amp;TEXT(ROW()-1,"00000"),"")</f>
        <v/>
      </c>
      <c r="B3281" s="14">
        <f>IF(F3281&lt;&gt;"","错误","")</f>
        <v/>
      </c>
      <c r="C3281" s="14">
        <f>IF('08_资产清单'!A281&lt;&gt;"","08_资产清单","")</f>
        <v/>
      </c>
      <c r="D3281" s="14">
        <f>IF('08_资产清单'!A281&lt;&gt;"",'08_资产清单'!A281,"")</f>
        <v/>
      </c>
      <c r="E3281" s="14">
        <f>IF(F3281&lt;&gt;"","综合校验","")</f>
        <v/>
      </c>
      <c r="F3281" s="14">
        <f>IF('08_资产清单'!A281&lt;&gt;"",IF('08_资产清单'!A281="","缺少资产ID；","")&amp;IF('08_资产清单'!B281="","缺少资产名称；","")&amp;IF('08_资产清单'!C281="","缺少对象ID；","")&amp;IF('08_资产清单'!D281="","缺少资产类别；","")&amp;IF('08_资产清单'!G281="","缺少文件名；","")&amp;IF(AND('08_资产清单'!C281&lt;&gt;"",COUNTIF('02_固定地理'!$A$2:$A$501,'08_资产清单'!C281)+COUNTIF('03_地点锚点'!$A$2:$A$501,'08_资产清单'!C281)+COUNTIF('04_路径网络'!$A$2:$A$501,'08_资产清单'!C281)+COUNTIF('06_建筑锚点'!$A$2:$A$501,'08_资产清单'!C281)=0),"资产引用对象不存在；","")&amp;IF(AND('08_资产清单'!E281&lt;&gt;"",COUNTIF('07_动态状态'!$A$2:$A$501,'08_资产清单'!E281)=0),"状态编码不存在；","")&amp;IF(AND('08_资产清单'!G281&lt;&gt;"",COUNTIF('08_资产清单'!$G$2:$G$501,'08_资产清单'!G281)&gt;1),"文件名重复；","")&amp;IF(AND('08_资产清单'!A281&lt;&gt;"",COUNTIF('08_资产清单'!$A$2:$A$501,'08_资产清单'!A281)&gt;1),"ID重复；",""),"")</f>
        <v/>
      </c>
      <c r="G3281" s="14">
        <f>IF(F3281&lt;&gt;"","按字段批注、数据字典和来源记录修正后复核","")</f>
        <v/>
      </c>
      <c r="H3281" s="14">
        <f>IF(F3281&lt;&gt;"","待处理","")</f>
        <v/>
      </c>
    </row>
    <row r="3282">
      <c r="A3282" s="14">
        <f>IF(F3282&lt;&gt;"","ISSUE-"&amp;TEXT(ROW()-1,"00000"),"")</f>
        <v/>
      </c>
      <c r="B3282" s="14">
        <f>IF(F3282&lt;&gt;"","错误","")</f>
        <v/>
      </c>
      <c r="C3282" s="14">
        <f>IF('08_资产清单'!A282&lt;&gt;"","08_资产清单","")</f>
        <v/>
      </c>
      <c r="D3282" s="14">
        <f>IF('08_资产清单'!A282&lt;&gt;"",'08_资产清单'!A282,"")</f>
        <v/>
      </c>
      <c r="E3282" s="14">
        <f>IF(F3282&lt;&gt;"","综合校验","")</f>
        <v/>
      </c>
      <c r="F3282" s="14">
        <f>IF('08_资产清单'!A282&lt;&gt;"",IF('08_资产清单'!A282="","缺少资产ID；","")&amp;IF('08_资产清单'!B282="","缺少资产名称；","")&amp;IF('08_资产清单'!C282="","缺少对象ID；","")&amp;IF('08_资产清单'!D282="","缺少资产类别；","")&amp;IF('08_资产清单'!G282="","缺少文件名；","")&amp;IF(AND('08_资产清单'!C282&lt;&gt;"",COUNTIF('02_固定地理'!$A$2:$A$501,'08_资产清单'!C282)+COUNTIF('03_地点锚点'!$A$2:$A$501,'08_资产清单'!C282)+COUNTIF('04_路径网络'!$A$2:$A$501,'08_资产清单'!C282)+COUNTIF('06_建筑锚点'!$A$2:$A$501,'08_资产清单'!C282)=0),"资产引用对象不存在；","")&amp;IF(AND('08_资产清单'!E282&lt;&gt;"",COUNTIF('07_动态状态'!$A$2:$A$501,'08_资产清单'!E282)=0),"状态编码不存在；","")&amp;IF(AND('08_资产清单'!G282&lt;&gt;"",COUNTIF('08_资产清单'!$G$2:$G$501,'08_资产清单'!G282)&gt;1),"文件名重复；","")&amp;IF(AND('08_资产清单'!A282&lt;&gt;"",COUNTIF('08_资产清单'!$A$2:$A$501,'08_资产清单'!A282)&gt;1),"ID重复；",""),"")</f>
        <v/>
      </c>
      <c r="G3282" s="14">
        <f>IF(F3282&lt;&gt;"","按字段批注、数据字典和来源记录修正后复核","")</f>
        <v/>
      </c>
      <c r="H3282" s="14">
        <f>IF(F3282&lt;&gt;"","待处理","")</f>
        <v/>
      </c>
    </row>
    <row r="3283">
      <c r="A3283" s="14">
        <f>IF(F3283&lt;&gt;"","ISSUE-"&amp;TEXT(ROW()-1,"00000"),"")</f>
        <v/>
      </c>
      <c r="B3283" s="14">
        <f>IF(F3283&lt;&gt;"","错误","")</f>
        <v/>
      </c>
      <c r="C3283" s="14">
        <f>IF('08_资产清单'!A283&lt;&gt;"","08_资产清单","")</f>
        <v/>
      </c>
      <c r="D3283" s="14">
        <f>IF('08_资产清单'!A283&lt;&gt;"",'08_资产清单'!A283,"")</f>
        <v/>
      </c>
      <c r="E3283" s="14">
        <f>IF(F3283&lt;&gt;"","综合校验","")</f>
        <v/>
      </c>
      <c r="F3283" s="14">
        <f>IF('08_资产清单'!A283&lt;&gt;"",IF('08_资产清单'!A283="","缺少资产ID；","")&amp;IF('08_资产清单'!B283="","缺少资产名称；","")&amp;IF('08_资产清单'!C283="","缺少对象ID；","")&amp;IF('08_资产清单'!D283="","缺少资产类别；","")&amp;IF('08_资产清单'!G283="","缺少文件名；","")&amp;IF(AND('08_资产清单'!C283&lt;&gt;"",COUNTIF('02_固定地理'!$A$2:$A$501,'08_资产清单'!C283)+COUNTIF('03_地点锚点'!$A$2:$A$501,'08_资产清单'!C283)+COUNTIF('04_路径网络'!$A$2:$A$501,'08_资产清单'!C283)+COUNTIF('06_建筑锚点'!$A$2:$A$501,'08_资产清单'!C283)=0),"资产引用对象不存在；","")&amp;IF(AND('08_资产清单'!E283&lt;&gt;"",COUNTIF('07_动态状态'!$A$2:$A$501,'08_资产清单'!E283)=0),"状态编码不存在；","")&amp;IF(AND('08_资产清单'!G283&lt;&gt;"",COUNTIF('08_资产清单'!$G$2:$G$501,'08_资产清单'!G283)&gt;1),"文件名重复；","")&amp;IF(AND('08_资产清单'!A283&lt;&gt;"",COUNTIF('08_资产清单'!$A$2:$A$501,'08_资产清单'!A283)&gt;1),"ID重复；",""),"")</f>
        <v/>
      </c>
      <c r="G3283" s="14">
        <f>IF(F3283&lt;&gt;"","按字段批注、数据字典和来源记录修正后复核","")</f>
        <v/>
      </c>
      <c r="H3283" s="14">
        <f>IF(F3283&lt;&gt;"","待处理","")</f>
        <v/>
      </c>
    </row>
    <row r="3284">
      <c r="A3284" s="14">
        <f>IF(F3284&lt;&gt;"","ISSUE-"&amp;TEXT(ROW()-1,"00000"),"")</f>
        <v/>
      </c>
      <c r="B3284" s="14">
        <f>IF(F3284&lt;&gt;"","错误","")</f>
        <v/>
      </c>
      <c r="C3284" s="14">
        <f>IF('08_资产清单'!A284&lt;&gt;"","08_资产清单","")</f>
        <v/>
      </c>
      <c r="D3284" s="14">
        <f>IF('08_资产清单'!A284&lt;&gt;"",'08_资产清单'!A284,"")</f>
        <v/>
      </c>
      <c r="E3284" s="14">
        <f>IF(F3284&lt;&gt;"","综合校验","")</f>
        <v/>
      </c>
      <c r="F3284" s="14">
        <f>IF('08_资产清单'!A284&lt;&gt;"",IF('08_资产清单'!A284="","缺少资产ID；","")&amp;IF('08_资产清单'!B284="","缺少资产名称；","")&amp;IF('08_资产清单'!C284="","缺少对象ID；","")&amp;IF('08_资产清单'!D284="","缺少资产类别；","")&amp;IF('08_资产清单'!G284="","缺少文件名；","")&amp;IF(AND('08_资产清单'!C284&lt;&gt;"",COUNTIF('02_固定地理'!$A$2:$A$501,'08_资产清单'!C284)+COUNTIF('03_地点锚点'!$A$2:$A$501,'08_资产清单'!C284)+COUNTIF('04_路径网络'!$A$2:$A$501,'08_资产清单'!C284)+COUNTIF('06_建筑锚点'!$A$2:$A$501,'08_资产清单'!C284)=0),"资产引用对象不存在；","")&amp;IF(AND('08_资产清单'!E284&lt;&gt;"",COUNTIF('07_动态状态'!$A$2:$A$501,'08_资产清单'!E284)=0),"状态编码不存在；","")&amp;IF(AND('08_资产清单'!G284&lt;&gt;"",COUNTIF('08_资产清单'!$G$2:$G$501,'08_资产清单'!G284)&gt;1),"文件名重复；","")&amp;IF(AND('08_资产清单'!A284&lt;&gt;"",COUNTIF('08_资产清单'!$A$2:$A$501,'08_资产清单'!A284)&gt;1),"ID重复；",""),"")</f>
        <v/>
      </c>
      <c r="G3284" s="14">
        <f>IF(F3284&lt;&gt;"","按字段批注、数据字典和来源记录修正后复核","")</f>
        <v/>
      </c>
      <c r="H3284" s="14">
        <f>IF(F3284&lt;&gt;"","待处理","")</f>
        <v/>
      </c>
    </row>
    <row r="3285">
      <c r="A3285" s="14">
        <f>IF(F3285&lt;&gt;"","ISSUE-"&amp;TEXT(ROW()-1,"00000"),"")</f>
        <v/>
      </c>
      <c r="B3285" s="14">
        <f>IF(F3285&lt;&gt;"","错误","")</f>
        <v/>
      </c>
      <c r="C3285" s="14">
        <f>IF('08_资产清单'!A285&lt;&gt;"","08_资产清单","")</f>
        <v/>
      </c>
      <c r="D3285" s="14">
        <f>IF('08_资产清单'!A285&lt;&gt;"",'08_资产清单'!A285,"")</f>
        <v/>
      </c>
      <c r="E3285" s="14">
        <f>IF(F3285&lt;&gt;"","综合校验","")</f>
        <v/>
      </c>
      <c r="F3285" s="14">
        <f>IF('08_资产清单'!A285&lt;&gt;"",IF('08_资产清单'!A285="","缺少资产ID；","")&amp;IF('08_资产清单'!B285="","缺少资产名称；","")&amp;IF('08_资产清单'!C285="","缺少对象ID；","")&amp;IF('08_资产清单'!D285="","缺少资产类别；","")&amp;IF('08_资产清单'!G285="","缺少文件名；","")&amp;IF(AND('08_资产清单'!C285&lt;&gt;"",COUNTIF('02_固定地理'!$A$2:$A$501,'08_资产清单'!C285)+COUNTIF('03_地点锚点'!$A$2:$A$501,'08_资产清单'!C285)+COUNTIF('04_路径网络'!$A$2:$A$501,'08_资产清单'!C285)+COUNTIF('06_建筑锚点'!$A$2:$A$501,'08_资产清单'!C285)=0),"资产引用对象不存在；","")&amp;IF(AND('08_资产清单'!E285&lt;&gt;"",COUNTIF('07_动态状态'!$A$2:$A$501,'08_资产清单'!E285)=0),"状态编码不存在；","")&amp;IF(AND('08_资产清单'!G285&lt;&gt;"",COUNTIF('08_资产清单'!$G$2:$G$501,'08_资产清单'!G285)&gt;1),"文件名重复；","")&amp;IF(AND('08_资产清单'!A285&lt;&gt;"",COUNTIF('08_资产清单'!$A$2:$A$501,'08_资产清单'!A285)&gt;1),"ID重复；",""),"")</f>
        <v/>
      </c>
      <c r="G3285" s="14">
        <f>IF(F3285&lt;&gt;"","按字段批注、数据字典和来源记录修正后复核","")</f>
        <v/>
      </c>
      <c r="H3285" s="14">
        <f>IF(F3285&lt;&gt;"","待处理","")</f>
        <v/>
      </c>
    </row>
    <row r="3286">
      <c r="A3286" s="14">
        <f>IF(F3286&lt;&gt;"","ISSUE-"&amp;TEXT(ROW()-1,"00000"),"")</f>
        <v/>
      </c>
      <c r="B3286" s="14">
        <f>IF(F3286&lt;&gt;"","错误","")</f>
        <v/>
      </c>
      <c r="C3286" s="14">
        <f>IF('08_资产清单'!A286&lt;&gt;"","08_资产清单","")</f>
        <v/>
      </c>
      <c r="D3286" s="14">
        <f>IF('08_资产清单'!A286&lt;&gt;"",'08_资产清单'!A286,"")</f>
        <v/>
      </c>
      <c r="E3286" s="14">
        <f>IF(F3286&lt;&gt;"","综合校验","")</f>
        <v/>
      </c>
      <c r="F3286" s="14">
        <f>IF('08_资产清单'!A286&lt;&gt;"",IF('08_资产清单'!A286="","缺少资产ID；","")&amp;IF('08_资产清单'!B286="","缺少资产名称；","")&amp;IF('08_资产清单'!C286="","缺少对象ID；","")&amp;IF('08_资产清单'!D286="","缺少资产类别；","")&amp;IF('08_资产清单'!G286="","缺少文件名；","")&amp;IF(AND('08_资产清单'!C286&lt;&gt;"",COUNTIF('02_固定地理'!$A$2:$A$501,'08_资产清单'!C286)+COUNTIF('03_地点锚点'!$A$2:$A$501,'08_资产清单'!C286)+COUNTIF('04_路径网络'!$A$2:$A$501,'08_资产清单'!C286)+COUNTIF('06_建筑锚点'!$A$2:$A$501,'08_资产清单'!C286)=0),"资产引用对象不存在；","")&amp;IF(AND('08_资产清单'!E286&lt;&gt;"",COUNTIF('07_动态状态'!$A$2:$A$501,'08_资产清单'!E286)=0),"状态编码不存在；","")&amp;IF(AND('08_资产清单'!G286&lt;&gt;"",COUNTIF('08_资产清单'!$G$2:$G$501,'08_资产清单'!G286)&gt;1),"文件名重复；","")&amp;IF(AND('08_资产清单'!A286&lt;&gt;"",COUNTIF('08_资产清单'!$A$2:$A$501,'08_资产清单'!A286)&gt;1),"ID重复；",""),"")</f>
        <v/>
      </c>
      <c r="G3286" s="14">
        <f>IF(F3286&lt;&gt;"","按字段批注、数据字典和来源记录修正后复核","")</f>
        <v/>
      </c>
      <c r="H3286" s="14">
        <f>IF(F3286&lt;&gt;"","待处理","")</f>
        <v/>
      </c>
    </row>
    <row r="3287">
      <c r="A3287" s="14">
        <f>IF(F3287&lt;&gt;"","ISSUE-"&amp;TEXT(ROW()-1,"00000"),"")</f>
        <v/>
      </c>
      <c r="B3287" s="14">
        <f>IF(F3287&lt;&gt;"","错误","")</f>
        <v/>
      </c>
      <c r="C3287" s="14">
        <f>IF('08_资产清单'!A287&lt;&gt;"","08_资产清单","")</f>
        <v/>
      </c>
      <c r="D3287" s="14">
        <f>IF('08_资产清单'!A287&lt;&gt;"",'08_资产清单'!A287,"")</f>
        <v/>
      </c>
      <c r="E3287" s="14">
        <f>IF(F3287&lt;&gt;"","综合校验","")</f>
        <v/>
      </c>
      <c r="F3287" s="14">
        <f>IF('08_资产清单'!A287&lt;&gt;"",IF('08_资产清单'!A287="","缺少资产ID；","")&amp;IF('08_资产清单'!B287="","缺少资产名称；","")&amp;IF('08_资产清单'!C287="","缺少对象ID；","")&amp;IF('08_资产清单'!D287="","缺少资产类别；","")&amp;IF('08_资产清单'!G287="","缺少文件名；","")&amp;IF(AND('08_资产清单'!C287&lt;&gt;"",COUNTIF('02_固定地理'!$A$2:$A$501,'08_资产清单'!C287)+COUNTIF('03_地点锚点'!$A$2:$A$501,'08_资产清单'!C287)+COUNTIF('04_路径网络'!$A$2:$A$501,'08_资产清单'!C287)+COUNTIF('06_建筑锚点'!$A$2:$A$501,'08_资产清单'!C287)=0),"资产引用对象不存在；","")&amp;IF(AND('08_资产清单'!E287&lt;&gt;"",COUNTIF('07_动态状态'!$A$2:$A$501,'08_资产清单'!E287)=0),"状态编码不存在；","")&amp;IF(AND('08_资产清单'!G287&lt;&gt;"",COUNTIF('08_资产清单'!$G$2:$G$501,'08_资产清单'!G287)&gt;1),"文件名重复；","")&amp;IF(AND('08_资产清单'!A287&lt;&gt;"",COUNTIF('08_资产清单'!$A$2:$A$501,'08_资产清单'!A287)&gt;1),"ID重复；",""),"")</f>
        <v/>
      </c>
      <c r="G3287" s="14">
        <f>IF(F3287&lt;&gt;"","按字段批注、数据字典和来源记录修正后复核","")</f>
        <v/>
      </c>
      <c r="H3287" s="14">
        <f>IF(F3287&lt;&gt;"","待处理","")</f>
        <v/>
      </c>
    </row>
    <row r="3288">
      <c r="A3288" s="14">
        <f>IF(F3288&lt;&gt;"","ISSUE-"&amp;TEXT(ROW()-1,"00000"),"")</f>
        <v/>
      </c>
      <c r="B3288" s="14">
        <f>IF(F3288&lt;&gt;"","错误","")</f>
        <v/>
      </c>
      <c r="C3288" s="14">
        <f>IF('08_资产清单'!A288&lt;&gt;"","08_资产清单","")</f>
        <v/>
      </c>
      <c r="D3288" s="14">
        <f>IF('08_资产清单'!A288&lt;&gt;"",'08_资产清单'!A288,"")</f>
        <v/>
      </c>
      <c r="E3288" s="14">
        <f>IF(F3288&lt;&gt;"","综合校验","")</f>
        <v/>
      </c>
      <c r="F3288" s="14">
        <f>IF('08_资产清单'!A288&lt;&gt;"",IF('08_资产清单'!A288="","缺少资产ID；","")&amp;IF('08_资产清单'!B288="","缺少资产名称；","")&amp;IF('08_资产清单'!C288="","缺少对象ID；","")&amp;IF('08_资产清单'!D288="","缺少资产类别；","")&amp;IF('08_资产清单'!G288="","缺少文件名；","")&amp;IF(AND('08_资产清单'!C288&lt;&gt;"",COUNTIF('02_固定地理'!$A$2:$A$501,'08_资产清单'!C288)+COUNTIF('03_地点锚点'!$A$2:$A$501,'08_资产清单'!C288)+COUNTIF('04_路径网络'!$A$2:$A$501,'08_资产清单'!C288)+COUNTIF('06_建筑锚点'!$A$2:$A$501,'08_资产清单'!C288)=0),"资产引用对象不存在；","")&amp;IF(AND('08_资产清单'!E288&lt;&gt;"",COUNTIF('07_动态状态'!$A$2:$A$501,'08_资产清单'!E288)=0),"状态编码不存在；","")&amp;IF(AND('08_资产清单'!G288&lt;&gt;"",COUNTIF('08_资产清单'!$G$2:$G$501,'08_资产清单'!G288)&gt;1),"文件名重复；","")&amp;IF(AND('08_资产清单'!A288&lt;&gt;"",COUNTIF('08_资产清单'!$A$2:$A$501,'08_资产清单'!A288)&gt;1),"ID重复；",""),"")</f>
        <v/>
      </c>
      <c r="G3288" s="14">
        <f>IF(F3288&lt;&gt;"","按字段批注、数据字典和来源记录修正后复核","")</f>
        <v/>
      </c>
      <c r="H3288" s="14">
        <f>IF(F3288&lt;&gt;"","待处理","")</f>
        <v/>
      </c>
    </row>
    <row r="3289">
      <c r="A3289" s="14">
        <f>IF(F3289&lt;&gt;"","ISSUE-"&amp;TEXT(ROW()-1,"00000"),"")</f>
        <v/>
      </c>
      <c r="B3289" s="14">
        <f>IF(F3289&lt;&gt;"","错误","")</f>
        <v/>
      </c>
      <c r="C3289" s="14">
        <f>IF('08_资产清单'!A289&lt;&gt;"","08_资产清单","")</f>
        <v/>
      </c>
      <c r="D3289" s="14">
        <f>IF('08_资产清单'!A289&lt;&gt;"",'08_资产清单'!A289,"")</f>
        <v/>
      </c>
      <c r="E3289" s="14">
        <f>IF(F3289&lt;&gt;"","综合校验","")</f>
        <v/>
      </c>
      <c r="F3289" s="14">
        <f>IF('08_资产清单'!A289&lt;&gt;"",IF('08_资产清单'!A289="","缺少资产ID；","")&amp;IF('08_资产清单'!B289="","缺少资产名称；","")&amp;IF('08_资产清单'!C289="","缺少对象ID；","")&amp;IF('08_资产清单'!D289="","缺少资产类别；","")&amp;IF('08_资产清单'!G289="","缺少文件名；","")&amp;IF(AND('08_资产清单'!C289&lt;&gt;"",COUNTIF('02_固定地理'!$A$2:$A$501,'08_资产清单'!C289)+COUNTIF('03_地点锚点'!$A$2:$A$501,'08_资产清单'!C289)+COUNTIF('04_路径网络'!$A$2:$A$501,'08_资产清单'!C289)+COUNTIF('06_建筑锚点'!$A$2:$A$501,'08_资产清单'!C289)=0),"资产引用对象不存在；","")&amp;IF(AND('08_资产清单'!E289&lt;&gt;"",COUNTIF('07_动态状态'!$A$2:$A$501,'08_资产清单'!E289)=0),"状态编码不存在；","")&amp;IF(AND('08_资产清单'!G289&lt;&gt;"",COUNTIF('08_资产清单'!$G$2:$G$501,'08_资产清单'!G289)&gt;1),"文件名重复；","")&amp;IF(AND('08_资产清单'!A289&lt;&gt;"",COUNTIF('08_资产清单'!$A$2:$A$501,'08_资产清单'!A289)&gt;1),"ID重复；",""),"")</f>
        <v/>
      </c>
      <c r="G3289" s="14">
        <f>IF(F3289&lt;&gt;"","按字段批注、数据字典和来源记录修正后复核","")</f>
        <v/>
      </c>
      <c r="H3289" s="14">
        <f>IF(F3289&lt;&gt;"","待处理","")</f>
        <v/>
      </c>
    </row>
    <row r="3290">
      <c r="A3290" s="14">
        <f>IF(F3290&lt;&gt;"","ISSUE-"&amp;TEXT(ROW()-1,"00000"),"")</f>
        <v/>
      </c>
      <c r="B3290" s="14">
        <f>IF(F3290&lt;&gt;"","错误","")</f>
        <v/>
      </c>
      <c r="C3290" s="14">
        <f>IF('08_资产清单'!A290&lt;&gt;"","08_资产清单","")</f>
        <v/>
      </c>
      <c r="D3290" s="14">
        <f>IF('08_资产清单'!A290&lt;&gt;"",'08_资产清单'!A290,"")</f>
        <v/>
      </c>
      <c r="E3290" s="14">
        <f>IF(F3290&lt;&gt;"","综合校验","")</f>
        <v/>
      </c>
      <c r="F3290" s="14">
        <f>IF('08_资产清单'!A290&lt;&gt;"",IF('08_资产清单'!A290="","缺少资产ID；","")&amp;IF('08_资产清单'!B290="","缺少资产名称；","")&amp;IF('08_资产清单'!C290="","缺少对象ID；","")&amp;IF('08_资产清单'!D290="","缺少资产类别；","")&amp;IF('08_资产清单'!G290="","缺少文件名；","")&amp;IF(AND('08_资产清单'!C290&lt;&gt;"",COUNTIF('02_固定地理'!$A$2:$A$501,'08_资产清单'!C290)+COUNTIF('03_地点锚点'!$A$2:$A$501,'08_资产清单'!C290)+COUNTIF('04_路径网络'!$A$2:$A$501,'08_资产清单'!C290)+COUNTIF('06_建筑锚点'!$A$2:$A$501,'08_资产清单'!C290)=0),"资产引用对象不存在；","")&amp;IF(AND('08_资产清单'!E290&lt;&gt;"",COUNTIF('07_动态状态'!$A$2:$A$501,'08_资产清单'!E290)=0),"状态编码不存在；","")&amp;IF(AND('08_资产清单'!G290&lt;&gt;"",COUNTIF('08_资产清单'!$G$2:$G$501,'08_资产清单'!G290)&gt;1),"文件名重复；","")&amp;IF(AND('08_资产清单'!A290&lt;&gt;"",COUNTIF('08_资产清单'!$A$2:$A$501,'08_资产清单'!A290)&gt;1),"ID重复；",""),"")</f>
        <v/>
      </c>
      <c r="G3290" s="14">
        <f>IF(F3290&lt;&gt;"","按字段批注、数据字典和来源记录修正后复核","")</f>
        <v/>
      </c>
      <c r="H3290" s="14">
        <f>IF(F3290&lt;&gt;"","待处理","")</f>
        <v/>
      </c>
    </row>
    <row r="3291">
      <c r="A3291" s="14">
        <f>IF(F3291&lt;&gt;"","ISSUE-"&amp;TEXT(ROW()-1,"00000"),"")</f>
        <v/>
      </c>
      <c r="B3291" s="14">
        <f>IF(F3291&lt;&gt;"","错误","")</f>
        <v/>
      </c>
      <c r="C3291" s="14">
        <f>IF('08_资产清单'!A291&lt;&gt;"","08_资产清单","")</f>
        <v/>
      </c>
      <c r="D3291" s="14">
        <f>IF('08_资产清单'!A291&lt;&gt;"",'08_资产清单'!A291,"")</f>
        <v/>
      </c>
      <c r="E3291" s="14">
        <f>IF(F3291&lt;&gt;"","综合校验","")</f>
        <v/>
      </c>
      <c r="F3291" s="14">
        <f>IF('08_资产清单'!A291&lt;&gt;"",IF('08_资产清单'!A291="","缺少资产ID；","")&amp;IF('08_资产清单'!B291="","缺少资产名称；","")&amp;IF('08_资产清单'!C291="","缺少对象ID；","")&amp;IF('08_资产清单'!D291="","缺少资产类别；","")&amp;IF('08_资产清单'!G291="","缺少文件名；","")&amp;IF(AND('08_资产清单'!C291&lt;&gt;"",COUNTIF('02_固定地理'!$A$2:$A$501,'08_资产清单'!C291)+COUNTIF('03_地点锚点'!$A$2:$A$501,'08_资产清单'!C291)+COUNTIF('04_路径网络'!$A$2:$A$501,'08_资产清单'!C291)+COUNTIF('06_建筑锚点'!$A$2:$A$501,'08_资产清单'!C291)=0),"资产引用对象不存在；","")&amp;IF(AND('08_资产清单'!E291&lt;&gt;"",COUNTIF('07_动态状态'!$A$2:$A$501,'08_资产清单'!E291)=0),"状态编码不存在；","")&amp;IF(AND('08_资产清单'!G291&lt;&gt;"",COUNTIF('08_资产清单'!$G$2:$G$501,'08_资产清单'!G291)&gt;1),"文件名重复；","")&amp;IF(AND('08_资产清单'!A291&lt;&gt;"",COUNTIF('08_资产清单'!$A$2:$A$501,'08_资产清单'!A291)&gt;1),"ID重复；",""),"")</f>
        <v/>
      </c>
      <c r="G3291" s="14">
        <f>IF(F3291&lt;&gt;"","按字段批注、数据字典和来源记录修正后复核","")</f>
        <v/>
      </c>
      <c r="H3291" s="14">
        <f>IF(F3291&lt;&gt;"","待处理","")</f>
        <v/>
      </c>
    </row>
    <row r="3292">
      <c r="A3292" s="14">
        <f>IF(F3292&lt;&gt;"","ISSUE-"&amp;TEXT(ROW()-1,"00000"),"")</f>
        <v/>
      </c>
      <c r="B3292" s="14">
        <f>IF(F3292&lt;&gt;"","错误","")</f>
        <v/>
      </c>
      <c r="C3292" s="14">
        <f>IF('08_资产清单'!A292&lt;&gt;"","08_资产清单","")</f>
        <v/>
      </c>
      <c r="D3292" s="14">
        <f>IF('08_资产清单'!A292&lt;&gt;"",'08_资产清单'!A292,"")</f>
        <v/>
      </c>
      <c r="E3292" s="14">
        <f>IF(F3292&lt;&gt;"","综合校验","")</f>
        <v/>
      </c>
      <c r="F3292" s="14">
        <f>IF('08_资产清单'!A292&lt;&gt;"",IF('08_资产清单'!A292="","缺少资产ID；","")&amp;IF('08_资产清单'!B292="","缺少资产名称；","")&amp;IF('08_资产清单'!C292="","缺少对象ID；","")&amp;IF('08_资产清单'!D292="","缺少资产类别；","")&amp;IF('08_资产清单'!G292="","缺少文件名；","")&amp;IF(AND('08_资产清单'!C292&lt;&gt;"",COUNTIF('02_固定地理'!$A$2:$A$501,'08_资产清单'!C292)+COUNTIF('03_地点锚点'!$A$2:$A$501,'08_资产清单'!C292)+COUNTIF('04_路径网络'!$A$2:$A$501,'08_资产清单'!C292)+COUNTIF('06_建筑锚点'!$A$2:$A$501,'08_资产清单'!C292)=0),"资产引用对象不存在；","")&amp;IF(AND('08_资产清单'!E292&lt;&gt;"",COUNTIF('07_动态状态'!$A$2:$A$501,'08_资产清单'!E292)=0),"状态编码不存在；","")&amp;IF(AND('08_资产清单'!G292&lt;&gt;"",COUNTIF('08_资产清单'!$G$2:$G$501,'08_资产清单'!G292)&gt;1),"文件名重复；","")&amp;IF(AND('08_资产清单'!A292&lt;&gt;"",COUNTIF('08_资产清单'!$A$2:$A$501,'08_资产清单'!A292)&gt;1),"ID重复；",""),"")</f>
        <v/>
      </c>
      <c r="G3292" s="14">
        <f>IF(F3292&lt;&gt;"","按字段批注、数据字典和来源记录修正后复核","")</f>
        <v/>
      </c>
      <c r="H3292" s="14">
        <f>IF(F3292&lt;&gt;"","待处理","")</f>
        <v/>
      </c>
    </row>
    <row r="3293">
      <c r="A3293" s="14">
        <f>IF(F3293&lt;&gt;"","ISSUE-"&amp;TEXT(ROW()-1,"00000"),"")</f>
        <v/>
      </c>
      <c r="B3293" s="14">
        <f>IF(F3293&lt;&gt;"","错误","")</f>
        <v/>
      </c>
      <c r="C3293" s="14">
        <f>IF('08_资产清单'!A293&lt;&gt;"","08_资产清单","")</f>
        <v/>
      </c>
      <c r="D3293" s="14">
        <f>IF('08_资产清单'!A293&lt;&gt;"",'08_资产清单'!A293,"")</f>
        <v/>
      </c>
      <c r="E3293" s="14">
        <f>IF(F3293&lt;&gt;"","综合校验","")</f>
        <v/>
      </c>
      <c r="F3293" s="14">
        <f>IF('08_资产清单'!A293&lt;&gt;"",IF('08_资产清单'!A293="","缺少资产ID；","")&amp;IF('08_资产清单'!B293="","缺少资产名称；","")&amp;IF('08_资产清单'!C293="","缺少对象ID；","")&amp;IF('08_资产清单'!D293="","缺少资产类别；","")&amp;IF('08_资产清单'!G293="","缺少文件名；","")&amp;IF(AND('08_资产清单'!C293&lt;&gt;"",COUNTIF('02_固定地理'!$A$2:$A$501,'08_资产清单'!C293)+COUNTIF('03_地点锚点'!$A$2:$A$501,'08_资产清单'!C293)+COUNTIF('04_路径网络'!$A$2:$A$501,'08_资产清单'!C293)+COUNTIF('06_建筑锚点'!$A$2:$A$501,'08_资产清单'!C293)=0),"资产引用对象不存在；","")&amp;IF(AND('08_资产清单'!E293&lt;&gt;"",COUNTIF('07_动态状态'!$A$2:$A$501,'08_资产清单'!E293)=0),"状态编码不存在；","")&amp;IF(AND('08_资产清单'!G293&lt;&gt;"",COUNTIF('08_资产清单'!$G$2:$G$501,'08_资产清单'!G293)&gt;1),"文件名重复；","")&amp;IF(AND('08_资产清单'!A293&lt;&gt;"",COUNTIF('08_资产清单'!$A$2:$A$501,'08_资产清单'!A293)&gt;1),"ID重复；",""),"")</f>
        <v/>
      </c>
      <c r="G3293" s="14">
        <f>IF(F3293&lt;&gt;"","按字段批注、数据字典和来源记录修正后复核","")</f>
        <v/>
      </c>
      <c r="H3293" s="14">
        <f>IF(F3293&lt;&gt;"","待处理","")</f>
        <v/>
      </c>
    </row>
    <row r="3294">
      <c r="A3294" s="14">
        <f>IF(F3294&lt;&gt;"","ISSUE-"&amp;TEXT(ROW()-1,"00000"),"")</f>
        <v/>
      </c>
      <c r="B3294" s="14">
        <f>IF(F3294&lt;&gt;"","错误","")</f>
        <v/>
      </c>
      <c r="C3294" s="14">
        <f>IF('08_资产清单'!A294&lt;&gt;"","08_资产清单","")</f>
        <v/>
      </c>
      <c r="D3294" s="14">
        <f>IF('08_资产清单'!A294&lt;&gt;"",'08_资产清单'!A294,"")</f>
        <v/>
      </c>
      <c r="E3294" s="14">
        <f>IF(F3294&lt;&gt;"","综合校验","")</f>
        <v/>
      </c>
      <c r="F3294" s="14">
        <f>IF('08_资产清单'!A294&lt;&gt;"",IF('08_资产清单'!A294="","缺少资产ID；","")&amp;IF('08_资产清单'!B294="","缺少资产名称；","")&amp;IF('08_资产清单'!C294="","缺少对象ID；","")&amp;IF('08_资产清单'!D294="","缺少资产类别；","")&amp;IF('08_资产清单'!G294="","缺少文件名；","")&amp;IF(AND('08_资产清单'!C294&lt;&gt;"",COUNTIF('02_固定地理'!$A$2:$A$501,'08_资产清单'!C294)+COUNTIF('03_地点锚点'!$A$2:$A$501,'08_资产清单'!C294)+COUNTIF('04_路径网络'!$A$2:$A$501,'08_资产清单'!C294)+COUNTIF('06_建筑锚点'!$A$2:$A$501,'08_资产清单'!C294)=0),"资产引用对象不存在；","")&amp;IF(AND('08_资产清单'!E294&lt;&gt;"",COUNTIF('07_动态状态'!$A$2:$A$501,'08_资产清单'!E294)=0),"状态编码不存在；","")&amp;IF(AND('08_资产清单'!G294&lt;&gt;"",COUNTIF('08_资产清单'!$G$2:$G$501,'08_资产清单'!G294)&gt;1),"文件名重复；","")&amp;IF(AND('08_资产清单'!A294&lt;&gt;"",COUNTIF('08_资产清单'!$A$2:$A$501,'08_资产清单'!A294)&gt;1),"ID重复；",""),"")</f>
        <v/>
      </c>
      <c r="G3294" s="14">
        <f>IF(F3294&lt;&gt;"","按字段批注、数据字典和来源记录修正后复核","")</f>
        <v/>
      </c>
      <c r="H3294" s="14">
        <f>IF(F3294&lt;&gt;"","待处理","")</f>
        <v/>
      </c>
    </row>
    <row r="3295">
      <c r="A3295" s="14">
        <f>IF(F3295&lt;&gt;"","ISSUE-"&amp;TEXT(ROW()-1,"00000"),"")</f>
        <v/>
      </c>
      <c r="B3295" s="14">
        <f>IF(F3295&lt;&gt;"","错误","")</f>
        <v/>
      </c>
      <c r="C3295" s="14">
        <f>IF('08_资产清单'!A295&lt;&gt;"","08_资产清单","")</f>
        <v/>
      </c>
      <c r="D3295" s="14">
        <f>IF('08_资产清单'!A295&lt;&gt;"",'08_资产清单'!A295,"")</f>
        <v/>
      </c>
      <c r="E3295" s="14">
        <f>IF(F3295&lt;&gt;"","综合校验","")</f>
        <v/>
      </c>
      <c r="F3295" s="14">
        <f>IF('08_资产清单'!A295&lt;&gt;"",IF('08_资产清单'!A295="","缺少资产ID；","")&amp;IF('08_资产清单'!B295="","缺少资产名称；","")&amp;IF('08_资产清单'!C295="","缺少对象ID；","")&amp;IF('08_资产清单'!D295="","缺少资产类别；","")&amp;IF('08_资产清单'!G295="","缺少文件名；","")&amp;IF(AND('08_资产清单'!C295&lt;&gt;"",COUNTIF('02_固定地理'!$A$2:$A$501,'08_资产清单'!C295)+COUNTIF('03_地点锚点'!$A$2:$A$501,'08_资产清单'!C295)+COUNTIF('04_路径网络'!$A$2:$A$501,'08_资产清单'!C295)+COUNTIF('06_建筑锚点'!$A$2:$A$501,'08_资产清单'!C295)=0),"资产引用对象不存在；","")&amp;IF(AND('08_资产清单'!E295&lt;&gt;"",COUNTIF('07_动态状态'!$A$2:$A$501,'08_资产清单'!E295)=0),"状态编码不存在；","")&amp;IF(AND('08_资产清单'!G295&lt;&gt;"",COUNTIF('08_资产清单'!$G$2:$G$501,'08_资产清单'!G295)&gt;1),"文件名重复；","")&amp;IF(AND('08_资产清单'!A295&lt;&gt;"",COUNTIF('08_资产清单'!$A$2:$A$501,'08_资产清单'!A295)&gt;1),"ID重复；",""),"")</f>
        <v/>
      </c>
      <c r="G3295" s="14">
        <f>IF(F3295&lt;&gt;"","按字段批注、数据字典和来源记录修正后复核","")</f>
        <v/>
      </c>
      <c r="H3295" s="14">
        <f>IF(F3295&lt;&gt;"","待处理","")</f>
        <v/>
      </c>
    </row>
    <row r="3296">
      <c r="A3296" s="14">
        <f>IF(F3296&lt;&gt;"","ISSUE-"&amp;TEXT(ROW()-1,"00000"),"")</f>
        <v/>
      </c>
      <c r="B3296" s="14">
        <f>IF(F3296&lt;&gt;"","错误","")</f>
        <v/>
      </c>
      <c r="C3296" s="14">
        <f>IF('08_资产清单'!A296&lt;&gt;"","08_资产清单","")</f>
        <v/>
      </c>
      <c r="D3296" s="14">
        <f>IF('08_资产清单'!A296&lt;&gt;"",'08_资产清单'!A296,"")</f>
        <v/>
      </c>
      <c r="E3296" s="14">
        <f>IF(F3296&lt;&gt;"","综合校验","")</f>
        <v/>
      </c>
      <c r="F3296" s="14">
        <f>IF('08_资产清单'!A296&lt;&gt;"",IF('08_资产清单'!A296="","缺少资产ID；","")&amp;IF('08_资产清单'!B296="","缺少资产名称；","")&amp;IF('08_资产清单'!C296="","缺少对象ID；","")&amp;IF('08_资产清单'!D296="","缺少资产类别；","")&amp;IF('08_资产清单'!G296="","缺少文件名；","")&amp;IF(AND('08_资产清单'!C296&lt;&gt;"",COUNTIF('02_固定地理'!$A$2:$A$501,'08_资产清单'!C296)+COUNTIF('03_地点锚点'!$A$2:$A$501,'08_资产清单'!C296)+COUNTIF('04_路径网络'!$A$2:$A$501,'08_资产清单'!C296)+COUNTIF('06_建筑锚点'!$A$2:$A$501,'08_资产清单'!C296)=0),"资产引用对象不存在；","")&amp;IF(AND('08_资产清单'!E296&lt;&gt;"",COUNTIF('07_动态状态'!$A$2:$A$501,'08_资产清单'!E296)=0),"状态编码不存在；","")&amp;IF(AND('08_资产清单'!G296&lt;&gt;"",COUNTIF('08_资产清单'!$G$2:$G$501,'08_资产清单'!G296)&gt;1),"文件名重复；","")&amp;IF(AND('08_资产清单'!A296&lt;&gt;"",COUNTIF('08_资产清单'!$A$2:$A$501,'08_资产清单'!A296)&gt;1),"ID重复；",""),"")</f>
        <v/>
      </c>
      <c r="G3296" s="14">
        <f>IF(F3296&lt;&gt;"","按字段批注、数据字典和来源记录修正后复核","")</f>
        <v/>
      </c>
      <c r="H3296" s="14">
        <f>IF(F3296&lt;&gt;"","待处理","")</f>
        <v/>
      </c>
    </row>
    <row r="3297">
      <c r="A3297" s="14">
        <f>IF(F3297&lt;&gt;"","ISSUE-"&amp;TEXT(ROW()-1,"00000"),"")</f>
        <v/>
      </c>
      <c r="B3297" s="14">
        <f>IF(F3297&lt;&gt;"","错误","")</f>
        <v/>
      </c>
      <c r="C3297" s="14">
        <f>IF('08_资产清单'!A297&lt;&gt;"","08_资产清单","")</f>
        <v/>
      </c>
      <c r="D3297" s="14">
        <f>IF('08_资产清单'!A297&lt;&gt;"",'08_资产清单'!A297,"")</f>
        <v/>
      </c>
      <c r="E3297" s="14">
        <f>IF(F3297&lt;&gt;"","综合校验","")</f>
        <v/>
      </c>
      <c r="F3297" s="14">
        <f>IF('08_资产清单'!A297&lt;&gt;"",IF('08_资产清单'!A297="","缺少资产ID；","")&amp;IF('08_资产清单'!B297="","缺少资产名称；","")&amp;IF('08_资产清单'!C297="","缺少对象ID；","")&amp;IF('08_资产清单'!D297="","缺少资产类别；","")&amp;IF('08_资产清单'!G297="","缺少文件名；","")&amp;IF(AND('08_资产清单'!C297&lt;&gt;"",COUNTIF('02_固定地理'!$A$2:$A$501,'08_资产清单'!C297)+COUNTIF('03_地点锚点'!$A$2:$A$501,'08_资产清单'!C297)+COUNTIF('04_路径网络'!$A$2:$A$501,'08_资产清单'!C297)+COUNTIF('06_建筑锚点'!$A$2:$A$501,'08_资产清单'!C297)=0),"资产引用对象不存在；","")&amp;IF(AND('08_资产清单'!E297&lt;&gt;"",COUNTIF('07_动态状态'!$A$2:$A$501,'08_资产清单'!E297)=0),"状态编码不存在；","")&amp;IF(AND('08_资产清单'!G297&lt;&gt;"",COUNTIF('08_资产清单'!$G$2:$G$501,'08_资产清单'!G297)&gt;1),"文件名重复；","")&amp;IF(AND('08_资产清单'!A297&lt;&gt;"",COUNTIF('08_资产清单'!$A$2:$A$501,'08_资产清单'!A297)&gt;1),"ID重复；",""),"")</f>
        <v/>
      </c>
      <c r="G3297" s="14">
        <f>IF(F3297&lt;&gt;"","按字段批注、数据字典和来源记录修正后复核","")</f>
        <v/>
      </c>
      <c r="H3297" s="14">
        <f>IF(F3297&lt;&gt;"","待处理","")</f>
        <v/>
      </c>
    </row>
    <row r="3298">
      <c r="A3298" s="14">
        <f>IF(F3298&lt;&gt;"","ISSUE-"&amp;TEXT(ROW()-1,"00000"),"")</f>
        <v/>
      </c>
      <c r="B3298" s="14">
        <f>IF(F3298&lt;&gt;"","错误","")</f>
        <v/>
      </c>
      <c r="C3298" s="14">
        <f>IF('08_资产清单'!A298&lt;&gt;"","08_资产清单","")</f>
        <v/>
      </c>
      <c r="D3298" s="14">
        <f>IF('08_资产清单'!A298&lt;&gt;"",'08_资产清单'!A298,"")</f>
        <v/>
      </c>
      <c r="E3298" s="14">
        <f>IF(F3298&lt;&gt;"","综合校验","")</f>
        <v/>
      </c>
      <c r="F3298" s="14">
        <f>IF('08_资产清单'!A298&lt;&gt;"",IF('08_资产清单'!A298="","缺少资产ID；","")&amp;IF('08_资产清单'!B298="","缺少资产名称；","")&amp;IF('08_资产清单'!C298="","缺少对象ID；","")&amp;IF('08_资产清单'!D298="","缺少资产类别；","")&amp;IF('08_资产清单'!G298="","缺少文件名；","")&amp;IF(AND('08_资产清单'!C298&lt;&gt;"",COUNTIF('02_固定地理'!$A$2:$A$501,'08_资产清单'!C298)+COUNTIF('03_地点锚点'!$A$2:$A$501,'08_资产清单'!C298)+COUNTIF('04_路径网络'!$A$2:$A$501,'08_资产清单'!C298)+COUNTIF('06_建筑锚点'!$A$2:$A$501,'08_资产清单'!C298)=0),"资产引用对象不存在；","")&amp;IF(AND('08_资产清单'!E298&lt;&gt;"",COUNTIF('07_动态状态'!$A$2:$A$501,'08_资产清单'!E298)=0),"状态编码不存在；","")&amp;IF(AND('08_资产清单'!G298&lt;&gt;"",COUNTIF('08_资产清单'!$G$2:$G$501,'08_资产清单'!G298)&gt;1),"文件名重复；","")&amp;IF(AND('08_资产清单'!A298&lt;&gt;"",COUNTIF('08_资产清单'!$A$2:$A$501,'08_资产清单'!A298)&gt;1),"ID重复；",""),"")</f>
        <v/>
      </c>
      <c r="G3298" s="14">
        <f>IF(F3298&lt;&gt;"","按字段批注、数据字典和来源记录修正后复核","")</f>
        <v/>
      </c>
      <c r="H3298" s="14">
        <f>IF(F3298&lt;&gt;"","待处理","")</f>
        <v/>
      </c>
    </row>
    <row r="3299">
      <c r="A3299" s="14">
        <f>IF(F3299&lt;&gt;"","ISSUE-"&amp;TEXT(ROW()-1,"00000"),"")</f>
        <v/>
      </c>
      <c r="B3299" s="14">
        <f>IF(F3299&lt;&gt;"","错误","")</f>
        <v/>
      </c>
      <c r="C3299" s="14">
        <f>IF('08_资产清单'!A299&lt;&gt;"","08_资产清单","")</f>
        <v/>
      </c>
      <c r="D3299" s="14">
        <f>IF('08_资产清单'!A299&lt;&gt;"",'08_资产清单'!A299,"")</f>
        <v/>
      </c>
      <c r="E3299" s="14">
        <f>IF(F3299&lt;&gt;"","综合校验","")</f>
        <v/>
      </c>
      <c r="F3299" s="14">
        <f>IF('08_资产清单'!A299&lt;&gt;"",IF('08_资产清单'!A299="","缺少资产ID；","")&amp;IF('08_资产清单'!B299="","缺少资产名称；","")&amp;IF('08_资产清单'!C299="","缺少对象ID；","")&amp;IF('08_资产清单'!D299="","缺少资产类别；","")&amp;IF('08_资产清单'!G299="","缺少文件名；","")&amp;IF(AND('08_资产清单'!C299&lt;&gt;"",COUNTIF('02_固定地理'!$A$2:$A$501,'08_资产清单'!C299)+COUNTIF('03_地点锚点'!$A$2:$A$501,'08_资产清单'!C299)+COUNTIF('04_路径网络'!$A$2:$A$501,'08_资产清单'!C299)+COUNTIF('06_建筑锚点'!$A$2:$A$501,'08_资产清单'!C299)=0),"资产引用对象不存在；","")&amp;IF(AND('08_资产清单'!E299&lt;&gt;"",COUNTIF('07_动态状态'!$A$2:$A$501,'08_资产清单'!E299)=0),"状态编码不存在；","")&amp;IF(AND('08_资产清单'!G299&lt;&gt;"",COUNTIF('08_资产清单'!$G$2:$G$501,'08_资产清单'!G299)&gt;1),"文件名重复；","")&amp;IF(AND('08_资产清单'!A299&lt;&gt;"",COUNTIF('08_资产清单'!$A$2:$A$501,'08_资产清单'!A299)&gt;1),"ID重复；",""),"")</f>
        <v/>
      </c>
      <c r="G3299" s="14">
        <f>IF(F3299&lt;&gt;"","按字段批注、数据字典和来源记录修正后复核","")</f>
        <v/>
      </c>
      <c r="H3299" s="14">
        <f>IF(F3299&lt;&gt;"","待处理","")</f>
        <v/>
      </c>
    </row>
    <row r="3300">
      <c r="A3300" s="14">
        <f>IF(F3300&lt;&gt;"","ISSUE-"&amp;TEXT(ROW()-1,"00000"),"")</f>
        <v/>
      </c>
      <c r="B3300" s="14">
        <f>IF(F3300&lt;&gt;"","错误","")</f>
        <v/>
      </c>
      <c r="C3300" s="14">
        <f>IF('08_资产清单'!A300&lt;&gt;"","08_资产清单","")</f>
        <v/>
      </c>
      <c r="D3300" s="14">
        <f>IF('08_资产清单'!A300&lt;&gt;"",'08_资产清单'!A300,"")</f>
        <v/>
      </c>
      <c r="E3300" s="14">
        <f>IF(F3300&lt;&gt;"","综合校验","")</f>
        <v/>
      </c>
      <c r="F3300" s="14">
        <f>IF('08_资产清单'!A300&lt;&gt;"",IF('08_资产清单'!A300="","缺少资产ID；","")&amp;IF('08_资产清单'!B300="","缺少资产名称；","")&amp;IF('08_资产清单'!C300="","缺少对象ID；","")&amp;IF('08_资产清单'!D300="","缺少资产类别；","")&amp;IF('08_资产清单'!G300="","缺少文件名；","")&amp;IF(AND('08_资产清单'!C300&lt;&gt;"",COUNTIF('02_固定地理'!$A$2:$A$501,'08_资产清单'!C300)+COUNTIF('03_地点锚点'!$A$2:$A$501,'08_资产清单'!C300)+COUNTIF('04_路径网络'!$A$2:$A$501,'08_资产清单'!C300)+COUNTIF('06_建筑锚点'!$A$2:$A$501,'08_资产清单'!C300)=0),"资产引用对象不存在；","")&amp;IF(AND('08_资产清单'!E300&lt;&gt;"",COUNTIF('07_动态状态'!$A$2:$A$501,'08_资产清单'!E300)=0),"状态编码不存在；","")&amp;IF(AND('08_资产清单'!G300&lt;&gt;"",COUNTIF('08_资产清单'!$G$2:$G$501,'08_资产清单'!G300)&gt;1),"文件名重复；","")&amp;IF(AND('08_资产清单'!A300&lt;&gt;"",COUNTIF('08_资产清单'!$A$2:$A$501,'08_资产清单'!A300)&gt;1),"ID重复；",""),"")</f>
        <v/>
      </c>
      <c r="G3300" s="14">
        <f>IF(F3300&lt;&gt;"","按字段批注、数据字典和来源记录修正后复核","")</f>
        <v/>
      </c>
      <c r="H3300" s="14">
        <f>IF(F3300&lt;&gt;"","待处理","")</f>
        <v/>
      </c>
    </row>
    <row r="3301">
      <c r="A3301" s="14">
        <f>IF(F3301&lt;&gt;"","ISSUE-"&amp;TEXT(ROW()-1,"00000"),"")</f>
        <v/>
      </c>
      <c r="B3301" s="14">
        <f>IF(F3301&lt;&gt;"","错误","")</f>
        <v/>
      </c>
      <c r="C3301" s="14">
        <f>IF('08_资产清单'!A301&lt;&gt;"","08_资产清单","")</f>
        <v/>
      </c>
      <c r="D3301" s="14">
        <f>IF('08_资产清单'!A301&lt;&gt;"",'08_资产清单'!A301,"")</f>
        <v/>
      </c>
      <c r="E3301" s="14">
        <f>IF(F3301&lt;&gt;"","综合校验","")</f>
        <v/>
      </c>
      <c r="F3301" s="14">
        <f>IF('08_资产清单'!A301&lt;&gt;"",IF('08_资产清单'!A301="","缺少资产ID；","")&amp;IF('08_资产清单'!B301="","缺少资产名称；","")&amp;IF('08_资产清单'!C301="","缺少对象ID；","")&amp;IF('08_资产清单'!D301="","缺少资产类别；","")&amp;IF('08_资产清单'!G301="","缺少文件名；","")&amp;IF(AND('08_资产清单'!C301&lt;&gt;"",COUNTIF('02_固定地理'!$A$2:$A$501,'08_资产清单'!C301)+COUNTIF('03_地点锚点'!$A$2:$A$501,'08_资产清单'!C301)+COUNTIF('04_路径网络'!$A$2:$A$501,'08_资产清单'!C301)+COUNTIF('06_建筑锚点'!$A$2:$A$501,'08_资产清单'!C301)=0),"资产引用对象不存在；","")&amp;IF(AND('08_资产清单'!E301&lt;&gt;"",COUNTIF('07_动态状态'!$A$2:$A$501,'08_资产清单'!E301)=0),"状态编码不存在；","")&amp;IF(AND('08_资产清单'!G301&lt;&gt;"",COUNTIF('08_资产清单'!$G$2:$G$501,'08_资产清单'!G301)&gt;1),"文件名重复；","")&amp;IF(AND('08_资产清单'!A301&lt;&gt;"",COUNTIF('08_资产清单'!$A$2:$A$501,'08_资产清单'!A301)&gt;1),"ID重复；",""),"")</f>
        <v/>
      </c>
      <c r="G3301" s="14">
        <f>IF(F3301&lt;&gt;"","按字段批注、数据字典和来源记录修正后复核","")</f>
        <v/>
      </c>
      <c r="H3301" s="14">
        <f>IF(F3301&lt;&gt;"","待处理","")</f>
        <v/>
      </c>
    </row>
    <row r="3302">
      <c r="A3302" s="14">
        <f>IF(F3302&lt;&gt;"","ISSUE-"&amp;TEXT(ROW()-1,"00000"),"")</f>
        <v/>
      </c>
      <c r="B3302" s="14">
        <f>IF(F3302&lt;&gt;"","错误","")</f>
        <v/>
      </c>
      <c r="C3302" s="14">
        <f>IF('08_资产清单'!A302&lt;&gt;"","08_资产清单","")</f>
        <v/>
      </c>
      <c r="D3302" s="14">
        <f>IF('08_资产清单'!A302&lt;&gt;"",'08_资产清单'!A302,"")</f>
        <v/>
      </c>
      <c r="E3302" s="14">
        <f>IF(F3302&lt;&gt;"","综合校验","")</f>
        <v/>
      </c>
      <c r="F3302" s="14">
        <f>IF('08_资产清单'!A302&lt;&gt;"",IF('08_资产清单'!A302="","缺少资产ID；","")&amp;IF('08_资产清单'!B302="","缺少资产名称；","")&amp;IF('08_资产清单'!C302="","缺少对象ID；","")&amp;IF('08_资产清单'!D302="","缺少资产类别；","")&amp;IF('08_资产清单'!G302="","缺少文件名；","")&amp;IF(AND('08_资产清单'!C302&lt;&gt;"",COUNTIF('02_固定地理'!$A$2:$A$501,'08_资产清单'!C302)+COUNTIF('03_地点锚点'!$A$2:$A$501,'08_资产清单'!C302)+COUNTIF('04_路径网络'!$A$2:$A$501,'08_资产清单'!C302)+COUNTIF('06_建筑锚点'!$A$2:$A$501,'08_资产清单'!C302)=0),"资产引用对象不存在；","")&amp;IF(AND('08_资产清单'!E302&lt;&gt;"",COUNTIF('07_动态状态'!$A$2:$A$501,'08_资产清单'!E302)=0),"状态编码不存在；","")&amp;IF(AND('08_资产清单'!G302&lt;&gt;"",COUNTIF('08_资产清单'!$G$2:$G$501,'08_资产清单'!G302)&gt;1),"文件名重复；","")&amp;IF(AND('08_资产清单'!A302&lt;&gt;"",COUNTIF('08_资产清单'!$A$2:$A$501,'08_资产清单'!A302)&gt;1),"ID重复；",""),"")</f>
        <v/>
      </c>
      <c r="G3302" s="14">
        <f>IF(F3302&lt;&gt;"","按字段批注、数据字典和来源记录修正后复核","")</f>
        <v/>
      </c>
      <c r="H3302" s="14">
        <f>IF(F3302&lt;&gt;"","待处理","")</f>
        <v/>
      </c>
    </row>
    <row r="3303">
      <c r="A3303" s="14">
        <f>IF(F3303&lt;&gt;"","ISSUE-"&amp;TEXT(ROW()-1,"00000"),"")</f>
        <v/>
      </c>
      <c r="B3303" s="14">
        <f>IF(F3303&lt;&gt;"","错误","")</f>
        <v/>
      </c>
      <c r="C3303" s="14">
        <f>IF('08_资产清单'!A303&lt;&gt;"","08_资产清单","")</f>
        <v/>
      </c>
      <c r="D3303" s="14">
        <f>IF('08_资产清单'!A303&lt;&gt;"",'08_资产清单'!A303,"")</f>
        <v/>
      </c>
      <c r="E3303" s="14">
        <f>IF(F3303&lt;&gt;"","综合校验","")</f>
        <v/>
      </c>
      <c r="F3303" s="14">
        <f>IF('08_资产清单'!A303&lt;&gt;"",IF('08_资产清单'!A303="","缺少资产ID；","")&amp;IF('08_资产清单'!B303="","缺少资产名称；","")&amp;IF('08_资产清单'!C303="","缺少对象ID；","")&amp;IF('08_资产清单'!D303="","缺少资产类别；","")&amp;IF('08_资产清单'!G303="","缺少文件名；","")&amp;IF(AND('08_资产清单'!C303&lt;&gt;"",COUNTIF('02_固定地理'!$A$2:$A$501,'08_资产清单'!C303)+COUNTIF('03_地点锚点'!$A$2:$A$501,'08_资产清单'!C303)+COUNTIF('04_路径网络'!$A$2:$A$501,'08_资产清单'!C303)+COUNTIF('06_建筑锚点'!$A$2:$A$501,'08_资产清单'!C303)=0),"资产引用对象不存在；","")&amp;IF(AND('08_资产清单'!E303&lt;&gt;"",COUNTIF('07_动态状态'!$A$2:$A$501,'08_资产清单'!E303)=0),"状态编码不存在；","")&amp;IF(AND('08_资产清单'!G303&lt;&gt;"",COUNTIF('08_资产清单'!$G$2:$G$501,'08_资产清单'!G303)&gt;1),"文件名重复；","")&amp;IF(AND('08_资产清单'!A303&lt;&gt;"",COUNTIF('08_资产清单'!$A$2:$A$501,'08_资产清单'!A303)&gt;1),"ID重复；",""),"")</f>
        <v/>
      </c>
      <c r="G3303" s="14">
        <f>IF(F3303&lt;&gt;"","按字段批注、数据字典和来源记录修正后复核","")</f>
        <v/>
      </c>
      <c r="H3303" s="14">
        <f>IF(F3303&lt;&gt;"","待处理","")</f>
        <v/>
      </c>
    </row>
    <row r="3304">
      <c r="A3304" s="14">
        <f>IF(F3304&lt;&gt;"","ISSUE-"&amp;TEXT(ROW()-1,"00000"),"")</f>
        <v/>
      </c>
      <c r="B3304" s="14">
        <f>IF(F3304&lt;&gt;"","错误","")</f>
        <v/>
      </c>
      <c r="C3304" s="14">
        <f>IF('08_资产清单'!A304&lt;&gt;"","08_资产清单","")</f>
        <v/>
      </c>
      <c r="D3304" s="14">
        <f>IF('08_资产清单'!A304&lt;&gt;"",'08_资产清单'!A304,"")</f>
        <v/>
      </c>
      <c r="E3304" s="14">
        <f>IF(F3304&lt;&gt;"","综合校验","")</f>
        <v/>
      </c>
      <c r="F3304" s="14">
        <f>IF('08_资产清单'!A304&lt;&gt;"",IF('08_资产清单'!A304="","缺少资产ID；","")&amp;IF('08_资产清单'!B304="","缺少资产名称；","")&amp;IF('08_资产清单'!C304="","缺少对象ID；","")&amp;IF('08_资产清单'!D304="","缺少资产类别；","")&amp;IF('08_资产清单'!G304="","缺少文件名；","")&amp;IF(AND('08_资产清单'!C304&lt;&gt;"",COUNTIF('02_固定地理'!$A$2:$A$501,'08_资产清单'!C304)+COUNTIF('03_地点锚点'!$A$2:$A$501,'08_资产清单'!C304)+COUNTIF('04_路径网络'!$A$2:$A$501,'08_资产清单'!C304)+COUNTIF('06_建筑锚点'!$A$2:$A$501,'08_资产清单'!C304)=0),"资产引用对象不存在；","")&amp;IF(AND('08_资产清单'!E304&lt;&gt;"",COUNTIF('07_动态状态'!$A$2:$A$501,'08_资产清单'!E304)=0),"状态编码不存在；","")&amp;IF(AND('08_资产清单'!G304&lt;&gt;"",COUNTIF('08_资产清单'!$G$2:$G$501,'08_资产清单'!G304)&gt;1),"文件名重复；","")&amp;IF(AND('08_资产清单'!A304&lt;&gt;"",COUNTIF('08_资产清单'!$A$2:$A$501,'08_资产清单'!A304)&gt;1),"ID重复；",""),"")</f>
        <v/>
      </c>
      <c r="G3304" s="14">
        <f>IF(F3304&lt;&gt;"","按字段批注、数据字典和来源记录修正后复核","")</f>
        <v/>
      </c>
      <c r="H3304" s="14">
        <f>IF(F3304&lt;&gt;"","待处理","")</f>
        <v/>
      </c>
    </row>
    <row r="3305">
      <c r="A3305" s="14">
        <f>IF(F3305&lt;&gt;"","ISSUE-"&amp;TEXT(ROW()-1,"00000"),"")</f>
        <v/>
      </c>
      <c r="B3305" s="14">
        <f>IF(F3305&lt;&gt;"","错误","")</f>
        <v/>
      </c>
      <c r="C3305" s="14">
        <f>IF('08_资产清单'!A305&lt;&gt;"","08_资产清单","")</f>
        <v/>
      </c>
      <c r="D3305" s="14">
        <f>IF('08_资产清单'!A305&lt;&gt;"",'08_资产清单'!A305,"")</f>
        <v/>
      </c>
      <c r="E3305" s="14">
        <f>IF(F3305&lt;&gt;"","综合校验","")</f>
        <v/>
      </c>
      <c r="F3305" s="14">
        <f>IF('08_资产清单'!A305&lt;&gt;"",IF('08_资产清单'!A305="","缺少资产ID；","")&amp;IF('08_资产清单'!B305="","缺少资产名称；","")&amp;IF('08_资产清单'!C305="","缺少对象ID；","")&amp;IF('08_资产清单'!D305="","缺少资产类别；","")&amp;IF('08_资产清单'!G305="","缺少文件名；","")&amp;IF(AND('08_资产清单'!C305&lt;&gt;"",COUNTIF('02_固定地理'!$A$2:$A$501,'08_资产清单'!C305)+COUNTIF('03_地点锚点'!$A$2:$A$501,'08_资产清单'!C305)+COUNTIF('04_路径网络'!$A$2:$A$501,'08_资产清单'!C305)+COUNTIF('06_建筑锚点'!$A$2:$A$501,'08_资产清单'!C305)=0),"资产引用对象不存在；","")&amp;IF(AND('08_资产清单'!E305&lt;&gt;"",COUNTIF('07_动态状态'!$A$2:$A$501,'08_资产清单'!E305)=0),"状态编码不存在；","")&amp;IF(AND('08_资产清单'!G305&lt;&gt;"",COUNTIF('08_资产清单'!$G$2:$G$501,'08_资产清单'!G305)&gt;1),"文件名重复；","")&amp;IF(AND('08_资产清单'!A305&lt;&gt;"",COUNTIF('08_资产清单'!$A$2:$A$501,'08_资产清单'!A305)&gt;1),"ID重复；",""),"")</f>
        <v/>
      </c>
      <c r="G3305" s="14">
        <f>IF(F3305&lt;&gt;"","按字段批注、数据字典和来源记录修正后复核","")</f>
        <v/>
      </c>
      <c r="H3305" s="14">
        <f>IF(F3305&lt;&gt;"","待处理","")</f>
        <v/>
      </c>
    </row>
    <row r="3306">
      <c r="A3306" s="14">
        <f>IF(F3306&lt;&gt;"","ISSUE-"&amp;TEXT(ROW()-1,"00000"),"")</f>
        <v/>
      </c>
      <c r="B3306" s="14">
        <f>IF(F3306&lt;&gt;"","错误","")</f>
        <v/>
      </c>
      <c r="C3306" s="14">
        <f>IF('08_资产清单'!A306&lt;&gt;"","08_资产清单","")</f>
        <v/>
      </c>
      <c r="D3306" s="14">
        <f>IF('08_资产清单'!A306&lt;&gt;"",'08_资产清单'!A306,"")</f>
        <v/>
      </c>
      <c r="E3306" s="14">
        <f>IF(F3306&lt;&gt;"","综合校验","")</f>
        <v/>
      </c>
      <c r="F3306" s="14">
        <f>IF('08_资产清单'!A306&lt;&gt;"",IF('08_资产清单'!A306="","缺少资产ID；","")&amp;IF('08_资产清单'!B306="","缺少资产名称；","")&amp;IF('08_资产清单'!C306="","缺少对象ID；","")&amp;IF('08_资产清单'!D306="","缺少资产类别；","")&amp;IF('08_资产清单'!G306="","缺少文件名；","")&amp;IF(AND('08_资产清单'!C306&lt;&gt;"",COUNTIF('02_固定地理'!$A$2:$A$501,'08_资产清单'!C306)+COUNTIF('03_地点锚点'!$A$2:$A$501,'08_资产清单'!C306)+COUNTIF('04_路径网络'!$A$2:$A$501,'08_资产清单'!C306)+COUNTIF('06_建筑锚点'!$A$2:$A$501,'08_资产清单'!C306)=0),"资产引用对象不存在；","")&amp;IF(AND('08_资产清单'!E306&lt;&gt;"",COUNTIF('07_动态状态'!$A$2:$A$501,'08_资产清单'!E306)=0),"状态编码不存在；","")&amp;IF(AND('08_资产清单'!G306&lt;&gt;"",COUNTIF('08_资产清单'!$G$2:$G$501,'08_资产清单'!G306)&gt;1),"文件名重复；","")&amp;IF(AND('08_资产清单'!A306&lt;&gt;"",COUNTIF('08_资产清单'!$A$2:$A$501,'08_资产清单'!A306)&gt;1),"ID重复；",""),"")</f>
        <v/>
      </c>
      <c r="G3306" s="14">
        <f>IF(F3306&lt;&gt;"","按字段批注、数据字典和来源记录修正后复核","")</f>
        <v/>
      </c>
      <c r="H3306" s="14">
        <f>IF(F3306&lt;&gt;"","待处理","")</f>
        <v/>
      </c>
    </row>
    <row r="3307">
      <c r="A3307" s="14">
        <f>IF(F3307&lt;&gt;"","ISSUE-"&amp;TEXT(ROW()-1,"00000"),"")</f>
        <v/>
      </c>
      <c r="B3307" s="14">
        <f>IF(F3307&lt;&gt;"","错误","")</f>
        <v/>
      </c>
      <c r="C3307" s="14">
        <f>IF('08_资产清单'!A307&lt;&gt;"","08_资产清单","")</f>
        <v/>
      </c>
      <c r="D3307" s="14">
        <f>IF('08_资产清单'!A307&lt;&gt;"",'08_资产清单'!A307,"")</f>
        <v/>
      </c>
      <c r="E3307" s="14">
        <f>IF(F3307&lt;&gt;"","综合校验","")</f>
        <v/>
      </c>
      <c r="F3307" s="14">
        <f>IF('08_资产清单'!A307&lt;&gt;"",IF('08_资产清单'!A307="","缺少资产ID；","")&amp;IF('08_资产清单'!B307="","缺少资产名称；","")&amp;IF('08_资产清单'!C307="","缺少对象ID；","")&amp;IF('08_资产清单'!D307="","缺少资产类别；","")&amp;IF('08_资产清单'!G307="","缺少文件名；","")&amp;IF(AND('08_资产清单'!C307&lt;&gt;"",COUNTIF('02_固定地理'!$A$2:$A$501,'08_资产清单'!C307)+COUNTIF('03_地点锚点'!$A$2:$A$501,'08_资产清单'!C307)+COUNTIF('04_路径网络'!$A$2:$A$501,'08_资产清单'!C307)+COUNTIF('06_建筑锚点'!$A$2:$A$501,'08_资产清单'!C307)=0),"资产引用对象不存在；","")&amp;IF(AND('08_资产清单'!E307&lt;&gt;"",COUNTIF('07_动态状态'!$A$2:$A$501,'08_资产清单'!E307)=0),"状态编码不存在；","")&amp;IF(AND('08_资产清单'!G307&lt;&gt;"",COUNTIF('08_资产清单'!$G$2:$G$501,'08_资产清单'!G307)&gt;1),"文件名重复；","")&amp;IF(AND('08_资产清单'!A307&lt;&gt;"",COUNTIF('08_资产清单'!$A$2:$A$501,'08_资产清单'!A307)&gt;1),"ID重复；",""),"")</f>
        <v/>
      </c>
      <c r="G3307" s="14">
        <f>IF(F3307&lt;&gt;"","按字段批注、数据字典和来源记录修正后复核","")</f>
        <v/>
      </c>
      <c r="H3307" s="14">
        <f>IF(F3307&lt;&gt;"","待处理","")</f>
        <v/>
      </c>
    </row>
    <row r="3308">
      <c r="A3308" s="14">
        <f>IF(F3308&lt;&gt;"","ISSUE-"&amp;TEXT(ROW()-1,"00000"),"")</f>
        <v/>
      </c>
      <c r="B3308" s="14">
        <f>IF(F3308&lt;&gt;"","错误","")</f>
        <v/>
      </c>
      <c r="C3308" s="14">
        <f>IF('08_资产清单'!A308&lt;&gt;"","08_资产清单","")</f>
        <v/>
      </c>
      <c r="D3308" s="14">
        <f>IF('08_资产清单'!A308&lt;&gt;"",'08_资产清单'!A308,"")</f>
        <v/>
      </c>
      <c r="E3308" s="14">
        <f>IF(F3308&lt;&gt;"","综合校验","")</f>
        <v/>
      </c>
      <c r="F3308" s="14">
        <f>IF('08_资产清单'!A308&lt;&gt;"",IF('08_资产清单'!A308="","缺少资产ID；","")&amp;IF('08_资产清单'!B308="","缺少资产名称；","")&amp;IF('08_资产清单'!C308="","缺少对象ID；","")&amp;IF('08_资产清单'!D308="","缺少资产类别；","")&amp;IF('08_资产清单'!G308="","缺少文件名；","")&amp;IF(AND('08_资产清单'!C308&lt;&gt;"",COUNTIF('02_固定地理'!$A$2:$A$501,'08_资产清单'!C308)+COUNTIF('03_地点锚点'!$A$2:$A$501,'08_资产清单'!C308)+COUNTIF('04_路径网络'!$A$2:$A$501,'08_资产清单'!C308)+COUNTIF('06_建筑锚点'!$A$2:$A$501,'08_资产清单'!C308)=0),"资产引用对象不存在；","")&amp;IF(AND('08_资产清单'!E308&lt;&gt;"",COUNTIF('07_动态状态'!$A$2:$A$501,'08_资产清单'!E308)=0),"状态编码不存在；","")&amp;IF(AND('08_资产清单'!G308&lt;&gt;"",COUNTIF('08_资产清单'!$G$2:$G$501,'08_资产清单'!G308)&gt;1),"文件名重复；","")&amp;IF(AND('08_资产清单'!A308&lt;&gt;"",COUNTIF('08_资产清单'!$A$2:$A$501,'08_资产清单'!A308)&gt;1),"ID重复；",""),"")</f>
        <v/>
      </c>
      <c r="G3308" s="14">
        <f>IF(F3308&lt;&gt;"","按字段批注、数据字典和来源记录修正后复核","")</f>
        <v/>
      </c>
      <c r="H3308" s="14">
        <f>IF(F3308&lt;&gt;"","待处理","")</f>
        <v/>
      </c>
    </row>
    <row r="3309">
      <c r="A3309" s="14">
        <f>IF(F3309&lt;&gt;"","ISSUE-"&amp;TEXT(ROW()-1,"00000"),"")</f>
        <v/>
      </c>
      <c r="B3309" s="14">
        <f>IF(F3309&lt;&gt;"","错误","")</f>
        <v/>
      </c>
      <c r="C3309" s="14">
        <f>IF('08_资产清单'!A309&lt;&gt;"","08_资产清单","")</f>
        <v/>
      </c>
      <c r="D3309" s="14">
        <f>IF('08_资产清单'!A309&lt;&gt;"",'08_资产清单'!A309,"")</f>
        <v/>
      </c>
      <c r="E3309" s="14">
        <f>IF(F3309&lt;&gt;"","综合校验","")</f>
        <v/>
      </c>
      <c r="F3309" s="14">
        <f>IF('08_资产清单'!A309&lt;&gt;"",IF('08_资产清单'!A309="","缺少资产ID；","")&amp;IF('08_资产清单'!B309="","缺少资产名称；","")&amp;IF('08_资产清单'!C309="","缺少对象ID；","")&amp;IF('08_资产清单'!D309="","缺少资产类别；","")&amp;IF('08_资产清单'!G309="","缺少文件名；","")&amp;IF(AND('08_资产清单'!C309&lt;&gt;"",COUNTIF('02_固定地理'!$A$2:$A$501,'08_资产清单'!C309)+COUNTIF('03_地点锚点'!$A$2:$A$501,'08_资产清单'!C309)+COUNTIF('04_路径网络'!$A$2:$A$501,'08_资产清单'!C309)+COUNTIF('06_建筑锚点'!$A$2:$A$501,'08_资产清单'!C309)=0),"资产引用对象不存在；","")&amp;IF(AND('08_资产清单'!E309&lt;&gt;"",COUNTIF('07_动态状态'!$A$2:$A$501,'08_资产清单'!E309)=0),"状态编码不存在；","")&amp;IF(AND('08_资产清单'!G309&lt;&gt;"",COUNTIF('08_资产清单'!$G$2:$G$501,'08_资产清单'!G309)&gt;1),"文件名重复；","")&amp;IF(AND('08_资产清单'!A309&lt;&gt;"",COUNTIF('08_资产清单'!$A$2:$A$501,'08_资产清单'!A309)&gt;1),"ID重复；",""),"")</f>
        <v/>
      </c>
      <c r="G3309" s="14">
        <f>IF(F3309&lt;&gt;"","按字段批注、数据字典和来源记录修正后复核","")</f>
        <v/>
      </c>
      <c r="H3309" s="14">
        <f>IF(F3309&lt;&gt;"","待处理","")</f>
        <v/>
      </c>
    </row>
    <row r="3310">
      <c r="A3310" s="14">
        <f>IF(F3310&lt;&gt;"","ISSUE-"&amp;TEXT(ROW()-1,"00000"),"")</f>
        <v/>
      </c>
      <c r="B3310" s="14">
        <f>IF(F3310&lt;&gt;"","错误","")</f>
        <v/>
      </c>
      <c r="C3310" s="14">
        <f>IF('08_资产清单'!A310&lt;&gt;"","08_资产清单","")</f>
        <v/>
      </c>
      <c r="D3310" s="14">
        <f>IF('08_资产清单'!A310&lt;&gt;"",'08_资产清单'!A310,"")</f>
        <v/>
      </c>
      <c r="E3310" s="14">
        <f>IF(F3310&lt;&gt;"","综合校验","")</f>
        <v/>
      </c>
      <c r="F3310" s="14">
        <f>IF('08_资产清单'!A310&lt;&gt;"",IF('08_资产清单'!A310="","缺少资产ID；","")&amp;IF('08_资产清单'!B310="","缺少资产名称；","")&amp;IF('08_资产清单'!C310="","缺少对象ID；","")&amp;IF('08_资产清单'!D310="","缺少资产类别；","")&amp;IF('08_资产清单'!G310="","缺少文件名；","")&amp;IF(AND('08_资产清单'!C310&lt;&gt;"",COUNTIF('02_固定地理'!$A$2:$A$501,'08_资产清单'!C310)+COUNTIF('03_地点锚点'!$A$2:$A$501,'08_资产清单'!C310)+COUNTIF('04_路径网络'!$A$2:$A$501,'08_资产清单'!C310)+COUNTIF('06_建筑锚点'!$A$2:$A$501,'08_资产清单'!C310)=0),"资产引用对象不存在；","")&amp;IF(AND('08_资产清单'!E310&lt;&gt;"",COUNTIF('07_动态状态'!$A$2:$A$501,'08_资产清单'!E310)=0),"状态编码不存在；","")&amp;IF(AND('08_资产清单'!G310&lt;&gt;"",COUNTIF('08_资产清单'!$G$2:$G$501,'08_资产清单'!G310)&gt;1),"文件名重复；","")&amp;IF(AND('08_资产清单'!A310&lt;&gt;"",COUNTIF('08_资产清单'!$A$2:$A$501,'08_资产清单'!A310)&gt;1),"ID重复；",""),"")</f>
        <v/>
      </c>
      <c r="G3310" s="14">
        <f>IF(F3310&lt;&gt;"","按字段批注、数据字典和来源记录修正后复核","")</f>
        <v/>
      </c>
      <c r="H3310" s="14">
        <f>IF(F3310&lt;&gt;"","待处理","")</f>
        <v/>
      </c>
    </row>
    <row r="3311">
      <c r="A3311" s="14">
        <f>IF(F3311&lt;&gt;"","ISSUE-"&amp;TEXT(ROW()-1,"00000"),"")</f>
        <v/>
      </c>
      <c r="B3311" s="14">
        <f>IF(F3311&lt;&gt;"","错误","")</f>
        <v/>
      </c>
      <c r="C3311" s="14">
        <f>IF('08_资产清单'!A311&lt;&gt;"","08_资产清单","")</f>
        <v/>
      </c>
      <c r="D3311" s="14">
        <f>IF('08_资产清单'!A311&lt;&gt;"",'08_资产清单'!A311,"")</f>
        <v/>
      </c>
      <c r="E3311" s="14">
        <f>IF(F3311&lt;&gt;"","综合校验","")</f>
        <v/>
      </c>
      <c r="F3311" s="14">
        <f>IF('08_资产清单'!A311&lt;&gt;"",IF('08_资产清单'!A311="","缺少资产ID；","")&amp;IF('08_资产清单'!B311="","缺少资产名称；","")&amp;IF('08_资产清单'!C311="","缺少对象ID；","")&amp;IF('08_资产清单'!D311="","缺少资产类别；","")&amp;IF('08_资产清单'!G311="","缺少文件名；","")&amp;IF(AND('08_资产清单'!C311&lt;&gt;"",COUNTIF('02_固定地理'!$A$2:$A$501,'08_资产清单'!C311)+COUNTIF('03_地点锚点'!$A$2:$A$501,'08_资产清单'!C311)+COUNTIF('04_路径网络'!$A$2:$A$501,'08_资产清单'!C311)+COUNTIF('06_建筑锚点'!$A$2:$A$501,'08_资产清单'!C311)=0),"资产引用对象不存在；","")&amp;IF(AND('08_资产清单'!E311&lt;&gt;"",COUNTIF('07_动态状态'!$A$2:$A$501,'08_资产清单'!E311)=0),"状态编码不存在；","")&amp;IF(AND('08_资产清单'!G311&lt;&gt;"",COUNTIF('08_资产清单'!$G$2:$G$501,'08_资产清单'!G311)&gt;1),"文件名重复；","")&amp;IF(AND('08_资产清单'!A311&lt;&gt;"",COUNTIF('08_资产清单'!$A$2:$A$501,'08_资产清单'!A311)&gt;1),"ID重复；",""),"")</f>
        <v/>
      </c>
      <c r="G3311" s="14">
        <f>IF(F3311&lt;&gt;"","按字段批注、数据字典和来源记录修正后复核","")</f>
        <v/>
      </c>
      <c r="H3311" s="14">
        <f>IF(F3311&lt;&gt;"","待处理","")</f>
        <v/>
      </c>
    </row>
    <row r="3312">
      <c r="A3312" s="14">
        <f>IF(F3312&lt;&gt;"","ISSUE-"&amp;TEXT(ROW()-1,"00000"),"")</f>
        <v/>
      </c>
      <c r="B3312" s="14">
        <f>IF(F3312&lt;&gt;"","错误","")</f>
        <v/>
      </c>
      <c r="C3312" s="14">
        <f>IF('08_资产清单'!A312&lt;&gt;"","08_资产清单","")</f>
        <v/>
      </c>
      <c r="D3312" s="14">
        <f>IF('08_资产清单'!A312&lt;&gt;"",'08_资产清单'!A312,"")</f>
        <v/>
      </c>
      <c r="E3312" s="14">
        <f>IF(F3312&lt;&gt;"","综合校验","")</f>
        <v/>
      </c>
      <c r="F3312" s="14">
        <f>IF('08_资产清单'!A312&lt;&gt;"",IF('08_资产清单'!A312="","缺少资产ID；","")&amp;IF('08_资产清单'!B312="","缺少资产名称；","")&amp;IF('08_资产清单'!C312="","缺少对象ID；","")&amp;IF('08_资产清单'!D312="","缺少资产类别；","")&amp;IF('08_资产清单'!G312="","缺少文件名；","")&amp;IF(AND('08_资产清单'!C312&lt;&gt;"",COUNTIF('02_固定地理'!$A$2:$A$501,'08_资产清单'!C312)+COUNTIF('03_地点锚点'!$A$2:$A$501,'08_资产清单'!C312)+COUNTIF('04_路径网络'!$A$2:$A$501,'08_资产清单'!C312)+COUNTIF('06_建筑锚点'!$A$2:$A$501,'08_资产清单'!C312)=0),"资产引用对象不存在；","")&amp;IF(AND('08_资产清单'!E312&lt;&gt;"",COUNTIF('07_动态状态'!$A$2:$A$501,'08_资产清单'!E312)=0),"状态编码不存在；","")&amp;IF(AND('08_资产清单'!G312&lt;&gt;"",COUNTIF('08_资产清单'!$G$2:$G$501,'08_资产清单'!G312)&gt;1),"文件名重复；","")&amp;IF(AND('08_资产清单'!A312&lt;&gt;"",COUNTIF('08_资产清单'!$A$2:$A$501,'08_资产清单'!A312)&gt;1),"ID重复；",""),"")</f>
        <v/>
      </c>
      <c r="G3312" s="14">
        <f>IF(F3312&lt;&gt;"","按字段批注、数据字典和来源记录修正后复核","")</f>
        <v/>
      </c>
      <c r="H3312" s="14">
        <f>IF(F3312&lt;&gt;"","待处理","")</f>
        <v/>
      </c>
    </row>
    <row r="3313">
      <c r="A3313" s="14">
        <f>IF(F3313&lt;&gt;"","ISSUE-"&amp;TEXT(ROW()-1,"00000"),"")</f>
        <v/>
      </c>
      <c r="B3313" s="14">
        <f>IF(F3313&lt;&gt;"","错误","")</f>
        <v/>
      </c>
      <c r="C3313" s="14">
        <f>IF('08_资产清单'!A313&lt;&gt;"","08_资产清单","")</f>
        <v/>
      </c>
      <c r="D3313" s="14">
        <f>IF('08_资产清单'!A313&lt;&gt;"",'08_资产清单'!A313,"")</f>
        <v/>
      </c>
      <c r="E3313" s="14">
        <f>IF(F3313&lt;&gt;"","综合校验","")</f>
        <v/>
      </c>
      <c r="F3313" s="14">
        <f>IF('08_资产清单'!A313&lt;&gt;"",IF('08_资产清单'!A313="","缺少资产ID；","")&amp;IF('08_资产清单'!B313="","缺少资产名称；","")&amp;IF('08_资产清单'!C313="","缺少对象ID；","")&amp;IF('08_资产清单'!D313="","缺少资产类别；","")&amp;IF('08_资产清单'!G313="","缺少文件名；","")&amp;IF(AND('08_资产清单'!C313&lt;&gt;"",COUNTIF('02_固定地理'!$A$2:$A$501,'08_资产清单'!C313)+COUNTIF('03_地点锚点'!$A$2:$A$501,'08_资产清单'!C313)+COUNTIF('04_路径网络'!$A$2:$A$501,'08_资产清单'!C313)+COUNTIF('06_建筑锚点'!$A$2:$A$501,'08_资产清单'!C313)=0),"资产引用对象不存在；","")&amp;IF(AND('08_资产清单'!E313&lt;&gt;"",COUNTIF('07_动态状态'!$A$2:$A$501,'08_资产清单'!E313)=0),"状态编码不存在；","")&amp;IF(AND('08_资产清单'!G313&lt;&gt;"",COUNTIF('08_资产清单'!$G$2:$G$501,'08_资产清单'!G313)&gt;1),"文件名重复；","")&amp;IF(AND('08_资产清单'!A313&lt;&gt;"",COUNTIF('08_资产清单'!$A$2:$A$501,'08_资产清单'!A313)&gt;1),"ID重复；",""),"")</f>
        <v/>
      </c>
      <c r="G3313" s="14">
        <f>IF(F3313&lt;&gt;"","按字段批注、数据字典和来源记录修正后复核","")</f>
        <v/>
      </c>
      <c r="H3313" s="14">
        <f>IF(F3313&lt;&gt;"","待处理","")</f>
        <v/>
      </c>
    </row>
    <row r="3314">
      <c r="A3314" s="14">
        <f>IF(F3314&lt;&gt;"","ISSUE-"&amp;TEXT(ROW()-1,"00000"),"")</f>
        <v/>
      </c>
      <c r="B3314" s="14">
        <f>IF(F3314&lt;&gt;"","错误","")</f>
        <v/>
      </c>
      <c r="C3314" s="14">
        <f>IF('08_资产清单'!A314&lt;&gt;"","08_资产清单","")</f>
        <v/>
      </c>
      <c r="D3314" s="14">
        <f>IF('08_资产清单'!A314&lt;&gt;"",'08_资产清单'!A314,"")</f>
        <v/>
      </c>
      <c r="E3314" s="14">
        <f>IF(F3314&lt;&gt;"","综合校验","")</f>
        <v/>
      </c>
      <c r="F3314" s="14">
        <f>IF('08_资产清单'!A314&lt;&gt;"",IF('08_资产清单'!A314="","缺少资产ID；","")&amp;IF('08_资产清单'!B314="","缺少资产名称；","")&amp;IF('08_资产清单'!C314="","缺少对象ID；","")&amp;IF('08_资产清单'!D314="","缺少资产类别；","")&amp;IF('08_资产清单'!G314="","缺少文件名；","")&amp;IF(AND('08_资产清单'!C314&lt;&gt;"",COUNTIF('02_固定地理'!$A$2:$A$501,'08_资产清单'!C314)+COUNTIF('03_地点锚点'!$A$2:$A$501,'08_资产清单'!C314)+COUNTIF('04_路径网络'!$A$2:$A$501,'08_资产清单'!C314)+COUNTIF('06_建筑锚点'!$A$2:$A$501,'08_资产清单'!C314)=0),"资产引用对象不存在；","")&amp;IF(AND('08_资产清单'!E314&lt;&gt;"",COUNTIF('07_动态状态'!$A$2:$A$501,'08_资产清单'!E314)=0),"状态编码不存在；","")&amp;IF(AND('08_资产清单'!G314&lt;&gt;"",COUNTIF('08_资产清单'!$G$2:$G$501,'08_资产清单'!G314)&gt;1),"文件名重复；","")&amp;IF(AND('08_资产清单'!A314&lt;&gt;"",COUNTIF('08_资产清单'!$A$2:$A$501,'08_资产清单'!A314)&gt;1),"ID重复；",""),"")</f>
        <v/>
      </c>
      <c r="G3314" s="14">
        <f>IF(F3314&lt;&gt;"","按字段批注、数据字典和来源记录修正后复核","")</f>
        <v/>
      </c>
      <c r="H3314" s="14">
        <f>IF(F3314&lt;&gt;"","待处理","")</f>
        <v/>
      </c>
    </row>
    <row r="3315">
      <c r="A3315" s="14">
        <f>IF(F3315&lt;&gt;"","ISSUE-"&amp;TEXT(ROW()-1,"00000"),"")</f>
        <v/>
      </c>
      <c r="B3315" s="14">
        <f>IF(F3315&lt;&gt;"","错误","")</f>
        <v/>
      </c>
      <c r="C3315" s="14">
        <f>IF('08_资产清单'!A315&lt;&gt;"","08_资产清单","")</f>
        <v/>
      </c>
      <c r="D3315" s="14">
        <f>IF('08_资产清单'!A315&lt;&gt;"",'08_资产清单'!A315,"")</f>
        <v/>
      </c>
      <c r="E3315" s="14">
        <f>IF(F3315&lt;&gt;"","综合校验","")</f>
        <v/>
      </c>
      <c r="F3315" s="14">
        <f>IF('08_资产清单'!A315&lt;&gt;"",IF('08_资产清单'!A315="","缺少资产ID；","")&amp;IF('08_资产清单'!B315="","缺少资产名称；","")&amp;IF('08_资产清单'!C315="","缺少对象ID；","")&amp;IF('08_资产清单'!D315="","缺少资产类别；","")&amp;IF('08_资产清单'!G315="","缺少文件名；","")&amp;IF(AND('08_资产清单'!C315&lt;&gt;"",COUNTIF('02_固定地理'!$A$2:$A$501,'08_资产清单'!C315)+COUNTIF('03_地点锚点'!$A$2:$A$501,'08_资产清单'!C315)+COUNTIF('04_路径网络'!$A$2:$A$501,'08_资产清单'!C315)+COUNTIF('06_建筑锚点'!$A$2:$A$501,'08_资产清单'!C315)=0),"资产引用对象不存在；","")&amp;IF(AND('08_资产清单'!E315&lt;&gt;"",COUNTIF('07_动态状态'!$A$2:$A$501,'08_资产清单'!E315)=0),"状态编码不存在；","")&amp;IF(AND('08_资产清单'!G315&lt;&gt;"",COUNTIF('08_资产清单'!$G$2:$G$501,'08_资产清单'!G315)&gt;1),"文件名重复；","")&amp;IF(AND('08_资产清单'!A315&lt;&gt;"",COUNTIF('08_资产清单'!$A$2:$A$501,'08_资产清单'!A315)&gt;1),"ID重复；",""),"")</f>
        <v/>
      </c>
      <c r="G3315" s="14">
        <f>IF(F3315&lt;&gt;"","按字段批注、数据字典和来源记录修正后复核","")</f>
        <v/>
      </c>
      <c r="H3315" s="14">
        <f>IF(F3315&lt;&gt;"","待处理","")</f>
        <v/>
      </c>
    </row>
    <row r="3316">
      <c r="A3316" s="14">
        <f>IF(F3316&lt;&gt;"","ISSUE-"&amp;TEXT(ROW()-1,"00000"),"")</f>
        <v/>
      </c>
      <c r="B3316" s="14">
        <f>IF(F3316&lt;&gt;"","错误","")</f>
        <v/>
      </c>
      <c r="C3316" s="14">
        <f>IF('08_资产清单'!A316&lt;&gt;"","08_资产清单","")</f>
        <v/>
      </c>
      <c r="D3316" s="14">
        <f>IF('08_资产清单'!A316&lt;&gt;"",'08_资产清单'!A316,"")</f>
        <v/>
      </c>
      <c r="E3316" s="14">
        <f>IF(F3316&lt;&gt;"","综合校验","")</f>
        <v/>
      </c>
      <c r="F3316" s="14">
        <f>IF('08_资产清单'!A316&lt;&gt;"",IF('08_资产清单'!A316="","缺少资产ID；","")&amp;IF('08_资产清单'!B316="","缺少资产名称；","")&amp;IF('08_资产清单'!C316="","缺少对象ID；","")&amp;IF('08_资产清单'!D316="","缺少资产类别；","")&amp;IF('08_资产清单'!G316="","缺少文件名；","")&amp;IF(AND('08_资产清单'!C316&lt;&gt;"",COUNTIF('02_固定地理'!$A$2:$A$501,'08_资产清单'!C316)+COUNTIF('03_地点锚点'!$A$2:$A$501,'08_资产清单'!C316)+COUNTIF('04_路径网络'!$A$2:$A$501,'08_资产清单'!C316)+COUNTIF('06_建筑锚点'!$A$2:$A$501,'08_资产清单'!C316)=0),"资产引用对象不存在；","")&amp;IF(AND('08_资产清单'!E316&lt;&gt;"",COUNTIF('07_动态状态'!$A$2:$A$501,'08_资产清单'!E316)=0),"状态编码不存在；","")&amp;IF(AND('08_资产清单'!G316&lt;&gt;"",COUNTIF('08_资产清单'!$G$2:$G$501,'08_资产清单'!G316)&gt;1),"文件名重复；","")&amp;IF(AND('08_资产清单'!A316&lt;&gt;"",COUNTIF('08_资产清单'!$A$2:$A$501,'08_资产清单'!A316)&gt;1),"ID重复；",""),"")</f>
        <v/>
      </c>
      <c r="G3316" s="14">
        <f>IF(F3316&lt;&gt;"","按字段批注、数据字典和来源记录修正后复核","")</f>
        <v/>
      </c>
      <c r="H3316" s="14">
        <f>IF(F3316&lt;&gt;"","待处理","")</f>
        <v/>
      </c>
    </row>
    <row r="3317">
      <c r="A3317" s="14">
        <f>IF(F3317&lt;&gt;"","ISSUE-"&amp;TEXT(ROW()-1,"00000"),"")</f>
        <v/>
      </c>
      <c r="B3317" s="14">
        <f>IF(F3317&lt;&gt;"","错误","")</f>
        <v/>
      </c>
      <c r="C3317" s="14">
        <f>IF('08_资产清单'!A317&lt;&gt;"","08_资产清单","")</f>
        <v/>
      </c>
      <c r="D3317" s="14">
        <f>IF('08_资产清单'!A317&lt;&gt;"",'08_资产清单'!A317,"")</f>
        <v/>
      </c>
      <c r="E3317" s="14">
        <f>IF(F3317&lt;&gt;"","综合校验","")</f>
        <v/>
      </c>
      <c r="F3317" s="14">
        <f>IF('08_资产清单'!A317&lt;&gt;"",IF('08_资产清单'!A317="","缺少资产ID；","")&amp;IF('08_资产清单'!B317="","缺少资产名称；","")&amp;IF('08_资产清单'!C317="","缺少对象ID；","")&amp;IF('08_资产清单'!D317="","缺少资产类别；","")&amp;IF('08_资产清单'!G317="","缺少文件名；","")&amp;IF(AND('08_资产清单'!C317&lt;&gt;"",COUNTIF('02_固定地理'!$A$2:$A$501,'08_资产清单'!C317)+COUNTIF('03_地点锚点'!$A$2:$A$501,'08_资产清单'!C317)+COUNTIF('04_路径网络'!$A$2:$A$501,'08_资产清单'!C317)+COUNTIF('06_建筑锚点'!$A$2:$A$501,'08_资产清单'!C317)=0),"资产引用对象不存在；","")&amp;IF(AND('08_资产清单'!E317&lt;&gt;"",COUNTIF('07_动态状态'!$A$2:$A$501,'08_资产清单'!E317)=0),"状态编码不存在；","")&amp;IF(AND('08_资产清单'!G317&lt;&gt;"",COUNTIF('08_资产清单'!$G$2:$G$501,'08_资产清单'!G317)&gt;1),"文件名重复；","")&amp;IF(AND('08_资产清单'!A317&lt;&gt;"",COUNTIF('08_资产清单'!$A$2:$A$501,'08_资产清单'!A317)&gt;1),"ID重复；",""),"")</f>
        <v/>
      </c>
      <c r="G3317" s="14">
        <f>IF(F3317&lt;&gt;"","按字段批注、数据字典和来源记录修正后复核","")</f>
        <v/>
      </c>
      <c r="H3317" s="14">
        <f>IF(F3317&lt;&gt;"","待处理","")</f>
        <v/>
      </c>
    </row>
    <row r="3318">
      <c r="A3318" s="14">
        <f>IF(F3318&lt;&gt;"","ISSUE-"&amp;TEXT(ROW()-1,"00000"),"")</f>
        <v/>
      </c>
      <c r="B3318" s="14">
        <f>IF(F3318&lt;&gt;"","错误","")</f>
        <v/>
      </c>
      <c r="C3318" s="14">
        <f>IF('08_资产清单'!A318&lt;&gt;"","08_资产清单","")</f>
        <v/>
      </c>
      <c r="D3318" s="14">
        <f>IF('08_资产清单'!A318&lt;&gt;"",'08_资产清单'!A318,"")</f>
        <v/>
      </c>
      <c r="E3318" s="14">
        <f>IF(F3318&lt;&gt;"","综合校验","")</f>
        <v/>
      </c>
      <c r="F3318" s="14">
        <f>IF('08_资产清单'!A318&lt;&gt;"",IF('08_资产清单'!A318="","缺少资产ID；","")&amp;IF('08_资产清单'!B318="","缺少资产名称；","")&amp;IF('08_资产清单'!C318="","缺少对象ID；","")&amp;IF('08_资产清单'!D318="","缺少资产类别；","")&amp;IF('08_资产清单'!G318="","缺少文件名；","")&amp;IF(AND('08_资产清单'!C318&lt;&gt;"",COUNTIF('02_固定地理'!$A$2:$A$501,'08_资产清单'!C318)+COUNTIF('03_地点锚点'!$A$2:$A$501,'08_资产清单'!C318)+COUNTIF('04_路径网络'!$A$2:$A$501,'08_资产清单'!C318)+COUNTIF('06_建筑锚点'!$A$2:$A$501,'08_资产清单'!C318)=0),"资产引用对象不存在；","")&amp;IF(AND('08_资产清单'!E318&lt;&gt;"",COUNTIF('07_动态状态'!$A$2:$A$501,'08_资产清单'!E318)=0),"状态编码不存在；","")&amp;IF(AND('08_资产清单'!G318&lt;&gt;"",COUNTIF('08_资产清单'!$G$2:$G$501,'08_资产清单'!G318)&gt;1),"文件名重复；","")&amp;IF(AND('08_资产清单'!A318&lt;&gt;"",COUNTIF('08_资产清单'!$A$2:$A$501,'08_资产清单'!A318)&gt;1),"ID重复；",""),"")</f>
        <v/>
      </c>
      <c r="G3318" s="14">
        <f>IF(F3318&lt;&gt;"","按字段批注、数据字典和来源记录修正后复核","")</f>
        <v/>
      </c>
      <c r="H3318" s="14">
        <f>IF(F3318&lt;&gt;"","待处理","")</f>
        <v/>
      </c>
    </row>
    <row r="3319">
      <c r="A3319" s="14">
        <f>IF(F3319&lt;&gt;"","ISSUE-"&amp;TEXT(ROW()-1,"00000"),"")</f>
        <v/>
      </c>
      <c r="B3319" s="14">
        <f>IF(F3319&lt;&gt;"","错误","")</f>
        <v/>
      </c>
      <c r="C3319" s="14">
        <f>IF('08_资产清单'!A319&lt;&gt;"","08_资产清单","")</f>
        <v/>
      </c>
      <c r="D3319" s="14">
        <f>IF('08_资产清单'!A319&lt;&gt;"",'08_资产清单'!A319,"")</f>
        <v/>
      </c>
      <c r="E3319" s="14">
        <f>IF(F3319&lt;&gt;"","综合校验","")</f>
        <v/>
      </c>
      <c r="F3319" s="14">
        <f>IF('08_资产清单'!A319&lt;&gt;"",IF('08_资产清单'!A319="","缺少资产ID；","")&amp;IF('08_资产清单'!B319="","缺少资产名称；","")&amp;IF('08_资产清单'!C319="","缺少对象ID；","")&amp;IF('08_资产清单'!D319="","缺少资产类别；","")&amp;IF('08_资产清单'!G319="","缺少文件名；","")&amp;IF(AND('08_资产清单'!C319&lt;&gt;"",COUNTIF('02_固定地理'!$A$2:$A$501,'08_资产清单'!C319)+COUNTIF('03_地点锚点'!$A$2:$A$501,'08_资产清单'!C319)+COUNTIF('04_路径网络'!$A$2:$A$501,'08_资产清单'!C319)+COUNTIF('06_建筑锚点'!$A$2:$A$501,'08_资产清单'!C319)=0),"资产引用对象不存在；","")&amp;IF(AND('08_资产清单'!E319&lt;&gt;"",COUNTIF('07_动态状态'!$A$2:$A$501,'08_资产清单'!E319)=0),"状态编码不存在；","")&amp;IF(AND('08_资产清单'!G319&lt;&gt;"",COUNTIF('08_资产清单'!$G$2:$G$501,'08_资产清单'!G319)&gt;1),"文件名重复；","")&amp;IF(AND('08_资产清单'!A319&lt;&gt;"",COUNTIF('08_资产清单'!$A$2:$A$501,'08_资产清单'!A319)&gt;1),"ID重复；",""),"")</f>
        <v/>
      </c>
      <c r="G3319" s="14">
        <f>IF(F3319&lt;&gt;"","按字段批注、数据字典和来源记录修正后复核","")</f>
        <v/>
      </c>
      <c r="H3319" s="14">
        <f>IF(F3319&lt;&gt;"","待处理","")</f>
        <v/>
      </c>
    </row>
    <row r="3320">
      <c r="A3320" s="14">
        <f>IF(F3320&lt;&gt;"","ISSUE-"&amp;TEXT(ROW()-1,"00000"),"")</f>
        <v/>
      </c>
      <c r="B3320" s="14">
        <f>IF(F3320&lt;&gt;"","错误","")</f>
        <v/>
      </c>
      <c r="C3320" s="14">
        <f>IF('08_资产清单'!A320&lt;&gt;"","08_资产清单","")</f>
        <v/>
      </c>
      <c r="D3320" s="14">
        <f>IF('08_资产清单'!A320&lt;&gt;"",'08_资产清单'!A320,"")</f>
        <v/>
      </c>
      <c r="E3320" s="14">
        <f>IF(F3320&lt;&gt;"","综合校验","")</f>
        <v/>
      </c>
      <c r="F3320" s="14">
        <f>IF('08_资产清单'!A320&lt;&gt;"",IF('08_资产清单'!A320="","缺少资产ID；","")&amp;IF('08_资产清单'!B320="","缺少资产名称；","")&amp;IF('08_资产清单'!C320="","缺少对象ID；","")&amp;IF('08_资产清单'!D320="","缺少资产类别；","")&amp;IF('08_资产清单'!G320="","缺少文件名；","")&amp;IF(AND('08_资产清单'!C320&lt;&gt;"",COUNTIF('02_固定地理'!$A$2:$A$501,'08_资产清单'!C320)+COUNTIF('03_地点锚点'!$A$2:$A$501,'08_资产清单'!C320)+COUNTIF('04_路径网络'!$A$2:$A$501,'08_资产清单'!C320)+COUNTIF('06_建筑锚点'!$A$2:$A$501,'08_资产清单'!C320)=0),"资产引用对象不存在；","")&amp;IF(AND('08_资产清单'!E320&lt;&gt;"",COUNTIF('07_动态状态'!$A$2:$A$501,'08_资产清单'!E320)=0),"状态编码不存在；","")&amp;IF(AND('08_资产清单'!G320&lt;&gt;"",COUNTIF('08_资产清单'!$G$2:$G$501,'08_资产清单'!G320)&gt;1),"文件名重复；","")&amp;IF(AND('08_资产清单'!A320&lt;&gt;"",COUNTIF('08_资产清单'!$A$2:$A$501,'08_资产清单'!A320)&gt;1),"ID重复；",""),"")</f>
        <v/>
      </c>
      <c r="G3320" s="14">
        <f>IF(F3320&lt;&gt;"","按字段批注、数据字典和来源记录修正后复核","")</f>
        <v/>
      </c>
      <c r="H3320" s="14">
        <f>IF(F3320&lt;&gt;"","待处理","")</f>
        <v/>
      </c>
    </row>
    <row r="3321">
      <c r="A3321" s="14">
        <f>IF(F3321&lt;&gt;"","ISSUE-"&amp;TEXT(ROW()-1,"00000"),"")</f>
        <v/>
      </c>
      <c r="B3321" s="14">
        <f>IF(F3321&lt;&gt;"","错误","")</f>
        <v/>
      </c>
      <c r="C3321" s="14">
        <f>IF('08_资产清单'!A321&lt;&gt;"","08_资产清单","")</f>
        <v/>
      </c>
      <c r="D3321" s="14">
        <f>IF('08_资产清单'!A321&lt;&gt;"",'08_资产清单'!A321,"")</f>
        <v/>
      </c>
      <c r="E3321" s="14">
        <f>IF(F3321&lt;&gt;"","综合校验","")</f>
        <v/>
      </c>
      <c r="F3321" s="14">
        <f>IF('08_资产清单'!A321&lt;&gt;"",IF('08_资产清单'!A321="","缺少资产ID；","")&amp;IF('08_资产清单'!B321="","缺少资产名称；","")&amp;IF('08_资产清单'!C321="","缺少对象ID；","")&amp;IF('08_资产清单'!D321="","缺少资产类别；","")&amp;IF('08_资产清单'!G321="","缺少文件名；","")&amp;IF(AND('08_资产清单'!C321&lt;&gt;"",COUNTIF('02_固定地理'!$A$2:$A$501,'08_资产清单'!C321)+COUNTIF('03_地点锚点'!$A$2:$A$501,'08_资产清单'!C321)+COUNTIF('04_路径网络'!$A$2:$A$501,'08_资产清单'!C321)+COUNTIF('06_建筑锚点'!$A$2:$A$501,'08_资产清单'!C321)=0),"资产引用对象不存在；","")&amp;IF(AND('08_资产清单'!E321&lt;&gt;"",COUNTIF('07_动态状态'!$A$2:$A$501,'08_资产清单'!E321)=0),"状态编码不存在；","")&amp;IF(AND('08_资产清单'!G321&lt;&gt;"",COUNTIF('08_资产清单'!$G$2:$G$501,'08_资产清单'!G321)&gt;1),"文件名重复；","")&amp;IF(AND('08_资产清单'!A321&lt;&gt;"",COUNTIF('08_资产清单'!$A$2:$A$501,'08_资产清单'!A321)&gt;1),"ID重复；",""),"")</f>
        <v/>
      </c>
      <c r="G3321" s="14">
        <f>IF(F3321&lt;&gt;"","按字段批注、数据字典和来源记录修正后复核","")</f>
        <v/>
      </c>
      <c r="H3321" s="14">
        <f>IF(F3321&lt;&gt;"","待处理","")</f>
        <v/>
      </c>
    </row>
    <row r="3322">
      <c r="A3322" s="14">
        <f>IF(F3322&lt;&gt;"","ISSUE-"&amp;TEXT(ROW()-1,"00000"),"")</f>
        <v/>
      </c>
      <c r="B3322" s="14">
        <f>IF(F3322&lt;&gt;"","错误","")</f>
        <v/>
      </c>
      <c r="C3322" s="14">
        <f>IF('08_资产清单'!A322&lt;&gt;"","08_资产清单","")</f>
        <v/>
      </c>
      <c r="D3322" s="14">
        <f>IF('08_资产清单'!A322&lt;&gt;"",'08_资产清单'!A322,"")</f>
        <v/>
      </c>
      <c r="E3322" s="14">
        <f>IF(F3322&lt;&gt;"","综合校验","")</f>
        <v/>
      </c>
      <c r="F3322" s="14">
        <f>IF('08_资产清单'!A322&lt;&gt;"",IF('08_资产清单'!A322="","缺少资产ID；","")&amp;IF('08_资产清单'!B322="","缺少资产名称；","")&amp;IF('08_资产清单'!C322="","缺少对象ID；","")&amp;IF('08_资产清单'!D322="","缺少资产类别；","")&amp;IF('08_资产清单'!G322="","缺少文件名；","")&amp;IF(AND('08_资产清单'!C322&lt;&gt;"",COUNTIF('02_固定地理'!$A$2:$A$501,'08_资产清单'!C322)+COUNTIF('03_地点锚点'!$A$2:$A$501,'08_资产清单'!C322)+COUNTIF('04_路径网络'!$A$2:$A$501,'08_资产清单'!C322)+COUNTIF('06_建筑锚点'!$A$2:$A$501,'08_资产清单'!C322)=0),"资产引用对象不存在；","")&amp;IF(AND('08_资产清单'!E322&lt;&gt;"",COUNTIF('07_动态状态'!$A$2:$A$501,'08_资产清单'!E322)=0),"状态编码不存在；","")&amp;IF(AND('08_资产清单'!G322&lt;&gt;"",COUNTIF('08_资产清单'!$G$2:$G$501,'08_资产清单'!G322)&gt;1),"文件名重复；","")&amp;IF(AND('08_资产清单'!A322&lt;&gt;"",COUNTIF('08_资产清单'!$A$2:$A$501,'08_资产清单'!A322)&gt;1),"ID重复；",""),"")</f>
        <v/>
      </c>
      <c r="G3322" s="14">
        <f>IF(F3322&lt;&gt;"","按字段批注、数据字典和来源记录修正后复核","")</f>
        <v/>
      </c>
      <c r="H3322" s="14">
        <f>IF(F3322&lt;&gt;"","待处理","")</f>
        <v/>
      </c>
    </row>
    <row r="3323">
      <c r="A3323" s="14">
        <f>IF(F3323&lt;&gt;"","ISSUE-"&amp;TEXT(ROW()-1,"00000"),"")</f>
        <v/>
      </c>
      <c r="B3323" s="14">
        <f>IF(F3323&lt;&gt;"","错误","")</f>
        <v/>
      </c>
      <c r="C3323" s="14">
        <f>IF('08_资产清单'!A323&lt;&gt;"","08_资产清单","")</f>
        <v/>
      </c>
      <c r="D3323" s="14">
        <f>IF('08_资产清单'!A323&lt;&gt;"",'08_资产清单'!A323,"")</f>
        <v/>
      </c>
      <c r="E3323" s="14">
        <f>IF(F3323&lt;&gt;"","综合校验","")</f>
        <v/>
      </c>
      <c r="F3323" s="14">
        <f>IF('08_资产清单'!A323&lt;&gt;"",IF('08_资产清单'!A323="","缺少资产ID；","")&amp;IF('08_资产清单'!B323="","缺少资产名称；","")&amp;IF('08_资产清单'!C323="","缺少对象ID；","")&amp;IF('08_资产清单'!D323="","缺少资产类别；","")&amp;IF('08_资产清单'!G323="","缺少文件名；","")&amp;IF(AND('08_资产清单'!C323&lt;&gt;"",COUNTIF('02_固定地理'!$A$2:$A$501,'08_资产清单'!C323)+COUNTIF('03_地点锚点'!$A$2:$A$501,'08_资产清单'!C323)+COUNTIF('04_路径网络'!$A$2:$A$501,'08_资产清单'!C323)+COUNTIF('06_建筑锚点'!$A$2:$A$501,'08_资产清单'!C323)=0),"资产引用对象不存在；","")&amp;IF(AND('08_资产清单'!E323&lt;&gt;"",COUNTIF('07_动态状态'!$A$2:$A$501,'08_资产清单'!E323)=0),"状态编码不存在；","")&amp;IF(AND('08_资产清单'!G323&lt;&gt;"",COUNTIF('08_资产清单'!$G$2:$G$501,'08_资产清单'!G323)&gt;1),"文件名重复；","")&amp;IF(AND('08_资产清单'!A323&lt;&gt;"",COUNTIF('08_资产清单'!$A$2:$A$501,'08_资产清单'!A323)&gt;1),"ID重复；",""),"")</f>
        <v/>
      </c>
      <c r="G3323" s="14">
        <f>IF(F3323&lt;&gt;"","按字段批注、数据字典和来源记录修正后复核","")</f>
        <v/>
      </c>
      <c r="H3323" s="14">
        <f>IF(F3323&lt;&gt;"","待处理","")</f>
        <v/>
      </c>
    </row>
    <row r="3324">
      <c r="A3324" s="14">
        <f>IF(F3324&lt;&gt;"","ISSUE-"&amp;TEXT(ROW()-1,"00000"),"")</f>
        <v/>
      </c>
      <c r="B3324" s="14">
        <f>IF(F3324&lt;&gt;"","错误","")</f>
        <v/>
      </c>
      <c r="C3324" s="14">
        <f>IF('08_资产清单'!A324&lt;&gt;"","08_资产清单","")</f>
        <v/>
      </c>
      <c r="D3324" s="14">
        <f>IF('08_资产清单'!A324&lt;&gt;"",'08_资产清单'!A324,"")</f>
        <v/>
      </c>
      <c r="E3324" s="14">
        <f>IF(F3324&lt;&gt;"","综合校验","")</f>
        <v/>
      </c>
      <c r="F3324" s="14">
        <f>IF('08_资产清单'!A324&lt;&gt;"",IF('08_资产清单'!A324="","缺少资产ID；","")&amp;IF('08_资产清单'!B324="","缺少资产名称；","")&amp;IF('08_资产清单'!C324="","缺少对象ID；","")&amp;IF('08_资产清单'!D324="","缺少资产类别；","")&amp;IF('08_资产清单'!G324="","缺少文件名；","")&amp;IF(AND('08_资产清单'!C324&lt;&gt;"",COUNTIF('02_固定地理'!$A$2:$A$501,'08_资产清单'!C324)+COUNTIF('03_地点锚点'!$A$2:$A$501,'08_资产清单'!C324)+COUNTIF('04_路径网络'!$A$2:$A$501,'08_资产清单'!C324)+COUNTIF('06_建筑锚点'!$A$2:$A$501,'08_资产清单'!C324)=0),"资产引用对象不存在；","")&amp;IF(AND('08_资产清单'!E324&lt;&gt;"",COUNTIF('07_动态状态'!$A$2:$A$501,'08_资产清单'!E324)=0),"状态编码不存在；","")&amp;IF(AND('08_资产清单'!G324&lt;&gt;"",COUNTIF('08_资产清单'!$G$2:$G$501,'08_资产清单'!G324)&gt;1),"文件名重复；","")&amp;IF(AND('08_资产清单'!A324&lt;&gt;"",COUNTIF('08_资产清单'!$A$2:$A$501,'08_资产清单'!A324)&gt;1),"ID重复；",""),"")</f>
        <v/>
      </c>
      <c r="G3324" s="14">
        <f>IF(F3324&lt;&gt;"","按字段批注、数据字典和来源记录修正后复核","")</f>
        <v/>
      </c>
      <c r="H3324" s="14">
        <f>IF(F3324&lt;&gt;"","待处理","")</f>
        <v/>
      </c>
    </row>
    <row r="3325">
      <c r="A3325" s="14">
        <f>IF(F3325&lt;&gt;"","ISSUE-"&amp;TEXT(ROW()-1,"00000"),"")</f>
        <v/>
      </c>
      <c r="B3325" s="14">
        <f>IF(F3325&lt;&gt;"","错误","")</f>
        <v/>
      </c>
      <c r="C3325" s="14">
        <f>IF('08_资产清单'!A325&lt;&gt;"","08_资产清单","")</f>
        <v/>
      </c>
      <c r="D3325" s="14">
        <f>IF('08_资产清单'!A325&lt;&gt;"",'08_资产清单'!A325,"")</f>
        <v/>
      </c>
      <c r="E3325" s="14">
        <f>IF(F3325&lt;&gt;"","综合校验","")</f>
        <v/>
      </c>
      <c r="F3325" s="14">
        <f>IF('08_资产清单'!A325&lt;&gt;"",IF('08_资产清单'!A325="","缺少资产ID；","")&amp;IF('08_资产清单'!B325="","缺少资产名称；","")&amp;IF('08_资产清单'!C325="","缺少对象ID；","")&amp;IF('08_资产清单'!D325="","缺少资产类别；","")&amp;IF('08_资产清单'!G325="","缺少文件名；","")&amp;IF(AND('08_资产清单'!C325&lt;&gt;"",COUNTIF('02_固定地理'!$A$2:$A$501,'08_资产清单'!C325)+COUNTIF('03_地点锚点'!$A$2:$A$501,'08_资产清单'!C325)+COUNTIF('04_路径网络'!$A$2:$A$501,'08_资产清单'!C325)+COUNTIF('06_建筑锚点'!$A$2:$A$501,'08_资产清单'!C325)=0),"资产引用对象不存在；","")&amp;IF(AND('08_资产清单'!E325&lt;&gt;"",COUNTIF('07_动态状态'!$A$2:$A$501,'08_资产清单'!E325)=0),"状态编码不存在；","")&amp;IF(AND('08_资产清单'!G325&lt;&gt;"",COUNTIF('08_资产清单'!$G$2:$G$501,'08_资产清单'!G325)&gt;1),"文件名重复；","")&amp;IF(AND('08_资产清单'!A325&lt;&gt;"",COUNTIF('08_资产清单'!$A$2:$A$501,'08_资产清单'!A325)&gt;1),"ID重复；",""),"")</f>
        <v/>
      </c>
      <c r="G3325" s="14">
        <f>IF(F3325&lt;&gt;"","按字段批注、数据字典和来源记录修正后复核","")</f>
        <v/>
      </c>
      <c r="H3325" s="14">
        <f>IF(F3325&lt;&gt;"","待处理","")</f>
        <v/>
      </c>
    </row>
    <row r="3326">
      <c r="A3326" s="14">
        <f>IF(F3326&lt;&gt;"","ISSUE-"&amp;TEXT(ROW()-1,"00000"),"")</f>
        <v/>
      </c>
      <c r="B3326" s="14">
        <f>IF(F3326&lt;&gt;"","错误","")</f>
        <v/>
      </c>
      <c r="C3326" s="14">
        <f>IF('08_资产清单'!A326&lt;&gt;"","08_资产清单","")</f>
        <v/>
      </c>
      <c r="D3326" s="14">
        <f>IF('08_资产清单'!A326&lt;&gt;"",'08_资产清单'!A326,"")</f>
        <v/>
      </c>
      <c r="E3326" s="14">
        <f>IF(F3326&lt;&gt;"","综合校验","")</f>
        <v/>
      </c>
      <c r="F3326" s="14">
        <f>IF('08_资产清单'!A326&lt;&gt;"",IF('08_资产清单'!A326="","缺少资产ID；","")&amp;IF('08_资产清单'!B326="","缺少资产名称；","")&amp;IF('08_资产清单'!C326="","缺少对象ID；","")&amp;IF('08_资产清单'!D326="","缺少资产类别；","")&amp;IF('08_资产清单'!G326="","缺少文件名；","")&amp;IF(AND('08_资产清单'!C326&lt;&gt;"",COUNTIF('02_固定地理'!$A$2:$A$501,'08_资产清单'!C326)+COUNTIF('03_地点锚点'!$A$2:$A$501,'08_资产清单'!C326)+COUNTIF('04_路径网络'!$A$2:$A$501,'08_资产清单'!C326)+COUNTIF('06_建筑锚点'!$A$2:$A$501,'08_资产清单'!C326)=0),"资产引用对象不存在；","")&amp;IF(AND('08_资产清单'!E326&lt;&gt;"",COUNTIF('07_动态状态'!$A$2:$A$501,'08_资产清单'!E326)=0),"状态编码不存在；","")&amp;IF(AND('08_资产清单'!G326&lt;&gt;"",COUNTIF('08_资产清单'!$G$2:$G$501,'08_资产清单'!G326)&gt;1),"文件名重复；","")&amp;IF(AND('08_资产清单'!A326&lt;&gt;"",COUNTIF('08_资产清单'!$A$2:$A$501,'08_资产清单'!A326)&gt;1),"ID重复；",""),"")</f>
        <v/>
      </c>
      <c r="G3326" s="14">
        <f>IF(F3326&lt;&gt;"","按字段批注、数据字典和来源记录修正后复核","")</f>
        <v/>
      </c>
      <c r="H3326" s="14">
        <f>IF(F3326&lt;&gt;"","待处理","")</f>
        <v/>
      </c>
    </row>
    <row r="3327">
      <c r="A3327" s="14">
        <f>IF(F3327&lt;&gt;"","ISSUE-"&amp;TEXT(ROW()-1,"00000"),"")</f>
        <v/>
      </c>
      <c r="B3327" s="14">
        <f>IF(F3327&lt;&gt;"","错误","")</f>
        <v/>
      </c>
      <c r="C3327" s="14">
        <f>IF('08_资产清单'!A327&lt;&gt;"","08_资产清单","")</f>
        <v/>
      </c>
      <c r="D3327" s="14">
        <f>IF('08_资产清单'!A327&lt;&gt;"",'08_资产清单'!A327,"")</f>
        <v/>
      </c>
      <c r="E3327" s="14">
        <f>IF(F3327&lt;&gt;"","综合校验","")</f>
        <v/>
      </c>
      <c r="F3327" s="14">
        <f>IF('08_资产清单'!A327&lt;&gt;"",IF('08_资产清单'!A327="","缺少资产ID；","")&amp;IF('08_资产清单'!B327="","缺少资产名称；","")&amp;IF('08_资产清单'!C327="","缺少对象ID；","")&amp;IF('08_资产清单'!D327="","缺少资产类别；","")&amp;IF('08_资产清单'!G327="","缺少文件名；","")&amp;IF(AND('08_资产清单'!C327&lt;&gt;"",COUNTIF('02_固定地理'!$A$2:$A$501,'08_资产清单'!C327)+COUNTIF('03_地点锚点'!$A$2:$A$501,'08_资产清单'!C327)+COUNTIF('04_路径网络'!$A$2:$A$501,'08_资产清单'!C327)+COUNTIF('06_建筑锚点'!$A$2:$A$501,'08_资产清单'!C327)=0),"资产引用对象不存在；","")&amp;IF(AND('08_资产清单'!E327&lt;&gt;"",COUNTIF('07_动态状态'!$A$2:$A$501,'08_资产清单'!E327)=0),"状态编码不存在；","")&amp;IF(AND('08_资产清单'!G327&lt;&gt;"",COUNTIF('08_资产清单'!$G$2:$G$501,'08_资产清单'!G327)&gt;1),"文件名重复；","")&amp;IF(AND('08_资产清单'!A327&lt;&gt;"",COUNTIF('08_资产清单'!$A$2:$A$501,'08_资产清单'!A327)&gt;1),"ID重复；",""),"")</f>
        <v/>
      </c>
      <c r="G3327" s="14">
        <f>IF(F3327&lt;&gt;"","按字段批注、数据字典和来源记录修正后复核","")</f>
        <v/>
      </c>
      <c r="H3327" s="14">
        <f>IF(F3327&lt;&gt;"","待处理","")</f>
        <v/>
      </c>
    </row>
    <row r="3328">
      <c r="A3328" s="14">
        <f>IF(F3328&lt;&gt;"","ISSUE-"&amp;TEXT(ROW()-1,"00000"),"")</f>
        <v/>
      </c>
      <c r="B3328" s="14">
        <f>IF(F3328&lt;&gt;"","错误","")</f>
        <v/>
      </c>
      <c r="C3328" s="14">
        <f>IF('08_资产清单'!A328&lt;&gt;"","08_资产清单","")</f>
        <v/>
      </c>
      <c r="D3328" s="14">
        <f>IF('08_资产清单'!A328&lt;&gt;"",'08_资产清单'!A328,"")</f>
        <v/>
      </c>
      <c r="E3328" s="14">
        <f>IF(F3328&lt;&gt;"","综合校验","")</f>
        <v/>
      </c>
      <c r="F3328" s="14">
        <f>IF('08_资产清单'!A328&lt;&gt;"",IF('08_资产清单'!A328="","缺少资产ID；","")&amp;IF('08_资产清单'!B328="","缺少资产名称；","")&amp;IF('08_资产清单'!C328="","缺少对象ID；","")&amp;IF('08_资产清单'!D328="","缺少资产类别；","")&amp;IF('08_资产清单'!G328="","缺少文件名；","")&amp;IF(AND('08_资产清单'!C328&lt;&gt;"",COUNTIF('02_固定地理'!$A$2:$A$501,'08_资产清单'!C328)+COUNTIF('03_地点锚点'!$A$2:$A$501,'08_资产清单'!C328)+COUNTIF('04_路径网络'!$A$2:$A$501,'08_资产清单'!C328)+COUNTIF('06_建筑锚点'!$A$2:$A$501,'08_资产清单'!C328)=0),"资产引用对象不存在；","")&amp;IF(AND('08_资产清单'!E328&lt;&gt;"",COUNTIF('07_动态状态'!$A$2:$A$501,'08_资产清单'!E328)=0),"状态编码不存在；","")&amp;IF(AND('08_资产清单'!G328&lt;&gt;"",COUNTIF('08_资产清单'!$G$2:$G$501,'08_资产清单'!G328)&gt;1),"文件名重复；","")&amp;IF(AND('08_资产清单'!A328&lt;&gt;"",COUNTIF('08_资产清单'!$A$2:$A$501,'08_资产清单'!A328)&gt;1),"ID重复；",""),"")</f>
        <v/>
      </c>
      <c r="G3328" s="14">
        <f>IF(F3328&lt;&gt;"","按字段批注、数据字典和来源记录修正后复核","")</f>
        <v/>
      </c>
      <c r="H3328" s="14">
        <f>IF(F3328&lt;&gt;"","待处理","")</f>
        <v/>
      </c>
    </row>
    <row r="3329">
      <c r="A3329" s="14">
        <f>IF(F3329&lt;&gt;"","ISSUE-"&amp;TEXT(ROW()-1,"00000"),"")</f>
        <v/>
      </c>
      <c r="B3329" s="14">
        <f>IF(F3329&lt;&gt;"","错误","")</f>
        <v/>
      </c>
      <c r="C3329" s="14">
        <f>IF('08_资产清单'!A329&lt;&gt;"","08_资产清单","")</f>
        <v/>
      </c>
      <c r="D3329" s="14">
        <f>IF('08_资产清单'!A329&lt;&gt;"",'08_资产清单'!A329,"")</f>
        <v/>
      </c>
      <c r="E3329" s="14">
        <f>IF(F3329&lt;&gt;"","综合校验","")</f>
        <v/>
      </c>
      <c r="F3329" s="14">
        <f>IF('08_资产清单'!A329&lt;&gt;"",IF('08_资产清单'!A329="","缺少资产ID；","")&amp;IF('08_资产清单'!B329="","缺少资产名称；","")&amp;IF('08_资产清单'!C329="","缺少对象ID；","")&amp;IF('08_资产清单'!D329="","缺少资产类别；","")&amp;IF('08_资产清单'!G329="","缺少文件名；","")&amp;IF(AND('08_资产清单'!C329&lt;&gt;"",COUNTIF('02_固定地理'!$A$2:$A$501,'08_资产清单'!C329)+COUNTIF('03_地点锚点'!$A$2:$A$501,'08_资产清单'!C329)+COUNTIF('04_路径网络'!$A$2:$A$501,'08_资产清单'!C329)+COUNTIF('06_建筑锚点'!$A$2:$A$501,'08_资产清单'!C329)=0),"资产引用对象不存在；","")&amp;IF(AND('08_资产清单'!E329&lt;&gt;"",COUNTIF('07_动态状态'!$A$2:$A$501,'08_资产清单'!E329)=0),"状态编码不存在；","")&amp;IF(AND('08_资产清单'!G329&lt;&gt;"",COUNTIF('08_资产清单'!$G$2:$G$501,'08_资产清单'!G329)&gt;1),"文件名重复；","")&amp;IF(AND('08_资产清单'!A329&lt;&gt;"",COUNTIF('08_资产清单'!$A$2:$A$501,'08_资产清单'!A329)&gt;1),"ID重复；",""),"")</f>
        <v/>
      </c>
      <c r="G3329" s="14">
        <f>IF(F3329&lt;&gt;"","按字段批注、数据字典和来源记录修正后复核","")</f>
        <v/>
      </c>
      <c r="H3329" s="14">
        <f>IF(F3329&lt;&gt;"","待处理","")</f>
        <v/>
      </c>
    </row>
    <row r="3330">
      <c r="A3330" s="14">
        <f>IF(F3330&lt;&gt;"","ISSUE-"&amp;TEXT(ROW()-1,"00000"),"")</f>
        <v/>
      </c>
      <c r="B3330" s="14">
        <f>IF(F3330&lt;&gt;"","错误","")</f>
        <v/>
      </c>
      <c r="C3330" s="14">
        <f>IF('08_资产清单'!A330&lt;&gt;"","08_资产清单","")</f>
        <v/>
      </c>
      <c r="D3330" s="14">
        <f>IF('08_资产清单'!A330&lt;&gt;"",'08_资产清单'!A330,"")</f>
        <v/>
      </c>
      <c r="E3330" s="14">
        <f>IF(F3330&lt;&gt;"","综合校验","")</f>
        <v/>
      </c>
      <c r="F3330" s="14">
        <f>IF('08_资产清单'!A330&lt;&gt;"",IF('08_资产清单'!A330="","缺少资产ID；","")&amp;IF('08_资产清单'!B330="","缺少资产名称；","")&amp;IF('08_资产清单'!C330="","缺少对象ID；","")&amp;IF('08_资产清单'!D330="","缺少资产类别；","")&amp;IF('08_资产清单'!G330="","缺少文件名；","")&amp;IF(AND('08_资产清单'!C330&lt;&gt;"",COUNTIF('02_固定地理'!$A$2:$A$501,'08_资产清单'!C330)+COUNTIF('03_地点锚点'!$A$2:$A$501,'08_资产清单'!C330)+COUNTIF('04_路径网络'!$A$2:$A$501,'08_资产清单'!C330)+COUNTIF('06_建筑锚点'!$A$2:$A$501,'08_资产清单'!C330)=0),"资产引用对象不存在；","")&amp;IF(AND('08_资产清单'!E330&lt;&gt;"",COUNTIF('07_动态状态'!$A$2:$A$501,'08_资产清单'!E330)=0),"状态编码不存在；","")&amp;IF(AND('08_资产清单'!G330&lt;&gt;"",COUNTIF('08_资产清单'!$G$2:$G$501,'08_资产清单'!G330)&gt;1),"文件名重复；","")&amp;IF(AND('08_资产清单'!A330&lt;&gt;"",COUNTIF('08_资产清单'!$A$2:$A$501,'08_资产清单'!A330)&gt;1),"ID重复；",""),"")</f>
        <v/>
      </c>
      <c r="G3330" s="14">
        <f>IF(F3330&lt;&gt;"","按字段批注、数据字典和来源记录修正后复核","")</f>
        <v/>
      </c>
      <c r="H3330" s="14">
        <f>IF(F3330&lt;&gt;"","待处理","")</f>
        <v/>
      </c>
    </row>
    <row r="3331">
      <c r="A3331" s="14">
        <f>IF(F3331&lt;&gt;"","ISSUE-"&amp;TEXT(ROW()-1,"00000"),"")</f>
        <v/>
      </c>
      <c r="B3331" s="14">
        <f>IF(F3331&lt;&gt;"","错误","")</f>
        <v/>
      </c>
      <c r="C3331" s="14">
        <f>IF('08_资产清单'!A331&lt;&gt;"","08_资产清单","")</f>
        <v/>
      </c>
      <c r="D3331" s="14">
        <f>IF('08_资产清单'!A331&lt;&gt;"",'08_资产清单'!A331,"")</f>
        <v/>
      </c>
      <c r="E3331" s="14">
        <f>IF(F3331&lt;&gt;"","综合校验","")</f>
        <v/>
      </c>
      <c r="F3331" s="14">
        <f>IF('08_资产清单'!A331&lt;&gt;"",IF('08_资产清单'!A331="","缺少资产ID；","")&amp;IF('08_资产清单'!B331="","缺少资产名称；","")&amp;IF('08_资产清单'!C331="","缺少对象ID；","")&amp;IF('08_资产清单'!D331="","缺少资产类别；","")&amp;IF('08_资产清单'!G331="","缺少文件名；","")&amp;IF(AND('08_资产清单'!C331&lt;&gt;"",COUNTIF('02_固定地理'!$A$2:$A$501,'08_资产清单'!C331)+COUNTIF('03_地点锚点'!$A$2:$A$501,'08_资产清单'!C331)+COUNTIF('04_路径网络'!$A$2:$A$501,'08_资产清单'!C331)+COUNTIF('06_建筑锚点'!$A$2:$A$501,'08_资产清单'!C331)=0),"资产引用对象不存在；","")&amp;IF(AND('08_资产清单'!E331&lt;&gt;"",COUNTIF('07_动态状态'!$A$2:$A$501,'08_资产清单'!E331)=0),"状态编码不存在；","")&amp;IF(AND('08_资产清单'!G331&lt;&gt;"",COUNTIF('08_资产清单'!$G$2:$G$501,'08_资产清单'!G331)&gt;1),"文件名重复；","")&amp;IF(AND('08_资产清单'!A331&lt;&gt;"",COUNTIF('08_资产清单'!$A$2:$A$501,'08_资产清单'!A331)&gt;1),"ID重复；",""),"")</f>
        <v/>
      </c>
      <c r="G3331" s="14">
        <f>IF(F3331&lt;&gt;"","按字段批注、数据字典和来源记录修正后复核","")</f>
        <v/>
      </c>
      <c r="H3331" s="14">
        <f>IF(F3331&lt;&gt;"","待处理","")</f>
        <v/>
      </c>
    </row>
    <row r="3332">
      <c r="A3332" s="14">
        <f>IF(F3332&lt;&gt;"","ISSUE-"&amp;TEXT(ROW()-1,"00000"),"")</f>
        <v/>
      </c>
      <c r="B3332" s="14">
        <f>IF(F3332&lt;&gt;"","错误","")</f>
        <v/>
      </c>
      <c r="C3332" s="14">
        <f>IF('08_资产清单'!A332&lt;&gt;"","08_资产清单","")</f>
        <v/>
      </c>
      <c r="D3332" s="14">
        <f>IF('08_资产清单'!A332&lt;&gt;"",'08_资产清单'!A332,"")</f>
        <v/>
      </c>
      <c r="E3332" s="14">
        <f>IF(F3332&lt;&gt;"","综合校验","")</f>
        <v/>
      </c>
      <c r="F3332" s="14">
        <f>IF('08_资产清单'!A332&lt;&gt;"",IF('08_资产清单'!A332="","缺少资产ID；","")&amp;IF('08_资产清单'!B332="","缺少资产名称；","")&amp;IF('08_资产清单'!C332="","缺少对象ID；","")&amp;IF('08_资产清单'!D332="","缺少资产类别；","")&amp;IF('08_资产清单'!G332="","缺少文件名；","")&amp;IF(AND('08_资产清单'!C332&lt;&gt;"",COUNTIF('02_固定地理'!$A$2:$A$501,'08_资产清单'!C332)+COUNTIF('03_地点锚点'!$A$2:$A$501,'08_资产清单'!C332)+COUNTIF('04_路径网络'!$A$2:$A$501,'08_资产清单'!C332)+COUNTIF('06_建筑锚点'!$A$2:$A$501,'08_资产清单'!C332)=0),"资产引用对象不存在；","")&amp;IF(AND('08_资产清单'!E332&lt;&gt;"",COUNTIF('07_动态状态'!$A$2:$A$501,'08_资产清单'!E332)=0),"状态编码不存在；","")&amp;IF(AND('08_资产清单'!G332&lt;&gt;"",COUNTIF('08_资产清单'!$G$2:$G$501,'08_资产清单'!G332)&gt;1),"文件名重复；","")&amp;IF(AND('08_资产清单'!A332&lt;&gt;"",COUNTIF('08_资产清单'!$A$2:$A$501,'08_资产清单'!A332)&gt;1),"ID重复；",""),"")</f>
        <v/>
      </c>
      <c r="G3332" s="14">
        <f>IF(F3332&lt;&gt;"","按字段批注、数据字典和来源记录修正后复核","")</f>
        <v/>
      </c>
      <c r="H3332" s="14">
        <f>IF(F3332&lt;&gt;"","待处理","")</f>
        <v/>
      </c>
    </row>
    <row r="3333">
      <c r="A3333" s="14">
        <f>IF(F3333&lt;&gt;"","ISSUE-"&amp;TEXT(ROW()-1,"00000"),"")</f>
        <v/>
      </c>
      <c r="B3333" s="14">
        <f>IF(F3333&lt;&gt;"","错误","")</f>
        <v/>
      </c>
      <c r="C3333" s="14">
        <f>IF('08_资产清单'!A333&lt;&gt;"","08_资产清单","")</f>
        <v/>
      </c>
      <c r="D3333" s="14">
        <f>IF('08_资产清单'!A333&lt;&gt;"",'08_资产清单'!A333,"")</f>
        <v/>
      </c>
      <c r="E3333" s="14">
        <f>IF(F3333&lt;&gt;"","综合校验","")</f>
        <v/>
      </c>
      <c r="F3333" s="14">
        <f>IF('08_资产清单'!A333&lt;&gt;"",IF('08_资产清单'!A333="","缺少资产ID；","")&amp;IF('08_资产清单'!B333="","缺少资产名称；","")&amp;IF('08_资产清单'!C333="","缺少对象ID；","")&amp;IF('08_资产清单'!D333="","缺少资产类别；","")&amp;IF('08_资产清单'!G333="","缺少文件名；","")&amp;IF(AND('08_资产清单'!C333&lt;&gt;"",COUNTIF('02_固定地理'!$A$2:$A$501,'08_资产清单'!C333)+COUNTIF('03_地点锚点'!$A$2:$A$501,'08_资产清单'!C333)+COUNTIF('04_路径网络'!$A$2:$A$501,'08_资产清单'!C333)+COUNTIF('06_建筑锚点'!$A$2:$A$501,'08_资产清单'!C333)=0),"资产引用对象不存在；","")&amp;IF(AND('08_资产清单'!E333&lt;&gt;"",COUNTIF('07_动态状态'!$A$2:$A$501,'08_资产清单'!E333)=0),"状态编码不存在；","")&amp;IF(AND('08_资产清单'!G333&lt;&gt;"",COUNTIF('08_资产清单'!$G$2:$G$501,'08_资产清单'!G333)&gt;1),"文件名重复；","")&amp;IF(AND('08_资产清单'!A333&lt;&gt;"",COUNTIF('08_资产清单'!$A$2:$A$501,'08_资产清单'!A333)&gt;1),"ID重复；",""),"")</f>
        <v/>
      </c>
      <c r="G3333" s="14">
        <f>IF(F3333&lt;&gt;"","按字段批注、数据字典和来源记录修正后复核","")</f>
        <v/>
      </c>
      <c r="H3333" s="14">
        <f>IF(F3333&lt;&gt;"","待处理","")</f>
        <v/>
      </c>
    </row>
    <row r="3334">
      <c r="A3334" s="14">
        <f>IF(F3334&lt;&gt;"","ISSUE-"&amp;TEXT(ROW()-1,"00000"),"")</f>
        <v/>
      </c>
      <c r="B3334" s="14">
        <f>IF(F3334&lt;&gt;"","错误","")</f>
        <v/>
      </c>
      <c r="C3334" s="14">
        <f>IF('08_资产清单'!A334&lt;&gt;"","08_资产清单","")</f>
        <v/>
      </c>
      <c r="D3334" s="14">
        <f>IF('08_资产清单'!A334&lt;&gt;"",'08_资产清单'!A334,"")</f>
        <v/>
      </c>
      <c r="E3334" s="14">
        <f>IF(F3334&lt;&gt;"","综合校验","")</f>
        <v/>
      </c>
      <c r="F3334" s="14">
        <f>IF('08_资产清单'!A334&lt;&gt;"",IF('08_资产清单'!A334="","缺少资产ID；","")&amp;IF('08_资产清单'!B334="","缺少资产名称；","")&amp;IF('08_资产清单'!C334="","缺少对象ID；","")&amp;IF('08_资产清单'!D334="","缺少资产类别；","")&amp;IF('08_资产清单'!G334="","缺少文件名；","")&amp;IF(AND('08_资产清单'!C334&lt;&gt;"",COUNTIF('02_固定地理'!$A$2:$A$501,'08_资产清单'!C334)+COUNTIF('03_地点锚点'!$A$2:$A$501,'08_资产清单'!C334)+COUNTIF('04_路径网络'!$A$2:$A$501,'08_资产清单'!C334)+COUNTIF('06_建筑锚点'!$A$2:$A$501,'08_资产清单'!C334)=0),"资产引用对象不存在；","")&amp;IF(AND('08_资产清单'!E334&lt;&gt;"",COUNTIF('07_动态状态'!$A$2:$A$501,'08_资产清单'!E334)=0),"状态编码不存在；","")&amp;IF(AND('08_资产清单'!G334&lt;&gt;"",COUNTIF('08_资产清单'!$G$2:$G$501,'08_资产清单'!G334)&gt;1),"文件名重复；","")&amp;IF(AND('08_资产清单'!A334&lt;&gt;"",COUNTIF('08_资产清单'!$A$2:$A$501,'08_资产清单'!A334)&gt;1),"ID重复；",""),"")</f>
        <v/>
      </c>
      <c r="G3334" s="14">
        <f>IF(F3334&lt;&gt;"","按字段批注、数据字典和来源记录修正后复核","")</f>
        <v/>
      </c>
      <c r="H3334" s="14">
        <f>IF(F3334&lt;&gt;"","待处理","")</f>
        <v/>
      </c>
    </row>
    <row r="3335">
      <c r="A3335" s="14">
        <f>IF(F3335&lt;&gt;"","ISSUE-"&amp;TEXT(ROW()-1,"00000"),"")</f>
        <v/>
      </c>
      <c r="B3335" s="14">
        <f>IF(F3335&lt;&gt;"","错误","")</f>
        <v/>
      </c>
      <c r="C3335" s="14">
        <f>IF('08_资产清单'!A335&lt;&gt;"","08_资产清单","")</f>
        <v/>
      </c>
      <c r="D3335" s="14">
        <f>IF('08_资产清单'!A335&lt;&gt;"",'08_资产清单'!A335,"")</f>
        <v/>
      </c>
      <c r="E3335" s="14">
        <f>IF(F3335&lt;&gt;"","综合校验","")</f>
        <v/>
      </c>
      <c r="F3335" s="14">
        <f>IF('08_资产清单'!A335&lt;&gt;"",IF('08_资产清单'!A335="","缺少资产ID；","")&amp;IF('08_资产清单'!B335="","缺少资产名称；","")&amp;IF('08_资产清单'!C335="","缺少对象ID；","")&amp;IF('08_资产清单'!D335="","缺少资产类别；","")&amp;IF('08_资产清单'!G335="","缺少文件名；","")&amp;IF(AND('08_资产清单'!C335&lt;&gt;"",COUNTIF('02_固定地理'!$A$2:$A$501,'08_资产清单'!C335)+COUNTIF('03_地点锚点'!$A$2:$A$501,'08_资产清单'!C335)+COUNTIF('04_路径网络'!$A$2:$A$501,'08_资产清单'!C335)+COUNTIF('06_建筑锚点'!$A$2:$A$501,'08_资产清单'!C335)=0),"资产引用对象不存在；","")&amp;IF(AND('08_资产清单'!E335&lt;&gt;"",COUNTIF('07_动态状态'!$A$2:$A$501,'08_资产清单'!E335)=0),"状态编码不存在；","")&amp;IF(AND('08_资产清单'!G335&lt;&gt;"",COUNTIF('08_资产清单'!$G$2:$G$501,'08_资产清单'!G335)&gt;1),"文件名重复；","")&amp;IF(AND('08_资产清单'!A335&lt;&gt;"",COUNTIF('08_资产清单'!$A$2:$A$501,'08_资产清单'!A335)&gt;1),"ID重复；",""),"")</f>
        <v/>
      </c>
      <c r="G3335" s="14">
        <f>IF(F3335&lt;&gt;"","按字段批注、数据字典和来源记录修正后复核","")</f>
        <v/>
      </c>
      <c r="H3335" s="14">
        <f>IF(F3335&lt;&gt;"","待处理","")</f>
        <v/>
      </c>
    </row>
    <row r="3336">
      <c r="A3336" s="14">
        <f>IF(F3336&lt;&gt;"","ISSUE-"&amp;TEXT(ROW()-1,"00000"),"")</f>
        <v/>
      </c>
      <c r="B3336" s="14">
        <f>IF(F3336&lt;&gt;"","错误","")</f>
        <v/>
      </c>
      <c r="C3336" s="14">
        <f>IF('08_资产清单'!A336&lt;&gt;"","08_资产清单","")</f>
        <v/>
      </c>
      <c r="D3336" s="14">
        <f>IF('08_资产清单'!A336&lt;&gt;"",'08_资产清单'!A336,"")</f>
        <v/>
      </c>
      <c r="E3336" s="14">
        <f>IF(F3336&lt;&gt;"","综合校验","")</f>
        <v/>
      </c>
      <c r="F3336" s="14">
        <f>IF('08_资产清单'!A336&lt;&gt;"",IF('08_资产清单'!A336="","缺少资产ID；","")&amp;IF('08_资产清单'!B336="","缺少资产名称；","")&amp;IF('08_资产清单'!C336="","缺少对象ID；","")&amp;IF('08_资产清单'!D336="","缺少资产类别；","")&amp;IF('08_资产清单'!G336="","缺少文件名；","")&amp;IF(AND('08_资产清单'!C336&lt;&gt;"",COUNTIF('02_固定地理'!$A$2:$A$501,'08_资产清单'!C336)+COUNTIF('03_地点锚点'!$A$2:$A$501,'08_资产清单'!C336)+COUNTIF('04_路径网络'!$A$2:$A$501,'08_资产清单'!C336)+COUNTIF('06_建筑锚点'!$A$2:$A$501,'08_资产清单'!C336)=0),"资产引用对象不存在；","")&amp;IF(AND('08_资产清单'!E336&lt;&gt;"",COUNTIF('07_动态状态'!$A$2:$A$501,'08_资产清单'!E336)=0),"状态编码不存在；","")&amp;IF(AND('08_资产清单'!G336&lt;&gt;"",COUNTIF('08_资产清单'!$G$2:$G$501,'08_资产清单'!G336)&gt;1),"文件名重复；","")&amp;IF(AND('08_资产清单'!A336&lt;&gt;"",COUNTIF('08_资产清单'!$A$2:$A$501,'08_资产清单'!A336)&gt;1),"ID重复；",""),"")</f>
        <v/>
      </c>
      <c r="G3336" s="14">
        <f>IF(F3336&lt;&gt;"","按字段批注、数据字典和来源记录修正后复核","")</f>
        <v/>
      </c>
      <c r="H3336" s="14">
        <f>IF(F3336&lt;&gt;"","待处理","")</f>
        <v/>
      </c>
    </row>
    <row r="3337">
      <c r="A3337" s="14">
        <f>IF(F3337&lt;&gt;"","ISSUE-"&amp;TEXT(ROW()-1,"00000"),"")</f>
        <v/>
      </c>
      <c r="B3337" s="14">
        <f>IF(F3337&lt;&gt;"","错误","")</f>
        <v/>
      </c>
      <c r="C3337" s="14">
        <f>IF('08_资产清单'!A337&lt;&gt;"","08_资产清单","")</f>
        <v/>
      </c>
      <c r="D3337" s="14">
        <f>IF('08_资产清单'!A337&lt;&gt;"",'08_资产清单'!A337,"")</f>
        <v/>
      </c>
      <c r="E3337" s="14">
        <f>IF(F3337&lt;&gt;"","综合校验","")</f>
        <v/>
      </c>
      <c r="F3337" s="14">
        <f>IF('08_资产清单'!A337&lt;&gt;"",IF('08_资产清单'!A337="","缺少资产ID；","")&amp;IF('08_资产清单'!B337="","缺少资产名称；","")&amp;IF('08_资产清单'!C337="","缺少对象ID；","")&amp;IF('08_资产清单'!D337="","缺少资产类别；","")&amp;IF('08_资产清单'!G337="","缺少文件名；","")&amp;IF(AND('08_资产清单'!C337&lt;&gt;"",COUNTIF('02_固定地理'!$A$2:$A$501,'08_资产清单'!C337)+COUNTIF('03_地点锚点'!$A$2:$A$501,'08_资产清单'!C337)+COUNTIF('04_路径网络'!$A$2:$A$501,'08_资产清单'!C337)+COUNTIF('06_建筑锚点'!$A$2:$A$501,'08_资产清单'!C337)=0),"资产引用对象不存在；","")&amp;IF(AND('08_资产清单'!E337&lt;&gt;"",COUNTIF('07_动态状态'!$A$2:$A$501,'08_资产清单'!E337)=0),"状态编码不存在；","")&amp;IF(AND('08_资产清单'!G337&lt;&gt;"",COUNTIF('08_资产清单'!$G$2:$G$501,'08_资产清单'!G337)&gt;1),"文件名重复；","")&amp;IF(AND('08_资产清单'!A337&lt;&gt;"",COUNTIF('08_资产清单'!$A$2:$A$501,'08_资产清单'!A337)&gt;1),"ID重复；",""),"")</f>
        <v/>
      </c>
      <c r="G3337" s="14">
        <f>IF(F3337&lt;&gt;"","按字段批注、数据字典和来源记录修正后复核","")</f>
        <v/>
      </c>
      <c r="H3337" s="14">
        <f>IF(F3337&lt;&gt;"","待处理","")</f>
        <v/>
      </c>
    </row>
    <row r="3338">
      <c r="A3338" s="14">
        <f>IF(F3338&lt;&gt;"","ISSUE-"&amp;TEXT(ROW()-1,"00000"),"")</f>
        <v/>
      </c>
      <c r="B3338" s="14">
        <f>IF(F3338&lt;&gt;"","错误","")</f>
        <v/>
      </c>
      <c r="C3338" s="14">
        <f>IF('08_资产清单'!A338&lt;&gt;"","08_资产清单","")</f>
        <v/>
      </c>
      <c r="D3338" s="14">
        <f>IF('08_资产清单'!A338&lt;&gt;"",'08_资产清单'!A338,"")</f>
        <v/>
      </c>
      <c r="E3338" s="14">
        <f>IF(F3338&lt;&gt;"","综合校验","")</f>
        <v/>
      </c>
      <c r="F3338" s="14">
        <f>IF('08_资产清单'!A338&lt;&gt;"",IF('08_资产清单'!A338="","缺少资产ID；","")&amp;IF('08_资产清单'!B338="","缺少资产名称；","")&amp;IF('08_资产清单'!C338="","缺少对象ID；","")&amp;IF('08_资产清单'!D338="","缺少资产类别；","")&amp;IF('08_资产清单'!G338="","缺少文件名；","")&amp;IF(AND('08_资产清单'!C338&lt;&gt;"",COUNTIF('02_固定地理'!$A$2:$A$501,'08_资产清单'!C338)+COUNTIF('03_地点锚点'!$A$2:$A$501,'08_资产清单'!C338)+COUNTIF('04_路径网络'!$A$2:$A$501,'08_资产清单'!C338)+COUNTIF('06_建筑锚点'!$A$2:$A$501,'08_资产清单'!C338)=0),"资产引用对象不存在；","")&amp;IF(AND('08_资产清单'!E338&lt;&gt;"",COUNTIF('07_动态状态'!$A$2:$A$501,'08_资产清单'!E338)=0),"状态编码不存在；","")&amp;IF(AND('08_资产清单'!G338&lt;&gt;"",COUNTIF('08_资产清单'!$G$2:$G$501,'08_资产清单'!G338)&gt;1),"文件名重复；","")&amp;IF(AND('08_资产清单'!A338&lt;&gt;"",COUNTIF('08_资产清单'!$A$2:$A$501,'08_资产清单'!A338)&gt;1),"ID重复；",""),"")</f>
        <v/>
      </c>
      <c r="G3338" s="14">
        <f>IF(F3338&lt;&gt;"","按字段批注、数据字典和来源记录修正后复核","")</f>
        <v/>
      </c>
      <c r="H3338" s="14">
        <f>IF(F3338&lt;&gt;"","待处理","")</f>
        <v/>
      </c>
    </row>
    <row r="3339">
      <c r="A3339" s="14">
        <f>IF(F3339&lt;&gt;"","ISSUE-"&amp;TEXT(ROW()-1,"00000"),"")</f>
        <v/>
      </c>
      <c r="B3339" s="14">
        <f>IF(F3339&lt;&gt;"","错误","")</f>
        <v/>
      </c>
      <c r="C3339" s="14">
        <f>IF('08_资产清单'!A339&lt;&gt;"","08_资产清单","")</f>
        <v/>
      </c>
      <c r="D3339" s="14">
        <f>IF('08_资产清单'!A339&lt;&gt;"",'08_资产清单'!A339,"")</f>
        <v/>
      </c>
      <c r="E3339" s="14">
        <f>IF(F3339&lt;&gt;"","综合校验","")</f>
        <v/>
      </c>
      <c r="F3339" s="14">
        <f>IF('08_资产清单'!A339&lt;&gt;"",IF('08_资产清单'!A339="","缺少资产ID；","")&amp;IF('08_资产清单'!B339="","缺少资产名称；","")&amp;IF('08_资产清单'!C339="","缺少对象ID；","")&amp;IF('08_资产清单'!D339="","缺少资产类别；","")&amp;IF('08_资产清单'!G339="","缺少文件名；","")&amp;IF(AND('08_资产清单'!C339&lt;&gt;"",COUNTIF('02_固定地理'!$A$2:$A$501,'08_资产清单'!C339)+COUNTIF('03_地点锚点'!$A$2:$A$501,'08_资产清单'!C339)+COUNTIF('04_路径网络'!$A$2:$A$501,'08_资产清单'!C339)+COUNTIF('06_建筑锚点'!$A$2:$A$501,'08_资产清单'!C339)=0),"资产引用对象不存在；","")&amp;IF(AND('08_资产清单'!E339&lt;&gt;"",COUNTIF('07_动态状态'!$A$2:$A$501,'08_资产清单'!E339)=0),"状态编码不存在；","")&amp;IF(AND('08_资产清单'!G339&lt;&gt;"",COUNTIF('08_资产清单'!$G$2:$G$501,'08_资产清单'!G339)&gt;1),"文件名重复；","")&amp;IF(AND('08_资产清单'!A339&lt;&gt;"",COUNTIF('08_资产清单'!$A$2:$A$501,'08_资产清单'!A339)&gt;1),"ID重复；",""),"")</f>
        <v/>
      </c>
      <c r="G3339" s="14">
        <f>IF(F3339&lt;&gt;"","按字段批注、数据字典和来源记录修正后复核","")</f>
        <v/>
      </c>
      <c r="H3339" s="14">
        <f>IF(F3339&lt;&gt;"","待处理","")</f>
        <v/>
      </c>
    </row>
    <row r="3340">
      <c r="A3340" s="14">
        <f>IF(F3340&lt;&gt;"","ISSUE-"&amp;TEXT(ROW()-1,"00000"),"")</f>
        <v/>
      </c>
      <c r="B3340" s="14">
        <f>IF(F3340&lt;&gt;"","错误","")</f>
        <v/>
      </c>
      <c r="C3340" s="14">
        <f>IF('08_资产清单'!A340&lt;&gt;"","08_资产清单","")</f>
        <v/>
      </c>
      <c r="D3340" s="14">
        <f>IF('08_资产清单'!A340&lt;&gt;"",'08_资产清单'!A340,"")</f>
        <v/>
      </c>
      <c r="E3340" s="14">
        <f>IF(F3340&lt;&gt;"","综合校验","")</f>
        <v/>
      </c>
      <c r="F3340" s="14">
        <f>IF('08_资产清单'!A340&lt;&gt;"",IF('08_资产清单'!A340="","缺少资产ID；","")&amp;IF('08_资产清单'!B340="","缺少资产名称；","")&amp;IF('08_资产清单'!C340="","缺少对象ID；","")&amp;IF('08_资产清单'!D340="","缺少资产类别；","")&amp;IF('08_资产清单'!G340="","缺少文件名；","")&amp;IF(AND('08_资产清单'!C340&lt;&gt;"",COUNTIF('02_固定地理'!$A$2:$A$501,'08_资产清单'!C340)+COUNTIF('03_地点锚点'!$A$2:$A$501,'08_资产清单'!C340)+COUNTIF('04_路径网络'!$A$2:$A$501,'08_资产清单'!C340)+COUNTIF('06_建筑锚点'!$A$2:$A$501,'08_资产清单'!C340)=0),"资产引用对象不存在；","")&amp;IF(AND('08_资产清单'!E340&lt;&gt;"",COUNTIF('07_动态状态'!$A$2:$A$501,'08_资产清单'!E340)=0),"状态编码不存在；","")&amp;IF(AND('08_资产清单'!G340&lt;&gt;"",COUNTIF('08_资产清单'!$G$2:$G$501,'08_资产清单'!G340)&gt;1),"文件名重复；","")&amp;IF(AND('08_资产清单'!A340&lt;&gt;"",COUNTIF('08_资产清单'!$A$2:$A$501,'08_资产清单'!A340)&gt;1),"ID重复；",""),"")</f>
        <v/>
      </c>
      <c r="G3340" s="14">
        <f>IF(F3340&lt;&gt;"","按字段批注、数据字典和来源记录修正后复核","")</f>
        <v/>
      </c>
      <c r="H3340" s="14">
        <f>IF(F3340&lt;&gt;"","待处理","")</f>
        <v/>
      </c>
    </row>
    <row r="3341">
      <c r="A3341" s="14">
        <f>IF(F3341&lt;&gt;"","ISSUE-"&amp;TEXT(ROW()-1,"00000"),"")</f>
        <v/>
      </c>
      <c r="B3341" s="14">
        <f>IF(F3341&lt;&gt;"","错误","")</f>
        <v/>
      </c>
      <c r="C3341" s="14">
        <f>IF('08_资产清单'!A341&lt;&gt;"","08_资产清单","")</f>
        <v/>
      </c>
      <c r="D3341" s="14">
        <f>IF('08_资产清单'!A341&lt;&gt;"",'08_资产清单'!A341,"")</f>
        <v/>
      </c>
      <c r="E3341" s="14">
        <f>IF(F3341&lt;&gt;"","综合校验","")</f>
        <v/>
      </c>
      <c r="F3341" s="14">
        <f>IF('08_资产清单'!A341&lt;&gt;"",IF('08_资产清单'!A341="","缺少资产ID；","")&amp;IF('08_资产清单'!B341="","缺少资产名称；","")&amp;IF('08_资产清单'!C341="","缺少对象ID；","")&amp;IF('08_资产清单'!D341="","缺少资产类别；","")&amp;IF('08_资产清单'!G341="","缺少文件名；","")&amp;IF(AND('08_资产清单'!C341&lt;&gt;"",COUNTIF('02_固定地理'!$A$2:$A$501,'08_资产清单'!C341)+COUNTIF('03_地点锚点'!$A$2:$A$501,'08_资产清单'!C341)+COUNTIF('04_路径网络'!$A$2:$A$501,'08_资产清单'!C341)+COUNTIF('06_建筑锚点'!$A$2:$A$501,'08_资产清单'!C341)=0),"资产引用对象不存在；","")&amp;IF(AND('08_资产清单'!E341&lt;&gt;"",COUNTIF('07_动态状态'!$A$2:$A$501,'08_资产清单'!E341)=0),"状态编码不存在；","")&amp;IF(AND('08_资产清单'!G341&lt;&gt;"",COUNTIF('08_资产清单'!$G$2:$G$501,'08_资产清单'!G341)&gt;1),"文件名重复；","")&amp;IF(AND('08_资产清单'!A341&lt;&gt;"",COUNTIF('08_资产清单'!$A$2:$A$501,'08_资产清单'!A341)&gt;1),"ID重复；",""),"")</f>
        <v/>
      </c>
      <c r="G3341" s="14">
        <f>IF(F3341&lt;&gt;"","按字段批注、数据字典和来源记录修正后复核","")</f>
        <v/>
      </c>
      <c r="H3341" s="14">
        <f>IF(F3341&lt;&gt;"","待处理","")</f>
        <v/>
      </c>
    </row>
    <row r="3342">
      <c r="A3342" s="14">
        <f>IF(F3342&lt;&gt;"","ISSUE-"&amp;TEXT(ROW()-1,"00000"),"")</f>
        <v/>
      </c>
      <c r="B3342" s="14">
        <f>IF(F3342&lt;&gt;"","错误","")</f>
        <v/>
      </c>
      <c r="C3342" s="14">
        <f>IF('08_资产清单'!A342&lt;&gt;"","08_资产清单","")</f>
        <v/>
      </c>
      <c r="D3342" s="14">
        <f>IF('08_资产清单'!A342&lt;&gt;"",'08_资产清单'!A342,"")</f>
        <v/>
      </c>
      <c r="E3342" s="14">
        <f>IF(F3342&lt;&gt;"","综合校验","")</f>
        <v/>
      </c>
      <c r="F3342" s="14">
        <f>IF('08_资产清单'!A342&lt;&gt;"",IF('08_资产清单'!A342="","缺少资产ID；","")&amp;IF('08_资产清单'!B342="","缺少资产名称；","")&amp;IF('08_资产清单'!C342="","缺少对象ID；","")&amp;IF('08_资产清单'!D342="","缺少资产类别；","")&amp;IF('08_资产清单'!G342="","缺少文件名；","")&amp;IF(AND('08_资产清单'!C342&lt;&gt;"",COUNTIF('02_固定地理'!$A$2:$A$501,'08_资产清单'!C342)+COUNTIF('03_地点锚点'!$A$2:$A$501,'08_资产清单'!C342)+COUNTIF('04_路径网络'!$A$2:$A$501,'08_资产清单'!C342)+COUNTIF('06_建筑锚点'!$A$2:$A$501,'08_资产清单'!C342)=0),"资产引用对象不存在；","")&amp;IF(AND('08_资产清单'!E342&lt;&gt;"",COUNTIF('07_动态状态'!$A$2:$A$501,'08_资产清单'!E342)=0),"状态编码不存在；","")&amp;IF(AND('08_资产清单'!G342&lt;&gt;"",COUNTIF('08_资产清单'!$G$2:$G$501,'08_资产清单'!G342)&gt;1),"文件名重复；","")&amp;IF(AND('08_资产清单'!A342&lt;&gt;"",COUNTIF('08_资产清单'!$A$2:$A$501,'08_资产清单'!A342)&gt;1),"ID重复；",""),"")</f>
        <v/>
      </c>
      <c r="G3342" s="14">
        <f>IF(F3342&lt;&gt;"","按字段批注、数据字典和来源记录修正后复核","")</f>
        <v/>
      </c>
      <c r="H3342" s="14">
        <f>IF(F3342&lt;&gt;"","待处理","")</f>
        <v/>
      </c>
    </row>
    <row r="3343">
      <c r="A3343" s="14">
        <f>IF(F3343&lt;&gt;"","ISSUE-"&amp;TEXT(ROW()-1,"00000"),"")</f>
        <v/>
      </c>
      <c r="B3343" s="14">
        <f>IF(F3343&lt;&gt;"","错误","")</f>
        <v/>
      </c>
      <c r="C3343" s="14">
        <f>IF('08_资产清单'!A343&lt;&gt;"","08_资产清单","")</f>
        <v/>
      </c>
      <c r="D3343" s="14">
        <f>IF('08_资产清单'!A343&lt;&gt;"",'08_资产清单'!A343,"")</f>
        <v/>
      </c>
      <c r="E3343" s="14">
        <f>IF(F3343&lt;&gt;"","综合校验","")</f>
        <v/>
      </c>
      <c r="F3343" s="14">
        <f>IF('08_资产清单'!A343&lt;&gt;"",IF('08_资产清单'!A343="","缺少资产ID；","")&amp;IF('08_资产清单'!B343="","缺少资产名称；","")&amp;IF('08_资产清单'!C343="","缺少对象ID；","")&amp;IF('08_资产清单'!D343="","缺少资产类别；","")&amp;IF('08_资产清单'!G343="","缺少文件名；","")&amp;IF(AND('08_资产清单'!C343&lt;&gt;"",COUNTIF('02_固定地理'!$A$2:$A$501,'08_资产清单'!C343)+COUNTIF('03_地点锚点'!$A$2:$A$501,'08_资产清单'!C343)+COUNTIF('04_路径网络'!$A$2:$A$501,'08_资产清单'!C343)+COUNTIF('06_建筑锚点'!$A$2:$A$501,'08_资产清单'!C343)=0),"资产引用对象不存在；","")&amp;IF(AND('08_资产清单'!E343&lt;&gt;"",COUNTIF('07_动态状态'!$A$2:$A$501,'08_资产清单'!E343)=0),"状态编码不存在；","")&amp;IF(AND('08_资产清单'!G343&lt;&gt;"",COUNTIF('08_资产清单'!$G$2:$G$501,'08_资产清单'!G343)&gt;1),"文件名重复；","")&amp;IF(AND('08_资产清单'!A343&lt;&gt;"",COUNTIF('08_资产清单'!$A$2:$A$501,'08_资产清单'!A343)&gt;1),"ID重复；",""),"")</f>
        <v/>
      </c>
      <c r="G3343" s="14">
        <f>IF(F3343&lt;&gt;"","按字段批注、数据字典和来源记录修正后复核","")</f>
        <v/>
      </c>
      <c r="H3343" s="14">
        <f>IF(F3343&lt;&gt;"","待处理","")</f>
        <v/>
      </c>
    </row>
    <row r="3344">
      <c r="A3344" s="14">
        <f>IF(F3344&lt;&gt;"","ISSUE-"&amp;TEXT(ROW()-1,"00000"),"")</f>
        <v/>
      </c>
      <c r="B3344" s="14">
        <f>IF(F3344&lt;&gt;"","错误","")</f>
        <v/>
      </c>
      <c r="C3344" s="14">
        <f>IF('08_资产清单'!A344&lt;&gt;"","08_资产清单","")</f>
        <v/>
      </c>
      <c r="D3344" s="14">
        <f>IF('08_资产清单'!A344&lt;&gt;"",'08_资产清单'!A344,"")</f>
        <v/>
      </c>
      <c r="E3344" s="14">
        <f>IF(F3344&lt;&gt;"","综合校验","")</f>
        <v/>
      </c>
      <c r="F3344" s="14">
        <f>IF('08_资产清单'!A344&lt;&gt;"",IF('08_资产清单'!A344="","缺少资产ID；","")&amp;IF('08_资产清单'!B344="","缺少资产名称；","")&amp;IF('08_资产清单'!C344="","缺少对象ID；","")&amp;IF('08_资产清单'!D344="","缺少资产类别；","")&amp;IF('08_资产清单'!G344="","缺少文件名；","")&amp;IF(AND('08_资产清单'!C344&lt;&gt;"",COUNTIF('02_固定地理'!$A$2:$A$501,'08_资产清单'!C344)+COUNTIF('03_地点锚点'!$A$2:$A$501,'08_资产清单'!C344)+COUNTIF('04_路径网络'!$A$2:$A$501,'08_资产清单'!C344)+COUNTIF('06_建筑锚点'!$A$2:$A$501,'08_资产清单'!C344)=0),"资产引用对象不存在；","")&amp;IF(AND('08_资产清单'!E344&lt;&gt;"",COUNTIF('07_动态状态'!$A$2:$A$501,'08_资产清单'!E344)=0),"状态编码不存在；","")&amp;IF(AND('08_资产清单'!G344&lt;&gt;"",COUNTIF('08_资产清单'!$G$2:$G$501,'08_资产清单'!G344)&gt;1),"文件名重复；","")&amp;IF(AND('08_资产清单'!A344&lt;&gt;"",COUNTIF('08_资产清单'!$A$2:$A$501,'08_资产清单'!A344)&gt;1),"ID重复；",""),"")</f>
        <v/>
      </c>
      <c r="G3344" s="14">
        <f>IF(F3344&lt;&gt;"","按字段批注、数据字典和来源记录修正后复核","")</f>
        <v/>
      </c>
      <c r="H3344" s="14">
        <f>IF(F3344&lt;&gt;"","待处理","")</f>
        <v/>
      </c>
    </row>
    <row r="3345">
      <c r="A3345" s="14">
        <f>IF(F3345&lt;&gt;"","ISSUE-"&amp;TEXT(ROW()-1,"00000"),"")</f>
        <v/>
      </c>
      <c r="B3345" s="14">
        <f>IF(F3345&lt;&gt;"","错误","")</f>
        <v/>
      </c>
      <c r="C3345" s="14">
        <f>IF('08_资产清单'!A345&lt;&gt;"","08_资产清单","")</f>
        <v/>
      </c>
      <c r="D3345" s="14">
        <f>IF('08_资产清单'!A345&lt;&gt;"",'08_资产清单'!A345,"")</f>
        <v/>
      </c>
      <c r="E3345" s="14">
        <f>IF(F3345&lt;&gt;"","综合校验","")</f>
        <v/>
      </c>
      <c r="F3345" s="14">
        <f>IF('08_资产清单'!A345&lt;&gt;"",IF('08_资产清单'!A345="","缺少资产ID；","")&amp;IF('08_资产清单'!B345="","缺少资产名称；","")&amp;IF('08_资产清单'!C345="","缺少对象ID；","")&amp;IF('08_资产清单'!D345="","缺少资产类别；","")&amp;IF('08_资产清单'!G345="","缺少文件名；","")&amp;IF(AND('08_资产清单'!C345&lt;&gt;"",COUNTIF('02_固定地理'!$A$2:$A$501,'08_资产清单'!C345)+COUNTIF('03_地点锚点'!$A$2:$A$501,'08_资产清单'!C345)+COUNTIF('04_路径网络'!$A$2:$A$501,'08_资产清单'!C345)+COUNTIF('06_建筑锚点'!$A$2:$A$501,'08_资产清单'!C345)=0),"资产引用对象不存在；","")&amp;IF(AND('08_资产清单'!E345&lt;&gt;"",COUNTIF('07_动态状态'!$A$2:$A$501,'08_资产清单'!E345)=0),"状态编码不存在；","")&amp;IF(AND('08_资产清单'!G345&lt;&gt;"",COUNTIF('08_资产清单'!$G$2:$G$501,'08_资产清单'!G345)&gt;1),"文件名重复；","")&amp;IF(AND('08_资产清单'!A345&lt;&gt;"",COUNTIF('08_资产清单'!$A$2:$A$501,'08_资产清单'!A345)&gt;1),"ID重复；",""),"")</f>
        <v/>
      </c>
      <c r="G3345" s="14">
        <f>IF(F3345&lt;&gt;"","按字段批注、数据字典和来源记录修正后复核","")</f>
        <v/>
      </c>
      <c r="H3345" s="14">
        <f>IF(F3345&lt;&gt;"","待处理","")</f>
        <v/>
      </c>
    </row>
    <row r="3346">
      <c r="A3346" s="14">
        <f>IF(F3346&lt;&gt;"","ISSUE-"&amp;TEXT(ROW()-1,"00000"),"")</f>
        <v/>
      </c>
      <c r="B3346" s="14">
        <f>IF(F3346&lt;&gt;"","错误","")</f>
        <v/>
      </c>
      <c r="C3346" s="14">
        <f>IF('08_资产清单'!A346&lt;&gt;"","08_资产清单","")</f>
        <v/>
      </c>
      <c r="D3346" s="14">
        <f>IF('08_资产清单'!A346&lt;&gt;"",'08_资产清单'!A346,"")</f>
        <v/>
      </c>
      <c r="E3346" s="14">
        <f>IF(F3346&lt;&gt;"","综合校验","")</f>
        <v/>
      </c>
      <c r="F3346" s="14">
        <f>IF('08_资产清单'!A346&lt;&gt;"",IF('08_资产清单'!A346="","缺少资产ID；","")&amp;IF('08_资产清单'!B346="","缺少资产名称；","")&amp;IF('08_资产清单'!C346="","缺少对象ID；","")&amp;IF('08_资产清单'!D346="","缺少资产类别；","")&amp;IF('08_资产清单'!G346="","缺少文件名；","")&amp;IF(AND('08_资产清单'!C346&lt;&gt;"",COUNTIF('02_固定地理'!$A$2:$A$501,'08_资产清单'!C346)+COUNTIF('03_地点锚点'!$A$2:$A$501,'08_资产清单'!C346)+COUNTIF('04_路径网络'!$A$2:$A$501,'08_资产清单'!C346)+COUNTIF('06_建筑锚点'!$A$2:$A$501,'08_资产清单'!C346)=0),"资产引用对象不存在；","")&amp;IF(AND('08_资产清单'!E346&lt;&gt;"",COUNTIF('07_动态状态'!$A$2:$A$501,'08_资产清单'!E346)=0),"状态编码不存在；","")&amp;IF(AND('08_资产清单'!G346&lt;&gt;"",COUNTIF('08_资产清单'!$G$2:$G$501,'08_资产清单'!G346)&gt;1),"文件名重复；","")&amp;IF(AND('08_资产清单'!A346&lt;&gt;"",COUNTIF('08_资产清单'!$A$2:$A$501,'08_资产清单'!A346)&gt;1),"ID重复；",""),"")</f>
        <v/>
      </c>
      <c r="G3346" s="14">
        <f>IF(F3346&lt;&gt;"","按字段批注、数据字典和来源记录修正后复核","")</f>
        <v/>
      </c>
      <c r="H3346" s="14">
        <f>IF(F3346&lt;&gt;"","待处理","")</f>
        <v/>
      </c>
    </row>
    <row r="3347">
      <c r="A3347" s="14">
        <f>IF(F3347&lt;&gt;"","ISSUE-"&amp;TEXT(ROW()-1,"00000"),"")</f>
        <v/>
      </c>
      <c r="B3347" s="14">
        <f>IF(F3347&lt;&gt;"","错误","")</f>
        <v/>
      </c>
      <c r="C3347" s="14">
        <f>IF('08_资产清单'!A347&lt;&gt;"","08_资产清单","")</f>
        <v/>
      </c>
      <c r="D3347" s="14">
        <f>IF('08_资产清单'!A347&lt;&gt;"",'08_资产清单'!A347,"")</f>
        <v/>
      </c>
      <c r="E3347" s="14">
        <f>IF(F3347&lt;&gt;"","综合校验","")</f>
        <v/>
      </c>
      <c r="F3347" s="14">
        <f>IF('08_资产清单'!A347&lt;&gt;"",IF('08_资产清单'!A347="","缺少资产ID；","")&amp;IF('08_资产清单'!B347="","缺少资产名称；","")&amp;IF('08_资产清单'!C347="","缺少对象ID；","")&amp;IF('08_资产清单'!D347="","缺少资产类别；","")&amp;IF('08_资产清单'!G347="","缺少文件名；","")&amp;IF(AND('08_资产清单'!C347&lt;&gt;"",COUNTIF('02_固定地理'!$A$2:$A$501,'08_资产清单'!C347)+COUNTIF('03_地点锚点'!$A$2:$A$501,'08_资产清单'!C347)+COUNTIF('04_路径网络'!$A$2:$A$501,'08_资产清单'!C347)+COUNTIF('06_建筑锚点'!$A$2:$A$501,'08_资产清单'!C347)=0),"资产引用对象不存在；","")&amp;IF(AND('08_资产清单'!E347&lt;&gt;"",COUNTIF('07_动态状态'!$A$2:$A$501,'08_资产清单'!E347)=0),"状态编码不存在；","")&amp;IF(AND('08_资产清单'!G347&lt;&gt;"",COUNTIF('08_资产清单'!$G$2:$G$501,'08_资产清单'!G347)&gt;1),"文件名重复；","")&amp;IF(AND('08_资产清单'!A347&lt;&gt;"",COUNTIF('08_资产清单'!$A$2:$A$501,'08_资产清单'!A347)&gt;1),"ID重复；",""),"")</f>
        <v/>
      </c>
      <c r="G3347" s="14">
        <f>IF(F3347&lt;&gt;"","按字段批注、数据字典和来源记录修正后复核","")</f>
        <v/>
      </c>
      <c r="H3347" s="14">
        <f>IF(F3347&lt;&gt;"","待处理","")</f>
        <v/>
      </c>
    </row>
    <row r="3348">
      <c r="A3348" s="14">
        <f>IF(F3348&lt;&gt;"","ISSUE-"&amp;TEXT(ROW()-1,"00000"),"")</f>
        <v/>
      </c>
      <c r="B3348" s="14">
        <f>IF(F3348&lt;&gt;"","错误","")</f>
        <v/>
      </c>
      <c r="C3348" s="14">
        <f>IF('08_资产清单'!A348&lt;&gt;"","08_资产清单","")</f>
        <v/>
      </c>
      <c r="D3348" s="14">
        <f>IF('08_资产清单'!A348&lt;&gt;"",'08_资产清单'!A348,"")</f>
        <v/>
      </c>
      <c r="E3348" s="14">
        <f>IF(F3348&lt;&gt;"","综合校验","")</f>
        <v/>
      </c>
      <c r="F3348" s="14">
        <f>IF('08_资产清单'!A348&lt;&gt;"",IF('08_资产清单'!A348="","缺少资产ID；","")&amp;IF('08_资产清单'!B348="","缺少资产名称；","")&amp;IF('08_资产清单'!C348="","缺少对象ID；","")&amp;IF('08_资产清单'!D348="","缺少资产类别；","")&amp;IF('08_资产清单'!G348="","缺少文件名；","")&amp;IF(AND('08_资产清单'!C348&lt;&gt;"",COUNTIF('02_固定地理'!$A$2:$A$501,'08_资产清单'!C348)+COUNTIF('03_地点锚点'!$A$2:$A$501,'08_资产清单'!C348)+COUNTIF('04_路径网络'!$A$2:$A$501,'08_资产清单'!C348)+COUNTIF('06_建筑锚点'!$A$2:$A$501,'08_资产清单'!C348)=0),"资产引用对象不存在；","")&amp;IF(AND('08_资产清单'!E348&lt;&gt;"",COUNTIF('07_动态状态'!$A$2:$A$501,'08_资产清单'!E348)=0),"状态编码不存在；","")&amp;IF(AND('08_资产清单'!G348&lt;&gt;"",COUNTIF('08_资产清单'!$G$2:$G$501,'08_资产清单'!G348)&gt;1),"文件名重复；","")&amp;IF(AND('08_资产清单'!A348&lt;&gt;"",COUNTIF('08_资产清单'!$A$2:$A$501,'08_资产清单'!A348)&gt;1),"ID重复；",""),"")</f>
        <v/>
      </c>
      <c r="G3348" s="14">
        <f>IF(F3348&lt;&gt;"","按字段批注、数据字典和来源记录修正后复核","")</f>
        <v/>
      </c>
      <c r="H3348" s="14">
        <f>IF(F3348&lt;&gt;"","待处理","")</f>
        <v/>
      </c>
    </row>
    <row r="3349">
      <c r="A3349" s="14">
        <f>IF(F3349&lt;&gt;"","ISSUE-"&amp;TEXT(ROW()-1,"00000"),"")</f>
        <v/>
      </c>
      <c r="B3349" s="14">
        <f>IF(F3349&lt;&gt;"","错误","")</f>
        <v/>
      </c>
      <c r="C3349" s="14">
        <f>IF('08_资产清单'!A349&lt;&gt;"","08_资产清单","")</f>
        <v/>
      </c>
      <c r="D3349" s="14">
        <f>IF('08_资产清单'!A349&lt;&gt;"",'08_资产清单'!A349,"")</f>
        <v/>
      </c>
      <c r="E3349" s="14">
        <f>IF(F3349&lt;&gt;"","综合校验","")</f>
        <v/>
      </c>
      <c r="F3349" s="14">
        <f>IF('08_资产清单'!A349&lt;&gt;"",IF('08_资产清单'!A349="","缺少资产ID；","")&amp;IF('08_资产清单'!B349="","缺少资产名称；","")&amp;IF('08_资产清单'!C349="","缺少对象ID；","")&amp;IF('08_资产清单'!D349="","缺少资产类别；","")&amp;IF('08_资产清单'!G349="","缺少文件名；","")&amp;IF(AND('08_资产清单'!C349&lt;&gt;"",COUNTIF('02_固定地理'!$A$2:$A$501,'08_资产清单'!C349)+COUNTIF('03_地点锚点'!$A$2:$A$501,'08_资产清单'!C349)+COUNTIF('04_路径网络'!$A$2:$A$501,'08_资产清单'!C349)+COUNTIF('06_建筑锚点'!$A$2:$A$501,'08_资产清单'!C349)=0),"资产引用对象不存在；","")&amp;IF(AND('08_资产清单'!E349&lt;&gt;"",COUNTIF('07_动态状态'!$A$2:$A$501,'08_资产清单'!E349)=0),"状态编码不存在；","")&amp;IF(AND('08_资产清单'!G349&lt;&gt;"",COUNTIF('08_资产清单'!$G$2:$G$501,'08_资产清单'!G349)&gt;1),"文件名重复；","")&amp;IF(AND('08_资产清单'!A349&lt;&gt;"",COUNTIF('08_资产清单'!$A$2:$A$501,'08_资产清单'!A349)&gt;1),"ID重复；",""),"")</f>
        <v/>
      </c>
      <c r="G3349" s="14">
        <f>IF(F3349&lt;&gt;"","按字段批注、数据字典和来源记录修正后复核","")</f>
        <v/>
      </c>
      <c r="H3349" s="14">
        <f>IF(F3349&lt;&gt;"","待处理","")</f>
        <v/>
      </c>
    </row>
    <row r="3350">
      <c r="A3350" s="14">
        <f>IF(F3350&lt;&gt;"","ISSUE-"&amp;TEXT(ROW()-1,"00000"),"")</f>
        <v/>
      </c>
      <c r="B3350" s="14">
        <f>IF(F3350&lt;&gt;"","错误","")</f>
        <v/>
      </c>
      <c r="C3350" s="14">
        <f>IF('08_资产清单'!A350&lt;&gt;"","08_资产清单","")</f>
        <v/>
      </c>
      <c r="D3350" s="14">
        <f>IF('08_资产清单'!A350&lt;&gt;"",'08_资产清单'!A350,"")</f>
        <v/>
      </c>
      <c r="E3350" s="14">
        <f>IF(F3350&lt;&gt;"","综合校验","")</f>
        <v/>
      </c>
      <c r="F3350" s="14">
        <f>IF('08_资产清单'!A350&lt;&gt;"",IF('08_资产清单'!A350="","缺少资产ID；","")&amp;IF('08_资产清单'!B350="","缺少资产名称；","")&amp;IF('08_资产清单'!C350="","缺少对象ID；","")&amp;IF('08_资产清单'!D350="","缺少资产类别；","")&amp;IF('08_资产清单'!G350="","缺少文件名；","")&amp;IF(AND('08_资产清单'!C350&lt;&gt;"",COUNTIF('02_固定地理'!$A$2:$A$501,'08_资产清单'!C350)+COUNTIF('03_地点锚点'!$A$2:$A$501,'08_资产清单'!C350)+COUNTIF('04_路径网络'!$A$2:$A$501,'08_资产清单'!C350)+COUNTIF('06_建筑锚点'!$A$2:$A$501,'08_资产清单'!C350)=0),"资产引用对象不存在；","")&amp;IF(AND('08_资产清单'!E350&lt;&gt;"",COUNTIF('07_动态状态'!$A$2:$A$501,'08_资产清单'!E350)=0),"状态编码不存在；","")&amp;IF(AND('08_资产清单'!G350&lt;&gt;"",COUNTIF('08_资产清单'!$G$2:$G$501,'08_资产清单'!G350)&gt;1),"文件名重复；","")&amp;IF(AND('08_资产清单'!A350&lt;&gt;"",COUNTIF('08_资产清单'!$A$2:$A$501,'08_资产清单'!A350)&gt;1),"ID重复；",""),"")</f>
        <v/>
      </c>
      <c r="G3350" s="14">
        <f>IF(F3350&lt;&gt;"","按字段批注、数据字典和来源记录修正后复核","")</f>
        <v/>
      </c>
      <c r="H3350" s="14">
        <f>IF(F3350&lt;&gt;"","待处理","")</f>
        <v/>
      </c>
    </row>
    <row r="3351">
      <c r="A3351" s="14">
        <f>IF(F3351&lt;&gt;"","ISSUE-"&amp;TEXT(ROW()-1,"00000"),"")</f>
        <v/>
      </c>
      <c r="B3351" s="14">
        <f>IF(F3351&lt;&gt;"","错误","")</f>
        <v/>
      </c>
      <c r="C3351" s="14">
        <f>IF('08_资产清单'!A351&lt;&gt;"","08_资产清单","")</f>
        <v/>
      </c>
      <c r="D3351" s="14">
        <f>IF('08_资产清单'!A351&lt;&gt;"",'08_资产清单'!A351,"")</f>
        <v/>
      </c>
      <c r="E3351" s="14">
        <f>IF(F3351&lt;&gt;"","综合校验","")</f>
        <v/>
      </c>
      <c r="F3351" s="14">
        <f>IF('08_资产清单'!A351&lt;&gt;"",IF('08_资产清单'!A351="","缺少资产ID；","")&amp;IF('08_资产清单'!B351="","缺少资产名称；","")&amp;IF('08_资产清单'!C351="","缺少对象ID；","")&amp;IF('08_资产清单'!D351="","缺少资产类别；","")&amp;IF('08_资产清单'!G351="","缺少文件名；","")&amp;IF(AND('08_资产清单'!C351&lt;&gt;"",COUNTIF('02_固定地理'!$A$2:$A$501,'08_资产清单'!C351)+COUNTIF('03_地点锚点'!$A$2:$A$501,'08_资产清单'!C351)+COUNTIF('04_路径网络'!$A$2:$A$501,'08_资产清单'!C351)+COUNTIF('06_建筑锚点'!$A$2:$A$501,'08_资产清单'!C351)=0),"资产引用对象不存在；","")&amp;IF(AND('08_资产清单'!E351&lt;&gt;"",COUNTIF('07_动态状态'!$A$2:$A$501,'08_资产清单'!E351)=0),"状态编码不存在；","")&amp;IF(AND('08_资产清单'!G351&lt;&gt;"",COUNTIF('08_资产清单'!$G$2:$G$501,'08_资产清单'!G351)&gt;1),"文件名重复；","")&amp;IF(AND('08_资产清单'!A351&lt;&gt;"",COUNTIF('08_资产清单'!$A$2:$A$501,'08_资产清单'!A351)&gt;1),"ID重复；",""),"")</f>
        <v/>
      </c>
      <c r="G3351" s="14">
        <f>IF(F3351&lt;&gt;"","按字段批注、数据字典和来源记录修正后复核","")</f>
        <v/>
      </c>
      <c r="H3351" s="14">
        <f>IF(F3351&lt;&gt;"","待处理","")</f>
        <v/>
      </c>
    </row>
    <row r="3352">
      <c r="A3352" s="14">
        <f>IF(F3352&lt;&gt;"","ISSUE-"&amp;TEXT(ROW()-1,"00000"),"")</f>
        <v/>
      </c>
      <c r="B3352" s="14">
        <f>IF(F3352&lt;&gt;"","错误","")</f>
        <v/>
      </c>
      <c r="C3352" s="14">
        <f>IF('08_资产清单'!A352&lt;&gt;"","08_资产清单","")</f>
        <v/>
      </c>
      <c r="D3352" s="14">
        <f>IF('08_资产清单'!A352&lt;&gt;"",'08_资产清单'!A352,"")</f>
        <v/>
      </c>
      <c r="E3352" s="14">
        <f>IF(F3352&lt;&gt;"","综合校验","")</f>
        <v/>
      </c>
      <c r="F3352" s="14">
        <f>IF('08_资产清单'!A352&lt;&gt;"",IF('08_资产清单'!A352="","缺少资产ID；","")&amp;IF('08_资产清单'!B352="","缺少资产名称；","")&amp;IF('08_资产清单'!C352="","缺少对象ID；","")&amp;IF('08_资产清单'!D352="","缺少资产类别；","")&amp;IF('08_资产清单'!G352="","缺少文件名；","")&amp;IF(AND('08_资产清单'!C352&lt;&gt;"",COUNTIF('02_固定地理'!$A$2:$A$501,'08_资产清单'!C352)+COUNTIF('03_地点锚点'!$A$2:$A$501,'08_资产清单'!C352)+COUNTIF('04_路径网络'!$A$2:$A$501,'08_资产清单'!C352)+COUNTIF('06_建筑锚点'!$A$2:$A$501,'08_资产清单'!C352)=0),"资产引用对象不存在；","")&amp;IF(AND('08_资产清单'!E352&lt;&gt;"",COUNTIF('07_动态状态'!$A$2:$A$501,'08_资产清单'!E352)=0),"状态编码不存在；","")&amp;IF(AND('08_资产清单'!G352&lt;&gt;"",COUNTIF('08_资产清单'!$G$2:$G$501,'08_资产清单'!G352)&gt;1),"文件名重复；","")&amp;IF(AND('08_资产清单'!A352&lt;&gt;"",COUNTIF('08_资产清单'!$A$2:$A$501,'08_资产清单'!A352)&gt;1),"ID重复；",""),"")</f>
        <v/>
      </c>
      <c r="G3352" s="14">
        <f>IF(F3352&lt;&gt;"","按字段批注、数据字典和来源记录修正后复核","")</f>
        <v/>
      </c>
      <c r="H3352" s="14">
        <f>IF(F3352&lt;&gt;"","待处理","")</f>
        <v/>
      </c>
    </row>
    <row r="3353">
      <c r="A3353" s="14">
        <f>IF(F3353&lt;&gt;"","ISSUE-"&amp;TEXT(ROW()-1,"00000"),"")</f>
        <v/>
      </c>
      <c r="B3353" s="14">
        <f>IF(F3353&lt;&gt;"","错误","")</f>
        <v/>
      </c>
      <c r="C3353" s="14">
        <f>IF('08_资产清单'!A353&lt;&gt;"","08_资产清单","")</f>
        <v/>
      </c>
      <c r="D3353" s="14">
        <f>IF('08_资产清单'!A353&lt;&gt;"",'08_资产清单'!A353,"")</f>
        <v/>
      </c>
      <c r="E3353" s="14">
        <f>IF(F3353&lt;&gt;"","综合校验","")</f>
        <v/>
      </c>
      <c r="F3353" s="14">
        <f>IF('08_资产清单'!A353&lt;&gt;"",IF('08_资产清单'!A353="","缺少资产ID；","")&amp;IF('08_资产清单'!B353="","缺少资产名称；","")&amp;IF('08_资产清单'!C353="","缺少对象ID；","")&amp;IF('08_资产清单'!D353="","缺少资产类别；","")&amp;IF('08_资产清单'!G353="","缺少文件名；","")&amp;IF(AND('08_资产清单'!C353&lt;&gt;"",COUNTIF('02_固定地理'!$A$2:$A$501,'08_资产清单'!C353)+COUNTIF('03_地点锚点'!$A$2:$A$501,'08_资产清单'!C353)+COUNTIF('04_路径网络'!$A$2:$A$501,'08_资产清单'!C353)+COUNTIF('06_建筑锚点'!$A$2:$A$501,'08_资产清单'!C353)=0),"资产引用对象不存在；","")&amp;IF(AND('08_资产清单'!E353&lt;&gt;"",COUNTIF('07_动态状态'!$A$2:$A$501,'08_资产清单'!E353)=0),"状态编码不存在；","")&amp;IF(AND('08_资产清单'!G353&lt;&gt;"",COUNTIF('08_资产清单'!$G$2:$G$501,'08_资产清单'!G353)&gt;1),"文件名重复；","")&amp;IF(AND('08_资产清单'!A353&lt;&gt;"",COUNTIF('08_资产清单'!$A$2:$A$501,'08_资产清单'!A353)&gt;1),"ID重复；",""),"")</f>
        <v/>
      </c>
      <c r="G3353" s="14">
        <f>IF(F3353&lt;&gt;"","按字段批注、数据字典和来源记录修正后复核","")</f>
        <v/>
      </c>
      <c r="H3353" s="14">
        <f>IF(F3353&lt;&gt;"","待处理","")</f>
        <v/>
      </c>
    </row>
    <row r="3354">
      <c r="A3354" s="14">
        <f>IF(F3354&lt;&gt;"","ISSUE-"&amp;TEXT(ROW()-1,"00000"),"")</f>
        <v/>
      </c>
      <c r="B3354" s="14">
        <f>IF(F3354&lt;&gt;"","错误","")</f>
        <v/>
      </c>
      <c r="C3354" s="14">
        <f>IF('08_资产清单'!A354&lt;&gt;"","08_资产清单","")</f>
        <v/>
      </c>
      <c r="D3354" s="14">
        <f>IF('08_资产清单'!A354&lt;&gt;"",'08_资产清单'!A354,"")</f>
        <v/>
      </c>
      <c r="E3354" s="14">
        <f>IF(F3354&lt;&gt;"","综合校验","")</f>
        <v/>
      </c>
      <c r="F3354" s="14">
        <f>IF('08_资产清单'!A354&lt;&gt;"",IF('08_资产清单'!A354="","缺少资产ID；","")&amp;IF('08_资产清单'!B354="","缺少资产名称；","")&amp;IF('08_资产清单'!C354="","缺少对象ID；","")&amp;IF('08_资产清单'!D354="","缺少资产类别；","")&amp;IF('08_资产清单'!G354="","缺少文件名；","")&amp;IF(AND('08_资产清单'!C354&lt;&gt;"",COUNTIF('02_固定地理'!$A$2:$A$501,'08_资产清单'!C354)+COUNTIF('03_地点锚点'!$A$2:$A$501,'08_资产清单'!C354)+COUNTIF('04_路径网络'!$A$2:$A$501,'08_资产清单'!C354)+COUNTIF('06_建筑锚点'!$A$2:$A$501,'08_资产清单'!C354)=0),"资产引用对象不存在；","")&amp;IF(AND('08_资产清单'!E354&lt;&gt;"",COUNTIF('07_动态状态'!$A$2:$A$501,'08_资产清单'!E354)=0),"状态编码不存在；","")&amp;IF(AND('08_资产清单'!G354&lt;&gt;"",COUNTIF('08_资产清单'!$G$2:$G$501,'08_资产清单'!G354)&gt;1),"文件名重复；","")&amp;IF(AND('08_资产清单'!A354&lt;&gt;"",COUNTIF('08_资产清单'!$A$2:$A$501,'08_资产清单'!A354)&gt;1),"ID重复；",""),"")</f>
        <v/>
      </c>
      <c r="G3354" s="14">
        <f>IF(F3354&lt;&gt;"","按字段批注、数据字典和来源记录修正后复核","")</f>
        <v/>
      </c>
      <c r="H3354" s="14">
        <f>IF(F3354&lt;&gt;"","待处理","")</f>
        <v/>
      </c>
    </row>
    <row r="3355">
      <c r="A3355" s="14">
        <f>IF(F3355&lt;&gt;"","ISSUE-"&amp;TEXT(ROW()-1,"00000"),"")</f>
        <v/>
      </c>
      <c r="B3355" s="14">
        <f>IF(F3355&lt;&gt;"","错误","")</f>
        <v/>
      </c>
      <c r="C3355" s="14">
        <f>IF('08_资产清单'!A355&lt;&gt;"","08_资产清单","")</f>
        <v/>
      </c>
      <c r="D3355" s="14">
        <f>IF('08_资产清单'!A355&lt;&gt;"",'08_资产清单'!A355,"")</f>
        <v/>
      </c>
      <c r="E3355" s="14">
        <f>IF(F3355&lt;&gt;"","综合校验","")</f>
        <v/>
      </c>
      <c r="F3355" s="14">
        <f>IF('08_资产清单'!A355&lt;&gt;"",IF('08_资产清单'!A355="","缺少资产ID；","")&amp;IF('08_资产清单'!B355="","缺少资产名称；","")&amp;IF('08_资产清单'!C355="","缺少对象ID；","")&amp;IF('08_资产清单'!D355="","缺少资产类别；","")&amp;IF('08_资产清单'!G355="","缺少文件名；","")&amp;IF(AND('08_资产清单'!C355&lt;&gt;"",COUNTIF('02_固定地理'!$A$2:$A$501,'08_资产清单'!C355)+COUNTIF('03_地点锚点'!$A$2:$A$501,'08_资产清单'!C355)+COUNTIF('04_路径网络'!$A$2:$A$501,'08_资产清单'!C355)+COUNTIF('06_建筑锚点'!$A$2:$A$501,'08_资产清单'!C355)=0),"资产引用对象不存在；","")&amp;IF(AND('08_资产清单'!E355&lt;&gt;"",COUNTIF('07_动态状态'!$A$2:$A$501,'08_资产清单'!E355)=0),"状态编码不存在；","")&amp;IF(AND('08_资产清单'!G355&lt;&gt;"",COUNTIF('08_资产清单'!$G$2:$G$501,'08_资产清单'!G355)&gt;1),"文件名重复；","")&amp;IF(AND('08_资产清单'!A355&lt;&gt;"",COUNTIF('08_资产清单'!$A$2:$A$501,'08_资产清单'!A355)&gt;1),"ID重复；",""),"")</f>
        <v/>
      </c>
      <c r="G3355" s="14">
        <f>IF(F3355&lt;&gt;"","按字段批注、数据字典和来源记录修正后复核","")</f>
        <v/>
      </c>
      <c r="H3355" s="14">
        <f>IF(F3355&lt;&gt;"","待处理","")</f>
        <v/>
      </c>
    </row>
    <row r="3356">
      <c r="A3356" s="14">
        <f>IF(F3356&lt;&gt;"","ISSUE-"&amp;TEXT(ROW()-1,"00000"),"")</f>
        <v/>
      </c>
      <c r="B3356" s="14">
        <f>IF(F3356&lt;&gt;"","错误","")</f>
        <v/>
      </c>
      <c r="C3356" s="14">
        <f>IF('08_资产清单'!A356&lt;&gt;"","08_资产清单","")</f>
        <v/>
      </c>
      <c r="D3356" s="14">
        <f>IF('08_资产清单'!A356&lt;&gt;"",'08_资产清单'!A356,"")</f>
        <v/>
      </c>
      <c r="E3356" s="14">
        <f>IF(F3356&lt;&gt;"","综合校验","")</f>
        <v/>
      </c>
      <c r="F3356" s="14">
        <f>IF('08_资产清单'!A356&lt;&gt;"",IF('08_资产清单'!A356="","缺少资产ID；","")&amp;IF('08_资产清单'!B356="","缺少资产名称；","")&amp;IF('08_资产清单'!C356="","缺少对象ID；","")&amp;IF('08_资产清单'!D356="","缺少资产类别；","")&amp;IF('08_资产清单'!G356="","缺少文件名；","")&amp;IF(AND('08_资产清单'!C356&lt;&gt;"",COUNTIF('02_固定地理'!$A$2:$A$501,'08_资产清单'!C356)+COUNTIF('03_地点锚点'!$A$2:$A$501,'08_资产清单'!C356)+COUNTIF('04_路径网络'!$A$2:$A$501,'08_资产清单'!C356)+COUNTIF('06_建筑锚点'!$A$2:$A$501,'08_资产清单'!C356)=0),"资产引用对象不存在；","")&amp;IF(AND('08_资产清单'!E356&lt;&gt;"",COUNTIF('07_动态状态'!$A$2:$A$501,'08_资产清单'!E356)=0),"状态编码不存在；","")&amp;IF(AND('08_资产清单'!G356&lt;&gt;"",COUNTIF('08_资产清单'!$G$2:$G$501,'08_资产清单'!G356)&gt;1),"文件名重复；","")&amp;IF(AND('08_资产清单'!A356&lt;&gt;"",COUNTIF('08_资产清单'!$A$2:$A$501,'08_资产清单'!A356)&gt;1),"ID重复；",""),"")</f>
        <v/>
      </c>
      <c r="G3356" s="14">
        <f>IF(F3356&lt;&gt;"","按字段批注、数据字典和来源记录修正后复核","")</f>
        <v/>
      </c>
      <c r="H3356" s="14">
        <f>IF(F3356&lt;&gt;"","待处理","")</f>
        <v/>
      </c>
    </row>
    <row r="3357">
      <c r="A3357" s="14">
        <f>IF(F3357&lt;&gt;"","ISSUE-"&amp;TEXT(ROW()-1,"00000"),"")</f>
        <v/>
      </c>
      <c r="B3357" s="14">
        <f>IF(F3357&lt;&gt;"","错误","")</f>
        <v/>
      </c>
      <c r="C3357" s="14">
        <f>IF('08_资产清单'!A357&lt;&gt;"","08_资产清单","")</f>
        <v/>
      </c>
      <c r="D3357" s="14">
        <f>IF('08_资产清单'!A357&lt;&gt;"",'08_资产清单'!A357,"")</f>
        <v/>
      </c>
      <c r="E3357" s="14">
        <f>IF(F3357&lt;&gt;"","综合校验","")</f>
        <v/>
      </c>
      <c r="F3357" s="14">
        <f>IF('08_资产清单'!A357&lt;&gt;"",IF('08_资产清单'!A357="","缺少资产ID；","")&amp;IF('08_资产清单'!B357="","缺少资产名称；","")&amp;IF('08_资产清单'!C357="","缺少对象ID；","")&amp;IF('08_资产清单'!D357="","缺少资产类别；","")&amp;IF('08_资产清单'!G357="","缺少文件名；","")&amp;IF(AND('08_资产清单'!C357&lt;&gt;"",COUNTIF('02_固定地理'!$A$2:$A$501,'08_资产清单'!C357)+COUNTIF('03_地点锚点'!$A$2:$A$501,'08_资产清单'!C357)+COUNTIF('04_路径网络'!$A$2:$A$501,'08_资产清单'!C357)+COUNTIF('06_建筑锚点'!$A$2:$A$501,'08_资产清单'!C357)=0),"资产引用对象不存在；","")&amp;IF(AND('08_资产清单'!E357&lt;&gt;"",COUNTIF('07_动态状态'!$A$2:$A$501,'08_资产清单'!E357)=0),"状态编码不存在；","")&amp;IF(AND('08_资产清单'!G357&lt;&gt;"",COUNTIF('08_资产清单'!$G$2:$G$501,'08_资产清单'!G357)&gt;1),"文件名重复；","")&amp;IF(AND('08_资产清单'!A357&lt;&gt;"",COUNTIF('08_资产清单'!$A$2:$A$501,'08_资产清单'!A357)&gt;1),"ID重复；",""),"")</f>
        <v/>
      </c>
      <c r="G3357" s="14">
        <f>IF(F3357&lt;&gt;"","按字段批注、数据字典和来源记录修正后复核","")</f>
        <v/>
      </c>
      <c r="H3357" s="14">
        <f>IF(F3357&lt;&gt;"","待处理","")</f>
        <v/>
      </c>
    </row>
    <row r="3358">
      <c r="A3358" s="14">
        <f>IF(F3358&lt;&gt;"","ISSUE-"&amp;TEXT(ROW()-1,"00000"),"")</f>
        <v/>
      </c>
      <c r="B3358" s="14">
        <f>IF(F3358&lt;&gt;"","错误","")</f>
        <v/>
      </c>
      <c r="C3358" s="14">
        <f>IF('08_资产清单'!A358&lt;&gt;"","08_资产清单","")</f>
        <v/>
      </c>
      <c r="D3358" s="14">
        <f>IF('08_资产清单'!A358&lt;&gt;"",'08_资产清单'!A358,"")</f>
        <v/>
      </c>
      <c r="E3358" s="14">
        <f>IF(F3358&lt;&gt;"","综合校验","")</f>
        <v/>
      </c>
      <c r="F3358" s="14">
        <f>IF('08_资产清单'!A358&lt;&gt;"",IF('08_资产清单'!A358="","缺少资产ID；","")&amp;IF('08_资产清单'!B358="","缺少资产名称；","")&amp;IF('08_资产清单'!C358="","缺少对象ID；","")&amp;IF('08_资产清单'!D358="","缺少资产类别；","")&amp;IF('08_资产清单'!G358="","缺少文件名；","")&amp;IF(AND('08_资产清单'!C358&lt;&gt;"",COUNTIF('02_固定地理'!$A$2:$A$501,'08_资产清单'!C358)+COUNTIF('03_地点锚点'!$A$2:$A$501,'08_资产清单'!C358)+COUNTIF('04_路径网络'!$A$2:$A$501,'08_资产清单'!C358)+COUNTIF('06_建筑锚点'!$A$2:$A$501,'08_资产清单'!C358)=0),"资产引用对象不存在；","")&amp;IF(AND('08_资产清单'!E358&lt;&gt;"",COUNTIF('07_动态状态'!$A$2:$A$501,'08_资产清单'!E358)=0),"状态编码不存在；","")&amp;IF(AND('08_资产清单'!G358&lt;&gt;"",COUNTIF('08_资产清单'!$G$2:$G$501,'08_资产清单'!G358)&gt;1),"文件名重复；","")&amp;IF(AND('08_资产清单'!A358&lt;&gt;"",COUNTIF('08_资产清单'!$A$2:$A$501,'08_资产清单'!A358)&gt;1),"ID重复；",""),"")</f>
        <v/>
      </c>
      <c r="G3358" s="14">
        <f>IF(F3358&lt;&gt;"","按字段批注、数据字典和来源记录修正后复核","")</f>
        <v/>
      </c>
      <c r="H3358" s="14">
        <f>IF(F3358&lt;&gt;"","待处理","")</f>
        <v/>
      </c>
    </row>
    <row r="3359">
      <c r="A3359" s="14">
        <f>IF(F3359&lt;&gt;"","ISSUE-"&amp;TEXT(ROW()-1,"00000"),"")</f>
        <v/>
      </c>
      <c r="B3359" s="14">
        <f>IF(F3359&lt;&gt;"","错误","")</f>
        <v/>
      </c>
      <c r="C3359" s="14">
        <f>IF('08_资产清单'!A359&lt;&gt;"","08_资产清单","")</f>
        <v/>
      </c>
      <c r="D3359" s="14">
        <f>IF('08_资产清单'!A359&lt;&gt;"",'08_资产清单'!A359,"")</f>
        <v/>
      </c>
      <c r="E3359" s="14">
        <f>IF(F3359&lt;&gt;"","综合校验","")</f>
        <v/>
      </c>
      <c r="F3359" s="14">
        <f>IF('08_资产清单'!A359&lt;&gt;"",IF('08_资产清单'!A359="","缺少资产ID；","")&amp;IF('08_资产清单'!B359="","缺少资产名称；","")&amp;IF('08_资产清单'!C359="","缺少对象ID；","")&amp;IF('08_资产清单'!D359="","缺少资产类别；","")&amp;IF('08_资产清单'!G359="","缺少文件名；","")&amp;IF(AND('08_资产清单'!C359&lt;&gt;"",COUNTIF('02_固定地理'!$A$2:$A$501,'08_资产清单'!C359)+COUNTIF('03_地点锚点'!$A$2:$A$501,'08_资产清单'!C359)+COUNTIF('04_路径网络'!$A$2:$A$501,'08_资产清单'!C359)+COUNTIF('06_建筑锚点'!$A$2:$A$501,'08_资产清单'!C359)=0),"资产引用对象不存在；","")&amp;IF(AND('08_资产清单'!E359&lt;&gt;"",COUNTIF('07_动态状态'!$A$2:$A$501,'08_资产清单'!E359)=0),"状态编码不存在；","")&amp;IF(AND('08_资产清单'!G359&lt;&gt;"",COUNTIF('08_资产清单'!$G$2:$G$501,'08_资产清单'!G359)&gt;1),"文件名重复；","")&amp;IF(AND('08_资产清单'!A359&lt;&gt;"",COUNTIF('08_资产清单'!$A$2:$A$501,'08_资产清单'!A359)&gt;1),"ID重复；",""),"")</f>
        <v/>
      </c>
      <c r="G3359" s="14">
        <f>IF(F3359&lt;&gt;"","按字段批注、数据字典和来源记录修正后复核","")</f>
        <v/>
      </c>
      <c r="H3359" s="14">
        <f>IF(F3359&lt;&gt;"","待处理","")</f>
        <v/>
      </c>
    </row>
    <row r="3360">
      <c r="A3360" s="14">
        <f>IF(F3360&lt;&gt;"","ISSUE-"&amp;TEXT(ROW()-1,"00000"),"")</f>
        <v/>
      </c>
      <c r="B3360" s="14">
        <f>IF(F3360&lt;&gt;"","错误","")</f>
        <v/>
      </c>
      <c r="C3360" s="14">
        <f>IF('08_资产清单'!A360&lt;&gt;"","08_资产清单","")</f>
        <v/>
      </c>
      <c r="D3360" s="14">
        <f>IF('08_资产清单'!A360&lt;&gt;"",'08_资产清单'!A360,"")</f>
        <v/>
      </c>
      <c r="E3360" s="14">
        <f>IF(F3360&lt;&gt;"","综合校验","")</f>
        <v/>
      </c>
      <c r="F3360" s="14">
        <f>IF('08_资产清单'!A360&lt;&gt;"",IF('08_资产清单'!A360="","缺少资产ID；","")&amp;IF('08_资产清单'!B360="","缺少资产名称；","")&amp;IF('08_资产清单'!C360="","缺少对象ID；","")&amp;IF('08_资产清单'!D360="","缺少资产类别；","")&amp;IF('08_资产清单'!G360="","缺少文件名；","")&amp;IF(AND('08_资产清单'!C360&lt;&gt;"",COUNTIF('02_固定地理'!$A$2:$A$501,'08_资产清单'!C360)+COUNTIF('03_地点锚点'!$A$2:$A$501,'08_资产清单'!C360)+COUNTIF('04_路径网络'!$A$2:$A$501,'08_资产清单'!C360)+COUNTIF('06_建筑锚点'!$A$2:$A$501,'08_资产清单'!C360)=0),"资产引用对象不存在；","")&amp;IF(AND('08_资产清单'!E360&lt;&gt;"",COUNTIF('07_动态状态'!$A$2:$A$501,'08_资产清单'!E360)=0),"状态编码不存在；","")&amp;IF(AND('08_资产清单'!G360&lt;&gt;"",COUNTIF('08_资产清单'!$G$2:$G$501,'08_资产清单'!G360)&gt;1),"文件名重复；","")&amp;IF(AND('08_资产清单'!A360&lt;&gt;"",COUNTIF('08_资产清单'!$A$2:$A$501,'08_资产清单'!A360)&gt;1),"ID重复；",""),"")</f>
        <v/>
      </c>
      <c r="G3360" s="14">
        <f>IF(F3360&lt;&gt;"","按字段批注、数据字典和来源记录修正后复核","")</f>
        <v/>
      </c>
      <c r="H3360" s="14">
        <f>IF(F3360&lt;&gt;"","待处理","")</f>
        <v/>
      </c>
    </row>
    <row r="3361">
      <c r="A3361" s="14">
        <f>IF(F3361&lt;&gt;"","ISSUE-"&amp;TEXT(ROW()-1,"00000"),"")</f>
        <v/>
      </c>
      <c r="B3361" s="14">
        <f>IF(F3361&lt;&gt;"","错误","")</f>
        <v/>
      </c>
      <c r="C3361" s="14">
        <f>IF('08_资产清单'!A361&lt;&gt;"","08_资产清单","")</f>
        <v/>
      </c>
      <c r="D3361" s="14">
        <f>IF('08_资产清单'!A361&lt;&gt;"",'08_资产清单'!A361,"")</f>
        <v/>
      </c>
      <c r="E3361" s="14">
        <f>IF(F3361&lt;&gt;"","综合校验","")</f>
        <v/>
      </c>
      <c r="F3361" s="14">
        <f>IF('08_资产清单'!A361&lt;&gt;"",IF('08_资产清单'!A361="","缺少资产ID；","")&amp;IF('08_资产清单'!B361="","缺少资产名称；","")&amp;IF('08_资产清单'!C361="","缺少对象ID；","")&amp;IF('08_资产清单'!D361="","缺少资产类别；","")&amp;IF('08_资产清单'!G361="","缺少文件名；","")&amp;IF(AND('08_资产清单'!C361&lt;&gt;"",COUNTIF('02_固定地理'!$A$2:$A$501,'08_资产清单'!C361)+COUNTIF('03_地点锚点'!$A$2:$A$501,'08_资产清单'!C361)+COUNTIF('04_路径网络'!$A$2:$A$501,'08_资产清单'!C361)+COUNTIF('06_建筑锚点'!$A$2:$A$501,'08_资产清单'!C361)=0),"资产引用对象不存在；","")&amp;IF(AND('08_资产清单'!E361&lt;&gt;"",COUNTIF('07_动态状态'!$A$2:$A$501,'08_资产清单'!E361)=0),"状态编码不存在；","")&amp;IF(AND('08_资产清单'!G361&lt;&gt;"",COUNTIF('08_资产清单'!$G$2:$G$501,'08_资产清单'!G361)&gt;1),"文件名重复；","")&amp;IF(AND('08_资产清单'!A361&lt;&gt;"",COUNTIF('08_资产清单'!$A$2:$A$501,'08_资产清单'!A361)&gt;1),"ID重复；",""),"")</f>
        <v/>
      </c>
      <c r="G3361" s="14">
        <f>IF(F3361&lt;&gt;"","按字段批注、数据字典和来源记录修正后复核","")</f>
        <v/>
      </c>
      <c r="H3361" s="14">
        <f>IF(F3361&lt;&gt;"","待处理","")</f>
        <v/>
      </c>
    </row>
    <row r="3362">
      <c r="A3362" s="14">
        <f>IF(F3362&lt;&gt;"","ISSUE-"&amp;TEXT(ROW()-1,"00000"),"")</f>
        <v/>
      </c>
      <c r="B3362" s="14">
        <f>IF(F3362&lt;&gt;"","错误","")</f>
        <v/>
      </c>
      <c r="C3362" s="14">
        <f>IF('08_资产清单'!A362&lt;&gt;"","08_资产清单","")</f>
        <v/>
      </c>
      <c r="D3362" s="14">
        <f>IF('08_资产清单'!A362&lt;&gt;"",'08_资产清单'!A362,"")</f>
        <v/>
      </c>
      <c r="E3362" s="14">
        <f>IF(F3362&lt;&gt;"","综合校验","")</f>
        <v/>
      </c>
      <c r="F3362" s="14">
        <f>IF('08_资产清单'!A362&lt;&gt;"",IF('08_资产清单'!A362="","缺少资产ID；","")&amp;IF('08_资产清单'!B362="","缺少资产名称；","")&amp;IF('08_资产清单'!C362="","缺少对象ID；","")&amp;IF('08_资产清单'!D362="","缺少资产类别；","")&amp;IF('08_资产清单'!G362="","缺少文件名；","")&amp;IF(AND('08_资产清单'!C362&lt;&gt;"",COUNTIF('02_固定地理'!$A$2:$A$501,'08_资产清单'!C362)+COUNTIF('03_地点锚点'!$A$2:$A$501,'08_资产清单'!C362)+COUNTIF('04_路径网络'!$A$2:$A$501,'08_资产清单'!C362)+COUNTIF('06_建筑锚点'!$A$2:$A$501,'08_资产清单'!C362)=0),"资产引用对象不存在；","")&amp;IF(AND('08_资产清单'!E362&lt;&gt;"",COUNTIF('07_动态状态'!$A$2:$A$501,'08_资产清单'!E362)=0),"状态编码不存在；","")&amp;IF(AND('08_资产清单'!G362&lt;&gt;"",COUNTIF('08_资产清单'!$G$2:$G$501,'08_资产清单'!G362)&gt;1),"文件名重复；","")&amp;IF(AND('08_资产清单'!A362&lt;&gt;"",COUNTIF('08_资产清单'!$A$2:$A$501,'08_资产清单'!A362)&gt;1),"ID重复；",""),"")</f>
        <v/>
      </c>
      <c r="G3362" s="14">
        <f>IF(F3362&lt;&gt;"","按字段批注、数据字典和来源记录修正后复核","")</f>
        <v/>
      </c>
      <c r="H3362" s="14">
        <f>IF(F3362&lt;&gt;"","待处理","")</f>
        <v/>
      </c>
    </row>
    <row r="3363">
      <c r="A3363" s="14">
        <f>IF(F3363&lt;&gt;"","ISSUE-"&amp;TEXT(ROW()-1,"00000"),"")</f>
        <v/>
      </c>
      <c r="B3363" s="14">
        <f>IF(F3363&lt;&gt;"","错误","")</f>
        <v/>
      </c>
      <c r="C3363" s="14">
        <f>IF('08_资产清单'!A363&lt;&gt;"","08_资产清单","")</f>
        <v/>
      </c>
      <c r="D3363" s="14">
        <f>IF('08_资产清单'!A363&lt;&gt;"",'08_资产清单'!A363,"")</f>
        <v/>
      </c>
      <c r="E3363" s="14">
        <f>IF(F3363&lt;&gt;"","综合校验","")</f>
        <v/>
      </c>
      <c r="F3363" s="14">
        <f>IF('08_资产清单'!A363&lt;&gt;"",IF('08_资产清单'!A363="","缺少资产ID；","")&amp;IF('08_资产清单'!B363="","缺少资产名称；","")&amp;IF('08_资产清单'!C363="","缺少对象ID；","")&amp;IF('08_资产清单'!D363="","缺少资产类别；","")&amp;IF('08_资产清单'!G363="","缺少文件名；","")&amp;IF(AND('08_资产清单'!C363&lt;&gt;"",COUNTIF('02_固定地理'!$A$2:$A$501,'08_资产清单'!C363)+COUNTIF('03_地点锚点'!$A$2:$A$501,'08_资产清单'!C363)+COUNTIF('04_路径网络'!$A$2:$A$501,'08_资产清单'!C363)+COUNTIF('06_建筑锚点'!$A$2:$A$501,'08_资产清单'!C363)=0),"资产引用对象不存在；","")&amp;IF(AND('08_资产清单'!E363&lt;&gt;"",COUNTIF('07_动态状态'!$A$2:$A$501,'08_资产清单'!E363)=0),"状态编码不存在；","")&amp;IF(AND('08_资产清单'!G363&lt;&gt;"",COUNTIF('08_资产清单'!$G$2:$G$501,'08_资产清单'!G363)&gt;1),"文件名重复；","")&amp;IF(AND('08_资产清单'!A363&lt;&gt;"",COUNTIF('08_资产清单'!$A$2:$A$501,'08_资产清单'!A363)&gt;1),"ID重复；",""),"")</f>
        <v/>
      </c>
      <c r="G3363" s="14">
        <f>IF(F3363&lt;&gt;"","按字段批注、数据字典和来源记录修正后复核","")</f>
        <v/>
      </c>
      <c r="H3363" s="14">
        <f>IF(F3363&lt;&gt;"","待处理","")</f>
        <v/>
      </c>
    </row>
    <row r="3364">
      <c r="A3364" s="14">
        <f>IF(F3364&lt;&gt;"","ISSUE-"&amp;TEXT(ROW()-1,"00000"),"")</f>
        <v/>
      </c>
      <c r="B3364" s="14">
        <f>IF(F3364&lt;&gt;"","错误","")</f>
        <v/>
      </c>
      <c r="C3364" s="14">
        <f>IF('08_资产清单'!A364&lt;&gt;"","08_资产清单","")</f>
        <v/>
      </c>
      <c r="D3364" s="14">
        <f>IF('08_资产清单'!A364&lt;&gt;"",'08_资产清单'!A364,"")</f>
        <v/>
      </c>
      <c r="E3364" s="14">
        <f>IF(F3364&lt;&gt;"","综合校验","")</f>
        <v/>
      </c>
      <c r="F3364" s="14">
        <f>IF('08_资产清单'!A364&lt;&gt;"",IF('08_资产清单'!A364="","缺少资产ID；","")&amp;IF('08_资产清单'!B364="","缺少资产名称；","")&amp;IF('08_资产清单'!C364="","缺少对象ID；","")&amp;IF('08_资产清单'!D364="","缺少资产类别；","")&amp;IF('08_资产清单'!G364="","缺少文件名；","")&amp;IF(AND('08_资产清单'!C364&lt;&gt;"",COUNTIF('02_固定地理'!$A$2:$A$501,'08_资产清单'!C364)+COUNTIF('03_地点锚点'!$A$2:$A$501,'08_资产清单'!C364)+COUNTIF('04_路径网络'!$A$2:$A$501,'08_资产清单'!C364)+COUNTIF('06_建筑锚点'!$A$2:$A$501,'08_资产清单'!C364)=0),"资产引用对象不存在；","")&amp;IF(AND('08_资产清单'!E364&lt;&gt;"",COUNTIF('07_动态状态'!$A$2:$A$501,'08_资产清单'!E364)=0),"状态编码不存在；","")&amp;IF(AND('08_资产清单'!G364&lt;&gt;"",COUNTIF('08_资产清单'!$G$2:$G$501,'08_资产清单'!G364)&gt;1),"文件名重复；","")&amp;IF(AND('08_资产清单'!A364&lt;&gt;"",COUNTIF('08_资产清单'!$A$2:$A$501,'08_资产清单'!A364)&gt;1),"ID重复；",""),"")</f>
        <v/>
      </c>
      <c r="G3364" s="14">
        <f>IF(F3364&lt;&gt;"","按字段批注、数据字典和来源记录修正后复核","")</f>
        <v/>
      </c>
      <c r="H3364" s="14">
        <f>IF(F3364&lt;&gt;"","待处理","")</f>
        <v/>
      </c>
    </row>
    <row r="3365">
      <c r="A3365" s="14">
        <f>IF(F3365&lt;&gt;"","ISSUE-"&amp;TEXT(ROW()-1,"00000"),"")</f>
        <v/>
      </c>
      <c r="B3365" s="14">
        <f>IF(F3365&lt;&gt;"","错误","")</f>
        <v/>
      </c>
      <c r="C3365" s="14">
        <f>IF('08_资产清单'!A365&lt;&gt;"","08_资产清单","")</f>
        <v/>
      </c>
      <c r="D3365" s="14">
        <f>IF('08_资产清单'!A365&lt;&gt;"",'08_资产清单'!A365,"")</f>
        <v/>
      </c>
      <c r="E3365" s="14">
        <f>IF(F3365&lt;&gt;"","综合校验","")</f>
        <v/>
      </c>
      <c r="F3365" s="14">
        <f>IF('08_资产清单'!A365&lt;&gt;"",IF('08_资产清单'!A365="","缺少资产ID；","")&amp;IF('08_资产清单'!B365="","缺少资产名称；","")&amp;IF('08_资产清单'!C365="","缺少对象ID；","")&amp;IF('08_资产清单'!D365="","缺少资产类别；","")&amp;IF('08_资产清单'!G365="","缺少文件名；","")&amp;IF(AND('08_资产清单'!C365&lt;&gt;"",COUNTIF('02_固定地理'!$A$2:$A$501,'08_资产清单'!C365)+COUNTIF('03_地点锚点'!$A$2:$A$501,'08_资产清单'!C365)+COUNTIF('04_路径网络'!$A$2:$A$501,'08_资产清单'!C365)+COUNTIF('06_建筑锚点'!$A$2:$A$501,'08_资产清单'!C365)=0),"资产引用对象不存在；","")&amp;IF(AND('08_资产清单'!E365&lt;&gt;"",COUNTIF('07_动态状态'!$A$2:$A$501,'08_资产清单'!E365)=0),"状态编码不存在；","")&amp;IF(AND('08_资产清单'!G365&lt;&gt;"",COUNTIF('08_资产清单'!$G$2:$G$501,'08_资产清单'!G365)&gt;1),"文件名重复；","")&amp;IF(AND('08_资产清单'!A365&lt;&gt;"",COUNTIF('08_资产清单'!$A$2:$A$501,'08_资产清单'!A365)&gt;1),"ID重复；",""),"")</f>
        <v/>
      </c>
      <c r="G3365" s="14">
        <f>IF(F3365&lt;&gt;"","按字段批注、数据字典和来源记录修正后复核","")</f>
        <v/>
      </c>
      <c r="H3365" s="14">
        <f>IF(F3365&lt;&gt;"","待处理","")</f>
        <v/>
      </c>
    </row>
    <row r="3366">
      <c r="A3366" s="14">
        <f>IF(F3366&lt;&gt;"","ISSUE-"&amp;TEXT(ROW()-1,"00000"),"")</f>
        <v/>
      </c>
      <c r="B3366" s="14">
        <f>IF(F3366&lt;&gt;"","错误","")</f>
        <v/>
      </c>
      <c r="C3366" s="14">
        <f>IF('08_资产清单'!A366&lt;&gt;"","08_资产清单","")</f>
        <v/>
      </c>
      <c r="D3366" s="14">
        <f>IF('08_资产清单'!A366&lt;&gt;"",'08_资产清单'!A366,"")</f>
        <v/>
      </c>
      <c r="E3366" s="14">
        <f>IF(F3366&lt;&gt;"","综合校验","")</f>
        <v/>
      </c>
      <c r="F3366" s="14">
        <f>IF('08_资产清单'!A366&lt;&gt;"",IF('08_资产清单'!A366="","缺少资产ID；","")&amp;IF('08_资产清单'!B366="","缺少资产名称；","")&amp;IF('08_资产清单'!C366="","缺少对象ID；","")&amp;IF('08_资产清单'!D366="","缺少资产类别；","")&amp;IF('08_资产清单'!G366="","缺少文件名；","")&amp;IF(AND('08_资产清单'!C366&lt;&gt;"",COUNTIF('02_固定地理'!$A$2:$A$501,'08_资产清单'!C366)+COUNTIF('03_地点锚点'!$A$2:$A$501,'08_资产清单'!C366)+COUNTIF('04_路径网络'!$A$2:$A$501,'08_资产清单'!C366)+COUNTIF('06_建筑锚点'!$A$2:$A$501,'08_资产清单'!C366)=0),"资产引用对象不存在；","")&amp;IF(AND('08_资产清单'!E366&lt;&gt;"",COUNTIF('07_动态状态'!$A$2:$A$501,'08_资产清单'!E366)=0),"状态编码不存在；","")&amp;IF(AND('08_资产清单'!G366&lt;&gt;"",COUNTIF('08_资产清单'!$G$2:$G$501,'08_资产清单'!G366)&gt;1),"文件名重复；","")&amp;IF(AND('08_资产清单'!A366&lt;&gt;"",COUNTIF('08_资产清单'!$A$2:$A$501,'08_资产清单'!A366)&gt;1),"ID重复；",""),"")</f>
        <v/>
      </c>
      <c r="G3366" s="14">
        <f>IF(F3366&lt;&gt;"","按字段批注、数据字典和来源记录修正后复核","")</f>
        <v/>
      </c>
      <c r="H3366" s="14">
        <f>IF(F3366&lt;&gt;"","待处理","")</f>
        <v/>
      </c>
    </row>
    <row r="3367">
      <c r="A3367" s="14">
        <f>IF(F3367&lt;&gt;"","ISSUE-"&amp;TEXT(ROW()-1,"00000"),"")</f>
        <v/>
      </c>
      <c r="B3367" s="14">
        <f>IF(F3367&lt;&gt;"","错误","")</f>
        <v/>
      </c>
      <c r="C3367" s="14">
        <f>IF('08_资产清单'!A367&lt;&gt;"","08_资产清单","")</f>
        <v/>
      </c>
      <c r="D3367" s="14">
        <f>IF('08_资产清单'!A367&lt;&gt;"",'08_资产清单'!A367,"")</f>
        <v/>
      </c>
      <c r="E3367" s="14">
        <f>IF(F3367&lt;&gt;"","综合校验","")</f>
        <v/>
      </c>
      <c r="F3367" s="14">
        <f>IF('08_资产清单'!A367&lt;&gt;"",IF('08_资产清单'!A367="","缺少资产ID；","")&amp;IF('08_资产清单'!B367="","缺少资产名称；","")&amp;IF('08_资产清单'!C367="","缺少对象ID；","")&amp;IF('08_资产清单'!D367="","缺少资产类别；","")&amp;IF('08_资产清单'!G367="","缺少文件名；","")&amp;IF(AND('08_资产清单'!C367&lt;&gt;"",COUNTIF('02_固定地理'!$A$2:$A$501,'08_资产清单'!C367)+COUNTIF('03_地点锚点'!$A$2:$A$501,'08_资产清单'!C367)+COUNTIF('04_路径网络'!$A$2:$A$501,'08_资产清单'!C367)+COUNTIF('06_建筑锚点'!$A$2:$A$501,'08_资产清单'!C367)=0),"资产引用对象不存在；","")&amp;IF(AND('08_资产清单'!E367&lt;&gt;"",COUNTIF('07_动态状态'!$A$2:$A$501,'08_资产清单'!E367)=0),"状态编码不存在；","")&amp;IF(AND('08_资产清单'!G367&lt;&gt;"",COUNTIF('08_资产清单'!$G$2:$G$501,'08_资产清单'!G367)&gt;1),"文件名重复；","")&amp;IF(AND('08_资产清单'!A367&lt;&gt;"",COUNTIF('08_资产清单'!$A$2:$A$501,'08_资产清单'!A367)&gt;1),"ID重复；",""),"")</f>
        <v/>
      </c>
      <c r="G3367" s="14">
        <f>IF(F3367&lt;&gt;"","按字段批注、数据字典和来源记录修正后复核","")</f>
        <v/>
      </c>
      <c r="H3367" s="14">
        <f>IF(F3367&lt;&gt;"","待处理","")</f>
        <v/>
      </c>
    </row>
    <row r="3368">
      <c r="A3368" s="14">
        <f>IF(F3368&lt;&gt;"","ISSUE-"&amp;TEXT(ROW()-1,"00000"),"")</f>
        <v/>
      </c>
      <c r="B3368" s="14">
        <f>IF(F3368&lt;&gt;"","错误","")</f>
        <v/>
      </c>
      <c r="C3368" s="14">
        <f>IF('08_资产清单'!A368&lt;&gt;"","08_资产清单","")</f>
        <v/>
      </c>
      <c r="D3368" s="14">
        <f>IF('08_资产清单'!A368&lt;&gt;"",'08_资产清单'!A368,"")</f>
        <v/>
      </c>
      <c r="E3368" s="14">
        <f>IF(F3368&lt;&gt;"","综合校验","")</f>
        <v/>
      </c>
      <c r="F3368" s="14">
        <f>IF('08_资产清单'!A368&lt;&gt;"",IF('08_资产清单'!A368="","缺少资产ID；","")&amp;IF('08_资产清单'!B368="","缺少资产名称；","")&amp;IF('08_资产清单'!C368="","缺少对象ID；","")&amp;IF('08_资产清单'!D368="","缺少资产类别；","")&amp;IF('08_资产清单'!G368="","缺少文件名；","")&amp;IF(AND('08_资产清单'!C368&lt;&gt;"",COUNTIF('02_固定地理'!$A$2:$A$501,'08_资产清单'!C368)+COUNTIF('03_地点锚点'!$A$2:$A$501,'08_资产清单'!C368)+COUNTIF('04_路径网络'!$A$2:$A$501,'08_资产清单'!C368)+COUNTIF('06_建筑锚点'!$A$2:$A$501,'08_资产清单'!C368)=0),"资产引用对象不存在；","")&amp;IF(AND('08_资产清单'!E368&lt;&gt;"",COUNTIF('07_动态状态'!$A$2:$A$501,'08_资产清单'!E368)=0),"状态编码不存在；","")&amp;IF(AND('08_资产清单'!G368&lt;&gt;"",COUNTIF('08_资产清单'!$G$2:$G$501,'08_资产清单'!G368)&gt;1),"文件名重复；","")&amp;IF(AND('08_资产清单'!A368&lt;&gt;"",COUNTIF('08_资产清单'!$A$2:$A$501,'08_资产清单'!A368)&gt;1),"ID重复；",""),"")</f>
        <v/>
      </c>
      <c r="G3368" s="14">
        <f>IF(F3368&lt;&gt;"","按字段批注、数据字典和来源记录修正后复核","")</f>
        <v/>
      </c>
      <c r="H3368" s="14">
        <f>IF(F3368&lt;&gt;"","待处理","")</f>
        <v/>
      </c>
    </row>
    <row r="3369">
      <c r="A3369" s="14">
        <f>IF(F3369&lt;&gt;"","ISSUE-"&amp;TEXT(ROW()-1,"00000"),"")</f>
        <v/>
      </c>
      <c r="B3369" s="14">
        <f>IF(F3369&lt;&gt;"","错误","")</f>
        <v/>
      </c>
      <c r="C3369" s="14">
        <f>IF('08_资产清单'!A369&lt;&gt;"","08_资产清单","")</f>
        <v/>
      </c>
      <c r="D3369" s="14">
        <f>IF('08_资产清单'!A369&lt;&gt;"",'08_资产清单'!A369,"")</f>
        <v/>
      </c>
      <c r="E3369" s="14">
        <f>IF(F3369&lt;&gt;"","综合校验","")</f>
        <v/>
      </c>
      <c r="F3369" s="14">
        <f>IF('08_资产清单'!A369&lt;&gt;"",IF('08_资产清单'!A369="","缺少资产ID；","")&amp;IF('08_资产清单'!B369="","缺少资产名称；","")&amp;IF('08_资产清单'!C369="","缺少对象ID；","")&amp;IF('08_资产清单'!D369="","缺少资产类别；","")&amp;IF('08_资产清单'!G369="","缺少文件名；","")&amp;IF(AND('08_资产清单'!C369&lt;&gt;"",COUNTIF('02_固定地理'!$A$2:$A$501,'08_资产清单'!C369)+COUNTIF('03_地点锚点'!$A$2:$A$501,'08_资产清单'!C369)+COUNTIF('04_路径网络'!$A$2:$A$501,'08_资产清单'!C369)+COUNTIF('06_建筑锚点'!$A$2:$A$501,'08_资产清单'!C369)=0),"资产引用对象不存在；","")&amp;IF(AND('08_资产清单'!E369&lt;&gt;"",COUNTIF('07_动态状态'!$A$2:$A$501,'08_资产清单'!E369)=0),"状态编码不存在；","")&amp;IF(AND('08_资产清单'!G369&lt;&gt;"",COUNTIF('08_资产清单'!$G$2:$G$501,'08_资产清单'!G369)&gt;1),"文件名重复；","")&amp;IF(AND('08_资产清单'!A369&lt;&gt;"",COUNTIF('08_资产清单'!$A$2:$A$501,'08_资产清单'!A369)&gt;1),"ID重复；",""),"")</f>
        <v/>
      </c>
      <c r="G3369" s="14">
        <f>IF(F3369&lt;&gt;"","按字段批注、数据字典和来源记录修正后复核","")</f>
        <v/>
      </c>
      <c r="H3369" s="14">
        <f>IF(F3369&lt;&gt;"","待处理","")</f>
        <v/>
      </c>
    </row>
    <row r="3370">
      <c r="A3370" s="14">
        <f>IF(F3370&lt;&gt;"","ISSUE-"&amp;TEXT(ROW()-1,"00000"),"")</f>
        <v/>
      </c>
      <c r="B3370" s="14">
        <f>IF(F3370&lt;&gt;"","错误","")</f>
        <v/>
      </c>
      <c r="C3370" s="14">
        <f>IF('08_资产清单'!A370&lt;&gt;"","08_资产清单","")</f>
        <v/>
      </c>
      <c r="D3370" s="14">
        <f>IF('08_资产清单'!A370&lt;&gt;"",'08_资产清单'!A370,"")</f>
        <v/>
      </c>
      <c r="E3370" s="14">
        <f>IF(F3370&lt;&gt;"","综合校验","")</f>
        <v/>
      </c>
      <c r="F3370" s="14">
        <f>IF('08_资产清单'!A370&lt;&gt;"",IF('08_资产清单'!A370="","缺少资产ID；","")&amp;IF('08_资产清单'!B370="","缺少资产名称；","")&amp;IF('08_资产清单'!C370="","缺少对象ID；","")&amp;IF('08_资产清单'!D370="","缺少资产类别；","")&amp;IF('08_资产清单'!G370="","缺少文件名；","")&amp;IF(AND('08_资产清单'!C370&lt;&gt;"",COUNTIF('02_固定地理'!$A$2:$A$501,'08_资产清单'!C370)+COUNTIF('03_地点锚点'!$A$2:$A$501,'08_资产清单'!C370)+COUNTIF('04_路径网络'!$A$2:$A$501,'08_资产清单'!C370)+COUNTIF('06_建筑锚点'!$A$2:$A$501,'08_资产清单'!C370)=0),"资产引用对象不存在；","")&amp;IF(AND('08_资产清单'!E370&lt;&gt;"",COUNTIF('07_动态状态'!$A$2:$A$501,'08_资产清单'!E370)=0),"状态编码不存在；","")&amp;IF(AND('08_资产清单'!G370&lt;&gt;"",COUNTIF('08_资产清单'!$G$2:$G$501,'08_资产清单'!G370)&gt;1),"文件名重复；","")&amp;IF(AND('08_资产清单'!A370&lt;&gt;"",COUNTIF('08_资产清单'!$A$2:$A$501,'08_资产清单'!A370)&gt;1),"ID重复；",""),"")</f>
        <v/>
      </c>
      <c r="G3370" s="14">
        <f>IF(F3370&lt;&gt;"","按字段批注、数据字典和来源记录修正后复核","")</f>
        <v/>
      </c>
      <c r="H3370" s="14">
        <f>IF(F3370&lt;&gt;"","待处理","")</f>
        <v/>
      </c>
    </row>
    <row r="3371">
      <c r="A3371" s="14">
        <f>IF(F3371&lt;&gt;"","ISSUE-"&amp;TEXT(ROW()-1,"00000"),"")</f>
        <v/>
      </c>
      <c r="B3371" s="14">
        <f>IF(F3371&lt;&gt;"","错误","")</f>
        <v/>
      </c>
      <c r="C3371" s="14">
        <f>IF('08_资产清单'!A371&lt;&gt;"","08_资产清单","")</f>
        <v/>
      </c>
      <c r="D3371" s="14">
        <f>IF('08_资产清单'!A371&lt;&gt;"",'08_资产清单'!A371,"")</f>
        <v/>
      </c>
      <c r="E3371" s="14">
        <f>IF(F3371&lt;&gt;"","综合校验","")</f>
        <v/>
      </c>
      <c r="F3371" s="14">
        <f>IF('08_资产清单'!A371&lt;&gt;"",IF('08_资产清单'!A371="","缺少资产ID；","")&amp;IF('08_资产清单'!B371="","缺少资产名称；","")&amp;IF('08_资产清单'!C371="","缺少对象ID；","")&amp;IF('08_资产清单'!D371="","缺少资产类别；","")&amp;IF('08_资产清单'!G371="","缺少文件名；","")&amp;IF(AND('08_资产清单'!C371&lt;&gt;"",COUNTIF('02_固定地理'!$A$2:$A$501,'08_资产清单'!C371)+COUNTIF('03_地点锚点'!$A$2:$A$501,'08_资产清单'!C371)+COUNTIF('04_路径网络'!$A$2:$A$501,'08_资产清单'!C371)+COUNTIF('06_建筑锚点'!$A$2:$A$501,'08_资产清单'!C371)=0),"资产引用对象不存在；","")&amp;IF(AND('08_资产清单'!E371&lt;&gt;"",COUNTIF('07_动态状态'!$A$2:$A$501,'08_资产清单'!E371)=0),"状态编码不存在；","")&amp;IF(AND('08_资产清单'!G371&lt;&gt;"",COUNTIF('08_资产清单'!$G$2:$G$501,'08_资产清单'!G371)&gt;1),"文件名重复；","")&amp;IF(AND('08_资产清单'!A371&lt;&gt;"",COUNTIF('08_资产清单'!$A$2:$A$501,'08_资产清单'!A371)&gt;1),"ID重复；",""),"")</f>
        <v/>
      </c>
      <c r="G3371" s="14">
        <f>IF(F3371&lt;&gt;"","按字段批注、数据字典和来源记录修正后复核","")</f>
        <v/>
      </c>
      <c r="H3371" s="14">
        <f>IF(F3371&lt;&gt;"","待处理","")</f>
        <v/>
      </c>
    </row>
    <row r="3372">
      <c r="A3372" s="14">
        <f>IF(F3372&lt;&gt;"","ISSUE-"&amp;TEXT(ROW()-1,"00000"),"")</f>
        <v/>
      </c>
      <c r="B3372" s="14">
        <f>IF(F3372&lt;&gt;"","错误","")</f>
        <v/>
      </c>
      <c r="C3372" s="14">
        <f>IF('08_资产清单'!A372&lt;&gt;"","08_资产清单","")</f>
        <v/>
      </c>
      <c r="D3372" s="14">
        <f>IF('08_资产清单'!A372&lt;&gt;"",'08_资产清单'!A372,"")</f>
        <v/>
      </c>
      <c r="E3372" s="14">
        <f>IF(F3372&lt;&gt;"","综合校验","")</f>
        <v/>
      </c>
      <c r="F3372" s="14">
        <f>IF('08_资产清单'!A372&lt;&gt;"",IF('08_资产清单'!A372="","缺少资产ID；","")&amp;IF('08_资产清单'!B372="","缺少资产名称；","")&amp;IF('08_资产清单'!C372="","缺少对象ID；","")&amp;IF('08_资产清单'!D372="","缺少资产类别；","")&amp;IF('08_资产清单'!G372="","缺少文件名；","")&amp;IF(AND('08_资产清单'!C372&lt;&gt;"",COUNTIF('02_固定地理'!$A$2:$A$501,'08_资产清单'!C372)+COUNTIF('03_地点锚点'!$A$2:$A$501,'08_资产清单'!C372)+COUNTIF('04_路径网络'!$A$2:$A$501,'08_资产清单'!C372)+COUNTIF('06_建筑锚点'!$A$2:$A$501,'08_资产清单'!C372)=0),"资产引用对象不存在；","")&amp;IF(AND('08_资产清单'!E372&lt;&gt;"",COUNTIF('07_动态状态'!$A$2:$A$501,'08_资产清单'!E372)=0),"状态编码不存在；","")&amp;IF(AND('08_资产清单'!G372&lt;&gt;"",COUNTIF('08_资产清单'!$G$2:$G$501,'08_资产清单'!G372)&gt;1),"文件名重复；","")&amp;IF(AND('08_资产清单'!A372&lt;&gt;"",COUNTIF('08_资产清单'!$A$2:$A$501,'08_资产清单'!A372)&gt;1),"ID重复；",""),"")</f>
        <v/>
      </c>
      <c r="G3372" s="14">
        <f>IF(F3372&lt;&gt;"","按字段批注、数据字典和来源记录修正后复核","")</f>
        <v/>
      </c>
      <c r="H3372" s="14">
        <f>IF(F3372&lt;&gt;"","待处理","")</f>
        <v/>
      </c>
    </row>
    <row r="3373">
      <c r="A3373" s="14">
        <f>IF(F3373&lt;&gt;"","ISSUE-"&amp;TEXT(ROW()-1,"00000"),"")</f>
        <v/>
      </c>
      <c r="B3373" s="14">
        <f>IF(F3373&lt;&gt;"","错误","")</f>
        <v/>
      </c>
      <c r="C3373" s="14">
        <f>IF('08_资产清单'!A373&lt;&gt;"","08_资产清单","")</f>
        <v/>
      </c>
      <c r="D3373" s="14">
        <f>IF('08_资产清单'!A373&lt;&gt;"",'08_资产清单'!A373,"")</f>
        <v/>
      </c>
      <c r="E3373" s="14">
        <f>IF(F3373&lt;&gt;"","综合校验","")</f>
        <v/>
      </c>
      <c r="F3373" s="14">
        <f>IF('08_资产清单'!A373&lt;&gt;"",IF('08_资产清单'!A373="","缺少资产ID；","")&amp;IF('08_资产清单'!B373="","缺少资产名称；","")&amp;IF('08_资产清单'!C373="","缺少对象ID；","")&amp;IF('08_资产清单'!D373="","缺少资产类别；","")&amp;IF('08_资产清单'!G373="","缺少文件名；","")&amp;IF(AND('08_资产清单'!C373&lt;&gt;"",COUNTIF('02_固定地理'!$A$2:$A$501,'08_资产清单'!C373)+COUNTIF('03_地点锚点'!$A$2:$A$501,'08_资产清单'!C373)+COUNTIF('04_路径网络'!$A$2:$A$501,'08_资产清单'!C373)+COUNTIF('06_建筑锚点'!$A$2:$A$501,'08_资产清单'!C373)=0),"资产引用对象不存在；","")&amp;IF(AND('08_资产清单'!E373&lt;&gt;"",COUNTIF('07_动态状态'!$A$2:$A$501,'08_资产清单'!E373)=0),"状态编码不存在；","")&amp;IF(AND('08_资产清单'!G373&lt;&gt;"",COUNTIF('08_资产清单'!$G$2:$G$501,'08_资产清单'!G373)&gt;1),"文件名重复；","")&amp;IF(AND('08_资产清单'!A373&lt;&gt;"",COUNTIF('08_资产清单'!$A$2:$A$501,'08_资产清单'!A373)&gt;1),"ID重复；",""),"")</f>
        <v/>
      </c>
      <c r="G3373" s="14">
        <f>IF(F3373&lt;&gt;"","按字段批注、数据字典和来源记录修正后复核","")</f>
        <v/>
      </c>
      <c r="H3373" s="14">
        <f>IF(F3373&lt;&gt;"","待处理","")</f>
        <v/>
      </c>
    </row>
    <row r="3374">
      <c r="A3374" s="14">
        <f>IF(F3374&lt;&gt;"","ISSUE-"&amp;TEXT(ROW()-1,"00000"),"")</f>
        <v/>
      </c>
      <c r="B3374" s="14">
        <f>IF(F3374&lt;&gt;"","错误","")</f>
        <v/>
      </c>
      <c r="C3374" s="14">
        <f>IF('08_资产清单'!A374&lt;&gt;"","08_资产清单","")</f>
        <v/>
      </c>
      <c r="D3374" s="14">
        <f>IF('08_资产清单'!A374&lt;&gt;"",'08_资产清单'!A374,"")</f>
        <v/>
      </c>
      <c r="E3374" s="14">
        <f>IF(F3374&lt;&gt;"","综合校验","")</f>
        <v/>
      </c>
      <c r="F3374" s="14">
        <f>IF('08_资产清单'!A374&lt;&gt;"",IF('08_资产清单'!A374="","缺少资产ID；","")&amp;IF('08_资产清单'!B374="","缺少资产名称；","")&amp;IF('08_资产清单'!C374="","缺少对象ID；","")&amp;IF('08_资产清单'!D374="","缺少资产类别；","")&amp;IF('08_资产清单'!G374="","缺少文件名；","")&amp;IF(AND('08_资产清单'!C374&lt;&gt;"",COUNTIF('02_固定地理'!$A$2:$A$501,'08_资产清单'!C374)+COUNTIF('03_地点锚点'!$A$2:$A$501,'08_资产清单'!C374)+COUNTIF('04_路径网络'!$A$2:$A$501,'08_资产清单'!C374)+COUNTIF('06_建筑锚点'!$A$2:$A$501,'08_资产清单'!C374)=0),"资产引用对象不存在；","")&amp;IF(AND('08_资产清单'!E374&lt;&gt;"",COUNTIF('07_动态状态'!$A$2:$A$501,'08_资产清单'!E374)=0),"状态编码不存在；","")&amp;IF(AND('08_资产清单'!G374&lt;&gt;"",COUNTIF('08_资产清单'!$G$2:$G$501,'08_资产清单'!G374)&gt;1),"文件名重复；","")&amp;IF(AND('08_资产清单'!A374&lt;&gt;"",COUNTIF('08_资产清单'!$A$2:$A$501,'08_资产清单'!A374)&gt;1),"ID重复；",""),"")</f>
        <v/>
      </c>
      <c r="G3374" s="14">
        <f>IF(F3374&lt;&gt;"","按字段批注、数据字典和来源记录修正后复核","")</f>
        <v/>
      </c>
      <c r="H3374" s="14">
        <f>IF(F3374&lt;&gt;"","待处理","")</f>
        <v/>
      </c>
    </row>
    <row r="3375">
      <c r="A3375" s="14">
        <f>IF(F3375&lt;&gt;"","ISSUE-"&amp;TEXT(ROW()-1,"00000"),"")</f>
        <v/>
      </c>
      <c r="B3375" s="14">
        <f>IF(F3375&lt;&gt;"","错误","")</f>
        <v/>
      </c>
      <c r="C3375" s="14">
        <f>IF('08_资产清单'!A375&lt;&gt;"","08_资产清单","")</f>
        <v/>
      </c>
      <c r="D3375" s="14">
        <f>IF('08_资产清单'!A375&lt;&gt;"",'08_资产清单'!A375,"")</f>
        <v/>
      </c>
      <c r="E3375" s="14">
        <f>IF(F3375&lt;&gt;"","综合校验","")</f>
        <v/>
      </c>
      <c r="F3375" s="14">
        <f>IF('08_资产清单'!A375&lt;&gt;"",IF('08_资产清单'!A375="","缺少资产ID；","")&amp;IF('08_资产清单'!B375="","缺少资产名称；","")&amp;IF('08_资产清单'!C375="","缺少对象ID；","")&amp;IF('08_资产清单'!D375="","缺少资产类别；","")&amp;IF('08_资产清单'!G375="","缺少文件名；","")&amp;IF(AND('08_资产清单'!C375&lt;&gt;"",COUNTIF('02_固定地理'!$A$2:$A$501,'08_资产清单'!C375)+COUNTIF('03_地点锚点'!$A$2:$A$501,'08_资产清单'!C375)+COUNTIF('04_路径网络'!$A$2:$A$501,'08_资产清单'!C375)+COUNTIF('06_建筑锚点'!$A$2:$A$501,'08_资产清单'!C375)=0),"资产引用对象不存在；","")&amp;IF(AND('08_资产清单'!E375&lt;&gt;"",COUNTIF('07_动态状态'!$A$2:$A$501,'08_资产清单'!E375)=0),"状态编码不存在；","")&amp;IF(AND('08_资产清单'!G375&lt;&gt;"",COUNTIF('08_资产清单'!$G$2:$G$501,'08_资产清单'!G375)&gt;1),"文件名重复；","")&amp;IF(AND('08_资产清单'!A375&lt;&gt;"",COUNTIF('08_资产清单'!$A$2:$A$501,'08_资产清单'!A375)&gt;1),"ID重复；",""),"")</f>
        <v/>
      </c>
      <c r="G3375" s="14">
        <f>IF(F3375&lt;&gt;"","按字段批注、数据字典和来源记录修正后复核","")</f>
        <v/>
      </c>
      <c r="H3375" s="14">
        <f>IF(F3375&lt;&gt;"","待处理","")</f>
        <v/>
      </c>
    </row>
    <row r="3376">
      <c r="A3376" s="14">
        <f>IF(F3376&lt;&gt;"","ISSUE-"&amp;TEXT(ROW()-1,"00000"),"")</f>
        <v/>
      </c>
      <c r="B3376" s="14">
        <f>IF(F3376&lt;&gt;"","错误","")</f>
        <v/>
      </c>
      <c r="C3376" s="14">
        <f>IF('08_资产清单'!A376&lt;&gt;"","08_资产清单","")</f>
        <v/>
      </c>
      <c r="D3376" s="14">
        <f>IF('08_资产清单'!A376&lt;&gt;"",'08_资产清单'!A376,"")</f>
        <v/>
      </c>
      <c r="E3376" s="14">
        <f>IF(F3376&lt;&gt;"","综合校验","")</f>
        <v/>
      </c>
      <c r="F3376" s="14">
        <f>IF('08_资产清单'!A376&lt;&gt;"",IF('08_资产清单'!A376="","缺少资产ID；","")&amp;IF('08_资产清单'!B376="","缺少资产名称；","")&amp;IF('08_资产清单'!C376="","缺少对象ID；","")&amp;IF('08_资产清单'!D376="","缺少资产类别；","")&amp;IF('08_资产清单'!G376="","缺少文件名；","")&amp;IF(AND('08_资产清单'!C376&lt;&gt;"",COUNTIF('02_固定地理'!$A$2:$A$501,'08_资产清单'!C376)+COUNTIF('03_地点锚点'!$A$2:$A$501,'08_资产清单'!C376)+COUNTIF('04_路径网络'!$A$2:$A$501,'08_资产清单'!C376)+COUNTIF('06_建筑锚点'!$A$2:$A$501,'08_资产清单'!C376)=0),"资产引用对象不存在；","")&amp;IF(AND('08_资产清单'!E376&lt;&gt;"",COUNTIF('07_动态状态'!$A$2:$A$501,'08_资产清单'!E376)=0),"状态编码不存在；","")&amp;IF(AND('08_资产清单'!G376&lt;&gt;"",COUNTIF('08_资产清单'!$G$2:$G$501,'08_资产清单'!G376)&gt;1),"文件名重复；","")&amp;IF(AND('08_资产清单'!A376&lt;&gt;"",COUNTIF('08_资产清单'!$A$2:$A$501,'08_资产清单'!A376)&gt;1),"ID重复；",""),"")</f>
        <v/>
      </c>
      <c r="G3376" s="14">
        <f>IF(F3376&lt;&gt;"","按字段批注、数据字典和来源记录修正后复核","")</f>
        <v/>
      </c>
      <c r="H3376" s="14">
        <f>IF(F3376&lt;&gt;"","待处理","")</f>
        <v/>
      </c>
    </row>
    <row r="3377">
      <c r="A3377" s="14">
        <f>IF(F3377&lt;&gt;"","ISSUE-"&amp;TEXT(ROW()-1,"00000"),"")</f>
        <v/>
      </c>
      <c r="B3377" s="14">
        <f>IF(F3377&lt;&gt;"","错误","")</f>
        <v/>
      </c>
      <c r="C3377" s="14">
        <f>IF('08_资产清单'!A377&lt;&gt;"","08_资产清单","")</f>
        <v/>
      </c>
      <c r="D3377" s="14">
        <f>IF('08_资产清单'!A377&lt;&gt;"",'08_资产清单'!A377,"")</f>
        <v/>
      </c>
      <c r="E3377" s="14">
        <f>IF(F3377&lt;&gt;"","综合校验","")</f>
        <v/>
      </c>
      <c r="F3377" s="14">
        <f>IF('08_资产清单'!A377&lt;&gt;"",IF('08_资产清单'!A377="","缺少资产ID；","")&amp;IF('08_资产清单'!B377="","缺少资产名称；","")&amp;IF('08_资产清单'!C377="","缺少对象ID；","")&amp;IF('08_资产清单'!D377="","缺少资产类别；","")&amp;IF('08_资产清单'!G377="","缺少文件名；","")&amp;IF(AND('08_资产清单'!C377&lt;&gt;"",COUNTIF('02_固定地理'!$A$2:$A$501,'08_资产清单'!C377)+COUNTIF('03_地点锚点'!$A$2:$A$501,'08_资产清单'!C377)+COUNTIF('04_路径网络'!$A$2:$A$501,'08_资产清单'!C377)+COUNTIF('06_建筑锚点'!$A$2:$A$501,'08_资产清单'!C377)=0),"资产引用对象不存在；","")&amp;IF(AND('08_资产清单'!E377&lt;&gt;"",COUNTIF('07_动态状态'!$A$2:$A$501,'08_资产清单'!E377)=0),"状态编码不存在；","")&amp;IF(AND('08_资产清单'!G377&lt;&gt;"",COUNTIF('08_资产清单'!$G$2:$G$501,'08_资产清单'!G377)&gt;1),"文件名重复；","")&amp;IF(AND('08_资产清单'!A377&lt;&gt;"",COUNTIF('08_资产清单'!$A$2:$A$501,'08_资产清单'!A377)&gt;1),"ID重复；",""),"")</f>
        <v/>
      </c>
      <c r="G3377" s="14">
        <f>IF(F3377&lt;&gt;"","按字段批注、数据字典和来源记录修正后复核","")</f>
        <v/>
      </c>
      <c r="H3377" s="14">
        <f>IF(F3377&lt;&gt;"","待处理","")</f>
        <v/>
      </c>
    </row>
    <row r="3378">
      <c r="A3378" s="14">
        <f>IF(F3378&lt;&gt;"","ISSUE-"&amp;TEXT(ROW()-1,"00000"),"")</f>
        <v/>
      </c>
      <c r="B3378" s="14">
        <f>IF(F3378&lt;&gt;"","错误","")</f>
        <v/>
      </c>
      <c r="C3378" s="14">
        <f>IF('08_资产清单'!A378&lt;&gt;"","08_资产清单","")</f>
        <v/>
      </c>
      <c r="D3378" s="14">
        <f>IF('08_资产清单'!A378&lt;&gt;"",'08_资产清单'!A378,"")</f>
        <v/>
      </c>
      <c r="E3378" s="14">
        <f>IF(F3378&lt;&gt;"","综合校验","")</f>
        <v/>
      </c>
      <c r="F3378" s="14">
        <f>IF('08_资产清单'!A378&lt;&gt;"",IF('08_资产清单'!A378="","缺少资产ID；","")&amp;IF('08_资产清单'!B378="","缺少资产名称；","")&amp;IF('08_资产清单'!C378="","缺少对象ID；","")&amp;IF('08_资产清单'!D378="","缺少资产类别；","")&amp;IF('08_资产清单'!G378="","缺少文件名；","")&amp;IF(AND('08_资产清单'!C378&lt;&gt;"",COUNTIF('02_固定地理'!$A$2:$A$501,'08_资产清单'!C378)+COUNTIF('03_地点锚点'!$A$2:$A$501,'08_资产清单'!C378)+COUNTIF('04_路径网络'!$A$2:$A$501,'08_资产清单'!C378)+COUNTIF('06_建筑锚点'!$A$2:$A$501,'08_资产清单'!C378)=0),"资产引用对象不存在；","")&amp;IF(AND('08_资产清单'!E378&lt;&gt;"",COUNTIF('07_动态状态'!$A$2:$A$501,'08_资产清单'!E378)=0),"状态编码不存在；","")&amp;IF(AND('08_资产清单'!G378&lt;&gt;"",COUNTIF('08_资产清单'!$G$2:$G$501,'08_资产清单'!G378)&gt;1),"文件名重复；","")&amp;IF(AND('08_资产清单'!A378&lt;&gt;"",COUNTIF('08_资产清单'!$A$2:$A$501,'08_资产清单'!A378)&gt;1),"ID重复；",""),"")</f>
        <v/>
      </c>
      <c r="G3378" s="14">
        <f>IF(F3378&lt;&gt;"","按字段批注、数据字典和来源记录修正后复核","")</f>
        <v/>
      </c>
      <c r="H3378" s="14">
        <f>IF(F3378&lt;&gt;"","待处理","")</f>
        <v/>
      </c>
    </row>
    <row r="3379">
      <c r="A3379" s="14">
        <f>IF(F3379&lt;&gt;"","ISSUE-"&amp;TEXT(ROW()-1,"00000"),"")</f>
        <v/>
      </c>
      <c r="B3379" s="14">
        <f>IF(F3379&lt;&gt;"","错误","")</f>
        <v/>
      </c>
      <c r="C3379" s="14">
        <f>IF('08_资产清单'!A379&lt;&gt;"","08_资产清单","")</f>
        <v/>
      </c>
      <c r="D3379" s="14">
        <f>IF('08_资产清单'!A379&lt;&gt;"",'08_资产清单'!A379,"")</f>
        <v/>
      </c>
      <c r="E3379" s="14">
        <f>IF(F3379&lt;&gt;"","综合校验","")</f>
        <v/>
      </c>
      <c r="F3379" s="14">
        <f>IF('08_资产清单'!A379&lt;&gt;"",IF('08_资产清单'!A379="","缺少资产ID；","")&amp;IF('08_资产清单'!B379="","缺少资产名称；","")&amp;IF('08_资产清单'!C379="","缺少对象ID；","")&amp;IF('08_资产清单'!D379="","缺少资产类别；","")&amp;IF('08_资产清单'!G379="","缺少文件名；","")&amp;IF(AND('08_资产清单'!C379&lt;&gt;"",COUNTIF('02_固定地理'!$A$2:$A$501,'08_资产清单'!C379)+COUNTIF('03_地点锚点'!$A$2:$A$501,'08_资产清单'!C379)+COUNTIF('04_路径网络'!$A$2:$A$501,'08_资产清单'!C379)+COUNTIF('06_建筑锚点'!$A$2:$A$501,'08_资产清单'!C379)=0),"资产引用对象不存在；","")&amp;IF(AND('08_资产清单'!E379&lt;&gt;"",COUNTIF('07_动态状态'!$A$2:$A$501,'08_资产清单'!E379)=0),"状态编码不存在；","")&amp;IF(AND('08_资产清单'!G379&lt;&gt;"",COUNTIF('08_资产清单'!$G$2:$G$501,'08_资产清单'!G379)&gt;1),"文件名重复；","")&amp;IF(AND('08_资产清单'!A379&lt;&gt;"",COUNTIF('08_资产清单'!$A$2:$A$501,'08_资产清单'!A379)&gt;1),"ID重复；",""),"")</f>
        <v/>
      </c>
      <c r="G3379" s="14">
        <f>IF(F3379&lt;&gt;"","按字段批注、数据字典和来源记录修正后复核","")</f>
        <v/>
      </c>
      <c r="H3379" s="14">
        <f>IF(F3379&lt;&gt;"","待处理","")</f>
        <v/>
      </c>
    </row>
    <row r="3380">
      <c r="A3380" s="14">
        <f>IF(F3380&lt;&gt;"","ISSUE-"&amp;TEXT(ROW()-1,"00000"),"")</f>
        <v/>
      </c>
      <c r="B3380" s="14">
        <f>IF(F3380&lt;&gt;"","错误","")</f>
        <v/>
      </c>
      <c r="C3380" s="14">
        <f>IF('08_资产清单'!A380&lt;&gt;"","08_资产清单","")</f>
        <v/>
      </c>
      <c r="D3380" s="14">
        <f>IF('08_资产清单'!A380&lt;&gt;"",'08_资产清单'!A380,"")</f>
        <v/>
      </c>
      <c r="E3380" s="14">
        <f>IF(F3380&lt;&gt;"","综合校验","")</f>
        <v/>
      </c>
      <c r="F3380" s="14">
        <f>IF('08_资产清单'!A380&lt;&gt;"",IF('08_资产清单'!A380="","缺少资产ID；","")&amp;IF('08_资产清单'!B380="","缺少资产名称；","")&amp;IF('08_资产清单'!C380="","缺少对象ID；","")&amp;IF('08_资产清单'!D380="","缺少资产类别；","")&amp;IF('08_资产清单'!G380="","缺少文件名；","")&amp;IF(AND('08_资产清单'!C380&lt;&gt;"",COUNTIF('02_固定地理'!$A$2:$A$501,'08_资产清单'!C380)+COUNTIF('03_地点锚点'!$A$2:$A$501,'08_资产清单'!C380)+COUNTIF('04_路径网络'!$A$2:$A$501,'08_资产清单'!C380)+COUNTIF('06_建筑锚点'!$A$2:$A$501,'08_资产清单'!C380)=0),"资产引用对象不存在；","")&amp;IF(AND('08_资产清单'!E380&lt;&gt;"",COUNTIF('07_动态状态'!$A$2:$A$501,'08_资产清单'!E380)=0),"状态编码不存在；","")&amp;IF(AND('08_资产清单'!G380&lt;&gt;"",COUNTIF('08_资产清单'!$G$2:$G$501,'08_资产清单'!G380)&gt;1),"文件名重复；","")&amp;IF(AND('08_资产清单'!A380&lt;&gt;"",COUNTIF('08_资产清单'!$A$2:$A$501,'08_资产清单'!A380)&gt;1),"ID重复；",""),"")</f>
        <v/>
      </c>
      <c r="G3380" s="14">
        <f>IF(F3380&lt;&gt;"","按字段批注、数据字典和来源记录修正后复核","")</f>
        <v/>
      </c>
      <c r="H3380" s="14">
        <f>IF(F3380&lt;&gt;"","待处理","")</f>
        <v/>
      </c>
    </row>
    <row r="3381">
      <c r="A3381" s="14">
        <f>IF(F3381&lt;&gt;"","ISSUE-"&amp;TEXT(ROW()-1,"00000"),"")</f>
        <v/>
      </c>
      <c r="B3381" s="14">
        <f>IF(F3381&lt;&gt;"","错误","")</f>
        <v/>
      </c>
      <c r="C3381" s="14">
        <f>IF('08_资产清单'!A381&lt;&gt;"","08_资产清单","")</f>
        <v/>
      </c>
      <c r="D3381" s="14">
        <f>IF('08_资产清单'!A381&lt;&gt;"",'08_资产清单'!A381,"")</f>
        <v/>
      </c>
      <c r="E3381" s="14">
        <f>IF(F3381&lt;&gt;"","综合校验","")</f>
        <v/>
      </c>
      <c r="F3381" s="14">
        <f>IF('08_资产清单'!A381&lt;&gt;"",IF('08_资产清单'!A381="","缺少资产ID；","")&amp;IF('08_资产清单'!B381="","缺少资产名称；","")&amp;IF('08_资产清单'!C381="","缺少对象ID；","")&amp;IF('08_资产清单'!D381="","缺少资产类别；","")&amp;IF('08_资产清单'!G381="","缺少文件名；","")&amp;IF(AND('08_资产清单'!C381&lt;&gt;"",COUNTIF('02_固定地理'!$A$2:$A$501,'08_资产清单'!C381)+COUNTIF('03_地点锚点'!$A$2:$A$501,'08_资产清单'!C381)+COUNTIF('04_路径网络'!$A$2:$A$501,'08_资产清单'!C381)+COUNTIF('06_建筑锚点'!$A$2:$A$501,'08_资产清单'!C381)=0),"资产引用对象不存在；","")&amp;IF(AND('08_资产清单'!E381&lt;&gt;"",COUNTIF('07_动态状态'!$A$2:$A$501,'08_资产清单'!E381)=0),"状态编码不存在；","")&amp;IF(AND('08_资产清单'!G381&lt;&gt;"",COUNTIF('08_资产清单'!$G$2:$G$501,'08_资产清单'!G381)&gt;1),"文件名重复；","")&amp;IF(AND('08_资产清单'!A381&lt;&gt;"",COUNTIF('08_资产清单'!$A$2:$A$501,'08_资产清单'!A381)&gt;1),"ID重复；",""),"")</f>
        <v/>
      </c>
      <c r="G3381" s="14">
        <f>IF(F3381&lt;&gt;"","按字段批注、数据字典和来源记录修正后复核","")</f>
        <v/>
      </c>
      <c r="H3381" s="14">
        <f>IF(F3381&lt;&gt;"","待处理","")</f>
        <v/>
      </c>
    </row>
    <row r="3382">
      <c r="A3382" s="14">
        <f>IF(F3382&lt;&gt;"","ISSUE-"&amp;TEXT(ROW()-1,"00000"),"")</f>
        <v/>
      </c>
      <c r="B3382" s="14">
        <f>IF(F3382&lt;&gt;"","错误","")</f>
        <v/>
      </c>
      <c r="C3382" s="14">
        <f>IF('08_资产清单'!A382&lt;&gt;"","08_资产清单","")</f>
        <v/>
      </c>
      <c r="D3382" s="14">
        <f>IF('08_资产清单'!A382&lt;&gt;"",'08_资产清单'!A382,"")</f>
        <v/>
      </c>
      <c r="E3382" s="14">
        <f>IF(F3382&lt;&gt;"","综合校验","")</f>
        <v/>
      </c>
      <c r="F3382" s="14">
        <f>IF('08_资产清单'!A382&lt;&gt;"",IF('08_资产清单'!A382="","缺少资产ID；","")&amp;IF('08_资产清单'!B382="","缺少资产名称；","")&amp;IF('08_资产清单'!C382="","缺少对象ID；","")&amp;IF('08_资产清单'!D382="","缺少资产类别；","")&amp;IF('08_资产清单'!G382="","缺少文件名；","")&amp;IF(AND('08_资产清单'!C382&lt;&gt;"",COUNTIF('02_固定地理'!$A$2:$A$501,'08_资产清单'!C382)+COUNTIF('03_地点锚点'!$A$2:$A$501,'08_资产清单'!C382)+COUNTIF('04_路径网络'!$A$2:$A$501,'08_资产清单'!C382)+COUNTIF('06_建筑锚点'!$A$2:$A$501,'08_资产清单'!C382)=0),"资产引用对象不存在；","")&amp;IF(AND('08_资产清单'!E382&lt;&gt;"",COUNTIF('07_动态状态'!$A$2:$A$501,'08_资产清单'!E382)=0),"状态编码不存在；","")&amp;IF(AND('08_资产清单'!G382&lt;&gt;"",COUNTIF('08_资产清单'!$G$2:$G$501,'08_资产清单'!G382)&gt;1),"文件名重复；","")&amp;IF(AND('08_资产清单'!A382&lt;&gt;"",COUNTIF('08_资产清单'!$A$2:$A$501,'08_资产清单'!A382)&gt;1),"ID重复；",""),"")</f>
        <v/>
      </c>
      <c r="G3382" s="14">
        <f>IF(F3382&lt;&gt;"","按字段批注、数据字典和来源记录修正后复核","")</f>
        <v/>
      </c>
      <c r="H3382" s="14">
        <f>IF(F3382&lt;&gt;"","待处理","")</f>
        <v/>
      </c>
    </row>
    <row r="3383">
      <c r="A3383" s="14">
        <f>IF(F3383&lt;&gt;"","ISSUE-"&amp;TEXT(ROW()-1,"00000"),"")</f>
        <v/>
      </c>
      <c r="B3383" s="14">
        <f>IF(F3383&lt;&gt;"","错误","")</f>
        <v/>
      </c>
      <c r="C3383" s="14">
        <f>IF('08_资产清单'!A383&lt;&gt;"","08_资产清单","")</f>
        <v/>
      </c>
      <c r="D3383" s="14">
        <f>IF('08_资产清单'!A383&lt;&gt;"",'08_资产清单'!A383,"")</f>
        <v/>
      </c>
      <c r="E3383" s="14">
        <f>IF(F3383&lt;&gt;"","综合校验","")</f>
        <v/>
      </c>
      <c r="F3383" s="14">
        <f>IF('08_资产清单'!A383&lt;&gt;"",IF('08_资产清单'!A383="","缺少资产ID；","")&amp;IF('08_资产清单'!B383="","缺少资产名称；","")&amp;IF('08_资产清单'!C383="","缺少对象ID；","")&amp;IF('08_资产清单'!D383="","缺少资产类别；","")&amp;IF('08_资产清单'!G383="","缺少文件名；","")&amp;IF(AND('08_资产清单'!C383&lt;&gt;"",COUNTIF('02_固定地理'!$A$2:$A$501,'08_资产清单'!C383)+COUNTIF('03_地点锚点'!$A$2:$A$501,'08_资产清单'!C383)+COUNTIF('04_路径网络'!$A$2:$A$501,'08_资产清单'!C383)+COUNTIF('06_建筑锚点'!$A$2:$A$501,'08_资产清单'!C383)=0),"资产引用对象不存在；","")&amp;IF(AND('08_资产清单'!E383&lt;&gt;"",COUNTIF('07_动态状态'!$A$2:$A$501,'08_资产清单'!E383)=0),"状态编码不存在；","")&amp;IF(AND('08_资产清单'!G383&lt;&gt;"",COUNTIF('08_资产清单'!$G$2:$G$501,'08_资产清单'!G383)&gt;1),"文件名重复；","")&amp;IF(AND('08_资产清单'!A383&lt;&gt;"",COUNTIF('08_资产清单'!$A$2:$A$501,'08_资产清单'!A383)&gt;1),"ID重复；",""),"")</f>
        <v/>
      </c>
      <c r="G3383" s="14">
        <f>IF(F3383&lt;&gt;"","按字段批注、数据字典和来源记录修正后复核","")</f>
        <v/>
      </c>
      <c r="H3383" s="14">
        <f>IF(F3383&lt;&gt;"","待处理","")</f>
        <v/>
      </c>
    </row>
    <row r="3384">
      <c r="A3384" s="14">
        <f>IF(F3384&lt;&gt;"","ISSUE-"&amp;TEXT(ROW()-1,"00000"),"")</f>
        <v/>
      </c>
      <c r="B3384" s="14">
        <f>IF(F3384&lt;&gt;"","错误","")</f>
        <v/>
      </c>
      <c r="C3384" s="14">
        <f>IF('08_资产清单'!A384&lt;&gt;"","08_资产清单","")</f>
        <v/>
      </c>
      <c r="D3384" s="14">
        <f>IF('08_资产清单'!A384&lt;&gt;"",'08_资产清单'!A384,"")</f>
        <v/>
      </c>
      <c r="E3384" s="14">
        <f>IF(F3384&lt;&gt;"","综合校验","")</f>
        <v/>
      </c>
      <c r="F3384" s="14">
        <f>IF('08_资产清单'!A384&lt;&gt;"",IF('08_资产清单'!A384="","缺少资产ID；","")&amp;IF('08_资产清单'!B384="","缺少资产名称；","")&amp;IF('08_资产清单'!C384="","缺少对象ID；","")&amp;IF('08_资产清单'!D384="","缺少资产类别；","")&amp;IF('08_资产清单'!G384="","缺少文件名；","")&amp;IF(AND('08_资产清单'!C384&lt;&gt;"",COUNTIF('02_固定地理'!$A$2:$A$501,'08_资产清单'!C384)+COUNTIF('03_地点锚点'!$A$2:$A$501,'08_资产清单'!C384)+COUNTIF('04_路径网络'!$A$2:$A$501,'08_资产清单'!C384)+COUNTIF('06_建筑锚点'!$A$2:$A$501,'08_资产清单'!C384)=0),"资产引用对象不存在；","")&amp;IF(AND('08_资产清单'!E384&lt;&gt;"",COUNTIF('07_动态状态'!$A$2:$A$501,'08_资产清单'!E384)=0),"状态编码不存在；","")&amp;IF(AND('08_资产清单'!G384&lt;&gt;"",COUNTIF('08_资产清单'!$G$2:$G$501,'08_资产清单'!G384)&gt;1),"文件名重复；","")&amp;IF(AND('08_资产清单'!A384&lt;&gt;"",COUNTIF('08_资产清单'!$A$2:$A$501,'08_资产清单'!A384)&gt;1),"ID重复；",""),"")</f>
        <v/>
      </c>
      <c r="G3384" s="14">
        <f>IF(F3384&lt;&gt;"","按字段批注、数据字典和来源记录修正后复核","")</f>
        <v/>
      </c>
      <c r="H3384" s="14">
        <f>IF(F3384&lt;&gt;"","待处理","")</f>
        <v/>
      </c>
    </row>
    <row r="3385">
      <c r="A3385" s="14">
        <f>IF(F3385&lt;&gt;"","ISSUE-"&amp;TEXT(ROW()-1,"00000"),"")</f>
        <v/>
      </c>
      <c r="B3385" s="14">
        <f>IF(F3385&lt;&gt;"","错误","")</f>
        <v/>
      </c>
      <c r="C3385" s="14">
        <f>IF('08_资产清单'!A385&lt;&gt;"","08_资产清单","")</f>
        <v/>
      </c>
      <c r="D3385" s="14">
        <f>IF('08_资产清单'!A385&lt;&gt;"",'08_资产清单'!A385,"")</f>
        <v/>
      </c>
      <c r="E3385" s="14">
        <f>IF(F3385&lt;&gt;"","综合校验","")</f>
        <v/>
      </c>
      <c r="F3385" s="14">
        <f>IF('08_资产清单'!A385&lt;&gt;"",IF('08_资产清单'!A385="","缺少资产ID；","")&amp;IF('08_资产清单'!B385="","缺少资产名称；","")&amp;IF('08_资产清单'!C385="","缺少对象ID；","")&amp;IF('08_资产清单'!D385="","缺少资产类别；","")&amp;IF('08_资产清单'!G385="","缺少文件名；","")&amp;IF(AND('08_资产清单'!C385&lt;&gt;"",COUNTIF('02_固定地理'!$A$2:$A$501,'08_资产清单'!C385)+COUNTIF('03_地点锚点'!$A$2:$A$501,'08_资产清单'!C385)+COUNTIF('04_路径网络'!$A$2:$A$501,'08_资产清单'!C385)+COUNTIF('06_建筑锚点'!$A$2:$A$501,'08_资产清单'!C385)=0),"资产引用对象不存在；","")&amp;IF(AND('08_资产清单'!E385&lt;&gt;"",COUNTIF('07_动态状态'!$A$2:$A$501,'08_资产清单'!E385)=0),"状态编码不存在；","")&amp;IF(AND('08_资产清单'!G385&lt;&gt;"",COUNTIF('08_资产清单'!$G$2:$G$501,'08_资产清单'!G385)&gt;1),"文件名重复；","")&amp;IF(AND('08_资产清单'!A385&lt;&gt;"",COUNTIF('08_资产清单'!$A$2:$A$501,'08_资产清单'!A385)&gt;1),"ID重复；",""),"")</f>
        <v/>
      </c>
      <c r="G3385" s="14">
        <f>IF(F3385&lt;&gt;"","按字段批注、数据字典和来源记录修正后复核","")</f>
        <v/>
      </c>
      <c r="H3385" s="14">
        <f>IF(F3385&lt;&gt;"","待处理","")</f>
        <v/>
      </c>
    </row>
    <row r="3386">
      <c r="A3386" s="14">
        <f>IF(F3386&lt;&gt;"","ISSUE-"&amp;TEXT(ROW()-1,"00000"),"")</f>
        <v/>
      </c>
      <c r="B3386" s="14">
        <f>IF(F3386&lt;&gt;"","错误","")</f>
        <v/>
      </c>
      <c r="C3386" s="14">
        <f>IF('08_资产清单'!A386&lt;&gt;"","08_资产清单","")</f>
        <v/>
      </c>
      <c r="D3386" s="14">
        <f>IF('08_资产清单'!A386&lt;&gt;"",'08_资产清单'!A386,"")</f>
        <v/>
      </c>
      <c r="E3386" s="14">
        <f>IF(F3386&lt;&gt;"","综合校验","")</f>
        <v/>
      </c>
      <c r="F3386" s="14">
        <f>IF('08_资产清单'!A386&lt;&gt;"",IF('08_资产清单'!A386="","缺少资产ID；","")&amp;IF('08_资产清单'!B386="","缺少资产名称；","")&amp;IF('08_资产清单'!C386="","缺少对象ID；","")&amp;IF('08_资产清单'!D386="","缺少资产类别；","")&amp;IF('08_资产清单'!G386="","缺少文件名；","")&amp;IF(AND('08_资产清单'!C386&lt;&gt;"",COUNTIF('02_固定地理'!$A$2:$A$501,'08_资产清单'!C386)+COUNTIF('03_地点锚点'!$A$2:$A$501,'08_资产清单'!C386)+COUNTIF('04_路径网络'!$A$2:$A$501,'08_资产清单'!C386)+COUNTIF('06_建筑锚点'!$A$2:$A$501,'08_资产清单'!C386)=0),"资产引用对象不存在；","")&amp;IF(AND('08_资产清单'!E386&lt;&gt;"",COUNTIF('07_动态状态'!$A$2:$A$501,'08_资产清单'!E386)=0),"状态编码不存在；","")&amp;IF(AND('08_资产清单'!G386&lt;&gt;"",COUNTIF('08_资产清单'!$G$2:$G$501,'08_资产清单'!G386)&gt;1),"文件名重复；","")&amp;IF(AND('08_资产清单'!A386&lt;&gt;"",COUNTIF('08_资产清单'!$A$2:$A$501,'08_资产清单'!A386)&gt;1),"ID重复；",""),"")</f>
        <v/>
      </c>
      <c r="G3386" s="14">
        <f>IF(F3386&lt;&gt;"","按字段批注、数据字典和来源记录修正后复核","")</f>
        <v/>
      </c>
      <c r="H3386" s="14">
        <f>IF(F3386&lt;&gt;"","待处理","")</f>
        <v/>
      </c>
    </row>
    <row r="3387">
      <c r="A3387" s="14">
        <f>IF(F3387&lt;&gt;"","ISSUE-"&amp;TEXT(ROW()-1,"00000"),"")</f>
        <v/>
      </c>
      <c r="B3387" s="14">
        <f>IF(F3387&lt;&gt;"","错误","")</f>
        <v/>
      </c>
      <c r="C3387" s="14">
        <f>IF('08_资产清单'!A387&lt;&gt;"","08_资产清单","")</f>
        <v/>
      </c>
      <c r="D3387" s="14">
        <f>IF('08_资产清单'!A387&lt;&gt;"",'08_资产清单'!A387,"")</f>
        <v/>
      </c>
      <c r="E3387" s="14">
        <f>IF(F3387&lt;&gt;"","综合校验","")</f>
        <v/>
      </c>
      <c r="F3387" s="14">
        <f>IF('08_资产清单'!A387&lt;&gt;"",IF('08_资产清单'!A387="","缺少资产ID；","")&amp;IF('08_资产清单'!B387="","缺少资产名称；","")&amp;IF('08_资产清单'!C387="","缺少对象ID；","")&amp;IF('08_资产清单'!D387="","缺少资产类别；","")&amp;IF('08_资产清单'!G387="","缺少文件名；","")&amp;IF(AND('08_资产清单'!C387&lt;&gt;"",COUNTIF('02_固定地理'!$A$2:$A$501,'08_资产清单'!C387)+COUNTIF('03_地点锚点'!$A$2:$A$501,'08_资产清单'!C387)+COUNTIF('04_路径网络'!$A$2:$A$501,'08_资产清单'!C387)+COUNTIF('06_建筑锚点'!$A$2:$A$501,'08_资产清单'!C387)=0),"资产引用对象不存在；","")&amp;IF(AND('08_资产清单'!E387&lt;&gt;"",COUNTIF('07_动态状态'!$A$2:$A$501,'08_资产清单'!E387)=0),"状态编码不存在；","")&amp;IF(AND('08_资产清单'!G387&lt;&gt;"",COUNTIF('08_资产清单'!$G$2:$G$501,'08_资产清单'!G387)&gt;1),"文件名重复；","")&amp;IF(AND('08_资产清单'!A387&lt;&gt;"",COUNTIF('08_资产清单'!$A$2:$A$501,'08_资产清单'!A387)&gt;1),"ID重复；",""),"")</f>
        <v/>
      </c>
      <c r="G3387" s="14">
        <f>IF(F3387&lt;&gt;"","按字段批注、数据字典和来源记录修正后复核","")</f>
        <v/>
      </c>
      <c r="H3387" s="14">
        <f>IF(F3387&lt;&gt;"","待处理","")</f>
        <v/>
      </c>
    </row>
    <row r="3388">
      <c r="A3388" s="14">
        <f>IF(F3388&lt;&gt;"","ISSUE-"&amp;TEXT(ROW()-1,"00000"),"")</f>
        <v/>
      </c>
      <c r="B3388" s="14">
        <f>IF(F3388&lt;&gt;"","错误","")</f>
        <v/>
      </c>
      <c r="C3388" s="14">
        <f>IF('08_资产清单'!A388&lt;&gt;"","08_资产清单","")</f>
        <v/>
      </c>
      <c r="D3388" s="14">
        <f>IF('08_资产清单'!A388&lt;&gt;"",'08_资产清单'!A388,"")</f>
        <v/>
      </c>
      <c r="E3388" s="14">
        <f>IF(F3388&lt;&gt;"","综合校验","")</f>
        <v/>
      </c>
      <c r="F3388" s="14">
        <f>IF('08_资产清单'!A388&lt;&gt;"",IF('08_资产清单'!A388="","缺少资产ID；","")&amp;IF('08_资产清单'!B388="","缺少资产名称；","")&amp;IF('08_资产清单'!C388="","缺少对象ID；","")&amp;IF('08_资产清单'!D388="","缺少资产类别；","")&amp;IF('08_资产清单'!G388="","缺少文件名；","")&amp;IF(AND('08_资产清单'!C388&lt;&gt;"",COUNTIF('02_固定地理'!$A$2:$A$501,'08_资产清单'!C388)+COUNTIF('03_地点锚点'!$A$2:$A$501,'08_资产清单'!C388)+COUNTIF('04_路径网络'!$A$2:$A$501,'08_资产清单'!C388)+COUNTIF('06_建筑锚点'!$A$2:$A$501,'08_资产清单'!C388)=0),"资产引用对象不存在；","")&amp;IF(AND('08_资产清单'!E388&lt;&gt;"",COUNTIF('07_动态状态'!$A$2:$A$501,'08_资产清单'!E388)=0),"状态编码不存在；","")&amp;IF(AND('08_资产清单'!G388&lt;&gt;"",COUNTIF('08_资产清单'!$G$2:$G$501,'08_资产清单'!G388)&gt;1),"文件名重复；","")&amp;IF(AND('08_资产清单'!A388&lt;&gt;"",COUNTIF('08_资产清单'!$A$2:$A$501,'08_资产清单'!A388)&gt;1),"ID重复；",""),"")</f>
        <v/>
      </c>
      <c r="G3388" s="14">
        <f>IF(F3388&lt;&gt;"","按字段批注、数据字典和来源记录修正后复核","")</f>
        <v/>
      </c>
      <c r="H3388" s="14">
        <f>IF(F3388&lt;&gt;"","待处理","")</f>
        <v/>
      </c>
    </row>
    <row r="3389">
      <c r="A3389" s="14">
        <f>IF(F3389&lt;&gt;"","ISSUE-"&amp;TEXT(ROW()-1,"00000"),"")</f>
        <v/>
      </c>
      <c r="B3389" s="14">
        <f>IF(F3389&lt;&gt;"","错误","")</f>
        <v/>
      </c>
      <c r="C3389" s="14">
        <f>IF('08_资产清单'!A389&lt;&gt;"","08_资产清单","")</f>
        <v/>
      </c>
      <c r="D3389" s="14">
        <f>IF('08_资产清单'!A389&lt;&gt;"",'08_资产清单'!A389,"")</f>
        <v/>
      </c>
      <c r="E3389" s="14">
        <f>IF(F3389&lt;&gt;"","综合校验","")</f>
        <v/>
      </c>
      <c r="F3389" s="14">
        <f>IF('08_资产清单'!A389&lt;&gt;"",IF('08_资产清单'!A389="","缺少资产ID；","")&amp;IF('08_资产清单'!B389="","缺少资产名称；","")&amp;IF('08_资产清单'!C389="","缺少对象ID；","")&amp;IF('08_资产清单'!D389="","缺少资产类别；","")&amp;IF('08_资产清单'!G389="","缺少文件名；","")&amp;IF(AND('08_资产清单'!C389&lt;&gt;"",COUNTIF('02_固定地理'!$A$2:$A$501,'08_资产清单'!C389)+COUNTIF('03_地点锚点'!$A$2:$A$501,'08_资产清单'!C389)+COUNTIF('04_路径网络'!$A$2:$A$501,'08_资产清单'!C389)+COUNTIF('06_建筑锚点'!$A$2:$A$501,'08_资产清单'!C389)=0),"资产引用对象不存在；","")&amp;IF(AND('08_资产清单'!E389&lt;&gt;"",COUNTIF('07_动态状态'!$A$2:$A$501,'08_资产清单'!E389)=0),"状态编码不存在；","")&amp;IF(AND('08_资产清单'!G389&lt;&gt;"",COUNTIF('08_资产清单'!$G$2:$G$501,'08_资产清单'!G389)&gt;1),"文件名重复；","")&amp;IF(AND('08_资产清单'!A389&lt;&gt;"",COUNTIF('08_资产清单'!$A$2:$A$501,'08_资产清单'!A389)&gt;1),"ID重复；",""),"")</f>
        <v/>
      </c>
      <c r="G3389" s="14">
        <f>IF(F3389&lt;&gt;"","按字段批注、数据字典和来源记录修正后复核","")</f>
        <v/>
      </c>
      <c r="H3389" s="14">
        <f>IF(F3389&lt;&gt;"","待处理","")</f>
        <v/>
      </c>
    </row>
    <row r="3390">
      <c r="A3390" s="14">
        <f>IF(F3390&lt;&gt;"","ISSUE-"&amp;TEXT(ROW()-1,"00000"),"")</f>
        <v/>
      </c>
      <c r="B3390" s="14">
        <f>IF(F3390&lt;&gt;"","错误","")</f>
        <v/>
      </c>
      <c r="C3390" s="14">
        <f>IF('08_资产清单'!A390&lt;&gt;"","08_资产清单","")</f>
        <v/>
      </c>
      <c r="D3390" s="14">
        <f>IF('08_资产清单'!A390&lt;&gt;"",'08_资产清单'!A390,"")</f>
        <v/>
      </c>
      <c r="E3390" s="14">
        <f>IF(F3390&lt;&gt;"","综合校验","")</f>
        <v/>
      </c>
      <c r="F3390" s="14">
        <f>IF('08_资产清单'!A390&lt;&gt;"",IF('08_资产清单'!A390="","缺少资产ID；","")&amp;IF('08_资产清单'!B390="","缺少资产名称；","")&amp;IF('08_资产清单'!C390="","缺少对象ID；","")&amp;IF('08_资产清单'!D390="","缺少资产类别；","")&amp;IF('08_资产清单'!G390="","缺少文件名；","")&amp;IF(AND('08_资产清单'!C390&lt;&gt;"",COUNTIF('02_固定地理'!$A$2:$A$501,'08_资产清单'!C390)+COUNTIF('03_地点锚点'!$A$2:$A$501,'08_资产清单'!C390)+COUNTIF('04_路径网络'!$A$2:$A$501,'08_资产清单'!C390)+COUNTIF('06_建筑锚点'!$A$2:$A$501,'08_资产清单'!C390)=0),"资产引用对象不存在；","")&amp;IF(AND('08_资产清单'!E390&lt;&gt;"",COUNTIF('07_动态状态'!$A$2:$A$501,'08_资产清单'!E390)=0),"状态编码不存在；","")&amp;IF(AND('08_资产清单'!G390&lt;&gt;"",COUNTIF('08_资产清单'!$G$2:$G$501,'08_资产清单'!G390)&gt;1),"文件名重复；","")&amp;IF(AND('08_资产清单'!A390&lt;&gt;"",COUNTIF('08_资产清单'!$A$2:$A$501,'08_资产清单'!A390)&gt;1),"ID重复；",""),"")</f>
        <v/>
      </c>
      <c r="G3390" s="14">
        <f>IF(F3390&lt;&gt;"","按字段批注、数据字典和来源记录修正后复核","")</f>
        <v/>
      </c>
      <c r="H3390" s="14">
        <f>IF(F3390&lt;&gt;"","待处理","")</f>
        <v/>
      </c>
    </row>
    <row r="3391">
      <c r="A3391" s="14">
        <f>IF(F3391&lt;&gt;"","ISSUE-"&amp;TEXT(ROW()-1,"00000"),"")</f>
        <v/>
      </c>
      <c r="B3391" s="14">
        <f>IF(F3391&lt;&gt;"","错误","")</f>
        <v/>
      </c>
      <c r="C3391" s="14">
        <f>IF('08_资产清单'!A391&lt;&gt;"","08_资产清单","")</f>
        <v/>
      </c>
      <c r="D3391" s="14">
        <f>IF('08_资产清单'!A391&lt;&gt;"",'08_资产清单'!A391,"")</f>
        <v/>
      </c>
      <c r="E3391" s="14">
        <f>IF(F3391&lt;&gt;"","综合校验","")</f>
        <v/>
      </c>
      <c r="F3391" s="14">
        <f>IF('08_资产清单'!A391&lt;&gt;"",IF('08_资产清单'!A391="","缺少资产ID；","")&amp;IF('08_资产清单'!B391="","缺少资产名称；","")&amp;IF('08_资产清单'!C391="","缺少对象ID；","")&amp;IF('08_资产清单'!D391="","缺少资产类别；","")&amp;IF('08_资产清单'!G391="","缺少文件名；","")&amp;IF(AND('08_资产清单'!C391&lt;&gt;"",COUNTIF('02_固定地理'!$A$2:$A$501,'08_资产清单'!C391)+COUNTIF('03_地点锚点'!$A$2:$A$501,'08_资产清单'!C391)+COUNTIF('04_路径网络'!$A$2:$A$501,'08_资产清单'!C391)+COUNTIF('06_建筑锚点'!$A$2:$A$501,'08_资产清单'!C391)=0),"资产引用对象不存在；","")&amp;IF(AND('08_资产清单'!E391&lt;&gt;"",COUNTIF('07_动态状态'!$A$2:$A$501,'08_资产清单'!E391)=0),"状态编码不存在；","")&amp;IF(AND('08_资产清单'!G391&lt;&gt;"",COUNTIF('08_资产清单'!$G$2:$G$501,'08_资产清单'!G391)&gt;1),"文件名重复；","")&amp;IF(AND('08_资产清单'!A391&lt;&gt;"",COUNTIF('08_资产清单'!$A$2:$A$501,'08_资产清单'!A391)&gt;1),"ID重复；",""),"")</f>
        <v/>
      </c>
      <c r="G3391" s="14">
        <f>IF(F3391&lt;&gt;"","按字段批注、数据字典和来源记录修正后复核","")</f>
        <v/>
      </c>
      <c r="H3391" s="14">
        <f>IF(F3391&lt;&gt;"","待处理","")</f>
        <v/>
      </c>
    </row>
    <row r="3392">
      <c r="A3392" s="14">
        <f>IF(F3392&lt;&gt;"","ISSUE-"&amp;TEXT(ROW()-1,"00000"),"")</f>
        <v/>
      </c>
      <c r="B3392" s="14">
        <f>IF(F3392&lt;&gt;"","错误","")</f>
        <v/>
      </c>
      <c r="C3392" s="14">
        <f>IF('08_资产清单'!A392&lt;&gt;"","08_资产清单","")</f>
        <v/>
      </c>
      <c r="D3392" s="14">
        <f>IF('08_资产清单'!A392&lt;&gt;"",'08_资产清单'!A392,"")</f>
        <v/>
      </c>
      <c r="E3392" s="14">
        <f>IF(F3392&lt;&gt;"","综合校验","")</f>
        <v/>
      </c>
      <c r="F3392" s="14">
        <f>IF('08_资产清单'!A392&lt;&gt;"",IF('08_资产清单'!A392="","缺少资产ID；","")&amp;IF('08_资产清单'!B392="","缺少资产名称；","")&amp;IF('08_资产清单'!C392="","缺少对象ID；","")&amp;IF('08_资产清单'!D392="","缺少资产类别；","")&amp;IF('08_资产清单'!G392="","缺少文件名；","")&amp;IF(AND('08_资产清单'!C392&lt;&gt;"",COUNTIF('02_固定地理'!$A$2:$A$501,'08_资产清单'!C392)+COUNTIF('03_地点锚点'!$A$2:$A$501,'08_资产清单'!C392)+COUNTIF('04_路径网络'!$A$2:$A$501,'08_资产清单'!C392)+COUNTIF('06_建筑锚点'!$A$2:$A$501,'08_资产清单'!C392)=0),"资产引用对象不存在；","")&amp;IF(AND('08_资产清单'!E392&lt;&gt;"",COUNTIF('07_动态状态'!$A$2:$A$501,'08_资产清单'!E392)=0),"状态编码不存在；","")&amp;IF(AND('08_资产清单'!G392&lt;&gt;"",COUNTIF('08_资产清单'!$G$2:$G$501,'08_资产清单'!G392)&gt;1),"文件名重复；","")&amp;IF(AND('08_资产清单'!A392&lt;&gt;"",COUNTIF('08_资产清单'!$A$2:$A$501,'08_资产清单'!A392)&gt;1),"ID重复；",""),"")</f>
        <v/>
      </c>
      <c r="G3392" s="14">
        <f>IF(F3392&lt;&gt;"","按字段批注、数据字典和来源记录修正后复核","")</f>
        <v/>
      </c>
      <c r="H3392" s="14">
        <f>IF(F3392&lt;&gt;"","待处理","")</f>
        <v/>
      </c>
    </row>
    <row r="3393">
      <c r="A3393" s="14">
        <f>IF(F3393&lt;&gt;"","ISSUE-"&amp;TEXT(ROW()-1,"00000"),"")</f>
        <v/>
      </c>
      <c r="B3393" s="14">
        <f>IF(F3393&lt;&gt;"","错误","")</f>
        <v/>
      </c>
      <c r="C3393" s="14">
        <f>IF('08_资产清单'!A393&lt;&gt;"","08_资产清单","")</f>
        <v/>
      </c>
      <c r="D3393" s="14">
        <f>IF('08_资产清单'!A393&lt;&gt;"",'08_资产清单'!A393,"")</f>
        <v/>
      </c>
      <c r="E3393" s="14">
        <f>IF(F3393&lt;&gt;"","综合校验","")</f>
        <v/>
      </c>
      <c r="F3393" s="14">
        <f>IF('08_资产清单'!A393&lt;&gt;"",IF('08_资产清单'!A393="","缺少资产ID；","")&amp;IF('08_资产清单'!B393="","缺少资产名称；","")&amp;IF('08_资产清单'!C393="","缺少对象ID；","")&amp;IF('08_资产清单'!D393="","缺少资产类别；","")&amp;IF('08_资产清单'!G393="","缺少文件名；","")&amp;IF(AND('08_资产清单'!C393&lt;&gt;"",COUNTIF('02_固定地理'!$A$2:$A$501,'08_资产清单'!C393)+COUNTIF('03_地点锚点'!$A$2:$A$501,'08_资产清单'!C393)+COUNTIF('04_路径网络'!$A$2:$A$501,'08_资产清单'!C393)+COUNTIF('06_建筑锚点'!$A$2:$A$501,'08_资产清单'!C393)=0),"资产引用对象不存在；","")&amp;IF(AND('08_资产清单'!E393&lt;&gt;"",COUNTIF('07_动态状态'!$A$2:$A$501,'08_资产清单'!E393)=0),"状态编码不存在；","")&amp;IF(AND('08_资产清单'!G393&lt;&gt;"",COUNTIF('08_资产清单'!$G$2:$G$501,'08_资产清单'!G393)&gt;1),"文件名重复；","")&amp;IF(AND('08_资产清单'!A393&lt;&gt;"",COUNTIF('08_资产清单'!$A$2:$A$501,'08_资产清单'!A393)&gt;1),"ID重复；",""),"")</f>
        <v/>
      </c>
      <c r="G3393" s="14">
        <f>IF(F3393&lt;&gt;"","按字段批注、数据字典和来源记录修正后复核","")</f>
        <v/>
      </c>
      <c r="H3393" s="14">
        <f>IF(F3393&lt;&gt;"","待处理","")</f>
        <v/>
      </c>
    </row>
    <row r="3394">
      <c r="A3394" s="14">
        <f>IF(F3394&lt;&gt;"","ISSUE-"&amp;TEXT(ROW()-1,"00000"),"")</f>
        <v/>
      </c>
      <c r="B3394" s="14">
        <f>IF(F3394&lt;&gt;"","错误","")</f>
        <v/>
      </c>
      <c r="C3394" s="14">
        <f>IF('08_资产清单'!A394&lt;&gt;"","08_资产清单","")</f>
        <v/>
      </c>
      <c r="D3394" s="14">
        <f>IF('08_资产清单'!A394&lt;&gt;"",'08_资产清单'!A394,"")</f>
        <v/>
      </c>
      <c r="E3394" s="14">
        <f>IF(F3394&lt;&gt;"","综合校验","")</f>
        <v/>
      </c>
      <c r="F3394" s="14">
        <f>IF('08_资产清单'!A394&lt;&gt;"",IF('08_资产清单'!A394="","缺少资产ID；","")&amp;IF('08_资产清单'!B394="","缺少资产名称；","")&amp;IF('08_资产清单'!C394="","缺少对象ID；","")&amp;IF('08_资产清单'!D394="","缺少资产类别；","")&amp;IF('08_资产清单'!G394="","缺少文件名；","")&amp;IF(AND('08_资产清单'!C394&lt;&gt;"",COUNTIF('02_固定地理'!$A$2:$A$501,'08_资产清单'!C394)+COUNTIF('03_地点锚点'!$A$2:$A$501,'08_资产清单'!C394)+COUNTIF('04_路径网络'!$A$2:$A$501,'08_资产清单'!C394)+COUNTIF('06_建筑锚点'!$A$2:$A$501,'08_资产清单'!C394)=0),"资产引用对象不存在；","")&amp;IF(AND('08_资产清单'!E394&lt;&gt;"",COUNTIF('07_动态状态'!$A$2:$A$501,'08_资产清单'!E394)=0),"状态编码不存在；","")&amp;IF(AND('08_资产清单'!G394&lt;&gt;"",COUNTIF('08_资产清单'!$G$2:$G$501,'08_资产清单'!G394)&gt;1),"文件名重复；","")&amp;IF(AND('08_资产清单'!A394&lt;&gt;"",COUNTIF('08_资产清单'!$A$2:$A$501,'08_资产清单'!A394)&gt;1),"ID重复；",""),"")</f>
        <v/>
      </c>
      <c r="G3394" s="14">
        <f>IF(F3394&lt;&gt;"","按字段批注、数据字典和来源记录修正后复核","")</f>
        <v/>
      </c>
      <c r="H3394" s="14">
        <f>IF(F3394&lt;&gt;"","待处理","")</f>
        <v/>
      </c>
    </row>
    <row r="3395">
      <c r="A3395" s="14">
        <f>IF(F3395&lt;&gt;"","ISSUE-"&amp;TEXT(ROW()-1,"00000"),"")</f>
        <v/>
      </c>
      <c r="B3395" s="14">
        <f>IF(F3395&lt;&gt;"","错误","")</f>
        <v/>
      </c>
      <c r="C3395" s="14">
        <f>IF('08_资产清单'!A395&lt;&gt;"","08_资产清单","")</f>
        <v/>
      </c>
      <c r="D3395" s="14">
        <f>IF('08_资产清单'!A395&lt;&gt;"",'08_资产清单'!A395,"")</f>
        <v/>
      </c>
      <c r="E3395" s="14">
        <f>IF(F3395&lt;&gt;"","综合校验","")</f>
        <v/>
      </c>
      <c r="F3395" s="14">
        <f>IF('08_资产清单'!A395&lt;&gt;"",IF('08_资产清单'!A395="","缺少资产ID；","")&amp;IF('08_资产清单'!B395="","缺少资产名称；","")&amp;IF('08_资产清单'!C395="","缺少对象ID；","")&amp;IF('08_资产清单'!D395="","缺少资产类别；","")&amp;IF('08_资产清单'!G395="","缺少文件名；","")&amp;IF(AND('08_资产清单'!C395&lt;&gt;"",COUNTIF('02_固定地理'!$A$2:$A$501,'08_资产清单'!C395)+COUNTIF('03_地点锚点'!$A$2:$A$501,'08_资产清单'!C395)+COUNTIF('04_路径网络'!$A$2:$A$501,'08_资产清单'!C395)+COUNTIF('06_建筑锚点'!$A$2:$A$501,'08_资产清单'!C395)=0),"资产引用对象不存在；","")&amp;IF(AND('08_资产清单'!E395&lt;&gt;"",COUNTIF('07_动态状态'!$A$2:$A$501,'08_资产清单'!E395)=0),"状态编码不存在；","")&amp;IF(AND('08_资产清单'!G395&lt;&gt;"",COUNTIF('08_资产清单'!$G$2:$G$501,'08_资产清单'!G395)&gt;1),"文件名重复；","")&amp;IF(AND('08_资产清单'!A395&lt;&gt;"",COUNTIF('08_资产清单'!$A$2:$A$501,'08_资产清单'!A395)&gt;1),"ID重复；",""),"")</f>
        <v/>
      </c>
      <c r="G3395" s="14">
        <f>IF(F3395&lt;&gt;"","按字段批注、数据字典和来源记录修正后复核","")</f>
        <v/>
      </c>
      <c r="H3395" s="14">
        <f>IF(F3395&lt;&gt;"","待处理","")</f>
        <v/>
      </c>
    </row>
    <row r="3396">
      <c r="A3396" s="14">
        <f>IF(F3396&lt;&gt;"","ISSUE-"&amp;TEXT(ROW()-1,"00000"),"")</f>
        <v/>
      </c>
      <c r="B3396" s="14">
        <f>IF(F3396&lt;&gt;"","错误","")</f>
        <v/>
      </c>
      <c r="C3396" s="14">
        <f>IF('08_资产清单'!A396&lt;&gt;"","08_资产清单","")</f>
        <v/>
      </c>
      <c r="D3396" s="14">
        <f>IF('08_资产清单'!A396&lt;&gt;"",'08_资产清单'!A396,"")</f>
        <v/>
      </c>
      <c r="E3396" s="14">
        <f>IF(F3396&lt;&gt;"","综合校验","")</f>
        <v/>
      </c>
      <c r="F3396" s="14">
        <f>IF('08_资产清单'!A396&lt;&gt;"",IF('08_资产清单'!A396="","缺少资产ID；","")&amp;IF('08_资产清单'!B396="","缺少资产名称；","")&amp;IF('08_资产清单'!C396="","缺少对象ID；","")&amp;IF('08_资产清单'!D396="","缺少资产类别；","")&amp;IF('08_资产清单'!G396="","缺少文件名；","")&amp;IF(AND('08_资产清单'!C396&lt;&gt;"",COUNTIF('02_固定地理'!$A$2:$A$501,'08_资产清单'!C396)+COUNTIF('03_地点锚点'!$A$2:$A$501,'08_资产清单'!C396)+COUNTIF('04_路径网络'!$A$2:$A$501,'08_资产清单'!C396)+COUNTIF('06_建筑锚点'!$A$2:$A$501,'08_资产清单'!C396)=0),"资产引用对象不存在；","")&amp;IF(AND('08_资产清单'!E396&lt;&gt;"",COUNTIF('07_动态状态'!$A$2:$A$501,'08_资产清单'!E396)=0),"状态编码不存在；","")&amp;IF(AND('08_资产清单'!G396&lt;&gt;"",COUNTIF('08_资产清单'!$G$2:$G$501,'08_资产清单'!G396)&gt;1),"文件名重复；","")&amp;IF(AND('08_资产清单'!A396&lt;&gt;"",COUNTIF('08_资产清单'!$A$2:$A$501,'08_资产清单'!A396)&gt;1),"ID重复；",""),"")</f>
        <v/>
      </c>
      <c r="G3396" s="14">
        <f>IF(F3396&lt;&gt;"","按字段批注、数据字典和来源记录修正后复核","")</f>
        <v/>
      </c>
      <c r="H3396" s="14">
        <f>IF(F3396&lt;&gt;"","待处理","")</f>
        <v/>
      </c>
    </row>
    <row r="3397">
      <c r="A3397" s="14">
        <f>IF(F3397&lt;&gt;"","ISSUE-"&amp;TEXT(ROW()-1,"00000"),"")</f>
        <v/>
      </c>
      <c r="B3397" s="14">
        <f>IF(F3397&lt;&gt;"","错误","")</f>
        <v/>
      </c>
      <c r="C3397" s="14">
        <f>IF('08_资产清单'!A397&lt;&gt;"","08_资产清单","")</f>
        <v/>
      </c>
      <c r="D3397" s="14">
        <f>IF('08_资产清单'!A397&lt;&gt;"",'08_资产清单'!A397,"")</f>
        <v/>
      </c>
      <c r="E3397" s="14">
        <f>IF(F3397&lt;&gt;"","综合校验","")</f>
        <v/>
      </c>
      <c r="F3397" s="14">
        <f>IF('08_资产清单'!A397&lt;&gt;"",IF('08_资产清单'!A397="","缺少资产ID；","")&amp;IF('08_资产清单'!B397="","缺少资产名称；","")&amp;IF('08_资产清单'!C397="","缺少对象ID；","")&amp;IF('08_资产清单'!D397="","缺少资产类别；","")&amp;IF('08_资产清单'!G397="","缺少文件名；","")&amp;IF(AND('08_资产清单'!C397&lt;&gt;"",COUNTIF('02_固定地理'!$A$2:$A$501,'08_资产清单'!C397)+COUNTIF('03_地点锚点'!$A$2:$A$501,'08_资产清单'!C397)+COUNTIF('04_路径网络'!$A$2:$A$501,'08_资产清单'!C397)+COUNTIF('06_建筑锚点'!$A$2:$A$501,'08_资产清单'!C397)=0),"资产引用对象不存在；","")&amp;IF(AND('08_资产清单'!E397&lt;&gt;"",COUNTIF('07_动态状态'!$A$2:$A$501,'08_资产清单'!E397)=0),"状态编码不存在；","")&amp;IF(AND('08_资产清单'!G397&lt;&gt;"",COUNTIF('08_资产清单'!$G$2:$G$501,'08_资产清单'!G397)&gt;1),"文件名重复；","")&amp;IF(AND('08_资产清单'!A397&lt;&gt;"",COUNTIF('08_资产清单'!$A$2:$A$501,'08_资产清单'!A397)&gt;1),"ID重复；",""),"")</f>
        <v/>
      </c>
      <c r="G3397" s="14">
        <f>IF(F3397&lt;&gt;"","按字段批注、数据字典和来源记录修正后复核","")</f>
        <v/>
      </c>
      <c r="H3397" s="14">
        <f>IF(F3397&lt;&gt;"","待处理","")</f>
        <v/>
      </c>
    </row>
    <row r="3398">
      <c r="A3398" s="14">
        <f>IF(F3398&lt;&gt;"","ISSUE-"&amp;TEXT(ROW()-1,"00000"),"")</f>
        <v/>
      </c>
      <c r="B3398" s="14">
        <f>IF(F3398&lt;&gt;"","错误","")</f>
        <v/>
      </c>
      <c r="C3398" s="14">
        <f>IF('08_资产清单'!A398&lt;&gt;"","08_资产清单","")</f>
        <v/>
      </c>
      <c r="D3398" s="14">
        <f>IF('08_资产清单'!A398&lt;&gt;"",'08_资产清单'!A398,"")</f>
        <v/>
      </c>
      <c r="E3398" s="14">
        <f>IF(F3398&lt;&gt;"","综合校验","")</f>
        <v/>
      </c>
      <c r="F3398" s="14">
        <f>IF('08_资产清单'!A398&lt;&gt;"",IF('08_资产清单'!A398="","缺少资产ID；","")&amp;IF('08_资产清单'!B398="","缺少资产名称；","")&amp;IF('08_资产清单'!C398="","缺少对象ID；","")&amp;IF('08_资产清单'!D398="","缺少资产类别；","")&amp;IF('08_资产清单'!G398="","缺少文件名；","")&amp;IF(AND('08_资产清单'!C398&lt;&gt;"",COUNTIF('02_固定地理'!$A$2:$A$501,'08_资产清单'!C398)+COUNTIF('03_地点锚点'!$A$2:$A$501,'08_资产清单'!C398)+COUNTIF('04_路径网络'!$A$2:$A$501,'08_资产清单'!C398)+COUNTIF('06_建筑锚点'!$A$2:$A$501,'08_资产清单'!C398)=0),"资产引用对象不存在；","")&amp;IF(AND('08_资产清单'!E398&lt;&gt;"",COUNTIF('07_动态状态'!$A$2:$A$501,'08_资产清单'!E398)=0),"状态编码不存在；","")&amp;IF(AND('08_资产清单'!G398&lt;&gt;"",COUNTIF('08_资产清单'!$G$2:$G$501,'08_资产清单'!G398)&gt;1),"文件名重复；","")&amp;IF(AND('08_资产清单'!A398&lt;&gt;"",COUNTIF('08_资产清单'!$A$2:$A$501,'08_资产清单'!A398)&gt;1),"ID重复；",""),"")</f>
        <v/>
      </c>
      <c r="G3398" s="14">
        <f>IF(F3398&lt;&gt;"","按字段批注、数据字典和来源记录修正后复核","")</f>
        <v/>
      </c>
      <c r="H3398" s="14">
        <f>IF(F3398&lt;&gt;"","待处理","")</f>
        <v/>
      </c>
    </row>
    <row r="3399">
      <c r="A3399" s="14">
        <f>IF(F3399&lt;&gt;"","ISSUE-"&amp;TEXT(ROW()-1,"00000"),"")</f>
        <v/>
      </c>
      <c r="B3399" s="14">
        <f>IF(F3399&lt;&gt;"","错误","")</f>
        <v/>
      </c>
      <c r="C3399" s="14">
        <f>IF('08_资产清单'!A399&lt;&gt;"","08_资产清单","")</f>
        <v/>
      </c>
      <c r="D3399" s="14">
        <f>IF('08_资产清单'!A399&lt;&gt;"",'08_资产清单'!A399,"")</f>
        <v/>
      </c>
      <c r="E3399" s="14">
        <f>IF(F3399&lt;&gt;"","综合校验","")</f>
        <v/>
      </c>
      <c r="F3399" s="14">
        <f>IF('08_资产清单'!A399&lt;&gt;"",IF('08_资产清单'!A399="","缺少资产ID；","")&amp;IF('08_资产清单'!B399="","缺少资产名称；","")&amp;IF('08_资产清单'!C399="","缺少对象ID；","")&amp;IF('08_资产清单'!D399="","缺少资产类别；","")&amp;IF('08_资产清单'!G399="","缺少文件名；","")&amp;IF(AND('08_资产清单'!C399&lt;&gt;"",COUNTIF('02_固定地理'!$A$2:$A$501,'08_资产清单'!C399)+COUNTIF('03_地点锚点'!$A$2:$A$501,'08_资产清单'!C399)+COUNTIF('04_路径网络'!$A$2:$A$501,'08_资产清单'!C399)+COUNTIF('06_建筑锚点'!$A$2:$A$501,'08_资产清单'!C399)=0),"资产引用对象不存在；","")&amp;IF(AND('08_资产清单'!E399&lt;&gt;"",COUNTIF('07_动态状态'!$A$2:$A$501,'08_资产清单'!E399)=0),"状态编码不存在；","")&amp;IF(AND('08_资产清单'!G399&lt;&gt;"",COUNTIF('08_资产清单'!$G$2:$G$501,'08_资产清单'!G399)&gt;1),"文件名重复；","")&amp;IF(AND('08_资产清单'!A399&lt;&gt;"",COUNTIF('08_资产清单'!$A$2:$A$501,'08_资产清单'!A399)&gt;1),"ID重复；",""),"")</f>
        <v/>
      </c>
      <c r="G3399" s="14">
        <f>IF(F3399&lt;&gt;"","按字段批注、数据字典和来源记录修正后复核","")</f>
        <v/>
      </c>
      <c r="H3399" s="14">
        <f>IF(F3399&lt;&gt;"","待处理","")</f>
        <v/>
      </c>
    </row>
    <row r="3400">
      <c r="A3400" s="14">
        <f>IF(F3400&lt;&gt;"","ISSUE-"&amp;TEXT(ROW()-1,"00000"),"")</f>
        <v/>
      </c>
      <c r="B3400" s="14">
        <f>IF(F3400&lt;&gt;"","错误","")</f>
        <v/>
      </c>
      <c r="C3400" s="14">
        <f>IF('08_资产清单'!A400&lt;&gt;"","08_资产清单","")</f>
        <v/>
      </c>
      <c r="D3400" s="14">
        <f>IF('08_资产清单'!A400&lt;&gt;"",'08_资产清单'!A400,"")</f>
        <v/>
      </c>
      <c r="E3400" s="14">
        <f>IF(F3400&lt;&gt;"","综合校验","")</f>
        <v/>
      </c>
      <c r="F3400" s="14">
        <f>IF('08_资产清单'!A400&lt;&gt;"",IF('08_资产清单'!A400="","缺少资产ID；","")&amp;IF('08_资产清单'!B400="","缺少资产名称；","")&amp;IF('08_资产清单'!C400="","缺少对象ID；","")&amp;IF('08_资产清单'!D400="","缺少资产类别；","")&amp;IF('08_资产清单'!G400="","缺少文件名；","")&amp;IF(AND('08_资产清单'!C400&lt;&gt;"",COUNTIF('02_固定地理'!$A$2:$A$501,'08_资产清单'!C400)+COUNTIF('03_地点锚点'!$A$2:$A$501,'08_资产清单'!C400)+COUNTIF('04_路径网络'!$A$2:$A$501,'08_资产清单'!C400)+COUNTIF('06_建筑锚点'!$A$2:$A$501,'08_资产清单'!C400)=0),"资产引用对象不存在；","")&amp;IF(AND('08_资产清单'!E400&lt;&gt;"",COUNTIF('07_动态状态'!$A$2:$A$501,'08_资产清单'!E400)=0),"状态编码不存在；","")&amp;IF(AND('08_资产清单'!G400&lt;&gt;"",COUNTIF('08_资产清单'!$G$2:$G$501,'08_资产清单'!G400)&gt;1),"文件名重复；","")&amp;IF(AND('08_资产清单'!A400&lt;&gt;"",COUNTIF('08_资产清单'!$A$2:$A$501,'08_资产清单'!A400)&gt;1),"ID重复；",""),"")</f>
        <v/>
      </c>
      <c r="G3400" s="14">
        <f>IF(F3400&lt;&gt;"","按字段批注、数据字典和来源记录修正后复核","")</f>
        <v/>
      </c>
      <c r="H3400" s="14">
        <f>IF(F3400&lt;&gt;"","待处理","")</f>
        <v/>
      </c>
    </row>
    <row r="3401">
      <c r="A3401" s="14">
        <f>IF(F3401&lt;&gt;"","ISSUE-"&amp;TEXT(ROW()-1,"00000"),"")</f>
        <v/>
      </c>
      <c r="B3401" s="14">
        <f>IF(F3401&lt;&gt;"","错误","")</f>
        <v/>
      </c>
      <c r="C3401" s="14">
        <f>IF('08_资产清单'!A401&lt;&gt;"","08_资产清单","")</f>
        <v/>
      </c>
      <c r="D3401" s="14">
        <f>IF('08_资产清单'!A401&lt;&gt;"",'08_资产清单'!A401,"")</f>
        <v/>
      </c>
      <c r="E3401" s="14">
        <f>IF(F3401&lt;&gt;"","综合校验","")</f>
        <v/>
      </c>
      <c r="F3401" s="14">
        <f>IF('08_资产清单'!A401&lt;&gt;"",IF('08_资产清单'!A401="","缺少资产ID；","")&amp;IF('08_资产清单'!B401="","缺少资产名称；","")&amp;IF('08_资产清单'!C401="","缺少对象ID；","")&amp;IF('08_资产清单'!D401="","缺少资产类别；","")&amp;IF('08_资产清单'!G401="","缺少文件名；","")&amp;IF(AND('08_资产清单'!C401&lt;&gt;"",COUNTIF('02_固定地理'!$A$2:$A$501,'08_资产清单'!C401)+COUNTIF('03_地点锚点'!$A$2:$A$501,'08_资产清单'!C401)+COUNTIF('04_路径网络'!$A$2:$A$501,'08_资产清单'!C401)+COUNTIF('06_建筑锚点'!$A$2:$A$501,'08_资产清单'!C401)=0),"资产引用对象不存在；","")&amp;IF(AND('08_资产清单'!E401&lt;&gt;"",COUNTIF('07_动态状态'!$A$2:$A$501,'08_资产清单'!E401)=0),"状态编码不存在；","")&amp;IF(AND('08_资产清单'!G401&lt;&gt;"",COUNTIF('08_资产清单'!$G$2:$G$501,'08_资产清单'!G401)&gt;1),"文件名重复；","")&amp;IF(AND('08_资产清单'!A401&lt;&gt;"",COUNTIF('08_资产清单'!$A$2:$A$501,'08_资产清单'!A401)&gt;1),"ID重复；",""),"")</f>
        <v/>
      </c>
      <c r="G3401" s="14">
        <f>IF(F3401&lt;&gt;"","按字段批注、数据字典和来源记录修正后复核","")</f>
        <v/>
      </c>
      <c r="H3401" s="14">
        <f>IF(F3401&lt;&gt;"","待处理","")</f>
        <v/>
      </c>
    </row>
    <row r="3402">
      <c r="A3402" s="14">
        <f>IF(F3402&lt;&gt;"","ISSUE-"&amp;TEXT(ROW()-1,"00000"),"")</f>
        <v/>
      </c>
      <c r="B3402" s="14">
        <f>IF(F3402&lt;&gt;"","错误","")</f>
        <v/>
      </c>
      <c r="C3402" s="14">
        <f>IF('08_资产清单'!A402&lt;&gt;"","08_资产清单","")</f>
        <v/>
      </c>
      <c r="D3402" s="14">
        <f>IF('08_资产清单'!A402&lt;&gt;"",'08_资产清单'!A402,"")</f>
        <v/>
      </c>
      <c r="E3402" s="14">
        <f>IF(F3402&lt;&gt;"","综合校验","")</f>
        <v/>
      </c>
      <c r="F3402" s="14">
        <f>IF('08_资产清单'!A402&lt;&gt;"",IF('08_资产清单'!A402="","缺少资产ID；","")&amp;IF('08_资产清单'!B402="","缺少资产名称；","")&amp;IF('08_资产清单'!C402="","缺少对象ID；","")&amp;IF('08_资产清单'!D402="","缺少资产类别；","")&amp;IF('08_资产清单'!G402="","缺少文件名；","")&amp;IF(AND('08_资产清单'!C402&lt;&gt;"",COUNTIF('02_固定地理'!$A$2:$A$501,'08_资产清单'!C402)+COUNTIF('03_地点锚点'!$A$2:$A$501,'08_资产清单'!C402)+COUNTIF('04_路径网络'!$A$2:$A$501,'08_资产清单'!C402)+COUNTIF('06_建筑锚点'!$A$2:$A$501,'08_资产清单'!C402)=0),"资产引用对象不存在；","")&amp;IF(AND('08_资产清单'!E402&lt;&gt;"",COUNTIF('07_动态状态'!$A$2:$A$501,'08_资产清单'!E402)=0),"状态编码不存在；","")&amp;IF(AND('08_资产清单'!G402&lt;&gt;"",COUNTIF('08_资产清单'!$G$2:$G$501,'08_资产清单'!G402)&gt;1),"文件名重复；","")&amp;IF(AND('08_资产清单'!A402&lt;&gt;"",COUNTIF('08_资产清单'!$A$2:$A$501,'08_资产清单'!A402)&gt;1),"ID重复；",""),"")</f>
        <v/>
      </c>
      <c r="G3402" s="14">
        <f>IF(F3402&lt;&gt;"","按字段批注、数据字典和来源记录修正后复核","")</f>
        <v/>
      </c>
      <c r="H3402" s="14">
        <f>IF(F3402&lt;&gt;"","待处理","")</f>
        <v/>
      </c>
    </row>
    <row r="3403">
      <c r="A3403" s="14">
        <f>IF(F3403&lt;&gt;"","ISSUE-"&amp;TEXT(ROW()-1,"00000"),"")</f>
        <v/>
      </c>
      <c r="B3403" s="14">
        <f>IF(F3403&lt;&gt;"","错误","")</f>
        <v/>
      </c>
      <c r="C3403" s="14">
        <f>IF('08_资产清单'!A403&lt;&gt;"","08_资产清单","")</f>
        <v/>
      </c>
      <c r="D3403" s="14">
        <f>IF('08_资产清单'!A403&lt;&gt;"",'08_资产清单'!A403,"")</f>
        <v/>
      </c>
      <c r="E3403" s="14">
        <f>IF(F3403&lt;&gt;"","综合校验","")</f>
        <v/>
      </c>
      <c r="F3403" s="14">
        <f>IF('08_资产清单'!A403&lt;&gt;"",IF('08_资产清单'!A403="","缺少资产ID；","")&amp;IF('08_资产清单'!B403="","缺少资产名称；","")&amp;IF('08_资产清单'!C403="","缺少对象ID；","")&amp;IF('08_资产清单'!D403="","缺少资产类别；","")&amp;IF('08_资产清单'!G403="","缺少文件名；","")&amp;IF(AND('08_资产清单'!C403&lt;&gt;"",COUNTIF('02_固定地理'!$A$2:$A$501,'08_资产清单'!C403)+COUNTIF('03_地点锚点'!$A$2:$A$501,'08_资产清单'!C403)+COUNTIF('04_路径网络'!$A$2:$A$501,'08_资产清单'!C403)+COUNTIF('06_建筑锚点'!$A$2:$A$501,'08_资产清单'!C403)=0),"资产引用对象不存在；","")&amp;IF(AND('08_资产清单'!E403&lt;&gt;"",COUNTIF('07_动态状态'!$A$2:$A$501,'08_资产清单'!E403)=0),"状态编码不存在；","")&amp;IF(AND('08_资产清单'!G403&lt;&gt;"",COUNTIF('08_资产清单'!$G$2:$G$501,'08_资产清单'!G403)&gt;1),"文件名重复；","")&amp;IF(AND('08_资产清单'!A403&lt;&gt;"",COUNTIF('08_资产清单'!$A$2:$A$501,'08_资产清单'!A403)&gt;1),"ID重复；",""),"")</f>
        <v/>
      </c>
      <c r="G3403" s="14">
        <f>IF(F3403&lt;&gt;"","按字段批注、数据字典和来源记录修正后复核","")</f>
        <v/>
      </c>
      <c r="H3403" s="14">
        <f>IF(F3403&lt;&gt;"","待处理","")</f>
        <v/>
      </c>
    </row>
    <row r="3404">
      <c r="A3404" s="14">
        <f>IF(F3404&lt;&gt;"","ISSUE-"&amp;TEXT(ROW()-1,"00000"),"")</f>
        <v/>
      </c>
      <c r="B3404" s="14">
        <f>IF(F3404&lt;&gt;"","错误","")</f>
        <v/>
      </c>
      <c r="C3404" s="14">
        <f>IF('08_资产清单'!A404&lt;&gt;"","08_资产清单","")</f>
        <v/>
      </c>
      <c r="D3404" s="14">
        <f>IF('08_资产清单'!A404&lt;&gt;"",'08_资产清单'!A404,"")</f>
        <v/>
      </c>
      <c r="E3404" s="14">
        <f>IF(F3404&lt;&gt;"","综合校验","")</f>
        <v/>
      </c>
      <c r="F3404" s="14">
        <f>IF('08_资产清单'!A404&lt;&gt;"",IF('08_资产清单'!A404="","缺少资产ID；","")&amp;IF('08_资产清单'!B404="","缺少资产名称；","")&amp;IF('08_资产清单'!C404="","缺少对象ID；","")&amp;IF('08_资产清单'!D404="","缺少资产类别；","")&amp;IF('08_资产清单'!G404="","缺少文件名；","")&amp;IF(AND('08_资产清单'!C404&lt;&gt;"",COUNTIF('02_固定地理'!$A$2:$A$501,'08_资产清单'!C404)+COUNTIF('03_地点锚点'!$A$2:$A$501,'08_资产清单'!C404)+COUNTIF('04_路径网络'!$A$2:$A$501,'08_资产清单'!C404)+COUNTIF('06_建筑锚点'!$A$2:$A$501,'08_资产清单'!C404)=0),"资产引用对象不存在；","")&amp;IF(AND('08_资产清单'!E404&lt;&gt;"",COUNTIF('07_动态状态'!$A$2:$A$501,'08_资产清单'!E404)=0),"状态编码不存在；","")&amp;IF(AND('08_资产清单'!G404&lt;&gt;"",COUNTIF('08_资产清单'!$G$2:$G$501,'08_资产清单'!G404)&gt;1),"文件名重复；","")&amp;IF(AND('08_资产清单'!A404&lt;&gt;"",COUNTIF('08_资产清单'!$A$2:$A$501,'08_资产清单'!A404)&gt;1),"ID重复；",""),"")</f>
        <v/>
      </c>
      <c r="G3404" s="14">
        <f>IF(F3404&lt;&gt;"","按字段批注、数据字典和来源记录修正后复核","")</f>
        <v/>
      </c>
      <c r="H3404" s="14">
        <f>IF(F3404&lt;&gt;"","待处理","")</f>
        <v/>
      </c>
    </row>
    <row r="3405">
      <c r="A3405" s="14">
        <f>IF(F3405&lt;&gt;"","ISSUE-"&amp;TEXT(ROW()-1,"00000"),"")</f>
        <v/>
      </c>
      <c r="B3405" s="14">
        <f>IF(F3405&lt;&gt;"","错误","")</f>
        <v/>
      </c>
      <c r="C3405" s="14">
        <f>IF('08_资产清单'!A405&lt;&gt;"","08_资产清单","")</f>
        <v/>
      </c>
      <c r="D3405" s="14">
        <f>IF('08_资产清单'!A405&lt;&gt;"",'08_资产清单'!A405,"")</f>
        <v/>
      </c>
      <c r="E3405" s="14">
        <f>IF(F3405&lt;&gt;"","综合校验","")</f>
        <v/>
      </c>
      <c r="F3405" s="14">
        <f>IF('08_资产清单'!A405&lt;&gt;"",IF('08_资产清单'!A405="","缺少资产ID；","")&amp;IF('08_资产清单'!B405="","缺少资产名称；","")&amp;IF('08_资产清单'!C405="","缺少对象ID；","")&amp;IF('08_资产清单'!D405="","缺少资产类别；","")&amp;IF('08_资产清单'!G405="","缺少文件名；","")&amp;IF(AND('08_资产清单'!C405&lt;&gt;"",COUNTIF('02_固定地理'!$A$2:$A$501,'08_资产清单'!C405)+COUNTIF('03_地点锚点'!$A$2:$A$501,'08_资产清单'!C405)+COUNTIF('04_路径网络'!$A$2:$A$501,'08_资产清单'!C405)+COUNTIF('06_建筑锚点'!$A$2:$A$501,'08_资产清单'!C405)=0),"资产引用对象不存在；","")&amp;IF(AND('08_资产清单'!E405&lt;&gt;"",COUNTIF('07_动态状态'!$A$2:$A$501,'08_资产清单'!E405)=0),"状态编码不存在；","")&amp;IF(AND('08_资产清单'!G405&lt;&gt;"",COUNTIF('08_资产清单'!$G$2:$G$501,'08_资产清单'!G405)&gt;1),"文件名重复；","")&amp;IF(AND('08_资产清单'!A405&lt;&gt;"",COUNTIF('08_资产清单'!$A$2:$A$501,'08_资产清单'!A405)&gt;1),"ID重复；",""),"")</f>
        <v/>
      </c>
      <c r="G3405" s="14">
        <f>IF(F3405&lt;&gt;"","按字段批注、数据字典和来源记录修正后复核","")</f>
        <v/>
      </c>
      <c r="H3405" s="14">
        <f>IF(F3405&lt;&gt;"","待处理","")</f>
        <v/>
      </c>
    </row>
    <row r="3406">
      <c r="A3406" s="14">
        <f>IF(F3406&lt;&gt;"","ISSUE-"&amp;TEXT(ROW()-1,"00000"),"")</f>
        <v/>
      </c>
      <c r="B3406" s="14">
        <f>IF(F3406&lt;&gt;"","错误","")</f>
        <v/>
      </c>
      <c r="C3406" s="14">
        <f>IF('08_资产清单'!A406&lt;&gt;"","08_资产清单","")</f>
        <v/>
      </c>
      <c r="D3406" s="14">
        <f>IF('08_资产清单'!A406&lt;&gt;"",'08_资产清单'!A406,"")</f>
        <v/>
      </c>
      <c r="E3406" s="14">
        <f>IF(F3406&lt;&gt;"","综合校验","")</f>
        <v/>
      </c>
      <c r="F3406" s="14">
        <f>IF('08_资产清单'!A406&lt;&gt;"",IF('08_资产清单'!A406="","缺少资产ID；","")&amp;IF('08_资产清单'!B406="","缺少资产名称；","")&amp;IF('08_资产清单'!C406="","缺少对象ID；","")&amp;IF('08_资产清单'!D406="","缺少资产类别；","")&amp;IF('08_资产清单'!G406="","缺少文件名；","")&amp;IF(AND('08_资产清单'!C406&lt;&gt;"",COUNTIF('02_固定地理'!$A$2:$A$501,'08_资产清单'!C406)+COUNTIF('03_地点锚点'!$A$2:$A$501,'08_资产清单'!C406)+COUNTIF('04_路径网络'!$A$2:$A$501,'08_资产清单'!C406)+COUNTIF('06_建筑锚点'!$A$2:$A$501,'08_资产清单'!C406)=0),"资产引用对象不存在；","")&amp;IF(AND('08_资产清单'!E406&lt;&gt;"",COUNTIF('07_动态状态'!$A$2:$A$501,'08_资产清单'!E406)=0),"状态编码不存在；","")&amp;IF(AND('08_资产清单'!G406&lt;&gt;"",COUNTIF('08_资产清单'!$G$2:$G$501,'08_资产清单'!G406)&gt;1),"文件名重复；","")&amp;IF(AND('08_资产清单'!A406&lt;&gt;"",COUNTIF('08_资产清单'!$A$2:$A$501,'08_资产清单'!A406)&gt;1),"ID重复；",""),"")</f>
        <v/>
      </c>
      <c r="G3406" s="14">
        <f>IF(F3406&lt;&gt;"","按字段批注、数据字典和来源记录修正后复核","")</f>
        <v/>
      </c>
      <c r="H3406" s="14">
        <f>IF(F3406&lt;&gt;"","待处理","")</f>
        <v/>
      </c>
    </row>
    <row r="3407">
      <c r="A3407" s="14">
        <f>IF(F3407&lt;&gt;"","ISSUE-"&amp;TEXT(ROW()-1,"00000"),"")</f>
        <v/>
      </c>
      <c r="B3407" s="14">
        <f>IF(F3407&lt;&gt;"","错误","")</f>
        <v/>
      </c>
      <c r="C3407" s="14">
        <f>IF('08_资产清单'!A407&lt;&gt;"","08_资产清单","")</f>
        <v/>
      </c>
      <c r="D3407" s="14">
        <f>IF('08_资产清单'!A407&lt;&gt;"",'08_资产清单'!A407,"")</f>
        <v/>
      </c>
      <c r="E3407" s="14">
        <f>IF(F3407&lt;&gt;"","综合校验","")</f>
        <v/>
      </c>
      <c r="F3407" s="14">
        <f>IF('08_资产清单'!A407&lt;&gt;"",IF('08_资产清单'!A407="","缺少资产ID；","")&amp;IF('08_资产清单'!B407="","缺少资产名称；","")&amp;IF('08_资产清单'!C407="","缺少对象ID；","")&amp;IF('08_资产清单'!D407="","缺少资产类别；","")&amp;IF('08_资产清单'!G407="","缺少文件名；","")&amp;IF(AND('08_资产清单'!C407&lt;&gt;"",COUNTIF('02_固定地理'!$A$2:$A$501,'08_资产清单'!C407)+COUNTIF('03_地点锚点'!$A$2:$A$501,'08_资产清单'!C407)+COUNTIF('04_路径网络'!$A$2:$A$501,'08_资产清单'!C407)+COUNTIF('06_建筑锚点'!$A$2:$A$501,'08_资产清单'!C407)=0),"资产引用对象不存在；","")&amp;IF(AND('08_资产清单'!E407&lt;&gt;"",COUNTIF('07_动态状态'!$A$2:$A$501,'08_资产清单'!E407)=0),"状态编码不存在；","")&amp;IF(AND('08_资产清单'!G407&lt;&gt;"",COUNTIF('08_资产清单'!$G$2:$G$501,'08_资产清单'!G407)&gt;1),"文件名重复；","")&amp;IF(AND('08_资产清单'!A407&lt;&gt;"",COUNTIF('08_资产清单'!$A$2:$A$501,'08_资产清单'!A407)&gt;1),"ID重复；",""),"")</f>
        <v/>
      </c>
      <c r="G3407" s="14">
        <f>IF(F3407&lt;&gt;"","按字段批注、数据字典和来源记录修正后复核","")</f>
        <v/>
      </c>
      <c r="H3407" s="14">
        <f>IF(F3407&lt;&gt;"","待处理","")</f>
        <v/>
      </c>
    </row>
    <row r="3408">
      <c r="A3408" s="14">
        <f>IF(F3408&lt;&gt;"","ISSUE-"&amp;TEXT(ROW()-1,"00000"),"")</f>
        <v/>
      </c>
      <c r="B3408" s="14">
        <f>IF(F3408&lt;&gt;"","错误","")</f>
        <v/>
      </c>
      <c r="C3408" s="14">
        <f>IF('08_资产清单'!A408&lt;&gt;"","08_资产清单","")</f>
        <v/>
      </c>
      <c r="D3408" s="14">
        <f>IF('08_资产清单'!A408&lt;&gt;"",'08_资产清单'!A408,"")</f>
        <v/>
      </c>
      <c r="E3408" s="14">
        <f>IF(F3408&lt;&gt;"","综合校验","")</f>
        <v/>
      </c>
      <c r="F3408" s="14">
        <f>IF('08_资产清单'!A408&lt;&gt;"",IF('08_资产清单'!A408="","缺少资产ID；","")&amp;IF('08_资产清单'!B408="","缺少资产名称；","")&amp;IF('08_资产清单'!C408="","缺少对象ID；","")&amp;IF('08_资产清单'!D408="","缺少资产类别；","")&amp;IF('08_资产清单'!G408="","缺少文件名；","")&amp;IF(AND('08_资产清单'!C408&lt;&gt;"",COUNTIF('02_固定地理'!$A$2:$A$501,'08_资产清单'!C408)+COUNTIF('03_地点锚点'!$A$2:$A$501,'08_资产清单'!C408)+COUNTIF('04_路径网络'!$A$2:$A$501,'08_资产清单'!C408)+COUNTIF('06_建筑锚点'!$A$2:$A$501,'08_资产清单'!C408)=0),"资产引用对象不存在；","")&amp;IF(AND('08_资产清单'!E408&lt;&gt;"",COUNTIF('07_动态状态'!$A$2:$A$501,'08_资产清单'!E408)=0),"状态编码不存在；","")&amp;IF(AND('08_资产清单'!G408&lt;&gt;"",COUNTIF('08_资产清单'!$G$2:$G$501,'08_资产清单'!G408)&gt;1),"文件名重复；","")&amp;IF(AND('08_资产清单'!A408&lt;&gt;"",COUNTIF('08_资产清单'!$A$2:$A$501,'08_资产清单'!A408)&gt;1),"ID重复；",""),"")</f>
        <v/>
      </c>
      <c r="G3408" s="14">
        <f>IF(F3408&lt;&gt;"","按字段批注、数据字典和来源记录修正后复核","")</f>
        <v/>
      </c>
      <c r="H3408" s="14">
        <f>IF(F3408&lt;&gt;"","待处理","")</f>
        <v/>
      </c>
    </row>
    <row r="3409">
      <c r="A3409" s="14">
        <f>IF(F3409&lt;&gt;"","ISSUE-"&amp;TEXT(ROW()-1,"00000"),"")</f>
        <v/>
      </c>
      <c r="B3409" s="14">
        <f>IF(F3409&lt;&gt;"","错误","")</f>
        <v/>
      </c>
      <c r="C3409" s="14">
        <f>IF('08_资产清单'!A409&lt;&gt;"","08_资产清单","")</f>
        <v/>
      </c>
      <c r="D3409" s="14">
        <f>IF('08_资产清单'!A409&lt;&gt;"",'08_资产清单'!A409,"")</f>
        <v/>
      </c>
      <c r="E3409" s="14">
        <f>IF(F3409&lt;&gt;"","综合校验","")</f>
        <v/>
      </c>
      <c r="F3409" s="14">
        <f>IF('08_资产清单'!A409&lt;&gt;"",IF('08_资产清单'!A409="","缺少资产ID；","")&amp;IF('08_资产清单'!B409="","缺少资产名称；","")&amp;IF('08_资产清单'!C409="","缺少对象ID；","")&amp;IF('08_资产清单'!D409="","缺少资产类别；","")&amp;IF('08_资产清单'!G409="","缺少文件名；","")&amp;IF(AND('08_资产清单'!C409&lt;&gt;"",COUNTIF('02_固定地理'!$A$2:$A$501,'08_资产清单'!C409)+COUNTIF('03_地点锚点'!$A$2:$A$501,'08_资产清单'!C409)+COUNTIF('04_路径网络'!$A$2:$A$501,'08_资产清单'!C409)+COUNTIF('06_建筑锚点'!$A$2:$A$501,'08_资产清单'!C409)=0),"资产引用对象不存在；","")&amp;IF(AND('08_资产清单'!E409&lt;&gt;"",COUNTIF('07_动态状态'!$A$2:$A$501,'08_资产清单'!E409)=0),"状态编码不存在；","")&amp;IF(AND('08_资产清单'!G409&lt;&gt;"",COUNTIF('08_资产清单'!$G$2:$G$501,'08_资产清单'!G409)&gt;1),"文件名重复；","")&amp;IF(AND('08_资产清单'!A409&lt;&gt;"",COUNTIF('08_资产清单'!$A$2:$A$501,'08_资产清单'!A409)&gt;1),"ID重复；",""),"")</f>
        <v/>
      </c>
      <c r="G3409" s="14">
        <f>IF(F3409&lt;&gt;"","按字段批注、数据字典和来源记录修正后复核","")</f>
        <v/>
      </c>
      <c r="H3409" s="14">
        <f>IF(F3409&lt;&gt;"","待处理","")</f>
        <v/>
      </c>
    </row>
    <row r="3410">
      <c r="A3410" s="14">
        <f>IF(F3410&lt;&gt;"","ISSUE-"&amp;TEXT(ROW()-1,"00000"),"")</f>
        <v/>
      </c>
      <c r="B3410" s="14">
        <f>IF(F3410&lt;&gt;"","错误","")</f>
        <v/>
      </c>
      <c r="C3410" s="14">
        <f>IF('08_资产清单'!A410&lt;&gt;"","08_资产清单","")</f>
        <v/>
      </c>
      <c r="D3410" s="14">
        <f>IF('08_资产清单'!A410&lt;&gt;"",'08_资产清单'!A410,"")</f>
        <v/>
      </c>
      <c r="E3410" s="14">
        <f>IF(F3410&lt;&gt;"","综合校验","")</f>
        <v/>
      </c>
      <c r="F3410" s="14">
        <f>IF('08_资产清单'!A410&lt;&gt;"",IF('08_资产清单'!A410="","缺少资产ID；","")&amp;IF('08_资产清单'!B410="","缺少资产名称；","")&amp;IF('08_资产清单'!C410="","缺少对象ID；","")&amp;IF('08_资产清单'!D410="","缺少资产类别；","")&amp;IF('08_资产清单'!G410="","缺少文件名；","")&amp;IF(AND('08_资产清单'!C410&lt;&gt;"",COUNTIF('02_固定地理'!$A$2:$A$501,'08_资产清单'!C410)+COUNTIF('03_地点锚点'!$A$2:$A$501,'08_资产清单'!C410)+COUNTIF('04_路径网络'!$A$2:$A$501,'08_资产清单'!C410)+COUNTIF('06_建筑锚点'!$A$2:$A$501,'08_资产清单'!C410)=0),"资产引用对象不存在；","")&amp;IF(AND('08_资产清单'!E410&lt;&gt;"",COUNTIF('07_动态状态'!$A$2:$A$501,'08_资产清单'!E410)=0),"状态编码不存在；","")&amp;IF(AND('08_资产清单'!G410&lt;&gt;"",COUNTIF('08_资产清单'!$G$2:$G$501,'08_资产清单'!G410)&gt;1),"文件名重复；","")&amp;IF(AND('08_资产清单'!A410&lt;&gt;"",COUNTIF('08_资产清单'!$A$2:$A$501,'08_资产清单'!A410)&gt;1),"ID重复；",""),"")</f>
        <v/>
      </c>
      <c r="G3410" s="14">
        <f>IF(F3410&lt;&gt;"","按字段批注、数据字典和来源记录修正后复核","")</f>
        <v/>
      </c>
      <c r="H3410" s="14">
        <f>IF(F3410&lt;&gt;"","待处理","")</f>
        <v/>
      </c>
    </row>
    <row r="3411">
      <c r="A3411" s="14">
        <f>IF(F3411&lt;&gt;"","ISSUE-"&amp;TEXT(ROW()-1,"00000"),"")</f>
        <v/>
      </c>
      <c r="B3411" s="14">
        <f>IF(F3411&lt;&gt;"","错误","")</f>
        <v/>
      </c>
      <c r="C3411" s="14">
        <f>IF('08_资产清单'!A411&lt;&gt;"","08_资产清单","")</f>
        <v/>
      </c>
      <c r="D3411" s="14">
        <f>IF('08_资产清单'!A411&lt;&gt;"",'08_资产清单'!A411,"")</f>
        <v/>
      </c>
      <c r="E3411" s="14">
        <f>IF(F3411&lt;&gt;"","综合校验","")</f>
        <v/>
      </c>
      <c r="F3411" s="14">
        <f>IF('08_资产清单'!A411&lt;&gt;"",IF('08_资产清单'!A411="","缺少资产ID；","")&amp;IF('08_资产清单'!B411="","缺少资产名称；","")&amp;IF('08_资产清单'!C411="","缺少对象ID；","")&amp;IF('08_资产清单'!D411="","缺少资产类别；","")&amp;IF('08_资产清单'!G411="","缺少文件名；","")&amp;IF(AND('08_资产清单'!C411&lt;&gt;"",COUNTIF('02_固定地理'!$A$2:$A$501,'08_资产清单'!C411)+COUNTIF('03_地点锚点'!$A$2:$A$501,'08_资产清单'!C411)+COUNTIF('04_路径网络'!$A$2:$A$501,'08_资产清单'!C411)+COUNTIF('06_建筑锚点'!$A$2:$A$501,'08_资产清单'!C411)=0),"资产引用对象不存在；","")&amp;IF(AND('08_资产清单'!E411&lt;&gt;"",COUNTIF('07_动态状态'!$A$2:$A$501,'08_资产清单'!E411)=0),"状态编码不存在；","")&amp;IF(AND('08_资产清单'!G411&lt;&gt;"",COUNTIF('08_资产清单'!$G$2:$G$501,'08_资产清单'!G411)&gt;1),"文件名重复；","")&amp;IF(AND('08_资产清单'!A411&lt;&gt;"",COUNTIF('08_资产清单'!$A$2:$A$501,'08_资产清单'!A411)&gt;1),"ID重复；",""),"")</f>
        <v/>
      </c>
      <c r="G3411" s="14">
        <f>IF(F3411&lt;&gt;"","按字段批注、数据字典和来源记录修正后复核","")</f>
        <v/>
      </c>
      <c r="H3411" s="14">
        <f>IF(F3411&lt;&gt;"","待处理","")</f>
        <v/>
      </c>
    </row>
    <row r="3412">
      <c r="A3412" s="14">
        <f>IF(F3412&lt;&gt;"","ISSUE-"&amp;TEXT(ROW()-1,"00000"),"")</f>
        <v/>
      </c>
      <c r="B3412" s="14">
        <f>IF(F3412&lt;&gt;"","错误","")</f>
        <v/>
      </c>
      <c r="C3412" s="14">
        <f>IF('08_资产清单'!A412&lt;&gt;"","08_资产清单","")</f>
        <v/>
      </c>
      <c r="D3412" s="14">
        <f>IF('08_资产清单'!A412&lt;&gt;"",'08_资产清单'!A412,"")</f>
        <v/>
      </c>
      <c r="E3412" s="14">
        <f>IF(F3412&lt;&gt;"","综合校验","")</f>
        <v/>
      </c>
      <c r="F3412" s="14">
        <f>IF('08_资产清单'!A412&lt;&gt;"",IF('08_资产清单'!A412="","缺少资产ID；","")&amp;IF('08_资产清单'!B412="","缺少资产名称；","")&amp;IF('08_资产清单'!C412="","缺少对象ID；","")&amp;IF('08_资产清单'!D412="","缺少资产类别；","")&amp;IF('08_资产清单'!G412="","缺少文件名；","")&amp;IF(AND('08_资产清单'!C412&lt;&gt;"",COUNTIF('02_固定地理'!$A$2:$A$501,'08_资产清单'!C412)+COUNTIF('03_地点锚点'!$A$2:$A$501,'08_资产清单'!C412)+COUNTIF('04_路径网络'!$A$2:$A$501,'08_资产清单'!C412)+COUNTIF('06_建筑锚点'!$A$2:$A$501,'08_资产清单'!C412)=0),"资产引用对象不存在；","")&amp;IF(AND('08_资产清单'!E412&lt;&gt;"",COUNTIF('07_动态状态'!$A$2:$A$501,'08_资产清单'!E412)=0),"状态编码不存在；","")&amp;IF(AND('08_资产清单'!G412&lt;&gt;"",COUNTIF('08_资产清单'!$G$2:$G$501,'08_资产清单'!G412)&gt;1),"文件名重复；","")&amp;IF(AND('08_资产清单'!A412&lt;&gt;"",COUNTIF('08_资产清单'!$A$2:$A$501,'08_资产清单'!A412)&gt;1),"ID重复；",""),"")</f>
        <v/>
      </c>
      <c r="G3412" s="14">
        <f>IF(F3412&lt;&gt;"","按字段批注、数据字典和来源记录修正后复核","")</f>
        <v/>
      </c>
      <c r="H3412" s="14">
        <f>IF(F3412&lt;&gt;"","待处理","")</f>
        <v/>
      </c>
    </row>
    <row r="3413">
      <c r="A3413" s="14">
        <f>IF(F3413&lt;&gt;"","ISSUE-"&amp;TEXT(ROW()-1,"00000"),"")</f>
        <v/>
      </c>
      <c r="B3413" s="14">
        <f>IF(F3413&lt;&gt;"","错误","")</f>
        <v/>
      </c>
      <c r="C3413" s="14">
        <f>IF('08_资产清单'!A413&lt;&gt;"","08_资产清单","")</f>
        <v/>
      </c>
      <c r="D3413" s="14">
        <f>IF('08_资产清单'!A413&lt;&gt;"",'08_资产清单'!A413,"")</f>
        <v/>
      </c>
      <c r="E3413" s="14">
        <f>IF(F3413&lt;&gt;"","综合校验","")</f>
        <v/>
      </c>
      <c r="F3413" s="14">
        <f>IF('08_资产清单'!A413&lt;&gt;"",IF('08_资产清单'!A413="","缺少资产ID；","")&amp;IF('08_资产清单'!B413="","缺少资产名称；","")&amp;IF('08_资产清单'!C413="","缺少对象ID；","")&amp;IF('08_资产清单'!D413="","缺少资产类别；","")&amp;IF('08_资产清单'!G413="","缺少文件名；","")&amp;IF(AND('08_资产清单'!C413&lt;&gt;"",COUNTIF('02_固定地理'!$A$2:$A$501,'08_资产清单'!C413)+COUNTIF('03_地点锚点'!$A$2:$A$501,'08_资产清单'!C413)+COUNTIF('04_路径网络'!$A$2:$A$501,'08_资产清单'!C413)+COUNTIF('06_建筑锚点'!$A$2:$A$501,'08_资产清单'!C413)=0),"资产引用对象不存在；","")&amp;IF(AND('08_资产清单'!E413&lt;&gt;"",COUNTIF('07_动态状态'!$A$2:$A$501,'08_资产清单'!E413)=0),"状态编码不存在；","")&amp;IF(AND('08_资产清单'!G413&lt;&gt;"",COUNTIF('08_资产清单'!$G$2:$G$501,'08_资产清单'!G413)&gt;1),"文件名重复；","")&amp;IF(AND('08_资产清单'!A413&lt;&gt;"",COUNTIF('08_资产清单'!$A$2:$A$501,'08_资产清单'!A413)&gt;1),"ID重复；",""),"")</f>
        <v/>
      </c>
      <c r="G3413" s="14">
        <f>IF(F3413&lt;&gt;"","按字段批注、数据字典和来源记录修正后复核","")</f>
        <v/>
      </c>
      <c r="H3413" s="14">
        <f>IF(F3413&lt;&gt;"","待处理","")</f>
        <v/>
      </c>
    </row>
    <row r="3414">
      <c r="A3414" s="14">
        <f>IF(F3414&lt;&gt;"","ISSUE-"&amp;TEXT(ROW()-1,"00000"),"")</f>
        <v/>
      </c>
      <c r="B3414" s="14">
        <f>IF(F3414&lt;&gt;"","错误","")</f>
        <v/>
      </c>
      <c r="C3414" s="14">
        <f>IF('08_资产清单'!A414&lt;&gt;"","08_资产清单","")</f>
        <v/>
      </c>
      <c r="D3414" s="14">
        <f>IF('08_资产清单'!A414&lt;&gt;"",'08_资产清单'!A414,"")</f>
        <v/>
      </c>
      <c r="E3414" s="14">
        <f>IF(F3414&lt;&gt;"","综合校验","")</f>
        <v/>
      </c>
      <c r="F3414" s="14">
        <f>IF('08_资产清单'!A414&lt;&gt;"",IF('08_资产清单'!A414="","缺少资产ID；","")&amp;IF('08_资产清单'!B414="","缺少资产名称；","")&amp;IF('08_资产清单'!C414="","缺少对象ID；","")&amp;IF('08_资产清单'!D414="","缺少资产类别；","")&amp;IF('08_资产清单'!G414="","缺少文件名；","")&amp;IF(AND('08_资产清单'!C414&lt;&gt;"",COUNTIF('02_固定地理'!$A$2:$A$501,'08_资产清单'!C414)+COUNTIF('03_地点锚点'!$A$2:$A$501,'08_资产清单'!C414)+COUNTIF('04_路径网络'!$A$2:$A$501,'08_资产清单'!C414)+COUNTIF('06_建筑锚点'!$A$2:$A$501,'08_资产清单'!C414)=0),"资产引用对象不存在；","")&amp;IF(AND('08_资产清单'!E414&lt;&gt;"",COUNTIF('07_动态状态'!$A$2:$A$501,'08_资产清单'!E414)=0),"状态编码不存在；","")&amp;IF(AND('08_资产清单'!G414&lt;&gt;"",COUNTIF('08_资产清单'!$G$2:$G$501,'08_资产清单'!G414)&gt;1),"文件名重复；","")&amp;IF(AND('08_资产清单'!A414&lt;&gt;"",COUNTIF('08_资产清单'!$A$2:$A$501,'08_资产清单'!A414)&gt;1),"ID重复；",""),"")</f>
        <v/>
      </c>
      <c r="G3414" s="14">
        <f>IF(F3414&lt;&gt;"","按字段批注、数据字典和来源记录修正后复核","")</f>
        <v/>
      </c>
      <c r="H3414" s="14">
        <f>IF(F3414&lt;&gt;"","待处理","")</f>
        <v/>
      </c>
    </row>
    <row r="3415">
      <c r="A3415" s="14">
        <f>IF(F3415&lt;&gt;"","ISSUE-"&amp;TEXT(ROW()-1,"00000"),"")</f>
        <v/>
      </c>
      <c r="B3415" s="14">
        <f>IF(F3415&lt;&gt;"","错误","")</f>
        <v/>
      </c>
      <c r="C3415" s="14">
        <f>IF('08_资产清单'!A415&lt;&gt;"","08_资产清单","")</f>
        <v/>
      </c>
      <c r="D3415" s="14">
        <f>IF('08_资产清单'!A415&lt;&gt;"",'08_资产清单'!A415,"")</f>
        <v/>
      </c>
      <c r="E3415" s="14">
        <f>IF(F3415&lt;&gt;"","综合校验","")</f>
        <v/>
      </c>
      <c r="F3415" s="14">
        <f>IF('08_资产清单'!A415&lt;&gt;"",IF('08_资产清单'!A415="","缺少资产ID；","")&amp;IF('08_资产清单'!B415="","缺少资产名称；","")&amp;IF('08_资产清单'!C415="","缺少对象ID；","")&amp;IF('08_资产清单'!D415="","缺少资产类别；","")&amp;IF('08_资产清单'!G415="","缺少文件名；","")&amp;IF(AND('08_资产清单'!C415&lt;&gt;"",COUNTIF('02_固定地理'!$A$2:$A$501,'08_资产清单'!C415)+COUNTIF('03_地点锚点'!$A$2:$A$501,'08_资产清单'!C415)+COUNTIF('04_路径网络'!$A$2:$A$501,'08_资产清单'!C415)+COUNTIF('06_建筑锚点'!$A$2:$A$501,'08_资产清单'!C415)=0),"资产引用对象不存在；","")&amp;IF(AND('08_资产清单'!E415&lt;&gt;"",COUNTIF('07_动态状态'!$A$2:$A$501,'08_资产清单'!E415)=0),"状态编码不存在；","")&amp;IF(AND('08_资产清单'!G415&lt;&gt;"",COUNTIF('08_资产清单'!$G$2:$G$501,'08_资产清单'!G415)&gt;1),"文件名重复；","")&amp;IF(AND('08_资产清单'!A415&lt;&gt;"",COUNTIF('08_资产清单'!$A$2:$A$501,'08_资产清单'!A415)&gt;1),"ID重复；",""),"")</f>
        <v/>
      </c>
      <c r="G3415" s="14">
        <f>IF(F3415&lt;&gt;"","按字段批注、数据字典和来源记录修正后复核","")</f>
        <v/>
      </c>
      <c r="H3415" s="14">
        <f>IF(F3415&lt;&gt;"","待处理","")</f>
        <v/>
      </c>
    </row>
    <row r="3416">
      <c r="A3416" s="14">
        <f>IF(F3416&lt;&gt;"","ISSUE-"&amp;TEXT(ROW()-1,"00000"),"")</f>
        <v/>
      </c>
      <c r="B3416" s="14">
        <f>IF(F3416&lt;&gt;"","错误","")</f>
        <v/>
      </c>
      <c r="C3416" s="14">
        <f>IF('08_资产清单'!A416&lt;&gt;"","08_资产清单","")</f>
        <v/>
      </c>
      <c r="D3416" s="14">
        <f>IF('08_资产清单'!A416&lt;&gt;"",'08_资产清单'!A416,"")</f>
        <v/>
      </c>
      <c r="E3416" s="14">
        <f>IF(F3416&lt;&gt;"","综合校验","")</f>
        <v/>
      </c>
      <c r="F3416" s="14">
        <f>IF('08_资产清单'!A416&lt;&gt;"",IF('08_资产清单'!A416="","缺少资产ID；","")&amp;IF('08_资产清单'!B416="","缺少资产名称；","")&amp;IF('08_资产清单'!C416="","缺少对象ID；","")&amp;IF('08_资产清单'!D416="","缺少资产类别；","")&amp;IF('08_资产清单'!G416="","缺少文件名；","")&amp;IF(AND('08_资产清单'!C416&lt;&gt;"",COUNTIF('02_固定地理'!$A$2:$A$501,'08_资产清单'!C416)+COUNTIF('03_地点锚点'!$A$2:$A$501,'08_资产清单'!C416)+COUNTIF('04_路径网络'!$A$2:$A$501,'08_资产清单'!C416)+COUNTIF('06_建筑锚点'!$A$2:$A$501,'08_资产清单'!C416)=0),"资产引用对象不存在；","")&amp;IF(AND('08_资产清单'!E416&lt;&gt;"",COUNTIF('07_动态状态'!$A$2:$A$501,'08_资产清单'!E416)=0),"状态编码不存在；","")&amp;IF(AND('08_资产清单'!G416&lt;&gt;"",COUNTIF('08_资产清单'!$G$2:$G$501,'08_资产清单'!G416)&gt;1),"文件名重复；","")&amp;IF(AND('08_资产清单'!A416&lt;&gt;"",COUNTIF('08_资产清单'!$A$2:$A$501,'08_资产清单'!A416)&gt;1),"ID重复；",""),"")</f>
        <v/>
      </c>
      <c r="G3416" s="14">
        <f>IF(F3416&lt;&gt;"","按字段批注、数据字典和来源记录修正后复核","")</f>
        <v/>
      </c>
      <c r="H3416" s="14">
        <f>IF(F3416&lt;&gt;"","待处理","")</f>
        <v/>
      </c>
    </row>
    <row r="3417">
      <c r="A3417" s="14">
        <f>IF(F3417&lt;&gt;"","ISSUE-"&amp;TEXT(ROW()-1,"00000"),"")</f>
        <v/>
      </c>
      <c r="B3417" s="14">
        <f>IF(F3417&lt;&gt;"","错误","")</f>
        <v/>
      </c>
      <c r="C3417" s="14">
        <f>IF('08_资产清单'!A417&lt;&gt;"","08_资产清单","")</f>
        <v/>
      </c>
      <c r="D3417" s="14">
        <f>IF('08_资产清单'!A417&lt;&gt;"",'08_资产清单'!A417,"")</f>
        <v/>
      </c>
      <c r="E3417" s="14">
        <f>IF(F3417&lt;&gt;"","综合校验","")</f>
        <v/>
      </c>
      <c r="F3417" s="14">
        <f>IF('08_资产清单'!A417&lt;&gt;"",IF('08_资产清单'!A417="","缺少资产ID；","")&amp;IF('08_资产清单'!B417="","缺少资产名称；","")&amp;IF('08_资产清单'!C417="","缺少对象ID；","")&amp;IF('08_资产清单'!D417="","缺少资产类别；","")&amp;IF('08_资产清单'!G417="","缺少文件名；","")&amp;IF(AND('08_资产清单'!C417&lt;&gt;"",COUNTIF('02_固定地理'!$A$2:$A$501,'08_资产清单'!C417)+COUNTIF('03_地点锚点'!$A$2:$A$501,'08_资产清单'!C417)+COUNTIF('04_路径网络'!$A$2:$A$501,'08_资产清单'!C417)+COUNTIF('06_建筑锚点'!$A$2:$A$501,'08_资产清单'!C417)=0),"资产引用对象不存在；","")&amp;IF(AND('08_资产清单'!E417&lt;&gt;"",COUNTIF('07_动态状态'!$A$2:$A$501,'08_资产清单'!E417)=0),"状态编码不存在；","")&amp;IF(AND('08_资产清单'!G417&lt;&gt;"",COUNTIF('08_资产清单'!$G$2:$G$501,'08_资产清单'!G417)&gt;1),"文件名重复；","")&amp;IF(AND('08_资产清单'!A417&lt;&gt;"",COUNTIF('08_资产清单'!$A$2:$A$501,'08_资产清单'!A417)&gt;1),"ID重复；",""),"")</f>
        <v/>
      </c>
      <c r="G3417" s="14">
        <f>IF(F3417&lt;&gt;"","按字段批注、数据字典和来源记录修正后复核","")</f>
        <v/>
      </c>
      <c r="H3417" s="14">
        <f>IF(F3417&lt;&gt;"","待处理","")</f>
        <v/>
      </c>
    </row>
    <row r="3418">
      <c r="A3418" s="14">
        <f>IF(F3418&lt;&gt;"","ISSUE-"&amp;TEXT(ROW()-1,"00000"),"")</f>
        <v/>
      </c>
      <c r="B3418" s="14">
        <f>IF(F3418&lt;&gt;"","错误","")</f>
        <v/>
      </c>
      <c r="C3418" s="14">
        <f>IF('08_资产清单'!A418&lt;&gt;"","08_资产清单","")</f>
        <v/>
      </c>
      <c r="D3418" s="14">
        <f>IF('08_资产清单'!A418&lt;&gt;"",'08_资产清单'!A418,"")</f>
        <v/>
      </c>
      <c r="E3418" s="14">
        <f>IF(F3418&lt;&gt;"","综合校验","")</f>
        <v/>
      </c>
      <c r="F3418" s="14">
        <f>IF('08_资产清单'!A418&lt;&gt;"",IF('08_资产清单'!A418="","缺少资产ID；","")&amp;IF('08_资产清单'!B418="","缺少资产名称；","")&amp;IF('08_资产清单'!C418="","缺少对象ID；","")&amp;IF('08_资产清单'!D418="","缺少资产类别；","")&amp;IF('08_资产清单'!G418="","缺少文件名；","")&amp;IF(AND('08_资产清单'!C418&lt;&gt;"",COUNTIF('02_固定地理'!$A$2:$A$501,'08_资产清单'!C418)+COUNTIF('03_地点锚点'!$A$2:$A$501,'08_资产清单'!C418)+COUNTIF('04_路径网络'!$A$2:$A$501,'08_资产清单'!C418)+COUNTIF('06_建筑锚点'!$A$2:$A$501,'08_资产清单'!C418)=0),"资产引用对象不存在；","")&amp;IF(AND('08_资产清单'!E418&lt;&gt;"",COUNTIF('07_动态状态'!$A$2:$A$501,'08_资产清单'!E418)=0),"状态编码不存在；","")&amp;IF(AND('08_资产清单'!G418&lt;&gt;"",COUNTIF('08_资产清单'!$G$2:$G$501,'08_资产清单'!G418)&gt;1),"文件名重复；","")&amp;IF(AND('08_资产清单'!A418&lt;&gt;"",COUNTIF('08_资产清单'!$A$2:$A$501,'08_资产清单'!A418)&gt;1),"ID重复；",""),"")</f>
        <v/>
      </c>
      <c r="G3418" s="14">
        <f>IF(F3418&lt;&gt;"","按字段批注、数据字典和来源记录修正后复核","")</f>
        <v/>
      </c>
      <c r="H3418" s="14">
        <f>IF(F3418&lt;&gt;"","待处理","")</f>
        <v/>
      </c>
    </row>
    <row r="3419">
      <c r="A3419" s="14">
        <f>IF(F3419&lt;&gt;"","ISSUE-"&amp;TEXT(ROW()-1,"00000"),"")</f>
        <v/>
      </c>
      <c r="B3419" s="14">
        <f>IF(F3419&lt;&gt;"","错误","")</f>
        <v/>
      </c>
      <c r="C3419" s="14">
        <f>IF('08_资产清单'!A419&lt;&gt;"","08_资产清单","")</f>
        <v/>
      </c>
      <c r="D3419" s="14">
        <f>IF('08_资产清单'!A419&lt;&gt;"",'08_资产清单'!A419,"")</f>
        <v/>
      </c>
      <c r="E3419" s="14">
        <f>IF(F3419&lt;&gt;"","综合校验","")</f>
        <v/>
      </c>
      <c r="F3419" s="14">
        <f>IF('08_资产清单'!A419&lt;&gt;"",IF('08_资产清单'!A419="","缺少资产ID；","")&amp;IF('08_资产清单'!B419="","缺少资产名称；","")&amp;IF('08_资产清单'!C419="","缺少对象ID；","")&amp;IF('08_资产清单'!D419="","缺少资产类别；","")&amp;IF('08_资产清单'!G419="","缺少文件名；","")&amp;IF(AND('08_资产清单'!C419&lt;&gt;"",COUNTIF('02_固定地理'!$A$2:$A$501,'08_资产清单'!C419)+COUNTIF('03_地点锚点'!$A$2:$A$501,'08_资产清单'!C419)+COUNTIF('04_路径网络'!$A$2:$A$501,'08_资产清单'!C419)+COUNTIF('06_建筑锚点'!$A$2:$A$501,'08_资产清单'!C419)=0),"资产引用对象不存在；","")&amp;IF(AND('08_资产清单'!E419&lt;&gt;"",COUNTIF('07_动态状态'!$A$2:$A$501,'08_资产清单'!E419)=0),"状态编码不存在；","")&amp;IF(AND('08_资产清单'!G419&lt;&gt;"",COUNTIF('08_资产清单'!$G$2:$G$501,'08_资产清单'!G419)&gt;1),"文件名重复；","")&amp;IF(AND('08_资产清单'!A419&lt;&gt;"",COUNTIF('08_资产清单'!$A$2:$A$501,'08_资产清单'!A419)&gt;1),"ID重复；",""),"")</f>
        <v/>
      </c>
      <c r="G3419" s="14">
        <f>IF(F3419&lt;&gt;"","按字段批注、数据字典和来源记录修正后复核","")</f>
        <v/>
      </c>
      <c r="H3419" s="14">
        <f>IF(F3419&lt;&gt;"","待处理","")</f>
        <v/>
      </c>
    </row>
    <row r="3420">
      <c r="A3420" s="14">
        <f>IF(F3420&lt;&gt;"","ISSUE-"&amp;TEXT(ROW()-1,"00000"),"")</f>
        <v/>
      </c>
      <c r="B3420" s="14">
        <f>IF(F3420&lt;&gt;"","错误","")</f>
        <v/>
      </c>
      <c r="C3420" s="14">
        <f>IF('08_资产清单'!A420&lt;&gt;"","08_资产清单","")</f>
        <v/>
      </c>
      <c r="D3420" s="14">
        <f>IF('08_资产清单'!A420&lt;&gt;"",'08_资产清单'!A420,"")</f>
        <v/>
      </c>
      <c r="E3420" s="14">
        <f>IF(F3420&lt;&gt;"","综合校验","")</f>
        <v/>
      </c>
      <c r="F3420" s="14">
        <f>IF('08_资产清单'!A420&lt;&gt;"",IF('08_资产清单'!A420="","缺少资产ID；","")&amp;IF('08_资产清单'!B420="","缺少资产名称；","")&amp;IF('08_资产清单'!C420="","缺少对象ID；","")&amp;IF('08_资产清单'!D420="","缺少资产类别；","")&amp;IF('08_资产清单'!G420="","缺少文件名；","")&amp;IF(AND('08_资产清单'!C420&lt;&gt;"",COUNTIF('02_固定地理'!$A$2:$A$501,'08_资产清单'!C420)+COUNTIF('03_地点锚点'!$A$2:$A$501,'08_资产清单'!C420)+COUNTIF('04_路径网络'!$A$2:$A$501,'08_资产清单'!C420)+COUNTIF('06_建筑锚点'!$A$2:$A$501,'08_资产清单'!C420)=0),"资产引用对象不存在；","")&amp;IF(AND('08_资产清单'!E420&lt;&gt;"",COUNTIF('07_动态状态'!$A$2:$A$501,'08_资产清单'!E420)=0),"状态编码不存在；","")&amp;IF(AND('08_资产清单'!G420&lt;&gt;"",COUNTIF('08_资产清单'!$G$2:$G$501,'08_资产清单'!G420)&gt;1),"文件名重复；","")&amp;IF(AND('08_资产清单'!A420&lt;&gt;"",COUNTIF('08_资产清单'!$A$2:$A$501,'08_资产清单'!A420)&gt;1),"ID重复；",""),"")</f>
        <v/>
      </c>
      <c r="G3420" s="14">
        <f>IF(F3420&lt;&gt;"","按字段批注、数据字典和来源记录修正后复核","")</f>
        <v/>
      </c>
      <c r="H3420" s="14">
        <f>IF(F3420&lt;&gt;"","待处理","")</f>
        <v/>
      </c>
    </row>
    <row r="3421">
      <c r="A3421" s="14">
        <f>IF(F3421&lt;&gt;"","ISSUE-"&amp;TEXT(ROW()-1,"00000"),"")</f>
        <v/>
      </c>
      <c r="B3421" s="14">
        <f>IF(F3421&lt;&gt;"","错误","")</f>
        <v/>
      </c>
      <c r="C3421" s="14">
        <f>IF('08_资产清单'!A421&lt;&gt;"","08_资产清单","")</f>
        <v/>
      </c>
      <c r="D3421" s="14">
        <f>IF('08_资产清单'!A421&lt;&gt;"",'08_资产清单'!A421,"")</f>
        <v/>
      </c>
      <c r="E3421" s="14">
        <f>IF(F3421&lt;&gt;"","综合校验","")</f>
        <v/>
      </c>
      <c r="F3421" s="14">
        <f>IF('08_资产清单'!A421&lt;&gt;"",IF('08_资产清单'!A421="","缺少资产ID；","")&amp;IF('08_资产清单'!B421="","缺少资产名称；","")&amp;IF('08_资产清单'!C421="","缺少对象ID；","")&amp;IF('08_资产清单'!D421="","缺少资产类别；","")&amp;IF('08_资产清单'!G421="","缺少文件名；","")&amp;IF(AND('08_资产清单'!C421&lt;&gt;"",COUNTIF('02_固定地理'!$A$2:$A$501,'08_资产清单'!C421)+COUNTIF('03_地点锚点'!$A$2:$A$501,'08_资产清单'!C421)+COUNTIF('04_路径网络'!$A$2:$A$501,'08_资产清单'!C421)+COUNTIF('06_建筑锚点'!$A$2:$A$501,'08_资产清单'!C421)=0),"资产引用对象不存在；","")&amp;IF(AND('08_资产清单'!E421&lt;&gt;"",COUNTIF('07_动态状态'!$A$2:$A$501,'08_资产清单'!E421)=0),"状态编码不存在；","")&amp;IF(AND('08_资产清单'!G421&lt;&gt;"",COUNTIF('08_资产清单'!$G$2:$G$501,'08_资产清单'!G421)&gt;1),"文件名重复；","")&amp;IF(AND('08_资产清单'!A421&lt;&gt;"",COUNTIF('08_资产清单'!$A$2:$A$501,'08_资产清单'!A421)&gt;1),"ID重复；",""),"")</f>
        <v/>
      </c>
      <c r="G3421" s="14">
        <f>IF(F3421&lt;&gt;"","按字段批注、数据字典和来源记录修正后复核","")</f>
        <v/>
      </c>
      <c r="H3421" s="14">
        <f>IF(F3421&lt;&gt;"","待处理","")</f>
        <v/>
      </c>
    </row>
    <row r="3422">
      <c r="A3422" s="14">
        <f>IF(F3422&lt;&gt;"","ISSUE-"&amp;TEXT(ROW()-1,"00000"),"")</f>
        <v/>
      </c>
      <c r="B3422" s="14">
        <f>IF(F3422&lt;&gt;"","错误","")</f>
        <v/>
      </c>
      <c r="C3422" s="14">
        <f>IF('08_资产清单'!A422&lt;&gt;"","08_资产清单","")</f>
        <v/>
      </c>
      <c r="D3422" s="14">
        <f>IF('08_资产清单'!A422&lt;&gt;"",'08_资产清单'!A422,"")</f>
        <v/>
      </c>
      <c r="E3422" s="14">
        <f>IF(F3422&lt;&gt;"","综合校验","")</f>
        <v/>
      </c>
      <c r="F3422" s="14">
        <f>IF('08_资产清单'!A422&lt;&gt;"",IF('08_资产清单'!A422="","缺少资产ID；","")&amp;IF('08_资产清单'!B422="","缺少资产名称；","")&amp;IF('08_资产清单'!C422="","缺少对象ID；","")&amp;IF('08_资产清单'!D422="","缺少资产类别；","")&amp;IF('08_资产清单'!G422="","缺少文件名；","")&amp;IF(AND('08_资产清单'!C422&lt;&gt;"",COUNTIF('02_固定地理'!$A$2:$A$501,'08_资产清单'!C422)+COUNTIF('03_地点锚点'!$A$2:$A$501,'08_资产清单'!C422)+COUNTIF('04_路径网络'!$A$2:$A$501,'08_资产清单'!C422)+COUNTIF('06_建筑锚点'!$A$2:$A$501,'08_资产清单'!C422)=0),"资产引用对象不存在；","")&amp;IF(AND('08_资产清单'!E422&lt;&gt;"",COUNTIF('07_动态状态'!$A$2:$A$501,'08_资产清单'!E422)=0),"状态编码不存在；","")&amp;IF(AND('08_资产清单'!G422&lt;&gt;"",COUNTIF('08_资产清单'!$G$2:$G$501,'08_资产清单'!G422)&gt;1),"文件名重复；","")&amp;IF(AND('08_资产清单'!A422&lt;&gt;"",COUNTIF('08_资产清单'!$A$2:$A$501,'08_资产清单'!A422)&gt;1),"ID重复；",""),"")</f>
        <v/>
      </c>
      <c r="G3422" s="14">
        <f>IF(F3422&lt;&gt;"","按字段批注、数据字典和来源记录修正后复核","")</f>
        <v/>
      </c>
      <c r="H3422" s="14">
        <f>IF(F3422&lt;&gt;"","待处理","")</f>
        <v/>
      </c>
    </row>
    <row r="3423">
      <c r="A3423" s="14">
        <f>IF(F3423&lt;&gt;"","ISSUE-"&amp;TEXT(ROW()-1,"00000"),"")</f>
        <v/>
      </c>
      <c r="B3423" s="14">
        <f>IF(F3423&lt;&gt;"","错误","")</f>
        <v/>
      </c>
      <c r="C3423" s="14">
        <f>IF('08_资产清单'!A423&lt;&gt;"","08_资产清单","")</f>
        <v/>
      </c>
      <c r="D3423" s="14">
        <f>IF('08_资产清单'!A423&lt;&gt;"",'08_资产清单'!A423,"")</f>
        <v/>
      </c>
      <c r="E3423" s="14">
        <f>IF(F3423&lt;&gt;"","综合校验","")</f>
        <v/>
      </c>
      <c r="F3423" s="14">
        <f>IF('08_资产清单'!A423&lt;&gt;"",IF('08_资产清单'!A423="","缺少资产ID；","")&amp;IF('08_资产清单'!B423="","缺少资产名称；","")&amp;IF('08_资产清单'!C423="","缺少对象ID；","")&amp;IF('08_资产清单'!D423="","缺少资产类别；","")&amp;IF('08_资产清单'!G423="","缺少文件名；","")&amp;IF(AND('08_资产清单'!C423&lt;&gt;"",COUNTIF('02_固定地理'!$A$2:$A$501,'08_资产清单'!C423)+COUNTIF('03_地点锚点'!$A$2:$A$501,'08_资产清单'!C423)+COUNTIF('04_路径网络'!$A$2:$A$501,'08_资产清单'!C423)+COUNTIF('06_建筑锚点'!$A$2:$A$501,'08_资产清单'!C423)=0),"资产引用对象不存在；","")&amp;IF(AND('08_资产清单'!E423&lt;&gt;"",COUNTIF('07_动态状态'!$A$2:$A$501,'08_资产清单'!E423)=0),"状态编码不存在；","")&amp;IF(AND('08_资产清单'!G423&lt;&gt;"",COUNTIF('08_资产清单'!$G$2:$G$501,'08_资产清单'!G423)&gt;1),"文件名重复；","")&amp;IF(AND('08_资产清单'!A423&lt;&gt;"",COUNTIF('08_资产清单'!$A$2:$A$501,'08_资产清单'!A423)&gt;1),"ID重复；",""),"")</f>
        <v/>
      </c>
      <c r="G3423" s="14">
        <f>IF(F3423&lt;&gt;"","按字段批注、数据字典和来源记录修正后复核","")</f>
        <v/>
      </c>
      <c r="H3423" s="14">
        <f>IF(F3423&lt;&gt;"","待处理","")</f>
        <v/>
      </c>
    </row>
    <row r="3424">
      <c r="A3424" s="14">
        <f>IF(F3424&lt;&gt;"","ISSUE-"&amp;TEXT(ROW()-1,"00000"),"")</f>
        <v/>
      </c>
      <c r="B3424" s="14">
        <f>IF(F3424&lt;&gt;"","错误","")</f>
        <v/>
      </c>
      <c r="C3424" s="14">
        <f>IF('08_资产清单'!A424&lt;&gt;"","08_资产清单","")</f>
        <v/>
      </c>
      <c r="D3424" s="14">
        <f>IF('08_资产清单'!A424&lt;&gt;"",'08_资产清单'!A424,"")</f>
        <v/>
      </c>
      <c r="E3424" s="14">
        <f>IF(F3424&lt;&gt;"","综合校验","")</f>
        <v/>
      </c>
      <c r="F3424" s="14">
        <f>IF('08_资产清单'!A424&lt;&gt;"",IF('08_资产清单'!A424="","缺少资产ID；","")&amp;IF('08_资产清单'!B424="","缺少资产名称；","")&amp;IF('08_资产清单'!C424="","缺少对象ID；","")&amp;IF('08_资产清单'!D424="","缺少资产类别；","")&amp;IF('08_资产清单'!G424="","缺少文件名；","")&amp;IF(AND('08_资产清单'!C424&lt;&gt;"",COUNTIF('02_固定地理'!$A$2:$A$501,'08_资产清单'!C424)+COUNTIF('03_地点锚点'!$A$2:$A$501,'08_资产清单'!C424)+COUNTIF('04_路径网络'!$A$2:$A$501,'08_资产清单'!C424)+COUNTIF('06_建筑锚点'!$A$2:$A$501,'08_资产清单'!C424)=0),"资产引用对象不存在；","")&amp;IF(AND('08_资产清单'!E424&lt;&gt;"",COUNTIF('07_动态状态'!$A$2:$A$501,'08_资产清单'!E424)=0),"状态编码不存在；","")&amp;IF(AND('08_资产清单'!G424&lt;&gt;"",COUNTIF('08_资产清单'!$G$2:$G$501,'08_资产清单'!G424)&gt;1),"文件名重复；","")&amp;IF(AND('08_资产清单'!A424&lt;&gt;"",COUNTIF('08_资产清单'!$A$2:$A$501,'08_资产清单'!A424)&gt;1),"ID重复；",""),"")</f>
        <v/>
      </c>
      <c r="G3424" s="14">
        <f>IF(F3424&lt;&gt;"","按字段批注、数据字典和来源记录修正后复核","")</f>
        <v/>
      </c>
      <c r="H3424" s="14">
        <f>IF(F3424&lt;&gt;"","待处理","")</f>
        <v/>
      </c>
    </row>
    <row r="3425">
      <c r="A3425" s="14">
        <f>IF(F3425&lt;&gt;"","ISSUE-"&amp;TEXT(ROW()-1,"00000"),"")</f>
        <v/>
      </c>
      <c r="B3425" s="14">
        <f>IF(F3425&lt;&gt;"","错误","")</f>
        <v/>
      </c>
      <c r="C3425" s="14">
        <f>IF('08_资产清单'!A425&lt;&gt;"","08_资产清单","")</f>
        <v/>
      </c>
      <c r="D3425" s="14">
        <f>IF('08_资产清单'!A425&lt;&gt;"",'08_资产清单'!A425,"")</f>
        <v/>
      </c>
      <c r="E3425" s="14">
        <f>IF(F3425&lt;&gt;"","综合校验","")</f>
        <v/>
      </c>
      <c r="F3425" s="14">
        <f>IF('08_资产清单'!A425&lt;&gt;"",IF('08_资产清单'!A425="","缺少资产ID；","")&amp;IF('08_资产清单'!B425="","缺少资产名称；","")&amp;IF('08_资产清单'!C425="","缺少对象ID；","")&amp;IF('08_资产清单'!D425="","缺少资产类别；","")&amp;IF('08_资产清单'!G425="","缺少文件名；","")&amp;IF(AND('08_资产清单'!C425&lt;&gt;"",COUNTIF('02_固定地理'!$A$2:$A$501,'08_资产清单'!C425)+COUNTIF('03_地点锚点'!$A$2:$A$501,'08_资产清单'!C425)+COUNTIF('04_路径网络'!$A$2:$A$501,'08_资产清单'!C425)+COUNTIF('06_建筑锚点'!$A$2:$A$501,'08_资产清单'!C425)=0),"资产引用对象不存在；","")&amp;IF(AND('08_资产清单'!E425&lt;&gt;"",COUNTIF('07_动态状态'!$A$2:$A$501,'08_资产清单'!E425)=0),"状态编码不存在；","")&amp;IF(AND('08_资产清单'!G425&lt;&gt;"",COUNTIF('08_资产清单'!$G$2:$G$501,'08_资产清单'!G425)&gt;1),"文件名重复；","")&amp;IF(AND('08_资产清单'!A425&lt;&gt;"",COUNTIF('08_资产清单'!$A$2:$A$501,'08_资产清单'!A425)&gt;1),"ID重复；",""),"")</f>
        <v/>
      </c>
      <c r="G3425" s="14">
        <f>IF(F3425&lt;&gt;"","按字段批注、数据字典和来源记录修正后复核","")</f>
        <v/>
      </c>
      <c r="H3425" s="14">
        <f>IF(F3425&lt;&gt;"","待处理","")</f>
        <v/>
      </c>
    </row>
    <row r="3426">
      <c r="A3426" s="14">
        <f>IF(F3426&lt;&gt;"","ISSUE-"&amp;TEXT(ROW()-1,"00000"),"")</f>
        <v/>
      </c>
      <c r="B3426" s="14">
        <f>IF(F3426&lt;&gt;"","错误","")</f>
        <v/>
      </c>
      <c r="C3426" s="14">
        <f>IF('08_资产清单'!A426&lt;&gt;"","08_资产清单","")</f>
        <v/>
      </c>
      <c r="D3426" s="14">
        <f>IF('08_资产清单'!A426&lt;&gt;"",'08_资产清单'!A426,"")</f>
        <v/>
      </c>
      <c r="E3426" s="14">
        <f>IF(F3426&lt;&gt;"","综合校验","")</f>
        <v/>
      </c>
      <c r="F3426" s="14">
        <f>IF('08_资产清单'!A426&lt;&gt;"",IF('08_资产清单'!A426="","缺少资产ID；","")&amp;IF('08_资产清单'!B426="","缺少资产名称；","")&amp;IF('08_资产清单'!C426="","缺少对象ID；","")&amp;IF('08_资产清单'!D426="","缺少资产类别；","")&amp;IF('08_资产清单'!G426="","缺少文件名；","")&amp;IF(AND('08_资产清单'!C426&lt;&gt;"",COUNTIF('02_固定地理'!$A$2:$A$501,'08_资产清单'!C426)+COUNTIF('03_地点锚点'!$A$2:$A$501,'08_资产清单'!C426)+COUNTIF('04_路径网络'!$A$2:$A$501,'08_资产清单'!C426)+COUNTIF('06_建筑锚点'!$A$2:$A$501,'08_资产清单'!C426)=0),"资产引用对象不存在；","")&amp;IF(AND('08_资产清单'!E426&lt;&gt;"",COUNTIF('07_动态状态'!$A$2:$A$501,'08_资产清单'!E426)=0),"状态编码不存在；","")&amp;IF(AND('08_资产清单'!G426&lt;&gt;"",COUNTIF('08_资产清单'!$G$2:$G$501,'08_资产清单'!G426)&gt;1),"文件名重复；","")&amp;IF(AND('08_资产清单'!A426&lt;&gt;"",COUNTIF('08_资产清单'!$A$2:$A$501,'08_资产清单'!A426)&gt;1),"ID重复；",""),"")</f>
        <v/>
      </c>
      <c r="G3426" s="14">
        <f>IF(F3426&lt;&gt;"","按字段批注、数据字典和来源记录修正后复核","")</f>
        <v/>
      </c>
      <c r="H3426" s="14">
        <f>IF(F3426&lt;&gt;"","待处理","")</f>
        <v/>
      </c>
    </row>
    <row r="3427">
      <c r="A3427" s="14">
        <f>IF(F3427&lt;&gt;"","ISSUE-"&amp;TEXT(ROW()-1,"00000"),"")</f>
        <v/>
      </c>
      <c r="B3427" s="14">
        <f>IF(F3427&lt;&gt;"","错误","")</f>
        <v/>
      </c>
      <c r="C3427" s="14">
        <f>IF('08_资产清单'!A427&lt;&gt;"","08_资产清单","")</f>
        <v/>
      </c>
      <c r="D3427" s="14">
        <f>IF('08_资产清单'!A427&lt;&gt;"",'08_资产清单'!A427,"")</f>
        <v/>
      </c>
      <c r="E3427" s="14">
        <f>IF(F3427&lt;&gt;"","综合校验","")</f>
        <v/>
      </c>
      <c r="F3427" s="14">
        <f>IF('08_资产清单'!A427&lt;&gt;"",IF('08_资产清单'!A427="","缺少资产ID；","")&amp;IF('08_资产清单'!B427="","缺少资产名称；","")&amp;IF('08_资产清单'!C427="","缺少对象ID；","")&amp;IF('08_资产清单'!D427="","缺少资产类别；","")&amp;IF('08_资产清单'!G427="","缺少文件名；","")&amp;IF(AND('08_资产清单'!C427&lt;&gt;"",COUNTIF('02_固定地理'!$A$2:$A$501,'08_资产清单'!C427)+COUNTIF('03_地点锚点'!$A$2:$A$501,'08_资产清单'!C427)+COUNTIF('04_路径网络'!$A$2:$A$501,'08_资产清单'!C427)+COUNTIF('06_建筑锚点'!$A$2:$A$501,'08_资产清单'!C427)=0),"资产引用对象不存在；","")&amp;IF(AND('08_资产清单'!E427&lt;&gt;"",COUNTIF('07_动态状态'!$A$2:$A$501,'08_资产清单'!E427)=0),"状态编码不存在；","")&amp;IF(AND('08_资产清单'!G427&lt;&gt;"",COUNTIF('08_资产清单'!$G$2:$G$501,'08_资产清单'!G427)&gt;1),"文件名重复；","")&amp;IF(AND('08_资产清单'!A427&lt;&gt;"",COUNTIF('08_资产清单'!$A$2:$A$501,'08_资产清单'!A427)&gt;1),"ID重复；",""),"")</f>
        <v/>
      </c>
      <c r="G3427" s="14">
        <f>IF(F3427&lt;&gt;"","按字段批注、数据字典和来源记录修正后复核","")</f>
        <v/>
      </c>
      <c r="H3427" s="14">
        <f>IF(F3427&lt;&gt;"","待处理","")</f>
        <v/>
      </c>
    </row>
    <row r="3428">
      <c r="A3428" s="14">
        <f>IF(F3428&lt;&gt;"","ISSUE-"&amp;TEXT(ROW()-1,"00000"),"")</f>
        <v/>
      </c>
      <c r="B3428" s="14">
        <f>IF(F3428&lt;&gt;"","错误","")</f>
        <v/>
      </c>
      <c r="C3428" s="14">
        <f>IF('08_资产清单'!A428&lt;&gt;"","08_资产清单","")</f>
        <v/>
      </c>
      <c r="D3428" s="14">
        <f>IF('08_资产清单'!A428&lt;&gt;"",'08_资产清单'!A428,"")</f>
        <v/>
      </c>
      <c r="E3428" s="14">
        <f>IF(F3428&lt;&gt;"","综合校验","")</f>
        <v/>
      </c>
      <c r="F3428" s="14">
        <f>IF('08_资产清单'!A428&lt;&gt;"",IF('08_资产清单'!A428="","缺少资产ID；","")&amp;IF('08_资产清单'!B428="","缺少资产名称；","")&amp;IF('08_资产清单'!C428="","缺少对象ID；","")&amp;IF('08_资产清单'!D428="","缺少资产类别；","")&amp;IF('08_资产清单'!G428="","缺少文件名；","")&amp;IF(AND('08_资产清单'!C428&lt;&gt;"",COUNTIF('02_固定地理'!$A$2:$A$501,'08_资产清单'!C428)+COUNTIF('03_地点锚点'!$A$2:$A$501,'08_资产清单'!C428)+COUNTIF('04_路径网络'!$A$2:$A$501,'08_资产清单'!C428)+COUNTIF('06_建筑锚点'!$A$2:$A$501,'08_资产清单'!C428)=0),"资产引用对象不存在；","")&amp;IF(AND('08_资产清单'!E428&lt;&gt;"",COUNTIF('07_动态状态'!$A$2:$A$501,'08_资产清单'!E428)=0),"状态编码不存在；","")&amp;IF(AND('08_资产清单'!G428&lt;&gt;"",COUNTIF('08_资产清单'!$G$2:$G$501,'08_资产清单'!G428)&gt;1),"文件名重复；","")&amp;IF(AND('08_资产清单'!A428&lt;&gt;"",COUNTIF('08_资产清单'!$A$2:$A$501,'08_资产清单'!A428)&gt;1),"ID重复；",""),"")</f>
        <v/>
      </c>
      <c r="G3428" s="14">
        <f>IF(F3428&lt;&gt;"","按字段批注、数据字典和来源记录修正后复核","")</f>
        <v/>
      </c>
      <c r="H3428" s="14">
        <f>IF(F3428&lt;&gt;"","待处理","")</f>
        <v/>
      </c>
    </row>
    <row r="3429">
      <c r="A3429" s="14">
        <f>IF(F3429&lt;&gt;"","ISSUE-"&amp;TEXT(ROW()-1,"00000"),"")</f>
        <v/>
      </c>
      <c r="B3429" s="14">
        <f>IF(F3429&lt;&gt;"","错误","")</f>
        <v/>
      </c>
      <c r="C3429" s="14">
        <f>IF('08_资产清单'!A429&lt;&gt;"","08_资产清单","")</f>
        <v/>
      </c>
      <c r="D3429" s="14">
        <f>IF('08_资产清单'!A429&lt;&gt;"",'08_资产清单'!A429,"")</f>
        <v/>
      </c>
      <c r="E3429" s="14">
        <f>IF(F3429&lt;&gt;"","综合校验","")</f>
        <v/>
      </c>
      <c r="F3429" s="14">
        <f>IF('08_资产清单'!A429&lt;&gt;"",IF('08_资产清单'!A429="","缺少资产ID；","")&amp;IF('08_资产清单'!B429="","缺少资产名称；","")&amp;IF('08_资产清单'!C429="","缺少对象ID；","")&amp;IF('08_资产清单'!D429="","缺少资产类别；","")&amp;IF('08_资产清单'!G429="","缺少文件名；","")&amp;IF(AND('08_资产清单'!C429&lt;&gt;"",COUNTIF('02_固定地理'!$A$2:$A$501,'08_资产清单'!C429)+COUNTIF('03_地点锚点'!$A$2:$A$501,'08_资产清单'!C429)+COUNTIF('04_路径网络'!$A$2:$A$501,'08_资产清单'!C429)+COUNTIF('06_建筑锚点'!$A$2:$A$501,'08_资产清单'!C429)=0),"资产引用对象不存在；","")&amp;IF(AND('08_资产清单'!E429&lt;&gt;"",COUNTIF('07_动态状态'!$A$2:$A$501,'08_资产清单'!E429)=0),"状态编码不存在；","")&amp;IF(AND('08_资产清单'!G429&lt;&gt;"",COUNTIF('08_资产清单'!$G$2:$G$501,'08_资产清单'!G429)&gt;1),"文件名重复；","")&amp;IF(AND('08_资产清单'!A429&lt;&gt;"",COUNTIF('08_资产清单'!$A$2:$A$501,'08_资产清单'!A429)&gt;1),"ID重复；",""),"")</f>
        <v/>
      </c>
      <c r="G3429" s="14">
        <f>IF(F3429&lt;&gt;"","按字段批注、数据字典和来源记录修正后复核","")</f>
        <v/>
      </c>
      <c r="H3429" s="14">
        <f>IF(F3429&lt;&gt;"","待处理","")</f>
        <v/>
      </c>
    </row>
    <row r="3430">
      <c r="A3430" s="14">
        <f>IF(F3430&lt;&gt;"","ISSUE-"&amp;TEXT(ROW()-1,"00000"),"")</f>
        <v/>
      </c>
      <c r="B3430" s="14">
        <f>IF(F3430&lt;&gt;"","错误","")</f>
        <v/>
      </c>
      <c r="C3430" s="14">
        <f>IF('08_资产清单'!A430&lt;&gt;"","08_资产清单","")</f>
        <v/>
      </c>
      <c r="D3430" s="14">
        <f>IF('08_资产清单'!A430&lt;&gt;"",'08_资产清单'!A430,"")</f>
        <v/>
      </c>
      <c r="E3430" s="14">
        <f>IF(F3430&lt;&gt;"","综合校验","")</f>
        <v/>
      </c>
      <c r="F3430" s="14">
        <f>IF('08_资产清单'!A430&lt;&gt;"",IF('08_资产清单'!A430="","缺少资产ID；","")&amp;IF('08_资产清单'!B430="","缺少资产名称；","")&amp;IF('08_资产清单'!C430="","缺少对象ID；","")&amp;IF('08_资产清单'!D430="","缺少资产类别；","")&amp;IF('08_资产清单'!G430="","缺少文件名；","")&amp;IF(AND('08_资产清单'!C430&lt;&gt;"",COUNTIF('02_固定地理'!$A$2:$A$501,'08_资产清单'!C430)+COUNTIF('03_地点锚点'!$A$2:$A$501,'08_资产清单'!C430)+COUNTIF('04_路径网络'!$A$2:$A$501,'08_资产清单'!C430)+COUNTIF('06_建筑锚点'!$A$2:$A$501,'08_资产清单'!C430)=0),"资产引用对象不存在；","")&amp;IF(AND('08_资产清单'!E430&lt;&gt;"",COUNTIF('07_动态状态'!$A$2:$A$501,'08_资产清单'!E430)=0),"状态编码不存在；","")&amp;IF(AND('08_资产清单'!G430&lt;&gt;"",COUNTIF('08_资产清单'!$G$2:$G$501,'08_资产清单'!G430)&gt;1),"文件名重复；","")&amp;IF(AND('08_资产清单'!A430&lt;&gt;"",COUNTIF('08_资产清单'!$A$2:$A$501,'08_资产清单'!A430)&gt;1),"ID重复；",""),"")</f>
        <v/>
      </c>
      <c r="G3430" s="14">
        <f>IF(F3430&lt;&gt;"","按字段批注、数据字典和来源记录修正后复核","")</f>
        <v/>
      </c>
      <c r="H3430" s="14">
        <f>IF(F3430&lt;&gt;"","待处理","")</f>
        <v/>
      </c>
    </row>
    <row r="3431">
      <c r="A3431" s="14">
        <f>IF(F3431&lt;&gt;"","ISSUE-"&amp;TEXT(ROW()-1,"00000"),"")</f>
        <v/>
      </c>
      <c r="B3431" s="14">
        <f>IF(F3431&lt;&gt;"","错误","")</f>
        <v/>
      </c>
      <c r="C3431" s="14">
        <f>IF('08_资产清单'!A431&lt;&gt;"","08_资产清单","")</f>
        <v/>
      </c>
      <c r="D3431" s="14">
        <f>IF('08_资产清单'!A431&lt;&gt;"",'08_资产清单'!A431,"")</f>
        <v/>
      </c>
      <c r="E3431" s="14">
        <f>IF(F3431&lt;&gt;"","综合校验","")</f>
        <v/>
      </c>
      <c r="F3431" s="14">
        <f>IF('08_资产清单'!A431&lt;&gt;"",IF('08_资产清单'!A431="","缺少资产ID；","")&amp;IF('08_资产清单'!B431="","缺少资产名称；","")&amp;IF('08_资产清单'!C431="","缺少对象ID；","")&amp;IF('08_资产清单'!D431="","缺少资产类别；","")&amp;IF('08_资产清单'!G431="","缺少文件名；","")&amp;IF(AND('08_资产清单'!C431&lt;&gt;"",COUNTIF('02_固定地理'!$A$2:$A$501,'08_资产清单'!C431)+COUNTIF('03_地点锚点'!$A$2:$A$501,'08_资产清单'!C431)+COUNTIF('04_路径网络'!$A$2:$A$501,'08_资产清单'!C431)+COUNTIF('06_建筑锚点'!$A$2:$A$501,'08_资产清单'!C431)=0),"资产引用对象不存在；","")&amp;IF(AND('08_资产清单'!E431&lt;&gt;"",COUNTIF('07_动态状态'!$A$2:$A$501,'08_资产清单'!E431)=0),"状态编码不存在；","")&amp;IF(AND('08_资产清单'!G431&lt;&gt;"",COUNTIF('08_资产清单'!$G$2:$G$501,'08_资产清单'!G431)&gt;1),"文件名重复；","")&amp;IF(AND('08_资产清单'!A431&lt;&gt;"",COUNTIF('08_资产清单'!$A$2:$A$501,'08_资产清单'!A431)&gt;1),"ID重复；",""),"")</f>
        <v/>
      </c>
      <c r="G3431" s="14">
        <f>IF(F3431&lt;&gt;"","按字段批注、数据字典和来源记录修正后复核","")</f>
        <v/>
      </c>
      <c r="H3431" s="14">
        <f>IF(F3431&lt;&gt;"","待处理","")</f>
        <v/>
      </c>
    </row>
    <row r="3432">
      <c r="A3432" s="14">
        <f>IF(F3432&lt;&gt;"","ISSUE-"&amp;TEXT(ROW()-1,"00000"),"")</f>
        <v/>
      </c>
      <c r="B3432" s="14">
        <f>IF(F3432&lt;&gt;"","错误","")</f>
        <v/>
      </c>
      <c r="C3432" s="14">
        <f>IF('08_资产清单'!A432&lt;&gt;"","08_资产清单","")</f>
        <v/>
      </c>
      <c r="D3432" s="14">
        <f>IF('08_资产清单'!A432&lt;&gt;"",'08_资产清单'!A432,"")</f>
        <v/>
      </c>
      <c r="E3432" s="14">
        <f>IF(F3432&lt;&gt;"","综合校验","")</f>
        <v/>
      </c>
      <c r="F3432" s="14">
        <f>IF('08_资产清单'!A432&lt;&gt;"",IF('08_资产清单'!A432="","缺少资产ID；","")&amp;IF('08_资产清单'!B432="","缺少资产名称；","")&amp;IF('08_资产清单'!C432="","缺少对象ID；","")&amp;IF('08_资产清单'!D432="","缺少资产类别；","")&amp;IF('08_资产清单'!G432="","缺少文件名；","")&amp;IF(AND('08_资产清单'!C432&lt;&gt;"",COUNTIF('02_固定地理'!$A$2:$A$501,'08_资产清单'!C432)+COUNTIF('03_地点锚点'!$A$2:$A$501,'08_资产清单'!C432)+COUNTIF('04_路径网络'!$A$2:$A$501,'08_资产清单'!C432)+COUNTIF('06_建筑锚点'!$A$2:$A$501,'08_资产清单'!C432)=0),"资产引用对象不存在；","")&amp;IF(AND('08_资产清单'!E432&lt;&gt;"",COUNTIF('07_动态状态'!$A$2:$A$501,'08_资产清单'!E432)=0),"状态编码不存在；","")&amp;IF(AND('08_资产清单'!G432&lt;&gt;"",COUNTIF('08_资产清单'!$G$2:$G$501,'08_资产清单'!G432)&gt;1),"文件名重复；","")&amp;IF(AND('08_资产清单'!A432&lt;&gt;"",COUNTIF('08_资产清单'!$A$2:$A$501,'08_资产清单'!A432)&gt;1),"ID重复；",""),"")</f>
        <v/>
      </c>
      <c r="G3432" s="14">
        <f>IF(F3432&lt;&gt;"","按字段批注、数据字典和来源记录修正后复核","")</f>
        <v/>
      </c>
      <c r="H3432" s="14">
        <f>IF(F3432&lt;&gt;"","待处理","")</f>
        <v/>
      </c>
    </row>
    <row r="3433">
      <c r="A3433" s="14">
        <f>IF(F3433&lt;&gt;"","ISSUE-"&amp;TEXT(ROW()-1,"00000"),"")</f>
        <v/>
      </c>
      <c r="B3433" s="14">
        <f>IF(F3433&lt;&gt;"","错误","")</f>
        <v/>
      </c>
      <c r="C3433" s="14">
        <f>IF('08_资产清单'!A433&lt;&gt;"","08_资产清单","")</f>
        <v/>
      </c>
      <c r="D3433" s="14">
        <f>IF('08_资产清单'!A433&lt;&gt;"",'08_资产清单'!A433,"")</f>
        <v/>
      </c>
      <c r="E3433" s="14">
        <f>IF(F3433&lt;&gt;"","综合校验","")</f>
        <v/>
      </c>
      <c r="F3433" s="14">
        <f>IF('08_资产清单'!A433&lt;&gt;"",IF('08_资产清单'!A433="","缺少资产ID；","")&amp;IF('08_资产清单'!B433="","缺少资产名称；","")&amp;IF('08_资产清单'!C433="","缺少对象ID；","")&amp;IF('08_资产清单'!D433="","缺少资产类别；","")&amp;IF('08_资产清单'!G433="","缺少文件名；","")&amp;IF(AND('08_资产清单'!C433&lt;&gt;"",COUNTIF('02_固定地理'!$A$2:$A$501,'08_资产清单'!C433)+COUNTIF('03_地点锚点'!$A$2:$A$501,'08_资产清单'!C433)+COUNTIF('04_路径网络'!$A$2:$A$501,'08_资产清单'!C433)+COUNTIF('06_建筑锚点'!$A$2:$A$501,'08_资产清单'!C433)=0),"资产引用对象不存在；","")&amp;IF(AND('08_资产清单'!E433&lt;&gt;"",COUNTIF('07_动态状态'!$A$2:$A$501,'08_资产清单'!E433)=0),"状态编码不存在；","")&amp;IF(AND('08_资产清单'!G433&lt;&gt;"",COUNTIF('08_资产清单'!$G$2:$G$501,'08_资产清单'!G433)&gt;1),"文件名重复；","")&amp;IF(AND('08_资产清单'!A433&lt;&gt;"",COUNTIF('08_资产清单'!$A$2:$A$501,'08_资产清单'!A433)&gt;1),"ID重复；",""),"")</f>
        <v/>
      </c>
      <c r="G3433" s="14">
        <f>IF(F3433&lt;&gt;"","按字段批注、数据字典和来源记录修正后复核","")</f>
        <v/>
      </c>
      <c r="H3433" s="14">
        <f>IF(F3433&lt;&gt;"","待处理","")</f>
        <v/>
      </c>
    </row>
    <row r="3434">
      <c r="A3434" s="14">
        <f>IF(F3434&lt;&gt;"","ISSUE-"&amp;TEXT(ROW()-1,"00000"),"")</f>
        <v/>
      </c>
      <c r="B3434" s="14">
        <f>IF(F3434&lt;&gt;"","错误","")</f>
        <v/>
      </c>
      <c r="C3434" s="14">
        <f>IF('08_资产清单'!A434&lt;&gt;"","08_资产清单","")</f>
        <v/>
      </c>
      <c r="D3434" s="14">
        <f>IF('08_资产清单'!A434&lt;&gt;"",'08_资产清单'!A434,"")</f>
        <v/>
      </c>
      <c r="E3434" s="14">
        <f>IF(F3434&lt;&gt;"","综合校验","")</f>
        <v/>
      </c>
      <c r="F3434" s="14">
        <f>IF('08_资产清单'!A434&lt;&gt;"",IF('08_资产清单'!A434="","缺少资产ID；","")&amp;IF('08_资产清单'!B434="","缺少资产名称；","")&amp;IF('08_资产清单'!C434="","缺少对象ID；","")&amp;IF('08_资产清单'!D434="","缺少资产类别；","")&amp;IF('08_资产清单'!G434="","缺少文件名；","")&amp;IF(AND('08_资产清单'!C434&lt;&gt;"",COUNTIF('02_固定地理'!$A$2:$A$501,'08_资产清单'!C434)+COUNTIF('03_地点锚点'!$A$2:$A$501,'08_资产清单'!C434)+COUNTIF('04_路径网络'!$A$2:$A$501,'08_资产清单'!C434)+COUNTIF('06_建筑锚点'!$A$2:$A$501,'08_资产清单'!C434)=0),"资产引用对象不存在；","")&amp;IF(AND('08_资产清单'!E434&lt;&gt;"",COUNTIF('07_动态状态'!$A$2:$A$501,'08_资产清单'!E434)=0),"状态编码不存在；","")&amp;IF(AND('08_资产清单'!G434&lt;&gt;"",COUNTIF('08_资产清单'!$G$2:$G$501,'08_资产清单'!G434)&gt;1),"文件名重复；","")&amp;IF(AND('08_资产清单'!A434&lt;&gt;"",COUNTIF('08_资产清单'!$A$2:$A$501,'08_资产清单'!A434)&gt;1),"ID重复；",""),"")</f>
        <v/>
      </c>
      <c r="G3434" s="14">
        <f>IF(F3434&lt;&gt;"","按字段批注、数据字典和来源记录修正后复核","")</f>
        <v/>
      </c>
      <c r="H3434" s="14">
        <f>IF(F3434&lt;&gt;"","待处理","")</f>
        <v/>
      </c>
    </row>
    <row r="3435">
      <c r="A3435" s="14">
        <f>IF(F3435&lt;&gt;"","ISSUE-"&amp;TEXT(ROW()-1,"00000"),"")</f>
        <v/>
      </c>
      <c r="B3435" s="14">
        <f>IF(F3435&lt;&gt;"","错误","")</f>
        <v/>
      </c>
      <c r="C3435" s="14">
        <f>IF('08_资产清单'!A435&lt;&gt;"","08_资产清单","")</f>
        <v/>
      </c>
      <c r="D3435" s="14">
        <f>IF('08_资产清单'!A435&lt;&gt;"",'08_资产清单'!A435,"")</f>
        <v/>
      </c>
      <c r="E3435" s="14">
        <f>IF(F3435&lt;&gt;"","综合校验","")</f>
        <v/>
      </c>
      <c r="F3435" s="14">
        <f>IF('08_资产清单'!A435&lt;&gt;"",IF('08_资产清单'!A435="","缺少资产ID；","")&amp;IF('08_资产清单'!B435="","缺少资产名称；","")&amp;IF('08_资产清单'!C435="","缺少对象ID；","")&amp;IF('08_资产清单'!D435="","缺少资产类别；","")&amp;IF('08_资产清单'!G435="","缺少文件名；","")&amp;IF(AND('08_资产清单'!C435&lt;&gt;"",COUNTIF('02_固定地理'!$A$2:$A$501,'08_资产清单'!C435)+COUNTIF('03_地点锚点'!$A$2:$A$501,'08_资产清单'!C435)+COUNTIF('04_路径网络'!$A$2:$A$501,'08_资产清单'!C435)+COUNTIF('06_建筑锚点'!$A$2:$A$501,'08_资产清单'!C435)=0),"资产引用对象不存在；","")&amp;IF(AND('08_资产清单'!E435&lt;&gt;"",COUNTIF('07_动态状态'!$A$2:$A$501,'08_资产清单'!E435)=0),"状态编码不存在；","")&amp;IF(AND('08_资产清单'!G435&lt;&gt;"",COUNTIF('08_资产清单'!$G$2:$G$501,'08_资产清单'!G435)&gt;1),"文件名重复；","")&amp;IF(AND('08_资产清单'!A435&lt;&gt;"",COUNTIF('08_资产清单'!$A$2:$A$501,'08_资产清单'!A435)&gt;1),"ID重复；",""),"")</f>
        <v/>
      </c>
      <c r="G3435" s="14">
        <f>IF(F3435&lt;&gt;"","按字段批注、数据字典和来源记录修正后复核","")</f>
        <v/>
      </c>
      <c r="H3435" s="14">
        <f>IF(F3435&lt;&gt;"","待处理","")</f>
        <v/>
      </c>
    </row>
    <row r="3436">
      <c r="A3436" s="14">
        <f>IF(F3436&lt;&gt;"","ISSUE-"&amp;TEXT(ROW()-1,"00000"),"")</f>
        <v/>
      </c>
      <c r="B3436" s="14">
        <f>IF(F3436&lt;&gt;"","错误","")</f>
        <v/>
      </c>
      <c r="C3436" s="14">
        <f>IF('08_资产清单'!A436&lt;&gt;"","08_资产清单","")</f>
        <v/>
      </c>
      <c r="D3436" s="14">
        <f>IF('08_资产清单'!A436&lt;&gt;"",'08_资产清单'!A436,"")</f>
        <v/>
      </c>
      <c r="E3436" s="14">
        <f>IF(F3436&lt;&gt;"","综合校验","")</f>
        <v/>
      </c>
      <c r="F3436" s="14">
        <f>IF('08_资产清单'!A436&lt;&gt;"",IF('08_资产清单'!A436="","缺少资产ID；","")&amp;IF('08_资产清单'!B436="","缺少资产名称；","")&amp;IF('08_资产清单'!C436="","缺少对象ID；","")&amp;IF('08_资产清单'!D436="","缺少资产类别；","")&amp;IF('08_资产清单'!G436="","缺少文件名；","")&amp;IF(AND('08_资产清单'!C436&lt;&gt;"",COUNTIF('02_固定地理'!$A$2:$A$501,'08_资产清单'!C436)+COUNTIF('03_地点锚点'!$A$2:$A$501,'08_资产清单'!C436)+COUNTIF('04_路径网络'!$A$2:$A$501,'08_资产清单'!C436)+COUNTIF('06_建筑锚点'!$A$2:$A$501,'08_资产清单'!C436)=0),"资产引用对象不存在；","")&amp;IF(AND('08_资产清单'!E436&lt;&gt;"",COUNTIF('07_动态状态'!$A$2:$A$501,'08_资产清单'!E436)=0),"状态编码不存在；","")&amp;IF(AND('08_资产清单'!G436&lt;&gt;"",COUNTIF('08_资产清单'!$G$2:$G$501,'08_资产清单'!G436)&gt;1),"文件名重复；","")&amp;IF(AND('08_资产清单'!A436&lt;&gt;"",COUNTIF('08_资产清单'!$A$2:$A$501,'08_资产清单'!A436)&gt;1),"ID重复；",""),"")</f>
        <v/>
      </c>
      <c r="G3436" s="14">
        <f>IF(F3436&lt;&gt;"","按字段批注、数据字典和来源记录修正后复核","")</f>
        <v/>
      </c>
      <c r="H3436" s="14">
        <f>IF(F3436&lt;&gt;"","待处理","")</f>
        <v/>
      </c>
    </row>
    <row r="3437">
      <c r="A3437" s="14">
        <f>IF(F3437&lt;&gt;"","ISSUE-"&amp;TEXT(ROW()-1,"00000"),"")</f>
        <v/>
      </c>
      <c r="B3437" s="14">
        <f>IF(F3437&lt;&gt;"","错误","")</f>
        <v/>
      </c>
      <c r="C3437" s="14">
        <f>IF('08_资产清单'!A437&lt;&gt;"","08_资产清单","")</f>
        <v/>
      </c>
      <c r="D3437" s="14">
        <f>IF('08_资产清单'!A437&lt;&gt;"",'08_资产清单'!A437,"")</f>
        <v/>
      </c>
      <c r="E3437" s="14">
        <f>IF(F3437&lt;&gt;"","综合校验","")</f>
        <v/>
      </c>
      <c r="F3437" s="14">
        <f>IF('08_资产清单'!A437&lt;&gt;"",IF('08_资产清单'!A437="","缺少资产ID；","")&amp;IF('08_资产清单'!B437="","缺少资产名称；","")&amp;IF('08_资产清单'!C437="","缺少对象ID；","")&amp;IF('08_资产清单'!D437="","缺少资产类别；","")&amp;IF('08_资产清单'!G437="","缺少文件名；","")&amp;IF(AND('08_资产清单'!C437&lt;&gt;"",COUNTIF('02_固定地理'!$A$2:$A$501,'08_资产清单'!C437)+COUNTIF('03_地点锚点'!$A$2:$A$501,'08_资产清单'!C437)+COUNTIF('04_路径网络'!$A$2:$A$501,'08_资产清单'!C437)+COUNTIF('06_建筑锚点'!$A$2:$A$501,'08_资产清单'!C437)=0),"资产引用对象不存在；","")&amp;IF(AND('08_资产清单'!E437&lt;&gt;"",COUNTIF('07_动态状态'!$A$2:$A$501,'08_资产清单'!E437)=0),"状态编码不存在；","")&amp;IF(AND('08_资产清单'!G437&lt;&gt;"",COUNTIF('08_资产清单'!$G$2:$G$501,'08_资产清单'!G437)&gt;1),"文件名重复；","")&amp;IF(AND('08_资产清单'!A437&lt;&gt;"",COUNTIF('08_资产清单'!$A$2:$A$501,'08_资产清单'!A437)&gt;1),"ID重复；",""),"")</f>
        <v/>
      </c>
      <c r="G3437" s="14">
        <f>IF(F3437&lt;&gt;"","按字段批注、数据字典和来源记录修正后复核","")</f>
        <v/>
      </c>
      <c r="H3437" s="14">
        <f>IF(F3437&lt;&gt;"","待处理","")</f>
        <v/>
      </c>
    </row>
    <row r="3438">
      <c r="A3438" s="14">
        <f>IF(F3438&lt;&gt;"","ISSUE-"&amp;TEXT(ROW()-1,"00000"),"")</f>
        <v/>
      </c>
      <c r="B3438" s="14">
        <f>IF(F3438&lt;&gt;"","错误","")</f>
        <v/>
      </c>
      <c r="C3438" s="14">
        <f>IF('08_资产清单'!A438&lt;&gt;"","08_资产清单","")</f>
        <v/>
      </c>
      <c r="D3438" s="14">
        <f>IF('08_资产清单'!A438&lt;&gt;"",'08_资产清单'!A438,"")</f>
        <v/>
      </c>
      <c r="E3438" s="14">
        <f>IF(F3438&lt;&gt;"","综合校验","")</f>
        <v/>
      </c>
      <c r="F3438" s="14">
        <f>IF('08_资产清单'!A438&lt;&gt;"",IF('08_资产清单'!A438="","缺少资产ID；","")&amp;IF('08_资产清单'!B438="","缺少资产名称；","")&amp;IF('08_资产清单'!C438="","缺少对象ID；","")&amp;IF('08_资产清单'!D438="","缺少资产类别；","")&amp;IF('08_资产清单'!G438="","缺少文件名；","")&amp;IF(AND('08_资产清单'!C438&lt;&gt;"",COUNTIF('02_固定地理'!$A$2:$A$501,'08_资产清单'!C438)+COUNTIF('03_地点锚点'!$A$2:$A$501,'08_资产清单'!C438)+COUNTIF('04_路径网络'!$A$2:$A$501,'08_资产清单'!C438)+COUNTIF('06_建筑锚点'!$A$2:$A$501,'08_资产清单'!C438)=0),"资产引用对象不存在；","")&amp;IF(AND('08_资产清单'!E438&lt;&gt;"",COUNTIF('07_动态状态'!$A$2:$A$501,'08_资产清单'!E438)=0),"状态编码不存在；","")&amp;IF(AND('08_资产清单'!G438&lt;&gt;"",COUNTIF('08_资产清单'!$G$2:$G$501,'08_资产清单'!G438)&gt;1),"文件名重复；","")&amp;IF(AND('08_资产清单'!A438&lt;&gt;"",COUNTIF('08_资产清单'!$A$2:$A$501,'08_资产清单'!A438)&gt;1),"ID重复；",""),"")</f>
        <v/>
      </c>
      <c r="G3438" s="14">
        <f>IF(F3438&lt;&gt;"","按字段批注、数据字典和来源记录修正后复核","")</f>
        <v/>
      </c>
      <c r="H3438" s="14">
        <f>IF(F3438&lt;&gt;"","待处理","")</f>
        <v/>
      </c>
    </row>
    <row r="3439">
      <c r="A3439" s="14">
        <f>IF(F3439&lt;&gt;"","ISSUE-"&amp;TEXT(ROW()-1,"00000"),"")</f>
        <v/>
      </c>
      <c r="B3439" s="14">
        <f>IF(F3439&lt;&gt;"","错误","")</f>
        <v/>
      </c>
      <c r="C3439" s="14">
        <f>IF('08_资产清单'!A439&lt;&gt;"","08_资产清单","")</f>
        <v/>
      </c>
      <c r="D3439" s="14">
        <f>IF('08_资产清单'!A439&lt;&gt;"",'08_资产清单'!A439,"")</f>
        <v/>
      </c>
      <c r="E3439" s="14">
        <f>IF(F3439&lt;&gt;"","综合校验","")</f>
        <v/>
      </c>
      <c r="F3439" s="14">
        <f>IF('08_资产清单'!A439&lt;&gt;"",IF('08_资产清单'!A439="","缺少资产ID；","")&amp;IF('08_资产清单'!B439="","缺少资产名称；","")&amp;IF('08_资产清单'!C439="","缺少对象ID；","")&amp;IF('08_资产清单'!D439="","缺少资产类别；","")&amp;IF('08_资产清单'!G439="","缺少文件名；","")&amp;IF(AND('08_资产清单'!C439&lt;&gt;"",COUNTIF('02_固定地理'!$A$2:$A$501,'08_资产清单'!C439)+COUNTIF('03_地点锚点'!$A$2:$A$501,'08_资产清单'!C439)+COUNTIF('04_路径网络'!$A$2:$A$501,'08_资产清单'!C439)+COUNTIF('06_建筑锚点'!$A$2:$A$501,'08_资产清单'!C439)=0),"资产引用对象不存在；","")&amp;IF(AND('08_资产清单'!E439&lt;&gt;"",COUNTIF('07_动态状态'!$A$2:$A$501,'08_资产清单'!E439)=0),"状态编码不存在；","")&amp;IF(AND('08_资产清单'!G439&lt;&gt;"",COUNTIF('08_资产清单'!$G$2:$G$501,'08_资产清单'!G439)&gt;1),"文件名重复；","")&amp;IF(AND('08_资产清单'!A439&lt;&gt;"",COUNTIF('08_资产清单'!$A$2:$A$501,'08_资产清单'!A439)&gt;1),"ID重复；",""),"")</f>
        <v/>
      </c>
      <c r="G3439" s="14">
        <f>IF(F3439&lt;&gt;"","按字段批注、数据字典和来源记录修正后复核","")</f>
        <v/>
      </c>
      <c r="H3439" s="14">
        <f>IF(F3439&lt;&gt;"","待处理","")</f>
        <v/>
      </c>
    </row>
    <row r="3440">
      <c r="A3440" s="14">
        <f>IF(F3440&lt;&gt;"","ISSUE-"&amp;TEXT(ROW()-1,"00000"),"")</f>
        <v/>
      </c>
      <c r="B3440" s="14">
        <f>IF(F3440&lt;&gt;"","错误","")</f>
        <v/>
      </c>
      <c r="C3440" s="14">
        <f>IF('08_资产清单'!A440&lt;&gt;"","08_资产清单","")</f>
        <v/>
      </c>
      <c r="D3440" s="14">
        <f>IF('08_资产清单'!A440&lt;&gt;"",'08_资产清单'!A440,"")</f>
        <v/>
      </c>
      <c r="E3440" s="14">
        <f>IF(F3440&lt;&gt;"","综合校验","")</f>
        <v/>
      </c>
      <c r="F3440" s="14">
        <f>IF('08_资产清单'!A440&lt;&gt;"",IF('08_资产清单'!A440="","缺少资产ID；","")&amp;IF('08_资产清单'!B440="","缺少资产名称；","")&amp;IF('08_资产清单'!C440="","缺少对象ID；","")&amp;IF('08_资产清单'!D440="","缺少资产类别；","")&amp;IF('08_资产清单'!G440="","缺少文件名；","")&amp;IF(AND('08_资产清单'!C440&lt;&gt;"",COUNTIF('02_固定地理'!$A$2:$A$501,'08_资产清单'!C440)+COUNTIF('03_地点锚点'!$A$2:$A$501,'08_资产清单'!C440)+COUNTIF('04_路径网络'!$A$2:$A$501,'08_资产清单'!C440)+COUNTIF('06_建筑锚点'!$A$2:$A$501,'08_资产清单'!C440)=0),"资产引用对象不存在；","")&amp;IF(AND('08_资产清单'!E440&lt;&gt;"",COUNTIF('07_动态状态'!$A$2:$A$501,'08_资产清单'!E440)=0),"状态编码不存在；","")&amp;IF(AND('08_资产清单'!G440&lt;&gt;"",COUNTIF('08_资产清单'!$G$2:$G$501,'08_资产清单'!G440)&gt;1),"文件名重复；","")&amp;IF(AND('08_资产清单'!A440&lt;&gt;"",COUNTIF('08_资产清单'!$A$2:$A$501,'08_资产清单'!A440)&gt;1),"ID重复；",""),"")</f>
        <v/>
      </c>
      <c r="G3440" s="14">
        <f>IF(F3440&lt;&gt;"","按字段批注、数据字典和来源记录修正后复核","")</f>
        <v/>
      </c>
      <c r="H3440" s="14">
        <f>IF(F3440&lt;&gt;"","待处理","")</f>
        <v/>
      </c>
    </row>
    <row r="3441">
      <c r="A3441" s="14">
        <f>IF(F3441&lt;&gt;"","ISSUE-"&amp;TEXT(ROW()-1,"00000"),"")</f>
        <v/>
      </c>
      <c r="B3441" s="14">
        <f>IF(F3441&lt;&gt;"","错误","")</f>
        <v/>
      </c>
      <c r="C3441" s="14">
        <f>IF('08_资产清单'!A441&lt;&gt;"","08_资产清单","")</f>
        <v/>
      </c>
      <c r="D3441" s="14">
        <f>IF('08_资产清单'!A441&lt;&gt;"",'08_资产清单'!A441,"")</f>
        <v/>
      </c>
      <c r="E3441" s="14">
        <f>IF(F3441&lt;&gt;"","综合校验","")</f>
        <v/>
      </c>
      <c r="F3441" s="14">
        <f>IF('08_资产清单'!A441&lt;&gt;"",IF('08_资产清单'!A441="","缺少资产ID；","")&amp;IF('08_资产清单'!B441="","缺少资产名称；","")&amp;IF('08_资产清单'!C441="","缺少对象ID；","")&amp;IF('08_资产清单'!D441="","缺少资产类别；","")&amp;IF('08_资产清单'!G441="","缺少文件名；","")&amp;IF(AND('08_资产清单'!C441&lt;&gt;"",COUNTIF('02_固定地理'!$A$2:$A$501,'08_资产清单'!C441)+COUNTIF('03_地点锚点'!$A$2:$A$501,'08_资产清单'!C441)+COUNTIF('04_路径网络'!$A$2:$A$501,'08_资产清单'!C441)+COUNTIF('06_建筑锚点'!$A$2:$A$501,'08_资产清单'!C441)=0),"资产引用对象不存在；","")&amp;IF(AND('08_资产清单'!E441&lt;&gt;"",COUNTIF('07_动态状态'!$A$2:$A$501,'08_资产清单'!E441)=0),"状态编码不存在；","")&amp;IF(AND('08_资产清单'!G441&lt;&gt;"",COUNTIF('08_资产清单'!$G$2:$G$501,'08_资产清单'!G441)&gt;1),"文件名重复；","")&amp;IF(AND('08_资产清单'!A441&lt;&gt;"",COUNTIF('08_资产清单'!$A$2:$A$501,'08_资产清单'!A441)&gt;1),"ID重复；",""),"")</f>
        <v/>
      </c>
      <c r="G3441" s="14">
        <f>IF(F3441&lt;&gt;"","按字段批注、数据字典和来源记录修正后复核","")</f>
        <v/>
      </c>
      <c r="H3441" s="14">
        <f>IF(F3441&lt;&gt;"","待处理","")</f>
        <v/>
      </c>
    </row>
    <row r="3442">
      <c r="A3442" s="14">
        <f>IF(F3442&lt;&gt;"","ISSUE-"&amp;TEXT(ROW()-1,"00000"),"")</f>
        <v/>
      </c>
      <c r="B3442" s="14">
        <f>IF(F3442&lt;&gt;"","错误","")</f>
        <v/>
      </c>
      <c r="C3442" s="14">
        <f>IF('08_资产清单'!A442&lt;&gt;"","08_资产清单","")</f>
        <v/>
      </c>
      <c r="D3442" s="14">
        <f>IF('08_资产清单'!A442&lt;&gt;"",'08_资产清单'!A442,"")</f>
        <v/>
      </c>
      <c r="E3442" s="14">
        <f>IF(F3442&lt;&gt;"","综合校验","")</f>
        <v/>
      </c>
      <c r="F3442" s="14">
        <f>IF('08_资产清单'!A442&lt;&gt;"",IF('08_资产清单'!A442="","缺少资产ID；","")&amp;IF('08_资产清单'!B442="","缺少资产名称；","")&amp;IF('08_资产清单'!C442="","缺少对象ID；","")&amp;IF('08_资产清单'!D442="","缺少资产类别；","")&amp;IF('08_资产清单'!G442="","缺少文件名；","")&amp;IF(AND('08_资产清单'!C442&lt;&gt;"",COUNTIF('02_固定地理'!$A$2:$A$501,'08_资产清单'!C442)+COUNTIF('03_地点锚点'!$A$2:$A$501,'08_资产清单'!C442)+COUNTIF('04_路径网络'!$A$2:$A$501,'08_资产清单'!C442)+COUNTIF('06_建筑锚点'!$A$2:$A$501,'08_资产清单'!C442)=0),"资产引用对象不存在；","")&amp;IF(AND('08_资产清单'!E442&lt;&gt;"",COUNTIF('07_动态状态'!$A$2:$A$501,'08_资产清单'!E442)=0),"状态编码不存在；","")&amp;IF(AND('08_资产清单'!G442&lt;&gt;"",COUNTIF('08_资产清单'!$G$2:$G$501,'08_资产清单'!G442)&gt;1),"文件名重复；","")&amp;IF(AND('08_资产清单'!A442&lt;&gt;"",COUNTIF('08_资产清单'!$A$2:$A$501,'08_资产清单'!A442)&gt;1),"ID重复；",""),"")</f>
        <v/>
      </c>
      <c r="G3442" s="14">
        <f>IF(F3442&lt;&gt;"","按字段批注、数据字典和来源记录修正后复核","")</f>
        <v/>
      </c>
      <c r="H3442" s="14">
        <f>IF(F3442&lt;&gt;"","待处理","")</f>
        <v/>
      </c>
    </row>
    <row r="3443">
      <c r="A3443" s="14">
        <f>IF(F3443&lt;&gt;"","ISSUE-"&amp;TEXT(ROW()-1,"00000"),"")</f>
        <v/>
      </c>
      <c r="B3443" s="14">
        <f>IF(F3443&lt;&gt;"","错误","")</f>
        <v/>
      </c>
      <c r="C3443" s="14">
        <f>IF('08_资产清单'!A443&lt;&gt;"","08_资产清单","")</f>
        <v/>
      </c>
      <c r="D3443" s="14">
        <f>IF('08_资产清单'!A443&lt;&gt;"",'08_资产清单'!A443,"")</f>
        <v/>
      </c>
      <c r="E3443" s="14">
        <f>IF(F3443&lt;&gt;"","综合校验","")</f>
        <v/>
      </c>
      <c r="F3443" s="14">
        <f>IF('08_资产清单'!A443&lt;&gt;"",IF('08_资产清单'!A443="","缺少资产ID；","")&amp;IF('08_资产清单'!B443="","缺少资产名称；","")&amp;IF('08_资产清单'!C443="","缺少对象ID；","")&amp;IF('08_资产清单'!D443="","缺少资产类别；","")&amp;IF('08_资产清单'!G443="","缺少文件名；","")&amp;IF(AND('08_资产清单'!C443&lt;&gt;"",COUNTIF('02_固定地理'!$A$2:$A$501,'08_资产清单'!C443)+COUNTIF('03_地点锚点'!$A$2:$A$501,'08_资产清单'!C443)+COUNTIF('04_路径网络'!$A$2:$A$501,'08_资产清单'!C443)+COUNTIF('06_建筑锚点'!$A$2:$A$501,'08_资产清单'!C443)=0),"资产引用对象不存在；","")&amp;IF(AND('08_资产清单'!E443&lt;&gt;"",COUNTIF('07_动态状态'!$A$2:$A$501,'08_资产清单'!E443)=0),"状态编码不存在；","")&amp;IF(AND('08_资产清单'!G443&lt;&gt;"",COUNTIF('08_资产清单'!$G$2:$G$501,'08_资产清单'!G443)&gt;1),"文件名重复；","")&amp;IF(AND('08_资产清单'!A443&lt;&gt;"",COUNTIF('08_资产清单'!$A$2:$A$501,'08_资产清单'!A443)&gt;1),"ID重复；",""),"")</f>
        <v/>
      </c>
      <c r="G3443" s="14">
        <f>IF(F3443&lt;&gt;"","按字段批注、数据字典和来源记录修正后复核","")</f>
        <v/>
      </c>
      <c r="H3443" s="14">
        <f>IF(F3443&lt;&gt;"","待处理","")</f>
        <v/>
      </c>
    </row>
    <row r="3444">
      <c r="A3444" s="14">
        <f>IF(F3444&lt;&gt;"","ISSUE-"&amp;TEXT(ROW()-1,"00000"),"")</f>
        <v/>
      </c>
      <c r="B3444" s="14">
        <f>IF(F3444&lt;&gt;"","错误","")</f>
        <v/>
      </c>
      <c r="C3444" s="14">
        <f>IF('08_资产清单'!A444&lt;&gt;"","08_资产清单","")</f>
        <v/>
      </c>
      <c r="D3444" s="14">
        <f>IF('08_资产清单'!A444&lt;&gt;"",'08_资产清单'!A444,"")</f>
        <v/>
      </c>
      <c r="E3444" s="14">
        <f>IF(F3444&lt;&gt;"","综合校验","")</f>
        <v/>
      </c>
      <c r="F3444" s="14">
        <f>IF('08_资产清单'!A444&lt;&gt;"",IF('08_资产清单'!A444="","缺少资产ID；","")&amp;IF('08_资产清单'!B444="","缺少资产名称；","")&amp;IF('08_资产清单'!C444="","缺少对象ID；","")&amp;IF('08_资产清单'!D444="","缺少资产类别；","")&amp;IF('08_资产清单'!G444="","缺少文件名；","")&amp;IF(AND('08_资产清单'!C444&lt;&gt;"",COUNTIF('02_固定地理'!$A$2:$A$501,'08_资产清单'!C444)+COUNTIF('03_地点锚点'!$A$2:$A$501,'08_资产清单'!C444)+COUNTIF('04_路径网络'!$A$2:$A$501,'08_资产清单'!C444)+COUNTIF('06_建筑锚点'!$A$2:$A$501,'08_资产清单'!C444)=0),"资产引用对象不存在；","")&amp;IF(AND('08_资产清单'!E444&lt;&gt;"",COUNTIF('07_动态状态'!$A$2:$A$501,'08_资产清单'!E444)=0),"状态编码不存在；","")&amp;IF(AND('08_资产清单'!G444&lt;&gt;"",COUNTIF('08_资产清单'!$G$2:$G$501,'08_资产清单'!G444)&gt;1),"文件名重复；","")&amp;IF(AND('08_资产清单'!A444&lt;&gt;"",COUNTIF('08_资产清单'!$A$2:$A$501,'08_资产清单'!A444)&gt;1),"ID重复；",""),"")</f>
        <v/>
      </c>
      <c r="G3444" s="14">
        <f>IF(F3444&lt;&gt;"","按字段批注、数据字典和来源记录修正后复核","")</f>
        <v/>
      </c>
      <c r="H3444" s="14">
        <f>IF(F3444&lt;&gt;"","待处理","")</f>
        <v/>
      </c>
    </row>
    <row r="3445">
      <c r="A3445" s="14">
        <f>IF(F3445&lt;&gt;"","ISSUE-"&amp;TEXT(ROW()-1,"00000"),"")</f>
        <v/>
      </c>
      <c r="B3445" s="14">
        <f>IF(F3445&lt;&gt;"","错误","")</f>
        <v/>
      </c>
      <c r="C3445" s="14">
        <f>IF('08_资产清单'!A445&lt;&gt;"","08_资产清单","")</f>
        <v/>
      </c>
      <c r="D3445" s="14">
        <f>IF('08_资产清单'!A445&lt;&gt;"",'08_资产清单'!A445,"")</f>
        <v/>
      </c>
      <c r="E3445" s="14">
        <f>IF(F3445&lt;&gt;"","综合校验","")</f>
        <v/>
      </c>
      <c r="F3445" s="14">
        <f>IF('08_资产清单'!A445&lt;&gt;"",IF('08_资产清单'!A445="","缺少资产ID；","")&amp;IF('08_资产清单'!B445="","缺少资产名称；","")&amp;IF('08_资产清单'!C445="","缺少对象ID；","")&amp;IF('08_资产清单'!D445="","缺少资产类别；","")&amp;IF('08_资产清单'!G445="","缺少文件名；","")&amp;IF(AND('08_资产清单'!C445&lt;&gt;"",COUNTIF('02_固定地理'!$A$2:$A$501,'08_资产清单'!C445)+COUNTIF('03_地点锚点'!$A$2:$A$501,'08_资产清单'!C445)+COUNTIF('04_路径网络'!$A$2:$A$501,'08_资产清单'!C445)+COUNTIF('06_建筑锚点'!$A$2:$A$501,'08_资产清单'!C445)=0),"资产引用对象不存在；","")&amp;IF(AND('08_资产清单'!E445&lt;&gt;"",COUNTIF('07_动态状态'!$A$2:$A$501,'08_资产清单'!E445)=0),"状态编码不存在；","")&amp;IF(AND('08_资产清单'!G445&lt;&gt;"",COUNTIF('08_资产清单'!$G$2:$G$501,'08_资产清单'!G445)&gt;1),"文件名重复；","")&amp;IF(AND('08_资产清单'!A445&lt;&gt;"",COUNTIF('08_资产清单'!$A$2:$A$501,'08_资产清单'!A445)&gt;1),"ID重复；",""),"")</f>
        <v/>
      </c>
      <c r="G3445" s="14">
        <f>IF(F3445&lt;&gt;"","按字段批注、数据字典和来源记录修正后复核","")</f>
        <v/>
      </c>
      <c r="H3445" s="14">
        <f>IF(F3445&lt;&gt;"","待处理","")</f>
        <v/>
      </c>
    </row>
    <row r="3446">
      <c r="A3446" s="14">
        <f>IF(F3446&lt;&gt;"","ISSUE-"&amp;TEXT(ROW()-1,"00000"),"")</f>
        <v/>
      </c>
      <c r="B3446" s="14">
        <f>IF(F3446&lt;&gt;"","错误","")</f>
        <v/>
      </c>
      <c r="C3446" s="14">
        <f>IF('08_资产清单'!A446&lt;&gt;"","08_资产清单","")</f>
        <v/>
      </c>
      <c r="D3446" s="14">
        <f>IF('08_资产清单'!A446&lt;&gt;"",'08_资产清单'!A446,"")</f>
        <v/>
      </c>
      <c r="E3446" s="14">
        <f>IF(F3446&lt;&gt;"","综合校验","")</f>
        <v/>
      </c>
      <c r="F3446" s="14">
        <f>IF('08_资产清单'!A446&lt;&gt;"",IF('08_资产清单'!A446="","缺少资产ID；","")&amp;IF('08_资产清单'!B446="","缺少资产名称；","")&amp;IF('08_资产清单'!C446="","缺少对象ID；","")&amp;IF('08_资产清单'!D446="","缺少资产类别；","")&amp;IF('08_资产清单'!G446="","缺少文件名；","")&amp;IF(AND('08_资产清单'!C446&lt;&gt;"",COUNTIF('02_固定地理'!$A$2:$A$501,'08_资产清单'!C446)+COUNTIF('03_地点锚点'!$A$2:$A$501,'08_资产清单'!C446)+COUNTIF('04_路径网络'!$A$2:$A$501,'08_资产清单'!C446)+COUNTIF('06_建筑锚点'!$A$2:$A$501,'08_资产清单'!C446)=0),"资产引用对象不存在；","")&amp;IF(AND('08_资产清单'!E446&lt;&gt;"",COUNTIF('07_动态状态'!$A$2:$A$501,'08_资产清单'!E446)=0),"状态编码不存在；","")&amp;IF(AND('08_资产清单'!G446&lt;&gt;"",COUNTIF('08_资产清单'!$G$2:$G$501,'08_资产清单'!G446)&gt;1),"文件名重复；","")&amp;IF(AND('08_资产清单'!A446&lt;&gt;"",COUNTIF('08_资产清单'!$A$2:$A$501,'08_资产清单'!A446)&gt;1),"ID重复；",""),"")</f>
        <v/>
      </c>
      <c r="G3446" s="14">
        <f>IF(F3446&lt;&gt;"","按字段批注、数据字典和来源记录修正后复核","")</f>
        <v/>
      </c>
      <c r="H3446" s="14">
        <f>IF(F3446&lt;&gt;"","待处理","")</f>
        <v/>
      </c>
    </row>
    <row r="3447">
      <c r="A3447" s="14">
        <f>IF(F3447&lt;&gt;"","ISSUE-"&amp;TEXT(ROW()-1,"00000"),"")</f>
        <v/>
      </c>
      <c r="B3447" s="14">
        <f>IF(F3447&lt;&gt;"","错误","")</f>
        <v/>
      </c>
      <c r="C3447" s="14">
        <f>IF('08_资产清单'!A447&lt;&gt;"","08_资产清单","")</f>
        <v/>
      </c>
      <c r="D3447" s="14">
        <f>IF('08_资产清单'!A447&lt;&gt;"",'08_资产清单'!A447,"")</f>
        <v/>
      </c>
      <c r="E3447" s="14">
        <f>IF(F3447&lt;&gt;"","综合校验","")</f>
        <v/>
      </c>
      <c r="F3447" s="14">
        <f>IF('08_资产清单'!A447&lt;&gt;"",IF('08_资产清单'!A447="","缺少资产ID；","")&amp;IF('08_资产清单'!B447="","缺少资产名称；","")&amp;IF('08_资产清单'!C447="","缺少对象ID；","")&amp;IF('08_资产清单'!D447="","缺少资产类别；","")&amp;IF('08_资产清单'!G447="","缺少文件名；","")&amp;IF(AND('08_资产清单'!C447&lt;&gt;"",COUNTIF('02_固定地理'!$A$2:$A$501,'08_资产清单'!C447)+COUNTIF('03_地点锚点'!$A$2:$A$501,'08_资产清单'!C447)+COUNTIF('04_路径网络'!$A$2:$A$501,'08_资产清单'!C447)+COUNTIF('06_建筑锚点'!$A$2:$A$501,'08_资产清单'!C447)=0),"资产引用对象不存在；","")&amp;IF(AND('08_资产清单'!E447&lt;&gt;"",COUNTIF('07_动态状态'!$A$2:$A$501,'08_资产清单'!E447)=0),"状态编码不存在；","")&amp;IF(AND('08_资产清单'!G447&lt;&gt;"",COUNTIF('08_资产清单'!$G$2:$G$501,'08_资产清单'!G447)&gt;1),"文件名重复；","")&amp;IF(AND('08_资产清单'!A447&lt;&gt;"",COUNTIF('08_资产清单'!$A$2:$A$501,'08_资产清单'!A447)&gt;1),"ID重复；",""),"")</f>
        <v/>
      </c>
      <c r="G3447" s="14">
        <f>IF(F3447&lt;&gt;"","按字段批注、数据字典和来源记录修正后复核","")</f>
        <v/>
      </c>
      <c r="H3447" s="14">
        <f>IF(F3447&lt;&gt;"","待处理","")</f>
        <v/>
      </c>
    </row>
    <row r="3448">
      <c r="A3448" s="14">
        <f>IF(F3448&lt;&gt;"","ISSUE-"&amp;TEXT(ROW()-1,"00000"),"")</f>
        <v/>
      </c>
      <c r="B3448" s="14">
        <f>IF(F3448&lt;&gt;"","错误","")</f>
        <v/>
      </c>
      <c r="C3448" s="14">
        <f>IF('08_资产清单'!A448&lt;&gt;"","08_资产清单","")</f>
        <v/>
      </c>
      <c r="D3448" s="14">
        <f>IF('08_资产清单'!A448&lt;&gt;"",'08_资产清单'!A448,"")</f>
        <v/>
      </c>
      <c r="E3448" s="14">
        <f>IF(F3448&lt;&gt;"","综合校验","")</f>
        <v/>
      </c>
      <c r="F3448" s="14">
        <f>IF('08_资产清单'!A448&lt;&gt;"",IF('08_资产清单'!A448="","缺少资产ID；","")&amp;IF('08_资产清单'!B448="","缺少资产名称；","")&amp;IF('08_资产清单'!C448="","缺少对象ID；","")&amp;IF('08_资产清单'!D448="","缺少资产类别；","")&amp;IF('08_资产清单'!G448="","缺少文件名；","")&amp;IF(AND('08_资产清单'!C448&lt;&gt;"",COUNTIF('02_固定地理'!$A$2:$A$501,'08_资产清单'!C448)+COUNTIF('03_地点锚点'!$A$2:$A$501,'08_资产清单'!C448)+COUNTIF('04_路径网络'!$A$2:$A$501,'08_资产清单'!C448)+COUNTIF('06_建筑锚点'!$A$2:$A$501,'08_资产清单'!C448)=0),"资产引用对象不存在；","")&amp;IF(AND('08_资产清单'!E448&lt;&gt;"",COUNTIF('07_动态状态'!$A$2:$A$501,'08_资产清单'!E448)=0),"状态编码不存在；","")&amp;IF(AND('08_资产清单'!G448&lt;&gt;"",COUNTIF('08_资产清单'!$G$2:$G$501,'08_资产清单'!G448)&gt;1),"文件名重复；","")&amp;IF(AND('08_资产清单'!A448&lt;&gt;"",COUNTIF('08_资产清单'!$A$2:$A$501,'08_资产清单'!A448)&gt;1),"ID重复；",""),"")</f>
        <v/>
      </c>
      <c r="G3448" s="14">
        <f>IF(F3448&lt;&gt;"","按字段批注、数据字典和来源记录修正后复核","")</f>
        <v/>
      </c>
      <c r="H3448" s="14">
        <f>IF(F3448&lt;&gt;"","待处理","")</f>
        <v/>
      </c>
    </row>
    <row r="3449">
      <c r="A3449" s="14">
        <f>IF(F3449&lt;&gt;"","ISSUE-"&amp;TEXT(ROW()-1,"00000"),"")</f>
        <v/>
      </c>
      <c r="B3449" s="14">
        <f>IF(F3449&lt;&gt;"","错误","")</f>
        <v/>
      </c>
      <c r="C3449" s="14">
        <f>IF('08_资产清单'!A449&lt;&gt;"","08_资产清单","")</f>
        <v/>
      </c>
      <c r="D3449" s="14">
        <f>IF('08_资产清单'!A449&lt;&gt;"",'08_资产清单'!A449,"")</f>
        <v/>
      </c>
      <c r="E3449" s="14">
        <f>IF(F3449&lt;&gt;"","综合校验","")</f>
        <v/>
      </c>
      <c r="F3449" s="14">
        <f>IF('08_资产清单'!A449&lt;&gt;"",IF('08_资产清单'!A449="","缺少资产ID；","")&amp;IF('08_资产清单'!B449="","缺少资产名称；","")&amp;IF('08_资产清单'!C449="","缺少对象ID；","")&amp;IF('08_资产清单'!D449="","缺少资产类别；","")&amp;IF('08_资产清单'!G449="","缺少文件名；","")&amp;IF(AND('08_资产清单'!C449&lt;&gt;"",COUNTIF('02_固定地理'!$A$2:$A$501,'08_资产清单'!C449)+COUNTIF('03_地点锚点'!$A$2:$A$501,'08_资产清单'!C449)+COUNTIF('04_路径网络'!$A$2:$A$501,'08_资产清单'!C449)+COUNTIF('06_建筑锚点'!$A$2:$A$501,'08_资产清单'!C449)=0),"资产引用对象不存在；","")&amp;IF(AND('08_资产清单'!E449&lt;&gt;"",COUNTIF('07_动态状态'!$A$2:$A$501,'08_资产清单'!E449)=0),"状态编码不存在；","")&amp;IF(AND('08_资产清单'!G449&lt;&gt;"",COUNTIF('08_资产清单'!$G$2:$G$501,'08_资产清单'!G449)&gt;1),"文件名重复；","")&amp;IF(AND('08_资产清单'!A449&lt;&gt;"",COUNTIF('08_资产清单'!$A$2:$A$501,'08_资产清单'!A449)&gt;1),"ID重复；",""),"")</f>
        <v/>
      </c>
      <c r="G3449" s="14">
        <f>IF(F3449&lt;&gt;"","按字段批注、数据字典和来源记录修正后复核","")</f>
        <v/>
      </c>
      <c r="H3449" s="14">
        <f>IF(F3449&lt;&gt;"","待处理","")</f>
        <v/>
      </c>
    </row>
    <row r="3450">
      <c r="A3450" s="14">
        <f>IF(F3450&lt;&gt;"","ISSUE-"&amp;TEXT(ROW()-1,"00000"),"")</f>
        <v/>
      </c>
      <c r="B3450" s="14">
        <f>IF(F3450&lt;&gt;"","错误","")</f>
        <v/>
      </c>
      <c r="C3450" s="14">
        <f>IF('08_资产清单'!A450&lt;&gt;"","08_资产清单","")</f>
        <v/>
      </c>
      <c r="D3450" s="14">
        <f>IF('08_资产清单'!A450&lt;&gt;"",'08_资产清单'!A450,"")</f>
        <v/>
      </c>
      <c r="E3450" s="14">
        <f>IF(F3450&lt;&gt;"","综合校验","")</f>
        <v/>
      </c>
      <c r="F3450" s="14">
        <f>IF('08_资产清单'!A450&lt;&gt;"",IF('08_资产清单'!A450="","缺少资产ID；","")&amp;IF('08_资产清单'!B450="","缺少资产名称；","")&amp;IF('08_资产清单'!C450="","缺少对象ID；","")&amp;IF('08_资产清单'!D450="","缺少资产类别；","")&amp;IF('08_资产清单'!G450="","缺少文件名；","")&amp;IF(AND('08_资产清单'!C450&lt;&gt;"",COUNTIF('02_固定地理'!$A$2:$A$501,'08_资产清单'!C450)+COUNTIF('03_地点锚点'!$A$2:$A$501,'08_资产清单'!C450)+COUNTIF('04_路径网络'!$A$2:$A$501,'08_资产清单'!C450)+COUNTIF('06_建筑锚点'!$A$2:$A$501,'08_资产清单'!C450)=0),"资产引用对象不存在；","")&amp;IF(AND('08_资产清单'!E450&lt;&gt;"",COUNTIF('07_动态状态'!$A$2:$A$501,'08_资产清单'!E450)=0),"状态编码不存在；","")&amp;IF(AND('08_资产清单'!G450&lt;&gt;"",COUNTIF('08_资产清单'!$G$2:$G$501,'08_资产清单'!G450)&gt;1),"文件名重复；","")&amp;IF(AND('08_资产清单'!A450&lt;&gt;"",COUNTIF('08_资产清单'!$A$2:$A$501,'08_资产清单'!A450)&gt;1),"ID重复；",""),"")</f>
        <v/>
      </c>
      <c r="G3450" s="14">
        <f>IF(F3450&lt;&gt;"","按字段批注、数据字典和来源记录修正后复核","")</f>
        <v/>
      </c>
      <c r="H3450" s="14">
        <f>IF(F3450&lt;&gt;"","待处理","")</f>
        <v/>
      </c>
    </row>
    <row r="3451">
      <c r="A3451" s="14">
        <f>IF(F3451&lt;&gt;"","ISSUE-"&amp;TEXT(ROW()-1,"00000"),"")</f>
        <v/>
      </c>
      <c r="B3451" s="14">
        <f>IF(F3451&lt;&gt;"","错误","")</f>
        <v/>
      </c>
      <c r="C3451" s="14">
        <f>IF('08_资产清单'!A451&lt;&gt;"","08_资产清单","")</f>
        <v/>
      </c>
      <c r="D3451" s="14">
        <f>IF('08_资产清单'!A451&lt;&gt;"",'08_资产清单'!A451,"")</f>
        <v/>
      </c>
      <c r="E3451" s="14">
        <f>IF(F3451&lt;&gt;"","综合校验","")</f>
        <v/>
      </c>
      <c r="F3451" s="14">
        <f>IF('08_资产清单'!A451&lt;&gt;"",IF('08_资产清单'!A451="","缺少资产ID；","")&amp;IF('08_资产清单'!B451="","缺少资产名称；","")&amp;IF('08_资产清单'!C451="","缺少对象ID；","")&amp;IF('08_资产清单'!D451="","缺少资产类别；","")&amp;IF('08_资产清单'!G451="","缺少文件名；","")&amp;IF(AND('08_资产清单'!C451&lt;&gt;"",COUNTIF('02_固定地理'!$A$2:$A$501,'08_资产清单'!C451)+COUNTIF('03_地点锚点'!$A$2:$A$501,'08_资产清单'!C451)+COUNTIF('04_路径网络'!$A$2:$A$501,'08_资产清单'!C451)+COUNTIF('06_建筑锚点'!$A$2:$A$501,'08_资产清单'!C451)=0),"资产引用对象不存在；","")&amp;IF(AND('08_资产清单'!E451&lt;&gt;"",COUNTIF('07_动态状态'!$A$2:$A$501,'08_资产清单'!E451)=0),"状态编码不存在；","")&amp;IF(AND('08_资产清单'!G451&lt;&gt;"",COUNTIF('08_资产清单'!$G$2:$G$501,'08_资产清单'!G451)&gt;1),"文件名重复；","")&amp;IF(AND('08_资产清单'!A451&lt;&gt;"",COUNTIF('08_资产清单'!$A$2:$A$501,'08_资产清单'!A451)&gt;1),"ID重复；",""),"")</f>
        <v/>
      </c>
      <c r="G3451" s="14">
        <f>IF(F3451&lt;&gt;"","按字段批注、数据字典和来源记录修正后复核","")</f>
        <v/>
      </c>
      <c r="H3451" s="14">
        <f>IF(F3451&lt;&gt;"","待处理","")</f>
        <v/>
      </c>
    </row>
    <row r="3452">
      <c r="A3452" s="14">
        <f>IF(F3452&lt;&gt;"","ISSUE-"&amp;TEXT(ROW()-1,"00000"),"")</f>
        <v/>
      </c>
      <c r="B3452" s="14">
        <f>IF(F3452&lt;&gt;"","错误","")</f>
        <v/>
      </c>
      <c r="C3452" s="14">
        <f>IF('08_资产清单'!A452&lt;&gt;"","08_资产清单","")</f>
        <v/>
      </c>
      <c r="D3452" s="14">
        <f>IF('08_资产清单'!A452&lt;&gt;"",'08_资产清单'!A452,"")</f>
        <v/>
      </c>
      <c r="E3452" s="14">
        <f>IF(F3452&lt;&gt;"","综合校验","")</f>
        <v/>
      </c>
      <c r="F3452" s="14">
        <f>IF('08_资产清单'!A452&lt;&gt;"",IF('08_资产清单'!A452="","缺少资产ID；","")&amp;IF('08_资产清单'!B452="","缺少资产名称；","")&amp;IF('08_资产清单'!C452="","缺少对象ID；","")&amp;IF('08_资产清单'!D452="","缺少资产类别；","")&amp;IF('08_资产清单'!G452="","缺少文件名；","")&amp;IF(AND('08_资产清单'!C452&lt;&gt;"",COUNTIF('02_固定地理'!$A$2:$A$501,'08_资产清单'!C452)+COUNTIF('03_地点锚点'!$A$2:$A$501,'08_资产清单'!C452)+COUNTIF('04_路径网络'!$A$2:$A$501,'08_资产清单'!C452)+COUNTIF('06_建筑锚点'!$A$2:$A$501,'08_资产清单'!C452)=0),"资产引用对象不存在；","")&amp;IF(AND('08_资产清单'!E452&lt;&gt;"",COUNTIF('07_动态状态'!$A$2:$A$501,'08_资产清单'!E452)=0),"状态编码不存在；","")&amp;IF(AND('08_资产清单'!G452&lt;&gt;"",COUNTIF('08_资产清单'!$G$2:$G$501,'08_资产清单'!G452)&gt;1),"文件名重复；","")&amp;IF(AND('08_资产清单'!A452&lt;&gt;"",COUNTIF('08_资产清单'!$A$2:$A$501,'08_资产清单'!A452)&gt;1),"ID重复；",""),"")</f>
        <v/>
      </c>
      <c r="G3452" s="14">
        <f>IF(F3452&lt;&gt;"","按字段批注、数据字典和来源记录修正后复核","")</f>
        <v/>
      </c>
      <c r="H3452" s="14">
        <f>IF(F3452&lt;&gt;"","待处理","")</f>
        <v/>
      </c>
    </row>
    <row r="3453">
      <c r="A3453" s="14">
        <f>IF(F3453&lt;&gt;"","ISSUE-"&amp;TEXT(ROW()-1,"00000"),"")</f>
        <v/>
      </c>
      <c r="B3453" s="14">
        <f>IF(F3453&lt;&gt;"","错误","")</f>
        <v/>
      </c>
      <c r="C3453" s="14">
        <f>IF('08_资产清单'!A453&lt;&gt;"","08_资产清单","")</f>
        <v/>
      </c>
      <c r="D3453" s="14">
        <f>IF('08_资产清单'!A453&lt;&gt;"",'08_资产清单'!A453,"")</f>
        <v/>
      </c>
      <c r="E3453" s="14">
        <f>IF(F3453&lt;&gt;"","综合校验","")</f>
        <v/>
      </c>
      <c r="F3453" s="14">
        <f>IF('08_资产清单'!A453&lt;&gt;"",IF('08_资产清单'!A453="","缺少资产ID；","")&amp;IF('08_资产清单'!B453="","缺少资产名称；","")&amp;IF('08_资产清单'!C453="","缺少对象ID；","")&amp;IF('08_资产清单'!D453="","缺少资产类别；","")&amp;IF('08_资产清单'!G453="","缺少文件名；","")&amp;IF(AND('08_资产清单'!C453&lt;&gt;"",COUNTIF('02_固定地理'!$A$2:$A$501,'08_资产清单'!C453)+COUNTIF('03_地点锚点'!$A$2:$A$501,'08_资产清单'!C453)+COUNTIF('04_路径网络'!$A$2:$A$501,'08_资产清单'!C453)+COUNTIF('06_建筑锚点'!$A$2:$A$501,'08_资产清单'!C453)=0),"资产引用对象不存在；","")&amp;IF(AND('08_资产清单'!E453&lt;&gt;"",COUNTIF('07_动态状态'!$A$2:$A$501,'08_资产清单'!E453)=0),"状态编码不存在；","")&amp;IF(AND('08_资产清单'!G453&lt;&gt;"",COUNTIF('08_资产清单'!$G$2:$G$501,'08_资产清单'!G453)&gt;1),"文件名重复；","")&amp;IF(AND('08_资产清单'!A453&lt;&gt;"",COUNTIF('08_资产清单'!$A$2:$A$501,'08_资产清单'!A453)&gt;1),"ID重复；",""),"")</f>
        <v/>
      </c>
      <c r="G3453" s="14">
        <f>IF(F3453&lt;&gt;"","按字段批注、数据字典和来源记录修正后复核","")</f>
        <v/>
      </c>
      <c r="H3453" s="14">
        <f>IF(F3453&lt;&gt;"","待处理","")</f>
        <v/>
      </c>
    </row>
    <row r="3454">
      <c r="A3454" s="14">
        <f>IF(F3454&lt;&gt;"","ISSUE-"&amp;TEXT(ROW()-1,"00000"),"")</f>
        <v/>
      </c>
      <c r="B3454" s="14">
        <f>IF(F3454&lt;&gt;"","错误","")</f>
        <v/>
      </c>
      <c r="C3454" s="14">
        <f>IF('08_资产清单'!A454&lt;&gt;"","08_资产清单","")</f>
        <v/>
      </c>
      <c r="D3454" s="14">
        <f>IF('08_资产清单'!A454&lt;&gt;"",'08_资产清单'!A454,"")</f>
        <v/>
      </c>
      <c r="E3454" s="14">
        <f>IF(F3454&lt;&gt;"","综合校验","")</f>
        <v/>
      </c>
      <c r="F3454" s="14">
        <f>IF('08_资产清单'!A454&lt;&gt;"",IF('08_资产清单'!A454="","缺少资产ID；","")&amp;IF('08_资产清单'!B454="","缺少资产名称；","")&amp;IF('08_资产清单'!C454="","缺少对象ID；","")&amp;IF('08_资产清单'!D454="","缺少资产类别；","")&amp;IF('08_资产清单'!G454="","缺少文件名；","")&amp;IF(AND('08_资产清单'!C454&lt;&gt;"",COUNTIF('02_固定地理'!$A$2:$A$501,'08_资产清单'!C454)+COUNTIF('03_地点锚点'!$A$2:$A$501,'08_资产清单'!C454)+COUNTIF('04_路径网络'!$A$2:$A$501,'08_资产清单'!C454)+COUNTIF('06_建筑锚点'!$A$2:$A$501,'08_资产清单'!C454)=0),"资产引用对象不存在；","")&amp;IF(AND('08_资产清单'!E454&lt;&gt;"",COUNTIF('07_动态状态'!$A$2:$A$501,'08_资产清单'!E454)=0),"状态编码不存在；","")&amp;IF(AND('08_资产清单'!G454&lt;&gt;"",COUNTIF('08_资产清单'!$G$2:$G$501,'08_资产清单'!G454)&gt;1),"文件名重复；","")&amp;IF(AND('08_资产清单'!A454&lt;&gt;"",COUNTIF('08_资产清单'!$A$2:$A$501,'08_资产清单'!A454)&gt;1),"ID重复；",""),"")</f>
        <v/>
      </c>
      <c r="G3454" s="14">
        <f>IF(F3454&lt;&gt;"","按字段批注、数据字典和来源记录修正后复核","")</f>
        <v/>
      </c>
      <c r="H3454" s="14">
        <f>IF(F3454&lt;&gt;"","待处理","")</f>
        <v/>
      </c>
    </row>
    <row r="3455">
      <c r="A3455" s="14">
        <f>IF(F3455&lt;&gt;"","ISSUE-"&amp;TEXT(ROW()-1,"00000"),"")</f>
        <v/>
      </c>
      <c r="B3455" s="14">
        <f>IF(F3455&lt;&gt;"","错误","")</f>
        <v/>
      </c>
      <c r="C3455" s="14">
        <f>IF('08_资产清单'!A455&lt;&gt;"","08_资产清单","")</f>
        <v/>
      </c>
      <c r="D3455" s="14">
        <f>IF('08_资产清单'!A455&lt;&gt;"",'08_资产清单'!A455,"")</f>
        <v/>
      </c>
      <c r="E3455" s="14">
        <f>IF(F3455&lt;&gt;"","综合校验","")</f>
        <v/>
      </c>
      <c r="F3455" s="14">
        <f>IF('08_资产清单'!A455&lt;&gt;"",IF('08_资产清单'!A455="","缺少资产ID；","")&amp;IF('08_资产清单'!B455="","缺少资产名称；","")&amp;IF('08_资产清单'!C455="","缺少对象ID；","")&amp;IF('08_资产清单'!D455="","缺少资产类别；","")&amp;IF('08_资产清单'!G455="","缺少文件名；","")&amp;IF(AND('08_资产清单'!C455&lt;&gt;"",COUNTIF('02_固定地理'!$A$2:$A$501,'08_资产清单'!C455)+COUNTIF('03_地点锚点'!$A$2:$A$501,'08_资产清单'!C455)+COUNTIF('04_路径网络'!$A$2:$A$501,'08_资产清单'!C455)+COUNTIF('06_建筑锚点'!$A$2:$A$501,'08_资产清单'!C455)=0),"资产引用对象不存在；","")&amp;IF(AND('08_资产清单'!E455&lt;&gt;"",COUNTIF('07_动态状态'!$A$2:$A$501,'08_资产清单'!E455)=0),"状态编码不存在；","")&amp;IF(AND('08_资产清单'!G455&lt;&gt;"",COUNTIF('08_资产清单'!$G$2:$G$501,'08_资产清单'!G455)&gt;1),"文件名重复；","")&amp;IF(AND('08_资产清单'!A455&lt;&gt;"",COUNTIF('08_资产清单'!$A$2:$A$501,'08_资产清单'!A455)&gt;1),"ID重复；",""),"")</f>
        <v/>
      </c>
      <c r="G3455" s="14">
        <f>IF(F3455&lt;&gt;"","按字段批注、数据字典和来源记录修正后复核","")</f>
        <v/>
      </c>
      <c r="H3455" s="14">
        <f>IF(F3455&lt;&gt;"","待处理","")</f>
        <v/>
      </c>
    </row>
    <row r="3456">
      <c r="A3456" s="14">
        <f>IF(F3456&lt;&gt;"","ISSUE-"&amp;TEXT(ROW()-1,"00000"),"")</f>
        <v/>
      </c>
      <c r="B3456" s="14">
        <f>IF(F3456&lt;&gt;"","错误","")</f>
        <v/>
      </c>
      <c r="C3456" s="14">
        <f>IF('08_资产清单'!A456&lt;&gt;"","08_资产清单","")</f>
        <v/>
      </c>
      <c r="D3456" s="14">
        <f>IF('08_资产清单'!A456&lt;&gt;"",'08_资产清单'!A456,"")</f>
        <v/>
      </c>
      <c r="E3456" s="14">
        <f>IF(F3456&lt;&gt;"","综合校验","")</f>
        <v/>
      </c>
      <c r="F3456" s="14">
        <f>IF('08_资产清单'!A456&lt;&gt;"",IF('08_资产清单'!A456="","缺少资产ID；","")&amp;IF('08_资产清单'!B456="","缺少资产名称；","")&amp;IF('08_资产清单'!C456="","缺少对象ID；","")&amp;IF('08_资产清单'!D456="","缺少资产类别；","")&amp;IF('08_资产清单'!G456="","缺少文件名；","")&amp;IF(AND('08_资产清单'!C456&lt;&gt;"",COUNTIF('02_固定地理'!$A$2:$A$501,'08_资产清单'!C456)+COUNTIF('03_地点锚点'!$A$2:$A$501,'08_资产清单'!C456)+COUNTIF('04_路径网络'!$A$2:$A$501,'08_资产清单'!C456)+COUNTIF('06_建筑锚点'!$A$2:$A$501,'08_资产清单'!C456)=0),"资产引用对象不存在；","")&amp;IF(AND('08_资产清单'!E456&lt;&gt;"",COUNTIF('07_动态状态'!$A$2:$A$501,'08_资产清单'!E456)=0),"状态编码不存在；","")&amp;IF(AND('08_资产清单'!G456&lt;&gt;"",COUNTIF('08_资产清单'!$G$2:$G$501,'08_资产清单'!G456)&gt;1),"文件名重复；","")&amp;IF(AND('08_资产清单'!A456&lt;&gt;"",COUNTIF('08_资产清单'!$A$2:$A$501,'08_资产清单'!A456)&gt;1),"ID重复；",""),"")</f>
        <v/>
      </c>
      <c r="G3456" s="14">
        <f>IF(F3456&lt;&gt;"","按字段批注、数据字典和来源记录修正后复核","")</f>
        <v/>
      </c>
      <c r="H3456" s="14">
        <f>IF(F3456&lt;&gt;"","待处理","")</f>
        <v/>
      </c>
    </row>
    <row r="3457">
      <c r="A3457" s="14">
        <f>IF(F3457&lt;&gt;"","ISSUE-"&amp;TEXT(ROW()-1,"00000"),"")</f>
        <v/>
      </c>
      <c r="B3457" s="14">
        <f>IF(F3457&lt;&gt;"","错误","")</f>
        <v/>
      </c>
      <c r="C3457" s="14">
        <f>IF('08_资产清单'!A457&lt;&gt;"","08_资产清单","")</f>
        <v/>
      </c>
      <c r="D3457" s="14">
        <f>IF('08_资产清单'!A457&lt;&gt;"",'08_资产清单'!A457,"")</f>
        <v/>
      </c>
      <c r="E3457" s="14">
        <f>IF(F3457&lt;&gt;"","综合校验","")</f>
        <v/>
      </c>
      <c r="F3457" s="14">
        <f>IF('08_资产清单'!A457&lt;&gt;"",IF('08_资产清单'!A457="","缺少资产ID；","")&amp;IF('08_资产清单'!B457="","缺少资产名称；","")&amp;IF('08_资产清单'!C457="","缺少对象ID；","")&amp;IF('08_资产清单'!D457="","缺少资产类别；","")&amp;IF('08_资产清单'!G457="","缺少文件名；","")&amp;IF(AND('08_资产清单'!C457&lt;&gt;"",COUNTIF('02_固定地理'!$A$2:$A$501,'08_资产清单'!C457)+COUNTIF('03_地点锚点'!$A$2:$A$501,'08_资产清单'!C457)+COUNTIF('04_路径网络'!$A$2:$A$501,'08_资产清单'!C457)+COUNTIF('06_建筑锚点'!$A$2:$A$501,'08_资产清单'!C457)=0),"资产引用对象不存在；","")&amp;IF(AND('08_资产清单'!E457&lt;&gt;"",COUNTIF('07_动态状态'!$A$2:$A$501,'08_资产清单'!E457)=0),"状态编码不存在；","")&amp;IF(AND('08_资产清单'!G457&lt;&gt;"",COUNTIF('08_资产清单'!$G$2:$G$501,'08_资产清单'!G457)&gt;1),"文件名重复；","")&amp;IF(AND('08_资产清单'!A457&lt;&gt;"",COUNTIF('08_资产清单'!$A$2:$A$501,'08_资产清单'!A457)&gt;1),"ID重复；",""),"")</f>
        <v/>
      </c>
      <c r="G3457" s="14">
        <f>IF(F3457&lt;&gt;"","按字段批注、数据字典和来源记录修正后复核","")</f>
        <v/>
      </c>
      <c r="H3457" s="14">
        <f>IF(F3457&lt;&gt;"","待处理","")</f>
        <v/>
      </c>
    </row>
    <row r="3458">
      <c r="A3458" s="14">
        <f>IF(F3458&lt;&gt;"","ISSUE-"&amp;TEXT(ROW()-1,"00000"),"")</f>
        <v/>
      </c>
      <c r="B3458" s="14">
        <f>IF(F3458&lt;&gt;"","错误","")</f>
        <v/>
      </c>
      <c r="C3458" s="14">
        <f>IF('08_资产清单'!A458&lt;&gt;"","08_资产清单","")</f>
        <v/>
      </c>
      <c r="D3458" s="14">
        <f>IF('08_资产清单'!A458&lt;&gt;"",'08_资产清单'!A458,"")</f>
        <v/>
      </c>
      <c r="E3458" s="14">
        <f>IF(F3458&lt;&gt;"","综合校验","")</f>
        <v/>
      </c>
      <c r="F3458" s="14">
        <f>IF('08_资产清单'!A458&lt;&gt;"",IF('08_资产清单'!A458="","缺少资产ID；","")&amp;IF('08_资产清单'!B458="","缺少资产名称；","")&amp;IF('08_资产清单'!C458="","缺少对象ID；","")&amp;IF('08_资产清单'!D458="","缺少资产类别；","")&amp;IF('08_资产清单'!G458="","缺少文件名；","")&amp;IF(AND('08_资产清单'!C458&lt;&gt;"",COUNTIF('02_固定地理'!$A$2:$A$501,'08_资产清单'!C458)+COUNTIF('03_地点锚点'!$A$2:$A$501,'08_资产清单'!C458)+COUNTIF('04_路径网络'!$A$2:$A$501,'08_资产清单'!C458)+COUNTIF('06_建筑锚点'!$A$2:$A$501,'08_资产清单'!C458)=0),"资产引用对象不存在；","")&amp;IF(AND('08_资产清单'!E458&lt;&gt;"",COUNTIF('07_动态状态'!$A$2:$A$501,'08_资产清单'!E458)=0),"状态编码不存在；","")&amp;IF(AND('08_资产清单'!G458&lt;&gt;"",COUNTIF('08_资产清单'!$G$2:$G$501,'08_资产清单'!G458)&gt;1),"文件名重复；","")&amp;IF(AND('08_资产清单'!A458&lt;&gt;"",COUNTIF('08_资产清单'!$A$2:$A$501,'08_资产清单'!A458)&gt;1),"ID重复；",""),"")</f>
        <v/>
      </c>
      <c r="G3458" s="14">
        <f>IF(F3458&lt;&gt;"","按字段批注、数据字典和来源记录修正后复核","")</f>
        <v/>
      </c>
      <c r="H3458" s="14">
        <f>IF(F3458&lt;&gt;"","待处理","")</f>
        <v/>
      </c>
    </row>
    <row r="3459">
      <c r="A3459" s="14">
        <f>IF(F3459&lt;&gt;"","ISSUE-"&amp;TEXT(ROW()-1,"00000"),"")</f>
        <v/>
      </c>
      <c r="B3459" s="14">
        <f>IF(F3459&lt;&gt;"","错误","")</f>
        <v/>
      </c>
      <c r="C3459" s="14">
        <f>IF('08_资产清单'!A459&lt;&gt;"","08_资产清单","")</f>
        <v/>
      </c>
      <c r="D3459" s="14">
        <f>IF('08_资产清单'!A459&lt;&gt;"",'08_资产清单'!A459,"")</f>
        <v/>
      </c>
      <c r="E3459" s="14">
        <f>IF(F3459&lt;&gt;"","综合校验","")</f>
        <v/>
      </c>
      <c r="F3459" s="14">
        <f>IF('08_资产清单'!A459&lt;&gt;"",IF('08_资产清单'!A459="","缺少资产ID；","")&amp;IF('08_资产清单'!B459="","缺少资产名称；","")&amp;IF('08_资产清单'!C459="","缺少对象ID；","")&amp;IF('08_资产清单'!D459="","缺少资产类别；","")&amp;IF('08_资产清单'!G459="","缺少文件名；","")&amp;IF(AND('08_资产清单'!C459&lt;&gt;"",COUNTIF('02_固定地理'!$A$2:$A$501,'08_资产清单'!C459)+COUNTIF('03_地点锚点'!$A$2:$A$501,'08_资产清单'!C459)+COUNTIF('04_路径网络'!$A$2:$A$501,'08_资产清单'!C459)+COUNTIF('06_建筑锚点'!$A$2:$A$501,'08_资产清单'!C459)=0),"资产引用对象不存在；","")&amp;IF(AND('08_资产清单'!E459&lt;&gt;"",COUNTIF('07_动态状态'!$A$2:$A$501,'08_资产清单'!E459)=0),"状态编码不存在；","")&amp;IF(AND('08_资产清单'!G459&lt;&gt;"",COUNTIF('08_资产清单'!$G$2:$G$501,'08_资产清单'!G459)&gt;1),"文件名重复；","")&amp;IF(AND('08_资产清单'!A459&lt;&gt;"",COUNTIF('08_资产清单'!$A$2:$A$501,'08_资产清单'!A459)&gt;1),"ID重复；",""),"")</f>
        <v/>
      </c>
      <c r="G3459" s="14">
        <f>IF(F3459&lt;&gt;"","按字段批注、数据字典和来源记录修正后复核","")</f>
        <v/>
      </c>
      <c r="H3459" s="14">
        <f>IF(F3459&lt;&gt;"","待处理","")</f>
        <v/>
      </c>
    </row>
    <row r="3460">
      <c r="A3460" s="14">
        <f>IF(F3460&lt;&gt;"","ISSUE-"&amp;TEXT(ROW()-1,"00000"),"")</f>
        <v/>
      </c>
      <c r="B3460" s="14">
        <f>IF(F3460&lt;&gt;"","错误","")</f>
        <v/>
      </c>
      <c r="C3460" s="14">
        <f>IF('08_资产清单'!A460&lt;&gt;"","08_资产清单","")</f>
        <v/>
      </c>
      <c r="D3460" s="14">
        <f>IF('08_资产清单'!A460&lt;&gt;"",'08_资产清单'!A460,"")</f>
        <v/>
      </c>
      <c r="E3460" s="14">
        <f>IF(F3460&lt;&gt;"","综合校验","")</f>
        <v/>
      </c>
      <c r="F3460" s="14">
        <f>IF('08_资产清单'!A460&lt;&gt;"",IF('08_资产清单'!A460="","缺少资产ID；","")&amp;IF('08_资产清单'!B460="","缺少资产名称；","")&amp;IF('08_资产清单'!C460="","缺少对象ID；","")&amp;IF('08_资产清单'!D460="","缺少资产类别；","")&amp;IF('08_资产清单'!G460="","缺少文件名；","")&amp;IF(AND('08_资产清单'!C460&lt;&gt;"",COUNTIF('02_固定地理'!$A$2:$A$501,'08_资产清单'!C460)+COUNTIF('03_地点锚点'!$A$2:$A$501,'08_资产清单'!C460)+COUNTIF('04_路径网络'!$A$2:$A$501,'08_资产清单'!C460)+COUNTIF('06_建筑锚点'!$A$2:$A$501,'08_资产清单'!C460)=0),"资产引用对象不存在；","")&amp;IF(AND('08_资产清单'!E460&lt;&gt;"",COUNTIF('07_动态状态'!$A$2:$A$501,'08_资产清单'!E460)=0),"状态编码不存在；","")&amp;IF(AND('08_资产清单'!G460&lt;&gt;"",COUNTIF('08_资产清单'!$G$2:$G$501,'08_资产清单'!G460)&gt;1),"文件名重复；","")&amp;IF(AND('08_资产清单'!A460&lt;&gt;"",COUNTIF('08_资产清单'!$A$2:$A$501,'08_资产清单'!A460)&gt;1),"ID重复；",""),"")</f>
        <v/>
      </c>
      <c r="G3460" s="14">
        <f>IF(F3460&lt;&gt;"","按字段批注、数据字典和来源记录修正后复核","")</f>
        <v/>
      </c>
      <c r="H3460" s="14">
        <f>IF(F3460&lt;&gt;"","待处理","")</f>
        <v/>
      </c>
    </row>
    <row r="3461">
      <c r="A3461" s="14">
        <f>IF(F3461&lt;&gt;"","ISSUE-"&amp;TEXT(ROW()-1,"00000"),"")</f>
        <v/>
      </c>
      <c r="B3461" s="14">
        <f>IF(F3461&lt;&gt;"","错误","")</f>
        <v/>
      </c>
      <c r="C3461" s="14">
        <f>IF('08_资产清单'!A461&lt;&gt;"","08_资产清单","")</f>
        <v/>
      </c>
      <c r="D3461" s="14">
        <f>IF('08_资产清单'!A461&lt;&gt;"",'08_资产清单'!A461,"")</f>
        <v/>
      </c>
      <c r="E3461" s="14">
        <f>IF(F3461&lt;&gt;"","综合校验","")</f>
        <v/>
      </c>
      <c r="F3461" s="14">
        <f>IF('08_资产清单'!A461&lt;&gt;"",IF('08_资产清单'!A461="","缺少资产ID；","")&amp;IF('08_资产清单'!B461="","缺少资产名称；","")&amp;IF('08_资产清单'!C461="","缺少对象ID；","")&amp;IF('08_资产清单'!D461="","缺少资产类别；","")&amp;IF('08_资产清单'!G461="","缺少文件名；","")&amp;IF(AND('08_资产清单'!C461&lt;&gt;"",COUNTIF('02_固定地理'!$A$2:$A$501,'08_资产清单'!C461)+COUNTIF('03_地点锚点'!$A$2:$A$501,'08_资产清单'!C461)+COUNTIF('04_路径网络'!$A$2:$A$501,'08_资产清单'!C461)+COUNTIF('06_建筑锚点'!$A$2:$A$501,'08_资产清单'!C461)=0),"资产引用对象不存在；","")&amp;IF(AND('08_资产清单'!E461&lt;&gt;"",COUNTIF('07_动态状态'!$A$2:$A$501,'08_资产清单'!E461)=0),"状态编码不存在；","")&amp;IF(AND('08_资产清单'!G461&lt;&gt;"",COUNTIF('08_资产清单'!$G$2:$G$501,'08_资产清单'!G461)&gt;1),"文件名重复；","")&amp;IF(AND('08_资产清单'!A461&lt;&gt;"",COUNTIF('08_资产清单'!$A$2:$A$501,'08_资产清单'!A461)&gt;1),"ID重复；",""),"")</f>
        <v/>
      </c>
      <c r="G3461" s="14">
        <f>IF(F3461&lt;&gt;"","按字段批注、数据字典和来源记录修正后复核","")</f>
        <v/>
      </c>
      <c r="H3461" s="14">
        <f>IF(F3461&lt;&gt;"","待处理","")</f>
        <v/>
      </c>
    </row>
    <row r="3462">
      <c r="A3462" s="14">
        <f>IF(F3462&lt;&gt;"","ISSUE-"&amp;TEXT(ROW()-1,"00000"),"")</f>
        <v/>
      </c>
      <c r="B3462" s="14">
        <f>IF(F3462&lt;&gt;"","错误","")</f>
        <v/>
      </c>
      <c r="C3462" s="14">
        <f>IF('08_资产清单'!A462&lt;&gt;"","08_资产清单","")</f>
        <v/>
      </c>
      <c r="D3462" s="14">
        <f>IF('08_资产清单'!A462&lt;&gt;"",'08_资产清单'!A462,"")</f>
        <v/>
      </c>
      <c r="E3462" s="14">
        <f>IF(F3462&lt;&gt;"","综合校验","")</f>
        <v/>
      </c>
      <c r="F3462" s="14">
        <f>IF('08_资产清单'!A462&lt;&gt;"",IF('08_资产清单'!A462="","缺少资产ID；","")&amp;IF('08_资产清单'!B462="","缺少资产名称；","")&amp;IF('08_资产清单'!C462="","缺少对象ID；","")&amp;IF('08_资产清单'!D462="","缺少资产类别；","")&amp;IF('08_资产清单'!G462="","缺少文件名；","")&amp;IF(AND('08_资产清单'!C462&lt;&gt;"",COUNTIF('02_固定地理'!$A$2:$A$501,'08_资产清单'!C462)+COUNTIF('03_地点锚点'!$A$2:$A$501,'08_资产清单'!C462)+COUNTIF('04_路径网络'!$A$2:$A$501,'08_资产清单'!C462)+COUNTIF('06_建筑锚点'!$A$2:$A$501,'08_资产清单'!C462)=0),"资产引用对象不存在；","")&amp;IF(AND('08_资产清单'!E462&lt;&gt;"",COUNTIF('07_动态状态'!$A$2:$A$501,'08_资产清单'!E462)=0),"状态编码不存在；","")&amp;IF(AND('08_资产清单'!G462&lt;&gt;"",COUNTIF('08_资产清单'!$G$2:$G$501,'08_资产清单'!G462)&gt;1),"文件名重复；","")&amp;IF(AND('08_资产清单'!A462&lt;&gt;"",COUNTIF('08_资产清单'!$A$2:$A$501,'08_资产清单'!A462)&gt;1),"ID重复；",""),"")</f>
        <v/>
      </c>
      <c r="G3462" s="14">
        <f>IF(F3462&lt;&gt;"","按字段批注、数据字典和来源记录修正后复核","")</f>
        <v/>
      </c>
      <c r="H3462" s="14">
        <f>IF(F3462&lt;&gt;"","待处理","")</f>
        <v/>
      </c>
    </row>
    <row r="3463">
      <c r="A3463" s="14">
        <f>IF(F3463&lt;&gt;"","ISSUE-"&amp;TEXT(ROW()-1,"00000"),"")</f>
        <v/>
      </c>
      <c r="B3463" s="14">
        <f>IF(F3463&lt;&gt;"","错误","")</f>
        <v/>
      </c>
      <c r="C3463" s="14">
        <f>IF('08_资产清单'!A463&lt;&gt;"","08_资产清单","")</f>
        <v/>
      </c>
      <c r="D3463" s="14">
        <f>IF('08_资产清单'!A463&lt;&gt;"",'08_资产清单'!A463,"")</f>
        <v/>
      </c>
      <c r="E3463" s="14">
        <f>IF(F3463&lt;&gt;"","综合校验","")</f>
        <v/>
      </c>
      <c r="F3463" s="14">
        <f>IF('08_资产清单'!A463&lt;&gt;"",IF('08_资产清单'!A463="","缺少资产ID；","")&amp;IF('08_资产清单'!B463="","缺少资产名称；","")&amp;IF('08_资产清单'!C463="","缺少对象ID；","")&amp;IF('08_资产清单'!D463="","缺少资产类别；","")&amp;IF('08_资产清单'!G463="","缺少文件名；","")&amp;IF(AND('08_资产清单'!C463&lt;&gt;"",COUNTIF('02_固定地理'!$A$2:$A$501,'08_资产清单'!C463)+COUNTIF('03_地点锚点'!$A$2:$A$501,'08_资产清单'!C463)+COUNTIF('04_路径网络'!$A$2:$A$501,'08_资产清单'!C463)+COUNTIF('06_建筑锚点'!$A$2:$A$501,'08_资产清单'!C463)=0),"资产引用对象不存在；","")&amp;IF(AND('08_资产清单'!E463&lt;&gt;"",COUNTIF('07_动态状态'!$A$2:$A$501,'08_资产清单'!E463)=0),"状态编码不存在；","")&amp;IF(AND('08_资产清单'!G463&lt;&gt;"",COUNTIF('08_资产清单'!$G$2:$G$501,'08_资产清单'!G463)&gt;1),"文件名重复；","")&amp;IF(AND('08_资产清单'!A463&lt;&gt;"",COUNTIF('08_资产清单'!$A$2:$A$501,'08_资产清单'!A463)&gt;1),"ID重复；",""),"")</f>
        <v/>
      </c>
      <c r="G3463" s="14">
        <f>IF(F3463&lt;&gt;"","按字段批注、数据字典和来源记录修正后复核","")</f>
        <v/>
      </c>
      <c r="H3463" s="14">
        <f>IF(F3463&lt;&gt;"","待处理","")</f>
        <v/>
      </c>
    </row>
    <row r="3464">
      <c r="A3464" s="14">
        <f>IF(F3464&lt;&gt;"","ISSUE-"&amp;TEXT(ROW()-1,"00000"),"")</f>
        <v/>
      </c>
      <c r="B3464" s="14">
        <f>IF(F3464&lt;&gt;"","错误","")</f>
        <v/>
      </c>
      <c r="C3464" s="14">
        <f>IF('08_资产清单'!A464&lt;&gt;"","08_资产清单","")</f>
        <v/>
      </c>
      <c r="D3464" s="14">
        <f>IF('08_资产清单'!A464&lt;&gt;"",'08_资产清单'!A464,"")</f>
        <v/>
      </c>
      <c r="E3464" s="14">
        <f>IF(F3464&lt;&gt;"","综合校验","")</f>
        <v/>
      </c>
      <c r="F3464" s="14">
        <f>IF('08_资产清单'!A464&lt;&gt;"",IF('08_资产清单'!A464="","缺少资产ID；","")&amp;IF('08_资产清单'!B464="","缺少资产名称；","")&amp;IF('08_资产清单'!C464="","缺少对象ID；","")&amp;IF('08_资产清单'!D464="","缺少资产类别；","")&amp;IF('08_资产清单'!G464="","缺少文件名；","")&amp;IF(AND('08_资产清单'!C464&lt;&gt;"",COUNTIF('02_固定地理'!$A$2:$A$501,'08_资产清单'!C464)+COUNTIF('03_地点锚点'!$A$2:$A$501,'08_资产清单'!C464)+COUNTIF('04_路径网络'!$A$2:$A$501,'08_资产清单'!C464)+COUNTIF('06_建筑锚点'!$A$2:$A$501,'08_资产清单'!C464)=0),"资产引用对象不存在；","")&amp;IF(AND('08_资产清单'!E464&lt;&gt;"",COUNTIF('07_动态状态'!$A$2:$A$501,'08_资产清单'!E464)=0),"状态编码不存在；","")&amp;IF(AND('08_资产清单'!G464&lt;&gt;"",COUNTIF('08_资产清单'!$G$2:$G$501,'08_资产清单'!G464)&gt;1),"文件名重复；","")&amp;IF(AND('08_资产清单'!A464&lt;&gt;"",COUNTIF('08_资产清单'!$A$2:$A$501,'08_资产清单'!A464)&gt;1),"ID重复；",""),"")</f>
        <v/>
      </c>
      <c r="G3464" s="14">
        <f>IF(F3464&lt;&gt;"","按字段批注、数据字典和来源记录修正后复核","")</f>
        <v/>
      </c>
      <c r="H3464" s="14">
        <f>IF(F3464&lt;&gt;"","待处理","")</f>
        <v/>
      </c>
    </row>
    <row r="3465">
      <c r="A3465" s="14">
        <f>IF(F3465&lt;&gt;"","ISSUE-"&amp;TEXT(ROW()-1,"00000"),"")</f>
        <v/>
      </c>
      <c r="B3465" s="14">
        <f>IF(F3465&lt;&gt;"","错误","")</f>
        <v/>
      </c>
      <c r="C3465" s="14">
        <f>IF('08_资产清单'!A465&lt;&gt;"","08_资产清单","")</f>
        <v/>
      </c>
      <c r="D3465" s="14">
        <f>IF('08_资产清单'!A465&lt;&gt;"",'08_资产清单'!A465,"")</f>
        <v/>
      </c>
      <c r="E3465" s="14">
        <f>IF(F3465&lt;&gt;"","综合校验","")</f>
        <v/>
      </c>
      <c r="F3465" s="14">
        <f>IF('08_资产清单'!A465&lt;&gt;"",IF('08_资产清单'!A465="","缺少资产ID；","")&amp;IF('08_资产清单'!B465="","缺少资产名称；","")&amp;IF('08_资产清单'!C465="","缺少对象ID；","")&amp;IF('08_资产清单'!D465="","缺少资产类别；","")&amp;IF('08_资产清单'!G465="","缺少文件名；","")&amp;IF(AND('08_资产清单'!C465&lt;&gt;"",COUNTIF('02_固定地理'!$A$2:$A$501,'08_资产清单'!C465)+COUNTIF('03_地点锚点'!$A$2:$A$501,'08_资产清单'!C465)+COUNTIF('04_路径网络'!$A$2:$A$501,'08_资产清单'!C465)+COUNTIF('06_建筑锚点'!$A$2:$A$501,'08_资产清单'!C465)=0),"资产引用对象不存在；","")&amp;IF(AND('08_资产清单'!E465&lt;&gt;"",COUNTIF('07_动态状态'!$A$2:$A$501,'08_资产清单'!E465)=0),"状态编码不存在；","")&amp;IF(AND('08_资产清单'!G465&lt;&gt;"",COUNTIF('08_资产清单'!$G$2:$G$501,'08_资产清单'!G465)&gt;1),"文件名重复；","")&amp;IF(AND('08_资产清单'!A465&lt;&gt;"",COUNTIF('08_资产清单'!$A$2:$A$501,'08_资产清单'!A465)&gt;1),"ID重复；",""),"")</f>
        <v/>
      </c>
      <c r="G3465" s="14">
        <f>IF(F3465&lt;&gt;"","按字段批注、数据字典和来源记录修正后复核","")</f>
        <v/>
      </c>
      <c r="H3465" s="14">
        <f>IF(F3465&lt;&gt;"","待处理","")</f>
        <v/>
      </c>
    </row>
    <row r="3466">
      <c r="A3466" s="14">
        <f>IF(F3466&lt;&gt;"","ISSUE-"&amp;TEXT(ROW()-1,"00000"),"")</f>
        <v/>
      </c>
      <c r="B3466" s="14">
        <f>IF(F3466&lt;&gt;"","错误","")</f>
        <v/>
      </c>
      <c r="C3466" s="14">
        <f>IF('08_资产清单'!A466&lt;&gt;"","08_资产清单","")</f>
        <v/>
      </c>
      <c r="D3466" s="14">
        <f>IF('08_资产清单'!A466&lt;&gt;"",'08_资产清单'!A466,"")</f>
        <v/>
      </c>
      <c r="E3466" s="14">
        <f>IF(F3466&lt;&gt;"","综合校验","")</f>
        <v/>
      </c>
      <c r="F3466" s="14">
        <f>IF('08_资产清单'!A466&lt;&gt;"",IF('08_资产清单'!A466="","缺少资产ID；","")&amp;IF('08_资产清单'!B466="","缺少资产名称；","")&amp;IF('08_资产清单'!C466="","缺少对象ID；","")&amp;IF('08_资产清单'!D466="","缺少资产类别；","")&amp;IF('08_资产清单'!G466="","缺少文件名；","")&amp;IF(AND('08_资产清单'!C466&lt;&gt;"",COUNTIF('02_固定地理'!$A$2:$A$501,'08_资产清单'!C466)+COUNTIF('03_地点锚点'!$A$2:$A$501,'08_资产清单'!C466)+COUNTIF('04_路径网络'!$A$2:$A$501,'08_资产清单'!C466)+COUNTIF('06_建筑锚点'!$A$2:$A$501,'08_资产清单'!C466)=0),"资产引用对象不存在；","")&amp;IF(AND('08_资产清单'!E466&lt;&gt;"",COUNTIF('07_动态状态'!$A$2:$A$501,'08_资产清单'!E466)=0),"状态编码不存在；","")&amp;IF(AND('08_资产清单'!G466&lt;&gt;"",COUNTIF('08_资产清单'!$G$2:$G$501,'08_资产清单'!G466)&gt;1),"文件名重复；","")&amp;IF(AND('08_资产清单'!A466&lt;&gt;"",COUNTIF('08_资产清单'!$A$2:$A$501,'08_资产清单'!A466)&gt;1),"ID重复；",""),"")</f>
        <v/>
      </c>
      <c r="G3466" s="14">
        <f>IF(F3466&lt;&gt;"","按字段批注、数据字典和来源记录修正后复核","")</f>
        <v/>
      </c>
      <c r="H3466" s="14">
        <f>IF(F3466&lt;&gt;"","待处理","")</f>
        <v/>
      </c>
    </row>
    <row r="3467">
      <c r="A3467" s="14">
        <f>IF(F3467&lt;&gt;"","ISSUE-"&amp;TEXT(ROW()-1,"00000"),"")</f>
        <v/>
      </c>
      <c r="B3467" s="14">
        <f>IF(F3467&lt;&gt;"","错误","")</f>
        <v/>
      </c>
      <c r="C3467" s="14">
        <f>IF('08_资产清单'!A467&lt;&gt;"","08_资产清单","")</f>
        <v/>
      </c>
      <c r="D3467" s="14">
        <f>IF('08_资产清单'!A467&lt;&gt;"",'08_资产清单'!A467,"")</f>
        <v/>
      </c>
      <c r="E3467" s="14">
        <f>IF(F3467&lt;&gt;"","综合校验","")</f>
        <v/>
      </c>
      <c r="F3467" s="14">
        <f>IF('08_资产清单'!A467&lt;&gt;"",IF('08_资产清单'!A467="","缺少资产ID；","")&amp;IF('08_资产清单'!B467="","缺少资产名称；","")&amp;IF('08_资产清单'!C467="","缺少对象ID；","")&amp;IF('08_资产清单'!D467="","缺少资产类别；","")&amp;IF('08_资产清单'!G467="","缺少文件名；","")&amp;IF(AND('08_资产清单'!C467&lt;&gt;"",COUNTIF('02_固定地理'!$A$2:$A$501,'08_资产清单'!C467)+COUNTIF('03_地点锚点'!$A$2:$A$501,'08_资产清单'!C467)+COUNTIF('04_路径网络'!$A$2:$A$501,'08_资产清单'!C467)+COUNTIF('06_建筑锚点'!$A$2:$A$501,'08_资产清单'!C467)=0),"资产引用对象不存在；","")&amp;IF(AND('08_资产清单'!E467&lt;&gt;"",COUNTIF('07_动态状态'!$A$2:$A$501,'08_资产清单'!E467)=0),"状态编码不存在；","")&amp;IF(AND('08_资产清单'!G467&lt;&gt;"",COUNTIF('08_资产清单'!$G$2:$G$501,'08_资产清单'!G467)&gt;1),"文件名重复；","")&amp;IF(AND('08_资产清单'!A467&lt;&gt;"",COUNTIF('08_资产清单'!$A$2:$A$501,'08_资产清单'!A467)&gt;1),"ID重复；",""),"")</f>
        <v/>
      </c>
      <c r="G3467" s="14">
        <f>IF(F3467&lt;&gt;"","按字段批注、数据字典和来源记录修正后复核","")</f>
        <v/>
      </c>
      <c r="H3467" s="14">
        <f>IF(F3467&lt;&gt;"","待处理","")</f>
        <v/>
      </c>
    </row>
    <row r="3468">
      <c r="A3468" s="14">
        <f>IF(F3468&lt;&gt;"","ISSUE-"&amp;TEXT(ROW()-1,"00000"),"")</f>
        <v/>
      </c>
      <c r="B3468" s="14">
        <f>IF(F3468&lt;&gt;"","错误","")</f>
        <v/>
      </c>
      <c r="C3468" s="14">
        <f>IF('08_资产清单'!A468&lt;&gt;"","08_资产清单","")</f>
        <v/>
      </c>
      <c r="D3468" s="14">
        <f>IF('08_资产清单'!A468&lt;&gt;"",'08_资产清单'!A468,"")</f>
        <v/>
      </c>
      <c r="E3468" s="14">
        <f>IF(F3468&lt;&gt;"","综合校验","")</f>
        <v/>
      </c>
      <c r="F3468" s="14">
        <f>IF('08_资产清单'!A468&lt;&gt;"",IF('08_资产清单'!A468="","缺少资产ID；","")&amp;IF('08_资产清单'!B468="","缺少资产名称；","")&amp;IF('08_资产清单'!C468="","缺少对象ID；","")&amp;IF('08_资产清单'!D468="","缺少资产类别；","")&amp;IF('08_资产清单'!G468="","缺少文件名；","")&amp;IF(AND('08_资产清单'!C468&lt;&gt;"",COUNTIF('02_固定地理'!$A$2:$A$501,'08_资产清单'!C468)+COUNTIF('03_地点锚点'!$A$2:$A$501,'08_资产清单'!C468)+COUNTIF('04_路径网络'!$A$2:$A$501,'08_资产清单'!C468)+COUNTIF('06_建筑锚点'!$A$2:$A$501,'08_资产清单'!C468)=0),"资产引用对象不存在；","")&amp;IF(AND('08_资产清单'!E468&lt;&gt;"",COUNTIF('07_动态状态'!$A$2:$A$501,'08_资产清单'!E468)=0),"状态编码不存在；","")&amp;IF(AND('08_资产清单'!G468&lt;&gt;"",COUNTIF('08_资产清单'!$G$2:$G$501,'08_资产清单'!G468)&gt;1),"文件名重复；","")&amp;IF(AND('08_资产清单'!A468&lt;&gt;"",COUNTIF('08_资产清单'!$A$2:$A$501,'08_资产清单'!A468)&gt;1),"ID重复；",""),"")</f>
        <v/>
      </c>
      <c r="G3468" s="14">
        <f>IF(F3468&lt;&gt;"","按字段批注、数据字典和来源记录修正后复核","")</f>
        <v/>
      </c>
      <c r="H3468" s="14">
        <f>IF(F3468&lt;&gt;"","待处理","")</f>
        <v/>
      </c>
    </row>
    <row r="3469">
      <c r="A3469" s="14">
        <f>IF(F3469&lt;&gt;"","ISSUE-"&amp;TEXT(ROW()-1,"00000"),"")</f>
        <v/>
      </c>
      <c r="B3469" s="14">
        <f>IF(F3469&lt;&gt;"","错误","")</f>
        <v/>
      </c>
      <c r="C3469" s="14">
        <f>IF('08_资产清单'!A469&lt;&gt;"","08_资产清单","")</f>
        <v/>
      </c>
      <c r="D3469" s="14">
        <f>IF('08_资产清单'!A469&lt;&gt;"",'08_资产清单'!A469,"")</f>
        <v/>
      </c>
      <c r="E3469" s="14">
        <f>IF(F3469&lt;&gt;"","综合校验","")</f>
        <v/>
      </c>
      <c r="F3469" s="14">
        <f>IF('08_资产清单'!A469&lt;&gt;"",IF('08_资产清单'!A469="","缺少资产ID；","")&amp;IF('08_资产清单'!B469="","缺少资产名称；","")&amp;IF('08_资产清单'!C469="","缺少对象ID；","")&amp;IF('08_资产清单'!D469="","缺少资产类别；","")&amp;IF('08_资产清单'!G469="","缺少文件名；","")&amp;IF(AND('08_资产清单'!C469&lt;&gt;"",COUNTIF('02_固定地理'!$A$2:$A$501,'08_资产清单'!C469)+COUNTIF('03_地点锚点'!$A$2:$A$501,'08_资产清单'!C469)+COUNTIF('04_路径网络'!$A$2:$A$501,'08_资产清单'!C469)+COUNTIF('06_建筑锚点'!$A$2:$A$501,'08_资产清单'!C469)=0),"资产引用对象不存在；","")&amp;IF(AND('08_资产清单'!E469&lt;&gt;"",COUNTIF('07_动态状态'!$A$2:$A$501,'08_资产清单'!E469)=0),"状态编码不存在；","")&amp;IF(AND('08_资产清单'!G469&lt;&gt;"",COUNTIF('08_资产清单'!$G$2:$G$501,'08_资产清单'!G469)&gt;1),"文件名重复；","")&amp;IF(AND('08_资产清单'!A469&lt;&gt;"",COUNTIF('08_资产清单'!$A$2:$A$501,'08_资产清单'!A469)&gt;1),"ID重复；",""),"")</f>
        <v/>
      </c>
      <c r="G3469" s="14">
        <f>IF(F3469&lt;&gt;"","按字段批注、数据字典和来源记录修正后复核","")</f>
        <v/>
      </c>
      <c r="H3469" s="14">
        <f>IF(F3469&lt;&gt;"","待处理","")</f>
        <v/>
      </c>
    </row>
    <row r="3470">
      <c r="A3470" s="14">
        <f>IF(F3470&lt;&gt;"","ISSUE-"&amp;TEXT(ROW()-1,"00000"),"")</f>
        <v/>
      </c>
      <c r="B3470" s="14">
        <f>IF(F3470&lt;&gt;"","错误","")</f>
        <v/>
      </c>
      <c r="C3470" s="14">
        <f>IF('08_资产清单'!A470&lt;&gt;"","08_资产清单","")</f>
        <v/>
      </c>
      <c r="D3470" s="14">
        <f>IF('08_资产清单'!A470&lt;&gt;"",'08_资产清单'!A470,"")</f>
        <v/>
      </c>
      <c r="E3470" s="14">
        <f>IF(F3470&lt;&gt;"","综合校验","")</f>
        <v/>
      </c>
      <c r="F3470" s="14">
        <f>IF('08_资产清单'!A470&lt;&gt;"",IF('08_资产清单'!A470="","缺少资产ID；","")&amp;IF('08_资产清单'!B470="","缺少资产名称；","")&amp;IF('08_资产清单'!C470="","缺少对象ID；","")&amp;IF('08_资产清单'!D470="","缺少资产类别；","")&amp;IF('08_资产清单'!G470="","缺少文件名；","")&amp;IF(AND('08_资产清单'!C470&lt;&gt;"",COUNTIF('02_固定地理'!$A$2:$A$501,'08_资产清单'!C470)+COUNTIF('03_地点锚点'!$A$2:$A$501,'08_资产清单'!C470)+COUNTIF('04_路径网络'!$A$2:$A$501,'08_资产清单'!C470)+COUNTIF('06_建筑锚点'!$A$2:$A$501,'08_资产清单'!C470)=0),"资产引用对象不存在；","")&amp;IF(AND('08_资产清单'!E470&lt;&gt;"",COUNTIF('07_动态状态'!$A$2:$A$501,'08_资产清单'!E470)=0),"状态编码不存在；","")&amp;IF(AND('08_资产清单'!G470&lt;&gt;"",COUNTIF('08_资产清单'!$G$2:$G$501,'08_资产清单'!G470)&gt;1),"文件名重复；","")&amp;IF(AND('08_资产清单'!A470&lt;&gt;"",COUNTIF('08_资产清单'!$A$2:$A$501,'08_资产清单'!A470)&gt;1),"ID重复；",""),"")</f>
        <v/>
      </c>
      <c r="G3470" s="14">
        <f>IF(F3470&lt;&gt;"","按字段批注、数据字典和来源记录修正后复核","")</f>
        <v/>
      </c>
      <c r="H3470" s="14">
        <f>IF(F3470&lt;&gt;"","待处理","")</f>
        <v/>
      </c>
    </row>
    <row r="3471">
      <c r="A3471" s="14">
        <f>IF(F3471&lt;&gt;"","ISSUE-"&amp;TEXT(ROW()-1,"00000"),"")</f>
        <v/>
      </c>
      <c r="B3471" s="14">
        <f>IF(F3471&lt;&gt;"","错误","")</f>
        <v/>
      </c>
      <c r="C3471" s="14">
        <f>IF('08_资产清单'!A471&lt;&gt;"","08_资产清单","")</f>
        <v/>
      </c>
      <c r="D3471" s="14">
        <f>IF('08_资产清单'!A471&lt;&gt;"",'08_资产清单'!A471,"")</f>
        <v/>
      </c>
      <c r="E3471" s="14">
        <f>IF(F3471&lt;&gt;"","综合校验","")</f>
        <v/>
      </c>
      <c r="F3471" s="14">
        <f>IF('08_资产清单'!A471&lt;&gt;"",IF('08_资产清单'!A471="","缺少资产ID；","")&amp;IF('08_资产清单'!B471="","缺少资产名称；","")&amp;IF('08_资产清单'!C471="","缺少对象ID；","")&amp;IF('08_资产清单'!D471="","缺少资产类别；","")&amp;IF('08_资产清单'!G471="","缺少文件名；","")&amp;IF(AND('08_资产清单'!C471&lt;&gt;"",COUNTIF('02_固定地理'!$A$2:$A$501,'08_资产清单'!C471)+COUNTIF('03_地点锚点'!$A$2:$A$501,'08_资产清单'!C471)+COUNTIF('04_路径网络'!$A$2:$A$501,'08_资产清单'!C471)+COUNTIF('06_建筑锚点'!$A$2:$A$501,'08_资产清单'!C471)=0),"资产引用对象不存在；","")&amp;IF(AND('08_资产清单'!E471&lt;&gt;"",COUNTIF('07_动态状态'!$A$2:$A$501,'08_资产清单'!E471)=0),"状态编码不存在；","")&amp;IF(AND('08_资产清单'!G471&lt;&gt;"",COUNTIF('08_资产清单'!$G$2:$G$501,'08_资产清单'!G471)&gt;1),"文件名重复；","")&amp;IF(AND('08_资产清单'!A471&lt;&gt;"",COUNTIF('08_资产清单'!$A$2:$A$501,'08_资产清单'!A471)&gt;1),"ID重复；",""),"")</f>
        <v/>
      </c>
      <c r="G3471" s="14">
        <f>IF(F3471&lt;&gt;"","按字段批注、数据字典和来源记录修正后复核","")</f>
        <v/>
      </c>
      <c r="H3471" s="14">
        <f>IF(F3471&lt;&gt;"","待处理","")</f>
        <v/>
      </c>
    </row>
    <row r="3472">
      <c r="A3472" s="14">
        <f>IF(F3472&lt;&gt;"","ISSUE-"&amp;TEXT(ROW()-1,"00000"),"")</f>
        <v/>
      </c>
      <c r="B3472" s="14">
        <f>IF(F3472&lt;&gt;"","错误","")</f>
        <v/>
      </c>
      <c r="C3472" s="14">
        <f>IF('08_资产清单'!A472&lt;&gt;"","08_资产清单","")</f>
        <v/>
      </c>
      <c r="D3472" s="14">
        <f>IF('08_资产清单'!A472&lt;&gt;"",'08_资产清单'!A472,"")</f>
        <v/>
      </c>
      <c r="E3472" s="14">
        <f>IF(F3472&lt;&gt;"","综合校验","")</f>
        <v/>
      </c>
      <c r="F3472" s="14">
        <f>IF('08_资产清单'!A472&lt;&gt;"",IF('08_资产清单'!A472="","缺少资产ID；","")&amp;IF('08_资产清单'!B472="","缺少资产名称；","")&amp;IF('08_资产清单'!C472="","缺少对象ID；","")&amp;IF('08_资产清单'!D472="","缺少资产类别；","")&amp;IF('08_资产清单'!G472="","缺少文件名；","")&amp;IF(AND('08_资产清单'!C472&lt;&gt;"",COUNTIF('02_固定地理'!$A$2:$A$501,'08_资产清单'!C472)+COUNTIF('03_地点锚点'!$A$2:$A$501,'08_资产清单'!C472)+COUNTIF('04_路径网络'!$A$2:$A$501,'08_资产清单'!C472)+COUNTIF('06_建筑锚点'!$A$2:$A$501,'08_资产清单'!C472)=0),"资产引用对象不存在；","")&amp;IF(AND('08_资产清单'!E472&lt;&gt;"",COUNTIF('07_动态状态'!$A$2:$A$501,'08_资产清单'!E472)=0),"状态编码不存在；","")&amp;IF(AND('08_资产清单'!G472&lt;&gt;"",COUNTIF('08_资产清单'!$G$2:$G$501,'08_资产清单'!G472)&gt;1),"文件名重复；","")&amp;IF(AND('08_资产清单'!A472&lt;&gt;"",COUNTIF('08_资产清单'!$A$2:$A$501,'08_资产清单'!A472)&gt;1),"ID重复；",""),"")</f>
        <v/>
      </c>
      <c r="G3472" s="14">
        <f>IF(F3472&lt;&gt;"","按字段批注、数据字典和来源记录修正后复核","")</f>
        <v/>
      </c>
      <c r="H3472" s="14">
        <f>IF(F3472&lt;&gt;"","待处理","")</f>
        <v/>
      </c>
    </row>
    <row r="3473">
      <c r="A3473" s="14">
        <f>IF(F3473&lt;&gt;"","ISSUE-"&amp;TEXT(ROW()-1,"00000"),"")</f>
        <v/>
      </c>
      <c r="B3473" s="14">
        <f>IF(F3473&lt;&gt;"","错误","")</f>
        <v/>
      </c>
      <c r="C3473" s="14">
        <f>IF('08_资产清单'!A473&lt;&gt;"","08_资产清单","")</f>
        <v/>
      </c>
      <c r="D3473" s="14">
        <f>IF('08_资产清单'!A473&lt;&gt;"",'08_资产清单'!A473,"")</f>
        <v/>
      </c>
      <c r="E3473" s="14">
        <f>IF(F3473&lt;&gt;"","综合校验","")</f>
        <v/>
      </c>
      <c r="F3473" s="14">
        <f>IF('08_资产清单'!A473&lt;&gt;"",IF('08_资产清单'!A473="","缺少资产ID；","")&amp;IF('08_资产清单'!B473="","缺少资产名称；","")&amp;IF('08_资产清单'!C473="","缺少对象ID；","")&amp;IF('08_资产清单'!D473="","缺少资产类别；","")&amp;IF('08_资产清单'!G473="","缺少文件名；","")&amp;IF(AND('08_资产清单'!C473&lt;&gt;"",COUNTIF('02_固定地理'!$A$2:$A$501,'08_资产清单'!C473)+COUNTIF('03_地点锚点'!$A$2:$A$501,'08_资产清单'!C473)+COUNTIF('04_路径网络'!$A$2:$A$501,'08_资产清单'!C473)+COUNTIF('06_建筑锚点'!$A$2:$A$501,'08_资产清单'!C473)=0),"资产引用对象不存在；","")&amp;IF(AND('08_资产清单'!E473&lt;&gt;"",COUNTIF('07_动态状态'!$A$2:$A$501,'08_资产清单'!E473)=0),"状态编码不存在；","")&amp;IF(AND('08_资产清单'!G473&lt;&gt;"",COUNTIF('08_资产清单'!$G$2:$G$501,'08_资产清单'!G473)&gt;1),"文件名重复；","")&amp;IF(AND('08_资产清单'!A473&lt;&gt;"",COUNTIF('08_资产清单'!$A$2:$A$501,'08_资产清单'!A473)&gt;1),"ID重复；",""),"")</f>
        <v/>
      </c>
      <c r="G3473" s="14">
        <f>IF(F3473&lt;&gt;"","按字段批注、数据字典和来源记录修正后复核","")</f>
        <v/>
      </c>
      <c r="H3473" s="14">
        <f>IF(F3473&lt;&gt;"","待处理","")</f>
        <v/>
      </c>
    </row>
    <row r="3474">
      <c r="A3474" s="14">
        <f>IF(F3474&lt;&gt;"","ISSUE-"&amp;TEXT(ROW()-1,"00000"),"")</f>
        <v/>
      </c>
      <c r="B3474" s="14">
        <f>IF(F3474&lt;&gt;"","错误","")</f>
        <v/>
      </c>
      <c r="C3474" s="14">
        <f>IF('08_资产清单'!A474&lt;&gt;"","08_资产清单","")</f>
        <v/>
      </c>
      <c r="D3474" s="14">
        <f>IF('08_资产清单'!A474&lt;&gt;"",'08_资产清单'!A474,"")</f>
        <v/>
      </c>
      <c r="E3474" s="14">
        <f>IF(F3474&lt;&gt;"","综合校验","")</f>
        <v/>
      </c>
      <c r="F3474" s="14">
        <f>IF('08_资产清单'!A474&lt;&gt;"",IF('08_资产清单'!A474="","缺少资产ID；","")&amp;IF('08_资产清单'!B474="","缺少资产名称；","")&amp;IF('08_资产清单'!C474="","缺少对象ID；","")&amp;IF('08_资产清单'!D474="","缺少资产类别；","")&amp;IF('08_资产清单'!G474="","缺少文件名；","")&amp;IF(AND('08_资产清单'!C474&lt;&gt;"",COUNTIF('02_固定地理'!$A$2:$A$501,'08_资产清单'!C474)+COUNTIF('03_地点锚点'!$A$2:$A$501,'08_资产清单'!C474)+COUNTIF('04_路径网络'!$A$2:$A$501,'08_资产清单'!C474)+COUNTIF('06_建筑锚点'!$A$2:$A$501,'08_资产清单'!C474)=0),"资产引用对象不存在；","")&amp;IF(AND('08_资产清单'!E474&lt;&gt;"",COUNTIF('07_动态状态'!$A$2:$A$501,'08_资产清单'!E474)=0),"状态编码不存在；","")&amp;IF(AND('08_资产清单'!G474&lt;&gt;"",COUNTIF('08_资产清单'!$G$2:$G$501,'08_资产清单'!G474)&gt;1),"文件名重复；","")&amp;IF(AND('08_资产清单'!A474&lt;&gt;"",COUNTIF('08_资产清单'!$A$2:$A$501,'08_资产清单'!A474)&gt;1),"ID重复；",""),"")</f>
        <v/>
      </c>
      <c r="G3474" s="14">
        <f>IF(F3474&lt;&gt;"","按字段批注、数据字典和来源记录修正后复核","")</f>
        <v/>
      </c>
      <c r="H3474" s="14">
        <f>IF(F3474&lt;&gt;"","待处理","")</f>
        <v/>
      </c>
    </row>
    <row r="3475">
      <c r="A3475" s="14">
        <f>IF(F3475&lt;&gt;"","ISSUE-"&amp;TEXT(ROW()-1,"00000"),"")</f>
        <v/>
      </c>
      <c r="B3475" s="14">
        <f>IF(F3475&lt;&gt;"","错误","")</f>
        <v/>
      </c>
      <c r="C3475" s="14">
        <f>IF('08_资产清单'!A475&lt;&gt;"","08_资产清单","")</f>
        <v/>
      </c>
      <c r="D3475" s="14">
        <f>IF('08_资产清单'!A475&lt;&gt;"",'08_资产清单'!A475,"")</f>
        <v/>
      </c>
      <c r="E3475" s="14">
        <f>IF(F3475&lt;&gt;"","综合校验","")</f>
        <v/>
      </c>
      <c r="F3475" s="14">
        <f>IF('08_资产清单'!A475&lt;&gt;"",IF('08_资产清单'!A475="","缺少资产ID；","")&amp;IF('08_资产清单'!B475="","缺少资产名称；","")&amp;IF('08_资产清单'!C475="","缺少对象ID；","")&amp;IF('08_资产清单'!D475="","缺少资产类别；","")&amp;IF('08_资产清单'!G475="","缺少文件名；","")&amp;IF(AND('08_资产清单'!C475&lt;&gt;"",COUNTIF('02_固定地理'!$A$2:$A$501,'08_资产清单'!C475)+COUNTIF('03_地点锚点'!$A$2:$A$501,'08_资产清单'!C475)+COUNTIF('04_路径网络'!$A$2:$A$501,'08_资产清单'!C475)+COUNTIF('06_建筑锚点'!$A$2:$A$501,'08_资产清单'!C475)=0),"资产引用对象不存在；","")&amp;IF(AND('08_资产清单'!E475&lt;&gt;"",COUNTIF('07_动态状态'!$A$2:$A$501,'08_资产清单'!E475)=0),"状态编码不存在；","")&amp;IF(AND('08_资产清单'!G475&lt;&gt;"",COUNTIF('08_资产清单'!$G$2:$G$501,'08_资产清单'!G475)&gt;1),"文件名重复；","")&amp;IF(AND('08_资产清单'!A475&lt;&gt;"",COUNTIF('08_资产清单'!$A$2:$A$501,'08_资产清单'!A475)&gt;1),"ID重复；",""),"")</f>
        <v/>
      </c>
      <c r="G3475" s="14">
        <f>IF(F3475&lt;&gt;"","按字段批注、数据字典和来源记录修正后复核","")</f>
        <v/>
      </c>
      <c r="H3475" s="14">
        <f>IF(F3475&lt;&gt;"","待处理","")</f>
        <v/>
      </c>
    </row>
    <row r="3476">
      <c r="A3476" s="14">
        <f>IF(F3476&lt;&gt;"","ISSUE-"&amp;TEXT(ROW()-1,"00000"),"")</f>
        <v/>
      </c>
      <c r="B3476" s="14">
        <f>IF(F3476&lt;&gt;"","错误","")</f>
        <v/>
      </c>
      <c r="C3476" s="14">
        <f>IF('08_资产清单'!A476&lt;&gt;"","08_资产清单","")</f>
        <v/>
      </c>
      <c r="D3476" s="14">
        <f>IF('08_资产清单'!A476&lt;&gt;"",'08_资产清单'!A476,"")</f>
        <v/>
      </c>
      <c r="E3476" s="14">
        <f>IF(F3476&lt;&gt;"","综合校验","")</f>
        <v/>
      </c>
      <c r="F3476" s="14">
        <f>IF('08_资产清单'!A476&lt;&gt;"",IF('08_资产清单'!A476="","缺少资产ID；","")&amp;IF('08_资产清单'!B476="","缺少资产名称；","")&amp;IF('08_资产清单'!C476="","缺少对象ID；","")&amp;IF('08_资产清单'!D476="","缺少资产类别；","")&amp;IF('08_资产清单'!G476="","缺少文件名；","")&amp;IF(AND('08_资产清单'!C476&lt;&gt;"",COUNTIF('02_固定地理'!$A$2:$A$501,'08_资产清单'!C476)+COUNTIF('03_地点锚点'!$A$2:$A$501,'08_资产清单'!C476)+COUNTIF('04_路径网络'!$A$2:$A$501,'08_资产清单'!C476)+COUNTIF('06_建筑锚点'!$A$2:$A$501,'08_资产清单'!C476)=0),"资产引用对象不存在；","")&amp;IF(AND('08_资产清单'!E476&lt;&gt;"",COUNTIF('07_动态状态'!$A$2:$A$501,'08_资产清单'!E476)=0),"状态编码不存在；","")&amp;IF(AND('08_资产清单'!G476&lt;&gt;"",COUNTIF('08_资产清单'!$G$2:$G$501,'08_资产清单'!G476)&gt;1),"文件名重复；","")&amp;IF(AND('08_资产清单'!A476&lt;&gt;"",COUNTIF('08_资产清单'!$A$2:$A$501,'08_资产清单'!A476)&gt;1),"ID重复；",""),"")</f>
        <v/>
      </c>
      <c r="G3476" s="14">
        <f>IF(F3476&lt;&gt;"","按字段批注、数据字典和来源记录修正后复核","")</f>
        <v/>
      </c>
      <c r="H3476" s="14">
        <f>IF(F3476&lt;&gt;"","待处理","")</f>
        <v/>
      </c>
    </row>
    <row r="3477">
      <c r="A3477" s="14">
        <f>IF(F3477&lt;&gt;"","ISSUE-"&amp;TEXT(ROW()-1,"00000"),"")</f>
        <v/>
      </c>
      <c r="B3477" s="14">
        <f>IF(F3477&lt;&gt;"","错误","")</f>
        <v/>
      </c>
      <c r="C3477" s="14">
        <f>IF('08_资产清单'!A477&lt;&gt;"","08_资产清单","")</f>
        <v/>
      </c>
      <c r="D3477" s="14">
        <f>IF('08_资产清单'!A477&lt;&gt;"",'08_资产清单'!A477,"")</f>
        <v/>
      </c>
      <c r="E3477" s="14">
        <f>IF(F3477&lt;&gt;"","综合校验","")</f>
        <v/>
      </c>
      <c r="F3477" s="14">
        <f>IF('08_资产清单'!A477&lt;&gt;"",IF('08_资产清单'!A477="","缺少资产ID；","")&amp;IF('08_资产清单'!B477="","缺少资产名称；","")&amp;IF('08_资产清单'!C477="","缺少对象ID；","")&amp;IF('08_资产清单'!D477="","缺少资产类别；","")&amp;IF('08_资产清单'!G477="","缺少文件名；","")&amp;IF(AND('08_资产清单'!C477&lt;&gt;"",COUNTIF('02_固定地理'!$A$2:$A$501,'08_资产清单'!C477)+COUNTIF('03_地点锚点'!$A$2:$A$501,'08_资产清单'!C477)+COUNTIF('04_路径网络'!$A$2:$A$501,'08_资产清单'!C477)+COUNTIF('06_建筑锚点'!$A$2:$A$501,'08_资产清单'!C477)=0),"资产引用对象不存在；","")&amp;IF(AND('08_资产清单'!E477&lt;&gt;"",COUNTIF('07_动态状态'!$A$2:$A$501,'08_资产清单'!E477)=0),"状态编码不存在；","")&amp;IF(AND('08_资产清单'!G477&lt;&gt;"",COUNTIF('08_资产清单'!$G$2:$G$501,'08_资产清单'!G477)&gt;1),"文件名重复；","")&amp;IF(AND('08_资产清单'!A477&lt;&gt;"",COUNTIF('08_资产清单'!$A$2:$A$501,'08_资产清单'!A477)&gt;1),"ID重复；",""),"")</f>
        <v/>
      </c>
      <c r="G3477" s="14">
        <f>IF(F3477&lt;&gt;"","按字段批注、数据字典和来源记录修正后复核","")</f>
        <v/>
      </c>
      <c r="H3477" s="14">
        <f>IF(F3477&lt;&gt;"","待处理","")</f>
        <v/>
      </c>
    </row>
    <row r="3478">
      <c r="A3478" s="14">
        <f>IF(F3478&lt;&gt;"","ISSUE-"&amp;TEXT(ROW()-1,"00000"),"")</f>
        <v/>
      </c>
      <c r="B3478" s="14">
        <f>IF(F3478&lt;&gt;"","错误","")</f>
        <v/>
      </c>
      <c r="C3478" s="14">
        <f>IF('08_资产清单'!A478&lt;&gt;"","08_资产清单","")</f>
        <v/>
      </c>
      <c r="D3478" s="14">
        <f>IF('08_资产清单'!A478&lt;&gt;"",'08_资产清单'!A478,"")</f>
        <v/>
      </c>
      <c r="E3478" s="14">
        <f>IF(F3478&lt;&gt;"","综合校验","")</f>
        <v/>
      </c>
      <c r="F3478" s="14">
        <f>IF('08_资产清单'!A478&lt;&gt;"",IF('08_资产清单'!A478="","缺少资产ID；","")&amp;IF('08_资产清单'!B478="","缺少资产名称；","")&amp;IF('08_资产清单'!C478="","缺少对象ID；","")&amp;IF('08_资产清单'!D478="","缺少资产类别；","")&amp;IF('08_资产清单'!G478="","缺少文件名；","")&amp;IF(AND('08_资产清单'!C478&lt;&gt;"",COUNTIF('02_固定地理'!$A$2:$A$501,'08_资产清单'!C478)+COUNTIF('03_地点锚点'!$A$2:$A$501,'08_资产清单'!C478)+COUNTIF('04_路径网络'!$A$2:$A$501,'08_资产清单'!C478)+COUNTIF('06_建筑锚点'!$A$2:$A$501,'08_资产清单'!C478)=0),"资产引用对象不存在；","")&amp;IF(AND('08_资产清单'!E478&lt;&gt;"",COUNTIF('07_动态状态'!$A$2:$A$501,'08_资产清单'!E478)=0),"状态编码不存在；","")&amp;IF(AND('08_资产清单'!G478&lt;&gt;"",COUNTIF('08_资产清单'!$G$2:$G$501,'08_资产清单'!G478)&gt;1),"文件名重复；","")&amp;IF(AND('08_资产清单'!A478&lt;&gt;"",COUNTIF('08_资产清单'!$A$2:$A$501,'08_资产清单'!A478)&gt;1),"ID重复；",""),"")</f>
        <v/>
      </c>
      <c r="G3478" s="14">
        <f>IF(F3478&lt;&gt;"","按字段批注、数据字典和来源记录修正后复核","")</f>
        <v/>
      </c>
      <c r="H3478" s="14">
        <f>IF(F3478&lt;&gt;"","待处理","")</f>
        <v/>
      </c>
    </row>
    <row r="3479">
      <c r="A3479" s="14">
        <f>IF(F3479&lt;&gt;"","ISSUE-"&amp;TEXT(ROW()-1,"00000"),"")</f>
        <v/>
      </c>
      <c r="B3479" s="14">
        <f>IF(F3479&lt;&gt;"","错误","")</f>
        <v/>
      </c>
      <c r="C3479" s="14">
        <f>IF('08_资产清单'!A479&lt;&gt;"","08_资产清单","")</f>
        <v/>
      </c>
      <c r="D3479" s="14">
        <f>IF('08_资产清单'!A479&lt;&gt;"",'08_资产清单'!A479,"")</f>
        <v/>
      </c>
      <c r="E3479" s="14">
        <f>IF(F3479&lt;&gt;"","综合校验","")</f>
        <v/>
      </c>
      <c r="F3479" s="14">
        <f>IF('08_资产清单'!A479&lt;&gt;"",IF('08_资产清单'!A479="","缺少资产ID；","")&amp;IF('08_资产清单'!B479="","缺少资产名称；","")&amp;IF('08_资产清单'!C479="","缺少对象ID；","")&amp;IF('08_资产清单'!D479="","缺少资产类别；","")&amp;IF('08_资产清单'!G479="","缺少文件名；","")&amp;IF(AND('08_资产清单'!C479&lt;&gt;"",COUNTIF('02_固定地理'!$A$2:$A$501,'08_资产清单'!C479)+COUNTIF('03_地点锚点'!$A$2:$A$501,'08_资产清单'!C479)+COUNTIF('04_路径网络'!$A$2:$A$501,'08_资产清单'!C479)+COUNTIF('06_建筑锚点'!$A$2:$A$501,'08_资产清单'!C479)=0),"资产引用对象不存在；","")&amp;IF(AND('08_资产清单'!E479&lt;&gt;"",COUNTIF('07_动态状态'!$A$2:$A$501,'08_资产清单'!E479)=0),"状态编码不存在；","")&amp;IF(AND('08_资产清单'!G479&lt;&gt;"",COUNTIF('08_资产清单'!$G$2:$G$501,'08_资产清单'!G479)&gt;1),"文件名重复；","")&amp;IF(AND('08_资产清单'!A479&lt;&gt;"",COUNTIF('08_资产清单'!$A$2:$A$501,'08_资产清单'!A479)&gt;1),"ID重复；",""),"")</f>
        <v/>
      </c>
      <c r="G3479" s="14">
        <f>IF(F3479&lt;&gt;"","按字段批注、数据字典和来源记录修正后复核","")</f>
        <v/>
      </c>
      <c r="H3479" s="14">
        <f>IF(F3479&lt;&gt;"","待处理","")</f>
        <v/>
      </c>
    </row>
    <row r="3480">
      <c r="A3480" s="14">
        <f>IF(F3480&lt;&gt;"","ISSUE-"&amp;TEXT(ROW()-1,"00000"),"")</f>
        <v/>
      </c>
      <c r="B3480" s="14">
        <f>IF(F3480&lt;&gt;"","错误","")</f>
        <v/>
      </c>
      <c r="C3480" s="14">
        <f>IF('08_资产清单'!A480&lt;&gt;"","08_资产清单","")</f>
        <v/>
      </c>
      <c r="D3480" s="14">
        <f>IF('08_资产清单'!A480&lt;&gt;"",'08_资产清单'!A480,"")</f>
        <v/>
      </c>
      <c r="E3480" s="14">
        <f>IF(F3480&lt;&gt;"","综合校验","")</f>
        <v/>
      </c>
      <c r="F3480" s="14">
        <f>IF('08_资产清单'!A480&lt;&gt;"",IF('08_资产清单'!A480="","缺少资产ID；","")&amp;IF('08_资产清单'!B480="","缺少资产名称；","")&amp;IF('08_资产清单'!C480="","缺少对象ID；","")&amp;IF('08_资产清单'!D480="","缺少资产类别；","")&amp;IF('08_资产清单'!G480="","缺少文件名；","")&amp;IF(AND('08_资产清单'!C480&lt;&gt;"",COUNTIF('02_固定地理'!$A$2:$A$501,'08_资产清单'!C480)+COUNTIF('03_地点锚点'!$A$2:$A$501,'08_资产清单'!C480)+COUNTIF('04_路径网络'!$A$2:$A$501,'08_资产清单'!C480)+COUNTIF('06_建筑锚点'!$A$2:$A$501,'08_资产清单'!C480)=0),"资产引用对象不存在；","")&amp;IF(AND('08_资产清单'!E480&lt;&gt;"",COUNTIF('07_动态状态'!$A$2:$A$501,'08_资产清单'!E480)=0),"状态编码不存在；","")&amp;IF(AND('08_资产清单'!G480&lt;&gt;"",COUNTIF('08_资产清单'!$G$2:$G$501,'08_资产清单'!G480)&gt;1),"文件名重复；","")&amp;IF(AND('08_资产清单'!A480&lt;&gt;"",COUNTIF('08_资产清单'!$A$2:$A$501,'08_资产清单'!A480)&gt;1),"ID重复；",""),"")</f>
        <v/>
      </c>
      <c r="G3480" s="14">
        <f>IF(F3480&lt;&gt;"","按字段批注、数据字典和来源记录修正后复核","")</f>
        <v/>
      </c>
      <c r="H3480" s="14">
        <f>IF(F3480&lt;&gt;"","待处理","")</f>
        <v/>
      </c>
    </row>
    <row r="3481">
      <c r="A3481" s="14">
        <f>IF(F3481&lt;&gt;"","ISSUE-"&amp;TEXT(ROW()-1,"00000"),"")</f>
        <v/>
      </c>
      <c r="B3481" s="14">
        <f>IF(F3481&lt;&gt;"","错误","")</f>
        <v/>
      </c>
      <c r="C3481" s="14">
        <f>IF('08_资产清单'!A481&lt;&gt;"","08_资产清单","")</f>
        <v/>
      </c>
      <c r="D3481" s="14">
        <f>IF('08_资产清单'!A481&lt;&gt;"",'08_资产清单'!A481,"")</f>
        <v/>
      </c>
      <c r="E3481" s="14">
        <f>IF(F3481&lt;&gt;"","综合校验","")</f>
        <v/>
      </c>
      <c r="F3481" s="14">
        <f>IF('08_资产清单'!A481&lt;&gt;"",IF('08_资产清单'!A481="","缺少资产ID；","")&amp;IF('08_资产清单'!B481="","缺少资产名称；","")&amp;IF('08_资产清单'!C481="","缺少对象ID；","")&amp;IF('08_资产清单'!D481="","缺少资产类别；","")&amp;IF('08_资产清单'!G481="","缺少文件名；","")&amp;IF(AND('08_资产清单'!C481&lt;&gt;"",COUNTIF('02_固定地理'!$A$2:$A$501,'08_资产清单'!C481)+COUNTIF('03_地点锚点'!$A$2:$A$501,'08_资产清单'!C481)+COUNTIF('04_路径网络'!$A$2:$A$501,'08_资产清单'!C481)+COUNTIF('06_建筑锚点'!$A$2:$A$501,'08_资产清单'!C481)=0),"资产引用对象不存在；","")&amp;IF(AND('08_资产清单'!E481&lt;&gt;"",COUNTIF('07_动态状态'!$A$2:$A$501,'08_资产清单'!E481)=0),"状态编码不存在；","")&amp;IF(AND('08_资产清单'!G481&lt;&gt;"",COUNTIF('08_资产清单'!$G$2:$G$501,'08_资产清单'!G481)&gt;1),"文件名重复；","")&amp;IF(AND('08_资产清单'!A481&lt;&gt;"",COUNTIF('08_资产清单'!$A$2:$A$501,'08_资产清单'!A481)&gt;1),"ID重复；",""),"")</f>
        <v/>
      </c>
      <c r="G3481" s="14">
        <f>IF(F3481&lt;&gt;"","按字段批注、数据字典和来源记录修正后复核","")</f>
        <v/>
      </c>
      <c r="H3481" s="14">
        <f>IF(F3481&lt;&gt;"","待处理","")</f>
        <v/>
      </c>
    </row>
    <row r="3482">
      <c r="A3482" s="14">
        <f>IF(F3482&lt;&gt;"","ISSUE-"&amp;TEXT(ROW()-1,"00000"),"")</f>
        <v/>
      </c>
      <c r="B3482" s="14">
        <f>IF(F3482&lt;&gt;"","错误","")</f>
        <v/>
      </c>
      <c r="C3482" s="14">
        <f>IF('08_资产清单'!A482&lt;&gt;"","08_资产清单","")</f>
        <v/>
      </c>
      <c r="D3482" s="14">
        <f>IF('08_资产清单'!A482&lt;&gt;"",'08_资产清单'!A482,"")</f>
        <v/>
      </c>
      <c r="E3482" s="14">
        <f>IF(F3482&lt;&gt;"","综合校验","")</f>
        <v/>
      </c>
      <c r="F3482" s="14">
        <f>IF('08_资产清单'!A482&lt;&gt;"",IF('08_资产清单'!A482="","缺少资产ID；","")&amp;IF('08_资产清单'!B482="","缺少资产名称；","")&amp;IF('08_资产清单'!C482="","缺少对象ID；","")&amp;IF('08_资产清单'!D482="","缺少资产类别；","")&amp;IF('08_资产清单'!G482="","缺少文件名；","")&amp;IF(AND('08_资产清单'!C482&lt;&gt;"",COUNTIF('02_固定地理'!$A$2:$A$501,'08_资产清单'!C482)+COUNTIF('03_地点锚点'!$A$2:$A$501,'08_资产清单'!C482)+COUNTIF('04_路径网络'!$A$2:$A$501,'08_资产清单'!C482)+COUNTIF('06_建筑锚点'!$A$2:$A$501,'08_资产清单'!C482)=0),"资产引用对象不存在；","")&amp;IF(AND('08_资产清单'!E482&lt;&gt;"",COUNTIF('07_动态状态'!$A$2:$A$501,'08_资产清单'!E482)=0),"状态编码不存在；","")&amp;IF(AND('08_资产清单'!G482&lt;&gt;"",COUNTIF('08_资产清单'!$G$2:$G$501,'08_资产清单'!G482)&gt;1),"文件名重复；","")&amp;IF(AND('08_资产清单'!A482&lt;&gt;"",COUNTIF('08_资产清单'!$A$2:$A$501,'08_资产清单'!A482)&gt;1),"ID重复；",""),"")</f>
        <v/>
      </c>
      <c r="G3482" s="14">
        <f>IF(F3482&lt;&gt;"","按字段批注、数据字典和来源记录修正后复核","")</f>
        <v/>
      </c>
      <c r="H3482" s="14">
        <f>IF(F3482&lt;&gt;"","待处理","")</f>
        <v/>
      </c>
    </row>
    <row r="3483">
      <c r="A3483" s="14">
        <f>IF(F3483&lt;&gt;"","ISSUE-"&amp;TEXT(ROW()-1,"00000"),"")</f>
        <v/>
      </c>
      <c r="B3483" s="14">
        <f>IF(F3483&lt;&gt;"","错误","")</f>
        <v/>
      </c>
      <c r="C3483" s="14">
        <f>IF('08_资产清单'!A483&lt;&gt;"","08_资产清单","")</f>
        <v/>
      </c>
      <c r="D3483" s="14">
        <f>IF('08_资产清单'!A483&lt;&gt;"",'08_资产清单'!A483,"")</f>
        <v/>
      </c>
      <c r="E3483" s="14">
        <f>IF(F3483&lt;&gt;"","综合校验","")</f>
        <v/>
      </c>
      <c r="F3483" s="14">
        <f>IF('08_资产清单'!A483&lt;&gt;"",IF('08_资产清单'!A483="","缺少资产ID；","")&amp;IF('08_资产清单'!B483="","缺少资产名称；","")&amp;IF('08_资产清单'!C483="","缺少对象ID；","")&amp;IF('08_资产清单'!D483="","缺少资产类别；","")&amp;IF('08_资产清单'!G483="","缺少文件名；","")&amp;IF(AND('08_资产清单'!C483&lt;&gt;"",COUNTIF('02_固定地理'!$A$2:$A$501,'08_资产清单'!C483)+COUNTIF('03_地点锚点'!$A$2:$A$501,'08_资产清单'!C483)+COUNTIF('04_路径网络'!$A$2:$A$501,'08_资产清单'!C483)+COUNTIF('06_建筑锚点'!$A$2:$A$501,'08_资产清单'!C483)=0),"资产引用对象不存在；","")&amp;IF(AND('08_资产清单'!E483&lt;&gt;"",COUNTIF('07_动态状态'!$A$2:$A$501,'08_资产清单'!E483)=0),"状态编码不存在；","")&amp;IF(AND('08_资产清单'!G483&lt;&gt;"",COUNTIF('08_资产清单'!$G$2:$G$501,'08_资产清单'!G483)&gt;1),"文件名重复；","")&amp;IF(AND('08_资产清单'!A483&lt;&gt;"",COUNTIF('08_资产清单'!$A$2:$A$501,'08_资产清单'!A483)&gt;1),"ID重复；",""),"")</f>
        <v/>
      </c>
      <c r="G3483" s="14">
        <f>IF(F3483&lt;&gt;"","按字段批注、数据字典和来源记录修正后复核","")</f>
        <v/>
      </c>
      <c r="H3483" s="14">
        <f>IF(F3483&lt;&gt;"","待处理","")</f>
        <v/>
      </c>
    </row>
    <row r="3484">
      <c r="A3484" s="14">
        <f>IF(F3484&lt;&gt;"","ISSUE-"&amp;TEXT(ROW()-1,"00000"),"")</f>
        <v/>
      </c>
      <c r="B3484" s="14">
        <f>IF(F3484&lt;&gt;"","错误","")</f>
        <v/>
      </c>
      <c r="C3484" s="14">
        <f>IF('08_资产清单'!A484&lt;&gt;"","08_资产清单","")</f>
        <v/>
      </c>
      <c r="D3484" s="14">
        <f>IF('08_资产清单'!A484&lt;&gt;"",'08_资产清单'!A484,"")</f>
        <v/>
      </c>
      <c r="E3484" s="14">
        <f>IF(F3484&lt;&gt;"","综合校验","")</f>
        <v/>
      </c>
      <c r="F3484" s="14">
        <f>IF('08_资产清单'!A484&lt;&gt;"",IF('08_资产清单'!A484="","缺少资产ID；","")&amp;IF('08_资产清单'!B484="","缺少资产名称；","")&amp;IF('08_资产清单'!C484="","缺少对象ID；","")&amp;IF('08_资产清单'!D484="","缺少资产类别；","")&amp;IF('08_资产清单'!G484="","缺少文件名；","")&amp;IF(AND('08_资产清单'!C484&lt;&gt;"",COUNTIF('02_固定地理'!$A$2:$A$501,'08_资产清单'!C484)+COUNTIF('03_地点锚点'!$A$2:$A$501,'08_资产清单'!C484)+COUNTIF('04_路径网络'!$A$2:$A$501,'08_资产清单'!C484)+COUNTIF('06_建筑锚点'!$A$2:$A$501,'08_资产清单'!C484)=0),"资产引用对象不存在；","")&amp;IF(AND('08_资产清单'!E484&lt;&gt;"",COUNTIF('07_动态状态'!$A$2:$A$501,'08_资产清单'!E484)=0),"状态编码不存在；","")&amp;IF(AND('08_资产清单'!G484&lt;&gt;"",COUNTIF('08_资产清单'!$G$2:$G$501,'08_资产清单'!G484)&gt;1),"文件名重复；","")&amp;IF(AND('08_资产清单'!A484&lt;&gt;"",COUNTIF('08_资产清单'!$A$2:$A$501,'08_资产清单'!A484)&gt;1),"ID重复；",""),"")</f>
        <v/>
      </c>
      <c r="G3484" s="14">
        <f>IF(F3484&lt;&gt;"","按字段批注、数据字典和来源记录修正后复核","")</f>
        <v/>
      </c>
      <c r="H3484" s="14">
        <f>IF(F3484&lt;&gt;"","待处理","")</f>
        <v/>
      </c>
    </row>
    <row r="3485">
      <c r="A3485" s="14">
        <f>IF(F3485&lt;&gt;"","ISSUE-"&amp;TEXT(ROW()-1,"00000"),"")</f>
        <v/>
      </c>
      <c r="B3485" s="14">
        <f>IF(F3485&lt;&gt;"","错误","")</f>
        <v/>
      </c>
      <c r="C3485" s="14">
        <f>IF('08_资产清单'!A485&lt;&gt;"","08_资产清单","")</f>
        <v/>
      </c>
      <c r="D3485" s="14">
        <f>IF('08_资产清单'!A485&lt;&gt;"",'08_资产清单'!A485,"")</f>
        <v/>
      </c>
      <c r="E3485" s="14">
        <f>IF(F3485&lt;&gt;"","综合校验","")</f>
        <v/>
      </c>
      <c r="F3485" s="14">
        <f>IF('08_资产清单'!A485&lt;&gt;"",IF('08_资产清单'!A485="","缺少资产ID；","")&amp;IF('08_资产清单'!B485="","缺少资产名称；","")&amp;IF('08_资产清单'!C485="","缺少对象ID；","")&amp;IF('08_资产清单'!D485="","缺少资产类别；","")&amp;IF('08_资产清单'!G485="","缺少文件名；","")&amp;IF(AND('08_资产清单'!C485&lt;&gt;"",COUNTIF('02_固定地理'!$A$2:$A$501,'08_资产清单'!C485)+COUNTIF('03_地点锚点'!$A$2:$A$501,'08_资产清单'!C485)+COUNTIF('04_路径网络'!$A$2:$A$501,'08_资产清单'!C485)+COUNTIF('06_建筑锚点'!$A$2:$A$501,'08_资产清单'!C485)=0),"资产引用对象不存在；","")&amp;IF(AND('08_资产清单'!E485&lt;&gt;"",COUNTIF('07_动态状态'!$A$2:$A$501,'08_资产清单'!E485)=0),"状态编码不存在；","")&amp;IF(AND('08_资产清单'!G485&lt;&gt;"",COUNTIF('08_资产清单'!$G$2:$G$501,'08_资产清单'!G485)&gt;1),"文件名重复；","")&amp;IF(AND('08_资产清单'!A485&lt;&gt;"",COUNTIF('08_资产清单'!$A$2:$A$501,'08_资产清单'!A485)&gt;1),"ID重复；",""),"")</f>
        <v/>
      </c>
      <c r="G3485" s="14">
        <f>IF(F3485&lt;&gt;"","按字段批注、数据字典和来源记录修正后复核","")</f>
        <v/>
      </c>
      <c r="H3485" s="14">
        <f>IF(F3485&lt;&gt;"","待处理","")</f>
        <v/>
      </c>
    </row>
    <row r="3486">
      <c r="A3486" s="14">
        <f>IF(F3486&lt;&gt;"","ISSUE-"&amp;TEXT(ROW()-1,"00000"),"")</f>
        <v/>
      </c>
      <c r="B3486" s="14">
        <f>IF(F3486&lt;&gt;"","错误","")</f>
        <v/>
      </c>
      <c r="C3486" s="14">
        <f>IF('08_资产清单'!A486&lt;&gt;"","08_资产清单","")</f>
        <v/>
      </c>
      <c r="D3486" s="14">
        <f>IF('08_资产清单'!A486&lt;&gt;"",'08_资产清单'!A486,"")</f>
        <v/>
      </c>
      <c r="E3486" s="14">
        <f>IF(F3486&lt;&gt;"","综合校验","")</f>
        <v/>
      </c>
      <c r="F3486" s="14">
        <f>IF('08_资产清单'!A486&lt;&gt;"",IF('08_资产清单'!A486="","缺少资产ID；","")&amp;IF('08_资产清单'!B486="","缺少资产名称；","")&amp;IF('08_资产清单'!C486="","缺少对象ID；","")&amp;IF('08_资产清单'!D486="","缺少资产类别；","")&amp;IF('08_资产清单'!G486="","缺少文件名；","")&amp;IF(AND('08_资产清单'!C486&lt;&gt;"",COUNTIF('02_固定地理'!$A$2:$A$501,'08_资产清单'!C486)+COUNTIF('03_地点锚点'!$A$2:$A$501,'08_资产清单'!C486)+COUNTIF('04_路径网络'!$A$2:$A$501,'08_资产清单'!C486)+COUNTIF('06_建筑锚点'!$A$2:$A$501,'08_资产清单'!C486)=0),"资产引用对象不存在；","")&amp;IF(AND('08_资产清单'!E486&lt;&gt;"",COUNTIF('07_动态状态'!$A$2:$A$501,'08_资产清单'!E486)=0),"状态编码不存在；","")&amp;IF(AND('08_资产清单'!G486&lt;&gt;"",COUNTIF('08_资产清单'!$G$2:$G$501,'08_资产清单'!G486)&gt;1),"文件名重复；","")&amp;IF(AND('08_资产清单'!A486&lt;&gt;"",COUNTIF('08_资产清单'!$A$2:$A$501,'08_资产清单'!A486)&gt;1),"ID重复；",""),"")</f>
        <v/>
      </c>
      <c r="G3486" s="14">
        <f>IF(F3486&lt;&gt;"","按字段批注、数据字典和来源记录修正后复核","")</f>
        <v/>
      </c>
      <c r="H3486" s="14">
        <f>IF(F3486&lt;&gt;"","待处理","")</f>
        <v/>
      </c>
    </row>
    <row r="3487">
      <c r="A3487" s="14">
        <f>IF(F3487&lt;&gt;"","ISSUE-"&amp;TEXT(ROW()-1,"00000"),"")</f>
        <v/>
      </c>
      <c r="B3487" s="14">
        <f>IF(F3487&lt;&gt;"","错误","")</f>
        <v/>
      </c>
      <c r="C3487" s="14">
        <f>IF('08_资产清单'!A487&lt;&gt;"","08_资产清单","")</f>
        <v/>
      </c>
      <c r="D3487" s="14">
        <f>IF('08_资产清单'!A487&lt;&gt;"",'08_资产清单'!A487,"")</f>
        <v/>
      </c>
      <c r="E3487" s="14">
        <f>IF(F3487&lt;&gt;"","综合校验","")</f>
        <v/>
      </c>
      <c r="F3487" s="14">
        <f>IF('08_资产清单'!A487&lt;&gt;"",IF('08_资产清单'!A487="","缺少资产ID；","")&amp;IF('08_资产清单'!B487="","缺少资产名称；","")&amp;IF('08_资产清单'!C487="","缺少对象ID；","")&amp;IF('08_资产清单'!D487="","缺少资产类别；","")&amp;IF('08_资产清单'!G487="","缺少文件名；","")&amp;IF(AND('08_资产清单'!C487&lt;&gt;"",COUNTIF('02_固定地理'!$A$2:$A$501,'08_资产清单'!C487)+COUNTIF('03_地点锚点'!$A$2:$A$501,'08_资产清单'!C487)+COUNTIF('04_路径网络'!$A$2:$A$501,'08_资产清单'!C487)+COUNTIF('06_建筑锚点'!$A$2:$A$501,'08_资产清单'!C487)=0),"资产引用对象不存在；","")&amp;IF(AND('08_资产清单'!E487&lt;&gt;"",COUNTIF('07_动态状态'!$A$2:$A$501,'08_资产清单'!E487)=0),"状态编码不存在；","")&amp;IF(AND('08_资产清单'!G487&lt;&gt;"",COUNTIF('08_资产清单'!$G$2:$G$501,'08_资产清单'!G487)&gt;1),"文件名重复；","")&amp;IF(AND('08_资产清单'!A487&lt;&gt;"",COUNTIF('08_资产清单'!$A$2:$A$501,'08_资产清单'!A487)&gt;1),"ID重复；",""),"")</f>
        <v/>
      </c>
      <c r="G3487" s="14">
        <f>IF(F3487&lt;&gt;"","按字段批注、数据字典和来源记录修正后复核","")</f>
        <v/>
      </c>
      <c r="H3487" s="14">
        <f>IF(F3487&lt;&gt;"","待处理","")</f>
        <v/>
      </c>
    </row>
    <row r="3488">
      <c r="A3488" s="14">
        <f>IF(F3488&lt;&gt;"","ISSUE-"&amp;TEXT(ROW()-1,"00000"),"")</f>
        <v/>
      </c>
      <c r="B3488" s="14">
        <f>IF(F3488&lt;&gt;"","错误","")</f>
        <v/>
      </c>
      <c r="C3488" s="14">
        <f>IF('08_资产清单'!A488&lt;&gt;"","08_资产清单","")</f>
        <v/>
      </c>
      <c r="D3488" s="14">
        <f>IF('08_资产清单'!A488&lt;&gt;"",'08_资产清单'!A488,"")</f>
        <v/>
      </c>
      <c r="E3488" s="14">
        <f>IF(F3488&lt;&gt;"","综合校验","")</f>
        <v/>
      </c>
      <c r="F3488" s="14">
        <f>IF('08_资产清单'!A488&lt;&gt;"",IF('08_资产清单'!A488="","缺少资产ID；","")&amp;IF('08_资产清单'!B488="","缺少资产名称；","")&amp;IF('08_资产清单'!C488="","缺少对象ID；","")&amp;IF('08_资产清单'!D488="","缺少资产类别；","")&amp;IF('08_资产清单'!G488="","缺少文件名；","")&amp;IF(AND('08_资产清单'!C488&lt;&gt;"",COUNTIF('02_固定地理'!$A$2:$A$501,'08_资产清单'!C488)+COUNTIF('03_地点锚点'!$A$2:$A$501,'08_资产清单'!C488)+COUNTIF('04_路径网络'!$A$2:$A$501,'08_资产清单'!C488)+COUNTIF('06_建筑锚点'!$A$2:$A$501,'08_资产清单'!C488)=0),"资产引用对象不存在；","")&amp;IF(AND('08_资产清单'!E488&lt;&gt;"",COUNTIF('07_动态状态'!$A$2:$A$501,'08_资产清单'!E488)=0),"状态编码不存在；","")&amp;IF(AND('08_资产清单'!G488&lt;&gt;"",COUNTIF('08_资产清单'!$G$2:$G$501,'08_资产清单'!G488)&gt;1),"文件名重复；","")&amp;IF(AND('08_资产清单'!A488&lt;&gt;"",COUNTIF('08_资产清单'!$A$2:$A$501,'08_资产清单'!A488)&gt;1),"ID重复；",""),"")</f>
        <v/>
      </c>
      <c r="G3488" s="14">
        <f>IF(F3488&lt;&gt;"","按字段批注、数据字典和来源记录修正后复核","")</f>
        <v/>
      </c>
      <c r="H3488" s="14">
        <f>IF(F3488&lt;&gt;"","待处理","")</f>
        <v/>
      </c>
    </row>
    <row r="3489">
      <c r="A3489" s="14">
        <f>IF(F3489&lt;&gt;"","ISSUE-"&amp;TEXT(ROW()-1,"00000"),"")</f>
        <v/>
      </c>
      <c r="B3489" s="14">
        <f>IF(F3489&lt;&gt;"","错误","")</f>
        <v/>
      </c>
      <c r="C3489" s="14">
        <f>IF('08_资产清单'!A489&lt;&gt;"","08_资产清单","")</f>
        <v/>
      </c>
      <c r="D3489" s="14">
        <f>IF('08_资产清单'!A489&lt;&gt;"",'08_资产清单'!A489,"")</f>
        <v/>
      </c>
      <c r="E3489" s="14">
        <f>IF(F3489&lt;&gt;"","综合校验","")</f>
        <v/>
      </c>
      <c r="F3489" s="14">
        <f>IF('08_资产清单'!A489&lt;&gt;"",IF('08_资产清单'!A489="","缺少资产ID；","")&amp;IF('08_资产清单'!B489="","缺少资产名称；","")&amp;IF('08_资产清单'!C489="","缺少对象ID；","")&amp;IF('08_资产清单'!D489="","缺少资产类别；","")&amp;IF('08_资产清单'!G489="","缺少文件名；","")&amp;IF(AND('08_资产清单'!C489&lt;&gt;"",COUNTIF('02_固定地理'!$A$2:$A$501,'08_资产清单'!C489)+COUNTIF('03_地点锚点'!$A$2:$A$501,'08_资产清单'!C489)+COUNTIF('04_路径网络'!$A$2:$A$501,'08_资产清单'!C489)+COUNTIF('06_建筑锚点'!$A$2:$A$501,'08_资产清单'!C489)=0),"资产引用对象不存在；","")&amp;IF(AND('08_资产清单'!E489&lt;&gt;"",COUNTIF('07_动态状态'!$A$2:$A$501,'08_资产清单'!E489)=0),"状态编码不存在；","")&amp;IF(AND('08_资产清单'!G489&lt;&gt;"",COUNTIF('08_资产清单'!$G$2:$G$501,'08_资产清单'!G489)&gt;1),"文件名重复；","")&amp;IF(AND('08_资产清单'!A489&lt;&gt;"",COUNTIF('08_资产清单'!$A$2:$A$501,'08_资产清单'!A489)&gt;1),"ID重复；",""),"")</f>
        <v/>
      </c>
      <c r="G3489" s="14">
        <f>IF(F3489&lt;&gt;"","按字段批注、数据字典和来源记录修正后复核","")</f>
        <v/>
      </c>
      <c r="H3489" s="14">
        <f>IF(F3489&lt;&gt;"","待处理","")</f>
        <v/>
      </c>
    </row>
    <row r="3490">
      <c r="A3490" s="14">
        <f>IF(F3490&lt;&gt;"","ISSUE-"&amp;TEXT(ROW()-1,"00000"),"")</f>
        <v/>
      </c>
      <c r="B3490" s="14">
        <f>IF(F3490&lt;&gt;"","错误","")</f>
        <v/>
      </c>
      <c r="C3490" s="14">
        <f>IF('08_资产清单'!A490&lt;&gt;"","08_资产清单","")</f>
        <v/>
      </c>
      <c r="D3490" s="14">
        <f>IF('08_资产清单'!A490&lt;&gt;"",'08_资产清单'!A490,"")</f>
        <v/>
      </c>
      <c r="E3490" s="14">
        <f>IF(F3490&lt;&gt;"","综合校验","")</f>
        <v/>
      </c>
      <c r="F3490" s="14">
        <f>IF('08_资产清单'!A490&lt;&gt;"",IF('08_资产清单'!A490="","缺少资产ID；","")&amp;IF('08_资产清单'!B490="","缺少资产名称；","")&amp;IF('08_资产清单'!C490="","缺少对象ID；","")&amp;IF('08_资产清单'!D490="","缺少资产类别；","")&amp;IF('08_资产清单'!G490="","缺少文件名；","")&amp;IF(AND('08_资产清单'!C490&lt;&gt;"",COUNTIF('02_固定地理'!$A$2:$A$501,'08_资产清单'!C490)+COUNTIF('03_地点锚点'!$A$2:$A$501,'08_资产清单'!C490)+COUNTIF('04_路径网络'!$A$2:$A$501,'08_资产清单'!C490)+COUNTIF('06_建筑锚点'!$A$2:$A$501,'08_资产清单'!C490)=0),"资产引用对象不存在；","")&amp;IF(AND('08_资产清单'!E490&lt;&gt;"",COUNTIF('07_动态状态'!$A$2:$A$501,'08_资产清单'!E490)=0),"状态编码不存在；","")&amp;IF(AND('08_资产清单'!G490&lt;&gt;"",COUNTIF('08_资产清单'!$G$2:$G$501,'08_资产清单'!G490)&gt;1),"文件名重复；","")&amp;IF(AND('08_资产清单'!A490&lt;&gt;"",COUNTIF('08_资产清单'!$A$2:$A$501,'08_资产清单'!A490)&gt;1),"ID重复；",""),"")</f>
        <v/>
      </c>
      <c r="G3490" s="14">
        <f>IF(F3490&lt;&gt;"","按字段批注、数据字典和来源记录修正后复核","")</f>
        <v/>
      </c>
      <c r="H3490" s="14">
        <f>IF(F3490&lt;&gt;"","待处理","")</f>
        <v/>
      </c>
    </row>
    <row r="3491">
      <c r="A3491" s="14">
        <f>IF(F3491&lt;&gt;"","ISSUE-"&amp;TEXT(ROW()-1,"00000"),"")</f>
        <v/>
      </c>
      <c r="B3491" s="14">
        <f>IF(F3491&lt;&gt;"","错误","")</f>
        <v/>
      </c>
      <c r="C3491" s="14">
        <f>IF('08_资产清单'!A491&lt;&gt;"","08_资产清单","")</f>
        <v/>
      </c>
      <c r="D3491" s="14">
        <f>IF('08_资产清单'!A491&lt;&gt;"",'08_资产清单'!A491,"")</f>
        <v/>
      </c>
      <c r="E3491" s="14">
        <f>IF(F3491&lt;&gt;"","综合校验","")</f>
        <v/>
      </c>
      <c r="F3491" s="14">
        <f>IF('08_资产清单'!A491&lt;&gt;"",IF('08_资产清单'!A491="","缺少资产ID；","")&amp;IF('08_资产清单'!B491="","缺少资产名称；","")&amp;IF('08_资产清单'!C491="","缺少对象ID；","")&amp;IF('08_资产清单'!D491="","缺少资产类别；","")&amp;IF('08_资产清单'!G491="","缺少文件名；","")&amp;IF(AND('08_资产清单'!C491&lt;&gt;"",COUNTIF('02_固定地理'!$A$2:$A$501,'08_资产清单'!C491)+COUNTIF('03_地点锚点'!$A$2:$A$501,'08_资产清单'!C491)+COUNTIF('04_路径网络'!$A$2:$A$501,'08_资产清单'!C491)+COUNTIF('06_建筑锚点'!$A$2:$A$501,'08_资产清单'!C491)=0),"资产引用对象不存在；","")&amp;IF(AND('08_资产清单'!E491&lt;&gt;"",COUNTIF('07_动态状态'!$A$2:$A$501,'08_资产清单'!E491)=0),"状态编码不存在；","")&amp;IF(AND('08_资产清单'!G491&lt;&gt;"",COUNTIF('08_资产清单'!$G$2:$G$501,'08_资产清单'!G491)&gt;1),"文件名重复；","")&amp;IF(AND('08_资产清单'!A491&lt;&gt;"",COUNTIF('08_资产清单'!$A$2:$A$501,'08_资产清单'!A491)&gt;1),"ID重复；",""),"")</f>
        <v/>
      </c>
      <c r="G3491" s="14">
        <f>IF(F3491&lt;&gt;"","按字段批注、数据字典和来源记录修正后复核","")</f>
        <v/>
      </c>
      <c r="H3491" s="14">
        <f>IF(F3491&lt;&gt;"","待处理","")</f>
        <v/>
      </c>
    </row>
    <row r="3492">
      <c r="A3492" s="14">
        <f>IF(F3492&lt;&gt;"","ISSUE-"&amp;TEXT(ROW()-1,"00000"),"")</f>
        <v/>
      </c>
      <c r="B3492" s="14">
        <f>IF(F3492&lt;&gt;"","错误","")</f>
        <v/>
      </c>
      <c r="C3492" s="14">
        <f>IF('08_资产清单'!A492&lt;&gt;"","08_资产清单","")</f>
        <v/>
      </c>
      <c r="D3492" s="14">
        <f>IF('08_资产清单'!A492&lt;&gt;"",'08_资产清单'!A492,"")</f>
        <v/>
      </c>
      <c r="E3492" s="14">
        <f>IF(F3492&lt;&gt;"","综合校验","")</f>
        <v/>
      </c>
      <c r="F3492" s="14">
        <f>IF('08_资产清单'!A492&lt;&gt;"",IF('08_资产清单'!A492="","缺少资产ID；","")&amp;IF('08_资产清单'!B492="","缺少资产名称；","")&amp;IF('08_资产清单'!C492="","缺少对象ID；","")&amp;IF('08_资产清单'!D492="","缺少资产类别；","")&amp;IF('08_资产清单'!G492="","缺少文件名；","")&amp;IF(AND('08_资产清单'!C492&lt;&gt;"",COUNTIF('02_固定地理'!$A$2:$A$501,'08_资产清单'!C492)+COUNTIF('03_地点锚点'!$A$2:$A$501,'08_资产清单'!C492)+COUNTIF('04_路径网络'!$A$2:$A$501,'08_资产清单'!C492)+COUNTIF('06_建筑锚点'!$A$2:$A$501,'08_资产清单'!C492)=0),"资产引用对象不存在；","")&amp;IF(AND('08_资产清单'!E492&lt;&gt;"",COUNTIF('07_动态状态'!$A$2:$A$501,'08_资产清单'!E492)=0),"状态编码不存在；","")&amp;IF(AND('08_资产清单'!G492&lt;&gt;"",COUNTIF('08_资产清单'!$G$2:$G$501,'08_资产清单'!G492)&gt;1),"文件名重复；","")&amp;IF(AND('08_资产清单'!A492&lt;&gt;"",COUNTIF('08_资产清单'!$A$2:$A$501,'08_资产清单'!A492)&gt;1),"ID重复；",""),"")</f>
        <v/>
      </c>
      <c r="G3492" s="14">
        <f>IF(F3492&lt;&gt;"","按字段批注、数据字典和来源记录修正后复核","")</f>
        <v/>
      </c>
      <c r="H3492" s="14">
        <f>IF(F3492&lt;&gt;"","待处理","")</f>
        <v/>
      </c>
    </row>
    <row r="3493">
      <c r="A3493" s="14">
        <f>IF(F3493&lt;&gt;"","ISSUE-"&amp;TEXT(ROW()-1,"00000"),"")</f>
        <v/>
      </c>
      <c r="B3493" s="14">
        <f>IF(F3493&lt;&gt;"","错误","")</f>
        <v/>
      </c>
      <c r="C3493" s="14">
        <f>IF('08_资产清单'!A493&lt;&gt;"","08_资产清单","")</f>
        <v/>
      </c>
      <c r="D3493" s="14">
        <f>IF('08_资产清单'!A493&lt;&gt;"",'08_资产清单'!A493,"")</f>
        <v/>
      </c>
      <c r="E3493" s="14">
        <f>IF(F3493&lt;&gt;"","综合校验","")</f>
        <v/>
      </c>
      <c r="F3493" s="14">
        <f>IF('08_资产清单'!A493&lt;&gt;"",IF('08_资产清单'!A493="","缺少资产ID；","")&amp;IF('08_资产清单'!B493="","缺少资产名称；","")&amp;IF('08_资产清单'!C493="","缺少对象ID；","")&amp;IF('08_资产清单'!D493="","缺少资产类别；","")&amp;IF('08_资产清单'!G493="","缺少文件名；","")&amp;IF(AND('08_资产清单'!C493&lt;&gt;"",COUNTIF('02_固定地理'!$A$2:$A$501,'08_资产清单'!C493)+COUNTIF('03_地点锚点'!$A$2:$A$501,'08_资产清单'!C493)+COUNTIF('04_路径网络'!$A$2:$A$501,'08_资产清单'!C493)+COUNTIF('06_建筑锚点'!$A$2:$A$501,'08_资产清单'!C493)=0),"资产引用对象不存在；","")&amp;IF(AND('08_资产清单'!E493&lt;&gt;"",COUNTIF('07_动态状态'!$A$2:$A$501,'08_资产清单'!E493)=0),"状态编码不存在；","")&amp;IF(AND('08_资产清单'!G493&lt;&gt;"",COUNTIF('08_资产清单'!$G$2:$G$501,'08_资产清单'!G493)&gt;1),"文件名重复；","")&amp;IF(AND('08_资产清单'!A493&lt;&gt;"",COUNTIF('08_资产清单'!$A$2:$A$501,'08_资产清单'!A493)&gt;1),"ID重复；",""),"")</f>
        <v/>
      </c>
      <c r="G3493" s="14">
        <f>IF(F3493&lt;&gt;"","按字段批注、数据字典和来源记录修正后复核","")</f>
        <v/>
      </c>
      <c r="H3493" s="14">
        <f>IF(F3493&lt;&gt;"","待处理","")</f>
        <v/>
      </c>
    </row>
    <row r="3494">
      <c r="A3494" s="14">
        <f>IF(F3494&lt;&gt;"","ISSUE-"&amp;TEXT(ROW()-1,"00000"),"")</f>
        <v/>
      </c>
      <c r="B3494" s="14">
        <f>IF(F3494&lt;&gt;"","错误","")</f>
        <v/>
      </c>
      <c r="C3494" s="14">
        <f>IF('08_资产清单'!A494&lt;&gt;"","08_资产清单","")</f>
        <v/>
      </c>
      <c r="D3494" s="14">
        <f>IF('08_资产清单'!A494&lt;&gt;"",'08_资产清单'!A494,"")</f>
        <v/>
      </c>
      <c r="E3494" s="14">
        <f>IF(F3494&lt;&gt;"","综合校验","")</f>
        <v/>
      </c>
      <c r="F3494" s="14">
        <f>IF('08_资产清单'!A494&lt;&gt;"",IF('08_资产清单'!A494="","缺少资产ID；","")&amp;IF('08_资产清单'!B494="","缺少资产名称；","")&amp;IF('08_资产清单'!C494="","缺少对象ID；","")&amp;IF('08_资产清单'!D494="","缺少资产类别；","")&amp;IF('08_资产清单'!G494="","缺少文件名；","")&amp;IF(AND('08_资产清单'!C494&lt;&gt;"",COUNTIF('02_固定地理'!$A$2:$A$501,'08_资产清单'!C494)+COUNTIF('03_地点锚点'!$A$2:$A$501,'08_资产清单'!C494)+COUNTIF('04_路径网络'!$A$2:$A$501,'08_资产清单'!C494)+COUNTIF('06_建筑锚点'!$A$2:$A$501,'08_资产清单'!C494)=0),"资产引用对象不存在；","")&amp;IF(AND('08_资产清单'!E494&lt;&gt;"",COUNTIF('07_动态状态'!$A$2:$A$501,'08_资产清单'!E494)=0),"状态编码不存在；","")&amp;IF(AND('08_资产清单'!G494&lt;&gt;"",COUNTIF('08_资产清单'!$G$2:$G$501,'08_资产清单'!G494)&gt;1),"文件名重复；","")&amp;IF(AND('08_资产清单'!A494&lt;&gt;"",COUNTIF('08_资产清单'!$A$2:$A$501,'08_资产清单'!A494)&gt;1),"ID重复；",""),"")</f>
        <v/>
      </c>
      <c r="G3494" s="14">
        <f>IF(F3494&lt;&gt;"","按字段批注、数据字典和来源记录修正后复核","")</f>
        <v/>
      </c>
      <c r="H3494" s="14">
        <f>IF(F3494&lt;&gt;"","待处理","")</f>
        <v/>
      </c>
    </row>
    <row r="3495">
      <c r="A3495" s="14">
        <f>IF(F3495&lt;&gt;"","ISSUE-"&amp;TEXT(ROW()-1,"00000"),"")</f>
        <v/>
      </c>
      <c r="B3495" s="14">
        <f>IF(F3495&lt;&gt;"","错误","")</f>
        <v/>
      </c>
      <c r="C3495" s="14">
        <f>IF('08_资产清单'!A495&lt;&gt;"","08_资产清单","")</f>
        <v/>
      </c>
      <c r="D3495" s="14">
        <f>IF('08_资产清单'!A495&lt;&gt;"",'08_资产清单'!A495,"")</f>
        <v/>
      </c>
      <c r="E3495" s="14">
        <f>IF(F3495&lt;&gt;"","综合校验","")</f>
        <v/>
      </c>
      <c r="F3495" s="14">
        <f>IF('08_资产清单'!A495&lt;&gt;"",IF('08_资产清单'!A495="","缺少资产ID；","")&amp;IF('08_资产清单'!B495="","缺少资产名称；","")&amp;IF('08_资产清单'!C495="","缺少对象ID；","")&amp;IF('08_资产清单'!D495="","缺少资产类别；","")&amp;IF('08_资产清单'!G495="","缺少文件名；","")&amp;IF(AND('08_资产清单'!C495&lt;&gt;"",COUNTIF('02_固定地理'!$A$2:$A$501,'08_资产清单'!C495)+COUNTIF('03_地点锚点'!$A$2:$A$501,'08_资产清单'!C495)+COUNTIF('04_路径网络'!$A$2:$A$501,'08_资产清单'!C495)+COUNTIF('06_建筑锚点'!$A$2:$A$501,'08_资产清单'!C495)=0),"资产引用对象不存在；","")&amp;IF(AND('08_资产清单'!E495&lt;&gt;"",COUNTIF('07_动态状态'!$A$2:$A$501,'08_资产清单'!E495)=0),"状态编码不存在；","")&amp;IF(AND('08_资产清单'!G495&lt;&gt;"",COUNTIF('08_资产清单'!$G$2:$G$501,'08_资产清单'!G495)&gt;1),"文件名重复；","")&amp;IF(AND('08_资产清单'!A495&lt;&gt;"",COUNTIF('08_资产清单'!$A$2:$A$501,'08_资产清单'!A495)&gt;1),"ID重复；",""),"")</f>
        <v/>
      </c>
      <c r="G3495" s="14">
        <f>IF(F3495&lt;&gt;"","按字段批注、数据字典和来源记录修正后复核","")</f>
        <v/>
      </c>
      <c r="H3495" s="14">
        <f>IF(F3495&lt;&gt;"","待处理","")</f>
        <v/>
      </c>
    </row>
    <row r="3496">
      <c r="A3496" s="14">
        <f>IF(F3496&lt;&gt;"","ISSUE-"&amp;TEXT(ROW()-1,"00000"),"")</f>
        <v/>
      </c>
      <c r="B3496" s="14">
        <f>IF(F3496&lt;&gt;"","错误","")</f>
        <v/>
      </c>
      <c r="C3496" s="14">
        <f>IF('08_资产清单'!A496&lt;&gt;"","08_资产清单","")</f>
        <v/>
      </c>
      <c r="D3496" s="14">
        <f>IF('08_资产清单'!A496&lt;&gt;"",'08_资产清单'!A496,"")</f>
        <v/>
      </c>
      <c r="E3496" s="14">
        <f>IF(F3496&lt;&gt;"","综合校验","")</f>
        <v/>
      </c>
      <c r="F3496" s="14">
        <f>IF('08_资产清单'!A496&lt;&gt;"",IF('08_资产清单'!A496="","缺少资产ID；","")&amp;IF('08_资产清单'!B496="","缺少资产名称；","")&amp;IF('08_资产清单'!C496="","缺少对象ID；","")&amp;IF('08_资产清单'!D496="","缺少资产类别；","")&amp;IF('08_资产清单'!G496="","缺少文件名；","")&amp;IF(AND('08_资产清单'!C496&lt;&gt;"",COUNTIF('02_固定地理'!$A$2:$A$501,'08_资产清单'!C496)+COUNTIF('03_地点锚点'!$A$2:$A$501,'08_资产清单'!C496)+COUNTIF('04_路径网络'!$A$2:$A$501,'08_资产清单'!C496)+COUNTIF('06_建筑锚点'!$A$2:$A$501,'08_资产清单'!C496)=0),"资产引用对象不存在；","")&amp;IF(AND('08_资产清单'!E496&lt;&gt;"",COUNTIF('07_动态状态'!$A$2:$A$501,'08_资产清单'!E496)=0),"状态编码不存在；","")&amp;IF(AND('08_资产清单'!G496&lt;&gt;"",COUNTIF('08_资产清单'!$G$2:$G$501,'08_资产清单'!G496)&gt;1),"文件名重复；","")&amp;IF(AND('08_资产清单'!A496&lt;&gt;"",COUNTIF('08_资产清单'!$A$2:$A$501,'08_资产清单'!A496)&gt;1),"ID重复；",""),"")</f>
        <v/>
      </c>
      <c r="G3496" s="14">
        <f>IF(F3496&lt;&gt;"","按字段批注、数据字典和来源记录修正后复核","")</f>
        <v/>
      </c>
      <c r="H3496" s="14">
        <f>IF(F3496&lt;&gt;"","待处理","")</f>
        <v/>
      </c>
    </row>
    <row r="3497">
      <c r="A3497" s="14">
        <f>IF(F3497&lt;&gt;"","ISSUE-"&amp;TEXT(ROW()-1,"00000"),"")</f>
        <v/>
      </c>
      <c r="B3497" s="14">
        <f>IF(F3497&lt;&gt;"","错误","")</f>
        <v/>
      </c>
      <c r="C3497" s="14">
        <f>IF('08_资产清单'!A497&lt;&gt;"","08_资产清单","")</f>
        <v/>
      </c>
      <c r="D3497" s="14">
        <f>IF('08_资产清单'!A497&lt;&gt;"",'08_资产清单'!A497,"")</f>
        <v/>
      </c>
      <c r="E3497" s="14">
        <f>IF(F3497&lt;&gt;"","综合校验","")</f>
        <v/>
      </c>
      <c r="F3497" s="14">
        <f>IF('08_资产清单'!A497&lt;&gt;"",IF('08_资产清单'!A497="","缺少资产ID；","")&amp;IF('08_资产清单'!B497="","缺少资产名称；","")&amp;IF('08_资产清单'!C497="","缺少对象ID；","")&amp;IF('08_资产清单'!D497="","缺少资产类别；","")&amp;IF('08_资产清单'!G497="","缺少文件名；","")&amp;IF(AND('08_资产清单'!C497&lt;&gt;"",COUNTIF('02_固定地理'!$A$2:$A$501,'08_资产清单'!C497)+COUNTIF('03_地点锚点'!$A$2:$A$501,'08_资产清单'!C497)+COUNTIF('04_路径网络'!$A$2:$A$501,'08_资产清单'!C497)+COUNTIF('06_建筑锚点'!$A$2:$A$501,'08_资产清单'!C497)=0),"资产引用对象不存在；","")&amp;IF(AND('08_资产清单'!E497&lt;&gt;"",COUNTIF('07_动态状态'!$A$2:$A$501,'08_资产清单'!E497)=0),"状态编码不存在；","")&amp;IF(AND('08_资产清单'!G497&lt;&gt;"",COUNTIF('08_资产清单'!$G$2:$G$501,'08_资产清单'!G497)&gt;1),"文件名重复；","")&amp;IF(AND('08_资产清单'!A497&lt;&gt;"",COUNTIF('08_资产清单'!$A$2:$A$501,'08_资产清单'!A497)&gt;1),"ID重复；",""),"")</f>
        <v/>
      </c>
      <c r="G3497" s="14">
        <f>IF(F3497&lt;&gt;"","按字段批注、数据字典和来源记录修正后复核","")</f>
        <v/>
      </c>
      <c r="H3497" s="14">
        <f>IF(F3497&lt;&gt;"","待处理","")</f>
        <v/>
      </c>
    </row>
    <row r="3498">
      <c r="A3498" s="14">
        <f>IF(F3498&lt;&gt;"","ISSUE-"&amp;TEXT(ROW()-1,"00000"),"")</f>
        <v/>
      </c>
      <c r="B3498" s="14">
        <f>IF(F3498&lt;&gt;"","错误","")</f>
        <v/>
      </c>
      <c r="C3498" s="14">
        <f>IF('08_资产清单'!A498&lt;&gt;"","08_资产清单","")</f>
        <v/>
      </c>
      <c r="D3498" s="14">
        <f>IF('08_资产清单'!A498&lt;&gt;"",'08_资产清单'!A498,"")</f>
        <v/>
      </c>
      <c r="E3498" s="14">
        <f>IF(F3498&lt;&gt;"","综合校验","")</f>
        <v/>
      </c>
      <c r="F3498" s="14">
        <f>IF('08_资产清单'!A498&lt;&gt;"",IF('08_资产清单'!A498="","缺少资产ID；","")&amp;IF('08_资产清单'!B498="","缺少资产名称；","")&amp;IF('08_资产清单'!C498="","缺少对象ID；","")&amp;IF('08_资产清单'!D498="","缺少资产类别；","")&amp;IF('08_资产清单'!G498="","缺少文件名；","")&amp;IF(AND('08_资产清单'!C498&lt;&gt;"",COUNTIF('02_固定地理'!$A$2:$A$501,'08_资产清单'!C498)+COUNTIF('03_地点锚点'!$A$2:$A$501,'08_资产清单'!C498)+COUNTIF('04_路径网络'!$A$2:$A$501,'08_资产清单'!C498)+COUNTIF('06_建筑锚点'!$A$2:$A$501,'08_资产清单'!C498)=0),"资产引用对象不存在；","")&amp;IF(AND('08_资产清单'!E498&lt;&gt;"",COUNTIF('07_动态状态'!$A$2:$A$501,'08_资产清单'!E498)=0),"状态编码不存在；","")&amp;IF(AND('08_资产清单'!G498&lt;&gt;"",COUNTIF('08_资产清单'!$G$2:$G$501,'08_资产清单'!G498)&gt;1),"文件名重复；","")&amp;IF(AND('08_资产清单'!A498&lt;&gt;"",COUNTIF('08_资产清单'!$A$2:$A$501,'08_资产清单'!A498)&gt;1),"ID重复；",""),"")</f>
        <v/>
      </c>
      <c r="G3498" s="14">
        <f>IF(F3498&lt;&gt;"","按字段批注、数据字典和来源记录修正后复核","")</f>
        <v/>
      </c>
      <c r="H3498" s="14">
        <f>IF(F3498&lt;&gt;"","待处理","")</f>
        <v/>
      </c>
    </row>
    <row r="3499">
      <c r="A3499" s="14">
        <f>IF(F3499&lt;&gt;"","ISSUE-"&amp;TEXT(ROW()-1,"00000"),"")</f>
        <v/>
      </c>
      <c r="B3499" s="14">
        <f>IF(F3499&lt;&gt;"","错误","")</f>
        <v/>
      </c>
      <c r="C3499" s="14">
        <f>IF('08_资产清单'!A499&lt;&gt;"","08_资产清单","")</f>
        <v/>
      </c>
      <c r="D3499" s="14">
        <f>IF('08_资产清单'!A499&lt;&gt;"",'08_资产清单'!A499,"")</f>
        <v/>
      </c>
      <c r="E3499" s="14">
        <f>IF(F3499&lt;&gt;"","综合校验","")</f>
        <v/>
      </c>
      <c r="F3499" s="14">
        <f>IF('08_资产清单'!A499&lt;&gt;"",IF('08_资产清单'!A499="","缺少资产ID；","")&amp;IF('08_资产清单'!B499="","缺少资产名称；","")&amp;IF('08_资产清单'!C499="","缺少对象ID；","")&amp;IF('08_资产清单'!D499="","缺少资产类别；","")&amp;IF('08_资产清单'!G499="","缺少文件名；","")&amp;IF(AND('08_资产清单'!C499&lt;&gt;"",COUNTIF('02_固定地理'!$A$2:$A$501,'08_资产清单'!C499)+COUNTIF('03_地点锚点'!$A$2:$A$501,'08_资产清单'!C499)+COUNTIF('04_路径网络'!$A$2:$A$501,'08_资产清单'!C499)+COUNTIF('06_建筑锚点'!$A$2:$A$501,'08_资产清单'!C499)=0),"资产引用对象不存在；","")&amp;IF(AND('08_资产清单'!E499&lt;&gt;"",COUNTIF('07_动态状态'!$A$2:$A$501,'08_资产清单'!E499)=0),"状态编码不存在；","")&amp;IF(AND('08_资产清单'!G499&lt;&gt;"",COUNTIF('08_资产清单'!$G$2:$G$501,'08_资产清单'!G499)&gt;1),"文件名重复；","")&amp;IF(AND('08_资产清单'!A499&lt;&gt;"",COUNTIF('08_资产清单'!$A$2:$A$501,'08_资产清单'!A499)&gt;1),"ID重复；",""),"")</f>
        <v/>
      </c>
      <c r="G3499" s="14">
        <f>IF(F3499&lt;&gt;"","按字段批注、数据字典和来源记录修正后复核","")</f>
        <v/>
      </c>
      <c r="H3499" s="14">
        <f>IF(F3499&lt;&gt;"","待处理","")</f>
        <v/>
      </c>
    </row>
    <row r="3500">
      <c r="A3500" s="14">
        <f>IF(F3500&lt;&gt;"","ISSUE-"&amp;TEXT(ROW()-1,"00000"),"")</f>
        <v/>
      </c>
      <c r="B3500" s="14">
        <f>IF(F3500&lt;&gt;"","错误","")</f>
        <v/>
      </c>
      <c r="C3500" s="14">
        <f>IF('08_资产清单'!A500&lt;&gt;"","08_资产清单","")</f>
        <v/>
      </c>
      <c r="D3500" s="14">
        <f>IF('08_资产清单'!A500&lt;&gt;"",'08_资产清单'!A500,"")</f>
        <v/>
      </c>
      <c r="E3500" s="14">
        <f>IF(F3500&lt;&gt;"","综合校验","")</f>
        <v/>
      </c>
      <c r="F3500" s="14">
        <f>IF('08_资产清单'!A500&lt;&gt;"",IF('08_资产清单'!A500="","缺少资产ID；","")&amp;IF('08_资产清单'!B500="","缺少资产名称；","")&amp;IF('08_资产清单'!C500="","缺少对象ID；","")&amp;IF('08_资产清单'!D500="","缺少资产类别；","")&amp;IF('08_资产清单'!G500="","缺少文件名；","")&amp;IF(AND('08_资产清单'!C500&lt;&gt;"",COUNTIF('02_固定地理'!$A$2:$A$501,'08_资产清单'!C500)+COUNTIF('03_地点锚点'!$A$2:$A$501,'08_资产清单'!C500)+COUNTIF('04_路径网络'!$A$2:$A$501,'08_资产清单'!C500)+COUNTIF('06_建筑锚点'!$A$2:$A$501,'08_资产清单'!C500)=0),"资产引用对象不存在；","")&amp;IF(AND('08_资产清单'!E500&lt;&gt;"",COUNTIF('07_动态状态'!$A$2:$A$501,'08_资产清单'!E500)=0),"状态编码不存在；","")&amp;IF(AND('08_资产清单'!G500&lt;&gt;"",COUNTIF('08_资产清单'!$G$2:$G$501,'08_资产清单'!G500)&gt;1),"文件名重复；","")&amp;IF(AND('08_资产清单'!A500&lt;&gt;"",COUNTIF('08_资产清单'!$A$2:$A$501,'08_资产清单'!A500)&gt;1),"ID重复；",""),"")</f>
        <v/>
      </c>
      <c r="G3500" s="14">
        <f>IF(F3500&lt;&gt;"","按字段批注、数据字典和来源记录修正后复核","")</f>
        <v/>
      </c>
      <c r="H3500" s="14">
        <f>IF(F3500&lt;&gt;"","待处理","")</f>
        <v/>
      </c>
    </row>
    <row r="3501">
      <c r="A3501" s="14">
        <f>IF(F3501&lt;&gt;"","ISSUE-"&amp;TEXT(ROW()-1,"00000"),"")</f>
        <v/>
      </c>
      <c r="B3501" s="14">
        <f>IF(F3501&lt;&gt;"","错误","")</f>
        <v/>
      </c>
      <c r="C3501" s="14">
        <f>IF('08_资产清单'!A501&lt;&gt;"","08_资产清单","")</f>
        <v/>
      </c>
      <c r="D3501" s="14">
        <f>IF('08_资产清单'!A501&lt;&gt;"",'08_资产清单'!A501,"")</f>
        <v/>
      </c>
      <c r="E3501" s="14">
        <f>IF(F3501&lt;&gt;"","综合校验","")</f>
        <v/>
      </c>
      <c r="F3501" s="14">
        <f>IF('08_资产清单'!A501&lt;&gt;"",IF('08_资产清单'!A501="","缺少资产ID；","")&amp;IF('08_资产清单'!B501="","缺少资产名称；","")&amp;IF('08_资产清单'!C501="","缺少对象ID；","")&amp;IF('08_资产清单'!D501="","缺少资产类别；","")&amp;IF('08_资产清单'!G501="","缺少文件名；","")&amp;IF(AND('08_资产清单'!C501&lt;&gt;"",COUNTIF('02_固定地理'!$A$2:$A$501,'08_资产清单'!C501)+COUNTIF('03_地点锚点'!$A$2:$A$501,'08_资产清单'!C501)+COUNTIF('04_路径网络'!$A$2:$A$501,'08_资产清单'!C501)+COUNTIF('06_建筑锚点'!$A$2:$A$501,'08_资产清单'!C501)=0),"资产引用对象不存在；","")&amp;IF(AND('08_资产清单'!E501&lt;&gt;"",COUNTIF('07_动态状态'!$A$2:$A$501,'08_资产清单'!E501)=0),"状态编码不存在；","")&amp;IF(AND('08_资产清单'!G501&lt;&gt;"",COUNTIF('08_资产清单'!$G$2:$G$501,'08_资产清单'!G501)&gt;1),"文件名重复；","")&amp;IF(AND('08_资产清单'!A501&lt;&gt;"",COUNTIF('08_资产清单'!$A$2:$A$501,'08_资产清单'!A501)&gt;1),"ID重复；",""),"")</f>
        <v/>
      </c>
      <c r="G3501" s="14">
        <f>IF(F3501&lt;&gt;"","按字段批注、数据字典和来源记录修正后复核","")</f>
        <v/>
      </c>
      <c r="H3501" s="14">
        <f>IF(F3501&lt;&gt;"","待处理","")</f>
        <v/>
      </c>
    </row>
    <row r="3502">
      <c r="A3502" s="14">
        <f>IF(F3502&lt;&gt;"","ISSUE-"&amp;TEXT(ROW()-1,"00000"),"")</f>
        <v/>
      </c>
      <c r="B3502" s="14">
        <f>IF(F3502&lt;&gt;"","错误","")</f>
        <v/>
      </c>
      <c r="C3502" s="14">
        <f>IF('09_连续性验收'!A2&lt;&gt;"","09_连续性验收","")</f>
        <v/>
      </c>
      <c r="D3502" s="14">
        <f>IF('09_连续性验收'!A2&lt;&gt;"",'09_连续性验收'!A2,"")</f>
        <v/>
      </c>
      <c r="E3502" s="14">
        <f>IF(F3502&lt;&gt;"","综合校验","")</f>
        <v/>
      </c>
      <c r="F3502" s="14">
        <f>IF('09_连续性验收'!A2&lt;&gt;"",IF('09_连续性验收'!A2="","缺少验收ID；","")&amp;IF('09_连续性验收'!B2="","缺少对象ID；","")&amp;IF('09_连续性验收'!C2="","缺少检查类型；","")&amp;IF(AND('09_连续性验收'!J2&lt;&gt;"",'09_连续性验收'!K2&lt;&gt;"",'09_连续性验收'!J2&gt;'09_连续性验收'!K2),"坐标偏差超标；","")&amp;IF(AND('09_连续性验收'!B2&lt;&gt;"",COUNTIF('02_固定地理'!$A$2:$A$501,'09_连续性验收'!B2)+COUNTIF('03_地点锚点'!$A$2:$A$501,'09_连续性验收'!B2)+COUNTIF('04_路径网络'!$A$2:$A$501,'09_连续性验收'!B2)+COUNTIF('06_建筑锚点'!$A$2:$A$501,'09_连续性验收'!B2)=0),"验收对象不存在；","")&amp;IF(AND('09_连续性验收'!A2&lt;&gt;"",COUNTIF('09_连续性验收'!$A$2:$A$501,'09_连续性验收'!A2)&gt;1),"ID重复；",""),"")</f>
        <v/>
      </c>
      <c r="G3502" s="14">
        <f>IF(F3502&lt;&gt;"","按字段批注、数据字典和来源记录修正后复核","")</f>
        <v/>
      </c>
      <c r="H3502" s="14">
        <f>IF(F3502&lt;&gt;"","待处理","")</f>
        <v/>
      </c>
    </row>
    <row r="3503">
      <c r="A3503" s="14">
        <f>IF(F3503&lt;&gt;"","ISSUE-"&amp;TEXT(ROW()-1,"00000"),"")</f>
        <v/>
      </c>
      <c r="B3503" s="14">
        <f>IF(F3503&lt;&gt;"","错误","")</f>
        <v/>
      </c>
      <c r="C3503" s="14">
        <f>IF('09_连续性验收'!A3&lt;&gt;"","09_连续性验收","")</f>
        <v/>
      </c>
      <c r="D3503" s="14">
        <f>IF('09_连续性验收'!A3&lt;&gt;"",'09_连续性验收'!A3,"")</f>
        <v/>
      </c>
      <c r="E3503" s="14">
        <f>IF(F3503&lt;&gt;"","综合校验","")</f>
        <v/>
      </c>
      <c r="F3503" s="14">
        <f>IF('09_连续性验收'!A3&lt;&gt;"",IF('09_连续性验收'!A3="","缺少验收ID；","")&amp;IF('09_连续性验收'!B3="","缺少对象ID；","")&amp;IF('09_连续性验收'!C3="","缺少检查类型；","")&amp;IF(AND('09_连续性验收'!J3&lt;&gt;"",'09_连续性验收'!K3&lt;&gt;"",'09_连续性验收'!J3&gt;'09_连续性验收'!K3),"坐标偏差超标；","")&amp;IF(AND('09_连续性验收'!B3&lt;&gt;"",COUNTIF('02_固定地理'!$A$2:$A$501,'09_连续性验收'!B3)+COUNTIF('03_地点锚点'!$A$2:$A$501,'09_连续性验收'!B3)+COUNTIF('04_路径网络'!$A$2:$A$501,'09_连续性验收'!B3)+COUNTIF('06_建筑锚点'!$A$2:$A$501,'09_连续性验收'!B3)=0),"验收对象不存在；","")&amp;IF(AND('09_连续性验收'!A3&lt;&gt;"",COUNTIF('09_连续性验收'!$A$2:$A$501,'09_连续性验收'!A3)&gt;1),"ID重复；",""),"")</f>
        <v/>
      </c>
      <c r="G3503" s="14">
        <f>IF(F3503&lt;&gt;"","按字段批注、数据字典和来源记录修正后复核","")</f>
        <v/>
      </c>
      <c r="H3503" s="14">
        <f>IF(F3503&lt;&gt;"","待处理","")</f>
        <v/>
      </c>
    </row>
    <row r="3504">
      <c r="A3504" s="14">
        <f>IF(F3504&lt;&gt;"","ISSUE-"&amp;TEXT(ROW()-1,"00000"),"")</f>
        <v/>
      </c>
      <c r="B3504" s="14">
        <f>IF(F3504&lt;&gt;"","错误","")</f>
        <v/>
      </c>
      <c r="C3504" s="14">
        <f>IF('09_连续性验收'!A4&lt;&gt;"","09_连续性验收","")</f>
        <v/>
      </c>
      <c r="D3504" s="14">
        <f>IF('09_连续性验收'!A4&lt;&gt;"",'09_连续性验收'!A4,"")</f>
        <v/>
      </c>
      <c r="E3504" s="14">
        <f>IF(F3504&lt;&gt;"","综合校验","")</f>
        <v/>
      </c>
      <c r="F3504" s="14">
        <f>IF('09_连续性验收'!A4&lt;&gt;"",IF('09_连续性验收'!A4="","缺少验收ID；","")&amp;IF('09_连续性验收'!B4="","缺少对象ID；","")&amp;IF('09_连续性验收'!C4="","缺少检查类型；","")&amp;IF(AND('09_连续性验收'!J4&lt;&gt;"",'09_连续性验收'!K4&lt;&gt;"",'09_连续性验收'!J4&gt;'09_连续性验收'!K4),"坐标偏差超标；","")&amp;IF(AND('09_连续性验收'!B4&lt;&gt;"",COUNTIF('02_固定地理'!$A$2:$A$501,'09_连续性验收'!B4)+COUNTIF('03_地点锚点'!$A$2:$A$501,'09_连续性验收'!B4)+COUNTIF('04_路径网络'!$A$2:$A$501,'09_连续性验收'!B4)+COUNTIF('06_建筑锚点'!$A$2:$A$501,'09_连续性验收'!B4)=0),"验收对象不存在；","")&amp;IF(AND('09_连续性验收'!A4&lt;&gt;"",COUNTIF('09_连续性验收'!$A$2:$A$501,'09_连续性验收'!A4)&gt;1),"ID重复；",""),"")</f>
        <v/>
      </c>
      <c r="G3504" s="14">
        <f>IF(F3504&lt;&gt;"","按字段批注、数据字典和来源记录修正后复核","")</f>
        <v/>
      </c>
      <c r="H3504" s="14">
        <f>IF(F3504&lt;&gt;"","待处理","")</f>
        <v/>
      </c>
    </row>
    <row r="3505">
      <c r="A3505" s="14">
        <f>IF(F3505&lt;&gt;"","ISSUE-"&amp;TEXT(ROW()-1,"00000"),"")</f>
        <v/>
      </c>
      <c r="B3505" s="14">
        <f>IF(F3505&lt;&gt;"","错误","")</f>
        <v/>
      </c>
      <c r="C3505" s="14">
        <f>IF('09_连续性验收'!A5&lt;&gt;"","09_连续性验收","")</f>
        <v/>
      </c>
      <c r="D3505" s="14">
        <f>IF('09_连续性验收'!A5&lt;&gt;"",'09_连续性验收'!A5,"")</f>
        <v/>
      </c>
      <c r="E3505" s="14">
        <f>IF(F3505&lt;&gt;"","综合校验","")</f>
        <v/>
      </c>
      <c r="F3505" s="14">
        <f>IF('09_连续性验收'!A5&lt;&gt;"",IF('09_连续性验收'!A5="","缺少验收ID；","")&amp;IF('09_连续性验收'!B5="","缺少对象ID；","")&amp;IF('09_连续性验收'!C5="","缺少检查类型；","")&amp;IF(AND('09_连续性验收'!J5&lt;&gt;"",'09_连续性验收'!K5&lt;&gt;"",'09_连续性验收'!J5&gt;'09_连续性验收'!K5),"坐标偏差超标；","")&amp;IF(AND('09_连续性验收'!B5&lt;&gt;"",COUNTIF('02_固定地理'!$A$2:$A$501,'09_连续性验收'!B5)+COUNTIF('03_地点锚点'!$A$2:$A$501,'09_连续性验收'!B5)+COUNTIF('04_路径网络'!$A$2:$A$501,'09_连续性验收'!B5)+COUNTIF('06_建筑锚点'!$A$2:$A$501,'09_连续性验收'!B5)=0),"验收对象不存在；","")&amp;IF(AND('09_连续性验收'!A5&lt;&gt;"",COUNTIF('09_连续性验收'!$A$2:$A$501,'09_连续性验收'!A5)&gt;1),"ID重复；",""),"")</f>
        <v/>
      </c>
      <c r="G3505" s="14">
        <f>IF(F3505&lt;&gt;"","按字段批注、数据字典和来源记录修正后复核","")</f>
        <v/>
      </c>
      <c r="H3505" s="14">
        <f>IF(F3505&lt;&gt;"","待处理","")</f>
        <v/>
      </c>
    </row>
    <row r="3506">
      <c r="A3506" s="14">
        <f>IF(F3506&lt;&gt;"","ISSUE-"&amp;TEXT(ROW()-1,"00000"),"")</f>
        <v/>
      </c>
      <c r="B3506" s="14">
        <f>IF(F3506&lt;&gt;"","错误","")</f>
        <v/>
      </c>
      <c r="C3506" s="14">
        <f>IF('09_连续性验收'!A6&lt;&gt;"","09_连续性验收","")</f>
        <v/>
      </c>
      <c r="D3506" s="14">
        <f>IF('09_连续性验收'!A6&lt;&gt;"",'09_连续性验收'!A6,"")</f>
        <v/>
      </c>
      <c r="E3506" s="14">
        <f>IF(F3506&lt;&gt;"","综合校验","")</f>
        <v/>
      </c>
      <c r="F3506" s="14">
        <f>IF('09_连续性验收'!A6&lt;&gt;"",IF('09_连续性验收'!A6="","缺少验收ID；","")&amp;IF('09_连续性验收'!B6="","缺少对象ID；","")&amp;IF('09_连续性验收'!C6="","缺少检查类型；","")&amp;IF(AND('09_连续性验收'!J6&lt;&gt;"",'09_连续性验收'!K6&lt;&gt;"",'09_连续性验收'!J6&gt;'09_连续性验收'!K6),"坐标偏差超标；","")&amp;IF(AND('09_连续性验收'!B6&lt;&gt;"",COUNTIF('02_固定地理'!$A$2:$A$501,'09_连续性验收'!B6)+COUNTIF('03_地点锚点'!$A$2:$A$501,'09_连续性验收'!B6)+COUNTIF('04_路径网络'!$A$2:$A$501,'09_连续性验收'!B6)+COUNTIF('06_建筑锚点'!$A$2:$A$501,'09_连续性验收'!B6)=0),"验收对象不存在；","")&amp;IF(AND('09_连续性验收'!A6&lt;&gt;"",COUNTIF('09_连续性验收'!$A$2:$A$501,'09_连续性验收'!A6)&gt;1),"ID重复；",""),"")</f>
        <v/>
      </c>
      <c r="G3506" s="14">
        <f>IF(F3506&lt;&gt;"","按字段批注、数据字典和来源记录修正后复核","")</f>
        <v/>
      </c>
      <c r="H3506" s="14">
        <f>IF(F3506&lt;&gt;"","待处理","")</f>
        <v/>
      </c>
    </row>
    <row r="3507">
      <c r="A3507" s="14">
        <f>IF(F3507&lt;&gt;"","ISSUE-"&amp;TEXT(ROW()-1,"00000"),"")</f>
        <v/>
      </c>
      <c r="B3507" s="14">
        <f>IF(F3507&lt;&gt;"","错误","")</f>
        <v/>
      </c>
      <c r="C3507" s="14">
        <f>IF('09_连续性验收'!A7&lt;&gt;"","09_连续性验收","")</f>
        <v/>
      </c>
      <c r="D3507" s="14">
        <f>IF('09_连续性验收'!A7&lt;&gt;"",'09_连续性验收'!A7,"")</f>
        <v/>
      </c>
      <c r="E3507" s="14">
        <f>IF(F3507&lt;&gt;"","综合校验","")</f>
        <v/>
      </c>
      <c r="F3507" s="14">
        <f>IF('09_连续性验收'!A7&lt;&gt;"",IF('09_连续性验收'!A7="","缺少验收ID；","")&amp;IF('09_连续性验收'!B7="","缺少对象ID；","")&amp;IF('09_连续性验收'!C7="","缺少检查类型；","")&amp;IF(AND('09_连续性验收'!J7&lt;&gt;"",'09_连续性验收'!K7&lt;&gt;"",'09_连续性验收'!J7&gt;'09_连续性验收'!K7),"坐标偏差超标；","")&amp;IF(AND('09_连续性验收'!B7&lt;&gt;"",COUNTIF('02_固定地理'!$A$2:$A$501,'09_连续性验收'!B7)+COUNTIF('03_地点锚点'!$A$2:$A$501,'09_连续性验收'!B7)+COUNTIF('04_路径网络'!$A$2:$A$501,'09_连续性验收'!B7)+COUNTIF('06_建筑锚点'!$A$2:$A$501,'09_连续性验收'!B7)=0),"验收对象不存在；","")&amp;IF(AND('09_连续性验收'!A7&lt;&gt;"",COUNTIF('09_连续性验收'!$A$2:$A$501,'09_连续性验收'!A7)&gt;1),"ID重复；",""),"")</f>
        <v/>
      </c>
      <c r="G3507" s="14">
        <f>IF(F3507&lt;&gt;"","按字段批注、数据字典和来源记录修正后复核","")</f>
        <v/>
      </c>
      <c r="H3507" s="14">
        <f>IF(F3507&lt;&gt;"","待处理","")</f>
        <v/>
      </c>
    </row>
    <row r="3508">
      <c r="A3508" s="14">
        <f>IF(F3508&lt;&gt;"","ISSUE-"&amp;TEXT(ROW()-1,"00000"),"")</f>
        <v/>
      </c>
      <c r="B3508" s="14">
        <f>IF(F3508&lt;&gt;"","错误","")</f>
        <v/>
      </c>
      <c r="C3508" s="14">
        <f>IF('09_连续性验收'!A8&lt;&gt;"","09_连续性验收","")</f>
        <v/>
      </c>
      <c r="D3508" s="14">
        <f>IF('09_连续性验收'!A8&lt;&gt;"",'09_连续性验收'!A8,"")</f>
        <v/>
      </c>
      <c r="E3508" s="14">
        <f>IF(F3508&lt;&gt;"","综合校验","")</f>
        <v/>
      </c>
      <c r="F3508" s="14">
        <f>IF('09_连续性验收'!A8&lt;&gt;"",IF('09_连续性验收'!A8="","缺少验收ID；","")&amp;IF('09_连续性验收'!B8="","缺少对象ID；","")&amp;IF('09_连续性验收'!C8="","缺少检查类型；","")&amp;IF(AND('09_连续性验收'!J8&lt;&gt;"",'09_连续性验收'!K8&lt;&gt;"",'09_连续性验收'!J8&gt;'09_连续性验收'!K8),"坐标偏差超标；","")&amp;IF(AND('09_连续性验收'!B8&lt;&gt;"",COUNTIF('02_固定地理'!$A$2:$A$501,'09_连续性验收'!B8)+COUNTIF('03_地点锚点'!$A$2:$A$501,'09_连续性验收'!B8)+COUNTIF('04_路径网络'!$A$2:$A$501,'09_连续性验收'!B8)+COUNTIF('06_建筑锚点'!$A$2:$A$501,'09_连续性验收'!B8)=0),"验收对象不存在；","")&amp;IF(AND('09_连续性验收'!A8&lt;&gt;"",COUNTIF('09_连续性验收'!$A$2:$A$501,'09_连续性验收'!A8)&gt;1),"ID重复；",""),"")</f>
        <v/>
      </c>
      <c r="G3508" s="14">
        <f>IF(F3508&lt;&gt;"","按字段批注、数据字典和来源记录修正后复核","")</f>
        <v/>
      </c>
      <c r="H3508" s="14">
        <f>IF(F3508&lt;&gt;"","待处理","")</f>
        <v/>
      </c>
    </row>
    <row r="3509">
      <c r="A3509" s="14">
        <f>IF(F3509&lt;&gt;"","ISSUE-"&amp;TEXT(ROW()-1,"00000"),"")</f>
        <v/>
      </c>
      <c r="B3509" s="14">
        <f>IF(F3509&lt;&gt;"","错误","")</f>
        <v/>
      </c>
      <c r="C3509" s="14">
        <f>IF('09_连续性验收'!A9&lt;&gt;"","09_连续性验收","")</f>
        <v/>
      </c>
      <c r="D3509" s="14">
        <f>IF('09_连续性验收'!A9&lt;&gt;"",'09_连续性验收'!A9,"")</f>
        <v/>
      </c>
      <c r="E3509" s="14">
        <f>IF(F3509&lt;&gt;"","综合校验","")</f>
        <v/>
      </c>
      <c r="F3509" s="14">
        <f>IF('09_连续性验收'!A9&lt;&gt;"",IF('09_连续性验收'!A9="","缺少验收ID；","")&amp;IF('09_连续性验收'!B9="","缺少对象ID；","")&amp;IF('09_连续性验收'!C9="","缺少检查类型；","")&amp;IF(AND('09_连续性验收'!J9&lt;&gt;"",'09_连续性验收'!K9&lt;&gt;"",'09_连续性验收'!J9&gt;'09_连续性验收'!K9),"坐标偏差超标；","")&amp;IF(AND('09_连续性验收'!B9&lt;&gt;"",COUNTIF('02_固定地理'!$A$2:$A$501,'09_连续性验收'!B9)+COUNTIF('03_地点锚点'!$A$2:$A$501,'09_连续性验收'!B9)+COUNTIF('04_路径网络'!$A$2:$A$501,'09_连续性验收'!B9)+COUNTIF('06_建筑锚点'!$A$2:$A$501,'09_连续性验收'!B9)=0),"验收对象不存在；","")&amp;IF(AND('09_连续性验收'!A9&lt;&gt;"",COUNTIF('09_连续性验收'!$A$2:$A$501,'09_连续性验收'!A9)&gt;1),"ID重复；",""),"")</f>
        <v/>
      </c>
      <c r="G3509" s="14">
        <f>IF(F3509&lt;&gt;"","按字段批注、数据字典和来源记录修正后复核","")</f>
        <v/>
      </c>
      <c r="H3509" s="14">
        <f>IF(F3509&lt;&gt;"","待处理","")</f>
        <v/>
      </c>
    </row>
    <row r="3510">
      <c r="A3510" s="14">
        <f>IF(F3510&lt;&gt;"","ISSUE-"&amp;TEXT(ROW()-1,"00000"),"")</f>
        <v/>
      </c>
      <c r="B3510" s="14">
        <f>IF(F3510&lt;&gt;"","错误","")</f>
        <v/>
      </c>
      <c r="C3510" s="14">
        <f>IF('09_连续性验收'!A10&lt;&gt;"","09_连续性验收","")</f>
        <v/>
      </c>
      <c r="D3510" s="14">
        <f>IF('09_连续性验收'!A10&lt;&gt;"",'09_连续性验收'!A10,"")</f>
        <v/>
      </c>
      <c r="E3510" s="14">
        <f>IF(F3510&lt;&gt;"","综合校验","")</f>
        <v/>
      </c>
      <c r="F3510" s="14">
        <f>IF('09_连续性验收'!A10&lt;&gt;"",IF('09_连续性验收'!A10="","缺少验收ID；","")&amp;IF('09_连续性验收'!B10="","缺少对象ID；","")&amp;IF('09_连续性验收'!C10="","缺少检查类型；","")&amp;IF(AND('09_连续性验收'!J10&lt;&gt;"",'09_连续性验收'!K10&lt;&gt;"",'09_连续性验收'!J10&gt;'09_连续性验收'!K10),"坐标偏差超标；","")&amp;IF(AND('09_连续性验收'!B10&lt;&gt;"",COUNTIF('02_固定地理'!$A$2:$A$501,'09_连续性验收'!B10)+COUNTIF('03_地点锚点'!$A$2:$A$501,'09_连续性验收'!B10)+COUNTIF('04_路径网络'!$A$2:$A$501,'09_连续性验收'!B10)+COUNTIF('06_建筑锚点'!$A$2:$A$501,'09_连续性验收'!B10)=0),"验收对象不存在；","")&amp;IF(AND('09_连续性验收'!A10&lt;&gt;"",COUNTIF('09_连续性验收'!$A$2:$A$501,'09_连续性验收'!A10)&gt;1),"ID重复；",""),"")</f>
        <v/>
      </c>
      <c r="G3510" s="14">
        <f>IF(F3510&lt;&gt;"","按字段批注、数据字典和来源记录修正后复核","")</f>
        <v/>
      </c>
      <c r="H3510" s="14">
        <f>IF(F3510&lt;&gt;"","待处理","")</f>
        <v/>
      </c>
    </row>
    <row r="3511">
      <c r="A3511" s="14">
        <f>IF(F3511&lt;&gt;"","ISSUE-"&amp;TEXT(ROW()-1,"00000"),"")</f>
        <v/>
      </c>
      <c r="B3511" s="14">
        <f>IF(F3511&lt;&gt;"","错误","")</f>
        <v/>
      </c>
      <c r="C3511" s="14">
        <f>IF('09_连续性验收'!A11&lt;&gt;"","09_连续性验收","")</f>
        <v/>
      </c>
      <c r="D3511" s="14">
        <f>IF('09_连续性验收'!A11&lt;&gt;"",'09_连续性验收'!A11,"")</f>
        <v/>
      </c>
      <c r="E3511" s="14">
        <f>IF(F3511&lt;&gt;"","综合校验","")</f>
        <v/>
      </c>
      <c r="F3511" s="14">
        <f>IF('09_连续性验收'!A11&lt;&gt;"",IF('09_连续性验收'!A11="","缺少验收ID；","")&amp;IF('09_连续性验收'!B11="","缺少对象ID；","")&amp;IF('09_连续性验收'!C11="","缺少检查类型；","")&amp;IF(AND('09_连续性验收'!J11&lt;&gt;"",'09_连续性验收'!K11&lt;&gt;"",'09_连续性验收'!J11&gt;'09_连续性验收'!K11),"坐标偏差超标；","")&amp;IF(AND('09_连续性验收'!B11&lt;&gt;"",COUNTIF('02_固定地理'!$A$2:$A$501,'09_连续性验收'!B11)+COUNTIF('03_地点锚点'!$A$2:$A$501,'09_连续性验收'!B11)+COUNTIF('04_路径网络'!$A$2:$A$501,'09_连续性验收'!B11)+COUNTIF('06_建筑锚点'!$A$2:$A$501,'09_连续性验收'!B11)=0),"验收对象不存在；","")&amp;IF(AND('09_连续性验收'!A11&lt;&gt;"",COUNTIF('09_连续性验收'!$A$2:$A$501,'09_连续性验收'!A11)&gt;1),"ID重复；",""),"")</f>
        <v/>
      </c>
      <c r="G3511" s="14">
        <f>IF(F3511&lt;&gt;"","按字段批注、数据字典和来源记录修正后复核","")</f>
        <v/>
      </c>
      <c r="H3511" s="14">
        <f>IF(F3511&lt;&gt;"","待处理","")</f>
        <v/>
      </c>
    </row>
    <row r="3512">
      <c r="A3512" s="14">
        <f>IF(F3512&lt;&gt;"","ISSUE-"&amp;TEXT(ROW()-1,"00000"),"")</f>
        <v/>
      </c>
      <c r="B3512" s="14">
        <f>IF(F3512&lt;&gt;"","错误","")</f>
        <v/>
      </c>
      <c r="C3512" s="14">
        <f>IF('09_连续性验收'!A12&lt;&gt;"","09_连续性验收","")</f>
        <v/>
      </c>
      <c r="D3512" s="14">
        <f>IF('09_连续性验收'!A12&lt;&gt;"",'09_连续性验收'!A12,"")</f>
        <v/>
      </c>
      <c r="E3512" s="14">
        <f>IF(F3512&lt;&gt;"","综合校验","")</f>
        <v/>
      </c>
      <c r="F3512" s="14">
        <f>IF('09_连续性验收'!A12&lt;&gt;"",IF('09_连续性验收'!A12="","缺少验收ID；","")&amp;IF('09_连续性验收'!B12="","缺少对象ID；","")&amp;IF('09_连续性验收'!C12="","缺少检查类型；","")&amp;IF(AND('09_连续性验收'!J12&lt;&gt;"",'09_连续性验收'!K12&lt;&gt;"",'09_连续性验收'!J12&gt;'09_连续性验收'!K12),"坐标偏差超标；","")&amp;IF(AND('09_连续性验收'!B12&lt;&gt;"",COUNTIF('02_固定地理'!$A$2:$A$501,'09_连续性验收'!B12)+COUNTIF('03_地点锚点'!$A$2:$A$501,'09_连续性验收'!B12)+COUNTIF('04_路径网络'!$A$2:$A$501,'09_连续性验收'!B12)+COUNTIF('06_建筑锚点'!$A$2:$A$501,'09_连续性验收'!B12)=0),"验收对象不存在；","")&amp;IF(AND('09_连续性验收'!A12&lt;&gt;"",COUNTIF('09_连续性验收'!$A$2:$A$501,'09_连续性验收'!A12)&gt;1),"ID重复；",""),"")</f>
        <v/>
      </c>
      <c r="G3512" s="14">
        <f>IF(F3512&lt;&gt;"","按字段批注、数据字典和来源记录修正后复核","")</f>
        <v/>
      </c>
      <c r="H3512" s="14">
        <f>IF(F3512&lt;&gt;"","待处理","")</f>
        <v/>
      </c>
    </row>
    <row r="3513">
      <c r="A3513" s="14">
        <f>IF(F3513&lt;&gt;"","ISSUE-"&amp;TEXT(ROW()-1,"00000"),"")</f>
        <v/>
      </c>
      <c r="B3513" s="14">
        <f>IF(F3513&lt;&gt;"","错误","")</f>
        <v/>
      </c>
      <c r="C3513" s="14">
        <f>IF('09_连续性验收'!A13&lt;&gt;"","09_连续性验收","")</f>
        <v/>
      </c>
      <c r="D3513" s="14">
        <f>IF('09_连续性验收'!A13&lt;&gt;"",'09_连续性验收'!A13,"")</f>
        <v/>
      </c>
      <c r="E3513" s="14">
        <f>IF(F3513&lt;&gt;"","综合校验","")</f>
        <v/>
      </c>
      <c r="F3513" s="14">
        <f>IF('09_连续性验收'!A13&lt;&gt;"",IF('09_连续性验收'!A13="","缺少验收ID；","")&amp;IF('09_连续性验收'!B13="","缺少对象ID；","")&amp;IF('09_连续性验收'!C13="","缺少检查类型；","")&amp;IF(AND('09_连续性验收'!J13&lt;&gt;"",'09_连续性验收'!K13&lt;&gt;"",'09_连续性验收'!J13&gt;'09_连续性验收'!K13),"坐标偏差超标；","")&amp;IF(AND('09_连续性验收'!B13&lt;&gt;"",COUNTIF('02_固定地理'!$A$2:$A$501,'09_连续性验收'!B13)+COUNTIF('03_地点锚点'!$A$2:$A$501,'09_连续性验收'!B13)+COUNTIF('04_路径网络'!$A$2:$A$501,'09_连续性验收'!B13)+COUNTIF('06_建筑锚点'!$A$2:$A$501,'09_连续性验收'!B13)=0),"验收对象不存在；","")&amp;IF(AND('09_连续性验收'!A13&lt;&gt;"",COUNTIF('09_连续性验收'!$A$2:$A$501,'09_连续性验收'!A13)&gt;1),"ID重复；",""),"")</f>
        <v/>
      </c>
      <c r="G3513" s="14">
        <f>IF(F3513&lt;&gt;"","按字段批注、数据字典和来源记录修正后复核","")</f>
        <v/>
      </c>
      <c r="H3513" s="14">
        <f>IF(F3513&lt;&gt;"","待处理","")</f>
        <v/>
      </c>
    </row>
    <row r="3514">
      <c r="A3514" s="14">
        <f>IF(F3514&lt;&gt;"","ISSUE-"&amp;TEXT(ROW()-1,"00000"),"")</f>
        <v/>
      </c>
      <c r="B3514" s="14">
        <f>IF(F3514&lt;&gt;"","错误","")</f>
        <v/>
      </c>
      <c r="C3514" s="14">
        <f>IF('09_连续性验收'!A14&lt;&gt;"","09_连续性验收","")</f>
        <v/>
      </c>
      <c r="D3514" s="14">
        <f>IF('09_连续性验收'!A14&lt;&gt;"",'09_连续性验收'!A14,"")</f>
        <v/>
      </c>
      <c r="E3514" s="14">
        <f>IF(F3514&lt;&gt;"","综合校验","")</f>
        <v/>
      </c>
      <c r="F3514" s="14">
        <f>IF('09_连续性验收'!A14&lt;&gt;"",IF('09_连续性验收'!A14="","缺少验收ID；","")&amp;IF('09_连续性验收'!B14="","缺少对象ID；","")&amp;IF('09_连续性验收'!C14="","缺少检查类型；","")&amp;IF(AND('09_连续性验收'!J14&lt;&gt;"",'09_连续性验收'!K14&lt;&gt;"",'09_连续性验收'!J14&gt;'09_连续性验收'!K14),"坐标偏差超标；","")&amp;IF(AND('09_连续性验收'!B14&lt;&gt;"",COUNTIF('02_固定地理'!$A$2:$A$501,'09_连续性验收'!B14)+COUNTIF('03_地点锚点'!$A$2:$A$501,'09_连续性验收'!B14)+COUNTIF('04_路径网络'!$A$2:$A$501,'09_连续性验收'!B14)+COUNTIF('06_建筑锚点'!$A$2:$A$501,'09_连续性验收'!B14)=0),"验收对象不存在；","")&amp;IF(AND('09_连续性验收'!A14&lt;&gt;"",COUNTIF('09_连续性验收'!$A$2:$A$501,'09_连续性验收'!A14)&gt;1),"ID重复；",""),"")</f>
        <v/>
      </c>
      <c r="G3514" s="14">
        <f>IF(F3514&lt;&gt;"","按字段批注、数据字典和来源记录修正后复核","")</f>
        <v/>
      </c>
      <c r="H3514" s="14">
        <f>IF(F3514&lt;&gt;"","待处理","")</f>
        <v/>
      </c>
    </row>
    <row r="3515">
      <c r="A3515" s="14">
        <f>IF(F3515&lt;&gt;"","ISSUE-"&amp;TEXT(ROW()-1,"00000"),"")</f>
        <v/>
      </c>
      <c r="B3515" s="14">
        <f>IF(F3515&lt;&gt;"","错误","")</f>
        <v/>
      </c>
      <c r="C3515" s="14">
        <f>IF('09_连续性验收'!A15&lt;&gt;"","09_连续性验收","")</f>
        <v/>
      </c>
      <c r="D3515" s="14">
        <f>IF('09_连续性验收'!A15&lt;&gt;"",'09_连续性验收'!A15,"")</f>
        <v/>
      </c>
      <c r="E3515" s="14">
        <f>IF(F3515&lt;&gt;"","综合校验","")</f>
        <v/>
      </c>
      <c r="F3515" s="14">
        <f>IF('09_连续性验收'!A15&lt;&gt;"",IF('09_连续性验收'!A15="","缺少验收ID；","")&amp;IF('09_连续性验收'!B15="","缺少对象ID；","")&amp;IF('09_连续性验收'!C15="","缺少检查类型；","")&amp;IF(AND('09_连续性验收'!J15&lt;&gt;"",'09_连续性验收'!K15&lt;&gt;"",'09_连续性验收'!J15&gt;'09_连续性验收'!K15),"坐标偏差超标；","")&amp;IF(AND('09_连续性验收'!B15&lt;&gt;"",COUNTIF('02_固定地理'!$A$2:$A$501,'09_连续性验收'!B15)+COUNTIF('03_地点锚点'!$A$2:$A$501,'09_连续性验收'!B15)+COUNTIF('04_路径网络'!$A$2:$A$501,'09_连续性验收'!B15)+COUNTIF('06_建筑锚点'!$A$2:$A$501,'09_连续性验收'!B15)=0),"验收对象不存在；","")&amp;IF(AND('09_连续性验收'!A15&lt;&gt;"",COUNTIF('09_连续性验收'!$A$2:$A$501,'09_连续性验收'!A15)&gt;1),"ID重复；",""),"")</f>
        <v/>
      </c>
      <c r="G3515" s="14">
        <f>IF(F3515&lt;&gt;"","按字段批注、数据字典和来源记录修正后复核","")</f>
        <v/>
      </c>
      <c r="H3515" s="14">
        <f>IF(F3515&lt;&gt;"","待处理","")</f>
        <v/>
      </c>
    </row>
    <row r="3516">
      <c r="A3516" s="14">
        <f>IF(F3516&lt;&gt;"","ISSUE-"&amp;TEXT(ROW()-1,"00000"),"")</f>
        <v/>
      </c>
      <c r="B3516" s="14">
        <f>IF(F3516&lt;&gt;"","错误","")</f>
        <v/>
      </c>
      <c r="C3516" s="14">
        <f>IF('09_连续性验收'!A16&lt;&gt;"","09_连续性验收","")</f>
        <v/>
      </c>
      <c r="D3516" s="14">
        <f>IF('09_连续性验收'!A16&lt;&gt;"",'09_连续性验收'!A16,"")</f>
        <v/>
      </c>
      <c r="E3516" s="14">
        <f>IF(F3516&lt;&gt;"","综合校验","")</f>
        <v/>
      </c>
      <c r="F3516" s="14">
        <f>IF('09_连续性验收'!A16&lt;&gt;"",IF('09_连续性验收'!A16="","缺少验收ID；","")&amp;IF('09_连续性验收'!B16="","缺少对象ID；","")&amp;IF('09_连续性验收'!C16="","缺少检查类型；","")&amp;IF(AND('09_连续性验收'!J16&lt;&gt;"",'09_连续性验收'!K16&lt;&gt;"",'09_连续性验收'!J16&gt;'09_连续性验收'!K16),"坐标偏差超标；","")&amp;IF(AND('09_连续性验收'!B16&lt;&gt;"",COUNTIF('02_固定地理'!$A$2:$A$501,'09_连续性验收'!B16)+COUNTIF('03_地点锚点'!$A$2:$A$501,'09_连续性验收'!B16)+COUNTIF('04_路径网络'!$A$2:$A$501,'09_连续性验收'!B16)+COUNTIF('06_建筑锚点'!$A$2:$A$501,'09_连续性验收'!B16)=0),"验收对象不存在；","")&amp;IF(AND('09_连续性验收'!A16&lt;&gt;"",COUNTIF('09_连续性验收'!$A$2:$A$501,'09_连续性验收'!A16)&gt;1),"ID重复；",""),"")</f>
        <v/>
      </c>
      <c r="G3516" s="14">
        <f>IF(F3516&lt;&gt;"","按字段批注、数据字典和来源记录修正后复核","")</f>
        <v/>
      </c>
      <c r="H3516" s="14">
        <f>IF(F3516&lt;&gt;"","待处理","")</f>
        <v/>
      </c>
    </row>
    <row r="3517">
      <c r="A3517" s="14">
        <f>IF(F3517&lt;&gt;"","ISSUE-"&amp;TEXT(ROW()-1,"00000"),"")</f>
        <v/>
      </c>
      <c r="B3517" s="14">
        <f>IF(F3517&lt;&gt;"","错误","")</f>
        <v/>
      </c>
      <c r="C3517" s="14">
        <f>IF('09_连续性验收'!A17&lt;&gt;"","09_连续性验收","")</f>
        <v/>
      </c>
      <c r="D3517" s="14">
        <f>IF('09_连续性验收'!A17&lt;&gt;"",'09_连续性验收'!A17,"")</f>
        <v/>
      </c>
      <c r="E3517" s="14">
        <f>IF(F3517&lt;&gt;"","综合校验","")</f>
        <v/>
      </c>
      <c r="F3517" s="14">
        <f>IF('09_连续性验收'!A17&lt;&gt;"",IF('09_连续性验收'!A17="","缺少验收ID；","")&amp;IF('09_连续性验收'!B17="","缺少对象ID；","")&amp;IF('09_连续性验收'!C17="","缺少检查类型；","")&amp;IF(AND('09_连续性验收'!J17&lt;&gt;"",'09_连续性验收'!K17&lt;&gt;"",'09_连续性验收'!J17&gt;'09_连续性验收'!K17),"坐标偏差超标；","")&amp;IF(AND('09_连续性验收'!B17&lt;&gt;"",COUNTIF('02_固定地理'!$A$2:$A$501,'09_连续性验收'!B17)+COUNTIF('03_地点锚点'!$A$2:$A$501,'09_连续性验收'!B17)+COUNTIF('04_路径网络'!$A$2:$A$501,'09_连续性验收'!B17)+COUNTIF('06_建筑锚点'!$A$2:$A$501,'09_连续性验收'!B17)=0),"验收对象不存在；","")&amp;IF(AND('09_连续性验收'!A17&lt;&gt;"",COUNTIF('09_连续性验收'!$A$2:$A$501,'09_连续性验收'!A17)&gt;1),"ID重复；",""),"")</f>
        <v/>
      </c>
      <c r="G3517" s="14">
        <f>IF(F3517&lt;&gt;"","按字段批注、数据字典和来源记录修正后复核","")</f>
        <v/>
      </c>
      <c r="H3517" s="14">
        <f>IF(F3517&lt;&gt;"","待处理","")</f>
        <v/>
      </c>
    </row>
    <row r="3518">
      <c r="A3518" s="14">
        <f>IF(F3518&lt;&gt;"","ISSUE-"&amp;TEXT(ROW()-1,"00000"),"")</f>
        <v/>
      </c>
      <c r="B3518" s="14">
        <f>IF(F3518&lt;&gt;"","错误","")</f>
        <v/>
      </c>
      <c r="C3518" s="14">
        <f>IF('09_连续性验收'!A18&lt;&gt;"","09_连续性验收","")</f>
        <v/>
      </c>
      <c r="D3518" s="14">
        <f>IF('09_连续性验收'!A18&lt;&gt;"",'09_连续性验收'!A18,"")</f>
        <v/>
      </c>
      <c r="E3518" s="14">
        <f>IF(F3518&lt;&gt;"","综合校验","")</f>
        <v/>
      </c>
      <c r="F3518" s="14">
        <f>IF('09_连续性验收'!A18&lt;&gt;"",IF('09_连续性验收'!A18="","缺少验收ID；","")&amp;IF('09_连续性验收'!B18="","缺少对象ID；","")&amp;IF('09_连续性验收'!C18="","缺少检查类型；","")&amp;IF(AND('09_连续性验收'!J18&lt;&gt;"",'09_连续性验收'!K18&lt;&gt;"",'09_连续性验收'!J18&gt;'09_连续性验收'!K18),"坐标偏差超标；","")&amp;IF(AND('09_连续性验收'!B18&lt;&gt;"",COUNTIF('02_固定地理'!$A$2:$A$501,'09_连续性验收'!B18)+COUNTIF('03_地点锚点'!$A$2:$A$501,'09_连续性验收'!B18)+COUNTIF('04_路径网络'!$A$2:$A$501,'09_连续性验收'!B18)+COUNTIF('06_建筑锚点'!$A$2:$A$501,'09_连续性验收'!B18)=0),"验收对象不存在；","")&amp;IF(AND('09_连续性验收'!A18&lt;&gt;"",COUNTIF('09_连续性验收'!$A$2:$A$501,'09_连续性验收'!A18)&gt;1),"ID重复；",""),"")</f>
        <v/>
      </c>
      <c r="G3518" s="14">
        <f>IF(F3518&lt;&gt;"","按字段批注、数据字典和来源记录修正后复核","")</f>
        <v/>
      </c>
      <c r="H3518" s="14">
        <f>IF(F3518&lt;&gt;"","待处理","")</f>
        <v/>
      </c>
    </row>
    <row r="3519">
      <c r="A3519" s="14">
        <f>IF(F3519&lt;&gt;"","ISSUE-"&amp;TEXT(ROW()-1,"00000"),"")</f>
        <v/>
      </c>
      <c r="B3519" s="14">
        <f>IF(F3519&lt;&gt;"","错误","")</f>
        <v/>
      </c>
      <c r="C3519" s="14">
        <f>IF('09_连续性验收'!A19&lt;&gt;"","09_连续性验收","")</f>
        <v/>
      </c>
      <c r="D3519" s="14">
        <f>IF('09_连续性验收'!A19&lt;&gt;"",'09_连续性验收'!A19,"")</f>
        <v/>
      </c>
      <c r="E3519" s="14">
        <f>IF(F3519&lt;&gt;"","综合校验","")</f>
        <v/>
      </c>
      <c r="F3519" s="14">
        <f>IF('09_连续性验收'!A19&lt;&gt;"",IF('09_连续性验收'!A19="","缺少验收ID；","")&amp;IF('09_连续性验收'!B19="","缺少对象ID；","")&amp;IF('09_连续性验收'!C19="","缺少检查类型；","")&amp;IF(AND('09_连续性验收'!J19&lt;&gt;"",'09_连续性验收'!K19&lt;&gt;"",'09_连续性验收'!J19&gt;'09_连续性验收'!K19),"坐标偏差超标；","")&amp;IF(AND('09_连续性验收'!B19&lt;&gt;"",COUNTIF('02_固定地理'!$A$2:$A$501,'09_连续性验收'!B19)+COUNTIF('03_地点锚点'!$A$2:$A$501,'09_连续性验收'!B19)+COUNTIF('04_路径网络'!$A$2:$A$501,'09_连续性验收'!B19)+COUNTIF('06_建筑锚点'!$A$2:$A$501,'09_连续性验收'!B19)=0),"验收对象不存在；","")&amp;IF(AND('09_连续性验收'!A19&lt;&gt;"",COUNTIF('09_连续性验收'!$A$2:$A$501,'09_连续性验收'!A19)&gt;1),"ID重复；",""),"")</f>
        <v/>
      </c>
      <c r="G3519" s="14">
        <f>IF(F3519&lt;&gt;"","按字段批注、数据字典和来源记录修正后复核","")</f>
        <v/>
      </c>
      <c r="H3519" s="14">
        <f>IF(F3519&lt;&gt;"","待处理","")</f>
        <v/>
      </c>
    </row>
    <row r="3520">
      <c r="A3520" s="14">
        <f>IF(F3520&lt;&gt;"","ISSUE-"&amp;TEXT(ROW()-1,"00000"),"")</f>
        <v/>
      </c>
      <c r="B3520" s="14">
        <f>IF(F3520&lt;&gt;"","错误","")</f>
        <v/>
      </c>
      <c r="C3520" s="14">
        <f>IF('09_连续性验收'!A20&lt;&gt;"","09_连续性验收","")</f>
        <v/>
      </c>
      <c r="D3520" s="14">
        <f>IF('09_连续性验收'!A20&lt;&gt;"",'09_连续性验收'!A20,"")</f>
        <v/>
      </c>
      <c r="E3520" s="14">
        <f>IF(F3520&lt;&gt;"","综合校验","")</f>
        <v/>
      </c>
      <c r="F3520" s="14">
        <f>IF('09_连续性验收'!A20&lt;&gt;"",IF('09_连续性验收'!A20="","缺少验收ID；","")&amp;IF('09_连续性验收'!B20="","缺少对象ID；","")&amp;IF('09_连续性验收'!C20="","缺少检查类型；","")&amp;IF(AND('09_连续性验收'!J20&lt;&gt;"",'09_连续性验收'!K20&lt;&gt;"",'09_连续性验收'!J20&gt;'09_连续性验收'!K20),"坐标偏差超标；","")&amp;IF(AND('09_连续性验收'!B20&lt;&gt;"",COUNTIF('02_固定地理'!$A$2:$A$501,'09_连续性验收'!B20)+COUNTIF('03_地点锚点'!$A$2:$A$501,'09_连续性验收'!B20)+COUNTIF('04_路径网络'!$A$2:$A$501,'09_连续性验收'!B20)+COUNTIF('06_建筑锚点'!$A$2:$A$501,'09_连续性验收'!B20)=0),"验收对象不存在；","")&amp;IF(AND('09_连续性验收'!A20&lt;&gt;"",COUNTIF('09_连续性验收'!$A$2:$A$501,'09_连续性验收'!A20)&gt;1),"ID重复；",""),"")</f>
        <v/>
      </c>
      <c r="G3520" s="14">
        <f>IF(F3520&lt;&gt;"","按字段批注、数据字典和来源记录修正后复核","")</f>
        <v/>
      </c>
      <c r="H3520" s="14">
        <f>IF(F3520&lt;&gt;"","待处理","")</f>
        <v/>
      </c>
    </row>
    <row r="3521">
      <c r="A3521" s="14">
        <f>IF(F3521&lt;&gt;"","ISSUE-"&amp;TEXT(ROW()-1,"00000"),"")</f>
        <v/>
      </c>
      <c r="B3521" s="14">
        <f>IF(F3521&lt;&gt;"","错误","")</f>
        <v/>
      </c>
      <c r="C3521" s="14">
        <f>IF('09_连续性验收'!A21&lt;&gt;"","09_连续性验收","")</f>
        <v/>
      </c>
      <c r="D3521" s="14">
        <f>IF('09_连续性验收'!A21&lt;&gt;"",'09_连续性验收'!A21,"")</f>
        <v/>
      </c>
      <c r="E3521" s="14">
        <f>IF(F3521&lt;&gt;"","综合校验","")</f>
        <v/>
      </c>
      <c r="F3521" s="14">
        <f>IF('09_连续性验收'!A21&lt;&gt;"",IF('09_连续性验收'!A21="","缺少验收ID；","")&amp;IF('09_连续性验收'!B21="","缺少对象ID；","")&amp;IF('09_连续性验收'!C21="","缺少检查类型；","")&amp;IF(AND('09_连续性验收'!J21&lt;&gt;"",'09_连续性验收'!K21&lt;&gt;"",'09_连续性验收'!J21&gt;'09_连续性验收'!K21),"坐标偏差超标；","")&amp;IF(AND('09_连续性验收'!B21&lt;&gt;"",COUNTIF('02_固定地理'!$A$2:$A$501,'09_连续性验收'!B21)+COUNTIF('03_地点锚点'!$A$2:$A$501,'09_连续性验收'!B21)+COUNTIF('04_路径网络'!$A$2:$A$501,'09_连续性验收'!B21)+COUNTIF('06_建筑锚点'!$A$2:$A$501,'09_连续性验收'!B21)=0),"验收对象不存在；","")&amp;IF(AND('09_连续性验收'!A21&lt;&gt;"",COUNTIF('09_连续性验收'!$A$2:$A$501,'09_连续性验收'!A21)&gt;1),"ID重复；",""),"")</f>
        <v/>
      </c>
      <c r="G3521" s="14">
        <f>IF(F3521&lt;&gt;"","按字段批注、数据字典和来源记录修正后复核","")</f>
        <v/>
      </c>
      <c r="H3521" s="14">
        <f>IF(F3521&lt;&gt;"","待处理","")</f>
        <v/>
      </c>
    </row>
    <row r="3522">
      <c r="A3522" s="14">
        <f>IF(F3522&lt;&gt;"","ISSUE-"&amp;TEXT(ROW()-1,"00000"),"")</f>
        <v/>
      </c>
      <c r="B3522" s="14">
        <f>IF(F3522&lt;&gt;"","错误","")</f>
        <v/>
      </c>
      <c r="C3522" s="14">
        <f>IF('09_连续性验收'!A22&lt;&gt;"","09_连续性验收","")</f>
        <v/>
      </c>
      <c r="D3522" s="14">
        <f>IF('09_连续性验收'!A22&lt;&gt;"",'09_连续性验收'!A22,"")</f>
        <v/>
      </c>
      <c r="E3522" s="14">
        <f>IF(F3522&lt;&gt;"","综合校验","")</f>
        <v/>
      </c>
      <c r="F3522" s="14">
        <f>IF('09_连续性验收'!A22&lt;&gt;"",IF('09_连续性验收'!A22="","缺少验收ID；","")&amp;IF('09_连续性验收'!B22="","缺少对象ID；","")&amp;IF('09_连续性验收'!C22="","缺少检查类型；","")&amp;IF(AND('09_连续性验收'!J22&lt;&gt;"",'09_连续性验收'!K22&lt;&gt;"",'09_连续性验收'!J22&gt;'09_连续性验收'!K22),"坐标偏差超标；","")&amp;IF(AND('09_连续性验收'!B22&lt;&gt;"",COUNTIF('02_固定地理'!$A$2:$A$501,'09_连续性验收'!B22)+COUNTIF('03_地点锚点'!$A$2:$A$501,'09_连续性验收'!B22)+COUNTIF('04_路径网络'!$A$2:$A$501,'09_连续性验收'!B22)+COUNTIF('06_建筑锚点'!$A$2:$A$501,'09_连续性验收'!B22)=0),"验收对象不存在；","")&amp;IF(AND('09_连续性验收'!A22&lt;&gt;"",COUNTIF('09_连续性验收'!$A$2:$A$501,'09_连续性验收'!A22)&gt;1),"ID重复；",""),"")</f>
        <v/>
      </c>
      <c r="G3522" s="14">
        <f>IF(F3522&lt;&gt;"","按字段批注、数据字典和来源记录修正后复核","")</f>
        <v/>
      </c>
      <c r="H3522" s="14">
        <f>IF(F3522&lt;&gt;"","待处理","")</f>
        <v/>
      </c>
    </row>
    <row r="3523">
      <c r="A3523" s="14">
        <f>IF(F3523&lt;&gt;"","ISSUE-"&amp;TEXT(ROW()-1,"00000"),"")</f>
        <v/>
      </c>
      <c r="B3523" s="14">
        <f>IF(F3523&lt;&gt;"","错误","")</f>
        <v/>
      </c>
      <c r="C3523" s="14">
        <f>IF('09_连续性验收'!A23&lt;&gt;"","09_连续性验收","")</f>
        <v/>
      </c>
      <c r="D3523" s="14">
        <f>IF('09_连续性验收'!A23&lt;&gt;"",'09_连续性验收'!A23,"")</f>
        <v/>
      </c>
      <c r="E3523" s="14">
        <f>IF(F3523&lt;&gt;"","综合校验","")</f>
        <v/>
      </c>
      <c r="F3523" s="14">
        <f>IF('09_连续性验收'!A23&lt;&gt;"",IF('09_连续性验收'!A23="","缺少验收ID；","")&amp;IF('09_连续性验收'!B23="","缺少对象ID；","")&amp;IF('09_连续性验收'!C23="","缺少检查类型；","")&amp;IF(AND('09_连续性验收'!J23&lt;&gt;"",'09_连续性验收'!K23&lt;&gt;"",'09_连续性验收'!J23&gt;'09_连续性验收'!K23),"坐标偏差超标；","")&amp;IF(AND('09_连续性验收'!B23&lt;&gt;"",COUNTIF('02_固定地理'!$A$2:$A$501,'09_连续性验收'!B23)+COUNTIF('03_地点锚点'!$A$2:$A$501,'09_连续性验收'!B23)+COUNTIF('04_路径网络'!$A$2:$A$501,'09_连续性验收'!B23)+COUNTIF('06_建筑锚点'!$A$2:$A$501,'09_连续性验收'!B23)=0),"验收对象不存在；","")&amp;IF(AND('09_连续性验收'!A23&lt;&gt;"",COUNTIF('09_连续性验收'!$A$2:$A$501,'09_连续性验收'!A23)&gt;1),"ID重复；",""),"")</f>
        <v/>
      </c>
      <c r="G3523" s="14">
        <f>IF(F3523&lt;&gt;"","按字段批注、数据字典和来源记录修正后复核","")</f>
        <v/>
      </c>
      <c r="H3523" s="14">
        <f>IF(F3523&lt;&gt;"","待处理","")</f>
        <v/>
      </c>
    </row>
    <row r="3524">
      <c r="A3524" s="14">
        <f>IF(F3524&lt;&gt;"","ISSUE-"&amp;TEXT(ROW()-1,"00000"),"")</f>
        <v/>
      </c>
      <c r="B3524" s="14">
        <f>IF(F3524&lt;&gt;"","错误","")</f>
        <v/>
      </c>
      <c r="C3524" s="14">
        <f>IF('09_连续性验收'!A24&lt;&gt;"","09_连续性验收","")</f>
        <v/>
      </c>
      <c r="D3524" s="14">
        <f>IF('09_连续性验收'!A24&lt;&gt;"",'09_连续性验收'!A24,"")</f>
        <v/>
      </c>
      <c r="E3524" s="14">
        <f>IF(F3524&lt;&gt;"","综合校验","")</f>
        <v/>
      </c>
      <c r="F3524" s="14">
        <f>IF('09_连续性验收'!A24&lt;&gt;"",IF('09_连续性验收'!A24="","缺少验收ID；","")&amp;IF('09_连续性验收'!B24="","缺少对象ID；","")&amp;IF('09_连续性验收'!C24="","缺少检查类型；","")&amp;IF(AND('09_连续性验收'!J24&lt;&gt;"",'09_连续性验收'!K24&lt;&gt;"",'09_连续性验收'!J24&gt;'09_连续性验收'!K24),"坐标偏差超标；","")&amp;IF(AND('09_连续性验收'!B24&lt;&gt;"",COUNTIF('02_固定地理'!$A$2:$A$501,'09_连续性验收'!B24)+COUNTIF('03_地点锚点'!$A$2:$A$501,'09_连续性验收'!B24)+COUNTIF('04_路径网络'!$A$2:$A$501,'09_连续性验收'!B24)+COUNTIF('06_建筑锚点'!$A$2:$A$501,'09_连续性验收'!B24)=0),"验收对象不存在；","")&amp;IF(AND('09_连续性验收'!A24&lt;&gt;"",COUNTIF('09_连续性验收'!$A$2:$A$501,'09_连续性验收'!A24)&gt;1),"ID重复；",""),"")</f>
        <v/>
      </c>
      <c r="G3524" s="14">
        <f>IF(F3524&lt;&gt;"","按字段批注、数据字典和来源记录修正后复核","")</f>
        <v/>
      </c>
      <c r="H3524" s="14">
        <f>IF(F3524&lt;&gt;"","待处理","")</f>
        <v/>
      </c>
    </row>
    <row r="3525">
      <c r="A3525" s="14">
        <f>IF(F3525&lt;&gt;"","ISSUE-"&amp;TEXT(ROW()-1,"00000"),"")</f>
        <v/>
      </c>
      <c r="B3525" s="14">
        <f>IF(F3525&lt;&gt;"","错误","")</f>
        <v/>
      </c>
      <c r="C3525" s="14">
        <f>IF('09_连续性验收'!A25&lt;&gt;"","09_连续性验收","")</f>
        <v/>
      </c>
      <c r="D3525" s="14">
        <f>IF('09_连续性验收'!A25&lt;&gt;"",'09_连续性验收'!A25,"")</f>
        <v/>
      </c>
      <c r="E3525" s="14">
        <f>IF(F3525&lt;&gt;"","综合校验","")</f>
        <v/>
      </c>
      <c r="F3525" s="14">
        <f>IF('09_连续性验收'!A25&lt;&gt;"",IF('09_连续性验收'!A25="","缺少验收ID；","")&amp;IF('09_连续性验收'!B25="","缺少对象ID；","")&amp;IF('09_连续性验收'!C25="","缺少检查类型；","")&amp;IF(AND('09_连续性验收'!J25&lt;&gt;"",'09_连续性验收'!K25&lt;&gt;"",'09_连续性验收'!J25&gt;'09_连续性验收'!K25),"坐标偏差超标；","")&amp;IF(AND('09_连续性验收'!B25&lt;&gt;"",COUNTIF('02_固定地理'!$A$2:$A$501,'09_连续性验收'!B25)+COUNTIF('03_地点锚点'!$A$2:$A$501,'09_连续性验收'!B25)+COUNTIF('04_路径网络'!$A$2:$A$501,'09_连续性验收'!B25)+COUNTIF('06_建筑锚点'!$A$2:$A$501,'09_连续性验收'!B25)=0),"验收对象不存在；","")&amp;IF(AND('09_连续性验收'!A25&lt;&gt;"",COUNTIF('09_连续性验收'!$A$2:$A$501,'09_连续性验收'!A25)&gt;1),"ID重复；",""),"")</f>
        <v/>
      </c>
      <c r="G3525" s="14">
        <f>IF(F3525&lt;&gt;"","按字段批注、数据字典和来源记录修正后复核","")</f>
        <v/>
      </c>
      <c r="H3525" s="14">
        <f>IF(F3525&lt;&gt;"","待处理","")</f>
        <v/>
      </c>
    </row>
    <row r="3526">
      <c r="A3526" s="14">
        <f>IF(F3526&lt;&gt;"","ISSUE-"&amp;TEXT(ROW()-1,"00000"),"")</f>
        <v/>
      </c>
      <c r="B3526" s="14">
        <f>IF(F3526&lt;&gt;"","错误","")</f>
        <v/>
      </c>
      <c r="C3526" s="14">
        <f>IF('09_连续性验收'!A26&lt;&gt;"","09_连续性验收","")</f>
        <v/>
      </c>
      <c r="D3526" s="14">
        <f>IF('09_连续性验收'!A26&lt;&gt;"",'09_连续性验收'!A26,"")</f>
        <v/>
      </c>
      <c r="E3526" s="14">
        <f>IF(F3526&lt;&gt;"","综合校验","")</f>
        <v/>
      </c>
      <c r="F3526" s="14">
        <f>IF('09_连续性验收'!A26&lt;&gt;"",IF('09_连续性验收'!A26="","缺少验收ID；","")&amp;IF('09_连续性验收'!B26="","缺少对象ID；","")&amp;IF('09_连续性验收'!C26="","缺少检查类型；","")&amp;IF(AND('09_连续性验收'!J26&lt;&gt;"",'09_连续性验收'!K26&lt;&gt;"",'09_连续性验收'!J26&gt;'09_连续性验收'!K26),"坐标偏差超标；","")&amp;IF(AND('09_连续性验收'!B26&lt;&gt;"",COUNTIF('02_固定地理'!$A$2:$A$501,'09_连续性验收'!B26)+COUNTIF('03_地点锚点'!$A$2:$A$501,'09_连续性验收'!B26)+COUNTIF('04_路径网络'!$A$2:$A$501,'09_连续性验收'!B26)+COUNTIF('06_建筑锚点'!$A$2:$A$501,'09_连续性验收'!B26)=0),"验收对象不存在；","")&amp;IF(AND('09_连续性验收'!A26&lt;&gt;"",COUNTIF('09_连续性验收'!$A$2:$A$501,'09_连续性验收'!A26)&gt;1),"ID重复；",""),"")</f>
        <v/>
      </c>
      <c r="G3526" s="14">
        <f>IF(F3526&lt;&gt;"","按字段批注、数据字典和来源记录修正后复核","")</f>
        <v/>
      </c>
      <c r="H3526" s="14">
        <f>IF(F3526&lt;&gt;"","待处理","")</f>
        <v/>
      </c>
    </row>
    <row r="3527">
      <c r="A3527" s="14">
        <f>IF(F3527&lt;&gt;"","ISSUE-"&amp;TEXT(ROW()-1,"00000"),"")</f>
        <v/>
      </c>
      <c r="B3527" s="14">
        <f>IF(F3527&lt;&gt;"","错误","")</f>
        <v/>
      </c>
      <c r="C3527" s="14">
        <f>IF('09_连续性验收'!A27&lt;&gt;"","09_连续性验收","")</f>
        <v/>
      </c>
      <c r="D3527" s="14">
        <f>IF('09_连续性验收'!A27&lt;&gt;"",'09_连续性验收'!A27,"")</f>
        <v/>
      </c>
      <c r="E3527" s="14">
        <f>IF(F3527&lt;&gt;"","综合校验","")</f>
        <v/>
      </c>
      <c r="F3527" s="14">
        <f>IF('09_连续性验收'!A27&lt;&gt;"",IF('09_连续性验收'!A27="","缺少验收ID；","")&amp;IF('09_连续性验收'!B27="","缺少对象ID；","")&amp;IF('09_连续性验收'!C27="","缺少检查类型；","")&amp;IF(AND('09_连续性验收'!J27&lt;&gt;"",'09_连续性验收'!K27&lt;&gt;"",'09_连续性验收'!J27&gt;'09_连续性验收'!K27),"坐标偏差超标；","")&amp;IF(AND('09_连续性验收'!B27&lt;&gt;"",COUNTIF('02_固定地理'!$A$2:$A$501,'09_连续性验收'!B27)+COUNTIF('03_地点锚点'!$A$2:$A$501,'09_连续性验收'!B27)+COUNTIF('04_路径网络'!$A$2:$A$501,'09_连续性验收'!B27)+COUNTIF('06_建筑锚点'!$A$2:$A$501,'09_连续性验收'!B27)=0),"验收对象不存在；","")&amp;IF(AND('09_连续性验收'!A27&lt;&gt;"",COUNTIF('09_连续性验收'!$A$2:$A$501,'09_连续性验收'!A27)&gt;1),"ID重复；",""),"")</f>
        <v/>
      </c>
      <c r="G3527" s="14">
        <f>IF(F3527&lt;&gt;"","按字段批注、数据字典和来源记录修正后复核","")</f>
        <v/>
      </c>
      <c r="H3527" s="14">
        <f>IF(F3527&lt;&gt;"","待处理","")</f>
        <v/>
      </c>
    </row>
    <row r="3528">
      <c r="A3528" s="14">
        <f>IF(F3528&lt;&gt;"","ISSUE-"&amp;TEXT(ROW()-1,"00000"),"")</f>
        <v/>
      </c>
      <c r="B3528" s="14">
        <f>IF(F3528&lt;&gt;"","错误","")</f>
        <v/>
      </c>
      <c r="C3528" s="14">
        <f>IF('09_连续性验收'!A28&lt;&gt;"","09_连续性验收","")</f>
        <v/>
      </c>
      <c r="D3528" s="14">
        <f>IF('09_连续性验收'!A28&lt;&gt;"",'09_连续性验收'!A28,"")</f>
        <v/>
      </c>
      <c r="E3528" s="14">
        <f>IF(F3528&lt;&gt;"","综合校验","")</f>
        <v/>
      </c>
      <c r="F3528" s="14">
        <f>IF('09_连续性验收'!A28&lt;&gt;"",IF('09_连续性验收'!A28="","缺少验收ID；","")&amp;IF('09_连续性验收'!B28="","缺少对象ID；","")&amp;IF('09_连续性验收'!C28="","缺少检查类型；","")&amp;IF(AND('09_连续性验收'!J28&lt;&gt;"",'09_连续性验收'!K28&lt;&gt;"",'09_连续性验收'!J28&gt;'09_连续性验收'!K28),"坐标偏差超标；","")&amp;IF(AND('09_连续性验收'!B28&lt;&gt;"",COUNTIF('02_固定地理'!$A$2:$A$501,'09_连续性验收'!B28)+COUNTIF('03_地点锚点'!$A$2:$A$501,'09_连续性验收'!B28)+COUNTIF('04_路径网络'!$A$2:$A$501,'09_连续性验收'!B28)+COUNTIF('06_建筑锚点'!$A$2:$A$501,'09_连续性验收'!B28)=0),"验收对象不存在；","")&amp;IF(AND('09_连续性验收'!A28&lt;&gt;"",COUNTIF('09_连续性验收'!$A$2:$A$501,'09_连续性验收'!A28)&gt;1),"ID重复；",""),"")</f>
        <v/>
      </c>
      <c r="G3528" s="14">
        <f>IF(F3528&lt;&gt;"","按字段批注、数据字典和来源记录修正后复核","")</f>
        <v/>
      </c>
      <c r="H3528" s="14">
        <f>IF(F3528&lt;&gt;"","待处理","")</f>
        <v/>
      </c>
    </row>
    <row r="3529">
      <c r="A3529" s="14">
        <f>IF(F3529&lt;&gt;"","ISSUE-"&amp;TEXT(ROW()-1,"00000"),"")</f>
        <v/>
      </c>
      <c r="B3529" s="14">
        <f>IF(F3529&lt;&gt;"","错误","")</f>
        <v/>
      </c>
      <c r="C3529" s="14">
        <f>IF('09_连续性验收'!A29&lt;&gt;"","09_连续性验收","")</f>
        <v/>
      </c>
      <c r="D3529" s="14">
        <f>IF('09_连续性验收'!A29&lt;&gt;"",'09_连续性验收'!A29,"")</f>
        <v/>
      </c>
      <c r="E3529" s="14">
        <f>IF(F3529&lt;&gt;"","综合校验","")</f>
        <v/>
      </c>
      <c r="F3529" s="14">
        <f>IF('09_连续性验收'!A29&lt;&gt;"",IF('09_连续性验收'!A29="","缺少验收ID；","")&amp;IF('09_连续性验收'!B29="","缺少对象ID；","")&amp;IF('09_连续性验收'!C29="","缺少检查类型；","")&amp;IF(AND('09_连续性验收'!J29&lt;&gt;"",'09_连续性验收'!K29&lt;&gt;"",'09_连续性验收'!J29&gt;'09_连续性验收'!K29),"坐标偏差超标；","")&amp;IF(AND('09_连续性验收'!B29&lt;&gt;"",COUNTIF('02_固定地理'!$A$2:$A$501,'09_连续性验收'!B29)+COUNTIF('03_地点锚点'!$A$2:$A$501,'09_连续性验收'!B29)+COUNTIF('04_路径网络'!$A$2:$A$501,'09_连续性验收'!B29)+COUNTIF('06_建筑锚点'!$A$2:$A$501,'09_连续性验收'!B29)=0),"验收对象不存在；","")&amp;IF(AND('09_连续性验收'!A29&lt;&gt;"",COUNTIF('09_连续性验收'!$A$2:$A$501,'09_连续性验收'!A29)&gt;1),"ID重复；",""),"")</f>
        <v/>
      </c>
      <c r="G3529" s="14">
        <f>IF(F3529&lt;&gt;"","按字段批注、数据字典和来源记录修正后复核","")</f>
        <v/>
      </c>
      <c r="H3529" s="14">
        <f>IF(F3529&lt;&gt;"","待处理","")</f>
        <v/>
      </c>
    </row>
    <row r="3530">
      <c r="A3530" s="14">
        <f>IF(F3530&lt;&gt;"","ISSUE-"&amp;TEXT(ROW()-1,"00000"),"")</f>
        <v/>
      </c>
      <c r="B3530" s="14">
        <f>IF(F3530&lt;&gt;"","错误","")</f>
        <v/>
      </c>
      <c r="C3530" s="14">
        <f>IF('09_连续性验收'!A30&lt;&gt;"","09_连续性验收","")</f>
        <v/>
      </c>
      <c r="D3530" s="14">
        <f>IF('09_连续性验收'!A30&lt;&gt;"",'09_连续性验收'!A30,"")</f>
        <v/>
      </c>
      <c r="E3530" s="14">
        <f>IF(F3530&lt;&gt;"","综合校验","")</f>
        <v/>
      </c>
      <c r="F3530" s="14">
        <f>IF('09_连续性验收'!A30&lt;&gt;"",IF('09_连续性验收'!A30="","缺少验收ID；","")&amp;IF('09_连续性验收'!B30="","缺少对象ID；","")&amp;IF('09_连续性验收'!C30="","缺少检查类型；","")&amp;IF(AND('09_连续性验收'!J30&lt;&gt;"",'09_连续性验收'!K30&lt;&gt;"",'09_连续性验收'!J30&gt;'09_连续性验收'!K30),"坐标偏差超标；","")&amp;IF(AND('09_连续性验收'!B30&lt;&gt;"",COUNTIF('02_固定地理'!$A$2:$A$501,'09_连续性验收'!B30)+COUNTIF('03_地点锚点'!$A$2:$A$501,'09_连续性验收'!B30)+COUNTIF('04_路径网络'!$A$2:$A$501,'09_连续性验收'!B30)+COUNTIF('06_建筑锚点'!$A$2:$A$501,'09_连续性验收'!B30)=0),"验收对象不存在；","")&amp;IF(AND('09_连续性验收'!A30&lt;&gt;"",COUNTIF('09_连续性验收'!$A$2:$A$501,'09_连续性验收'!A30)&gt;1),"ID重复；",""),"")</f>
        <v/>
      </c>
      <c r="G3530" s="14">
        <f>IF(F3530&lt;&gt;"","按字段批注、数据字典和来源记录修正后复核","")</f>
        <v/>
      </c>
      <c r="H3530" s="14">
        <f>IF(F3530&lt;&gt;"","待处理","")</f>
        <v/>
      </c>
    </row>
    <row r="3531">
      <c r="A3531" s="14">
        <f>IF(F3531&lt;&gt;"","ISSUE-"&amp;TEXT(ROW()-1,"00000"),"")</f>
        <v/>
      </c>
      <c r="B3531" s="14">
        <f>IF(F3531&lt;&gt;"","错误","")</f>
        <v/>
      </c>
      <c r="C3531" s="14">
        <f>IF('09_连续性验收'!A31&lt;&gt;"","09_连续性验收","")</f>
        <v/>
      </c>
      <c r="D3531" s="14">
        <f>IF('09_连续性验收'!A31&lt;&gt;"",'09_连续性验收'!A31,"")</f>
        <v/>
      </c>
      <c r="E3531" s="14">
        <f>IF(F3531&lt;&gt;"","综合校验","")</f>
        <v/>
      </c>
      <c r="F3531" s="14">
        <f>IF('09_连续性验收'!A31&lt;&gt;"",IF('09_连续性验收'!A31="","缺少验收ID；","")&amp;IF('09_连续性验收'!B31="","缺少对象ID；","")&amp;IF('09_连续性验收'!C31="","缺少检查类型；","")&amp;IF(AND('09_连续性验收'!J31&lt;&gt;"",'09_连续性验收'!K31&lt;&gt;"",'09_连续性验收'!J31&gt;'09_连续性验收'!K31),"坐标偏差超标；","")&amp;IF(AND('09_连续性验收'!B31&lt;&gt;"",COUNTIF('02_固定地理'!$A$2:$A$501,'09_连续性验收'!B31)+COUNTIF('03_地点锚点'!$A$2:$A$501,'09_连续性验收'!B31)+COUNTIF('04_路径网络'!$A$2:$A$501,'09_连续性验收'!B31)+COUNTIF('06_建筑锚点'!$A$2:$A$501,'09_连续性验收'!B31)=0),"验收对象不存在；","")&amp;IF(AND('09_连续性验收'!A31&lt;&gt;"",COUNTIF('09_连续性验收'!$A$2:$A$501,'09_连续性验收'!A31)&gt;1),"ID重复；",""),"")</f>
        <v/>
      </c>
      <c r="G3531" s="14">
        <f>IF(F3531&lt;&gt;"","按字段批注、数据字典和来源记录修正后复核","")</f>
        <v/>
      </c>
      <c r="H3531" s="14">
        <f>IF(F3531&lt;&gt;"","待处理","")</f>
        <v/>
      </c>
    </row>
    <row r="3532">
      <c r="A3532" s="14">
        <f>IF(F3532&lt;&gt;"","ISSUE-"&amp;TEXT(ROW()-1,"00000"),"")</f>
        <v/>
      </c>
      <c r="B3532" s="14">
        <f>IF(F3532&lt;&gt;"","错误","")</f>
        <v/>
      </c>
      <c r="C3532" s="14">
        <f>IF('09_连续性验收'!A32&lt;&gt;"","09_连续性验收","")</f>
        <v/>
      </c>
      <c r="D3532" s="14">
        <f>IF('09_连续性验收'!A32&lt;&gt;"",'09_连续性验收'!A32,"")</f>
        <v/>
      </c>
      <c r="E3532" s="14">
        <f>IF(F3532&lt;&gt;"","综合校验","")</f>
        <v/>
      </c>
      <c r="F3532" s="14">
        <f>IF('09_连续性验收'!A32&lt;&gt;"",IF('09_连续性验收'!A32="","缺少验收ID；","")&amp;IF('09_连续性验收'!B32="","缺少对象ID；","")&amp;IF('09_连续性验收'!C32="","缺少检查类型；","")&amp;IF(AND('09_连续性验收'!J32&lt;&gt;"",'09_连续性验收'!K32&lt;&gt;"",'09_连续性验收'!J32&gt;'09_连续性验收'!K32),"坐标偏差超标；","")&amp;IF(AND('09_连续性验收'!B32&lt;&gt;"",COUNTIF('02_固定地理'!$A$2:$A$501,'09_连续性验收'!B32)+COUNTIF('03_地点锚点'!$A$2:$A$501,'09_连续性验收'!B32)+COUNTIF('04_路径网络'!$A$2:$A$501,'09_连续性验收'!B32)+COUNTIF('06_建筑锚点'!$A$2:$A$501,'09_连续性验收'!B32)=0),"验收对象不存在；","")&amp;IF(AND('09_连续性验收'!A32&lt;&gt;"",COUNTIF('09_连续性验收'!$A$2:$A$501,'09_连续性验收'!A32)&gt;1),"ID重复；",""),"")</f>
        <v/>
      </c>
      <c r="G3532" s="14">
        <f>IF(F3532&lt;&gt;"","按字段批注、数据字典和来源记录修正后复核","")</f>
        <v/>
      </c>
      <c r="H3532" s="14">
        <f>IF(F3532&lt;&gt;"","待处理","")</f>
        <v/>
      </c>
    </row>
    <row r="3533">
      <c r="A3533" s="14">
        <f>IF(F3533&lt;&gt;"","ISSUE-"&amp;TEXT(ROW()-1,"00000"),"")</f>
        <v/>
      </c>
      <c r="B3533" s="14">
        <f>IF(F3533&lt;&gt;"","错误","")</f>
        <v/>
      </c>
      <c r="C3533" s="14">
        <f>IF('09_连续性验收'!A33&lt;&gt;"","09_连续性验收","")</f>
        <v/>
      </c>
      <c r="D3533" s="14">
        <f>IF('09_连续性验收'!A33&lt;&gt;"",'09_连续性验收'!A33,"")</f>
        <v/>
      </c>
      <c r="E3533" s="14">
        <f>IF(F3533&lt;&gt;"","综合校验","")</f>
        <v/>
      </c>
      <c r="F3533" s="14">
        <f>IF('09_连续性验收'!A33&lt;&gt;"",IF('09_连续性验收'!A33="","缺少验收ID；","")&amp;IF('09_连续性验收'!B33="","缺少对象ID；","")&amp;IF('09_连续性验收'!C33="","缺少检查类型；","")&amp;IF(AND('09_连续性验收'!J33&lt;&gt;"",'09_连续性验收'!K33&lt;&gt;"",'09_连续性验收'!J33&gt;'09_连续性验收'!K33),"坐标偏差超标；","")&amp;IF(AND('09_连续性验收'!B33&lt;&gt;"",COUNTIF('02_固定地理'!$A$2:$A$501,'09_连续性验收'!B33)+COUNTIF('03_地点锚点'!$A$2:$A$501,'09_连续性验收'!B33)+COUNTIF('04_路径网络'!$A$2:$A$501,'09_连续性验收'!B33)+COUNTIF('06_建筑锚点'!$A$2:$A$501,'09_连续性验收'!B33)=0),"验收对象不存在；","")&amp;IF(AND('09_连续性验收'!A33&lt;&gt;"",COUNTIF('09_连续性验收'!$A$2:$A$501,'09_连续性验收'!A33)&gt;1),"ID重复；",""),"")</f>
        <v/>
      </c>
      <c r="G3533" s="14">
        <f>IF(F3533&lt;&gt;"","按字段批注、数据字典和来源记录修正后复核","")</f>
        <v/>
      </c>
      <c r="H3533" s="14">
        <f>IF(F3533&lt;&gt;"","待处理","")</f>
        <v/>
      </c>
    </row>
    <row r="3534">
      <c r="A3534" s="14">
        <f>IF(F3534&lt;&gt;"","ISSUE-"&amp;TEXT(ROW()-1,"00000"),"")</f>
        <v/>
      </c>
      <c r="B3534" s="14">
        <f>IF(F3534&lt;&gt;"","错误","")</f>
        <v/>
      </c>
      <c r="C3534" s="14">
        <f>IF('09_连续性验收'!A34&lt;&gt;"","09_连续性验收","")</f>
        <v/>
      </c>
      <c r="D3534" s="14">
        <f>IF('09_连续性验收'!A34&lt;&gt;"",'09_连续性验收'!A34,"")</f>
        <v/>
      </c>
      <c r="E3534" s="14">
        <f>IF(F3534&lt;&gt;"","综合校验","")</f>
        <v/>
      </c>
      <c r="F3534" s="14">
        <f>IF('09_连续性验收'!A34&lt;&gt;"",IF('09_连续性验收'!A34="","缺少验收ID；","")&amp;IF('09_连续性验收'!B34="","缺少对象ID；","")&amp;IF('09_连续性验收'!C34="","缺少检查类型；","")&amp;IF(AND('09_连续性验收'!J34&lt;&gt;"",'09_连续性验收'!K34&lt;&gt;"",'09_连续性验收'!J34&gt;'09_连续性验收'!K34),"坐标偏差超标；","")&amp;IF(AND('09_连续性验收'!B34&lt;&gt;"",COUNTIF('02_固定地理'!$A$2:$A$501,'09_连续性验收'!B34)+COUNTIF('03_地点锚点'!$A$2:$A$501,'09_连续性验收'!B34)+COUNTIF('04_路径网络'!$A$2:$A$501,'09_连续性验收'!B34)+COUNTIF('06_建筑锚点'!$A$2:$A$501,'09_连续性验收'!B34)=0),"验收对象不存在；","")&amp;IF(AND('09_连续性验收'!A34&lt;&gt;"",COUNTIF('09_连续性验收'!$A$2:$A$501,'09_连续性验收'!A34)&gt;1),"ID重复；",""),"")</f>
        <v/>
      </c>
      <c r="G3534" s="14">
        <f>IF(F3534&lt;&gt;"","按字段批注、数据字典和来源记录修正后复核","")</f>
        <v/>
      </c>
      <c r="H3534" s="14">
        <f>IF(F3534&lt;&gt;"","待处理","")</f>
        <v/>
      </c>
    </row>
    <row r="3535">
      <c r="A3535" s="14">
        <f>IF(F3535&lt;&gt;"","ISSUE-"&amp;TEXT(ROW()-1,"00000"),"")</f>
        <v/>
      </c>
      <c r="B3535" s="14">
        <f>IF(F3535&lt;&gt;"","错误","")</f>
        <v/>
      </c>
      <c r="C3535" s="14">
        <f>IF('09_连续性验收'!A35&lt;&gt;"","09_连续性验收","")</f>
        <v/>
      </c>
      <c r="D3535" s="14">
        <f>IF('09_连续性验收'!A35&lt;&gt;"",'09_连续性验收'!A35,"")</f>
        <v/>
      </c>
      <c r="E3535" s="14">
        <f>IF(F3535&lt;&gt;"","综合校验","")</f>
        <v/>
      </c>
      <c r="F3535" s="14">
        <f>IF('09_连续性验收'!A35&lt;&gt;"",IF('09_连续性验收'!A35="","缺少验收ID；","")&amp;IF('09_连续性验收'!B35="","缺少对象ID；","")&amp;IF('09_连续性验收'!C35="","缺少检查类型；","")&amp;IF(AND('09_连续性验收'!J35&lt;&gt;"",'09_连续性验收'!K35&lt;&gt;"",'09_连续性验收'!J35&gt;'09_连续性验收'!K35),"坐标偏差超标；","")&amp;IF(AND('09_连续性验收'!B35&lt;&gt;"",COUNTIF('02_固定地理'!$A$2:$A$501,'09_连续性验收'!B35)+COUNTIF('03_地点锚点'!$A$2:$A$501,'09_连续性验收'!B35)+COUNTIF('04_路径网络'!$A$2:$A$501,'09_连续性验收'!B35)+COUNTIF('06_建筑锚点'!$A$2:$A$501,'09_连续性验收'!B35)=0),"验收对象不存在；","")&amp;IF(AND('09_连续性验收'!A35&lt;&gt;"",COUNTIF('09_连续性验收'!$A$2:$A$501,'09_连续性验收'!A35)&gt;1),"ID重复；",""),"")</f>
        <v/>
      </c>
      <c r="G3535" s="14">
        <f>IF(F3535&lt;&gt;"","按字段批注、数据字典和来源记录修正后复核","")</f>
        <v/>
      </c>
      <c r="H3535" s="14">
        <f>IF(F3535&lt;&gt;"","待处理","")</f>
        <v/>
      </c>
    </row>
    <row r="3536">
      <c r="A3536" s="14">
        <f>IF(F3536&lt;&gt;"","ISSUE-"&amp;TEXT(ROW()-1,"00000"),"")</f>
        <v/>
      </c>
      <c r="B3536" s="14">
        <f>IF(F3536&lt;&gt;"","错误","")</f>
        <v/>
      </c>
      <c r="C3536" s="14">
        <f>IF('09_连续性验收'!A36&lt;&gt;"","09_连续性验收","")</f>
        <v/>
      </c>
      <c r="D3536" s="14">
        <f>IF('09_连续性验收'!A36&lt;&gt;"",'09_连续性验收'!A36,"")</f>
        <v/>
      </c>
      <c r="E3536" s="14">
        <f>IF(F3536&lt;&gt;"","综合校验","")</f>
        <v/>
      </c>
      <c r="F3536" s="14">
        <f>IF('09_连续性验收'!A36&lt;&gt;"",IF('09_连续性验收'!A36="","缺少验收ID；","")&amp;IF('09_连续性验收'!B36="","缺少对象ID；","")&amp;IF('09_连续性验收'!C36="","缺少检查类型；","")&amp;IF(AND('09_连续性验收'!J36&lt;&gt;"",'09_连续性验收'!K36&lt;&gt;"",'09_连续性验收'!J36&gt;'09_连续性验收'!K36),"坐标偏差超标；","")&amp;IF(AND('09_连续性验收'!B36&lt;&gt;"",COUNTIF('02_固定地理'!$A$2:$A$501,'09_连续性验收'!B36)+COUNTIF('03_地点锚点'!$A$2:$A$501,'09_连续性验收'!B36)+COUNTIF('04_路径网络'!$A$2:$A$501,'09_连续性验收'!B36)+COUNTIF('06_建筑锚点'!$A$2:$A$501,'09_连续性验收'!B36)=0),"验收对象不存在；","")&amp;IF(AND('09_连续性验收'!A36&lt;&gt;"",COUNTIF('09_连续性验收'!$A$2:$A$501,'09_连续性验收'!A36)&gt;1),"ID重复；",""),"")</f>
        <v/>
      </c>
      <c r="G3536" s="14">
        <f>IF(F3536&lt;&gt;"","按字段批注、数据字典和来源记录修正后复核","")</f>
        <v/>
      </c>
      <c r="H3536" s="14">
        <f>IF(F3536&lt;&gt;"","待处理","")</f>
        <v/>
      </c>
    </row>
    <row r="3537">
      <c r="A3537" s="14">
        <f>IF(F3537&lt;&gt;"","ISSUE-"&amp;TEXT(ROW()-1,"00000"),"")</f>
        <v/>
      </c>
      <c r="B3537" s="14">
        <f>IF(F3537&lt;&gt;"","错误","")</f>
        <v/>
      </c>
      <c r="C3537" s="14">
        <f>IF('09_连续性验收'!A37&lt;&gt;"","09_连续性验收","")</f>
        <v/>
      </c>
      <c r="D3537" s="14">
        <f>IF('09_连续性验收'!A37&lt;&gt;"",'09_连续性验收'!A37,"")</f>
        <v/>
      </c>
      <c r="E3537" s="14">
        <f>IF(F3537&lt;&gt;"","综合校验","")</f>
        <v/>
      </c>
      <c r="F3537" s="14">
        <f>IF('09_连续性验收'!A37&lt;&gt;"",IF('09_连续性验收'!A37="","缺少验收ID；","")&amp;IF('09_连续性验收'!B37="","缺少对象ID；","")&amp;IF('09_连续性验收'!C37="","缺少检查类型；","")&amp;IF(AND('09_连续性验收'!J37&lt;&gt;"",'09_连续性验收'!K37&lt;&gt;"",'09_连续性验收'!J37&gt;'09_连续性验收'!K37),"坐标偏差超标；","")&amp;IF(AND('09_连续性验收'!B37&lt;&gt;"",COUNTIF('02_固定地理'!$A$2:$A$501,'09_连续性验收'!B37)+COUNTIF('03_地点锚点'!$A$2:$A$501,'09_连续性验收'!B37)+COUNTIF('04_路径网络'!$A$2:$A$501,'09_连续性验收'!B37)+COUNTIF('06_建筑锚点'!$A$2:$A$501,'09_连续性验收'!B37)=0),"验收对象不存在；","")&amp;IF(AND('09_连续性验收'!A37&lt;&gt;"",COUNTIF('09_连续性验收'!$A$2:$A$501,'09_连续性验收'!A37)&gt;1),"ID重复；",""),"")</f>
        <v/>
      </c>
      <c r="G3537" s="14">
        <f>IF(F3537&lt;&gt;"","按字段批注、数据字典和来源记录修正后复核","")</f>
        <v/>
      </c>
      <c r="H3537" s="14">
        <f>IF(F3537&lt;&gt;"","待处理","")</f>
        <v/>
      </c>
    </row>
    <row r="3538">
      <c r="A3538" s="14">
        <f>IF(F3538&lt;&gt;"","ISSUE-"&amp;TEXT(ROW()-1,"00000"),"")</f>
        <v/>
      </c>
      <c r="B3538" s="14">
        <f>IF(F3538&lt;&gt;"","错误","")</f>
        <v/>
      </c>
      <c r="C3538" s="14">
        <f>IF('09_连续性验收'!A38&lt;&gt;"","09_连续性验收","")</f>
        <v/>
      </c>
      <c r="D3538" s="14">
        <f>IF('09_连续性验收'!A38&lt;&gt;"",'09_连续性验收'!A38,"")</f>
        <v/>
      </c>
      <c r="E3538" s="14">
        <f>IF(F3538&lt;&gt;"","综合校验","")</f>
        <v/>
      </c>
      <c r="F3538" s="14">
        <f>IF('09_连续性验收'!A38&lt;&gt;"",IF('09_连续性验收'!A38="","缺少验收ID；","")&amp;IF('09_连续性验收'!B38="","缺少对象ID；","")&amp;IF('09_连续性验收'!C38="","缺少检查类型；","")&amp;IF(AND('09_连续性验收'!J38&lt;&gt;"",'09_连续性验收'!K38&lt;&gt;"",'09_连续性验收'!J38&gt;'09_连续性验收'!K38),"坐标偏差超标；","")&amp;IF(AND('09_连续性验收'!B38&lt;&gt;"",COUNTIF('02_固定地理'!$A$2:$A$501,'09_连续性验收'!B38)+COUNTIF('03_地点锚点'!$A$2:$A$501,'09_连续性验收'!B38)+COUNTIF('04_路径网络'!$A$2:$A$501,'09_连续性验收'!B38)+COUNTIF('06_建筑锚点'!$A$2:$A$501,'09_连续性验收'!B38)=0),"验收对象不存在；","")&amp;IF(AND('09_连续性验收'!A38&lt;&gt;"",COUNTIF('09_连续性验收'!$A$2:$A$501,'09_连续性验收'!A38)&gt;1),"ID重复；",""),"")</f>
        <v/>
      </c>
      <c r="G3538" s="14">
        <f>IF(F3538&lt;&gt;"","按字段批注、数据字典和来源记录修正后复核","")</f>
        <v/>
      </c>
      <c r="H3538" s="14">
        <f>IF(F3538&lt;&gt;"","待处理","")</f>
        <v/>
      </c>
    </row>
    <row r="3539">
      <c r="A3539" s="14">
        <f>IF(F3539&lt;&gt;"","ISSUE-"&amp;TEXT(ROW()-1,"00000"),"")</f>
        <v/>
      </c>
      <c r="B3539" s="14">
        <f>IF(F3539&lt;&gt;"","错误","")</f>
        <v/>
      </c>
      <c r="C3539" s="14">
        <f>IF('09_连续性验收'!A39&lt;&gt;"","09_连续性验收","")</f>
        <v/>
      </c>
      <c r="D3539" s="14">
        <f>IF('09_连续性验收'!A39&lt;&gt;"",'09_连续性验收'!A39,"")</f>
        <v/>
      </c>
      <c r="E3539" s="14">
        <f>IF(F3539&lt;&gt;"","综合校验","")</f>
        <v/>
      </c>
      <c r="F3539" s="14">
        <f>IF('09_连续性验收'!A39&lt;&gt;"",IF('09_连续性验收'!A39="","缺少验收ID；","")&amp;IF('09_连续性验收'!B39="","缺少对象ID；","")&amp;IF('09_连续性验收'!C39="","缺少检查类型；","")&amp;IF(AND('09_连续性验收'!J39&lt;&gt;"",'09_连续性验收'!K39&lt;&gt;"",'09_连续性验收'!J39&gt;'09_连续性验收'!K39),"坐标偏差超标；","")&amp;IF(AND('09_连续性验收'!B39&lt;&gt;"",COUNTIF('02_固定地理'!$A$2:$A$501,'09_连续性验收'!B39)+COUNTIF('03_地点锚点'!$A$2:$A$501,'09_连续性验收'!B39)+COUNTIF('04_路径网络'!$A$2:$A$501,'09_连续性验收'!B39)+COUNTIF('06_建筑锚点'!$A$2:$A$501,'09_连续性验收'!B39)=0),"验收对象不存在；","")&amp;IF(AND('09_连续性验收'!A39&lt;&gt;"",COUNTIF('09_连续性验收'!$A$2:$A$501,'09_连续性验收'!A39)&gt;1),"ID重复；",""),"")</f>
        <v/>
      </c>
      <c r="G3539" s="14">
        <f>IF(F3539&lt;&gt;"","按字段批注、数据字典和来源记录修正后复核","")</f>
        <v/>
      </c>
      <c r="H3539" s="14">
        <f>IF(F3539&lt;&gt;"","待处理","")</f>
        <v/>
      </c>
    </row>
    <row r="3540">
      <c r="A3540" s="14">
        <f>IF(F3540&lt;&gt;"","ISSUE-"&amp;TEXT(ROW()-1,"00000"),"")</f>
        <v/>
      </c>
      <c r="B3540" s="14">
        <f>IF(F3540&lt;&gt;"","错误","")</f>
        <v/>
      </c>
      <c r="C3540" s="14">
        <f>IF('09_连续性验收'!A40&lt;&gt;"","09_连续性验收","")</f>
        <v/>
      </c>
      <c r="D3540" s="14">
        <f>IF('09_连续性验收'!A40&lt;&gt;"",'09_连续性验收'!A40,"")</f>
        <v/>
      </c>
      <c r="E3540" s="14">
        <f>IF(F3540&lt;&gt;"","综合校验","")</f>
        <v/>
      </c>
      <c r="F3540" s="14">
        <f>IF('09_连续性验收'!A40&lt;&gt;"",IF('09_连续性验收'!A40="","缺少验收ID；","")&amp;IF('09_连续性验收'!B40="","缺少对象ID；","")&amp;IF('09_连续性验收'!C40="","缺少检查类型；","")&amp;IF(AND('09_连续性验收'!J40&lt;&gt;"",'09_连续性验收'!K40&lt;&gt;"",'09_连续性验收'!J40&gt;'09_连续性验收'!K40),"坐标偏差超标；","")&amp;IF(AND('09_连续性验收'!B40&lt;&gt;"",COUNTIF('02_固定地理'!$A$2:$A$501,'09_连续性验收'!B40)+COUNTIF('03_地点锚点'!$A$2:$A$501,'09_连续性验收'!B40)+COUNTIF('04_路径网络'!$A$2:$A$501,'09_连续性验收'!B40)+COUNTIF('06_建筑锚点'!$A$2:$A$501,'09_连续性验收'!B40)=0),"验收对象不存在；","")&amp;IF(AND('09_连续性验收'!A40&lt;&gt;"",COUNTIF('09_连续性验收'!$A$2:$A$501,'09_连续性验收'!A40)&gt;1),"ID重复；",""),"")</f>
        <v/>
      </c>
      <c r="G3540" s="14">
        <f>IF(F3540&lt;&gt;"","按字段批注、数据字典和来源记录修正后复核","")</f>
        <v/>
      </c>
      <c r="H3540" s="14">
        <f>IF(F3540&lt;&gt;"","待处理","")</f>
        <v/>
      </c>
    </row>
    <row r="3541">
      <c r="A3541" s="14">
        <f>IF(F3541&lt;&gt;"","ISSUE-"&amp;TEXT(ROW()-1,"00000"),"")</f>
        <v/>
      </c>
      <c r="B3541" s="14">
        <f>IF(F3541&lt;&gt;"","错误","")</f>
        <v/>
      </c>
      <c r="C3541" s="14">
        <f>IF('09_连续性验收'!A41&lt;&gt;"","09_连续性验收","")</f>
        <v/>
      </c>
      <c r="D3541" s="14">
        <f>IF('09_连续性验收'!A41&lt;&gt;"",'09_连续性验收'!A41,"")</f>
        <v/>
      </c>
      <c r="E3541" s="14">
        <f>IF(F3541&lt;&gt;"","综合校验","")</f>
        <v/>
      </c>
      <c r="F3541" s="14">
        <f>IF('09_连续性验收'!A41&lt;&gt;"",IF('09_连续性验收'!A41="","缺少验收ID；","")&amp;IF('09_连续性验收'!B41="","缺少对象ID；","")&amp;IF('09_连续性验收'!C41="","缺少检查类型；","")&amp;IF(AND('09_连续性验收'!J41&lt;&gt;"",'09_连续性验收'!K41&lt;&gt;"",'09_连续性验收'!J41&gt;'09_连续性验收'!K41),"坐标偏差超标；","")&amp;IF(AND('09_连续性验收'!B41&lt;&gt;"",COUNTIF('02_固定地理'!$A$2:$A$501,'09_连续性验收'!B41)+COUNTIF('03_地点锚点'!$A$2:$A$501,'09_连续性验收'!B41)+COUNTIF('04_路径网络'!$A$2:$A$501,'09_连续性验收'!B41)+COUNTIF('06_建筑锚点'!$A$2:$A$501,'09_连续性验收'!B41)=0),"验收对象不存在；","")&amp;IF(AND('09_连续性验收'!A41&lt;&gt;"",COUNTIF('09_连续性验收'!$A$2:$A$501,'09_连续性验收'!A41)&gt;1),"ID重复；",""),"")</f>
        <v/>
      </c>
      <c r="G3541" s="14">
        <f>IF(F3541&lt;&gt;"","按字段批注、数据字典和来源记录修正后复核","")</f>
        <v/>
      </c>
      <c r="H3541" s="14">
        <f>IF(F3541&lt;&gt;"","待处理","")</f>
        <v/>
      </c>
    </row>
    <row r="3542">
      <c r="A3542" s="14">
        <f>IF(F3542&lt;&gt;"","ISSUE-"&amp;TEXT(ROW()-1,"00000"),"")</f>
        <v/>
      </c>
      <c r="B3542" s="14">
        <f>IF(F3542&lt;&gt;"","错误","")</f>
        <v/>
      </c>
      <c r="C3542" s="14">
        <f>IF('09_连续性验收'!A42&lt;&gt;"","09_连续性验收","")</f>
        <v/>
      </c>
      <c r="D3542" s="14">
        <f>IF('09_连续性验收'!A42&lt;&gt;"",'09_连续性验收'!A42,"")</f>
        <v/>
      </c>
      <c r="E3542" s="14">
        <f>IF(F3542&lt;&gt;"","综合校验","")</f>
        <v/>
      </c>
      <c r="F3542" s="14">
        <f>IF('09_连续性验收'!A42&lt;&gt;"",IF('09_连续性验收'!A42="","缺少验收ID；","")&amp;IF('09_连续性验收'!B42="","缺少对象ID；","")&amp;IF('09_连续性验收'!C42="","缺少检查类型；","")&amp;IF(AND('09_连续性验收'!J42&lt;&gt;"",'09_连续性验收'!K42&lt;&gt;"",'09_连续性验收'!J42&gt;'09_连续性验收'!K42),"坐标偏差超标；","")&amp;IF(AND('09_连续性验收'!B42&lt;&gt;"",COUNTIF('02_固定地理'!$A$2:$A$501,'09_连续性验收'!B42)+COUNTIF('03_地点锚点'!$A$2:$A$501,'09_连续性验收'!B42)+COUNTIF('04_路径网络'!$A$2:$A$501,'09_连续性验收'!B42)+COUNTIF('06_建筑锚点'!$A$2:$A$501,'09_连续性验收'!B42)=0),"验收对象不存在；","")&amp;IF(AND('09_连续性验收'!A42&lt;&gt;"",COUNTIF('09_连续性验收'!$A$2:$A$501,'09_连续性验收'!A42)&gt;1),"ID重复；",""),"")</f>
        <v/>
      </c>
      <c r="G3542" s="14">
        <f>IF(F3542&lt;&gt;"","按字段批注、数据字典和来源记录修正后复核","")</f>
        <v/>
      </c>
      <c r="H3542" s="14">
        <f>IF(F3542&lt;&gt;"","待处理","")</f>
        <v/>
      </c>
    </row>
    <row r="3543">
      <c r="A3543" s="14">
        <f>IF(F3543&lt;&gt;"","ISSUE-"&amp;TEXT(ROW()-1,"00000"),"")</f>
        <v/>
      </c>
      <c r="B3543" s="14">
        <f>IF(F3543&lt;&gt;"","错误","")</f>
        <v/>
      </c>
      <c r="C3543" s="14">
        <f>IF('09_连续性验收'!A43&lt;&gt;"","09_连续性验收","")</f>
        <v/>
      </c>
      <c r="D3543" s="14">
        <f>IF('09_连续性验收'!A43&lt;&gt;"",'09_连续性验收'!A43,"")</f>
        <v/>
      </c>
      <c r="E3543" s="14">
        <f>IF(F3543&lt;&gt;"","综合校验","")</f>
        <v/>
      </c>
      <c r="F3543" s="14">
        <f>IF('09_连续性验收'!A43&lt;&gt;"",IF('09_连续性验收'!A43="","缺少验收ID；","")&amp;IF('09_连续性验收'!B43="","缺少对象ID；","")&amp;IF('09_连续性验收'!C43="","缺少检查类型；","")&amp;IF(AND('09_连续性验收'!J43&lt;&gt;"",'09_连续性验收'!K43&lt;&gt;"",'09_连续性验收'!J43&gt;'09_连续性验收'!K43),"坐标偏差超标；","")&amp;IF(AND('09_连续性验收'!B43&lt;&gt;"",COUNTIF('02_固定地理'!$A$2:$A$501,'09_连续性验收'!B43)+COUNTIF('03_地点锚点'!$A$2:$A$501,'09_连续性验收'!B43)+COUNTIF('04_路径网络'!$A$2:$A$501,'09_连续性验收'!B43)+COUNTIF('06_建筑锚点'!$A$2:$A$501,'09_连续性验收'!B43)=0),"验收对象不存在；","")&amp;IF(AND('09_连续性验收'!A43&lt;&gt;"",COUNTIF('09_连续性验收'!$A$2:$A$501,'09_连续性验收'!A43)&gt;1),"ID重复；",""),"")</f>
        <v/>
      </c>
      <c r="G3543" s="14">
        <f>IF(F3543&lt;&gt;"","按字段批注、数据字典和来源记录修正后复核","")</f>
        <v/>
      </c>
      <c r="H3543" s="14">
        <f>IF(F3543&lt;&gt;"","待处理","")</f>
        <v/>
      </c>
    </row>
    <row r="3544">
      <c r="A3544" s="14">
        <f>IF(F3544&lt;&gt;"","ISSUE-"&amp;TEXT(ROW()-1,"00000"),"")</f>
        <v/>
      </c>
      <c r="B3544" s="14">
        <f>IF(F3544&lt;&gt;"","错误","")</f>
        <v/>
      </c>
      <c r="C3544" s="14">
        <f>IF('09_连续性验收'!A44&lt;&gt;"","09_连续性验收","")</f>
        <v/>
      </c>
      <c r="D3544" s="14">
        <f>IF('09_连续性验收'!A44&lt;&gt;"",'09_连续性验收'!A44,"")</f>
        <v/>
      </c>
      <c r="E3544" s="14">
        <f>IF(F3544&lt;&gt;"","综合校验","")</f>
        <v/>
      </c>
      <c r="F3544" s="14">
        <f>IF('09_连续性验收'!A44&lt;&gt;"",IF('09_连续性验收'!A44="","缺少验收ID；","")&amp;IF('09_连续性验收'!B44="","缺少对象ID；","")&amp;IF('09_连续性验收'!C44="","缺少检查类型；","")&amp;IF(AND('09_连续性验收'!J44&lt;&gt;"",'09_连续性验收'!K44&lt;&gt;"",'09_连续性验收'!J44&gt;'09_连续性验收'!K44),"坐标偏差超标；","")&amp;IF(AND('09_连续性验收'!B44&lt;&gt;"",COUNTIF('02_固定地理'!$A$2:$A$501,'09_连续性验收'!B44)+COUNTIF('03_地点锚点'!$A$2:$A$501,'09_连续性验收'!B44)+COUNTIF('04_路径网络'!$A$2:$A$501,'09_连续性验收'!B44)+COUNTIF('06_建筑锚点'!$A$2:$A$501,'09_连续性验收'!B44)=0),"验收对象不存在；","")&amp;IF(AND('09_连续性验收'!A44&lt;&gt;"",COUNTIF('09_连续性验收'!$A$2:$A$501,'09_连续性验收'!A44)&gt;1),"ID重复；",""),"")</f>
        <v/>
      </c>
      <c r="G3544" s="14">
        <f>IF(F3544&lt;&gt;"","按字段批注、数据字典和来源记录修正后复核","")</f>
        <v/>
      </c>
      <c r="H3544" s="14">
        <f>IF(F3544&lt;&gt;"","待处理","")</f>
        <v/>
      </c>
    </row>
    <row r="3545">
      <c r="A3545" s="14">
        <f>IF(F3545&lt;&gt;"","ISSUE-"&amp;TEXT(ROW()-1,"00000"),"")</f>
        <v/>
      </c>
      <c r="B3545" s="14">
        <f>IF(F3545&lt;&gt;"","错误","")</f>
        <v/>
      </c>
      <c r="C3545" s="14">
        <f>IF('09_连续性验收'!A45&lt;&gt;"","09_连续性验收","")</f>
        <v/>
      </c>
      <c r="D3545" s="14">
        <f>IF('09_连续性验收'!A45&lt;&gt;"",'09_连续性验收'!A45,"")</f>
        <v/>
      </c>
      <c r="E3545" s="14">
        <f>IF(F3545&lt;&gt;"","综合校验","")</f>
        <v/>
      </c>
      <c r="F3545" s="14">
        <f>IF('09_连续性验收'!A45&lt;&gt;"",IF('09_连续性验收'!A45="","缺少验收ID；","")&amp;IF('09_连续性验收'!B45="","缺少对象ID；","")&amp;IF('09_连续性验收'!C45="","缺少检查类型；","")&amp;IF(AND('09_连续性验收'!J45&lt;&gt;"",'09_连续性验收'!K45&lt;&gt;"",'09_连续性验收'!J45&gt;'09_连续性验收'!K45),"坐标偏差超标；","")&amp;IF(AND('09_连续性验收'!B45&lt;&gt;"",COUNTIF('02_固定地理'!$A$2:$A$501,'09_连续性验收'!B45)+COUNTIF('03_地点锚点'!$A$2:$A$501,'09_连续性验收'!B45)+COUNTIF('04_路径网络'!$A$2:$A$501,'09_连续性验收'!B45)+COUNTIF('06_建筑锚点'!$A$2:$A$501,'09_连续性验收'!B45)=0),"验收对象不存在；","")&amp;IF(AND('09_连续性验收'!A45&lt;&gt;"",COUNTIF('09_连续性验收'!$A$2:$A$501,'09_连续性验收'!A45)&gt;1),"ID重复；",""),"")</f>
        <v/>
      </c>
      <c r="G3545" s="14">
        <f>IF(F3545&lt;&gt;"","按字段批注、数据字典和来源记录修正后复核","")</f>
        <v/>
      </c>
      <c r="H3545" s="14">
        <f>IF(F3545&lt;&gt;"","待处理","")</f>
        <v/>
      </c>
    </row>
    <row r="3546">
      <c r="A3546" s="14">
        <f>IF(F3546&lt;&gt;"","ISSUE-"&amp;TEXT(ROW()-1,"00000"),"")</f>
        <v/>
      </c>
      <c r="B3546" s="14">
        <f>IF(F3546&lt;&gt;"","错误","")</f>
        <v/>
      </c>
      <c r="C3546" s="14">
        <f>IF('09_连续性验收'!A46&lt;&gt;"","09_连续性验收","")</f>
        <v/>
      </c>
      <c r="D3546" s="14">
        <f>IF('09_连续性验收'!A46&lt;&gt;"",'09_连续性验收'!A46,"")</f>
        <v/>
      </c>
      <c r="E3546" s="14">
        <f>IF(F3546&lt;&gt;"","综合校验","")</f>
        <v/>
      </c>
      <c r="F3546" s="14">
        <f>IF('09_连续性验收'!A46&lt;&gt;"",IF('09_连续性验收'!A46="","缺少验收ID；","")&amp;IF('09_连续性验收'!B46="","缺少对象ID；","")&amp;IF('09_连续性验收'!C46="","缺少检查类型；","")&amp;IF(AND('09_连续性验收'!J46&lt;&gt;"",'09_连续性验收'!K46&lt;&gt;"",'09_连续性验收'!J46&gt;'09_连续性验收'!K46),"坐标偏差超标；","")&amp;IF(AND('09_连续性验收'!B46&lt;&gt;"",COUNTIF('02_固定地理'!$A$2:$A$501,'09_连续性验收'!B46)+COUNTIF('03_地点锚点'!$A$2:$A$501,'09_连续性验收'!B46)+COUNTIF('04_路径网络'!$A$2:$A$501,'09_连续性验收'!B46)+COUNTIF('06_建筑锚点'!$A$2:$A$501,'09_连续性验收'!B46)=0),"验收对象不存在；","")&amp;IF(AND('09_连续性验收'!A46&lt;&gt;"",COUNTIF('09_连续性验收'!$A$2:$A$501,'09_连续性验收'!A46)&gt;1),"ID重复；",""),"")</f>
        <v/>
      </c>
      <c r="G3546" s="14">
        <f>IF(F3546&lt;&gt;"","按字段批注、数据字典和来源记录修正后复核","")</f>
        <v/>
      </c>
      <c r="H3546" s="14">
        <f>IF(F3546&lt;&gt;"","待处理","")</f>
        <v/>
      </c>
    </row>
    <row r="3547">
      <c r="A3547" s="14">
        <f>IF(F3547&lt;&gt;"","ISSUE-"&amp;TEXT(ROW()-1,"00000"),"")</f>
        <v/>
      </c>
      <c r="B3547" s="14">
        <f>IF(F3547&lt;&gt;"","错误","")</f>
        <v/>
      </c>
      <c r="C3547" s="14">
        <f>IF('09_连续性验收'!A47&lt;&gt;"","09_连续性验收","")</f>
        <v/>
      </c>
      <c r="D3547" s="14">
        <f>IF('09_连续性验收'!A47&lt;&gt;"",'09_连续性验收'!A47,"")</f>
        <v/>
      </c>
      <c r="E3547" s="14">
        <f>IF(F3547&lt;&gt;"","综合校验","")</f>
        <v/>
      </c>
      <c r="F3547" s="14">
        <f>IF('09_连续性验收'!A47&lt;&gt;"",IF('09_连续性验收'!A47="","缺少验收ID；","")&amp;IF('09_连续性验收'!B47="","缺少对象ID；","")&amp;IF('09_连续性验收'!C47="","缺少检查类型；","")&amp;IF(AND('09_连续性验收'!J47&lt;&gt;"",'09_连续性验收'!K47&lt;&gt;"",'09_连续性验收'!J47&gt;'09_连续性验收'!K47),"坐标偏差超标；","")&amp;IF(AND('09_连续性验收'!B47&lt;&gt;"",COUNTIF('02_固定地理'!$A$2:$A$501,'09_连续性验收'!B47)+COUNTIF('03_地点锚点'!$A$2:$A$501,'09_连续性验收'!B47)+COUNTIF('04_路径网络'!$A$2:$A$501,'09_连续性验收'!B47)+COUNTIF('06_建筑锚点'!$A$2:$A$501,'09_连续性验收'!B47)=0),"验收对象不存在；","")&amp;IF(AND('09_连续性验收'!A47&lt;&gt;"",COUNTIF('09_连续性验收'!$A$2:$A$501,'09_连续性验收'!A47)&gt;1),"ID重复；",""),"")</f>
        <v/>
      </c>
      <c r="G3547" s="14">
        <f>IF(F3547&lt;&gt;"","按字段批注、数据字典和来源记录修正后复核","")</f>
        <v/>
      </c>
      <c r="H3547" s="14">
        <f>IF(F3547&lt;&gt;"","待处理","")</f>
        <v/>
      </c>
    </row>
    <row r="3548">
      <c r="A3548" s="14">
        <f>IF(F3548&lt;&gt;"","ISSUE-"&amp;TEXT(ROW()-1,"00000"),"")</f>
        <v/>
      </c>
      <c r="B3548" s="14">
        <f>IF(F3548&lt;&gt;"","错误","")</f>
        <v/>
      </c>
      <c r="C3548" s="14">
        <f>IF('09_连续性验收'!A48&lt;&gt;"","09_连续性验收","")</f>
        <v/>
      </c>
      <c r="D3548" s="14">
        <f>IF('09_连续性验收'!A48&lt;&gt;"",'09_连续性验收'!A48,"")</f>
        <v/>
      </c>
      <c r="E3548" s="14">
        <f>IF(F3548&lt;&gt;"","综合校验","")</f>
        <v/>
      </c>
      <c r="F3548" s="14">
        <f>IF('09_连续性验收'!A48&lt;&gt;"",IF('09_连续性验收'!A48="","缺少验收ID；","")&amp;IF('09_连续性验收'!B48="","缺少对象ID；","")&amp;IF('09_连续性验收'!C48="","缺少检查类型；","")&amp;IF(AND('09_连续性验收'!J48&lt;&gt;"",'09_连续性验收'!K48&lt;&gt;"",'09_连续性验收'!J48&gt;'09_连续性验收'!K48),"坐标偏差超标；","")&amp;IF(AND('09_连续性验收'!B48&lt;&gt;"",COUNTIF('02_固定地理'!$A$2:$A$501,'09_连续性验收'!B48)+COUNTIF('03_地点锚点'!$A$2:$A$501,'09_连续性验收'!B48)+COUNTIF('04_路径网络'!$A$2:$A$501,'09_连续性验收'!B48)+COUNTIF('06_建筑锚点'!$A$2:$A$501,'09_连续性验收'!B48)=0),"验收对象不存在；","")&amp;IF(AND('09_连续性验收'!A48&lt;&gt;"",COUNTIF('09_连续性验收'!$A$2:$A$501,'09_连续性验收'!A48)&gt;1),"ID重复；",""),"")</f>
        <v/>
      </c>
      <c r="G3548" s="14">
        <f>IF(F3548&lt;&gt;"","按字段批注、数据字典和来源记录修正后复核","")</f>
        <v/>
      </c>
      <c r="H3548" s="14">
        <f>IF(F3548&lt;&gt;"","待处理","")</f>
        <v/>
      </c>
    </row>
    <row r="3549">
      <c r="A3549" s="14">
        <f>IF(F3549&lt;&gt;"","ISSUE-"&amp;TEXT(ROW()-1,"00000"),"")</f>
        <v/>
      </c>
      <c r="B3549" s="14">
        <f>IF(F3549&lt;&gt;"","错误","")</f>
        <v/>
      </c>
      <c r="C3549" s="14">
        <f>IF('09_连续性验收'!A49&lt;&gt;"","09_连续性验收","")</f>
        <v/>
      </c>
      <c r="D3549" s="14">
        <f>IF('09_连续性验收'!A49&lt;&gt;"",'09_连续性验收'!A49,"")</f>
        <v/>
      </c>
      <c r="E3549" s="14">
        <f>IF(F3549&lt;&gt;"","综合校验","")</f>
        <v/>
      </c>
      <c r="F3549" s="14">
        <f>IF('09_连续性验收'!A49&lt;&gt;"",IF('09_连续性验收'!A49="","缺少验收ID；","")&amp;IF('09_连续性验收'!B49="","缺少对象ID；","")&amp;IF('09_连续性验收'!C49="","缺少检查类型；","")&amp;IF(AND('09_连续性验收'!J49&lt;&gt;"",'09_连续性验收'!K49&lt;&gt;"",'09_连续性验收'!J49&gt;'09_连续性验收'!K49),"坐标偏差超标；","")&amp;IF(AND('09_连续性验收'!B49&lt;&gt;"",COUNTIF('02_固定地理'!$A$2:$A$501,'09_连续性验收'!B49)+COUNTIF('03_地点锚点'!$A$2:$A$501,'09_连续性验收'!B49)+COUNTIF('04_路径网络'!$A$2:$A$501,'09_连续性验收'!B49)+COUNTIF('06_建筑锚点'!$A$2:$A$501,'09_连续性验收'!B49)=0),"验收对象不存在；","")&amp;IF(AND('09_连续性验收'!A49&lt;&gt;"",COUNTIF('09_连续性验收'!$A$2:$A$501,'09_连续性验收'!A49)&gt;1),"ID重复；",""),"")</f>
        <v/>
      </c>
      <c r="G3549" s="14">
        <f>IF(F3549&lt;&gt;"","按字段批注、数据字典和来源记录修正后复核","")</f>
        <v/>
      </c>
      <c r="H3549" s="14">
        <f>IF(F3549&lt;&gt;"","待处理","")</f>
        <v/>
      </c>
    </row>
    <row r="3550">
      <c r="A3550" s="14">
        <f>IF(F3550&lt;&gt;"","ISSUE-"&amp;TEXT(ROW()-1,"00000"),"")</f>
        <v/>
      </c>
      <c r="B3550" s="14">
        <f>IF(F3550&lt;&gt;"","错误","")</f>
        <v/>
      </c>
      <c r="C3550" s="14">
        <f>IF('09_连续性验收'!A50&lt;&gt;"","09_连续性验收","")</f>
        <v/>
      </c>
      <c r="D3550" s="14">
        <f>IF('09_连续性验收'!A50&lt;&gt;"",'09_连续性验收'!A50,"")</f>
        <v/>
      </c>
      <c r="E3550" s="14">
        <f>IF(F3550&lt;&gt;"","综合校验","")</f>
        <v/>
      </c>
      <c r="F3550" s="14">
        <f>IF('09_连续性验收'!A50&lt;&gt;"",IF('09_连续性验收'!A50="","缺少验收ID；","")&amp;IF('09_连续性验收'!B50="","缺少对象ID；","")&amp;IF('09_连续性验收'!C50="","缺少检查类型；","")&amp;IF(AND('09_连续性验收'!J50&lt;&gt;"",'09_连续性验收'!K50&lt;&gt;"",'09_连续性验收'!J50&gt;'09_连续性验收'!K50),"坐标偏差超标；","")&amp;IF(AND('09_连续性验收'!B50&lt;&gt;"",COUNTIF('02_固定地理'!$A$2:$A$501,'09_连续性验收'!B50)+COUNTIF('03_地点锚点'!$A$2:$A$501,'09_连续性验收'!B50)+COUNTIF('04_路径网络'!$A$2:$A$501,'09_连续性验收'!B50)+COUNTIF('06_建筑锚点'!$A$2:$A$501,'09_连续性验收'!B50)=0),"验收对象不存在；","")&amp;IF(AND('09_连续性验收'!A50&lt;&gt;"",COUNTIF('09_连续性验收'!$A$2:$A$501,'09_连续性验收'!A50)&gt;1),"ID重复；",""),"")</f>
        <v/>
      </c>
      <c r="G3550" s="14">
        <f>IF(F3550&lt;&gt;"","按字段批注、数据字典和来源记录修正后复核","")</f>
        <v/>
      </c>
      <c r="H3550" s="14">
        <f>IF(F3550&lt;&gt;"","待处理","")</f>
        <v/>
      </c>
    </row>
    <row r="3551">
      <c r="A3551" s="14">
        <f>IF(F3551&lt;&gt;"","ISSUE-"&amp;TEXT(ROW()-1,"00000"),"")</f>
        <v/>
      </c>
      <c r="B3551" s="14">
        <f>IF(F3551&lt;&gt;"","错误","")</f>
        <v/>
      </c>
      <c r="C3551" s="14">
        <f>IF('09_连续性验收'!A51&lt;&gt;"","09_连续性验收","")</f>
        <v/>
      </c>
      <c r="D3551" s="14">
        <f>IF('09_连续性验收'!A51&lt;&gt;"",'09_连续性验收'!A51,"")</f>
        <v/>
      </c>
      <c r="E3551" s="14">
        <f>IF(F3551&lt;&gt;"","综合校验","")</f>
        <v/>
      </c>
      <c r="F3551" s="14">
        <f>IF('09_连续性验收'!A51&lt;&gt;"",IF('09_连续性验收'!A51="","缺少验收ID；","")&amp;IF('09_连续性验收'!B51="","缺少对象ID；","")&amp;IF('09_连续性验收'!C51="","缺少检查类型；","")&amp;IF(AND('09_连续性验收'!J51&lt;&gt;"",'09_连续性验收'!K51&lt;&gt;"",'09_连续性验收'!J51&gt;'09_连续性验收'!K51),"坐标偏差超标；","")&amp;IF(AND('09_连续性验收'!B51&lt;&gt;"",COUNTIF('02_固定地理'!$A$2:$A$501,'09_连续性验收'!B51)+COUNTIF('03_地点锚点'!$A$2:$A$501,'09_连续性验收'!B51)+COUNTIF('04_路径网络'!$A$2:$A$501,'09_连续性验收'!B51)+COUNTIF('06_建筑锚点'!$A$2:$A$501,'09_连续性验收'!B51)=0),"验收对象不存在；","")&amp;IF(AND('09_连续性验收'!A51&lt;&gt;"",COUNTIF('09_连续性验收'!$A$2:$A$501,'09_连续性验收'!A51)&gt;1),"ID重复；",""),"")</f>
        <v/>
      </c>
      <c r="G3551" s="14">
        <f>IF(F3551&lt;&gt;"","按字段批注、数据字典和来源记录修正后复核","")</f>
        <v/>
      </c>
      <c r="H3551" s="14">
        <f>IF(F3551&lt;&gt;"","待处理","")</f>
        <v/>
      </c>
    </row>
    <row r="3552">
      <c r="A3552" s="14">
        <f>IF(F3552&lt;&gt;"","ISSUE-"&amp;TEXT(ROW()-1,"00000"),"")</f>
        <v/>
      </c>
      <c r="B3552" s="14">
        <f>IF(F3552&lt;&gt;"","错误","")</f>
        <v/>
      </c>
      <c r="C3552" s="14">
        <f>IF('09_连续性验收'!A52&lt;&gt;"","09_连续性验收","")</f>
        <v/>
      </c>
      <c r="D3552" s="14">
        <f>IF('09_连续性验收'!A52&lt;&gt;"",'09_连续性验收'!A52,"")</f>
        <v/>
      </c>
      <c r="E3552" s="14">
        <f>IF(F3552&lt;&gt;"","综合校验","")</f>
        <v/>
      </c>
      <c r="F3552" s="14">
        <f>IF('09_连续性验收'!A52&lt;&gt;"",IF('09_连续性验收'!A52="","缺少验收ID；","")&amp;IF('09_连续性验收'!B52="","缺少对象ID；","")&amp;IF('09_连续性验收'!C52="","缺少检查类型；","")&amp;IF(AND('09_连续性验收'!J52&lt;&gt;"",'09_连续性验收'!K52&lt;&gt;"",'09_连续性验收'!J52&gt;'09_连续性验收'!K52),"坐标偏差超标；","")&amp;IF(AND('09_连续性验收'!B52&lt;&gt;"",COUNTIF('02_固定地理'!$A$2:$A$501,'09_连续性验收'!B52)+COUNTIF('03_地点锚点'!$A$2:$A$501,'09_连续性验收'!B52)+COUNTIF('04_路径网络'!$A$2:$A$501,'09_连续性验收'!B52)+COUNTIF('06_建筑锚点'!$A$2:$A$501,'09_连续性验收'!B52)=0),"验收对象不存在；","")&amp;IF(AND('09_连续性验收'!A52&lt;&gt;"",COUNTIF('09_连续性验收'!$A$2:$A$501,'09_连续性验收'!A52)&gt;1),"ID重复；",""),"")</f>
        <v/>
      </c>
      <c r="G3552" s="14">
        <f>IF(F3552&lt;&gt;"","按字段批注、数据字典和来源记录修正后复核","")</f>
        <v/>
      </c>
      <c r="H3552" s="14">
        <f>IF(F3552&lt;&gt;"","待处理","")</f>
        <v/>
      </c>
    </row>
    <row r="3553">
      <c r="A3553" s="14">
        <f>IF(F3553&lt;&gt;"","ISSUE-"&amp;TEXT(ROW()-1,"00000"),"")</f>
        <v/>
      </c>
      <c r="B3553" s="14">
        <f>IF(F3553&lt;&gt;"","错误","")</f>
        <v/>
      </c>
      <c r="C3553" s="14">
        <f>IF('09_连续性验收'!A53&lt;&gt;"","09_连续性验收","")</f>
        <v/>
      </c>
      <c r="D3553" s="14">
        <f>IF('09_连续性验收'!A53&lt;&gt;"",'09_连续性验收'!A53,"")</f>
        <v/>
      </c>
      <c r="E3553" s="14">
        <f>IF(F3553&lt;&gt;"","综合校验","")</f>
        <v/>
      </c>
      <c r="F3553" s="14">
        <f>IF('09_连续性验收'!A53&lt;&gt;"",IF('09_连续性验收'!A53="","缺少验收ID；","")&amp;IF('09_连续性验收'!B53="","缺少对象ID；","")&amp;IF('09_连续性验收'!C53="","缺少检查类型；","")&amp;IF(AND('09_连续性验收'!J53&lt;&gt;"",'09_连续性验收'!K53&lt;&gt;"",'09_连续性验收'!J53&gt;'09_连续性验收'!K53),"坐标偏差超标；","")&amp;IF(AND('09_连续性验收'!B53&lt;&gt;"",COUNTIF('02_固定地理'!$A$2:$A$501,'09_连续性验收'!B53)+COUNTIF('03_地点锚点'!$A$2:$A$501,'09_连续性验收'!B53)+COUNTIF('04_路径网络'!$A$2:$A$501,'09_连续性验收'!B53)+COUNTIF('06_建筑锚点'!$A$2:$A$501,'09_连续性验收'!B53)=0),"验收对象不存在；","")&amp;IF(AND('09_连续性验收'!A53&lt;&gt;"",COUNTIF('09_连续性验收'!$A$2:$A$501,'09_连续性验收'!A53)&gt;1),"ID重复；",""),"")</f>
        <v/>
      </c>
      <c r="G3553" s="14">
        <f>IF(F3553&lt;&gt;"","按字段批注、数据字典和来源记录修正后复核","")</f>
        <v/>
      </c>
      <c r="H3553" s="14">
        <f>IF(F3553&lt;&gt;"","待处理","")</f>
        <v/>
      </c>
    </row>
    <row r="3554">
      <c r="A3554" s="14">
        <f>IF(F3554&lt;&gt;"","ISSUE-"&amp;TEXT(ROW()-1,"00000"),"")</f>
        <v/>
      </c>
      <c r="B3554" s="14">
        <f>IF(F3554&lt;&gt;"","错误","")</f>
        <v/>
      </c>
      <c r="C3554" s="14">
        <f>IF('09_连续性验收'!A54&lt;&gt;"","09_连续性验收","")</f>
        <v/>
      </c>
      <c r="D3554" s="14">
        <f>IF('09_连续性验收'!A54&lt;&gt;"",'09_连续性验收'!A54,"")</f>
        <v/>
      </c>
      <c r="E3554" s="14">
        <f>IF(F3554&lt;&gt;"","综合校验","")</f>
        <v/>
      </c>
      <c r="F3554" s="14">
        <f>IF('09_连续性验收'!A54&lt;&gt;"",IF('09_连续性验收'!A54="","缺少验收ID；","")&amp;IF('09_连续性验收'!B54="","缺少对象ID；","")&amp;IF('09_连续性验收'!C54="","缺少检查类型；","")&amp;IF(AND('09_连续性验收'!J54&lt;&gt;"",'09_连续性验收'!K54&lt;&gt;"",'09_连续性验收'!J54&gt;'09_连续性验收'!K54),"坐标偏差超标；","")&amp;IF(AND('09_连续性验收'!B54&lt;&gt;"",COUNTIF('02_固定地理'!$A$2:$A$501,'09_连续性验收'!B54)+COUNTIF('03_地点锚点'!$A$2:$A$501,'09_连续性验收'!B54)+COUNTIF('04_路径网络'!$A$2:$A$501,'09_连续性验收'!B54)+COUNTIF('06_建筑锚点'!$A$2:$A$501,'09_连续性验收'!B54)=0),"验收对象不存在；","")&amp;IF(AND('09_连续性验收'!A54&lt;&gt;"",COUNTIF('09_连续性验收'!$A$2:$A$501,'09_连续性验收'!A54)&gt;1),"ID重复；",""),"")</f>
        <v/>
      </c>
      <c r="G3554" s="14">
        <f>IF(F3554&lt;&gt;"","按字段批注、数据字典和来源记录修正后复核","")</f>
        <v/>
      </c>
      <c r="H3554" s="14">
        <f>IF(F3554&lt;&gt;"","待处理","")</f>
        <v/>
      </c>
    </row>
    <row r="3555">
      <c r="A3555" s="14">
        <f>IF(F3555&lt;&gt;"","ISSUE-"&amp;TEXT(ROW()-1,"00000"),"")</f>
        <v/>
      </c>
      <c r="B3555" s="14">
        <f>IF(F3555&lt;&gt;"","错误","")</f>
        <v/>
      </c>
      <c r="C3555" s="14">
        <f>IF('09_连续性验收'!A55&lt;&gt;"","09_连续性验收","")</f>
        <v/>
      </c>
      <c r="D3555" s="14">
        <f>IF('09_连续性验收'!A55&lt;&gt;"",'09_连续性验收'!A55,"")</f>
        <v/>
      </c>
      <c r="E3555" s="14">
        <f>IF(F3555&lt;&gt;"","综合校验","")</f>
        <v/>
      </c>
      <c r="F3555" s="14">
        <f>IF('09_连续性验收'!A55&lt;&gt;"",IF('09_连续性验收'!A55="","缺少验收ID；","")&amp;IF('09_连续性验收'!B55="","缺少对象ID；","")&amp;IF('09_连续性验收'!C55="","缺少检查类型；","")&amp;IF(AND('09_连续性验收'!J55&lt;&gt;"",'09_连续性验收'!K55&lt;&gt;"",'09_连续性验收'!J55&gt;'09_连续性验收'!K55),"坐标偏差超标；","")&amp;IF(AND('09_连续性验收'!B55&lt;&gt;"",COUNTIF('02_固定地理'!$A$2:$A$501,'09_连续性验收'!B55)+COUNTIF('03_地点锚点'!$A$2:$A$501,'09_连续性验收'!B55)+COUNTIF('04_路径网络'!$A$2:$A$501,'09_连续性验收'!B55)+COUNTIF('06_建筑锚点'!$A$2:$A$501,'09_连续性验收'!B55)=0),"验收对象不存在；","")&amp;IF(AND('09_连续性验收'!A55&lt;&gt;"",COUNTIF('09_连续性验收'!$A$2:$A$501,'09_连续性验收'!A55)&gt;1),"ID重复；",""),"")</f>
        <v/>
      </c>
      <c r="G3555" s="14">
        <f>IF(F3555&lt;&gt;"","按字段批注、数据字典和来源记录修正后复核","")</f>
        <v/>
      </c>
      <c r="H3555" s="14">
        <f>IF(F3555&lt;&gt;"","待处理","")</f>
        <v/>
      </c>
    </row>
    <row r="3556">
      <c r="A3556" s="14">
        <f>IF(F3556&lt;&gt;"","ISSUE-"&amp;TEXT(ROW()-1,"00000"),"")</f>
        <v/>
      </c>
      <c r="B3556" s="14">
        <f>IF(F3556&lt;&gt;"","错误","")</f>
        <v/>
      </c>
      <c r="C3556" s="14">
        <f>IF('09_连续性验收'!A56&lt;&gt;"","09_连续性验收","")</f>
        <v/>
      </c>
      <c r="D3556" s="14">
        <f>IF('09_连续性验收'!A56&lt;&gt;"",'09_连续性验收'!A56,"")</f>
        <v/>
      </c>
      <c r="E3556" s="14">
        <f>IF(F3556&lt;&gt;"","综合校验","")</f>
        <v/>
      </c>
      <c r="F3556" s="14">
        <f>IF('09_连续性验收'!A56&lt;&gt;"",IF('09_连续性验收'!A56="","缺少验收ID；","")&amp;IF('09_连续性验收'!B56="","缺少对象ID；","")&amp;IF('09_连续性验收'!C56="","缺少检查类型；","")&amp;IF(AND('09_连续性验收'!J56&lt;&gt;"",'09_连续性验收'!K56&lt;&gt;"",'09_连续性验收'!J56&gt;'09_连续性验收'!K56),"坐标偏差超标；","")&amp;IF(AND('09_连续性验收'!B56&lt;&gt;"",COUNTIF('02_固定地理'!$A$2:$A$501,'09_连续性验收'!B56)+COUNTIF('03_地点锚点'!$A$2:$A$501,'09_连续性验收'!B56)+COUNTIF('04_路径网络'!$A$2:$A$501,'09_连续性验收'!B56)+COUNTIF('06_建筑锚点'!$A$2:$A$501,'09_连续性验收'!B56)=0),"验收对象不存在；","")&amp;IF(AND('09_连续性验收'!A56&lt;&gt;"",COUNTIF('09_连续性验收'!$A$2:$A$501,'09_连续性验收'!A56)&gt;1),"ID重复；",""),"")</f>
        <v/>
      </c>
      <c r="G3556" s="14">
        <f>IF(F3556&lt;&gt;"","按字段批注、数据字典和来源记录修正后复核","")</f>
        <v/>
      </c>
      <c r="H3556" s="14">
        <f>IF(F3556&lt;&gt;"","待处理","")</f>
        <v/>
      </c>
    </row>
    <row r="3557">
      <c r="A3557" s="14">
        <f>IF(F3557&lt;&gt;"","ISSUE-"&amp;TEXT(ROW()-1,"00000"),"")</f>
        <v/>
      </c>
      <c r="B3557" s="14">
        <f>IF(F3557&lt;&gt;"","错误","")</f>
        <v/>
      </c>
      <c r="C3557" s="14">
        <f>IF('09_连续性验收'!A57&lt;&gt;"","09_连续性验收","")</f>
        <v/>
      </c>
      <c r="D3557" s="14">
        <f>IF('09_连续性验收'!A57&lt;&gt;"",'09_连续性验收'!A57,"")</f>
        <v/>
      </c>
      <c r="E3557" s="14">
        <f>IF(F3557&lt;&gt;"","综合校验","")</f>
        <v/>
      </c>
      <c r="F3557" s="14">
        <f>IF('09_连续性验收'!A57&lt;&gt;"",IF('09_连续性验收'!A57="","缺少验收ID；","")&amp;IF('09_连续性验收'!B57="","缺少对象ID；","")&amp;IF('09_连续性验收'!C57="","缺少检查类型；","")&amp;IF(AND('09_连续性验收'!J57&lt;&gt;"",'09_连续性验收'!K57&lt;&gt;"",'09_连续性验收'!J57&gt;'09_连续性验收'!K57),"坐标偏差超标；","")&amp;IF(AND('09_连续性验收'!B57&lt;&gt;"",COUNTIF('02_固定地理'!$A$2:$A$501,'09_连续性验收'!B57)+COUNTIF('03_地点锚点'!$A$2:$A$501,'09_连续性验收'!B57)+COUNTIF('04_路径网络'!$A$2:$A$501,'09_连续性验收'!B57)+COUNTIF('06_建筑锚点'!$A$2:$A$501,'09_连续性验收'!B57)=0),"验收对象不存在；","")&amp;IF(AND('09_连续性验收'!A57&lt;&gt;"",COUNTIF('09_连续性验收'!$A$2:$A$501,'09_连续性验收'!A57)&gt;1),"ID重复；",""),"")</f>
        <v/>
      </c>
      <c r="G3557" s="14">
        <f>IF(F3557&lt;&gt;"","按字段批注、数据字典和来源记录修正后复核","")</f>
        <v/>
      </c>
      <c r="H3557" s="14">
        <f>IF(F3557&lt;&gt;"","待处理","")</f>
        <v/>
      </c>
    </row>
    <row r="3558">
      <c r="A3558" s="14">
        <f>IF(F3558&lt;&gt;"","ISSUE-"&amp;TEXT(ROW()-1,"00000"),"")</f>
        <v/>
      </c>
      <c r="B3558" s="14">
        <f>IF(F3558&lt;&gt;"","错误","")</f>
        <v/>
      </c>
      <c r="C3558" s="14">
        <f>IF('09_连续性验收'!A58&lt;&gt;"","09_连续性验收","")</f>
        <v/>
      </c>
      <c r="D3558" s="14">
        <f>IF('09_连续性验收'!A58&lt;&gt;"",'09_连续性验收'!A58,"")</f>
        <v/>
      </c>
      <c r="E3558" s="14">
        <f>IF(F3558&lt;&gt;"","综合校验","")</f>
        <v/>
      </c>
      <c r="F3558" s="14">
        <f>IF('09_连续性验收'!A58&lt;&gt;"",IF('09_连续性验收'!A58="","缺少验收ID；","")&amp;IF('09_连续性验收'!B58="","缺少对象ID；","")&amp;IF('09_连续性验收'!C58="","缺少检查类型；","")&amp;IF(AND('09_连续性验收'!J58&lt;&gt;"",'09_连续性验收'!K58&lt;&gt;"",'09_连续性验收'!J58&gt;'09_连续性验收'!K58),"坐标偏差超标；","")&amp;IF(AND('09_连续性验收'!B58&lt;&gt;"",COUNTIF('02_固定地理'!$A$2:$A$501,'09_连续性验收'!B58)+COUNTIF('03_地点锚点'!$A$2:$A$501,'09_连续性验收'!B58)+COUNTIF('04_路径网络'!$A$2:$A$501,'09_连续性验收'!B58)+COUNTIF('06_建筑锚点'!$A$2:$A$501,'09_连续性验收'!B58)=0),"验收对象不存在；","")&amp;IF(AND('09_连续性验收'!A58&lt;&gt;"",COUNTIF('09_连续性验收'!$A$2:$A$501,'09_连续性验收'!A58)&gt;1),"ID重复；",""),"")</f>
        <v/>
      </c>
      <c r="G3558" s="14">
        <f>IF(F3558&lt;&gt;"","按字段批注、数据字典和来源记录修正后复核","")</f>
        <v/>
      </c>
      <c r="H3558" s="14">
        <f>IF(F3558&lt;&gt;"","待处理","")</f>
        <v/>
      </c>
    </row>
    <row r="3559">
      <c r="A3559" s="14">
        <f>IF(F3559&lt;&gt;"","ISSUE-"&amp;TEXT(ROW()-1,"00000"),"")</f>
        <v/>
      </c>
      <c r="B3559" s="14">
        <f>IF(F3559&lt;&gt;"","错误","")</f>
        <v/>
      </c>
      <c r="C3559" s="14">
        <f>IF('09_连续性验收'!A59&lt;&gt;"","09_连续性验收","")</f>
        <v/>
      </c>
      <c r="D3559" s="14">
        <f>IF('09_连续性验收'!A59&lt;&gt;"",'09_连续性验收'!A59,"")</f>
        <v/>
      </c>
      <c r="E3559" s="14">
        <f>IF(F3559&lt;&gt;"","综合校验","")</f>
        <v/>
      </c>
      <c r="F3559" s="14">
        <f>IF('09_连续性验收'!A59&lt;&gt;"",IF('09_连续性验收'!A59="","缺少验收ID；","")&amp;IF('09_连续性验收'!B59="","缺少对象ID；","")&amp;IF('09_连续性验收'!C59="","缺少检查类型；","")&amp;IF(AND('09_连续性验收'!J59&lt;&gt;"",'09_连续性验收'!K59&lt;&gt;"",'09_连续性验收'!J59&gt;'09_连续性验收'!K59),"坐标偏差超标；","")&amp;IF(AND('09_连续性验收'!B59&lt;&gt;"",COUNTIF('02_固定地理'!$A$2:$A$501,'09_连续性验收'!B59)+COUNTIF('03_地点锚点'!$A$2:$A$501,'09_连续性验收'!B59)+COUNTIF('04_路径网络'!$A$2:$A$501,'09_连续性验收'!B59)+COUNTIF('06_建筑锚点'!$A$2:$A$501,'09_连续性验收'!B59)=0),"验收对象不存在；","")&amp;IF(AND('09_连续性验收'!A59&lt;&gt;"",COUNTIF('09_连续性验收'!$A$2:$A$501,'09_连续性验收'!A59)&gt;1),"ID重复；",""),"")</f>
        <v/>
      </c>
      <c r="G3559" s="14">
        <f>IF(F3559&lt;&gt;"","按字段批注、数据字典和来源记录修正后复核","")</f>
        <v/>
      </c>
      <c r="H3559" s="14">
        <f>IF(F3559&lt;&gt;"","待处理","")</f>
        <v/>
      </c>
    </row>
    <row r="3560">
      <c r="A3560" s="14">
        <f>IF(F3560&lt;&gt;"","ISSUE-"&amp;TEXT(ROW()-1,"00000"),"")</f>
        <v/>
      </c>
      <c r="B3560" s="14">
        <f>IF(F3560&lt;&gt;"","错误","")</f>
        <v/>
      </c>
      <c r="C3560" s="14">
        <f>IF('09_连续性验收'!A60&lt;&gt;"","09_连续性验收","")</f>
        <v/>
      </c>
      <c r="D3560" s="14">
        <f>IF('09_连续性验收'!A60&lt;&gt;"",'09_连续性验收'!A60,"")</f>
        <v/>
      </c>
      <c r="E3560" s="14">
        <f>IF(F3560&lt;&gt;"","综合校验","")</f>
        <v/>
      </c>
      <c r="F3560" s="14">
        <f>IF('09_连续性验收'!A60&lt;&gt;"",IF('09_连续性验收'!A60="","缺少验收ID；","")&amp;IF('09_连续性验收'!B60="","缺少对象ID；","")&amp;IF('09_连续性验收'!C60="","缺少检查类型；","")&amp;IF(AND('09_连续性验收'!J60&lt;&gt;"",'09_连续性验收'!K60&lt;&gt;"",'09_连续性验收'!J60&gt;'09_连续性验收'!K60),"坐标偏差超标；","")&amp;IF(AND('09_连续性验收'!B60&lt;&gt;"",COUNTIF('02_固定地理'!$A$2:$A$501,'09_连续性验收'!B60)+COUNTIF('03_地点锚点'!$A$2:$A$501,'09_连续性验收'!B60)+COUNTIF('04_路径网络'!$A$2:$A$501,'09_连续性验收'!B60)+COUNTIF('06_建筑锚点'!$A$2:$A$501,'09_连续性验收'!B60)=0),"验收对象不存在；","")&amp;IF(AND('09_连续性验收'!A60&lt;&gt;"",COUNTIF('09_连续性验收'!$A$2:$A$501,'09_连续性验收'!A60)&gt;1),"ID重复；",""),"")</f>
        <v/>
      </c>
      <c r="G3560" s="14">
        <f>IF(F3560&lt;&gt;"","按字段批注、数据字典和来源记录修正后复核","")</f>
        <v/>
      </c>
      <c r="H3560" s="14">
        <f>IF(F3560&lt;&gt;"","待处理","")</f>
        <v/>
      </c>
    </row>
    <row r="3561">
      <c r="A3561" s="14">
        <f>IF(F3561&lt;&gt;"","ISSUE-"&amp;TEXT(ROW()-1,"00000"),"")</f>
        <v/>
      </c>
      <c r="B3561" s="14">
        <f>IF(F3561&lt;&gt;"","错误","")</f>
        <v/>
      </c>
      <c r="C3561" s="14">
        <f>IF('09_连续性验收'!A61&lt;&gt;"","09_连续性验收","")</f>
        <v/>
      </c>
      <c r="D3561" s="14">
        <f>IF('09_连续性验收'!A61&lt;&gt;"",'09_连续性验收'!A61,"")</f>
        <v/>
      </c>
      <c r="E3561" s="14">
        <f>IF(F3561&lt;&gt;"","综合校验","")</f>
        <v/>
      </c>
      <c r="F3561" s="14">
        <f>IF('09_连续性验收'!A61&lt;&gt;"",IF('09_连续性验收'!A61="","缺少验收ID；","")&amp;IF('09_连续性验收'!B61="","缺少对象ID；","")&amp;IF('09_连续性验收'!C61="","缺少检查类型；","")&amp;IF(AND('09_连续性验收'!J61&lt;&gt;"",'09_连续性验收'!K61&lt;&gt;"",'09_连续性验收'!J61&gt;'09_连续性验收'!K61),"坐标偏差超标；","")&amp;IF(AND('09_连续性验收'!B61&lt;&gt;"",COUNTIF('02_固定地理'!$A$2:$A$501,'09_连续性验收'!B61)+COUNTIF('03_地点锚点'!$A$2:$A$501,'09_连续性验收'!B61)+COUNTIF('04_路径网络'!$A$2:$A$501,'09_连续性验收'!B61)+COUNTIF('06_建筑锚点'!$A$2:$A$501,'09_连续性验收'!B61)=0),"验收对象不存在；","")&amp;IF(AND('09_连续性验收'!A61&lt;&gt;"",COUNTIF('09_连续性验收'!$A$2:$A$501,'09_连续性验收'!A61)&gt;1),"ID重复；",""),"")</f>
        <v/>
      </c>
      <c r="G3561" s="14">
        <f>IF(F3561&lt;&gt;"","按字段批注、数据字典和来源记录修正后复核","")</f>
        <v/>
      </c>
      <c r="H3561" s="14">
        <f>IF(F3561&lt;&gt;"","待处理","")</f>
        <v/>
      </c>
    </row>
    <row r="3562">
      <c r="A3562" s="14">
        <f>IF(F3562&lt;&gt;"","ISSUE-"&amp;TEXT(ROW()-1,"00000"),"")</f>
        <v/>
      </c>
      <c r="B3562" s="14">
        <f>IF(F3562&lt;&gt;"","错误","")</f>
        <v/>
      </c>
      <c r="C3562" s="14">
        <f>IF('09_连续性验收'!A62&lt;&gt;"","09_连续性验收","")</f>
        <v/>
      </c>
      <c r="D3562" s="14">
        <f>IF('09_连续性验收'!A62&lt;&gt;"",'09_连续性验收'!A62,"")</f>
        <v/>
      </c>
      <c r="E3562" s="14">
        <f>IF(F3562&lt;&gt;"","综合校验","")</f>
        <v/>
      </c>
      <c r="F3562" s="14">
        <f>IF('09_连续性验收'!A62&lt;&gt;"",IF('09_连续性验收'!A62="","缺少验收ID；","")&amp;IF('09_连续性验收'!B62="","缺少对象ID；","")&amp;IF('09_连续性验收'!C62="","缺少检查类型；","")&amp;IF(AND('09_连续性验收'!J62&lt;&gt;"",'09_连续性验收'!K62&lt;&gt;"",'09_连续性验收'!J62&gt;'09_连续性验收'!K62),"坐标偏差超标；","")&amp;IF(AND('09_连续性验收'!B62&lt;&gt;"",COUNTIF('02_固定地理'!$A$2:$A$501,'09_连续性验收'!B62)+COUNTIF('03_地点锚点'!$A$2:$A$501,'09_连续性验收'!B62)+COUNTIF('04_路径网络'!$A$2:$A$501,'09_连续性验收'!B62)+COUNTIF('06_建筑锚点'!$A$2:$A$501,'09_连续性验收'!B62)=0),"验收对象不存在；","")&amp;IF(AND('09_连续性验收'!A62&lt;&gt;"",COUNTIF('09_连续性验收'!$A$2:$A$501,'09_连续性验收'!A62)&gt;1),"ID重复；",""),"")</f>
        <v/>
      </c>
      <c r="G3562" s="14">
        <f>IF(F3562&lt;&gt;"","按字段批注、数据字典和来源记录修正后复核","")</f>
        <v/>
      </c>
      <c r="H3562" s="14">
        <f>IF(F3562&lt;&gt;"","待处理","")</f>
        <v/>
      </c>
    </row>
    <row r="3563">
      <c r="A3563" s="14">
        <f>IF(F3563&lt;&gt;"","ISSUE-"&amp;TEXT(ROW()-1,"00000"),"")</f>
        <v/>
      </c>
      <c r="B3563" s="14">
        <f>IF(F3563&lt;&gt;"","错误","")</f>
        <v/>
      </c>
      <c r="C3563" s="14">
        <f>IF('09_连续性验收'!A63&lt;&gt;"","09_连续性验收","")</f>
        <v/>
      </c>
      <c r="D3563" s="14">
        <f>IF('09_连续性验收'!A63&lt;&gt;"",'09_连续性验收'!A63,"")</f>
        <v/>
      </c>
      <c r="E3563" s="14">
        <f>IF(F3563&lt;&gt;"","综合校验","")</f>
        <v/>
      </c>
      <c r="F3563" s="14">
        <f>IF('09_连续性验收'!A63&lt;&gt;"",IF('09_连续性验收'!A63="","缺少验收ID；","")&amp;IF('09_连续性验收'!B63="","缺少对象ID；","")&amp;IF('09_连续性验收'!C63="","缺少检查类型；","")&amp;IF(AND('09_连续性验收'!J63&lt;&gt;"",'09_连续性验收'!K63&lt;&gt;"",'09_连续性验收'!J63&gt;'09_连续性验收'!K63),"坐标偏差超标；","")&amp;IF(AND('09_连续性验收'!B63&lt;&gt;"",COUNTIF('02_固定地理'!$A$2:$A$501,'09_连续性验收'!B63)+COUNTIF('03_地点锚点'!$A$2:$A$501,'09_连续性验收'!B63)+COUNTIF('04_路径网络'!$A$2:$A$501,'09_连续性验收'!B63)+COUNTIF('06_建筑锚点'!$A$2:$A$501,'09_连续性验收'!B63)=0),"验收对象不存在；","")&amp;IF(AND('09_连续性验收'!A63&lt;&gt;"",COUNTIF('09_连续性验收'!$A$2:$A$501,'09_连续性验收'!A63)&gt;1),"ID重复；",""),"")</f>
        <v/>
      </c>
      <c r="G3563" s="14">
        <f>IF(F3563&lt;&gt;"","按字段批注、数据字典和来源记录修正后复核","")</f>
        <v/>
      </c>
      <c r="H3563" s="14">
        <f>IF(F3563&lt;&gt;"","待处理","")</f>
        <v/>
      </c>
    </row>
    <row r="3564">
      <c r="A3564" s="14">
        <f>IF(F3564&lt;&gt;"","ISSUE-"&amp;TEXT(ROW()-1,"00000"),"")</f>
        <v/>
      </c>
      <c r="B3564" s="14">
        <f>IF(F3564&lt;&gt;"","错误","")</f>
        <v/>
      </c>
      <c r="C3564" s="14">
        <f>IF('09_连续性验收'!A64&lt;&gt;"","09_连续性验收","")</f>
        <v/>
      </c>
      <c r="D3564" s="14">
        <f>IF('09_连续性验收'!A64&lt;&gt;"",'09_连续性验收'!A64,"")</f>
        <v/>
      </c>
      <c r="E3564" s="14">
        <f>IF(F3564&lt;&gt;"","综合校验","")</f>
        <v/>
      </c>
      <c r="F3564" s="14">
        <f>IF('09_连续性验收'!A64&lt;&gt;"",IF('09_连续性验收'!A64="","缺少验收ID；","")&amp;IF('09_连续性验收'!B64="","缺少对象ID；","")&amp;IF('09_连续性验收'!C64="","缺少检查类型；","")&amp;IF(AND('09_连续性验收'!J64&lt;&gt;"",'09_连续性验收'!K64&lt;&gt;"",'09_连续性验收'!J64&gt;'09_连续性验收'!K64),"坐标偏差超标；","")&amp;IF(AND('09_连续性验收'!B64&lt;&gt;"",COUNTIF('02_固定地理'!$A$2:$A$501,'09_连续性验收'!B64)+COUNTIF('03_地点锚点'!$A$2:$A$501,'09_连续性验收'!B64)+COUNTIF('04_路径网络'!$A$2:$A$501,'09_连续性验收'!B64)+COUNTIF('06_建筑锚点'!$A$2:$A$501,'09_连续性验收'!B64)=0),"验收对象不存在；","")&amp;IF(AND('09_连续性验收'!A64&lt;&gt;"",COUNTIF('09_连续性验收'!$A$2:$A$501,'09_连续性验收'!A64)&gt;1),"ID重复；",""),"")</f>
        <v/>
      </c>
      <c r="G3564" s="14">
        <f>IF(F3564&lt;&gt;"","按字段批注、数据字典和来源记录修正后复核","")</f>
        <v/>
      </c>
      <c r="H3564" s="14">
        <f>IF(F3564&lt;&gt;"","待处理","")</f>
        <v/>
      </c>
    </row>
    <row r="3565">
      <c r="A3565" s="14">
        <f>IF(F3565&lt;&gt;"","ISSUE-"&amp;TEXT(ROW()-1,"00000"),"")</f>
        <v/>
      </c>
      <c r="B3565" s="14">
        <f>IF(F3565&lt;&gt;"","错误","")</f>
        <v/>
      </c>
      <c r="C3565" s="14">
        <f>IF('09_连续性验收'!A65&lt;&gt;"","09_连续性验收","")</f>
        <v/>
      </c>
      <c r="D3565" s="14">
        <f>IF('09_连续性验收'!A65&lt;&gt;"",'09_连续性验收'!A65,"")</f>
        <v/>
      </c>
      <c r="E3565" s="14">
        <f>IF(F3565&lt;&gt;"","综合校验","")</f>
        <v/>
      </c>
      <c r="F3565" s="14">
        <f>IF('09_连续性验收'!A65&lt;&gt;"",IF('09_连续性验收'!A65="","缺少验收ID；","")&amp;IF('09_连续性验收'!B65="","缺少对象ID；","")&amp;IF('09_连续性验收'!C65="","缺少检查类型；","")&amp;IF(AND('09_连续性验收'!J65&lt;&gt;"",'09_连续性验收'!K65&lt;&gt;"",'09_连续性验收'!J65&gt;'09_连续性验收'!K65),"坐标偏差超标；","")&amp;IF(AND('09_连续性验收'!B65&lt;&gt;"",COUNTIF('02_固定地理'!$A$2:$A$501,'09_连续性验收'!B65)+COUNTIF('03_地点锚点'!$A$2:$A$501,'09_连续性验收'!B65)+COUNTIF('04_路径网络'!$A$2:$A$501,'09_连续性验收'!B65)+COUNTIF('06_建筑锚点'!$A$2:$A$501,'09_连续性验收'!B65)=0),"验收对象不存在；","")&amp;IF(AND('09_连续性验收'!A65&lt;&gt;"",COUNTIF('09_连续性验收'!$A$2:$A$501,'09_连续性验收'!A65)&gt;1),"ID重复；",""),"")</f>
        <v/>
      </c>
      <c r="G3565" s="14">
        <f>IF(F3565&lt;&gt;"","按字段批注、数据字典和来源记录修正后复核","")</f>
        <v/>
      </c>
      <c r="H3565" s="14">
        <f>IF(F3565&lt;&gt;"","待处理","")</f>
        <v/>
      </c>
    </row>
    <row r="3566">
      <c r="A3566" s="14">
        <f>IF(F3566&lt;&gt;"","ISSUE-"&amp;TEXT(ROW()-1,"00000"),"")</f>
        <v/>
      </c>
      <c r="B3566" s="14">
        <f>IF(F3566&lt;&gt;"","错误","")</f>
        <v/>
      </c>
      <c r="C3566" s="14">
        <f>IF('09_连续性验收'!A66&lt;&gt;"","09_连续性验收","")</f>
        <v/>
      </c>
      <c r="D3566" s="14">
        <f>IF('09_连续性验收'!A66&lt;&gt;"",'09_连续性验收'!A66,"")</f>
        <v/>
      </c>
      <c r="E3566" s="14">
        <f>IF(F3566&lt;&gt;"","综合校验","")</f>
        <v/>
      </c>
      <c r="F3566" s="14">
        <f>IF('09_连续性验收'!A66&lt;&gt;"",IF('09_连续性验收'!A66="","缺少验收ID；","")&amp;IF('09_连续性验收'!B66="","缺少对象ID；","")&amp;IF('09_连续性验收'!C66="","缺少检查类型；","")&amp;IF(AND('09_连续性验收'!J66&lt;&gt;"",'09_连续性验收'!K66&lt;&gt;"",'09_连续性验收'!J66&gt;'09_连续性验收'!K66),"坐标偏差超标；","")&amp;IF(AND('09_连续性验收'!B66&lt;&gt;"",COUNTIF('02_固定地理'!$A$2:$A$501,'09_连续性验收'!B66)+COUNTIF('03_地点锚点'!$A$2:$A$501,'09_连续性验收'!B66)+COUNTIF('04_路径网络'!$A$2:$A$501,'09_连续性验收'!B66)+COUNTIF('06_建筑锚点'!$A$2:$A$501,'09_连续性验收'!B66)=0),"验收对象不存在；","")&amp;IF(AND('09_连续性验收'!A66&lt;&gt;"",COUNTIF('09_连续性验收'!$A$2:$A$501,'09_连续性验收'!A66)&gt;1),"ID重复；",""),"")</f>
        <v/>
      </c>
      <c r="G3566" s="14">
        <f>IF(F3566&lt;&gt;"","按字段批注、数据字典和来源记录修正后复核","")</f>
        <v/>
      </c>
      <c r="H3566" s="14">
        <f>IF(F3566&lt;&gt;"","待处理","")</f>
        <v/>
      </c>
    </row>
    <row r="3567">
      <c r="A3567" s="14">
        <f>IF(F3567&lt;&gt;"","ISSUE-"&amp;TEXT(ROW()-1,"00000"),"")</f>
        <v/>
      </c>
      <c r="B3567" s="14">
        <f>IF(F3567&lt;&gt;"","错误","")</f>
        <v/>
      </c>
      <c r="C3567" s="14">
        <f>IF('09_连续性验收'!A67&lt;&gt;"","09_连续性验收","")</f>
        <v/>
      </c>
      <c r="D3567" s="14">
        <f>IF('09_连续性验收'!A67&lt;&gt;"",'09_连续性验收'!A67,"")</f>
        <v/>
      </c>
      <c r="E3567" s="14">
        <f>IF(F3567&lt;&gt;"","综合校验","")</f>
        <v/>
      </c>
      <c r="F3567" s="14">
        <f>IF('09_连续性验收'!A67&lt;&gt;"",IF('09_连续性验收'!A67="","缺少验收ID；","")&amp;IF('09_连续性验收'!B67="","缺少对象ID；","")&amp;IF('09_连续性验收'!C67="","缺少检查类型；","")&amp;IF(AND('09_连续性验收'!J67&lt;&gt;"",'09_连续性验收'!K67&lt;&gt;"",'09_连续性验收'!J67&gt;'09_连续性验收'!K67),"坐标偏差超标；","")&amp;IF(AND('09_连续性验收'!B67&lt;&gt;"",COUNTIF('02_固定地理'!$A$2:$A$501,'09_连续性验收'!B67)+COUNTIF('03_地点锚点'!$A$2:$A$501,'09_连续性验收'!B67)+COUNTIF('04_路径网络'!$A$2:$A$501,'09_连续性验收'!B67)+COUNTIF('06_建筑锚点'!$A$2:$A$501,'09_连续性验收'!B67)=0),"验收对象不存在；","")&amp;IF(AND('09_连续性验收'!A67&lt;&gt;"",COUNTIF('09_连续性验收'!$A$2:$A$501,'09_连续性验收'!A67)&gt;1),"ID重复；",""),"")</f>
        <v/>
      </c>
      <c r="G3567" s="14">
        <f>IF(F3567&lt;&gt;"","按字段批注、数据字典和来源记录修正后复核","")</f>
        <v/>
      </c>
      <c r="H3567" s="14">
        <f>IF(F3567&lt;&gt;"","待处理","")</f>
        <v/>
      </c>
    </row>
    <row r="3568">
      <c r="A3568" s="14">
        <f>IF(F3568&lt;&gt;"","ISSUE-"&amp;TEXT(ROW()-1,"00000"),"")</f>
        <v/>
      </c>
      <c r="B3568" s="14">
        <f>IF(F3568&lt;&gt;"","错误","")</f>
        <v/>
      </c>
      <c r="C3568" s="14">
        <f>IF('09_连续性验收'!A68&lt;&gt;"","09_连续性验收","")</f>
        <v/>
      </c>
      <c r="D3568" s="14">
        <f>IF('09_连续性验收'!A68&lt;&gt;"",'09_连续性验收'!A68,"")</f>
        <v/>
      </c>
      <c r="E3568" s="14">
        <f>IF(F3568&lt;&gt;"","综合校验","")</f>
        <v/>
      </c>
      <c r="F3568" s="14">
        <f>IF('09_连续性验收'!A68&lt;&gt;"",IF('09_连续性验收'!A68="","缺少验收ID；","")&amp;IF('09_连续性验收'!B68="","缺少对象ID；","")&amp;IF('09_连续性验收'!C68="","缺少检查类型；","")&amp;IF(AND('09_连续性验收'!J68&lt;&gt;"",'09_连续性验收'!K68&lt;&gt;"",'09_连续性验收'!J68&gt;'09_连续性验收'!K68),"坐标偏差超标；","")&amp;IF(AND('09_连续性验收'!B68&lt;&gt;"",COUNTIF('02_固定地理'!$A$2:$A$501,'09_连续性验收'!B68)+COUNTIF('03_地点锚点'!$A$2:$A$501,'09_连续性验收'!B68)+COUNTIF('04_路径网络'!$A$2:$A$501,'09_连续性验收'!B68)+COUNTIF('06_建筑锚点'!$A$2:$A$501,'09_连续性验收'!B68)=0),"验收对象不存在；","")&amp;IF(AND('09_连续性验收'!A68&lt;&gt;"",COUNTIF('09_连续性验收'!$A$2:$A$501,'09_连续性验收'!A68)&gt;1),"ID重复；",""),"")</f>
        <v/>
      </c>
      <c r="G3568" s="14">
        <f>IF(F3568&lt;&gt;"","按字段批注、数据字典和来源记录修正后复核","")</f>
        <v/>
      </c>
      <c r="H3568" s="14">
        <f>IF(F3568&lt;&gt;"","待处理","")</f>
        <v/>
      </c>
    </row>
    <row r="3569">
      <c r="A3569" s="14">
        <f>IF(F3569&lt;&gt;"","ISSUE-"&amp;TEXT(ROW()-1,"00000"),"")</f>
        <v/>
      </c>
      <c r="B3569" s="14">
        <f>IF(F3569&lt;&gt;"","错误","")</f>
        <v/>
      </c>
      <c r="C3569" s="14">
        <f>IF('09_连续性验收'!A69&lt;&gt;"","09_连续性验收","")</f>
        <v/>
      </c>
      <c r="D3569" s="14">
        <f>IF('09_连续性验收'!A69&lt;&gt;"",'09_连续性验收'!A69,"")</f>
        <v/>
      </c>
      <c r="E3569" s="14">
        <f>IF(F3569&lt;&gt;"","综合校验","")</f>
        <v/>
      </c>
      <c r="F3569" s="14">
        <f>IF('09_连续性验收'!A69&lt;&gt;"",IF('09_连续性验收'!A69="","缺少验收ID；","")&amp;IF('09_连续性验收'!B69="","缺少对象ID；","")&amp;IF('09_连续性验收'!C69="","缺少检查类型；","")&amp;IF(AND('09_连续性验收'!J69&lt;&gt;"",'09_连续性验收'!K69&lt;&gt;"",'09_连续性验收'!J69&gt;'09_连续性验收'!K69),"坐标偏差超标；","")&amp;IF(AND('09_连续性验收'!B69&lt;&gt;"",COUNTIF('02_固定地理'!$A$2:$A$501,'09_连续性验收'!B69)+COUNTIF('03_地点锚点'!$A$2:$A$501,'09_连续性验收'!B69)+COUNTIF('04_路径网络'!$A$2:$A$501,'09_连续性验收'!B69)+COUNTIF('06_建筑锚点'!$A$2:$A$501,'09_连续性验收'!B69)=0),"验收对象不存在；","")&amp;IF(AND('09_连续性验收'!A69&lt;&gt;"",COUNTIF('09_连续性验收'!$A$2:$A$501,'09_连续性验收'!A69)&gt;1),"ID重复；",""),"")</f>
        <v/>
      </c>
      <c r="G3569" s="14">
        <f>IF(F3569&lt;&gt;"","按字段批注、数据字典和来源记录修正后复核","")</f>
        <v/>
      </c>
      <c r="H3569" s="14">
        <f>IF(F3569&lt;&gt;"","待处理","")</f>
        <v/>
      </c>
    </row>
    <row r="3570">
      <c r="A3570" s="14">
        <f>IF(F3570&lt;&gt;"","ISSUE-"&amp;TEXT(ROW()-1,"00000"),"")</f>
        <v/>
      </c>
      <c r="B3570" s="14">
        <f>IF(F3570&lt;&gt;"","错误","")</f>
        <v/>
      </c>
      <c r="C3570" s="14">
        <f>IF('09_连续性验收'!A70&lt;&gt;"","09_连续性验收","")</f>
        <v/>
      </c>
      <c r="D3570" s="14">
        <f>IF('09_连续性验收'!A70&lt;&gt;"",'09_连续性验收'!A70,"")</f>
        <v/>
      </c>
      <c r="E3570" s="14">
        <f>IF(F3570&lt;&gt;"","综合校验","")</f>
        <v/>
      </c>
      <c r="F3570" s="14">
        <f>IF('09_连续性验收'!A70&lt;&gt;"",IF('09_连续性验收'!A70="","缺少验收ID；","")&amp;IF('09_连续性验收'!B70="","缺少对象ID；","")&amp;IF('09_连续性验收'!C70="","缺少检查类型；","")&amp;IF(AND('09_连续性验收'!J70&lt;&gt;"",'09_连续性验收'!K70&lt;&gt;"",'09_连续性验收'!J70&gt;'09_连续性验收'!K70),"坐标偏差超标；","")&amp;IF(AND('09_连续性验收'!B70&lt;&gt;"",COUNTIF('02_固定地理'!$A$2:$A$501,'09_连续性验收'!B70)+COUNTIF('03_地点锚点'!$A$2:$A$501,'09_连续性验收'!B70)+COUNTIF('04_路径网络'!$A$2:$A$501,'09_连续性验收'!B70)+COUNTIF('06_建筑锚点'!$A$2:$A$501,'09_连续性验收'!B70)=0),"验收对象不存在；","")&amp;IF(AND('09_连续性验收'!A70&lt;&gt;"",COUNTIF('09_连续性验收'!$A$2:$A$501,'09_连续性验收'!A70)&gt;1),"ID重复；",""),"")</f>
        <v/>
      </c>
      <c r="G3570" s="14">
        <f>IF(F3570&lt;&gt;"","按字段批注、数据字典和来源记录修正后复核","")</f>
        <v/>
      </c>
      <c r="H3570" s="14">
        <f>IF(F3570&lt;&gt;"","待处理","")</f>
        <v/>
      </c>
    </row>
    <row r="3571">
      <c r="A3571" s="14">
        <f>IF(F3571&lt;&gt;"","ISSUE-"&amp;TEXT(ROW()-1,"00000"),"")</f>
        <v/>
      </c>
      <c r="B3571" s="14">
        <f>IF(F3571&lt;&gt;"","错误","")</f>
        <v/>
      </c>
      <c r="C3571" s="14">
        <f>IF('09_连续性验收'!A71&lt;&gt;"","09_连续性验收","")</f>
        <v/>
      </c>
      <c r="D3571" s="14">
        <f>IF('09_连续性验收'!A71&lt;&gt;"",'09_连续性验收'!A71,"")</f>
        <v/>
      </c>
      <c r="E3571" s="14">
        <f>IF(F3571&lt;&gt;"","综合校验","")</f>
        <v/>
      </c>
      <c r="F3571" s="14">
        <f>IF('09_连续性验收'!A71&lt;&gt;"",IF('09_连续性验收'!A71="","缺少验收ID；","")&amp;IF('09_连续性验收'!B71="","缺少对象ID；","")&amp;IF('09_连续性验收'!C71="","缺少检查类型；","")&amp;IF(AND('09_连续性验收'!J71&lt;&gt;"",'09_连续性验收'!K71&lt;&gt;"",'09_连续性验收'!J71&gt;'09_连续性验收'!K71),"坐标偏差超标；","")&amp;IF(AND('09_连续性验收'!B71&lt;&gt;"",COUNTIF('02_固定地理'!$A$2:$A$501,'09_连续性验收'!B71)+COUNTIF('03_地点锚点'!$A$2:$A$501,'09_连续性验收'!B71)+COUNTIF('04_路径网络'!$A$2:$A$501,'09_连续性验收'!B71)+COUNTIF('06_建筑锚点'!$A$2:$A$501,'09_连续性验收'!B71)=0),"验收对象不存在；","")&amp;IF(AND('09_连续性验收'!A71&lt;&gt;"",COUNTIF('09_连续性验收'!$A$2:$A$501,'09_连续性验收'!A71)&gt;1),"ID重复；",""),"")</f>
        <v/>
      </c>
      <c r="G3571" s="14">
        <f>IF(F3571&lt;&gt;"","按字段批注、数据字典和来源记录修正后复核","")</f>
        <v/>
      </c>
      <c r="H3571" s="14">
        <f>IF(F3571&lt;&gt;"","待处理","")</f>
        <v/>
      </c>
    </row>
    <row r="3572">
      <c r="A3572" s="14">
        <f>IF(F3572&lt;&gt;"","ISSUE-"&amp;TEXT(ROW()-1,"00000"),"")</f>
        <v/>
      </c>
      <c r="B3572" s="14">
        <f>IF(F3572&lt;&gt;"","错误","")</f>
        <v/>
      </c>
      <c r="C3572" s="14">
        <f>IF('09_连续性验收'!A72&lt;&gt;"","09_连续性验收","")</f>
        <v/>
      </c>
      <c r="D3572" s="14">
        <f>IF('09_连续性验收'!A72&lt;&gt;"",'09_连续性验收'!A72,"")</f>
        <v/>
      </c>
      <c r="E3572" s="14">
        <f>IF(F3572&lt;&gt;"","综合校验","")</f>
        <v/>
      </c>
      <c r="F3572" s="14">
        <f>IF('09_连续性验收'!A72&lt;&gt;"",IF('09_连续性验收'!A72="","缺少验收ID；","")&amp;IF('09_连续性验收'!B72="","缺少对象ID；","")&amp;IF('09_连续性验收'!C72="","缺少检查类型；","")&amp;IF(AND('09_连续性验收'!J72&lt;&gt;"",'09_连续性验收'!K72&lt;&gt;"",'09_连续性验收'!J72&gt;'09_连续性验收'!K72),"坐标偏差超标；","")&amp;IF(AND('09_连续性验收'!B72&lt;&gt;"",COUNTIF('02_固定地理'!$A$2:$A$501,'09_连续性验收'!B72)+COUNTIF('03_地点锚点'!$A$2:$A$501,'09_连续性验收'!B72)+COUNTIF('04_路径网络'!$A$2:$A$501,'09_连续性验收'!B72)+COUNTIF('06_建筑锚点'!$A$2:$A$501,'09_连续性验收'!B72)=0),"验收对象不存在；","")&amp;IF(AND('09_连续性验收'!A72&lt;&gt;"",COUNTIF('09_连续性验收'!$A$2:$A$501,'09_连续性验收'!A72)&gt;1),"ID重复；",""),"")</f>
        <v/>
      </c>
      <c r="G3572" s="14">
        <f>IF(F3572&lt;&gt;"","按字段批注、数据字典和来源记录修正后复核","")</f>
        <v/>
      </c>
      <c r="H3572" s="14">
        <f>IF(F3572&lt;&gt;"","待处理","")</f>
        <v/>
      </c>
    </row>
    <row r="3573">
      <c r="A3573" s="14">
        <f>IF(F3573&lt;&gt;"","ISSUE-"&amp;TEXT(ROW()-1,"00000"),"")</f>
        <v/>
      </c>
      <c r="B3573" s="14">
        <f>IF(F3573&lt;&gt;"","错误","")</f>
        <v/>
      </c>
      <c r="C3573" s="14">
        <f>IF('09_连续性验收'!A73&lt;&gt;"","09_连续性验收","")</f>
        <v/>
      </c>
      <c r="D3573" s="14">
        <f>IF('09_连续性验收'!A73&lt;&gt;"",'09_连续性验收'!A73,"")</f>
        <v/>
      </c>
      <c r="E3573" s="14">
        <f>IF(F3573&lt;&gt;"","综合校验","")</f>
        <v/>
      </c>
      <c r="F3573" s="14">
        <f>IF('09_连续性验收'!A73&lt;&gt;"",IF('09_连续性验收'!A73="","缺少验收ID；","")&amp;IF('09_连续性验收'!B73="","缺少对象ID；","")&amp;IF('09_连续性验收'!C73="","缺少检查类型；","")&amp;IF(AND('09_连续性验收'!J73&lt;&gt;"",'09_连续性验收'!K73&lt;&gt;"",'09_连续性验收'!J73&gt;'09_连续性验收'!K73),"坐标偏差超标；","")&amp;IF(AND('09_连续性验收'!B73&lt;&gt;"",COUNTIF('02_固定地理'!$A$2:$A$501,'09_连续性验收'!B73)+COUNTIF('03_地点锚点'!$A$2:$A$501,'09_连续性验收'!B73)+COUNTIF('04_路径网络'!$A$2:$A$501,'09_连续性验收'!B73)+COUNTIF('06_建筑锚点'!$A$2:$A$501,'09_连续性验收'!B73)=0),"验收对象不存在；","")&amp;IF(AND('09_连续性验收'!A73&lt;&gt;"",COUNTIF('09_连续性验收'!$A$2:$A$501,'09_连续性验收'!A73)&gt;1),"ID重复；",""),"")</f>
        <v/>
      </c>
      <c r="G3573" s="14">
        <f>IF(F3573&lt;&gt;"","按字段批注、数据字典和来源记录修正后复核","")</f>
        <v/>
      </c>
      <c r="H3573" s="14">
        <f>IF(F3573&lt;&gt;"","待处理","")</f>
        <v/>
      </c>
    </row>
    <row r="3574">
      <c r="A3574" s="14">
        <f>IF(F3574&lt;&gt;"","ISSUE-"&amp;TEXT(ROW()-1,"00000"),"")</f>
        <v/>
      </c>
      <c r="B3574" s="14">
        <f>IF(F3574&lt;&gt;"","错误","")</f>
        <v/>
      </c>
      <c r="C3574" s="14">
        <f>IF('09_连续性验收'!A74&lt;&gt;"","09_连续性验收","")</f>
        <v/>
      </c>
      <c r="D3574" s="14">
        <f>IF('09_连续性验收'!A74&lt;&gt;"",'09_连续性验收'!A74,"")</f>
        <v/>
      </c>
      <c r="E3574" s="14">
        <f>IF(F3574&lt;&gt;"","综合校验","")</f>
        <v/>
      </c>
      <c r="F3574" s="14">
        <f>IF('09_连续性验收'!A74&lt;&gt;"",IF('09_连续性验收'!A74="","缺少验收ID；","")&amp;IF('09_连续性验收'!B74="","缺少对象ID；","")&amp;IF('09_连续性验收'!C74="","缺少检查类型；","")&amp;IF(AND('09_连续性验收'!J74&lt;&gt;"",'09_连续性验收'!K74&lt;&gt;"",'09_连续性验收'!J74&gt;'09_连续性验收'!K74),"坐标偏差超标；","")&amp;IF(AND('09_连续性验收'!B74&lt;&gt;"",COUNTIF('02_固定地理'!$A$2:$A$501,'09_连续性验收'!B74)+COUNTIF('03_地点锚点'!$A$2:$A$501,'09_连续性验收'!B74)+COUNTIF('04_路径网络'!$A$2:$A$501,'09_连续性验收'!B74)+COUNTIF('06_建筑锚点'!$A$2:$A$501,'09_连续性验收'!B74)=0),"验收对象不存在；","")&amp;IF(AND('09_连续性验收'!A74&lt;&gt;"",COUNTIF('09_连续性验收'!$A$2:$A$501,'09_连续性验收'!A74)&gt;1),"ID重复；",""),"")</f>
        <v/>
      </c>
      <c r="G3574" s="14">
        <f>IF(F3574&lt;&gt;"","按字段批注、数据字典和来源记录修正后复核","")</f>
        <v/>
      </c>
      <c r="H3574" s="14">
        <f>IF(F3574&lt;&gt;"","待处理","")</f>
        <v/>
      </c>
    </row>
    <row r="3575">
      <c r="A3575" s="14">
        <f>IF(F3575&lt;&gt;"","ISSUE-"&amp;TEXT(ROW()-1,"00000"),"")</f>
        <v/>
      </c>
      <c r="B3575" s="14">
        <f>IF(F3575&lt;&gt;"","错误","")</f>
        <v/>
      </c>
      <c r="C3575" s="14">
        <f>IF('09_连续性验收'!A75&lt;&gt;"","09_连续性验收","")</f>
        <v/>
      </c>
      <c r="D3575" s="14">
        <f>IF('09_连续性验收'!A75&lt;&gt;"",'09_连续性验收'!A75,"")</f>
        <v/>
      </c>
      <c r="E3575" s="14">
        <f>IF(F3575&lt;&gt;"","综合校验","")</f>
        <v/>
      </c>
      <c r="F3575" s="14">
        <f>IF('09_连续性验收'!A75&lt;&gt;"",IF('09_连续性验收'!A75="","缺少验收ID；","")&amp;IF('09_连续性验收'!B75="","缺少对象ID；","")&amp;IF('09_连续性验收'!C75="","缺少检查类型；","")&amp;IF(AND('09_连续性验收'!J75&lt;&gt;"",'09_连续性验收'!K75&lt;&gt;"",'09_连续性验收'!J75&gt;'09_连续性验收'!K75),"坐标偏差超标；","")&amp;IF(AND('09_连续性验收'!B75&lt;&gt;"",COUNTIF('02_固定地理'!$A$2:$A$501,'09_连续性验收'!B75)+COUNTIF('03_地点锚点'!$A$2:$A$501,'09_连续性验收'!B75)+COUNTIF('04_路径网络'!$A$2:$A$501,'09_连续性验收'!B75)+COUNTIF('06_建筑锚点'!$A$2:$A$501,'09_连续性验收'!B75)=0),"验收对象不存在；","")&amp;IF(AND('09_连续性验收'!A75&lt;&gt;"",COUNTIF('09_连续性验收'!$A$2:$A$501,'09_连续性验收'!A75)&gt;1),"ID重复；",""),"")</f>
        <v/>
      </c>
      <c r="G3575" s="14">
        <f>IF(F3575&lt;&gt;"","按字段批注、数据字典和来源记录修正后复核","")</f>
        <v/>
      </c>
      <c r="H3575" s="14">
        <f>IF(F3575&lt;&gt;"","待处理","")</f>
        <v/>
      </c>
    </row>
    <row r="3576">
      <c r="A3576" s="14">
        <f>IF(F3576&lt;&gt;"","ISSUE-"&amp;TEXT(ROW()-1,"00000"),"")</f>
        <v/>
      </c>
      <c r="B3576" s="14">
        <f>IF(F3576&lt;&gt;"","错误","")</f>
        <v/>
      </c>
      <c r="C3576" s="14">
        <f>IF('09_连续性验收'!A76&lt;&gt;"","09_连续性验收","")</f>
        <v/>
      </c>
      <c r="D3576" s="14">
        <f>IF('09_连续性验收'!A76&lt;&gt;"",'09_连续性验收'!A76,"")</f>
        <v/>
      </c>
      <c r="E3576" s="14">
        <f>IF(F3576&lt;&gt;"","综合校验","")</f>
        <v/>
      </c>
      <c r="F3576" s="14">
        <f>IF('09_连续性验收'!A76&lt;&gt;"",IF('09_连续性验收'!A76="","缺少验收ID；","")&amp;IF('09_连续性验收'!B76="","缺少对象ID；","")&amp;IF('09_连续性验收'!C76="","缺少检查类型；","")&amp;IF(AND('09_连续性验收'!J76&lt;&gt;"",'09_连续性验收'!K76&lt;&gt;"",'09_连续性验收'!J76&gt;'09_连续性验收'!K76),"坐标偏差超标；","")&amp;IF(AND('09_连续性验收'!B76&lt;&gt;"",COUNTIF('02_固定地理'!$A$2:$A$501,'09_连续性验收'!B76)+COUNTIF('03_地点锚点'!$A$2:$A$501,'09_连续性验收'!B76)+COUNTIF('04_路径网络'!$A$2:$A$501,'09_连续性验收'!B76)+COUNTIF('06_建筑锚点'!$A$2:$A$501,'09_连续性验收'!B76)=0),"验收对象不存在；","")&amp;IF(AND('09_连续性验收'!A76&lt;&gt;"",COUNTIF('09_连续性验收'!$A$2:$A$501,'09_连续性验收'!A76)&gt;1),"ID重复；",""),"")</f>
        <v/>
      </c>
      <c r="G3576" s="14">
        <f>IF(F3576&lt;&gt;"","按字段批注、数据字典和来源记录修正后复核","")</f>
        <v/>
      </c>
      <c r="H3576" s="14">
        <f>IF(F3576&lt;&gt;"","待处理","")</f>
        <v/>
      </c>
    </row>
    <row r="3577">
      <c r="A3577" s="14">
        <f>IF(F3577&lt;&gt;"","ISSUE-"&amp;TEXT(ROW()-1,"00000"),"")</f>
        <v/>
      </c>
      <c r="B3577" s="14">
        <f>IF(F3577&lt;&gt;"","错误","")</f>
        <v/>
      </c>
      <c r="C3577" s="14">
        <f>IF('09_连续性验收'!A77&lt;&gt;"","09_连续性验收","")</f>
        <v/>
      </c>
      <c r="D3577" s="14">
        <f>IF('09_连续性验收'!A77&lt;&gt;"",'09_连续性验收'!A77,"")</f>
        <v/>
      </c>
      <c r="E3577" s="14">
        <f>IF(F3577&lt;&gt;"","综合校验","")</f>
        <v/>
      </c>
      <c r="F3577" s="14">
        <f>IF('09_连续性验收'!A77&lt;&gt;"",IF('09_连续性验收'!A77="","缺少验收ID；","")&amp;IF('09_连续性验收'!B77="","缺少对象ID；","")&amp;IF('09_连续性验收'!C77="","缺少检查类型；","")&amp;IF(AND('09_连续性验收'!J77&lt;&gt;"",'09_连续性验收'!K77&lt;&gt;"",'09_连续性验收'!J77&gt;'09_连续性验收'!K77),"坐标偏差超标；","")&amp;IF(AND('09_连续性验收'!B77&lt;&gt;"",COUNTIF('02_固定地理'!$A$2:$A$501,'09_连续性验收'!B77)+COUNTIF('03_地点锚点'!$A$2:$A$501,'09_连续性验收'!B77)+COUNTIF('04_路径网络'!$A$2:$A$501,'09_连续性验收'!B77)+COUNTIF('06_建筑锚点'!$A$2:$A$501,'09_连续性验收'!B77)=0),"验收对象不存在；","")&amp;IF(AND('09_连续性验收'!A77&lt;&gt;"",COUNTIF('09_连续性验收'!$A$2:$A$501,'09_连续性验收'!A77)&gt;1),"ID重复；",""),"")</f>
        <v/>
      </c>
      <c r="G3577" s="14">
        <f>IF(F3577&lt;&gt;"","按字段批注、数据字典和来源记录修正后复核","")</f>
        <v/>
      </c>
      <c r="H3577" s="14">
        <f>IF(F3577&lt;&gt;"","待处理","")</f>
        <v/>
      </c>
    </row>
    <row r="3578">
      <c r="A3578" s="14">
        <f>IF(F3578&lt;&gt;"","ISSUE-"&amp;TEXT(ROW()-1,"00000"),"")</f>
        <v/>
      </c>
      <c r="B3578" s="14">
        <f>IF(F3578&lt;&gt;"","错误","")</f>
        <v/>
      </c>
      <c r="C3578" s="14">
        <f>IF('09_连续性验收'!A78&lt;&gt;"","09_连续性验收","")</f>
        <v/>
      </c>
      <c r="D3578" s="14">
        <f>IF('09_连续性验收'!A78&lt;&gt;"",'09_连续性验收'!A78,"")</f>
        <v/>
      </c>
      <c r="E3578" s="14">
        <f>IF(F3578&lt;&gt;"","综合校验","")</f>
        <v/>
      </c>
      <c r="F3578" s="14">
        <f>IF('09_连续性验收'!A78&lt;&gt;"",IF('09_连续性验收'!A78="","缺少验收ID；","")&amp;IF('09_连续性验收'!B78="","缺少对象ID；","")&amp;IF('09_连续性验收'!C78="","缺少检查类型；","")&amp;IF(AND('09_连续性验收'!J78&lt;&gt;"",'09_连续性验收'!K78&lt;&gt;"",'09_连续性验收'!J78&gt;'09_连续性验收'!K78),"坐标偏差超标；","")&amp;IF(AND('09_连续性验收'!B78&lt;&gt;"",COUNTIF('02_固定地理'!$A$2:$A$501,'09_连续性验收'!B78)+COUNTIF('03_地点锚点'!$A$2:$A$501,'09_连续性验收'!B78)+COUNTIF('04_路径网络'!$A$2:$A$501,'09_连续性验收'!B78)+COUNTIF('06_建筑锚点'!$A$2:$A$501,'09_连续性验收'!B78)=0),"验收对象不存在；","")&amp;IF(AND('09_连续性验收'!A78&lt;&gt;"",COUNTIF('09_连续性验收'!$A$2:$A$501,'09_连续性验收'!A78)&gt;1),"ID重复；",""),"")</f>
        <v/>
      </c>
      <c r="G3578" s="14">
        <f>IF(F3578&lt;&gt;"","按字段批注、数据字典和来源记录修正后复核","")</f>
        <v/>
      </c>
      <c r="H3578" s="14">
        <f>IF(F3578&lt;&gt;"","待处理","")</f>
        <v/>
      </c>
    </row>
    <row r="3579">
      <c r="A3579" s="14">
        <f>IF(F3579&lt;&gt;"","ISSUE-"&amp;TEXT(ROW()-1,"00000"),"")</f>
        <v/>
      </c>
      <c r="B3579" s="14">
        <f>IF(F3579&lt;&gt;"","错误","")</f>
        <v/>
      </c>
      <c r="C3579" s="14">
        <f>IF('09_连续性验收'!A79&lt;&gt;"","09_连续性验收","")</f>
        <v/>
      </c>
      <c r="D3579" s="14">
        <f>IF('09_连续性验收'!A79&lt;&gt;"",'09_连续性验收'!A79,"")</f>
        <v/>
      </c>
      <c r="E3579" s="14">
        <f>IF(F3579&lt;&gt;"","综合校验","")</f>
        <v/>
      </c>
      <c r="F3579" s="14">
        <f>IF('09_连续性验收'!A79&lt;&gt;"",IF('09_连续性验收'!A79="","缺少验收ID；","")&amp;IF('09_连续性验收'!B79="","缺少对象ID；","")&amp;IF('09_连续性验收'!C79="","缺少检查类型；","")&amp;IF(AND('09_连续性验收'!J79&lt;&gt;"",'09_连续性验收'!K79&lt;&gt;"",'09_连续性验收'!J79&gt;'09_连续性验收'!K79),"坐标偏差超标；","")&amp;IF(AND('09_连续性验收'!B79&lt;&gt;"",COUNTIF('02_固定地理'!$A$2:$A$501,'09_连续性验收'!B79)+COUNTIF('03_地点锚点'!$A$2:$A$501,'09_连续性验收'!B79)+COUNTIF('04_路径网络'!$A$2:$A$501,'09_连续性验收'!B79)+COUNTIF('06_建筑锚点'!$A$2:$A$501,'09_连续性验收'!B79)=0),"验收对象不存在；","")&amp;IF(AND('09_连续性验收'!A79&lt;&gt;"",COUNTIF('09_连续性验收'!$A$2:$A$501,'09_连续性验收'!A79)&gt;1),"ID重复；",""),"")</f>
        <v/>
      </c>
      <c r="G3579" s="14">
        <f>IF(F3579&lt;&gt;"","按字段批注、数据字典和来源记录修正后复核","")</f>
        <v/>
      </c>
      <c r="H3579" s="14">
        <f>IF(F3579&lt;&gt;"","待处理","")</f>
        <v/>
      </c>
    </row>
    <row r="3580">
      <c r="A3580" s="14">
        <f>IF(F3580&lt;&gt;"","ISSUE-"&amp;TEXT(ROW()-1,"00000"),"")</f>
        <v/>
      </c>
      <c r="B3580" s="14">
        <f>IF(F3580&lt;&gt;"","错误","")</f>
        <v/>
      </c>
      <c r="C3580" s="14">
        <f>IF('09_连续性验收'!A80&lt;&gt;"","09_连续性验收","")</f>
        <v/>
      </c>
      <c r="D3580" s="14">
        <f>IF('09_连续性验收'!A80&lt;&gt;"",'09_连续性验收'!A80,"")</f>
        <v/>
      </c>
      <c r="E3580" s="14">
        <f>IF(F3580&lt;&gt;"","综合校验","")</f>
        <v/>
      </c>
      <c r="F3580" s="14">
        <f>IF('09_连续性验收'!A80&lt;&gt;"",IF('09_连续性验收'!A80="","缺少验收ID；","")&amp;IF('09_连续性验收'!B80="","缺少对象ID；","")&amp;IF('09_连续性验收'!C80="","缺少检查类型；","")&amp;IF(AND('09_连续性验收'!J80&lt;&gt;"",'09_连续性验收'!K80&lt;&gt;"",'09_连续性验收'!J80&gt;'09_连续性验收'!K80),"坐标偏差超标；","")&amp;IF(AND('09_连续性验收'!B80&lt;&gt;"",COUNTIF('02_固定地理'!$A$2:$A$501,'09_连续性验收'!B80)+COUNTIF('03_地点锚点'!$A$2:$A$501,'09_连续性验收'!B80)+COUNTIF('04_路径网络'!$A$2:$A$501,'09_连续性验收'!B80)+COUNTIF('06_建筑锚点'!$A$2:$A$501,'09_连续性验收'!B80)=0),"验收对象不存在；","")&amp;IF(AND('09_连续性验收'!A80&lt;&gt;"",COUNTIF('09_连续性验收'!$A$2:$A$501,'09_连续性验收'!A80)&gt;1),"ID重复；",""),"")</f>
        <v/>
      </c>
      <c r="G3580" s="14">
        <f>IF(F3580&lt;&gt;"","按字段批注、数据字典和来源记录修正后复核","")</f>
        <v/>
      </c>
      <c r="H3580" s="14">
        <f>IF(F3580&lt;&gt;"","待处理","")</f>
        <v/>
      </c>
    </row>
    <row r="3581">
      <c r="A3581" s="14">
        <f>IF(F3581&lt;&gt;"","ISSUE-"&amp;TEXT(ROW()-1,"00000"),"")</f>
        <v/>
      </c>
      <c r="B3581" s="14">
        <f>IF(F3581&lt;&gt;"","错误","")</f>
        <v/>
      </c>
      <c r="C3581" s="14">
        <f>IF('09_连续性验收'!A81&lt;&gt;"","09_连续性验收","")</f>
        <v/>
      </c>
      <c r="D3581" s="14">
        <f>IF('09_连续性验收'!A81&lt;&gt;"",'09_连续性验收'!A81,"")</f>
        <v/>
      </c>
      <c r="E3581" s="14">
        <f>IF(F3581&lt;&gt;"","综合校验","")</f>
        <v/>
      </c>
      <c r="F3581" s="14">
        <f>IF('09_连续性验收'!A81&lt;&gt;"",IF('09_连续性验收'!A81="","缺少验收ID；","")&amp;IF('09_连续性验收'!B81="","缺少对象ID；","")&amp;IF('09_连续性验收'!C81="","缺少检查类型；","")&amp;IF(AND('09_连续性验收'!J81&lt;&gt;"",'09_连续性验收'!K81&lt;&gt;"",'09_连续性验收'!J81&gt;'09_连续性验收'!K81),"坐标偏差超标；","")&amp;IF(AND('09_连续性验收'!B81&lt;&gt;"",COUNTIF('02_固定地理'!$A$2:$A$501,'09_连续性验收'!B81)+COUNTIF('03_地点锚点'!$A$2:$A$501,'09_连续性验收'!B81)+COUNTIF('04_路径网络'!$A$2:$A$501,'09_连续性验收'!B81)+COUNTIF('06_建筑锚点'!$A$2:$A$501,'09_连续性验收'!B81)=0),"验收对象不存在；","")&amp;IF(AND('09_连续性验收'!A81&lt;&gt;"",COUNTIF('09_连续性验收'!$A$2:$A$501,'09_连续性验收'!A81)&gt;1),"ID重复；",""),"")</f>
        <v/>
      </c>
      <c r="G3581" s="14">
        <f>IF(F3581&lt;&gt;"","按字段批注、数据字典和来源记录修正后复核","")</f>
        <v/>
      </c>
      <c r="H3581" s="14">
        <f>IF(F3581&lt;&gt;"","待处理","")</f>
        <v/>
      </c>
    </row>
    <row r="3582">
      <c r="A3582" s="14">
        <f>IF(F3582&lt;&gt;"","ISSUE-"&amp;TEXT(ROW()-1,"00000"),"")</f>
        <v/>
      </c>
      <c r="B3582" s="14">
        <f>IF(F3582&lt;&gt;"","错误","")</f>
        <v/>
      </c>
      <c r="C3582" s="14">
        <f>IF('09_连续性验收'!A82&lt;&gt;"","09_连续性验收","")</f>
        <v/>
      </c>
      <c r="D3582" s="14">
        <f>IF('09_连续性验收'!A82&lt;&gt;"",'09_连续性验收'!A82,"")</f>
        <v/>
      </c>
      <c r="E3582" s="14">
        <f>IF(F3582&lt;&gt;"","综合校验","")</f>
        <v/>
      </c>
      <c r="F3582" s="14">
        <f>IF('09_连续性验收'!A82&lt;&gt;"",IF('09_连续性验收'!A82="","缺少验收ID；","")&amp;IF('09_连续性验收'!B82="","缺少对象ID；","")&amp;IF('09_连续性验收'!C82="","缺少检查类型；","")&amp;IF(AND('09_连续性验收'!J82&lt;&gt;"",'09_连续性验收'!K82&lt;&gt;"",'09_连续性验收'!J82&gt;'09_连续性验收'!K82),"坐标偏差超标；","")&amp;IF(AND('09_连续性验收'!B82&lt;&gt;"",COUNTIF('02_固定地理'!$A$2:$A$501,'09_连续性验收'!B82)+COUNTIF('03_地点锚点'!$A$2:$A$501,'09_连续性验收'!B82)+COUNTIF('04_路径网络'!$A$2:$A$501,'09_连续性验收'!B82)+COUNTIF('06_建筑锚点'!$A$2:$A$501,'09_连续性验收'!B82)=0),"验收对象不存在；","")&amp;IF(AND('09_连续性验收'!A82&lt;&gt;"",COUNTIF('09_连续性验收'!$A$2:$A$501,'09_连续性验收'!A82)&gt;1),"ID重复；",""),"")</f>
        <v/>
      </c>
      <c r="G3582" s="14">
        <f>IF(F3582&lt;&gt;"","按字段批注、数据字典和来源记录修正后复核","")</f>
        <v/>
      </c>
      <c r="H3582" s="14">
        <f>IF(F3582&lt;&gt;"","待处理","")</f>
        <v/>
      </c>
    </row>
    <row r="3583">
      <c r="A3583" s="14">
        <f>IF(F3583&lt;&gt;"","ISSUE-"&amp;TEXT(ROW()-1,"00000"),"")</f>
        <v/>
      </c>
      <c r="B3583" s="14">
        <f>IF(F3583&lt;&gt;"","错误","")</f>
        <v/>
      </c>
      <c r="C3583" s="14">
        <f>IF('09_连续性验收'!A83&lt;&gt;"","09_连续性验收","")</f>
        <v/>
      </c>
      <c r="D3583" s="14">
        <f>IF('09_连续性验收'!A83&lt;&gt;"",'09_连续性验收'!A83,"")</f>
        <v/>
      </c>
      <c r="E3583" s="14">
        <f>IF(F3583&lt;&gt;"","综合校验","")</f>
        <v/>
      </c>
      <c r="F3583" s="14">
        <f>IF('09_连续性验收'!A83&lt;&gt;"",IF('09_连续性验收'!A83="","缺少验收ID；","")&amp;IF('09_连续性验收'!B83="","缺少对象ID；","")&amp;IF('09_连续性验收'!C83="","缺少检查类型；","")&amp;IF(AND('09_连续性验收'!J83&lt;&gt;"",'09_连续性验收'!K83&lt;&gt;"",'09_连续性验收'!J83&gt;'09_连续性验收'!K83),"坐标偏差超标；","")&amp;IF(AND('09_连续性验收'!B83&lt;&gt;"",COUNTIF('02_固定地理'!$A$2:$A$501,'09_连续性验收'!B83)+COUNTIF('03_地点锚点'!$A$2:$A$501,'09_连续性验收'!B83)+COUNTIF('04_路径网络'!$A$2:$A$501,'09_连续性验收'!B83)+COUNTIF('06_建筑锚点'!$A$2:$A$501,'09_连续性验收'!B83)=0),"验收对象不存在；","")&amp;IF(AND('09_连续性验收'!A83&lt;&gt;"",COUNTIF('09_连续性验收'!$A$2:$A$501,'09_连续性验收'!A83)&gt;1),"ID重复；",""),"")</f>
        <v/>
      </c>
      <c r="G3583" s="14">
        <f>IF(F3583&lt;&gt;"","按字段批注、数据字典和来源记录修正后复核","")</f>
        <v/>
      </c>
      <c r="H3583" s="14">
        <f>IF(F3583&lt;&gt;"","待处理","")</f>
        <v/>
      </c>
    </row>
    <row r="3584">
      <c r="A3584" s="14">
        <f>IF(F3584&lt;&gt;"","ISSUE-"&amp;TEXT(ROW()-1,"00000"),"")</f>
        <v/>
      </c>
      <c r="B3584" s="14">
        <f>IF(F3584&lt;&gt;"","错误","")</f>
        <v/>
      </c>
      <c r="C3584" s="14">
        <f>IF('09_连续性验收'!A84&lt;&gt;"","09_连续性验收","")</f>
        <v/>
      </c>
      <c r="D3584" s="14">
        <f>IF('09_连续性验收'!A84&lt;&gt;"",'09_连续性验收'!A84,"")</f>
        <v/>
      </c>
      <c r="E3584" s="14">
        <f>IF(F3584&lt;&gt;"","综合校验","")</f>
        <v/>
      </c>
      <c r="F3584" s="14">
        <f>IF('09_连续性验收'!A84&lt;&gt;"",IF('09_连续性验收'!A84="","缺少验收ID；","")&amp;IF('09_连续性验收'!B84="","缺少对象ID；","")&amp;IF('09_连续性验收'!C84="","缺少检查类型；","")&amp;IF(AND('09_连续性验收'!J84&lt;&gt;"",'09_连续性验收'!K84&lt;&gt;"",'09_连续性验收'!J84&gt;'09_连续性验收'!K84),"坐标偏差超标；","")&amp;IF(AND('09_连续性验收'!B84&lt;&gt;"",COUNTIF('02_固定地理'!$A$2:$A$501,'09_连续性验收'!B84)+COUNTIF('03_地点锚点'!$A$2:$A$501,'09_连续性验收'!B84)+COUNTIF('04_路径网络'!$A$2:$A$501,'09_连续性验收'!B84)+COUNTIF('06_建筑锚点'!$A$2:$A$501,'09_连续性验收'!B84)=0),"验收对象不存在；","")&amp;IF(AND('09_连续性验收'!A84&lt;&gt;"",COUNTIF('09_连续性验收'!$A$2:$A$501,'09_连续性验收'!A84)&gt;1),"ID重复；",""),"")</f>
        <v/>
      </c>
      <c r="G3584" s="14">
        <f>IF(F3584&lt;&gt;"","按字段批注、数据字典和来源记录修正后复核","")</f>
        <v/>
      </c>
      <c r="H3584" s="14">
        <f>IF(F3584&lt;&gt;"","待处理","")</f>
        <v/>
      </c>
    </row>
    <row r="3585">
      <c r="A3585" s="14">
        <f>IF(F3585&lt;&gt;"","ISSUE-"&amp;TEXT(ROW()-1,"00000"),"")</f>
        <v/>
      </c>
      <c r="B3585" s="14">
        <f>IF(F3585&lt;&gt;"","错误","")</f>
        <v/>
      </c>
      <c r="C3585" s="14">
        <f>IF('09_连续性验收'!A85&lt;&gt;"","09_连续性验收","")</f>
        <v/>
      </c>
      <c r="D3585" s="14">
        <f>IF('09_连续性验收'!A85&lt;&gt;"",'09_连续性验收'!A85,"")</f>
        <v/>
      </c>
      <c r="E3585" s="14">
        <f>IF(F3585&lt;&gt;"","综合校验","")</f>
        <v/>
      </c>
      <c r="F3585" s="14">
        <f>IF('09_连续性验收'!A85&lt;&gt;"",IF('09_连续性验收'!A85="","缺少验收ID；","")&amp;IF('09_连续性验收'!B85="","缺少对象ID；","")&amp;IF('09_连续性验收'!C85="","缺少检查类型；","")&amp;IF(AND('09_连续性验收'!J85&lt;&gt;"",'09_连续性验收'!K85&lt;&gt;"",'09_连续性验收'!J85&gt;'09_连续性验收'!K85),"坐标偏差超标；","")&amp;IF(AND('09_连续性验收'!B85&lt;&gt;"",COUNTIF('02_固定地理'!$A$2:$A$501,'09_连续性验收'!B85)+COUNTIF('03_地点锚点'!$A$2:$A$501,'09_连续性验收'!B85)+COUNTIF('04_路径网络'!$A$2:$A$501,'09_连续性验收'!B85)+COUNTIF('06_建筑锚点'!$A$2:$A$501,'09_连续性验收'!B85)=0),"验收对象不存在；","")&amp;IF(AND('09_连续性验收'!A85&lt;&gt;"",COUNTIF('09_连续性验收'!$A$2:$A$501,'09_连续性验收'!A85)&gt;1),"ID重复；",""),"")</f>
        <v/>
      </c>
      <c r="G3585" s="14">
        <f>IF(F3585&lt;&gt;"","按字段批注、数据字典和来源记录修正后复核","")</f>
        <v/>
      </c>
      <c r="H3585" s="14">
        <f>IF(F3585&lt;&gt;"","待处理","")</f>
        <v/>
      </c>
    </row>
    <row r="3586">
      <c r="A3586" s="14">
        <f>IF(F3586&lt;&gt;"","ISSUE-"&amp;TEXT(ROW()-1,"00000"),"")</f>
        <v/>
      </c>
      <c r="B3586" s="14">
        <f>IF(F3586&lt;&gt;"","错误","")</f>
        <v/>
      </c>
      <c r="C3586" s="14">
        <f>IF('09_连续性验收'!A86&lt;&gt;"","09_连续性验收","")</f>
        <v/>
      </c>
      <c r="D3586" s="14">
        <f>IF('09_连续性验收'!A86&lt;&gt;"",'09_连续性验收'!A86,"")</f>
        <v/>
      </c>
      <c r="E3586" s="14">
        <f>IF(F3586&lt;&gt;"","综合校验","")</f>
        <v/>
      </c>
      <c r="F3586" s="14">
        <f>IF('09_连续性验收'!A86&lt;&gt;"",IF('09_连续性验收'!A86="","缺少验收ID；","")&amp;IF('09_连续性验收'!B86="","缺少对象ID；","")&amp;IF('09_连续性验收'!C86="","缺少检查类型；","")&amp;IF(AND('09_连续性验收'!J86&lt;&gt;"",'09_连续性验收'!K86&lt;&gt;"",'09_连续性验收'!J86&gt;'09_连续性验收'!K86),"坐标偏差超标；","")&amp;IF(AND('09_连续性验收'!B86&lt;&gt;"",COUNTIF('02_固定地理'!$A$2:$A$501,'09_连续性验收'!B86)+COUNTIF('03_地点锚点'!$A$2:$A$501,'09_连续性验收'!B86)+COUNTIF('04_路径网络'!$A$2:$A$501,'09_连续性验收'!B86)+COUNTIF('06_建筑锚点'!$A$2:$A$501,'09_连续性验收'!B86)=0),"验收对象不存在；","")&amp;IF(AND('09_连续性验收'!A86&lt;&gt;"",COUNTIF('09_连续性验收'!$A$2:$A$501,'09_连续性验收'!A86)&gt;1),"ID重复；",""),"")</f>
        <v/>
      </c>
      <c r="G3586" s="14">
        <f>IF(F3586&lt;&gt;"","按字段批注、数据字典和来源记录修正后复核","")</f>
        <v/>
      </c>
      <c r="H3586" s="14">
        <f>IF(F3586&lt;&gt;"","待处理","")</f>
        <v/>
      </c>
    </row>
    <row r="3587">
      <c r="A3587" s="14">
        <f>IF(F3587&lt;&gt;"","ISSUE-"&amp;TEXT(ROW()-1,"00000"),"")</f>
        <v/>
      </c>
      <c r="B3587" s="14">
        <f>IF(F3587&lt;&gt;"","错误","")</f>
        <v/>
      </c>
      <c r="C3587" s="14">
        <f>IF('09_连续性验收'!A87&lt;&gt;"","09_连续性验收","")</f>
        <v/>
      </c>
      <c r="D3587" s="14">
        <f>IF('09_连续性验收'!A87&lt;&gt;"",'09_连续性验收'!A87,"")</f>
        <v/>
      </c>
      <c r="E3587" s="14">
        <f>IF(F3587&lt;&gt;"","综合校验","")</f>
        <v/>
      </c>
      <c r="F3587" s="14">
        <f>IF('09_连续性验收'!A87&lt;&gt;"",IF('09_连续性验收'!A87="","缺少验收ID；","")&amp;IF('09_连续性验收'!B87="","缺少对象ID；","")&amp;IF('09_连续性验收'!C87="","缺少检查类型；","")&amp;IF(AND('09_连续性验收'!J87&lt;&gt;"",'09_连续性验收'!K87&lt;&gt;"",'09_连续性验收'!J87&gt;'09_连续性验收'!K87),"坐标偏差超标；","")&amp;IF(AND('09_连续性验收'!B87&lt;&gt;"",COUNTIF('02_固定地理'!$A$2:$A$501,'09_连续性验收'!B87)+COUNTIF('03_地点锚点'!$A$2:$A$501,'09_连续性验收'!B87)+COUNTIF('04_路径网络'!$A$2:$A$501,'09_连续性验收'!B87)+COUNTIF('06_建筑锚点'!$A$2:$A$501,'09_连续性验收'!B87)=0),"验收对象不存在；","")&amp;IF(AND('09_连续性验收'!A87&lt;&gt;"",COUNTIF('09_连续性验收'!$A$2:$A$501,'09_连续性验收'!A87)&gt;1),"ID重复；",""),"")</f>
        <v/>
      </c>
      <c r="G3587" s="14">
        <f>IF(F3587&lt;&gt;"","按字段批注、数据字典和来源记录修正后复核","")</f>
        <v/>
      </c>
      <c r="H3587" s="14">
        <f>IF(F3587&lt;&gt;"","待处理","")</f>
        <v/>
      </c>
    </row>
    <row r="3588">
      <c r="A3588" s="14">
        <f>IF(F3588&lt;&gt;"","ISSUE-"&amp;TEXT(ROW()-1,"00000"),"")</f>
        <v/>
      </c>
      <c r="B3588" s="14">
        <f>IF(F3588&lt;&gt;"","错误","")</f>
        <v/>
      </c>
      <c r="C3588" s="14">
        <f>IF('09_连续性验收'!A88&lt;&gt;"","09_连续性验收","")</f>
        <v/>
      </c>
      <c r="D3588" s="14">
        <f>IF('09_连续性验收'!A88&lt;&gt;"",'09_连续性验收'!A88,"")</f>
        <v/>
      </c>
      <c r="E3588" s="14">
        <f>IF(F3588&lt;&gt;"","综合校验","")</f>
        <v/>
      </c>
      <c r="F3588" s="14">
        <f>IF('09_连续性验收'!A88&lt;&gt;"",IF('09_连续性验收'!A88="","缺少验收ID；","")&amp;IF('09_连续性验收'!B88="","缺少对象ID；","")&amp;IF('09_连续性验收'!C88="","缺少检查类型；","")&amp;IF(AND('09_连续性验收'!J88&lt;&gt;"",'09_连续性验收'!K88&lt;&gt;"",'09_连续性验收'!J88&gt;'09_连续性验收'!K88),"坐标偏差超标；","")&amp;IF(AND('09_连续性验收'!B88&lt;&gt;"",COUNTIF('02_固定地理'!$A$2:$A$501,'09_连续性验收'!B88)+COUNTIF('03_地点锚点'!$A$2:$A$501,'09_连续性验收'!B88)+COUNTIF('04_路径网络'!$A$2:$A$501,'09_连续性验收'!B88)+COUNTIF('06_建筑锚点'!$A$2:$A$501,'09_连续性验收'!B88)=0),"验收对象不存在；","")&amp;IF(AND('09_连续性验收'!A88&lt;&gt;"",COUNTIF('09_连续性验收'!$A$2:$A$501,'09_连续性验收'!A88)&gt;1),"ID重复；",""),"")</f>
        <v/>
      </c>
      <c r="G3588" s="14">
        <f>IF(F3588&lt;&gt;"","按字段批注、数据字典和来源记录修正后复核","")</f>
        <v/>
      </c>
      <c r="H3588" s="14">
        <f>IF(F3588&lt;&gt;"","待处理","")</f>
        <v/>
      </c>
    </row>
    <row r="3589">
      <c r="A3589" s="14">
        <f>IF(F3589&lt;&gt;"","ISSUE-"&amp;TEXT(ROW()-1,"00000"),"")</f>
        <v/>
      </c>
      <c r="B3589" s="14">
        <f>IF(F3589&lt;&gt;"","错误","")</f>
        <v/>
      </c>
      <c r="C3589" s="14">
        <f>IF('09_连续性验收'!A89&lt;&gt;"","09_连续性验收","")</f>
        <v/>
      </c>
      <c r="D3589" s="14">
        <f>IF('09_连续性验收'!A89&lt;&gt;"",'09_连续性验收'!A89,"")</f>
        <v/>
      </c>
      <c r="E3589" s="14">
        <f>IF(F3589&lt;&gt;"","综合校验","")</f>
        <v/>
      </c>
      <c r="F3589" s="14">
        <f>IF('09_连续性验收'!A89&lt;&gt;"",IF('09_连续性验收'!A89="","缺少验收ID；","")&amp;IF('09_连续性验收'!B89="","缺少对象ID；","")&amp;IF('09_连续性验收'!C89="","缺少检查类型；","")&amp;IF(AND('09_连续性验收'!J89&lt;&gt;"",'09_连续性验收'!K89&lt;&gt;"",'09_连续性验收'!J89&gt;'09_连续性验收'!K89),"坐标偏差超标；","")&amp;IF(AND('09_连续性验收'!B89&lt;&gt;"",COUNTIF('02_固定地理'!$A$2:$A$501,'09_连续性验收'!B89)+COUNTIF('03_地点锚点'!$A$2:$A$501,'09_连续性验收'!B89)+COUNTIF('04_路径网络'!$A$2:$A$501,'09_连续性验收'!B89)+COUNTIF('06_建筑锚点'!$A$2:$A$501,'09_连续性验收'!B89)=0),"验收对象不存在；","")&amp;IF(AND('09_连续性验收'!A89&lt;&gt;"",COUNTIF('09_连续性验收'!$A$2:$A$501,'09_连续性验收'!A89)&gt;1),"ID重复；",""),"")</f>
        <v/>
      </c>
      <c r="G3589" s="14">
        <f>IF(F3589&lt;&gt;"","按字段批注、数据字典和来源记录修正后复核","")</f>
        <v/>
      </c>
      <c r="H3589" s="14">
        <f>IF(F3589&lt;&gt;"","待处理","")</f>
        <v/>
      </c>
    </row>
    <row r="3590">
      <c r="A3590" s="14">
        <f>IF(F3590&lt;&gt;"","ISSUE-"&amp;TEXT(ROW()-1,"00000"),"")</f>
        <v/>
      </c>
      <c r="B3590" s="14">
        <f>IF(F3590&lt;&gt;"","错误","")</f>
        <v/>
      </c>
      <c r="C3590" s="14">
        <f>IF('09_连续性验收'!A90&lt;&gt;"","09_连续性验收","")</f>
        <v/>
      </c>
      <c r="D3590" s="14">
        <f>IF('09_连续性验收'!A90&lt;&gt;"",'09_连续性验收'!A90,"")</f>
        <v/>
      </c>
      <c r="E3590" s="14">
        <f>IF(F3590&lt;&gt;"","综合校验","")</f>
        <v/>
      </c>
      <c r="F3590" s="14">
        <f>IF('09_连续性验收'!A90&lt;&gt;"",IF('09_连续性验收'!A90="","缺少验收ID；","")&amp;IF('09_连续性验收'!B90="","缺少对象ID；","")&amp;IF('09_连续性验收'!C90="","缺少检查类型；","")&amp;IF(AND('09_连续性验收'!J90&lt;&gt;"",'09_连续性验收'!K90&lt;&gt;"",'09_连续性验收'!J90&gt;'09_连续性验收'!K90),"坐标偏差超标；","")&amp;IF(AND('09_连续性验收'!B90&lt;&gt;"",COUNTIF('02_固定地理'!$A$2:$A$501,'09_连续性验收'!B90)+COUNTIF('03_地点锚点'!$A$2:$A$501,'09_连续性验收'!B90)+COUNTIF('04_路径网络'!$A$2:$A$501,'09_连续性验收'!B90)+COUNTIF('06_建筑锚点'!$A$2:$A$501,'09_连续性验收'!B90)=0),"验收对象不存在；","")&amp;IF(AND('09_连续性验收'!A90&lt;&gt;"",COUNTIF('09_连续性验收'!$A$2:$A$501,'09_连续性验收'!A90)&gt;1),"ID重复；",""),"")</f>
        <v/>
      </c>
      <c r="G3590" s="14">
        <f>IF(F3590&lt;&gt;"","按字段批注、数据字典和来源记录修正后复核","")</f>
        <v/>
      </c>
      <c r="H3590" s="14">
        <f>IF(F3590&lt;&gt;"","待处理","")</f>
        <v/>
      </c>
    </row>
    <row r="3591">
      <c r="A3591" s="14">
        <f>IF(F3591&lt;&gt;"","ISSUE-"&amp;TEXT(ROW()-1,"00000"),"")</f>
        <v/>
      </c>
      <c r="B3591" s="14">
        <f>IF(F3591&lt;&gt;"","错误","")</f>
        <v/>
      </c>
      <c r="C3591" s="14">
        <f>IF('09_连续性验收'!A91&lt;&gt;"","09_连续性验收","")</f>
        <v/>
      </c>
      <c r="D3591" s="14">
        <f>IF('09_连续性验收'!A91&lt;&gt;"",'09_连续性验收'!A91,"")</f>
        <v/>
      </c>
      <c r="E3591" s="14">
        <f>IF(F3591&lt;&gt;"","综合校验","")</f>
        <v/>
      </c>
      <c r="F3591" s="14">
        <f>IF('09_连续性验收'!A91&lt;&gt;"",IF('09_连续性验收'!A91="","缺少验收ID；","")&amp;IF('09_连续性验收'!B91="","缺少对象ID；","")&amp;IF('09_连续性验收'!C91="","缺少检查类型；","")&amp;IF(AND('09_连续性验收'!J91&lt;&gt;"",'09_连续性验收'!K91&lt;&gt;"",'09_连续性验收'!J91&gt;'09_连续性验收'!K91),"坐标偏差超标；","")&amp;IF(AND('09_连续性验收'!B91&lt;&gt;"",COUNTIF('02_固定地理'!$A$2:$A$501,'09_连续性验收'!B91)+COUNTIF('03_地点锚点'!$A$2:$A$501,'09_连续性验收'!B91)+COUNTIF('04_路径网络'!$A$2:$A$501,'09_连续性验收'!B91)+COUNTIF('06_建筑锚点'!$A$2:$A$501,'09_连续性验收'!B91)=0),"验收对象不存在；","")&amp;IF(AND('09_连续性验收'!A91&lt;&gt;"",COUNTIF('09_连续性验收'!$A$2:$A$501,'09_连续性验收'!A91)&gt;1),"ID重复；",""),"")</f>
        <v/>
      </c>
      <c r="G3591" s="14">
        <f>IF(F3591&lt;&gt;"","按字段批注、数据字典和来源记录修正后复核","")</f>
        <v/>
      </c>
      <c r="H3591" s="14">
        <f>IF(F3591&lt;&gt;"","待处理","")</f>
        <v/>
      </c>
    </row>
    <row r="3592">
      <c r="A3592" s="14">
        <f>IF(F3592&lt;&gt;"","ISSUE-"&amp;TEXT(ROW()-1,"00000"),"")</f>
        <v/>
      </c>
      <c r="B3592" s="14">
        <f>IF(F3592&lt;&gt;"","错误","")</f>
        <v/>
      </c>
      <c r="C3592" s="14">
        <f>IF('09_连续性验收'!A92&lt;&gt;"","09_连续性验收","")</f>
        <v/>
      </c>
      <c r="D3592" s="14">
        <f>IF('09_连续性验收'!A92&lt;&gt;"",'09_连续性验收'!A92,"")</f>
        <v/>
      </c>
      <c r="E3592" s="14">
        <f>IF(F3592&lt;&gt;"","综合校验","")</f>
        <v/>
      </c>
      <c r="F3592" s="14">
        <f>IF('09_连续性验收'!A92&lt;&gt;"",IF('09_连续性验收'!A92="","缺少验收ID；","")&amp;IF('09_连续性验收'!B92="","缺少对象ID；","")&amp;IF('09_连续性验收'!C92="","缺少检查类型；","")&amp;IF(AND('09_连续性验收'!J92&lt;&gt;"",'09_连续性验收'!K92&lt;&gt;"",'09_连续性验收'!J92&gt;'09_连续性验收'!K92),"坐标偏差超标；","")&amp;IF(AND('09_连续性验收'!B92&lt;&gt;"",COUNTIF('02_固定地理'!$A$2:$A$501,'09_连续性验收'!B92)+COUNTIF('03_地点锚点'!$A$2:$A$501,'09_连续性验收'!B92)+COUNTIF('04_路径网络'!$A$2:$A$501,'09_连续性验收'!B92)+COUNTIF('06_建筑锚点'!$A$2:$A$501,'09_连续性验收'!B92)=0),"验收对象不存在；","")&amp;IF(AND('09_连续性验收'!A92&lt;&gt;"",COUNTIF('09_连续性验收'!$A$2:$A$501,'09_连续性验收'!A92)&gt;1),"ID重复；",""),"")</f>
        <v/>
      </c>
      <c r="G3592" s="14">
        <f>IF(F3592&lt;&gt;"","按字段批注、数据字典和来源记录修正后复核","")</f>
        <v/>
      </c>
      <c r="H3592" s="14">
        <f>IF(F3592&lt;&gt;"","待处理","")</f>
        <v/>
      </c>
    </row>
    <row r="3593">
      <c r="A3593" s="14">
        <f>IF(F3593&lt;&gt;"","ISSUE-"&amp;TEXT(ROW()-1,"00000"),"")</f>
        <v/>
      </c>
      <c r="B3593" s="14">
        <f>IF(F3593&lt;&gt;"","错误","")</f>
        <v/>
      </c>
      <c r="C3593" s="14">
        <f>IF('09_连续性验收'!A93&lt;&gt;"","09_连续性验收","")</f>
        <v/>
      </c>
      <c r="D3593" s="14">
        <f>IF('09_连续性验收'!A93&lt;&gt;"",'09_连续性验收'!A93,"")</f>
        <v/>
      </c>
      <c r="E3593" s="14">
        <f>IF(F3593&lt;&gt;"","综合校验","")</f>
        <v/>
      </c>
      <c r="F3593" s="14">
        <f>IF('09_连续性验收'!A93&lt;&gt;"",IF('09_连续性验收'!A93="","缺少验收ID；","")&amp;IF('09_连续性验收'!B93="","缺少对象ID；","")&amp;IF('09_连续性验收'!C93="","缺少检查类型；","")&amp;IF(AND('09_连续性验收'!J93&lt;&gt;"",'09_连续性验收'!K93&lt;&gt;"",'09_连续性验收'!J93&gt;'09_连续性验收'!K93),"坐标偏差超标；","")&amp;IF(AND('09_连续性验收'!B93&lt;&gt;"",COUNTIF('02_固定地理'!$A$2:$A$501,'09_连续性验收'!B93)+COUNTIF('03_地点锚点'!$A$2:$A$501,'09_连续性验收'!B93)+COUNTIF('04_路径网络'!$A$2:$A$501,'09_连续性验收'!B93)+COUNTIF('06_建筑锚点'!$A$2:$A$501,'09_连续性验收'!B93)=0),"验收对象不存在；","")&amp;IF(AND('09_连续性验收'!A93&lt;&gt;"",COUNTIF('09_连续性验收'!$A$2:$A$501,'09_连续性验收'!A93)&gt;1),"ID重复；",""),"")</f>
        <v/>
      </c>
      <c r="G3593" s="14">
        <f>IF(F3593&lt;&gt;"","按字段批注、数据字典和来源记录修正后复核","")</f>
        <v/>
      </c>
      <c r="H3593" s="14">
        <f>IF(F3593&lt;&gt;"","待处理","")</f>
        <v/>
      </c>
    </row>
    <row r="3594">
      <c r="A3594" s="14">
        <f>IF(F3594&lt;&gt;"","ISSUE-"&amp;TEXT(ROW()-1,"00000"),"")</f>
        <v/>
      </c>
      <c r="B3594" s="14">
        <f>IF(F3594&lt;&gt;"","错误","")</f>
        <v/>
      </c>
      <c r="C3594" s="14">
        <f>IF('09_连续性验收'!A94&lt;&gt;"","09_连续性验收","")</f>
        <v/>
      </c>
      <c r="D3594" s="14">
        <f>IF('09_连续性验收'!A94&lt;&gt;"",'09_连续性验收'!A94,"")</f>
        <v/>
      </c>
      <c r="E3594" s="14">
        <f>IF(F3594&lt;&gt;"","综合校验","")</f>
        <v/>
      </c>
      <c r="F3594" s="14">
        <f>IF('09_连续性验收'!A94&lt;&gt;"",IF('09_连续性验收'!A94="","缺少验收ID；","")&amp;IF('09_连续性验收'!B94="","缺少对象ID；","")&amp;IF('09_连续性验收'!C94="","缺少检查类型；","")&amp;IF(AND('09_连续性验收'!J94&lt;&gt;"",'09_连续性验收'!K94&lt;&gt;"",'09_连续性验收'!J94&gt;'09_连续性验收'!K94),"坐标偏差超标；","")&amp;IF(AND('09_连续性验收'!B94&lt;&gt;"",COUNTIF('02_固定地理'!$A$2:$A$501,'09_连续性验收'!B94)+COUNTIF('03_地点锚点'!$A$2:$A$501,'09_连续性验收'!B94)+COUNTIF('04_路径网络'!$A$2:$A$501,'09_连续性验收'!B94)+COUNTIF('06_建筑锚点'!$A$2:$A$501,'09_连续性验收'!B94)=0),"验收对象不存在；","")&amp;IF(AND('09_连续性验收'!A94&lt;&gt;"",COUNTIF('09_连续性验收'!$A$2:$A$501,'09_连续性验收'!A94)&gt;1),"ID重复；",""),"")</f>
        <v/>
      </c>
      <c r="G3594" s="14">
        <f>IF(F3594&lt;&gt;"","按字段批注、数据字典和来源记录修正后复核","")</f>
        <v/>
      </c>
      <c r="H3594" s="14">
        <f>IF(F3594&lt;&gt;"","待处理","")</f>
        <v/>
      </c>
    </row>
    <row r="3595">
      <c r="A3595" s="14">
        <f>IF(F3595&lt;&gt;"","ISSUE-"&amp;TEXT(ROW()-1,"00000"),"")</f>
        <v/>
      </c>
      <c r="B3595" s="14">
        <f>IF(F3595&lt;&gt;"","错误","")</f>
        <v/>
      </c>
      <c r="C3595" s="14">
        <f>IF('09_连续性验收'!A95&lt;&gt;"","09_连续性验收","")</f>
        <v/>
      </c>
      <c r="D3595" s="14">
        <f>IF('09_连续性验收'!A95&lt;&gt;"",'09_连续性验收'!A95,"")</f>
        <v/>
      </c>
      <c r="E3595" s="14">
        <f>IF(F3595&lt;&gt;"","综合校验","")</f>
        <v/>
      </c>
      <c r="F3595" s="14">
        <f>IF('09_连续性验收'!A95&lt;&gt;"",IF('09_连续性验收'!A95="","缺少验收ID；","")&amp;IF('09_连续性验收'!B95="","缺少对象ID；","")&amp;IF('09_连续性验收'!C95="","缺少检查类型；","")&amp;IF(AND('09_连续性验收'!J95&lt;&gt;"",'09_连续性验收'!K95&lt;&gt;"",'09_连续性验收'!J95&gt;'09_连续性验收'!K95),"坐标偏差超标；","")&amp;IF(AND('09_连续性验收'!B95&lt;&gt;"",COUNTIF('02_固定地理'!$A$2:$A$501,'09_连续性验收'!B95)+COUNTIF('03_地点锚点'!$A$2:$A$501,'09_连续性验收'!B95)+COUNTIF('04_路径网络'!$A$2:$A$501,'09_连续性验收'!B95)+COUNTIF('06_建筑锚点'!$A$2:$A$501,'09_连续性验收'!B95)=0),"验收对象不存在；","")&amp;IF(AND('09_连续性验收'!A95&lt;&gt;"",COUNTIF('09_连续性验收'!$A$2:$A$501,'09_连续性验收'!A95)&gt;1),"ID重复；",""),"")</f>
        <v/>
      </c>
      <c r="G3595" s="14">
        <f>IF(F3595&lt;&gt;"","按字段批注、数据字典和来源记录修正后复核","")</f>
        <v/>
      </c>
      <c r="H3595" s="14">
        <f>IF(F3595&lt;&gt;"","待处理","")</f>
        <v/>
      </c>
    </row>
    <row r="3596">
      <c r="A3596" s="14">
        <f>IF(F3596&lt;&gt;"","ISSUE-"&amp;TEXT(ROW()-1,"00000"),"")</f>
        <v/>
      </c>
      <c r="B3596" s="14">
        <f>IF(F3596&lt;&gt;"","错误","")</f>
        <v/>
      </c>
      <c r="C3596" s="14">
        <f>IF('09_连续性验收'!A96&lt;&gt;"","09_连续性验收","")</f>
        <v/>
      </c>
      <c r="D3596" s="14">
        <f>IF('09_连续性验收'!A96&lt;&gt;"",'09_连续性验收'!A96,"")</f>
        <v/>
      </c>
      <c r="E3596" s="14">
        <f>IF(F3596&lt;&gt;"","综合校验","")</f>
        <v/>
      </c>
      <c r="F3596" s="14">
        <f>IF('09_连续性验收'!A96&lt;&gt;"",IF('09_连续性验收'!A96="","缺少验收ID；","")&amp;IF('09_连续性验收'!B96="","缺少对象ID；","")&amp;IF('09_连续性验收'!C96="","缺少检查类型；","")&amp;IF(AND('09_连续性验收'!J96&lt;&gt;"",'09_连续性验收'!K96&lt;&gt;"",'09_连续性验收'!J96&gt;'09_连续性验收'!K96),"坐标偏差超标；","")&amp;IF(AND('09_连续性验收'!B96&lt;&gt;"",COUNTIF('02_固定地理'!$A$2:$A$501,'09_连续性验收'!B96)+COUNTIF('03_地点锚点'!$A$2:$A$501,'09_连续性验收'!B96)+COUNTIF('04_路径网络'!$A$2:$A$501,'09_连续性验收'!B96)+COUNTIF('06_建筑锚点'!$A$2:$A$501,'09_连续性验收'!B96)=0),"验收对象不存在；","")&amp;IF(AND('09_连续性验收'!A96&lt;&gt;"",COUNTIF('09_连续性验收'!$A$2:$A$501,'09_连续性验收'!A96)&gt;1),"ID重复；",""),"")</f>
        <v/>
      </c>
      <c r="G3596" s="14">
        <f>IF(F3596&lt;&gt;"","按字段批注、数据字典和来源记录修正后复核","")</f>
        <v/>
      </c>
      <c r="H3596" s="14">
        <f>IF(F3596&lt;&gt;"","待处理","")</f>
        <v/>
      </c>
    </row>
    <row r="3597">
      <c r="A3597" s="14">
        <f>IF(F3597&lt;&gt;"","ISSUE-"&amp;TEXT(ROW()-1,"00000"),"")</f>
        <v/>
      </c>
      <c r="B3597" s="14">
        <f>IF(F3597&lt;&gt;"","错误","")</f>
        <v/>
      </c>
      <c r="C3597" s="14">
        <f>IF('09_连续性验收'!A97&lt;&gt;"","09_连续性验收","")</f>
        <v/>
      </c>
      <c r="D3597" s="14">
        <f>IF('09_连续性验收'!A97&lt;&gt;"",'09_连续性验收'!A97,"")</f>
        <v/>
      </c>
      <c r="E3597" s="14">
        <f>IF(F3597&lt;&gt;"","综合校验","")</f>
        <v/>
      </c>
      <c r="F3597" s="14">
        <f>IF('09_连续性验收'!A97&lt;&gt;"",IF('09_连续性验收'!A97="","缺少验收ID；","")&amp;IF('09_连续性验收'!B97="","缺少对象ID；","")&amp;IF('09_连续性验收'!C97="","缺少检查类型；","")&amp;IF(AND('09_连续性验收'!J97&lt;&gt;"",'09_连续性验收'!K97&lt;&gt;"",'09_连续性验收'!J97&gt;'09_连续性验收'!K97),"坐标偏差超标；","")&amp;IF(AND('09_连续性验收'!B97&lt;&gt;"",COUNTIF('02_固定地理'!$A$2:$A$501,'09_连续性验收'!B97)+COUNTIF('03_地点锚点'!$A$2:$A$501,'09_连续性验收'!B97)+COUNTIF('04_路径网络'!$A$2:$A$501,'09_连续性验收'!B97)+COUNTIF('06_建筑锚点'!$A$2:$A$501,'09_连续性验收'!B97)=0),"验收对象不存在；","")&amp;IF(AND('09_连续性验收'!A97&lt;&gt;"",COUNTIF('09_连续性验收'!$A$2:$A$501,'09_连续性验收'!A97)&gt;1),"ID重复；",""),"")</f>
        <v/>
      </c>
      <c r="G3597" s="14">
        <f>IF(F3597&lt;&gt;"","按字段批注、数据字典和来源记录修正后复核","")</f>
        <v/>
      </c>
      <c r="H3597" s="14">
        <f>IF(F3597&lt;&gt;"","待处理","")</f>
        <v/>
      </c>
    </row>
    <row r="3598">
      <c r="A3598" s="14">
        <f>IF(F3598&lt;&gt;"","ISSUE-"&amp;TEXT(ROW()-1,"00000"),"")</f>
        <v/>
      </c>
      <c r="B3598" s="14">
        <f>IF(F3598&lt;&gt;"","错误","")</f>
        <v/>
      </c>
      <c r="C3598" s="14">
        <f>IF('09_连续性验收'!A98&lt;&gt;"","09_连续性验收","")</f>
        <v/>
      </c>
      <c r="D3598" s="14">
        <f>IF('09_连续性验收'!A98&lt;&gt;"",'09_连续性验收'!A98,"")</f>
        <v/>
      </c>
      <c r="E3598" s="14">
        <f>IF(F3598&lt;&gt;"","综合校验","")</f>
        <v/>
      </c>
      <c r="F3598" s="14">
        <f>IF('09_连续性验收'!A98&lt;&gt;"",IF('09_连续性验收'!A98="","缺少验收ID；","")&amp;IF('09_连续性验收'!B98="","缺少对象ID；","")&amp;IF('09_连续性验收'!C98="","缺少检查类型；","")&amp;IF(AND('09_连续性验收'!J98&lt;&gt;"",'09_连续性验收'!K98&lt;&gt;"",'09_连续性验收'!J98&gt;'09_连续性验收'!K98),"坐标偏差超标；","")&amp;IF(AND('09_连续性验收'!B98&lt;&gt;"",COUNTIF('02_固定地理'!$A$2:$A$501,'09_连续性验收'!B98)+COUNTIF('03_地点锚点'!$A$2:$A$501,'09_连续性验收'!B98)+COUNTIF('04_路径网络'!$A$2:$A$501,'09_连续性验收'!B98)+COUNTIF('06_建筑锚点'!$A$2:$A$501,'09_连续性验收'!B98)=0),"验收对象不存在；","")&amp;IF(AND('09_连续性验收'!A98&lt;&gt;"",COUNTIF('09_连续性验收'!$A$2:$A$501,'09_连续性验收'!A98)&gt;1),"ID重复；",""),"")</f>
        <v/>
      </c>
      <c r="G3598" s="14">
        <f>IF(F3598&lt;&gt;"","按字段批注、数据字典和来源记录修正后复核","")</f>
        <v/>
      </c>
      <c r="H3598" s="14">
        <f>IF(F3598&lt;&gt;"","待处理","")</f>
        <v/>
      </c>
    </row>
    <row r="3599">
      <c r="A3599" s="14">
        <f>IF(F3599&lt;&gt;"","ISSUE-"&amp;TEXT(ROW()-1,"00000"),"")</f>
        <v/>
      </c>
      <c r="B3599" s="14">
        <f>IF(F3599&lt;&gt;"","错误","")</f>
        <v/>
      </c>
      <c r="C3599" s="14">
        <f>IF('09_连续性验收'!A99&lt;&gt;"","09_连续性验收","")</f>
        <v/>
      </c>
      <c r="D3599" s="14">
        <f>IF('09_连续性验收'!A99&lt;&gt;"",'09_连续性验收'!A99,"")</f>
        <v/>
      </c>
      <c r="E3599" s="14">
        <f>IF(F3599&lt;&gt;"","综合校验","")</f>
        <v/>
      </c>
      <c r="F3599" s="14">
        <f>IF('09_连续性验收'!A99&lt;&gt;"",IF('09_连续性验收'!A99="","缺少验收ID；","")&amp;IF('09_连续性验收'!B99="","缺少对象ID；","")&amp;IF('09_连续性验收'!C99="","缺少检查类型；","")&amp;IF(AND('09_连续性验收'!J99&lt;&gt;"",'09_连续性验收'!K99&lt;&gt;"",'09_连续性验收'!J99&gt;'09_连续性验收'!K99),"坐标偏差超标；","")&amp;IF(AND('09_连续性验收'!B99&lt;&gt;"",COUNTIF('02_固定地理'!$A$2:$A$501,'09_连续性验收'!B99)+COUNTIF('03_地点锚点'!$A$2:$A$501,'09_连续性验收'!B99)+COUNTIF('04_路径网络'!$A$2:$A$501,'09_连续性验收'!B99)+COUNTIF('06_建筑锚点'!$A$2:$A$501,'09_连续性验收'!B99)=0),"验收对象不存在；","")&amp;IF(AND('09_连续性验收'!A99&lt;&gt;"",COUNTIF('09_连续性验收'!$A$2:$A$501,'09_连续性验收'!A99)&gt;1),"ID重复；",""),"")</f>
        <v/>
      </c>
      <c r="G3599" s="14">
        <f>IF(F3599&lt;&gt;"","按字段批注、数据字典和来源记录修正后复核","")</f>
        <v/>
      </c>
      <c r="H3599" s="14">
        <f>IF(F3599&lt;&gt;"","待处理","")</f>
        <v/>
      </c>
    </row>
    <row r="3600">
      <c r="A3600" s="14">
        <f>IF(F3600&lt;&gt;"","ISSUE-"&amp;TEXT(ROW()-1,"00000"),"")</f>
        <v/>
      </c>
      <c r="B3600" s="14">
        <f>IF(F3600&lt;&gt;"","错误","")</f>
        <v/>
      </c>
      <c r="C3600" s="14">
        <f>IF('09_连续性验收'!A100&lt;&gt;"","09_连续性验收","")</f>
        <v/>
      </c>
      <c r="D3600" s="14">
        <f>IF('09_连续性验收'!A100&lt;&gt;"",'09_连续性验收'!A100,"")</f>
        <v/>
      </c>
      <c r="E3600" s="14">
        <f>IF(F3600&lt;&gt;"","综合校验","")</f>
        <v/>
      </c>
      <c r="F3600" s="14">
        <f>IF('09_连续性验收'!A100&lt;&gt;"",IF('09_连续性验收'!A100="","缺少验收ID；","")&amp;IF('09_连续性验收'!B100="","缺少对象ID；","")&amp;IF('09_连续性验收'!C100="","缺少检查类型；","")&amp;IF(AND('09_连续性验收'!J100&lt;&gt;"",'09_连续性验收'!K100&lt;&gt;"",'09_连续性验收'!J100&gt;'09_连续性验收'!K100),"坐标偏差超标；","")&amp;IF(AND('09_连续性验收'!B100&lt;&gt;"",COUNTIF('02_固定地理'!$A$2:$A$501,'09_连续性验收'!B100)+COUNTIF('03_地点锚点'!$A$2:$A$501,'09_连续性验收'!B100)+COUNTIF('04_路径网络'!$A$2:$A$501,'09_连续性验收'!B100)+COUNTIF('06_建筑锚点'!$A$2:$A$501,'09_连续性验收'!B100)=0),"验收对象不存在；","")&amp;IF(AND('09_连续性验收'!A100&lt;&gt;"",COUNTIF('09_连续性验收'!$A$2:$A$501,'09_连续性验收'!A100)&gt;1),"ID重复；",""),"")</f>
        <v/>
      </c>
      <c r="G3600" s="14">
        <f>IF(F3600&lt;&gt;"","按字段批注、数据字典和来源记录修正后复核","")</f>
        <v/>
      </c>
      <c r="H3600" s="14">
        <f>IF(F3600&lt;&gt;"","待处理","")</f>
        <v/>
      </c>
    </row>
    <row r="3601">
      <c r="A3601" s="14">
        <f>IF(F3601&lt;&gt;"","ISSUE-"&amp;TEXT(ROW()-1,"00000"),"")</f>
        <v/>
      </c>
      <c r="B3601" s="14">
        <f>IF(F3601&lt;&gt;"","错误","")</f>
        <v/>
      </c>
      <c r="C3601" s="14">
        <f>IF('09_连续性验收'!A101&lt;&gt;"","09_连续性验收","")</f>
        <v/>
      </c>
      <c r="D3601" s="14">
        <f>IF('09_连续性验收'!A101&lt;&gt;"",'09_连续性验收'!A101,"")</f>
        <v/>
      </c>
      <c r="E3601" s="14">
        <f>IF(F3601&lt;&gt;"","综合校验","")</f>
        <v/>
      </c>
      <c r="F3601" s="14">
        <f>IF('09_连续性验收'!A101&lt;&gt;"",IF('09_连续性验收'!A101="","缺少验收ID；","")&amp;IF('09_连续性验收'!B101="","缺少对象ID；","")&amp;IF('09_连续性验收'!C101="","缺少检查类型；","")&amp;IF(AND('09_连续性验收'!J101&lt;&gt;"",'09_连续性验收'!K101&lt;&gt;"",'09_连续性验收'!J101&gt;'09_连续性验收'!K101),"坐标偏差超标；","")&amp;IF(AND('09_连续性验收'!B101&lt;&gt;"",COUNTIF('02_固定地理'!$A$2:$A$501,'09_连续性验收'!B101)+COUNTIF('03_地点锚点'!$A$2:$A$501,'09_连续性验收'!B101)+COUNTIF('04_路径网络'!$A$2:$A$501,'09_连续性验收'!B101)+COUNTIF('06_建筑锚点'!$A$2:$A$501,'09_连续性验收'!B101)=0),"验收对象不存在；","")&amp;IF(AND('09_连续性验收'!A101&lt;&gt;"",COUNTIF('09_连续性验收'!$A$2:$A$501,'09_连续性验收'!A101)&gt;1),"ID重复；",""),"")</f>
        <v/>
      </c>
      <c r="G3601" s="14">
        <f>IF(F3601&lt;&gt;"","按字段批注、数据字典和来源记录修正后复核","")</f>
        <v/>
      </c>
      <c r="H3601" s="14">
        <f>IF(F3601&lt;&gt;"","待处理","")</f>
        <v/>
      </c>
    </row>
    <row r="3602">
      <c r="A3602" s="14">
        <f>IF(F3602&lt;&gt;"","ISSUE-"&amp;TEXT(ROW()-1,"00000"),"")</f>
        <v/>
      </c>
      <c r="B3602" s="14">
        <f>IF(F3602&lt;&gt;"","错误","")</f>
        <v/>
      </c>
      <c r="C3602" s="14">
        <f>IF('09_连续性验收'!A102&lt;&gt;"","09_连续性验收","")</f>
        <v/>
      </c>
      <c r="D3602" s="14">
        <f>IF('09_连续性验收'!A102&lt;&gt;"",'09_连续性验收'!A102,"")</f>
        <v/>
      </c>
      <c r="E3602" s="14">
        <f>IF(F3602&lt;&gt;"","综合校验","")</f>
        <v/>
      </c>
      <c r="F3602" s="14">
        <f>IF('09_连续性验收'!A102&lt;&gt;"",IF('09_连续性验收'!A102="","缺少验收ID；","")&amp;IF('09_连续性验收'!B102="","缺少对象ID；","")&amp;IF('09_连续性验收'!C102="","缺少检查类型；","")&amp;IF(AND('09_连续性验收'!J102&lt;&gt;"",'09_连续性验收'!K102&lt;&gt;"",'09_连续性验收'!J102&gt;'09_连续性验收'!K102),"坐标偏差超标；","")&amp;IF(AND('09_连续性验收'!B102&lt;&gt;"",COUNTIF('02_固定地理'!$A$2:$A$501,'09_连续性验收'!B102)+COUNTIF('03_地点锚点'!$A$2:$A$501,'09_连续性验收'!B102)+COUNTIF('04_路径网络'!$A$2:$A$501,'09_连续性验收'!B102)+COUNTIF('06_建筑锚点'!$A$2:$A$501,'09_连续性验收'!B102)=0),"验收对象不存在；","")&amp;IF(AND('09_连续性验收'!A102&lt;&gt;"",COUNTIF('09_连续性验收'!$A$2:$A$501,'09_连续性验收'!A102)&gt;1),"ID重复；",""),"")</f>
        <v/>
      </c>
      <c r="G3602" s="14">
        <f>IF(F3602&lt;&gt;"","按字段批注、数据字典和来源记录修正后复核","")</f>
        <v/>
      </c>
      <c r="H3602" s="14">
        <f>IF(F3602&lt;&gt;"","待处理","")</f>
        <v/>
      </c>
    </row>
    <row r="3603">
      <c r="A3603" s="14">
        <f>IF(F3603&lt;&gt;"","ISSUE-"&amp;TEXT(ROW()-1,"00000"),"")</f>
        <v/>
      </c>
      <c r="B3603" s="14">
        <f>IF(F3603&lt;&gt;"","错误","")</f>
        <v/>
      </c>
      <c r="C3603" s="14">
        <f>IF('09_连续性验收'!A103&lt;&gt;"","09_连续性验收","")</f>
        <v/>
      </c>
      <c r="D3603" s="14">
        <f>IF('09_连续性验收'!A103&lt;&gt;"",'09_连续性验收'!A103,"")</f>
        <v/>
      </c>
      <c r="E3603" s="14">
        <f>IF(F3603&lt;&gt;"","综合校验","")</f>
        <v/>
      </c>
      <c r="F3603" s="14">
        <f>IF('09_连续性验收'!A103&lt;&gt;"",IF('09_连续性验收'!A103="","缺少验收ID；","")&amp;IF('09_连续性验收'!B103="","缺少对象ID；","")&amp;IF('09_连续性验收'!C103="","缺少检查类型；","")&amp;IF(AND('09_连续性验收'!J103&lt;&gt;"",'09_连续性验收'!K103&lt;&gt;"",'09_连续性验收'!J103&gt;'09_连续性验收'!K103),"坐标偏差超标；","")&amp;IF(AND('09_连续性验收'!B103&lt;&gt;"",COUNTIF('02_固定地理'!$A$2:$A$501,'09_连续性验收'!B103)+COUNTIF('03_地点锚点'!$A$2:$A$501,'09_连续性验收'!B103)+COUNTIF('04_路径网络'!$A$2:$A$501,'09_连续性验收'!B103)+COUNTIF('06_建筑锚点'!$A$2:$A$501,'09_连续性验收'!B103)=0),"验收对象不存在；","")&amp;IF(AND('09_连续性验收'!A103&lt;&gt;"",COUNTIF('09_连续性验收'!$A$2:$A$501,'09_连续性验收'!A103)&gt;1),"ID重复；",""),"")</f>
        <v/>
      </c>
      <c r="G3603" s="14">
        <f>IF(F3603&lt;&gt;"","按字段批注、数据字典和来源记录修正后复核","")</f>
        <v/>
      </c>
      <c r="H3603" s="14">
        <f>IF(F3603&lt;&gt;"","待处理","")</f>
        <v/>
      </c>
    </row>
    <row r="3604">
      <c r="A3604" s="14">
        <f>IF(F3604&lt;&gt;"","ISSUE-"&amp;TEXT(ROW()-1,"00000"),"")</f>
        <v/>
      </c>
      <c r="B3604" s="14">
        <f>IF(F3604&lt;&gt;"","错误","")</f>
        <v/>
      </c>
      <c r="C3604" s="14">
        <f>IF('09_连续性验收'!A104&lt;&gt;"","09_连续性验收","")</f>
        <v/>
      </c>
      <c r="D3604" s="14">
        <f>IF('09_连续性验收'!A104&lt;&gt;"",'09_连续性验收'!A104,"")</f>
        <v/>
      </c>
      <c r="E3604" s="14">
        <f>IF(F3604&lt;&gt;"","综合校验","")</f>
        <v/>
      </c>
      <c r="F3604" s="14">
        <f>IF('09_连续性验收'!A104&lt;&gt;"",IF('09_连续性验收'!A104="","缺少验收ID；","")&amp;IF('09_连续性验收'!B104="","缺少对象ID；","")&amp;IF('09_连续性验收'!C104="","缺少检查类型；","")&amp;IF(AND('09_连续性验收'!J104&lt;&gt;"",'09_连续性验收'!K104&lt;&gt;"",'09_连续性验收'!J104&gt;'09_连续性验收'!K104),"坐标偏差超标；","")&amp;IF(AND('09_连续性验收'!B104&lt;&gt;"",COUNTIF('02_固定地理'!$A$2:$A$501,'09_连续性验收'!B104)+COUNTIF('03_地点锚点'!$A$2:$A$501,'09_连续性验收'!B104)+COUNTIF('04_路径网络'!$A$2:$A$501,'09_连续性验收'!B104)+COUNTIF('06_建筑锚点'!$A$2:$A$501,'09_连续性验收'!B104)=0),"验收对象不存在；","")&amp;IF(AND('09_连续性验收'!A104&lt;&gt;"",COUNTIF('09_连续性验收'!$A$2:$A$501,'09_连续性验收'!A104)&gt;1),"ID重复；",""),"")</f>
        <v/>
      </c>
      <c r="G3604" s="14">
        <f>IF(F3604&lt;&gt;"","按字段批注、数据字典和来源记录修正后复核","")</f>
        <v/>
      </c>
      <c r="H3604" s="14">
        <f>IF(F3604&lt;&gt;"","待处理","")</f>
        <v/>
      </c>
    </row>
    <row r="3605">
      <c r="A3605" s="14">
        <f>IF(F3605&lt;&gt;"","ISSUE-"&amp;TEXT(ROW()-1,"00000"),"")</f>
        <v/>
      </c>
      <c r="B3605" s="14">
        <f>IF(F3605&lt;&gt;"","错误","")</f>
        <v/>
      </c>
      <c r="C3605" s="14">
        <f>IF('09_连续性验收'!A105&lt;&gt;"","09_连续性验收","")</f>
        <v/>
      </c>
      <c r="D3605" s="14">
        <f>IF('09_连续性验收'!A105&lt;&gt;"",'09_连续性验收'!A105,"")</f>
        <v/>
      </c>
      <c r="E3605" s="14">
        <f>IF(F3605&lt;&gt;"","综合校验","")</f>
        <v/>
      </c>
      <c r="F3605" s="14">
        <f>IF('09_连续性验收'!A105&lt;&gt;"",IF('09_连续性验收'!A105="","缺少验收ID；","")&amp;IF('09_连续性验收'!B105="","缺少对象ID；","")&amp;IF('09_连续性验收'!C105="","缺少检查类型；","")&amp;IF(AND('09_连续性验收'!J105&lt;&gt;"",'09_连续性验收'!K105&lt;&gt;"",'09_连续性验收'!J105&gt;'09_连续性验收'!K105),"坐标偏差超标；","")&amp;IF(AND('09_连续性验收'!B105&lt;&gt;"",COUNTIF('02_固定地理'!$A$2:$A$501,'09_连续性验收'!B105)+COUNTIF('03_地点锚点'!$A$2:$A$501,'09_连续性验收'!B105)+COUNTIF('04_路径网络'!$A$2:$A$501,'09_连续性验收'!B105)+COUNTIF('06_建筑锚点'!$A$2:$A$501,'09_连续性验收'!B105)=0),"验收对象不存在；","")&amp;IF(AND('09_连续性验收'!A105&lt;&gt;"",COUNTIF('09_连续性验收'!$A$2:$A$501,'09_连续性验收'!A105)&gt;1),"ID重复；",""),"")</f>
        <v/>
      </c>
      <c r="G3605" s="14">
        <f>IF(F3605&lt;&gt;"","按字段批注、数据字典和来源记录修正后复核","")</f>
        <v/>
      </c>
      <c r="H3605" s="14">
        <f>IF(F3605&lt;&gt;"","待处理","")</f>
        <v/>
      </c>
    </row>
    <row r="3606">
      <c r="A3606" s="14">
        <f>IF(F3606&lt;&gt;"","ISSUE-"&amp;TEXT(ROW()-1,"00000"),"")</f>
        <v/>
      </c>
      <c r="B3606" s="14">
        <f>IF(F3606&lt;&gt;"","错误","")</f>
        <v/>
      </c>
      <c r="C3606" s="14">
        <f>IF('09_连续性验收'!A106&lt;&gt;"","09_连续性验收","")</f>
        <v/>
      </c>
      <c r="D3606" s="14">
        <f>IF('09_连续性验收'!A106&lt;&gt;"",'09_连续性验收'!A106,"")</f>
        <v/>
      </c>
      <c r="E3606" s="14">
        <f>IF(F3606&lt;&gt;"","综合校验","")</f>
        <v/>
      </c>
      <c r="F3606" s="14">
        <f>IF('09_连续性验收'!A106&lt;&gt;"",IF('09_连续性验收'!A106="","缺少验收ID；","")&amp;IF('09_连续性验收'!B106="","缺少对象ID；","")&amp;IF('09_连续性验收'!C106="","缺少检查类型；","")&amp;IF(AND('09_连续性验收'!J106&lt;&gt;"",'09_连续性验收'!K106&lt;&gt;"",'09_连续性验收'!J106&gt;'09_连续性验收'!K106),"坐标偏差超标；","")&amp;IF(AND('09_连续性验收'!B106&lt;&gt;"",COUNTIF('02_固定地理'!$A$2:$A$501,'09_连续性验收'!B106)+COUNTIF('03_地点锚点'!$A$2:$A$501,'09_连续性验收'!B106)+COUNTIF('04_路径网络'!$A$2:$A$501,'09_连续性验收'!B106)+COUNTIF('06_建筑锚点'!$A$2:$A$501,'09_连续性验收'!B106)=0),"验收对象不存在；","")&amp;IF(AND('09_连续性验收'!A106&lt;&gt;"",COUNTIF('09_连续性验收'!$A$2:$A$501,'09_连续性验收'!A106)&gt;1),"ID重复；",""),"")</f>
        <v/>
      </c>
      <c r="G3606" s="14">
        <f>IF(F3606&lt;&gt;"","按字段批注、数据字典和来源记录修正后复核","")</f>
        <v/>
      </c>
      <c r="H3606" s="14">
        <f>IF(F3606&lt;&gt;"","待处理","")</f>
        <v/>
      </c>
    </row>
    <row r="3607">
      <c r="A3607" s="14">
        <f>IF(F3607&lt;&gt;"","ISSUE-"&amp;TEXT(ROW()-1,"00000"),"")</f>
        <v/>
      </c>
      <c r="B3607" s="14">
        <f>IF(F3607&lt;&gt;"","错误","")</f>
        <v/>
      </c>
      <c r="C3607" s="14">
        <f>IF('09_连续性验收'!A107&lt;&gt;"","09_连续性验收","")</f>
        <v/>
      </c>
      <c r="D3607" s="14">
        <f>IF('09_连续性验收'!A107&lt;&gt;"",'09_连续性验收'!A107,"")</f>
        <v/>
      </c>
      <c r="E3607" s="14">
        <f>IF(F3607&lt;&gt;"","综合校验","")</f>
        <v/>
      </c>
      <c r="F3607" s="14">
        <f>IF('09_连续性验收'!A107&lt;&gt;"",IF('09_连续性验收'!A107="","缺少验收ID；","")&amp;IF('09_连续性验收'!B107="","缺少对象ID；","")&amp;IF('09_连续性验收'!C107="","缺少检查类型；","")&amp;IF(AND('09_连续性验收'!J107&lt;&gt;"",'09_连续性验收'!K107&lt;&gt;"",'09_连续性验收'!J107&gt;'09_连续性验收'!K107),"坐标偏差超标；","")&amp;IF(AND('09_连续性验收'!B107&lt;&gt;"",COUNTIF('02_固定地理'!$A$2:$A$501,'09_连续性验收'!B107)+COUNTIF('03_地点锚点'!$A$2:$A$501,'09_连续性验收'!B107)+COUNTIF('04_路径网络'!$A$2:$A$501,'09_连续性验收'!B107)+COUNTIF('06_建筑锚点'!$A$2:$A$501,'09_连续性验收'!B107)=0),"验收对象不存在；","")&amp;IF(AND('09_连续性验收'!A107&lt;&gt;"",COUNTIF('09_连续性验收'!$A$2:$A$501,'09_连续性验收'!A107)&gt;1),"ID重复；",""),"")</f>
        <v/>
      </c>
      <c r="G3607" s="14">
        <f>IF(F3607&lt;&gt;"","按字段批注、数据字典和来源记录修正后复核","")</f>
        <v/>
      </c>
      <c r="H3607" s="14">
        <f>IF(F3607&lt;&gt;"","待处理","")</f>
        <v/>
      </c>
    </row>
    <row r="3608">
      <c r="A3608" s="14">
        <f>IF(F3608&lt;&gt;"","ISSUE-"&amp;TEXT(ROW()-1,"00000"),"")</f>
        <v/>
      </c>
      <c r="B3608" s="14">
        <f>IF(F3608&lt;&gt;"","错误","")</f>
        <v/>
      </c>
      <c r="C3608" s="14">
        <f>IF('09_连续性验收'!A108&lt;&gt;"","09_连续性验收","")</f>
        <v/>
      </c>
      <c r="D3608" s="14">
        <f>IF('09_连续性验收'!A108&lt;&gt;"",'09_连续性验收'!A108,"")</f>
        <v/>
      </c>
      <c r="E3608" s="14">
        <f>IF(F3608&lt;&gt;"","综合校验","")</f>
        <v/>
      </c>
      <c r="F3608" s="14">
        <f>IF('09_连续性验收'!A108&lt;&gt;"",IF('09_连续性验收'!A108="","缺少验收ID；","")&amp;IF('09_连续性验收'!B108="","缺少对象ID；","")&amp;IF('09_连续性验收'!C108="","缺少检查类型；","")&amp;IF(AND('09_连续性验收'!J108&lt;&gt;"",'09_连续性验收'!K108&lt;&gt;"",'09_连续性验收'!J108&gt;'09_连续性验收'!K108),"坐标偏差超标；","")&amp;IF(AND('09_连续性验收'!B108&lt;&gt;"",COUNTIF('02_固定地理'!$A$2:$A$501,'09_连续性验收'!B108)+COUNTIF('03_地点锚点'!$A$2:$A$501,'09_连续性验收'!B108)+COUNTIF('04_路径网络'!$A$2:$A$501,'09_连续性验收'!B108)+COUNTIF('06_建筑锚点'!$A$2:$A$501,'09_连续性验收'!B108)=0),"验收对象不存在；","")&amp;IF(AND('09_连续性验收'!A108&lt;&gt;"",COUNTIF('09_连续性验收'!$A$2:$A$501,'09_连续性验收'!A108)&gt;1),"ID重复；",""),"")</f>
        <v/>
      </c>
      <c r="G3608" s="14">
        <f>IF(F3608&lt;&gt;"","按字段批注、数据字典和来源记录修正后复核","")</f>
        <v/>
      </c>
      <c r="H3608" s="14">
        <f>IF(F3608&lt;&gt;"","待处理","")</f>
        <v/>
      </c>
    </row>
    <row r="3609">
      <c r="A3609" s="14">
        <f>IF(F3609&lt;&gt;"","ISSUE-"&amp;TEXT(ROW()-1,"00000"),"")</f>
        <v/>
      </c>
      <c r="B3609" s="14">
        <f>IF(F3609&lt;&gt;"","错误","")</f>
        <v/>
      </c>
      <c r="C3609" s="14">
        <f>IF('09_连续性验收'!A109&lt;&gt;"","09_连续性验收","")</f>
        <v/>
      </c>
      <c r="D3609" s="14">
        <f>IF('09_连续性验收'!A109&lt;&gt;"",'09_连续性验收'!A109,"")</f>
        <v/>
      </c>
      <c r="E3609" s="14">
        <f>IF(F3609&lt;&gt;"","综合校验","")</f>
        <v/>
      </c>
      <c r="F3609" s="14">
        <f>IF('09_连续性验收'!A109&lt;&gt;"",IF('09_连续性验收'!A109="","缺少验收ID；","")&amp;IF('09_连续性验收'!B109="","缺少对象ID；","")&amp;IF('09_连续性验收'!C109="","缺少检查类型；","")&amp;IF(AND('09_连续性验收'!J109&lt;&gt;"",'09_连续性验收'!K109&lt;&gt;"",'09_连续性验收'!J109&gt;'09_连续性验收'!K109),"坐标偏差超标；","")&amp;IF(AND('09_连续性验收'!B109&lt;&gt;"",COUNTIF('02_固定地理'!$A$2:$A$501,'09_连续性验收'!B109)+COUNTIF('03_地点锚点'!$A$2:$A$501,'09_连续性验收'!B109)+COUNTIF('04_路径网络'!$A$2:$A$501,'09_连续性验收'!B109)+COUNTIF('06_建筑锚点'!$A$2:$A$501,'09_连续性验收'!B109)=0),"验收对象不存在；","")&amp;IF(AND('09_连续性验收'!A109&lt;&gt;"",COUNTIF('09_连续性验收'!$A$2:$A$501,'09_连续性验收'!A109)&gt;1),"ID重复；",""),"")</f>
        <v/>
      </c>
      <c r="G3609" s="14">
        <f>IF(F3609&lt;&gt;"","按字段批注、数据字典和来源记录修正后复核","")</f>
        <v/>
      </c>
      <c r="H3609" s="14">
        <f>IF(F3609&lt;&gt;"","待处理","")</f>
        <v/>
      </c>
    </row>
    <row r="3610">
      <c r="A3610" s="14">
        <f>IF(F3610&lt;&gt;"","ISSUE-"&amp;TEXT(ROW()-1,"00000"),"")</f>
        <v/>
      </c>
      <c r="B3610" s="14">
        <f>IF(F3610&lt;&gt;"","错误","")</f>
        <v/>
      </c>
      <c r="C3610" s="14">
        <f>IF('09_连续性验收'!A110&lt;&gt;"","09_连续性验收","")</f>
        <v/>
      </c>
      <c r="D3610" s="14">
        <f>IF('09_连续性验收'!A110&lt;&gt;"",'09_连续性验收'!A110,"")</f>
        <v/>
      </c>
      <c r="E3610" s="14">
        <f>IF(F3610&lt;&gt;"","综合校验","")</f>
        <v/>
      </c>
      <c r="F3610" s="14">
        <f>IF('09_连续性验收'!A110&lt;&gt;"",IF('09_连续性验收'!A110="","缺少验收ID；","")&amp;IF('09_连续性验收'!B110="","缺少对象ID；","")&amp;IF('09_连续性验收'!C110="","缺少检查类型；","")&amp;IF(AND('09_连续性验收'!J110&lt;&gt;"",'09_连续性验收'!K110&lt;&gt;"",'09_连续性验收'!J110&gt;'09_连续性验收'!K110),"坐标偏差超标；","")&amp;IF(AND('09_连续性验收'!B110&lt;&gt;"",COUNTIF('02_固定地理'!$A$2:$A$501,'09_连续性验收'!B110)+COUNTIF('03_地点锚点'!$A$2:$A$501,'09_连续性验收'!B110)+COUNTIF('04_路径网络'!$A$2:$A$501,'09_连续性验收'!B110)+COUNTIF('06_建筑锚点'!$A$2:$A$501,'09_连续性验收'!B110)=0),"验收对象不存在；","")&amp;IF(AND('09_连续性验收'!A110&lt;&gt;"",COUNTIF('09_连续性验收'!$A$2:$A$501,'09_连续性验收'!A110)&gt;1),"ID重复；",""),"")</f>
        <v/>
      </c>
      <c r="G3610" s="14">
        <f>IF(F3610&lt;&gt;"","按字段批注、数据字典和来源记录修正后复核","")</f>
        <v/>
      </c>
      <c r="H3610" s="14">
        <f>IF(F3610&lt;&gt;"","待处理","")</f>
        <v/>
      </c>
    </row>
    <row r="3611">
      <c r="A3611" s="14">
        <f>IF(F3611&lt;&gt;"","ISSUE-"&amp;TEXT(ROW()-1,"00000"),"")</f>
        <v/>
      </c>
      <c r="B3611" s="14">
        <f>IF(F3611&lt;&gt;"","错误","")</f>
        <v/>
      </c>
      <c r="C3611" s="14">
        <f>IF('09_连续性验收'!A111&lt;&gt;"","09_连续性验收","")</f>
        <v/>
      </c>
      <c r="D3611" s="14">
        <f>IF('09_连续性验收'!A111&lt;&gt;"",'09_连续性验收'!A111,"")</f>
        <v/>
      </c>
      <c r="E3611" s="14">
        <f>IF(F3611&lt;&gt;"","综合校验","")</f>
        <v/>
      </c>
      <c r="F3611" s="14">
        <f>IF('09_连续性验收'!A111&lt;&gt;"",IF('09_连续性验收'!A111="","缺少验收ID；","")&amp;IF('09_连续性验收'!B111="","缺少对象ID；","")&amp;IF('09_连续性验收'!C111="","缺少检查类型；","")&amp;IF(AND('09_连续性验收'!J111&lt;&gt;"",'09_连续性验收'!K111&lt;&gt;"",'09_连续性验收'!J111&gt;'09_连续性验收'!K111),"坐标偏差超标；","")&amp;IF(AND('09_连续性验收'!B111&lt;&gt;"",COUNTIF('02_固定地理'!$A$2:$A$501,'09_连续性验收'!B111)+COUNTIF('03_地点锚点'!$A$2:$A$501,'09_连续性验收'!B111)+COUNTIF('04_路径网络'!$A$2:$A$501,'09_连续性验收'!B111)+COUNTIF('06_建筑锚点'!$A$2:$A$501,'09_连续性验收'!B111)=0),"验收对象不存在；","")&amp;IF(AND('09_连续性验收'!A111&lt;&gt;"",COUNTIF('09_连续性验收'!$A$2:$A$501,'09_连续性验收'!A111)&gt;1),"ID重复；",""),"")</f>
        <v/>
      </c>
      <c r="G3611" s="14">
        <f>IF(F3611&lt;&gt;"","按字段批注、数据字典和来源记录修正后复核","")</f>
        <v/>
      </c>
      <c r="H3611" s="14">
        <f>IF(F3611&lt;&gt;"","待处理","")</f>
        <v/>
      </c>
    </row>
    <row r="3612">
      <c r="A3612" s="14">
        <f>IF(F3612&lt;&gt;"","ISSUE-"&amp;TEXT(ROW()-1,"00000"),"")</f>
        <v/>
      </c>
      <c r="B3612" s="14">
        <f>IF(F3612&lt;&gt;"","错误","")</f>
        <v/>
      </c>
      <c r="C3612" s="14">
        <f>IF('09_连续性验收'!A112&lt;&gt;"","09_连续性验收","")</f>
        <v/>
      </c>
      <c r="D3612" s="14">
        <f>IF('09_连续性验收'!A112&lt;&gt;"",'09_连续性验收'!A112,"")</f>
        <v/>
      </c>
      <c r="E3612" s="14">
        <f>IF(F3612&lt;&gt;"","综合校验","")</f>
        <v/>
      </c>
      <c r="F3612" s="14">
        <f>IF('09_连续性验收'!A112&lt;&gt;"",IF('09_连续性验收'!A112="","缺少验收ID；","")&amp;IF('09_连续性验收'!B112="","缺少对象ID；","")&amp;IF('09_连续性验收'!C112="","缺少检查类型；","")&amp;IF(AND('09_连续性验收'!J112&lt;&gt;"",'09_连续性验收'!K112&lt;&gt;"",'09_连续性验收'!J112&gt;'09_连续性验收'!K112),"坐标偏差超标；","")&amp;IF(AND('09_连续性验收'!B112&lt;&gt;"",COUNTIF('02_固定地理'!$A$2:$A$501,'09_连续性验收'!B112)+COUNTIF('03_地点锚点'!$A$2:$A$501,'09_连续性验收'!B112)+COUNTIF('04_路径网络'!$A$2:$A$501,'09_连续性验收'!B112)+COUNTIF('06_建筑锚点'!$A$2:$A$501,'09_连续性验收'!B112)=0),"验收对象不存在；","")&amp;IF(AND('09_连续性验收'!A112&lt;&gt;"",COUNTIF('09_连续性验收'!$A$2:$A$501,'09_连续性验收'!A112)&gt;1),"ID重复；",""),"")</f>
        <v/>
      </c>
      <c r="G3612" s="14">
        <f>IF(F3612&lt;&gt;"","按字段批注、数据字典和来源记录修正后复核","")</f>
        <v/>
      </c>
      <c r="H3612" s="14">
        <f>IF(F3612&lt;&gt;"","待处理","")</f>
        <v/>
      </c>
    </row>
    <row r="3613">
      <c r="A3613" s="14">
        <f>IF(F3613&lt;&gt;"","ISSUE-"&amp;TEXT(ROW()-1,"00000"),"")</f>
        <v/>
      </c>
      <c r="B3613" s="14">
        <f>IF(F3613&lt;&gt;"","错误","")</f>
        <v/>
      </c>
      <c r="C3613" s="14">
        <f>IF('09_连续性验收'!A113&lt;&gt;"","09_连续性验收","")</f>
        <v/>
      </c>
      <c r="D3613" s="14">
        <f>IF('09_连续性验收'!A113&lt;&gt;"",'09_连续性验收'!A113,"")</f>
        <v/>
      </c>
      <c r="E3613" s="14">
        <f>IF(F3613&lt;&gt;"","综合校验","")</f>
        <v/>
      </c>
      <c r="F3613" s="14">
        <f>IF('09_连续性验收'!A113&lt;&gt;"",IF('09_连续性验收'!A113="","缺少验收ID；","")&amp;IF('09_连续性验收'!B113="","缺少对象ID；","")&amp;IF('09_连续性验收'!C113="","缺少检查类型；","")&amp;IF(AND('09_连续性验收'!J113&lt;&gt;"",'09_连续性验收'!K113&lt;&gt;"",'09_连续性验收'!J113&gt;'09_连续性验收'!K113),"坐标偏差超标；","")&amp;IF(AND('09_连续性验收'!B113&lt;&gt;"",COUNTIF('02_固定地理'!$A$2:$A$501,'09_连续性验收'!B113)+COUNTIF('03_地点锚点'!$A$2:$A$501,'09_连续性验收'!B113)+COUNTIF('04_路径网络'!$A$2:$A$501,'09_连续性验收'!B113)+COUNTIF('06_建筑锚点'!$A$2:$A$501,'09_连续性验收'!B113)=0),"验收对象不存在；","")&amp;IF(AND('09_连续性验收'!A113&lt;&gt;"",COUNTIF('09_连续性验收'!$A$2:$A$501,'09_连续性验收'!A113)&gt;1),"ID重复；",""),"")</f>
        <v/>
      </c>
      <c r="G3613" s="14">
        <f>IF(F3613&lt;&gt;"","按字段批注、数据字典和来源记录修正后复核","")</f>
        <v/>
      </c>
      <c r="H3613" s="14">
        <f>IF(F3613&lt;&gt;"","待处理","")</f>
        <v/>
      </c>
    </row>
    <row r="3614">
      <c r="A3614" s="14">
        <f>IF(F3614&lt;&gt;"","ISSUE-"&amp;TEXT(ROW()-1,"00000"),"")</f>
        <v/>
      </c>
      <c r="B3614" s="14">
        <f>IF(F3614&lt;&gt;"","错误","")</f>
        <v/>
      </c>
      <c r="C3614" s="14">
        <f>IF('09_连续性验收'!A114&lt;&gt;"","09_连续性验收","")</f>
        <v/>
      </c>
      <c r="D3614" s="14">
        <f>IF('09_连续性验收'!A114&lt;&gt;"",'09_连续性验收'!A114,"")</f>
        <v/>
      </c>
      <c r="E3614" s="14">
        <f>IF(F3614&lt;&gt;"","综合校验","")</f>
        <v/>
      </c>
      <c r="F3614" s="14">
        <f>IF('09_连续性验收'!A114&lt;&gt;"",IF('09_连续性验收'!A114="","缺少验收ID；","")&amp;IF('09_连续性验收'!B114="","缺少对象ID；","")&amp;IF('09_连续性验收'!C114="","缺少检查类型；","")&amp;IF(AND('09_连续性验收'!J114&lt;&gt;"",'09_连续性验收'!K114&lt;&gt;"",'09_连续性验收'!J114&gt;'09_连续性验收'!K114),"坐标偏差超标；","")&amp;IF(AND('09_连续性验收'!B114&lt;&gt;"",COUNTIF('02_固定地理'!$A$2:$A$501,'09_连续性验收'!B114)+COUNTIF('03_地点锚点'!$A$2:$A$501,'09_连续性验收'!B114)+COUNTIF('04_路径网络'!$A$2:$A$501,'09_连续性验收'!B114)+COUNTIF('06_建筑锚点'!$A$2:$A$501,'09_连续性验收'!B114)=0),"验收对象不存在；","")&amp;IF(AND('09_连续性验收'!A114&lt;&gt;"",COUNTIF('09_连续性验收'!$A$2:$A$501,'09_连续性验收'!A114)&gt;1),"ID重复；",""),"")</f>
        <v/>
      </c>
      <c r="G3614" s="14">
        <f>IF(F3614&lt;&gt;"","按字段批注、数据字典和来源记录修正后复核","")</f>
        <v/>
      </c>
      <c r="H3614" s="14">
        <f>IF(F3614&lt;&gt;"","待处理","")</f>
        <v/>
      </c>
    </row>
    <row r="3615">
      <c r="A3615" s="14">
        <f>IF(F3615&lt;&gt;"","ISSUE-"&amp;TEXT(ROW()-1,"00000"),"")</f>
        <v/>
      </c>
      <c r="B3615" s="14">
        <f>IF(F3615&lt;&gt;"","错误","")</f>
        <v/>
      </c>
      <c r="C3615" s="14">
        <f>IF('09_连续性验收'!A115&lt;&gt;"","09_连续性验收","")</f>
        <v/>
      </c>
      <c r="D3615" s="14">
        <f>IF('09_连续性验收'!A115&lt;&gt;"",'09_连续性验收'!A115,"")</f>
        <v/>
      </c>
      <c r="E3615" s="14">
        <f>IF(F3615&lt;&gt;"","综合校验","")</f>
        <v/>
      </c>
      <c r="F3615" s="14">
        <f>IF('09_连续性验收'!A115&lt;&gt;"",IF('09_连续性验收'!A115="","缺少验收ID；","")&amp;IF('09_连续性验收'!B115="","缺少对象ID；","")&amp;IF('09_连续性验收'!C115="","缺少检查类型；","")&amp;IF(AND('09_连续性验收'!J115&lt;&gt;"",'09_连续性验收'!K115&lt;&gt;"",'09_连续性验收'!J115&gt;'09_连续性验收'!K115),"坐标偏差超标；","")&amp;IF(AND('09_连续性验收'!B115&lt;&gt;"",COUNTIF('02_固定地理'!$A$2:$A$501,'09_连续性验收'!B115)+COUNTIF('03_地点锚点'!$A$2:$A$501,'09_连续性验收'!B115)+COUNTIF('04_路径网络'!$A$2:$A$501,'09_连续性验收'!B115)+COUNTIF('06_建筑锚点'!$A$2:$A$501,'09_连续性验收'!B115)=0),"验收对象不存在；","")&amp;IF(AND('09_连续性验收'!A115&lt;&gt;"",COUNTIF('09_连续性验收'!$A$2:$A$501,'09_连续性验收'!A115)&gt;1),"ID重复；",""),"")</f>
        <v/>
      </c>
      <c r="G3615" s="14">
        <f>IF(F3615&lt;&gt;"","按字段批注、数据字典和来源记录修正后复核","")</f>
        <v/>
      </c>
      <c r="H3615" s="14">
        <f>IF(F3615&lt;&gt;"","待处理","")</f>
        <v/>
      </c>
    </row>
    <row r="3616">
      <c r="A3616" s="14">
        <f>IF(F3616&lt;&gt;"","ISSUE-"&amp;TEXT(ROW()-1,"00000"),"")</f>
        <v/>
      </c>
      <c r="B3616" s="14">
        <f>IF(F3616&lt;&gt;"","错误","")</f>
        <v/>
      </c>
      <c r="C3616" s="14">
        <f>IF('09_连续性验收'!A116&lt;&gt;"","09_连续性验收","")</f>
        <v/>
      </c>
      <c r="D3616" s="14">
        <f>IF('09_连续性验收'!A116&lt;&gt;"",'09_连续性验收'!A116,"")</f>
        <v/>
      </c>
      <c r="E3616" s="14">
        <f>IF(F3616&lt;&gt;"","综合校验","")</f>
        <v/>
      </c>
      <c r="F3616" s="14">
        <f>IF('09_连续性验收'!A116&lt;&gt;"",IF('09_连续性验收'!A116="","缺少验收ID；","")&amp;IF('09_连续性验收'!B116="","缺少对象ID；","")&amp;IF('09_连续性验收'!C116="","缺少检查类型；","")&amp;IF(AND('09_连续性验收'!J116&lt;&gt;"",'09_连续性验收'!K116&lt;&gt;"",'09_连续性验收'!J116&gt;'09_连续性验收'!K116),"坐标偏差超标；","")&amp;IF(AND('09_连续性验收'!B116&lt;&gt;"",COUNTIF('02_固定地理'!$A$2:$A$501,'09_连续性验收'!B116)+COUNTIF('03_地点锚点'!$A$2:$A$501,'09_连续性验收'!B116)+COUNTIF('04_路径网络'!$A$2:$A$501,'09_连续性验收'!B116)+COUNTIF('06_建筑锚点'!$A$2:$A$501,'09_连续性验收'!B116)=0),"验收对象不存在；","")&amp;IF(AND('09_连续性验收'!A116&lt;&gt;"",COUNTIF('09_连续性验收'!$A$2:$A$501,'09_连续性验收'!A116)&gt;1),"ID重复；",""),"")</f>
        <v/>
      </c>
      <c r="G3616" s="14">
        <f>IF(F3616&lt;&gt;"","按字段批注、数据字典和来源记录修正后复核","")</f>
        <v/>
      </c>
      <c r="H3616" s="14">
        <f>IF(F3616&lt;&gt;"","待处理","")</f>
        <v/>
      </c>
    </row>
    <row r="3617">
      <c r="A3617" s="14">
        <f>IF(F3617&lt;&gt;"","ISSUE-"&amp;TEXT(ROW()-1,"00000"),"")</f>
        <v/>
      </c>
      <c r="B3617" s="14">
        <f>IF(F3617&lt;&gt;"","错误","")</f>
        <v/>
      </c>
      <c r="C3617" s="14">
        <f>IF('09_连续性验收'!A117&lt;&gt;"","09_连续性验收","")</f>
        <v/>
      </c>
      <c r="D3617" s="14">
        <f>IF('09_连续性验收'!A117&lt;&gt;"",'09_连续性验收'!A117,"")</f>
        <v/>
      </c>
      <c r="E3617" s="14">
        <f>IF(F3617&lt;&gt;"","综合校验","")</f>
        <v/>
      </c>
      <c r="F3617" s="14">
        <f>IF('09_连续性验收'!A117&lt;&gt;"",IF('09_连续性验收'!A117="","缺少验收ID；","")&amp;IF('09_连续性验收'!B117="","缺少对象ID；","")&amp;IF('09_连续性验收'!C117="","缺少检查类型；","")&amp;IF(AND('09_连续性验收'!J117&lt;&gt;"",'09_连续性验收'!K117&lt;&gt;"",'09_连续性验收'!J117&gt;'09_连续性验收'!K117),"坐标偏差超标；","")&amp;IF(AND('09_连续性验收'!B117&lt;&gt;"",COUNTIF('02_固定地理'!$A$2:$A$501,'09_连续性验收'!B117)+COUNTIF('03_地点锚点'!$A$2:$A$501,'09_连续性验收'!B117)+COUNTIF('04_路径网络'!$A$2:$A$501,'09_连续性验收'!B117)+COUNTIF('06_建筑锚点'!$A$2:$A$501,'09_连续性验收'!B117)=0),"验收对象不存在；","")&amp;IF(AND('09_连续性验收'!A117&lt;&gt;"",COUNTIF('09_连续性验收'!$A$2:$A$501,'09_连续性验收'!A117)&gt;1),"ID重复；",""),"")</f>
        <v/>
      </c>
      <c r="G3617" s="14">
        <f>IF(F3617&lt;&gt;"","按字段批注、数据字典和来源记录修正后复核","")</f>
        <v/>
      </c>
      <c r="H3617" s="14">
        <f>IF(F3617&lt;&gt;"","待处理","")</f>
        <v/>
      </c>
    </row>
    <row r="3618">
      <c r="A3618" s="14">
        <f>IF(F3618&lt;&gt;"","ISSUE-"&amp;TEXT(ROW()-1,"00000"),"")</f>
        <v/>
      </c>
      <c r="B3618" s="14">
        <f>IF(F3618&lt;&gt;"","错误","")</f>
        <v/>
      </c>
      <c r="C3618" s="14">
        <f>IF('09_连续性验收'!A118&lt;&gt;"","09_连续性验收","")</f>
        <v/>
      </c>
      <c r="D3618" s="14">
        <f>IF('09_连续性验收'!A118&lt;&gt;"",'09_连续性验收'!A118,"")</f>
        <v/>
      </c>
      <c r="E3618" s="14">
        <f>IF(F3618&lt;&gt;"","综合校验","")</f>
        <v/>
      </c>
      <c r="F3618" s="14">
        <f>IF('09_连续性验收'!A118&lt;&gt;"",IF('09_连续性验收'!A118="","缺少验收ID；","")&amp;IF('09_连续性验收'!B118="","缺少对象ID；","")&amp;IF('09_连续性验收'!C118="","缺少检查类型；","")&amp;IF(AND('09_连续性验收'!J118&lt;&gt;"",'09_连续性验收'!K118&lt;&gt;"",'09_连续性验收'!J118&gt;'09_连续性验收'!K118),"坐标偏差超标；","")&amp;IF(AND('09_连续性验收'!B118&lt;&gt;"",COUNTIF('02_固定地理'!$A$2:$A$501,'09_连续性验收'!B118)+COUNTIF('03_地点锚点'!$A$2:$A$501,'09_连续性验收'!B118)+COUNTIF('04_路径网络'!$A$2:$A$501,'09_连续性验收'!B118)+COUNTIF('06_建筑锚点'!$A$2:$A$501,'09_连续性验收'!B118)=0),"验收对象不存在；","")&amp;IF(AND('09_连续性验收'!A118&lt;&gt;"",COUNTIF('09_连续性验收'!$A$2:$A$501,'09_连续性验收'!A118)&gt;1),"ID重复；",""),"")</f>
        <v/>
      </c>
      <c r="G3618" s="14">
        <f>IF(F3618&lt;&gt;"","按字段批注、数据字典和来源记录修正后复核","")</f>
        <v/>
      </c>
      <c r="H3618" s="14">
        <f>IF(F3618&lt;&gt;"","待处理","")</f>
        <v/>
      </c>
    </row>
    <row r="3619">
      <c r="A3619" s="14">
        <f>IF(F3619&lt;&gt;"","ISSUE-"&amp;TEXT(ROW()-1,"00000"),"")</f>
        <v/>
      </c>
      <c r="B3619" s="14">
        <f>IF(F3619&lt;&gt;"","错误","")</f>
        <v/>
      </c>
      <c r="C3619" s="14">
        <f>IF('09_连续性验收'!A119&lt;&gt;"","09_连续性验收","")</f>
        <v/>
      </c>
      <c r="D3619" s="14">
        <f>IF('09_连续性验收'!A119&lt;&gt;"",'09_连续性验收'!A119,"")</f>
        <v/>
      </c>
      <c r="E3619" s="14">
        <f>IF(F3619&lt;&gt;"","综合校验","")</f>
        <v/>
      </c>
      <c r="F3619" s="14">
        <f>IF('09_连续性验收'!A119&lt;&gt;"",IF('09_连续性验收'!A119="","缺少验收ID；","")&amp;IF('09_连续性验收'!B119="","缺少对象ID；","")&amp;IF('09_连续性验收'!C119="","缺少检查类型；","")&amp;IF(AND('09_连续性验收'!J119&lt;&gt;"",'09_连续性验收'!K119&lt;&gt;"",'09_连续性验收'!J119&gt;'09_连续性验收'!K119),"坐标偏差超标；","")&amp;IF(AND('09_连续性验收'!B119&lt;&gt;"",COUNTIF('02_固定地理'!$A$2:$A$501,'09_连续性验收'!B119)+COUNTIF('03_地点锚点'!$A$2:$A$501,'09_连续性验收'!B119)+COUNTIF('04_路径网络'!$A$2:$A$501,'09_连续性验收'!B119)+COUNTIF('06_建筑锚点'!$A$2:$A$501,'09_连续性验收'!B119)=0),"验收对象不存在；","")&amp;IF(AND('09_连续性验收'!A119&lt;&gt;"",COUNTIF('09_连续性验收'!$A$2:$A$501,'09_连续性验收'!A119)&gt;1),"ID重复；",""),"")</f>
        <v/>
      </c>
      <c r="G3619" s="14">
        <f>IF(F3619&lt;&gt;"","按字段批注、数据字典和来源记录修正后复核","")</f>
        <v/>
      </c>
      <c r="H3619" s="14">
        <f>IF(F3619&lt;&gt;"","待处理","")</f>
        <v/>
      </c>
    </row>
    <row r="3620">
      <c r="A3620" s="14">
        <f>IF(F3620&lt;&gt;"","ISSUE-"&amp;TEXT(ROW()-1,"00000"),"")</f>
        <v/>
      </c>
      <c r="B3620" s="14">
        <f>IF(F3620&lt;&gt;"","错误","")</f>
        <v/>
      </c>
      <c r="C3620" s="14">
        <f>IF('09_连续性验收'!A120&lt;&gt;"","09_连续性验收","")</f>
        <v/>
      </c>
      <c r="D3620" s="14">
        <f>IF('09_连续性验收'!A120&lt;&gt;"",'09_连续性验收'!A120,"")</f>
        <v/>
      </c>
      <c r="E3620" s="14">
        <f>IF(F3620&lt;&gt;"","综合校验","")</f>
        <v/>
      </c>
      <c r="F3620" s="14">
        <f>IF('09_连续性验收'!A120&lt;&gt;"",IF('09_连续性验收'!A120="","缺少验收ID；","")&amp;IF('09_连续性验收'!B120="","缺少对象ID；","")&amp;IF('09_连续性验收'!C120="","缺少检查类型；","")&amp;IF(AND('09_连续性验收'!J120&lt;&gt;"",'09_连续性验收'!K120&lt;&gt;"",'09_连续性验收'!J120&gt;'09_连续性验收'!K120),"坐标偏差超标；","")&amp;IF(AND('09_连续性验收'!B120&lt;&gt;"",COUNTIF('02_固定地理'!$A$2:$A$501,'09_连续性验收'!B120)+COUNTIF('03_地点锚点'!$A$2:$A$501,'09_连续性验收'!B120)+COUNTIF('04_路径网络'!$A$2:$A$501,'09_连续性验收'!B120)+COUNTIF('06_建筑锚点'!$A$2:$A$501,'09_连续性验收'!B120)=0),"验收对象不存在；","")&amp;IF(AND('09_连续性验收'!A120&lt;&gt;"",COUNTIF('09_连续性验收'!$A$2:$A$501,'09_连续性验收'!A120)&gt;1),"ID重复；",""),"")</f>
        <v/>
      </c>
      <c r="G3620" s="14">
        <f>IF(F3620&lt;&gt;"","按字段批注、数据字典和来源记录修正后复核","")</f>
        <v/>
      </c>
      <c r="H3620" s="14">
        <f>IF(F3620&lt;&gt;"","待处理","")</f>
        <v/>
      </c>
    </row>
    <row r="3621">
      <c r="A3621" s="14">
        <f>IF(F3621&lt;&gt;"","ISSUE-"&amp;TEXT(ROW()-1,"00000"),"")</f>
        <v/>
      </c>
      <c r="B3621" s="14">
        <f>IF(F3621&lt;&gt;"","错误","")</f>
        <v/>
      </c>
      <c r="C3621" s="14">
        <f>IF('09_连续性验收'!A121&lt;&gt;"","09_连续性验收","")</f>
        <v/>
      </c>
      <c r="D3621" s="14">
        <f>IF('09_连续性验收'!A121&lt;&gt;"",'09_连续性验收'!A121,"")</f>
        <v/>
      </c>
      <c r="E3621" s="14">
        <f>IF(F3621&lt;&gt;"","综合校验","")</f>
        <v/>
      </c>
      <c r="F3621" s="14">
        <f>IF('09_连续性验收'!A121&lt;&gt;"",IF('09_连续性验收'!A121="","缺少验收ID；","")&amp;IF('09_连续性验收'!B121="","缺少对象ID；","")&amp;IF('09_连续性验收'!C121="","缺少检查类型；","")&amp;IF(AND('09_连续性验收'!J121&lt;&gt;"",'09_连续性验收'!K121&lt;&gt;"",'09_连续性验收'!J121&gt;'09_连续性验收'!K121),"坐标偏差超标；","")&amp;IF(AND('09_连续性验收'!B121&lt;&gt;"",COUNTIF('02_固定地理'!$A$2:$A$501,'09_连续性验收'!B121)+COUNTIF('03_地点锚点'!$A$2:$A$501,'09_连续性验收'!B121)+COUNTIF('04_路径网络'!$A$2:$A$501,'09_连续性验收'!B121)+COUNTIF('06_建筑锚点'!$A$2:$A$501,'09_连续性验收'!B121)=0),"验收对象不存在；","")&amp;IF(AND('09_连续性验收'!A121&lt;&gt;"",COUNTIF('09_连续性验收'!$A$2:$A$501,'09_连续性验收'!A121)&gt;1),"ID重复；",""),"")</f>
        <v/>
      </c>
      <c r="G3621" s="14">
        <f>IF(F3621&lt;&gt;"","按字段批注、数据字典和来源记录修正后复核","")</f>
        <v/>
      </c>
      <c r="H3621" s="14">
        <f>IF(F3621&lt;&gt;"","待处理","")</f>
        <v/>
      </c>
    </row>
    <row r="3622">
      <c r="A3622" s="14">
        <f>IF(F3622&lt;&gt;"","ISSUE-"&amp;TEXT(ROW()-1,"00000"),"")</f>
        <v/>
      </c>
      <c r="B3622" s="14">
        <f>IF(F3622&lt;&gt;"","错误","")</f>
        <v/>
      </c>
      <c r="C3622" s="14">
        <f>IF('09_连续性验收'!A122&lt;&gt;"","09_连续性验收","")</f>
        <v/>
      </c>
      <c r="D3622" s="14">
        <f>IF('09_连续性验收'!A122&lt;&gt;"",'09_连续性验收'!A122,"")</f>
        <v/>
      </c>
      <c r="E3622" s="14">
        <f>IF(F3622&lt;&gt;"","综合校验","")</f>
        <v/>
      </c>
      <c r="F3622" s="14">
        <f>IF('09_连续性验收'!A122&lt;&gt;"",IF('09_连续性验收'!A122="","缺少验收ID；","")&amp;IF('09_连续性验收'!B122="","缺少对象ID；","")&amp;IF('09_连续性验收'!C122="","缺少检查类型；","")&amp;IF(AND('09_连续性验收'!J122&lt;&gt;"",'09_连续性验收'!K122&lt;&gt;"",'09_连续性验收'!J122&gt;'09_连续性验收'!K122),"坐标偏差超标；","")&amp;IF(AND('09_连续性验收'!B122&lt;&gt;"",COUNTIF('02_固定地理'!$A$2:$A$501,'09_连续性验收'!B122)+COUNTIF('03_地点锚点'!$A$2:$A$501,'09_连续性验收'!B122)+COUNTIF('04_路径网络'!$A$2:$A$501,'09_连续性验收'!B122)+COUNTIF('06_建筑锚点'!$A$2:$A$501,'09_连续性验收'!B122)=0),"验收对象不存在；","")&amp;IF(AND('09_连续性验收'!A122&lt;&gt;"",COUNTIF('09_连续性验收'!$A$2:$A$501,'09_连续性验收'!A122)&gt;1),"ID重复；",""),"")</f>
        <v/>
      </c>
      <c r="G3622" s="14">
        <f>IF(F3622&lt;&gt;"","按字段批注、数据字典和来源记录修正后复核","")</f>
        <v/>
      </c>
      <c r="H3622" s="14">
        <f>IF(F3622&lt;&gt;"","待处理","")</f>
        <v/>
      </c>
    </row>
    <row r="3623">
      <c r="A3623" s="14">
        <f>IF(F3623&lt;&gt;"","ISSUE-"&amp;TEXT(ROW()-1,"00000"),"")</f>
        <v/>
      </c>
      <c r="B3623" s="14">
        <f>IF(F3623&lt;&gt;"","错误","")</f>
        <v/>
      </c>
      <c r="C3623" s="14">
        <f>IF('09_连续性验收'!A123&lt;&gt;"","09_连续性验收","")</f>
        <v/>
      </c>
      <c r="D3623" s="14">
        <f>IF('09_连续性验收'!A123&lt;&gt;"",'09_连续性验收'!A123,"")</f>
        <v/>
      </c>
      <c r="E3623" s="14">
        <f>IF(F3623&lt;&gt;"","综合校验","")</f>
        <v/>
      </c>
      <c r="F3623" s="14">
        <f>IF('09_连续性验收'!A123&lt;&gt;"",IF('09_连续性验收'!A123="","缺少验收ID；","")&amp;IF('09_连续性验收'!B123="","缺少对象ID；","")&amp;IF('09_连续性验收'!C123="","缺少检查类型；","")&amp;IF(AND('09_连续性验收'!J123&lt;&gt;"",'09_连续性验收'!K123&lt;&gt;"",'09_连续性验收'!J123&gt;'09_连续性验收'!K123),"坐标偏差超标；","")&amp;IF(AND('09_连续性验收'!B123&lt;&gt;"",COUNTIF('02_固定地理'!$A$2:$A$501,'09_连续性验收'!B123)+COUNTIF('03_地点锚点'!$A$2:$A$501,'09_连续性验收'!B123)+COUNTIF('04_路径网络'!$A$2:$A$501,'09_连续性验收'!B123)+COUNTIF('06_建筑锚点'!$A$2:$A$501,'09_连续性验收'!B123)=0),"验收对象不存在；","")&amp;IF(AND('09_连续性验收'!A123&lt;&gt;"",COUNTIF('09_连续性验收'!$A$2:$A$501,'09_连续性验收'!A123)&gt;1),"ID重复；",""),"")</f>
        <v/>
      </c>
      <c r="G3623" s="14">
        <f>IF(F3623&lt;&gt;"","按字段批注、数据字典和来源记录修正后复核","")</f>
        <v/>
      </c>
      <c r="H3623" s="14">
        <f>IF(F3623&lt;&gt;"","待处理","")</f>
        <v/>
      </c>
    </row>
    <row r="3624">
      <c r="A3624" s="14">
        <f>IF(F3624&lt;&gt;"","ISSUE-"&amp;TEXT(ROW()-1,"00000"),"")</f>
        <v/>
      </c>
      <c r="B3624" s="14">
        <f>IF(F3624&lt;&gt;"","错误","")</f>
        <v/>
      </c>
      <c r="C3624" s="14">
        <f>IF('09_连续性验收'!A124&lt;&gt;"","09_连续性验收","")</f>
        <v/>
      </c>
      <c r="D3624" s="14">
        <f>IF('09_连续性验收'!A124&lt;&gt;"",'09_连续性验收'!A124,"")</f>
        <v/>
      </c>
      <c r="E3624" s="14">
        <f>IF(F3624&lt;&gt;"","综合校验","")</f>
        <v/>
      </c>
      <c r="F3624" s="14">
        <f>IF('09_连续性验收'!A124&lt;&gt;"",IF('09_连续性验收'!A124="","缺少验收ID；","")&amp;IF('09_连续性验收'!B124="","缺少对象ID；","")&amp;IF('09_连续性验收'!C124="","缺少检查类型；","")&amp;IF(AND('09_连续性验收'!J124&lt;&gt;"",'09_连续性验收'!K124&lt;&gt;"",'09_连续性验收'!J124&gt;'09_连续性验收'!K124),"坐标偏差超标；","")&amp;IF(AND('09_连续性验收'!B124&lt;&gt;"",COUNTIF('02_固定地理'!$A$2:$A$501,'09_连续性验收'!B124)+COUNTIF('03_地点锚点'!$A$2:$A$501,'09_连续性验收'!B124)+COUNTIF('04_路径网络'!$A$2:$A$501,'09_连续性验收'!B124)+COUNTIF('06_建筑锚点'!$A$2:$A$501,'09_连续性验收'!B124)=0),"验收对象不存在；","")&amp;IF(AND('09_连续性验收'!A124&lt;&gt;"",COUNTIF('09_连续性验收'!$A$2:$A$501,'09_连续性验收'!A124)&gt;1),"ID重复；",""),"")</f>
        <v/>
      </c>
      <c r="G3624" s="14">
        <f>IF(F3624&lt;&gt;"","按字段批注、数据字典和来源记录修正后复核","")</f>
        <v/>
      </c>
      <c r="H3624" s="14">
        <f>IF(F3624&lt;&gt;"","待处理","")</f>
        <v/>
      </c>
    </row>
    <row r="3625">
      <c r="A3625" s="14">
        <f>IF(F3625&lt;&gt;"","ISSUE-"&amp;TEXT(ROW()-1,"00000"),"")</f>
        <v/>
      </c>
      <c r="B3625" s="14">
        <f>IF(F3625&lt;&gt;"","错误","")</f>
        <v/>
      </c>
      <c r="C3625" s="14">
        <f>IF('09_连续性验收'!A125&lt;&gt;"","09_连续性验收","")</f>
        <v/>
      </c>
      <c r="D3625" s="14">
        <f>IF('09_连续性验收'!A125&lt;&gt;"",'09_连续性验收'!A125,"")</f>
        <v/>
      </c>
      <c r="E3625" s="14">
        <f>IF(F3625&lt;&gt;"","综合校验","")</f>
        <v/>
      </c>
      <c r="F3625" s="14">
        <f>IF('09_连续性验收'!A125&lt;&gt;"",IF('09_连续性验收'!A125="","缺少验收ID；","")&amp;IF('09_连续性验收'!B125="","缺少对象ID；","")&amp;IF('09_连续性验收'!C125="","缺少检查类型；","")&amp;IF(AND('09_连续性验收'!J125&lt;&gt;"",'09_连续性验收'!K125&lt;&gt;"",'09_连续性验收'!J125&gt;'09_连续性验收'!K125),"坐标偏差超标；","")&amp;IF(AND('09_连续性验收'!B125&lt;&gt;"",COUNTIF('02_固定地理'!$A$2:$A$501,'09_连续性验收'!B125)+COUNTIF('03_地点锚点'!$A$2:$A$501,'09_连续性验收'!B125)+COUNTIF('04_路径网络'!$A$2:$A$501,'09_连续性验收'!B125)+COUNTIF('06_建筑锚点'!$A$2:$A$501,'09_连续性验收'!B125)=0),"验收对象不存在；","")&amp;IF(AND('09_连续性验收'!A125&lt;&gt;"",COUNTIF('09_连续性验收'!$A$2:$A$501,'09_连续性验收'!A125)&gt;1),"ID重复；",""),"")</f>
        <v/>
      </c>
      <c r="G3625" s="14">
        <f>IF(F3625&lt;&gt;"","按字段批注、数据字典和来源记录修正后复核","")</f>
        <v/>
      </c>
      <c r="H3625" s="14">
        <f>IF(F3625&lt;&gt;"","待处理","")</f>
        <v/>
      </c>
    </row>
    <row r="3626">
      <c r="A3626" s="14">
        <f>IF(F3626&lt;&gt;"","ISSUE-"&amp;TEXT(ROW()-1,"00000"),"")</f>
        <v/>
      </c>
      <c r="B3626" s="14">
        <f>IF(F3626&lt;&gt;"","错误","")</f>
        <v/>
      </c>
      <c r="C3626" s="14">
        <f>IF('09_连续性验收'!A126&lt;&gt;"","09_连续性验收","")</f>
        <v/>
      </c>
      <c r="D3626" s="14">
        <f>IF('09_连续性验收'!A126&lt;&gt;"",'09_连续性验收'!A126,"")</f>
        <v/>
      </c>
      <c r="E3626" s="14">
        <f>IF(F3626&lt;&gt;"","综合校验","")</f>
        <v/>
      </c>
      <c r="F3626" s="14">
        <f>IF('09_连续性验收'!A126&lt;&gt;"",IF('09_连续性验收'!A126="","缺少验收ID；","")&amp;IF('09_连续性验收'!B126="","缺少对象ID；","")&amp;IF('09_连续性验收'!C126="","缺少检查类型；","")&amp;IF(AND('09_连续性验收'!J126&lt;&gt;"",'09_连续性验收'!K126&lt;&gt;"",'09_连续性验收'!J126&gt;'09_连续性验收'!K126),"坐标偏差超标；","")&amp;IF(AND('09_连续性验收'!B126&lt;&gt;"",COUNTIF('02_固定地理'!$A$2:$A$501,'09_连续性验收'!B126)+COUNTIF('03_地点锚点'!$A$2:$A$501,'09_连续性验收'!B126)+COUNTIF('04_路径网络'!$A$2:$A$501,'09_连续性验收'!B126)+COUNTIF('06_建筑锚点'!$A$2:$A$501,'09_连续性验收'!B126)=0),"验收对象不存在；","")&amp;IF(AND('09_连续性验收'!A126&lt;&gt;"",COUNTIF('09_连续性验收'!$A$2:$A$501,'09_连续性验收'!A126)&gt;1),"ID重复；",""),"")</f>
        <v/>
      </c>
      <c r="G3626" s="14">
        <f>IF(F3626&lt;&gt;"","按字段批注、数据字典和来源记录修正后复核","")</f>
        <v/>
      </c>
      <c r="H3626" s="14">
        <f>IF(F3626&lt;&gt;"","待处理","")</f>
        <v/>
      </c>
    </row>
    <row r="3627">
      <c r="A3627" s="14">
        <f>IF(F3627&lt;&gt;"","ISSUE-"&amp;TEXT(ROW()-1,"00000"),"")</f>
        <v/>
      </c>
      <c r="B3627" s="14">
        <f>IF(F3627&lt;&gt;"","错误","")</f>
        <v/>
      </c>
      <c r="C3627" s="14">
        <f>IF('09_连续性验收'!A127&lt;&gt;"","09_连续性验收","")</f>
        <v/>
      </c>
      <c r="D3627" s="14">
        <f>IF('09_连续性验收'!A127&lt;&gt;"",'09_连续性验收'!A127,"")</f>
        <v/>
      </c>
      <c r="E3627" s="14">
        <f>IF(F3627&lt;&gt;"","综合校验","")</f>
        <v/>
      </c>
      <c r="F3627" s="14">
        <f>IF('09_连续性验收'!A127&lt;&gt;"",IF('09_连续性验收'!A127="","缺少验收ID；","")&amp;IF('09_连续性验收'!B127="","缺少对象ID；","")&amp;IF('09_连续性验收'!C127="","缺少检查类型；","")&amp;IF(AND('09_连续性验收'!J127&lt;&gt;"",'09_连续性验收'!K127&lt;&gt;"",'09_连续性验收'!J127&gt;'09_连续性验收'!K127),"坐标偏差超标；","")&amp;IF(AND('09_连续性验收'!B127&lt;&gt;"",COUNTIF('02_固定地理'!$A$2:$A$501,'09_连续性验收'!B127)+COUNTIF('03_地点锚点'!$A$2:$A$501,'09_连续性验收'!B127)+COUNTIF('04_路径网络'!$A$2:$A$501,'09_连续性验收'!B127)+COUNTIF('06_建筑锚点'!$A$2:$A$501,'09_连续性验收'!B127)=0),"验收对象不存在；","")&amp;IF(AND('09_连续性验收'!A127&lt;&gt;"",COUNTIF('09_连续性验收'!$A$2:$A$501,'09_连续性验收'!A127)&gt;1),"ID重复；",""),"")</f>
        <v/>
      </c>
      <c r="G3627" s="14">
        <f>IF(F3627&lt;&gt;"","按字段批注、数据字典和来源记录修正后复核","")</f>
        <v/>
      </c>
      <c r="H3627" s="14">
        <f>IF(F3627&lt;&gt;"","待处理","")</f>
        <v/>
      </c>
    </row>
    <row r="3628">
      <c r="A3628" s="14">
        <f>IF(F3628&lt;&gt;"","ISSUE-"&amp;TEXT(ROW()-1,"00000"),"")</f>
        <v/>
      </c>
      <c r="B3628" s="14">
        <f>IF(F3628&lt;&gt;"","错误","")</f>
        <v/>
      </c>
      <c r="C3628" s="14">
        <f>IF('09_连续性验收'!A128&lt;&gt;"","09_连续性验收","")</f>
        <v/>
      </c>
      <c r="D3628" s="14">
        <f>IF('09_连续性验收'!A128&lt;&gt;"",'09_连续性验收'!A128,"")</f>
        <v/>
      </c>
      <c r="E3628" s="14">
        <f>IF(F3628&lt;&gt;"","综合校验","")</f>
        <v/>
      </c>
      <c r="F3628" s="14">
        <f>IF('09_连续性验收'!A128&lt;&gt;"",IF('09_连续性验收'!A128="","缺少验收ID；","")&amp;IF('09_连续性验收'!B128="","缺少对象ID；","")&amp;IF('09_连续性验收'!C128="","缺少检查类型；","")&amp;IF(AND('09_连续性验收'!J128&lt;&gt;"",'09_连续性验收'!K128&lt;&gt;"",'09_连续性验收'!J128&gt;'09_连续性验收'!K128),"坐标偏差超标；","")&amp;IF(AND('09_连续性验收'!B128&lt;&gt;"",COUNTIF('02_固定地理'!$A$2:$A$501,'09_连续性验收'!B128)+COUNTIF('03_地点锚点'!$A$2:$A$501,'09_连续性验收'!B128)+COUNTIF('04_路径网络'!$A$2:$A$501,'09_连续性验收'!B128)+COUNTIF('06_建筑锚点'!$A$2:$A$501,'09_连续性验收'!B128)=0),"验收对象不存在；","")&amp;IF(AND('09_连续性验收'!A128&lt;&gt;"",COUNTIF('09_连续性验收'!$A$2:$A$501,'09_连续性验收'!A128)&gt;1),"ID重复；",""),"")</f>
        <v/>
      </c>
      <c r="G3628" s="14">
        <f>IF(F3628&lt;&gt;"","按字段批注、数据字典和来源记录修正后复核","")</f>
        <v/>
      </c>
      <c r="H3628" s="14">
        <f>IF(F3628&lt;&gt;"","待处理","")</f>
        <v/>
      </c>
    </row>
    <row r="3629">
      <c r="A3629" s="14">
        <f>IF(F3629&lt;&gt;"","ISSUE-"&amp;TEXT(ROW()-1,"00000"),"")</f>
        <v/>
      </c>
      <c r="B3629" s="14">
        <f>IF(F3629&lt;&gt;"","错误","")</f>
        <v/>
      </c>
      <c r="C3629" s="14">
        <f>IF('09_连续性验收'!A129&lt;&gt;"","09_连续性验收","")</f>
        <v/>
      </c>
      <c r="D3629" s="14">
        <f>IF('09_连续性验收'!A129&lt;&gt;"",'09_连续性验收'!A129,"")</f>
        <v/>
      </c>
      <c r="E3629" s="14">
        <f>IF(F3629&lt;&gt;"","综合校验","")</f>
        <v/>
      </c>
      <c r="F3629" s="14">
        <f>IF('09_连续性验收'!A129&lt;&gt;"",IF('09_连续性验收'!A129="","缺少验收ID；","")&amp;IF('09_连续性验收'!B129="","缺少对象ID；","")&amp;IF('09_连续性验收'!C129="","缺少检查类型；","")&amp;IF(AND('09_连续性验收'!J129&lt;&gt;"",'09_连续性验收'!K129&lt;&gt;"",'09_连续性验收'!J129&gt;'09_连续性验收'!K129),"坐标偏差超标；","")&amp;IF(AND('09_连续性验收'!B129&lt;&gt;"",COUNTIF('02_固定地理'!$A$2:$A$501,'09_连续性验收'!B129)+COUNTIF('03_地点锚点'!$A$2:$A$501,'09_连续性验收'!B129)+COUNTIF('04_路径网络'!$A$2:$A$501,'09_连续性验收'!B129)+COUNTIF('06_建筑锚点'!$A$2:$A$501,'09_连续性验收'!B129)=0),"验收对象不存在；","")&amp;IF(AND('09_连续性验收'!A129&lt;&gt;"",COUNTIF('09_连续性验收'!$A$2:$A$501,'09_连续性验收'!A129)&gt;1),"ID重复；",""),"")</f>
        <v/>
      </c>
      <c r="G3629" s="14">
        <f>IF(F3629&lt;&gt;"","按字段批注、数据字典和来源记录修正后复核","")</f>
        <v/>
      </c>
      <c r="H3629" s="14">
        <f>IF(F3629&lt;&gt;"","待处理","")</f>
        <v/>
      </c>
    </row>
    <row r="3630">
      <c r="A3630" s="14">
        <f>IF(F3630&lt;&gt;"","ISSUE-"&amp;TEXT(ROW()-1,"00000"),"")</f>
        <v/>
      </c>
      <c r="B3630" s="14">
        <f>IF(F3630&lt;&gt;"","错误","")</f>
        <v/>
      </c>
      <c r="C3630" s="14">
        <f>IF('09_连续性验收'!A130&lt;&gt;"","09_连续性验收","")</f>
        <v/>
      </c>
      <c r="D3630" s="14">
        <f>IF('09_连续性验收'!A130&lt;&gt;"",'09_连续性验收'!A130,"")</f>
        <v/>
      </c>
      <c r="E3630" s="14">
        <f>IF(F3630&lt;&gt;"","综合校验","")</f>
        <v/>
      </c>
      <c r="F3630" s="14">
        <f>IF('09_连续性验收'!A130&lt;&gt;"",IF('09_连续性验收'!A130="","缺少验收ID；","")&amp;IF('09_连续性验收'!B130="","缺少对象ID；","")&amp;IF('09_连续性验收'!C130="","缺少检查类型；","")&amp;IF(AND('09_连续性验收'!J130&lt;&gt;"",'09_连续性验收'!K130&lt;&gt;"",'09_连续性验收'!J130&gt;'09_连续性验收'!K130),"坐标偏差超标；","")&amp;IF(AND('09_连续性验收'!B130&lt;&gt;"",COUNTIF('02_固定地理'!$A$2:$A$501,'09_连续性验收'!B130)+COUNTIF('03_地点锚点'!$A$2:$A$501,'09_连续性验收'!B130)+COUNTIF('04_路径网络'!$A$2:$A$501,'09_连续性验收'!B130)+COUNTIF('06_建筑锚点'!$A$2:$A$501,'09_连续性验收'!B130)=0),"验收对象不存在；","")&amp;IF(AND('09_连续性验收'!A130&lt;&gt;"",COUNTIF('09_连续性验收'!$A$2:$A$501,'09_连续性验收'!A130)&gt;1),"ID重复；",""),"")</f>
        <v/>
      </c>
      <c r="G3630" s="14">
        <f>IF(F3630&lt;&gt;"","按字段批注、数据字典和来源记录修正后复核","")</f>
        <v/>
      </c>
      <c r="H3630" s="14">
        <f>IF(F3630&lt;&gt;"","待处理","")</f>
        <v/>
      </c>
    </row>
    <row r="3631">
      <c r="A3631" s="14">
        <f>IF(F3631&lt;&gt;"","ISSUE-"&amp;TEXT(ROW()-1,"00000"),"")</f>
        <v/>
      </c>
      <c r="B3631" s="14">
        <f>IF(F3631&lt;&gt;"","错误","")</f>
        <v/>
      </c>
      <c r="C3631" s="14">
        <f>IF('09_连续性验收'!A131&lt;&gt;"","09_连续性验收","")</f>
        <v/>
      </c>
      <c r="D3631" s="14">
        <f>IF('09_连续性验收'!A131&lt;&gt;"",'09_连续性验收'!A131,"")</f>
        <v/>
      </c>
      <c r="E3631" s="14">
        <f>IF(F3631&lt;&gt;"","综合校验","")</f>
        <v/>
      </c>
      <c r="F3631" s="14">
        <f>IF('09_连续性验收'!A131&lt;&gt;"",IF('09_连续性验收'!A131="","缺少验收ID；","")&amp;IF('09_连续性验收'!B131="","缺少对象ID；","")&amp;IF('09_连续性验收'!C131="","缺少检查类型；","")&amp;IF(AND('09_连续性验收'!J131&lt;&gt;"",'09_连续性验收'!K131&lt;&gt;"",'09_连续性验收'!J131&gt;'09_连续性验收'!K131),"坐标偏差超标；","")&amp;IF(AND('09_连续性验收'!B131&lt;&gt;"",COUNTIF('02_固定地理'!$A$2:$A$501,'09_连续性验收'!B131)+COUNTIF('03_地点锚点'!$A$2:$A$501,'09_连续性验收'!B131)+COUNTIF('04_路径网络'!$A$2:$A$501,'09_连续性验收'!B131)+COUNTIF('06_建筑锚点'!$A$2:$A$501,'09_连续性验收'!B131)=0),"验收对象不存在；","")&amp;IF(AND('09_连续性验收'!A131&lt;&gt;"",COUNTIF('09_连续性验收'!$A$2:$A$501,'09_连续性验收'!A131)&gt;1),"ID重复；",""),"")</f>
        <v/>
      </c>
      <c r="G3631" s="14">
        <f>IF(F3631&lt;&gt;"","按字段批注、数据字典和来源记录修正后复核","")</f>
        <v/>
      </c>
      <c r="H3631" s="14">
        <f>IF(F3631&lt;&gt;"","待处理","")</f>
        <v/>
      </c>
    </row>
    <row r="3632">
      <c r="A3632" s="14">
        <f>IF(F3632&lt;&gt;"","ISSUE-"&amp;TEXT(ROW()-1,"00000"),"")</f>
        <v/>
      </c>
      <c r="B3632" s="14">
        <f>IF(F3632&lt;&gt;"","错误","")</f>
        <v/>
      </c>
      <c r="C3632" s="14">
        <f>IF('09_连续性验收'!A132&lt;&gt;"","09_连续性验收","")</f>
        <v/>
      </c>
      <c r="D3632" s="14">
        <f>IF('09_连续性验收'!A132&lt;&gt;"",'09_连续性验收'!A132,"")</f>
        <v/>
      </c>
      <c r="E3632" s="14">
        <f>IF(F3632&lt;&gt;"","综合校验","")</f>
        <v/>
      </c>
      <c r="F3632" s="14">
        <f>IF('09_连续性验收'!A132&lt;&gt;"",IF('09_连续性验收'!A132="","缺少验收ID；","")&amp;IF('09_连续性验收'!B132="","缺少对象ID；","")&amp;IF('09_连续性验收'!C132="","缺少检查类型；","")&amp;IF(AND('09_连续性验收'!J132&lt;&gt;"",'09_连续性验收'!K132&lt;&gt;"",'09_连续性验收'!J132&gt;'09_连续性验收'!K132),"坐标偏差超标；","")&amp;IF(AND('09_连续性验收'!B132&lt;&gt;"",COUNTIF('02_固定地理'!$A$2:$A$501,'09_连续性验收'!B132)+COUNTIF('03_地点锚点'!$A$2:$A$501,'09_连续性验收'!B132)+COUNTIF('04_路径网络'!$A$2:$A$501,'09_连续性验收'!B132)+COUNTIF('06_建筑锚点'!$A$2:$A$501,'09_连续性验收'!B132)=0),"验收对象不存在；","")&amp;IF(AND('09_连续性验收'!A132&lt;&gt;"",COUNTIF('09_连续性验收'!$A$2:$A$501,'09_连续性验收'!A132)&gt;1),"ID重复；",""),"")</f>
        <v/>
      </c>
      <c r="G3632" s="14">
        <f>IF(F3632&lt;&gt;"","按字段批注、数据字典和来源记录修正后复核","")</f>
        <v/>
      </c>
      <c r="H3632" s="14">
        <f>IF(F3632&lt;&gt;"","待处理","")</f>
        <v/>
      </c>
    </row>
    <row r="3633">
      <c r="A3633" s="14">
        <f>IF(F3633&lt;&gt;"","ISSUE-"&amp;TEXT(ROW()-1,"00000"),"")</f>
        <v/>
      </c>
      <c r="B3633" s="14">
        <f>IF(F3633&lt;&gt;"","错误","")</f>
        <v/>
      </c>
      <c r="C3633" s="14">
        <f>IF('09_连续性验收'!A133&lt;&gt;"","09_连续性验收","")</f>
        <v/>
      </c>
      <c r="D3633" s="14">
        <f>IF('09_连续性验收'!A133&lt;&gt;"",'09_连续性验收'!A133,"")</f>
        <v/>
      </c>
      <c r="E3633" s="14">
        <f>IF(F3633&lt;&gt;"","综合校验","")</f>
        <v/>
      </c>
      <c r="F3633" s="14">
        <f>IF('09_连续性验收'!A133&lt;&gt;"",IF('09_连续性验收'!A133="","缺少验收ID；","")&amp;IF('09_连续性验收'!B133="","缺少对象ID；","")&amp;IF('09_连续性验收'!C133="","缺少检查类型；","")&amp;IF(AND('09_连续性验收'!J133&lt;&gt;"",'09_连续性验收'!K133&lt;&gt;"",'09_连续性验收'!J133&gt;'09_连续性验收'!K133),"坐标偏差超标；","")&amp;IF(AND('09_连续性验收'!B133&lt;&gt;"",COUNTIF('02_固定地理'!$A$2:$A$501,'09_连续性验收'!B133)+COUNTIF('03_地点锚点'!$A$2:$A$501,'09_连续性验收'!B133)+COUNTIF('04_路径网络'!$A$2:$A$501,'09_连续性验收'!B133)+COUNTIF('06_建筑锚点'!$A$2:$A$501,'09_连续性验收'!B133)=0),"验收对象不存在；","")&amp;IF(AND('09_连续性验收'!A133&lt;&gt;"",COUNTIF('09_连续性验收'!$A$2:$A$501,'09_连续性验收'!A133)&gt;1),"ID重复；",""),"")</f>
        <v/>
      </c>
      <c r="G3633" s="14">
        <f>IF(F3633&lt;&gt;"","按字段批注、数据字典和来源记录修正后复核","")</f>
        <v/>
      </c>
      <c r="H3633" s="14">
        <f>IF(F3633&lt;&gt;"","待处理","")</f>
        <v/>
      </c>
    </row>
    <row r="3634">
      <c r="A3634" s="14">
        <f>IF(F3634&lt;&gt;"","ISSUE-"&amp;TEXT(ROW()-1,"00000"),"")</f>
        <v/>
      </c>
      <c r="B3634" s="14">
        <f>IF(F3634&lt;&gt;"","错误","")</f>
        <v/>
      </c>
      <c r="C3634" s="14">
        <f>IF('09_连续性验收'!A134&lt;&gt;"","09_连续性验收","")</f>
        <v/>
      </c>
      <c r="D3634" s="14">
        <f>IF('09_连续性验收'!A134&lt;&gt;"",'09_连续性验收'!A134,"")</f>
        <v/>
      </c>
      <c r="E3634" s="14">
        <f>IF(F3634&lt;&gt;"","综合校验","")</f>
        <v/>
      </c>
      <c r="F3634" s="14">
        <f>IF('09_连续性验收'!A134&lt;&gt;"",IF('09_连续性验收'!A134="","缺少验收ID；","")&amp;IF('09_连续性验收'!B134="","缺少对象ID；","")&amp;IF('09_连续性验收'!C134="","缺少检查类型；","")&amp;IF(AND('09_连续性验收'!J134&lt;&gt;"",'09_连续性验收'!K134&lt;&gt;"",'09_连续性验收'!J134&gt;'09_连续性验收'!K134),"坐标偏差超标；","")&amp;IF(AND('09_连续性验收'!B134&lt;&gt;"",COUNTIF('02_固定地理'!$A$2:$A$501,'09_连续性验收'!B134)+COUNTIF('03_地点锚点'!$A$2:$A$501,'09_连续性验收'!B134)+COUNTIF('04_路径网络'!$A$2:$A$501,'09_连续性验收'!B134)+COUNTIF('06_建筑锚点'!$A$2:$A$501,'09_连续性验收'!B134)=0),"验收对象不存在；","")&amp;IF(AND('09_连续性验收'!A134&lt;&gt;"",COUNTIF('09_连续性验收'!$A$2:$A$501,'09_连续性验收'!A134)&gt;1),"ID重复；",""),"")</f>
        <v/>
      </c>
      <c r="G3634" s="14">
        <f>IF(F3634&lt;&gt;"","按字段批注、数据字典和来源记录修正后复核","")</f>
        <v/>
      </c>
      <c r="H3634" s="14">
        <f>IF(F3634&lt;&gt;"","待处理","")</f>
        <v/>
      </c>
    </row>
    <row r="3635">
      <c r="A3635" s="14">
        <f>IF(F3635&lt;&gt;"","ISSUE-"&amp;TEXT(ROW()-1,"00000"),"")</f>
        <v/>
      </c>
      <c r="B3635" s="14">
        <f>IF(F3635&lt;&gt;"","错误","")</f>
        <v/>
      </c>
      <c r="C3635" s="14">
        <f>IF('09_连续性验收'!A135&lt;&gt;"","09_连续性验收","")</f>
        <v/>
      </c>
      <c r="D3635" s="14">
        <f>IF('09_连续性验收'!A135&lt;&gt;"",'09_连续性验收'!A135,"")</f>
        <v/>
      </c>
      <c r="E3635" s="14">
        <f>IF(F3635&lt;&gt;"","综合校验","")</f>
        <v/>
      </c>
      <c r="F3635" s="14">
        <f>IF('09_连续性验收'!A135&lt;&gt;"",IF('09_连续性验收'!A135="","缺少验收ID；","")&amp;IF('09_连续性验收'!B135="","缺少对象ID；","")&amp;IF('09_连续性验收'!C135="","缺少检查类型；","")&amp;IF(AND('09_连续性验收'!J135&lt;&gt;"",'09_连续性验收'!K135&lt;&gt;"",'09_连续性验收'!J135&gt;'09_连续性验收'!K135),"坐标偏差超标；","")&amp;IF(AND('09_连续性验收'!B135&lt;&gt;"",COUNTIF('02_固定地理'!$A$2:$A$501,'09_连续性验收'!B135)+COUNTIF('03_地点锚点'!$A$2:$A$501,'09_连续性验收'!B135)+COUNTIF('04_路径网络'!$A$2:$A$501,'09_连续性验收'!B135)+COUNTIF('06_建筑锚点'!$A$2:$A$501,'09_连续性验收'!B135)=0),"验收对象不存在；","")&amp;IF(AND('09_连续性验收'!A135&lt;&gt;"",COUNTIF('09_连续性验收'!$A$2:$A$501,'09_连续性验收'!A135)&gt;1),"ID重复；",""),"")</f>
        <v/>
      </c>
      <c r="G3635" s="14">
        <f>IF(F3635&lt;&gt;"","按字段批注、数据字典和来源记录修正后复核","")</f>
        <v/>
      </c>
      <c r="H3635" s="14">
        <f>IF(F3635&lt;&gt;"","待处理","")</f>
        <v/>
      </c>
    </row>
    <row r="3636">
      <c r="A3636" s="14">
        <f>IF(F3636&lt;&gt;"","ISSUE-"&amp;TEXT(ROW()-1,"00000"),"")</f>
        <v/>
      </c>
      <c r="B3636" s="14">
        <f>IF(F3636&lt;&gt;"","错误","")</f>
        <v/>
      </c>
      <c r="C3636" s="14">
        <f>IF('09_连续性验收'!A136&lt;&gt;"","09_连续性验收","")</f>
        <v/>
      </c>
      <c r="D3636" s="14">
        <f>IF('09_连续性验收'!A136&lt;&gt;"",'09_连续性验收'!A136,"")</f>
        <v/>
      </c>
      <c r="E3636" s="14">
        <f>IF(F3636&lt;&gt;"","综合校验","")</f>
        <v/>
      </c>
      <c r="F3636" s="14">
        <f>IF('09_连续性验收'!A136&lt;&gt;"",IF('09_连续性验收'!A136="","缺少验收ID；","")&amp;IF('09_连续性验收'!B136="","缺少对象ID；","")&amp;IF('09_连续性验收'!C136="","缺少检查类型；","")&amp;IF(AND('09_连续性验收'!J136&lt;&gt;"",'09_连续性验收'!K136&lt;&gt;"",'09_连续性验收'!J136&gt;'09_连续性验收'!K136),"坐标偏差超标；","")&amp;IF(AND('09_连续性验收'!B136&lt;&gt;"",COUNTIF('02_固定地理'!$A$2:$A$501,'09_连续性验收'!B136)+COUNTIF('03_地点锚点'!$A$2:$A$501,'09_连续性验收'!B136)+COUNTIF('04_路径网络'!$A$2:$A$501,'09_连续性验收'!B136)+COUNTIF('06_建筑锚点'!$A$2:$A$501,'09_连续性验收'!B136)=0),"验收对象不存在；","")&amp;IF(AND('09_连续性验收'!A136&lt;&gt;"",COUNTIF('09_连续性验收'!$A$2:$A$501,'09_连续性验收'!A136)&gt;1),"ID重复；",""),"")</f>
        <v/>
      </c>
      <c r="G3636" s="14">
        <f>IF(F3636&lt;&gt;"","按字段批注、数据字典和来源记录修正后复核","")</f>
        <v/>
      </c>
      <c r="H3636" s="14">
        <f>IF(F3636&lt;&gt;"","待处理","")</f>
        <v/>
      </c>
    </row>
    <row r="3637">
      <c r="A3637" s="14">
        <f>IF(F3637&lt;&gt;"","ISSUE-"&amp;TEXT(ROW()-1,"00000"),"")</f>
        <v/>
      </c>
      <c r="B3637" s="14">
        <f>IF(F3637&lt;&gt;"","错误","")</f>
        <v/>
      </c>
      <c r="C3637" s="14">
        <f>IF('09_连续性验收'!A137&lt;&gt;"","09_连续性验收","")</f>
        <v/>
      </c>
      <c r="D3637" s="14">
        <f>IF('09_连续性验收'!A137&lt;&gt;"",'09_连续性验收'!A137,"")</f>
        <v/>
      </c>
      <c r="E3637" s="14">
        <f>IF(F3637&lt;&gt;"","综合校验","")</f>
        <v/>
      </c>
      <c r="F3637" s="14">
        <f>IF('09_连续性验收'!A137&lt;&gt;"",IF('09_连续性验收'!A137="","缺少验收ID；","")&amp;IF('09_连续性验收'!B137="","缺少对象ID；","")&amp;IF('09_连续性验收'!C137="","缺少检查类型；","")&amp;IF(AND('09_连续性验收'!J137&lt;&gt;"",'09_连续性验收'!K137&lt;&gt;"",'09_连续性验收'!J137&gt;'09_连续性验收'!K137),"坐标偏差超标；","")&amp;IF(AND('09_连续性验收'!B137&lt;&gt;"",COUNTIF('02_固定地理'!$A$2:$A$501,'09_连续性验收'!B137)+COUNTIF('03_地点锚点'!$A$2:$A$501,'09_连续性验收'!B137)+COUNTIF('04_路径网络'!$A$2:$A$501,'09_连续性验收'!B137)+COUNTIF('06_建筑锚点'!$A$2:$A$501,'09_连续性验收'!B137)=0),"验收对象不存在；","")&amp;IF(AND('09_连续性验收'!A137&lt;&gt;"",COUNTIF('09_连续性验收'!$A$2:$A$501,'09_连续性验收'!A137)&gt;1),"ID重复；",""),"")</f>
        <v/>
      </c>
      <c r="G3637" s="14">
        <f>IF(F3637&lt;&gt;"","按字段批注、数据字典和来源记录修正后复核","")</f>
        <v/>
      </c>
      <c r="H3637" s="14">
        <f>IF(F3637&lt;&gt;"","待处理","")</f>
        <v/>
      </c>
    </row>
    <row r="3638">
      <c r="A3638" s="14">
        <f>IF(F3638&lt;&gt;"","ISSUE-"&amp;TEXT(ROW()-1,"00000"),"")</f>
        <v/>
      </c>
      <c r="B3638" s="14">
        <f>IF(F3638&lt;&gt;"","错误","")</f>
        <v/>
      </c>
      <c r="C3638" s="14">
        <f>IF('09_连续性验收'!A138&lt;&gt;"","09_连续性验收","")</f>
        <v/>
      </c>
      <c r="D3638" s="14">
        <f>IF('09_连续性验收'!A138&lt;&gt;"",'09_连续性验收'!A138,"")</f>
        <v/>
      </c>
      <c r="E3638" s="14">
        <f>IF(F3638&lt;&gt;"","综合校验","")</f>
        <v/>
      </c>
      <c r="F3638" s="14">
        <f>IF('09_连续性验收'!A138&lt;&gt;"",IF('09_连续性验收'!A138="","缺少验收ID；","")&amp;IF('09_连续性验收'!B138="","缺少对象ID；","")&amp;IF('09_连续性验收'!C138="","缺少检查类型；","")&amp;IF(AND('09_连续性验收'!J138&lt;&gt;"",'09_连续性验收'!K138&lt;&gt;"",'09_连续性验收'!J138&gt;'09_连续性验收'!K138),"坐标偏差超标；","")&amp;IF(AND('09_连续性验收'!B138&lt;&gt;"",COUNTIF('02_固定地理'!$A$2:$A$501,'09_连续性验收'!B138)+COUNTIF('03_地点锚点'!$A$2:$A$501,'09_连续性验收'!B138)+COUNTIF('04_路径网络'!$A$2:$A$501,'09_连续性验收'!B138)+COUNTIF('06_建筑锚点'!$A$2:$A$501,'09_连续性验收'!B138)=0),"验收对象不存在；","")&amp;IF(AND('09_连续性验收'!A138&lt;&gt;"",COUNTIF('09_连续性验收'!$A$2:$A$501,'09_连续性验收'!A138)&gt;1),"ID重复；",""),"")</f>
        <v/>
      </c>
      <c r="G3638" s="14">
        <f>IF(F3638&lt;&gt;"","按字段批注、数据字典和来源记录修正后复核","")</f>
        <v/>
      </c>
      <c r="H3638" s="14">
        <f>IF(F3638&lt;&gt;"","待处理","")</f>
        <v/>
      </c>
    </row>
    <row r="3639">
      <c r="A3639" s="14">
        <f>IF(F3639&lt;&gt;"","ISSUE-"&amp;TEXT(ROW()-1,"00000"),"")</f>
        <v/>
      </c>
      <c r="B3639" s="14">
        <f>IF(F3639&lt;&gt;"","错误","")</f>
        <v/>
      </c>
      <c r="C3639" s="14">
        <f>IF('09_连续性验收'!A139&lt;&gt;"","09_连续性验收","")</f>
        <v/>
      </c>
      <c r="D3639" s="14">
        <f>IF('09_连续性验收'!A139&lt;&gt;"",'09_连续性验收'!A139,"")</f>
        <v/>
      </c>
      <c r="E3639" s="14">
        <f>IF(F3639&lt;&gt;"","综合校验","")</f>
        <v/>
      </c>
      <c r="F3639" s="14">
        <f>IF('09_连续性验收'!A139&lt;&gt;"",IF('09_连续性验收'!A139="","缺少验收ID；","")&amp;IF('09_连续性验收'!B139="","缺少对象ID；","")&amp;IF('09_连续性验收'!C139="","缺少检查类型；","")&amp;IF(AND('09_连续性验收'!J139&lt;&gt;"",'09_连续性验收'!K139&lt;&gt;"",'09_连续性验收'!J139&gt;'09_连续性验收'!K139),"坐标偏差超标；","")&amp;IF(AND('09_连续性验收'!B139&lt;&gt;"",COUNTIF('02_固定地理'!$A$2:$A$501,'09_连续性验收'!B139)+COUNTIF('03_地点锚点'!$A$2:$A$501,'09_连续性验收'!B139)+COUNTIF('04_路径网络'!$A$2:$A$501,'09_连续性验收'!B139)+COUNTIF('06_建筑锚点'!$A$2:$A$501,'09_连续性验收'!B139)=0),"验收对象不存在；","")&amp;IF(AND('09_连续性验收'!A139&lt;&gt;"",COUNTIF('09_连续性验收'!$A$2:$A$501,'09_连续性验收'!A139)&gt;1),"ID重复；",""),"")</f>
        <v/>
      </c>
      <c r="G3639" s="14">
        <f>IF(F3639&lt;&gt;"","按字段批注、数据字典和来源记录修正后复核","")</f>
        <v/>
      </c>
      <c r="H3639" s="14">
        <f>IF(F3639&lt;&gt;"","待处理","")</f>
        <v/>
      </c>
    </row>
    <row r="3640">
      <c r="A3640" s="14">
        <f>IF(F3640&lt;&gt;"","ISSUE-"&amp;TEXT(ROW()-1,"00000"),"")</f>
        <v/>
      </c>
      <c r="B3640" s="14">
        <f>IF(F3640&lt;&gt;"","错误","")</f>
        <v/>
      </c>
      <c r="C3640" s="14">
        <f>IF('09_连续性验收'!A140&lt;&gt;"","09_连续性验收","")</f>
        <v/>
      </c>
      <c r="D3640" s="14">
        <f>IF('09_连续性验收'!A140&lt;&gt;"",'09_连续性验收'!A140,"")</f>
        <v/>
      </c>
      <c r="E3640" s="14">
        <f>IF(F3640&lt;&gt;"","综合校验","")</f>
        <v/>
      </c>
      <c r="F3640" s="14">
        <f>IF('09_连续性验收'!A140&lt;&gt;"",IF('09_连续性验收'!A140="","缺少验收ID；","")&amp;IF('09_连续性验收'!B140="","缺少对象ID；","")&amp;IF('09_连续性验收'!C140="","缺少检查类型；","")&amp;IF(AND('09_连续性验收'!J140&lt;&gt;"",'09_连续性验收'!K140&lt;&gt;"",'09_连续性验收'!J140&gt;'09_连续性验收'!K140),"坐标偏差超标；","")&amp;IF(AND('09_连续性验收'!B140&lt;&gt;"",COUNTIF('02_固定地理'!$A$2:$A$501,'09_连续性验收'!B140)+COUNTIF('03_地点锚点'!$A$2:$A$501,'09_连续性验收'!B140)+COUNTIF('04_路径网络'!$A$2:$A$501,'09_连续性验收'!B140)+COUNTIF('06_建筑锚点'!$A$2:$A$501,'09_连续性验收'!B140)=0),"验收对象不存在；","")&amp;IF(AND('09_连续性验收'!A140&lt;&gt;"",COUNTIF('09_连续性验收'!$A$2:$A$501,'09_连续性验收'!A140)&gt;1),"ID重复；",""),"")</f>
        <v/>
      </c>
      <c r="G3640" s="14">
        <f>IF(F3640&lt;&gt;"","按字段批注、数据字典和来源记录修正后复核","")</f>
        <v/>
      </c>
      <c r="H3640" s="14">
        <f>IF(F3640&lt;&gt;"","待处理","")</f>
        <v/>
      </c>
    </row>
    <row r="3641">
      <c r="A3641" s="14">
        <f>IF(F3641&lt;&gt;"","ISSUE-"&amp;TEXT(ROW()-1,"00000"),"")</f>
        <v/>
      </c>
      <c r="B3641" s="14">
        <f>IF(F3641&lt;&gt;"","错误","")</f>
        <v/>
      </c>
      <c r="C3641" s="14">
        <f>IF('09_连续性验收'!A141&lt;&gt;"","09_连续性验收","")</f>
        <v/>
      </c>
      <c r="D3641" s="14">
        <f>IF('09_连续性验收'!A141&lt;&gt;"",'09_连续性验收'!A141,"")</f>
        <v/>
      </c>
      <c r="E3641" s="14">
        <f>IF(F3641&lt;&gt;"","综合校验","")</f>
        <v/>
      </c>
      <c r="F3641" s="14">
        <f>IF('09_连续性验收'!A141&lt;&gt;"",IF('09_连续性验收'!A141="","缺少验收ID；","")&amp;IF('09_连续性验收'!B141="","缺少对象ID；","")&amp;IF('09_连续性验收'!C141="","缺少检查类型；","")&amp;IF(AND('09_连续性验收'!J141&lt;&gt;"",'09_连续性验收'!K141&lt;&gt;"",'09_连续性验收'!J141&gt;'09_连续性验收'!K141),"坐标偏差超标；","")&amp;IF(AND('09_连续性验收'!B141&lt;&gt;"",COUNTIF('02_固定地理'!$A$2:$A$501,'09_连续性验收'!B141)+COUNTIF('03_地点锚点'!$A$2:$A$501,'09_连续性验收'!B141)+COUNTIF('04_路径网络'!$A$2:$A$501,'09_连续性验收'!B141)+COUNTIF('06_建筑锚点'!$A$2:$A$501,'09_连续性验收'!B141)=0),"验收对象不存在；","")&amp;IF(AND('09_连续性验收'!A141&lt;&gt;"",COUNTIF('09_连续性验收'!$A$2:$A$501,'09_连续性验收'!A141)&gt;1),"ID重复；",""),"")</f>
        <v/>
      </c>
      <c r="G3641" s="14">
        <f>IF(F3641&lt;&gt;"","按字段批注、数据字典和来源记录修正后复核","")</f>
        <v/>
      </c>
      <c r="H3641" s="14">
        <f>IF(F3641&lt;&gt;"","待处理","")</f>
        <v/>
      </c>
    </row>
    <row r="3642">
      <c r="A3642" s="14">
        <f>IF(F3642&lt;&gt;"","ISSUE-"&amp;TEXT(ROW()-1,"00000"),"")</f>
        <v/>
      </c>
      <c r="B3642" s="14">
        <f>IF(F3642&lt;&gt;"","错误","")</f>
        <v/>
      </c>
      <c r="C3642" s="14">
        <f>IF('09_连续性验收'!A142&lt;&gt;"","09_连续性验收","")</f>
        <v/>
      </c>
      <c r="D3642" s="14">
        <f>IF('09_连续性验收'!A142&lt;&gt;"",'09_连续性验收'!A142,"")</f>
        <v/>
      </c>
      <c r="E3642" s="14">
        <f>IF(F3642&lt;&gt;"","综合校验","")</f>
        <v/>
      </c>
      <c r="F3642" s="14">
        <f>IF('09_连续性验收'!A142&lt;&gt;"",IF('09_连续性验收'!A142="","缺少验收ID；","")&amp;IF('09_连续性验收'!B142="","缺少对象ID；","")&amp;IF('09_连续性验收'!C142="","缺少检查类型；","")&amp;IF(AND('09_连续性验收'!J142&lt;&gt;"",'09_连续性验收'!K142&lt;&gt;"",'09_连续性验收'!J142&gt;'09_连续性验收'!K142),"坐标偏差超标；","")&amp;IF(AND('09_连续性验收'!B142&lt;&gt;"",COUNTIF('02_固定地理'!$A$2:$A$501,'09_连续性验收'!B142)+COUNTIF('03_地点锚点'!$A$2:$A$501,'09_连续性验收'!B142)+COUNTIF('04_路径网络'!$A$2:$A$501,'09_连续性验收'!B142)+COUNTIF('06_建筑锚点'!$A$2:$A$501,'09_连续性验收'!B142)=0),"验收对象不存在；","")&amp;IF(AND('09_连续性验收'!A142&lt;&gt;"",COUNTIF('09_连续性验收'!$A$2:$A$501,'09_连续性验收'!A142)&gt;1),"ID重复；",""),"")</f>
        <v/>
      </c>
      <c r="G3642" s="14">
        <f>IF(F3642&lt;&gt;"","按字段批注、数据字典和来源记录修正后复核","")</f>
        <v/>
      </c>
      <c r="H3642" s="14">
        <f>IF(F3642&lt;&gt;"","待处理","")</f>
        <v/>
      </c>
    </row>
    <row r="3643">
      <c r="A3643" s="14">
        <f>IF(F3643&lt;&gt;"","ISSUE-"&amp;TEXT(ROW()-1,"00000"),"")</f>
        <v/>
      </c>
      <c r="B3643" s="14">
        <f>IF(F3643&lt;&gt;"","错误","")</f>
        <v/>
      </c>
      <c r="C3643" s="14">
        <f>IF('09_连续性验收'!A143&lt;&gt;"","09_连续性验收","")</f>
        <v/>
      </c>
      <c r="D3643" s="14">
        <f>IF('09_连续性验收'!A143&lt;&gt;"",'09_连续性验收'!A143,"")</f>
        <v/>
      </c>
      <c r="E3643" s="14">
        <f>IF(F3643&lt;&gt;"","综合校验","")</f>
        <v/>
      </c>
      <c r="F3643" s="14">
        <f>IF('09_连续性验收'!A143&lt;&gt;"",IF('09_连续性验收'!A143="","缺少验收ID；","")&amp;IF('09_连续性验收'!B143="","缺少对象ID；","")&amp;IF('09_连续性验收'!C143="","缺少检查类型；","")&amp;IF(AND('09_连续性验收'!J143&lt;&gt;"",'09_连续性验收'!K143&lt;&gt;"",'09_连续性验收'!J143&gt;'09_连续性验收'!K143),"坐标偏差超标；","")&amp;IF(AND('09_连续性验收'!B143&lt;&gt;"",COUNTIF('02_固定地理'!$A$2:$A$501,'09_连续性验收'!B143)+COUNTIF('03_地点锚点'!$A$2:$A$501,'09_连续性验收'!B143)+COUNTIF('04_路径网络'!$A$2:$A$501,'09_连续性验收'!B143)+COUNTIF('06_建筑锚点'!$A$2:$A$501,'09_连续性验收'!B143)=0),"验收对象不存在；","")&amp;IF(AND('09_连续性验收'!A143&lt;&gt;"",COUNTIF('09_连续性验收'!$A$2:$A$501,'09_连续性验收'!A143)&gt;1),"ID重复；",""),"")</f>
        <v/>
      </c>
      <c r="G3643" s="14">
        <f>IF(F3643&lt;&gt;"","按字段批注、数据字典和来源记录修正后复核","")</f>
        <v/>
      </c>
      <c r="H3643" s="14">
        <f>IF(F3643&lt;&gt;"","待处理","")</f>
        <v/>
      </c>
    </row>
    <row r="3644">
      <c r="A3644" s="14">
        <f>IF(F3644&lt;&gt;"","ISSUE-"&amp;TEXT(ROW()-1,"00000"),"")</f>
        <v/>
      </c>
      <c r="B3644" s="14">
        <f>IF(F3644&lt;&gt;"","错误","")</f>
        <v/>
      </c>
      <c r="C3644" s="14">
        <f>IF('09_连续性验收'!A144&lt;&gt;"","09_连续性验收","")</f>
        <v/>
      </c>
      <c r="D3644" s="14">
        <f>IF('09_连续性验收'!A144&lt;&gt;"",'09_连续性验收'!A144,"")</f>
        <v/>
      </c>
      <c r="E3644" s="14">
        <f>IF(F3644&lt;&gt;"","综合校验","")</f>
        <v/>
      </c>
      <c r="F3644" s="14">
        <f>IF('09_连续性验收'!A144&lt;&gt;"",IF('09_连续性验收'!A144="","缺少验收ID；","")&amp;IF('09_连续性验收'!B144="","缺少对象ID；","")&amp;IF('09_连续性验收'!C144="","缺少检查类型；","")&amp;IF(AND('09_连续性验收'!J144&lt;&gt;"",'09_连续性验收'!K144&lt;&gt;"",'09_连续性验收'!J144&gt;'09_连续性验收'!K144),"坐标偏差超标；","")&amp;IF(AND('09_连续性验收'!B144&lt;&gt;"",COUNTIF('02_固定地理'!$A$2:$A$501,'09_连续性验收'!B144)+COUNTIF('03_地点锚点'!$A$2:$A$501,'09_连续性验收'!B144)+COUNTIF('04_路径网络'!$A$2:$A$501,'09_连续性验收'!B144)+COUNTIF('06_建筑锚点'!$A$2:$A$501,'09_连续性验收'!B144)=0),"验收对象不存在；","")&amp;IF(AND('09_连续性验收'!A144&lt;&gt;"",COUNTIF('09_连续性验收'!$A$2:$A$501,'09_连续性验收'!A144)&gt;1),"ID重复；",""),"")</f>
        <v/>
      </c>
      <c r="G3644" s="14">
        <f>IF(F3644&lt;&gt;"","按字段批注、数据字典和来源记录修正后复核","")</f>
        <v/>
      </c>
      <c r="H3644" s="14">
        <f>IF(F3644&lt;&gt;"","待处理","")</f>
        <v/>
      </c>
    </row>
    <row r="3645">
      <c r="A3645" s="14">
        <f>IF(F3645&lt;&gt;"","ISSUE-"&amp;TEXT(ROW()-1,"00000"),"")</f>
        <v/>
      </c>
      <c r="B3645" s="14">
        <f>IF(F3645&lt;&gt;"","错误","")</f>
        <v/>
      </c>
      <c r="C3645" s="14">
        <f>IF('09_连续性验收'!A145&lt;&gt;"","09_连续性验收","")</f>
        <v/>
      </c>
      <c r="D3645" s="14">
        <f>IF('09_连续性验收'!A145&lt;&gt;"",'09_连续性验收'!A145,"")</f>
        <v/>
      </c>
      <c r="E3645" s="14">
        <f>IF(F3645&lt;&gt;"","综合校验","")</f>
        <v/>
      </c>
      <c r="F3645" s="14">
        <f>IF('09_连续性验收'!A145&lt;&gt;"",IF('09_连续性验收'!A145="","缺少验收ID；","")&amp;IF('09_连续性验收'!B145="","缺少对象ID；","")&amp;IF('09_连续性验收'!C145="","缺少检查类型；","")&amp;IF(AND('09_连续性验收'!J145&lt;&gt;"",'09_连续性验收'!K145&lt;&gt;"",'09_连续性验收'!J145&gt;'09_连续性验收'!K145),"坐标偏差超标；","")&amp;IF(AND('09_连续性验收'!B145&lt;&gt;"",COUNTIF('02_固定地理'!$A$2:$A$501,'09_连续性验收'!B145)+COUNTIF('03_地点锚点'!$A$2:$A$501,'09_连续性验收'!B145)+COUNTIF('04_路径网络'!$A$2:$A$501,'09_连续性验收'!B145)+COUNTIF('06_建筑锚点'!$A$2:$A$501,'09_连续性验收'!B145)=0),"验收对象不存在；","")&amp;IF(AND('09_连续性验收'!A145&lt;&gt;"",COUNTIF('09_连续性验收'!$A$2:$A$501,'09_连续性验收'!A145)&gt;1),"ID重复；",""),"")</f>
        <v/>
      </c>
      <c r="G3645" s="14">
        <f>IF(F3645&lt;&gt;"","按字段批注、数据字典和来源记录修正后复核","")</f>
        <v/>
      </c>
      <c r="H3645" s="14">
        <f>IF(F3645&lt;&gt;"","待处理","")</f>
        <v/>
      </c>
    </row>
    <row r="3646">
      <c r="A3646" s="14">
        <f>IF(F3646&lt;&gt;"","ISSUE-"&amp;TEXT(ROW()-1,"00000"),"")</f>
        <v/>
      </c>
      <c r="B3646" s="14">
        <f>IF(F3646&lt;&gt;"","错误","")</f>
        <v/>
      </c>
      <c r="C3646" s="14">
        <f>IF('09_连续性验收'!A146&lt;&gt;"","09_连续性验收","")</f>
        <v/>
      </c>
      <c r="D3646" s="14">
        <f>IF('09_连续性验收'!A146&lt;&gt;"",'09_连续性验收'!A146,"")</f>
        <v/>
      </c>
      <c r="E3646" s="14">
        <f>IF(F3646&lt;&gt;"","综合校验","")</f>
        <v/>
      </c>
      <c r="F3646" s="14">
        <f>IF('09_连续性验收'!A146&lt;&gt;"",IF('09_连续性验收'!A146="","缺少验收ID；","")&amp;IF('09_连续性验收'!B146="","缺少对象ID；","")&amp;IF('09_连续性验收'!C146="","缺少检查类型；","")&amp;IF(AND('09_连续性验收'!J146&lt;&gt;"",'09_连续性验收'!K146&lt;&gt;"",'09_连续性验收'!J146&gt;'09_连续性验收'!K146),"坐标偏差超标；","")&amp;IF(AND('09_连续性验收'!B146&lt;&gt;"",COUNTIF('02_固定地理'!$A$2:$A$501,'09_连续性验收'!B146)+COUNTIF('03_地点锚点'!$A$2:$A$501,'09_连续性验收'!B146)+COUNTIF('04_路径网络'!$A$2:$A$501,'09_连续性验收'!B146)+COUNTIF('06_建筑锚点'!$A$2:$A$501,'09_连续性验收'!B146)=0),"验收对象不存在；","")&amp;IF(AND('09_连续性验收'!A146&lt;&gt;"",COUNTIF('09_连续性验收'!$A$2:$A$501,'09_连续性验收'!A146)&gt;1),"ID重复；",""),"")</f>
        <v/>
      </c>
      <c r="G3646" s="14">
        <f>IF(F3646&lt;&gt;"","按字段批注、数据字典和来源记录修正后复核","")</f>
        <v/>
      </c>
      <c r="H3646" s="14">
        <f>IF(F3646&lt;&gt;"","待处理","")</f>
        <v/>
      </c>
    </row>
    <row r="3647">
      <c r="A3647" s="14">
        <f>IF(F3647&lt;&gt;"","ISSUE-"&amp;TEXT(ROW()-1,"00000"),"")</f>
        <v/>
      </c>
      <c r="B3647" s="14">
        <f>IF(F3647&lt;&gt;"","错误","")</f>
        <v/>
      </c>
      <c r="C3647" s="14">
        <f>IF('09_连续性验收'!A147&lt;&gt;"","09_连续性验收","")</f>
        <v/>
      </c>
      <c r="D3647" s="14">
        <f>IF('09_连续性验收'!A147&lt;&gt;"",'09_连续性验收'!A147,"")</f>
        <v/>
      </c>
      <c r="E3647" s="14">
        <f>IF(F3647&lt;&gt;"","综合校验","")</f>
        <v/>
      </c>
      <c r="F3647" s="14">
        <f>IF('09_连续性验收'!A147&lt;&gt;"",IF('09_连续性验收'!A147="","缺少验收ID；","")&amp;IF('09_连续性验收'!B147="","缺少对象ID；","")&amp;IF('09_连续性验收'!C147="","缺少检查类型；","")&amp;IF(AND('09_连续性验收'!J147&lt;&gt;"",'09_连续性验收'!K147&lt;&gt;"",'09_连续性验收'!J147&gt;'09_连续性验收'!K147),"坐标偏差超标；","")&amp;IF(AND('09_连续性验收'!B147&lt;&gt;"",COUNTIF('02_固定地理'!$A$2:$A$501,'09_连续性验收'!B147)+COUNTIF('03_地点锚点'!$A$2:$A$501,'09_连续性验收'!B147)+COUNTIF('04_路径网络'!$A$2:$A$501,'09_连续性验收'!B147)+COUNTIF('06_建筑锚点'!$A$2:$A$501,'09_连续性验收'!B147)=0),"验收对象不存在；","")&amp;IF(AND('09_连续性验收'!A147&lt;&gt;"",COUNTIF('09_连续性验收'!$A$2:$A$501,'09_连续性验收'!A147)&gt;1),"ID重复；",""),"")</f>
        <v/>
      </c>
      <c r="G3647" s="14">
        <f>IF(F3647&lt;&gt;"","按字段批注、数据字典和来源记录修正后复核","")</f>
        <v/>
      </c>
      <c r="H3647" s="14">
        <f>IF(F3647&lt;&gt;"","待处理","")</f>
        <v/>
      </c>
    </row>
    <row r="3648">
      <c r="A3648" s="14">
        <f>IF(F3648&lt;&gt;"","ISSUE-"&amp;TEXT(ROW()-1,"00000"),"")</f>
        <v/>
      </c>
      <c r="B3648" s="14">
        <f>IF(F3648&lt;&gt;"","错误","")</f>
        <v/>
      </c>
      <c r="C3648" s="14">
        <f>IF('09_连续性验收'!A148&lt;&gt;"","09_连续性验收","")</f>
        <v/>
      </c>
      <c r="D3648" s="14">
        <f>IF('09_连续性验收'!A148&lt;&gt;"",'09_连续性验收'!A148,"")</f>
        <v/>
      </c>
      <c r="E3648" s="14">
        <f>IF(F3648&lt;&gt;"","综合校验","")</f>
        <v/>
      </c>
      <c r="F3648" s="14">
        <f>IF('09_连续性验收'!A148&lt;&gt;"",IF('09_连续性验收'!A148="","缺少验收ID；","")&amp;IF('09_连续性验收'!B148="","缺少对象ID；","")&amp;IF('09_连续性验收'!C148="","缺少检查类型；","")&amp;IF(AND('09_连续性验收'!J148&lt;&gt;"",'09_连续性验收'!K148&lt;&gt;"",'09_连续性验收'!J148&gt;'09_连续性验收'!K148),"坐标偏差超标；","")&amp;IF(AND('09_连续性验收'!B148&lt;&gt;"",COUNTIF('02_固定地理'!$A$2:$A$501,'09_连续性验收'!B148)+COUNTIF('03_地点锚点'!$A$2:$A$501,'09_连续性验收'!B148)+COUNTIF('04_路径网络'!$A$2:$A$501,'09_连续性验收'!B148)+COUNTIF('06_建筑锚点'!$A$2:$A$501,'09_连续性验收'!B148)=0),"验收对象不存在；","")&amp;IF(AND('09_连续性验收'!A148&lt;&gt;"",COUNTIF('09_连续性验收'!$A$2:$A$501,'09_连续性验收'!A148)&gt;1),"ID重复；",""),"")</f>
        <v/>
      </c>
      <c r="G3648" s="14">
        <f>IF(F3648&lt;&gt;"","按字段批注、数据字典和来源记录修正后复核","")</f>
        <v/>
      </c>
      <c r="H3648" s="14">
        <f>IF(F3648&lt;&gt;"","待处理","")</f>
        <v/>
      </c>
    </row>
    <row r="3649">
      <c r="A3649" s="14">
        <f>IF(F3649&lt;&gt;"","ISSUE-"&amp;TEXT(ROW()-1,"00000"),"")</f>
        <v/>
      </c>
      <c r="B3649" s="14">
        <f>IF(F3649&lt;&gt;"","错误","")</f>
        <v/>
      </c>
      <c r="C3649" s="14">
        <f>IF('09_连续性验收'!A149&lt;&gt;"","09_连续性验收","")</f>
        <v/>
      </c>
      <c r="D3649" s="14">
        <f>IF('09_连续性验收'!A149&lt;&gt;"",'09_连续性验收'!A149,"")</f>
        <v/>
      </c>
      <c r="E3649" s="14">
        <f>IF(F3649&lt;&gt;"","综合校验","")</f>
        <v/>
      </c>
      <c r="F3649" s="14">
        <f>IF('09_连续性验收'!A149&lt;&gt;"",IF('09_连续性验收'!A149="","缺少验收ID；","")&amp;IF('09_连续性验收'!B149="","缺少对象ID；","")&amp;IF('09_连续性验收'!C149="","缺少检查类型；","")&amp;IF(AND('09_连续性验收'!J149&lt;&gt;"",'09_连续性验收'!K149&lt;&gt;"",'09_连续性验收'!J149&gt;'09_连续性验收'!K149),"坐标偏差超标；","")&amp;IF(AND('09_连续性验收'!B149&lt;&gt;"",COUNTIF('02_固定地理'!$A$2:$A$501,'09_连续性验收'!B149)+COUNTIF('03_地点锚点'!$A$2:$A$501,'09_连续性验收'!B149)+COUNTIF('04_路径网络'!$A$2:$A$501,'09_连续性验收'!B149)+COUNTIF('06_建筑锚点'!$A$2:$A$501,'09_连续性验收'!B149)=0),"验收对象不存在；","")&amp;IF(AND('09_连续性验收'!A149&lt;&gt;"",COUNTIF('09_连续性验收'!$A$2:$A$501,'09_连续性验收'!A149)&gt;1),"ID重复；",""),"")</f>
        <v/>
      </c>
      <c r="G3649" s="14">
        <f>IF(F3649&lt;&gt;"","按字段批注、数据字典和来源记录修正后复核","")</f>
        <v/>
      </c>
      <c r="H3649" s="14">
        <f>IF(F3649&lt;&gt;"","待处理","")</f>
        <v/>
      </c>
    </row>
    <row r="3650">
      <c r="A3650" s="14">
        <f>IF(F3650&lt;&gt;"","ISSUE-"&amp;TEXT(ROW()-1,"00000"),"")</f>
        <v/>
      </c>
      <c r="B3650" s="14">
        <f>IF(F3650&lt;&gt;"","错误","")</f>
        <v/>
      </c>
      <c r="C3650" s="14">
        <f>IF('09_连续性验收'!A150&lt;&gt;"","09_连续性验收","")</f>
        <v/>
      </c>
      <c r="D3650" s="14">
        <f>IF('09_连续性验收'!A150&lt;&gt;"",'09_连续性验收'!A150,"")</f>
        <v/>
      </c>
      <c r="E3650" s="14">
        <f>IF(F3650&lt;&gt;"","综合校验","")</f>
        <v/>
      </c>
      <c r="F3650" s="14">
        <f>IF('09_连续性验收'!A150&lt;&gt;"",IF('09_连续性验收'!A150="","缺少验收ID；","")&amp;IF('09_连续性验收'!B150="","缺少对象ID；","")&amp;IF('09_连续性验收'!C150="","缺少检查类型；","")&amp;IF(AND('09_连续性验收'!J150&lt;&gt;"",'09_连续性验收'!K150&lt;&gt;"",'09_连续性验收'!J150&gt;'09_连续性验收'!K150),"坐标偏差超标；","")&amp;IF(AND('09_连续性验收'!B150&lt;&gt;"",COUNTIF('02_固定地理'!$A$2:$A$501,'09_连续性验收'!B150)+COUNTIF('03_地点锚点'!$A$2:$A$501,'09_连续性验收'!B150)+COUNTIF('04_路径网络'!$A$2:$A$501,'09_连续性验收'!B150)+COUNTIF('06_建筑锚点'!$A$2:$A$501,'09_连续性验收'!B150)=0),"验收对象不存在；","")&amp;IF(AND('09_连续性验收'!A150&lt;&gt;"",COUNTIF('09_连续性验收'!$A$2:$A$501,'09_连续性验收'!A150)&gt;1),"ID重复；",""),"")</f>
        <v/>
      </c>
      <c r="G3650" s="14">
        <f>IF(F3650&lt;&gt;"","按字段批注、数据字典和来源记录修正后复核","")</f>
        <v/>
      </c>
      <c r="H3650" s="14">
        <f>IF(F3650&lt;&gt;"","待处理","")</f>
        <v/>
      </c>
    </row>
    <row r="3651">
      <c r="A3651" s="14">
        <f>IF(F3651&lt;&gt;"","ISSUE-"&amp;TEXT(ROW()-1,"00000"),"")</f>
        <v/>
      </c>
      <c r="B3651" s="14">
        <f>IF(F3651&lt;&gt;"","错误","")</f>
        <v/>
      </c>
      <c r="C3651" s="14">
        <f>IF('09_连续性验收'!A151&lt;&gt;"","09_连续性验收","")</f>
        <v/>
      </c>
      <c r="D3651" s="14">
        <f>IF('09_连续性验收'!A151&lt;&gt;"",'09_连续性验收'!A151,"")</f>
        <v/>
      </c>
      <c r="E3651" s="14">
        <f>IF(F3651&lt;&gt;"","综合校验","")</f>
        <v/>
      </c>
      <c r="F3651" s="14">
        <f>IF('09_连续性验收'!A151&lt;&gt;"",IF('09_连续性验收'!A151="","缺少验收ID；","")&amp;IF('09_连续性验收'!B151="","缺少对象ID；","")&amp;IF('09_连续性验收'!C151="","缺少检查类型；","")&amp;IF(AND('09_连续性验收'!J151&lt;&gt;"",'09_连续性验收'!K151&lt;&gt;"",'09_连续性验收'!J151&gt;'09_连续性验收'!K151),"坐标偏差超标；","")&amp;IF(AND('09_连续性验收'!B151&lt;&gt;"",COUNTIF('02_固定地理'!$A$2:$A$501,'09_连续性验收'!B151)+COUNTIF('03_地点锚点'!$A$2:$A$501,'09_连续性验收'!B151)+COUNTIF('04_路径网络'!$A$2:$A$501,'09_连续性验收'!B151)+COUNTIF('06_建筑锚点'!$A$2:$A$501,'09_连续性验收'!B151)=0),"验收对象不存在；","")&amp;IF(AND('09_连续性验收'!A151&lt;&gt;"",COUNTIF('09_连续性验收'!$A$2:$A$501,'09_连续性验收'!A151)&gt;1),"ID重复；",""),"")</f>
        <v/>
      </c>
      <c r="G3651" s="14">
        <f>IF(F3651&lt;&gt;"","按字段批注、数据字典和来源记录修正后复核","")</f>
        <v/>
      </c>
      <c r="H3651" s="14">
        <f>IF(F3651&lt;&gt;"","待处理","")</f>
        <v/>
      </c>
    </row>
    <row r="3652">
      <c r="A3652" s="14">
        <f>IF(F3652&lt;&gt;"","ISSUE-"&amp;TEXT(ROW()-1,"00000"),"")</f>
        <v/>
      </c>
      <c r="B3652" s="14">
        <f>IF(F3652&lt;&gt;"","错误","")</f>
        <v/>
      </c>
      <c r="C3652" s="14">
        <f>IF('09_连续性验收'!A152&lt;&gt;"","09_连续性验收","")</f>
        <v/>
      </c>
      <c r="D3652" s="14">
        <f>IF('09_连续性验收'!A152&lt;&gt;"",'09_连续性验收'!A152,"")</f>
        <v/>
      </c>
      <c r="E3652" s="14">
        <f>IF(F3652&lt;&gt;"","综合校验","")</f>
        <v/>
      </c>
      <c r="F3652" s="14">
        <f>IF('09_连续性验收'!A152&lt;&gt;"",IF('09_连续性验收'!A152="","缺少验收ID；","")&amp;IF('09_连续性验收'!B152="","缺少对象ID；","")&amp;IF('09_连续性验收'!C152="","缺少检查类型；","")&amp;IF(AND('09_连续性验收'!J152&lt;&gt;"",'09_连续性验收'!K152&lt;&gt;"",'09_连续性验收'!J152&gt;'09_连续性验收'!K152),"坐标偏差超标；","")&amp;IF(AND('09_连续性验收'!B152&lt;&gt;"",COUNTIF('02_固定地理'!$A$2:$A$501,'09_连续性验收'!B152)+COUNTIF('03_地点锚点'!$A$2:$A$501,'09_连续性验收'!B152)+COUNTIF('04_路径网络'!$A$2:$A$501,'09_连续性验收'!B152)+COUNTIF('06_建筑锚点'!$A$2:$A$501,'09_连续性验收'!B152)=0),"验收对象不存在；","")&amp;IF(AND('09_连续性验收'!A152&lt;&gt;"",COUNTIF('09_连续性验收'!$A$2:$A$501,'09_连续性验收'!A152)&gt;1),"ID重复；",""),"")</f>
        <v/>
      </c>
      <c r="G3652" s="14">
        <f>IF(F3652&lt;&gt;"","按字段批注、数据字典和来源记录修正后复核","")</f>
        <v/>
      </c>
      <c r="H3652" s="14">
        <f>IF(F3652&lt;&gt;"","待处理","")</f>
        <v/>
      </c>
    </row>
    <row r="3653">
      <c r="A3653" s="14">
        <f>IF(F3653&lt;&gt;"","ISSUE-"&amp;TEXT(ROW()-1,"00000"),"")</f>
        <v/>
      </c>
      <c r="B3653" s="14">
        <f>IF(F3653&lt;&gt;"","错误","")</f>
        <v/>
      </c>
      <c r="C3653" s="14">
        <f>IF('09_连续性验收'!A153&lt;&gt;"","09_连续性验收","")</f>
        <v/>
      </c>
      <c r="D3653" s="14">
        <f>IF('09_连续性验收'!A153&lt;&gt;"",'09_连续性验收'!A153,"")</f>
        <v/>
      </c>
      <c r="E3653" s="14">
        <f>IF(F3653&lt;&gt;"","综合校验","")</f>
        <v/>
      </c>
      <c r="F3653" s="14">
        <f>IF('09_连续性验收'!A153&lt;&gt;"",IF('09_连续性验收'!A153="","缺少验收ID；","")&amp;IF('09_连续性验收'!B153="","缺少对象ID；","")&amp;IF('09_连续性验收'!C153="","缺少检查类型；","")&amp;IF(AND('09_连续性验收'!J153&lt;&gt;"",'09_连续性验收'!K153&lt;&gt;"",'09_连续性验收'!J153&gt;'09_连续性验收'!K153),"坐标偏差超标；","")&amp;IF(AND('09_连续性验收'!B153&lt;&gt;"",COUNTIF('02_固定地理'!$A$2:$A$501,'09_连续性验收'!B153)+COUNTIF('03_地点锚点'!$A$2:$A$501,'09_连续性验收'!B153)+COUNTIF('04_路径网络'!$A$2:$A$501,'09_连续性验收'!B153)+COUNTIF('06_建筑锚点'!$A$2:$A$501,'09_连续性验收'!B153)=0),"验收对象不存在；","")&amp;IF(AND('09_连续性验收'!A153&lt;&gt;"",COUNTIF('09_连续性验收'!$A$2:$A$501,'09_连续性验收'!A153)&gt;1),"ID重复；",""),"")</f>
        <v/>
      </c>
      <c r="G3653" s="14">
        <f>IF(F3653&lt;&gt;"","按字段批注、数据字典和来源记录修正后复核","")</f>
        <v/>
      </c>
      <c r="H3653" s="14">
        <f>IF(F3653&lt;&gt;"","待处理","")</f>
        <v/>
      </c>
    </row>
    <row r="3654">
      <c r="A3654" s="14">
        <f>IF(F3654&lt;&gt;"","ISSUE-"&amp;TEXT(ROW()-1,"00000"),"")</f>
        <v/>
      </c>
      <c r="B3654" s="14">
        <f>IF(F3654&lt;&gt;"","错误","")</f>
        <v/>
      </c>
      <c r="C3654" s="14">
        <f>IF('09_连续性验收'!A154&lt;&gt;"","09_连续性验收","")</f>
        <v/>
      </c>
      <c r="D3654" s="14">
        <f>IF('09_连续性验收'!A154&lt;&gt;"",'09_连续性验收'!A154,"")</f>
        <v/>
      </c>
      <c r="E3654" s="14">
        <f>IF(F3654&lt;&gt;"","综合校验","")</f>
        <v/>
      </c>
      <c r="F3654" s="14">
        <f>IF('09_连续性验收'!A154&lt;&gt;"",IF('09_连续性验收'!A154="","缺少验收ID；","")&amp;IF('09_连续性验收'!B154="","缺少对象ID；","")&amp;IF('09_连续性验收'!C154="","缺少检查类型；","")&amp;IF(AND('09_连续性验收'!J154&lt;&gt;"",'09_连续性验收'!K154&lt;&gt;"",'09_连续性验收'!J154&gt;'09_连续性验收'!K154),"坐标偏差超标；","")&amp;IF(AND('09_连续性验收'!B154&lt;&gt;"",COUNTIF('02_固定地理'!$A$2:$A$501,'09_连续性验收'!B154)+COUNTIF('03_地点锚点'!$A$2:$A$501,'09_连续性验收'!B154)+COUNTIF('04_路径网络'!$A$2:$A$501,'09_连续性验收'!B154)+COUNTIF('06_建筑锚点'!$A$2:$A$501,'09_连续性验收'!B154)=0),"验收对象不存在；","")&amp;IF(AND('09_连续性验收'!A154&lt;&gt;"",COUNTIF('09_连续性验收'!$A$2:$A$501,'09_连续性验收'!A154)&gt;1),"ID重复；",""),"")</f>
        <v/>
      </c>
      <c r="G3654" s="14">
        <f>IF(F3654&lt;&gt;"","按字段批注、数据字典和来源记录修正后复核","")</f>
        <v/>
      </c>
      <c r="H3654" s="14">
        <f>IF(F3654&lt;&gt;"","待处理","")</f>
        <v/>
      </c>
    </row>
    <row r="3655">
      <c r="A3655" s="14">
        <f>IF(F3655&lt;&gt;"","ISSUE-"&amp;TEXT(ROW()-1,"00000"),"")</f>
        <v/>
      </c>
      <c r="B3655" s="14">
        <f>IF(F3655&lt;&gt;"","错误","")</f>
        <v/>
      </c>
      <c r="C3655" s="14">
        <f>IF('09_连续性验收'!A155&lt;&gt;"","09_连续性验收","")</f>
        <v/>
      </c>
      <c r="D3655" s="14">
        <f>IF('09_连续性验收'!A155&lt;&gt;"",'09_连续性验收'!A155,"")</f>
        <v/>
      </c>
      <c r="E3655" s="14">
        <f>IF(F3655&lt;&gt;"","综合校验","")</f>
        <v/>
      </c>
      <c r="F3655" s="14">
        <f>IF('09_连续性验收'!A155&lt;&gt;"",IF('09_连续性验收'!A155="","缺少验收ID；","")&amp;IF('09_连续性验收'!B155="","缺少对象ID；","")&amp;IF('09_连续性验收'!C155="","缺少检查类型；","")&amp;IF(AND('09_连续性验收'!J155&lt;&gt;"",'09_连续性验收'!K155&lt;&gt;"",'09_连续性验收'!J155&gt;'09_连续性验收'!K155),"坐标偏差超标；","")&amp;IF(AND('09_连续性验收'!B155&lt;&gt;"",COUNTIF('02_固定地理'!$A$2:$A$501,'09_连续性验收'!B155)+COUNTIF('03_地点锚点'!$A$2:$A$501,'09_连续性验收'!B155)+COUNTIF('04_路径网络'!$A$2:$A$501,'09_连续性验收'!B155)+COUNTIF('06_建筑锚点'!$A$2:$A$501,'09_连续性验收'!B155)=0),"验收对象不存在；","")&amp;IF(AND('09_连续性验收'!A155&lt;&gt;"",COUNTIF('09_连续性验收'!$A$2:$A$501,'09_连续性验收'!A155)&gt;1),"ID重复；",""),"")</f>
        <v/>
      </c>
      <c r="G3655" s="14">
        <f>IF(F3655&lt;&gt;"","按字段批注、数据字典和来源记录修正后复核","")</f>
        <v/>
      </c>
      <c r="H3655" s="14">
        <f>IF(F3655&lt;&gt;"","待处理","")</f>
        <v/>
      </c>
    </row>
    <row r="3656">
      <c r="A3656" s="14">
        <f>IF(F3656&lt;&gt;"","ISSUE-"&amp;TEXT(ROW()-1,"00000"),"")</f>
        <v/>
      </c>
      <c r="B3656" s="14">
        <f>IF(F3656&lt;&gt;"","错误","")</f>
        <v/>
      </c>
      <c r="C3656" s="14">
        <f>IF('09_连续性验收'!A156&lt;&gt;"","09_连续性验收","")</f>
        <v/>
      </c>
      <c r="D3656" s="14">
        <f>IF('09_连续性验收'!A156&lt;&gt;"",'09_连续性验收'!A156,"")</f>
        <v/>
      </c>
      <c r="E3656" s="14">
        <f>IF(F3656&lt;&gt;"","综合校验","")</f>
        <v/>
      </c>
      <c r="F3656" s="14">
        <f>IF('09_连续性验收'!A156&lt;&gt;"",IF('09_连续性验收'!A156="","缺少验收ID；","")&amp;IF('09_连续性验收'!B156="","缺少对象ID；","")&amp;IF('09_连续性验收'!C156="","缺少检查类型；","")&amp;IF(AND('09_连续性验收'!J156&lt;&gt;"",'09_连续性验收'!K156&lt;&gt;"",'09_连续性验收'!J156&gt;'09_连续性验收'!K156),"坐标偏差超标；","")&amp;IF(AND('09_连续性验收'!B156&lt;&gt;"",COUNTIF('02_固定地理'!$A$2:$A$501,'09_连续性验收'!B156)+COUNTIF('03_地点锚点'!$A$2:$A$501,'09_连续性验收'!B156)+COUNTIF('04_路径网络'!$A$2:$A$501,'09_连续性验收'!B156)+COUNTIF('06_建筑锚点'!$A$2:$A$501,'09_连续性验收'!B156)=0),"验收对象不存在；","")&amp;IF(AND('09_连续性验收'!A156&lt;&gt;"",COUNTIF('09_连续性验收'!$A$2:$A$501,'09_连续性验收'!A156)&gt;1),"ID重复；",""),"")</f>
        <v/>
      </c>
      <c r="G3656" s="14">
        <f>IF(F3656&lt;&gt;"","按字段批注、数据字典和来源记录修正后复核","")</f>
        <v/>
      </c>
      <c r="H3656" s="14">
        <f>IF(F3656&lt;&gt;"","待处理","")</f>
        <v/>
      </c>
    </row>
    <row r="3657">
      <c r="A3657" s="14">
        <f>IF(F3657&lt;&gt;"","ISSUE-"&amp;TEXT(ROW()-1,"00000"),"")</f>
        <v/>
      </c>
      <c r="B3657" s="14">
        <f>IF(F3657&lt;&gt;"","错误","")</f>
        <v/>
      </c>
      <c r="C3657" s="14">
        <f>IF('09_连续性验收'!A157&lt;&gt;"","09_连续性验收","")</f>
        <v/>
      </c>
      <c r="D3657" s="14">
        <f>IF('09_连续性验收'!A157&lt;&gt;"",'09_连续性验收'!A157,"")</f>
        <v/>
      </c>
      <c r="E3657" s="14">
        <f>IF(F3657&lt;&gt;"","综合校验","")</f>
        <v/>
      </c>
      <c r="F3657" s="14">
        <f>IF('09_连续性验收'!A157&lt;&gt;"",IF('09_连续性验收'!A157="","缺少验收ID；","")&amp;IF('09_连续性验收'!B157="","缺少对象ID；","")&amp;IF('09_连续性验收'!C157="","缺少检查类型；","")&amp;IF(AND('09_连续性验收'!J157&lt;&gt;"",'09_连续性验收'!K157&lt;&gt;"",'09_连续性验收'!J157&gt;'09_连续性验收'!K157),"坐标偏差超标；","")&amp;IF(AND('09_连续性验收'!B157&lt;&gt;"",COUNTIF('02_固定地理'!$A$2:$A$501,'09_连续性验收'!B157)+COUNTIF('03_地点锚点'!$A$2:$A$501,'09_连续性验收'!B157)+COUNTIF('04_路径网络'!$A$2:$A$501,'09_连续性验收'!B157)+COUNTIF('06_建筑锚点'!$A$2:$A$501,'09_连续性验收'!B157)=0),"验收对象不存在；","")&amp;IF(AND('09_连续性验收'!A157&lt;&gt;"",COUNTIF('09_连续性验收'!$A$2:$A$501,'09_连续性验收'!A157)&gt;1),"ID重复；",""),"")</f>
        <v/>
      </c>
      <c r="G3657" s="14">
        <f>IF(F3657&lt;&gt;"","按字段批注、数据字典和来源记录修正后复核","")</f>
        <v/>
      </c>
      <c r="H3657" s="14">
        <f>IF(F3657&lt;&gt;"","待处理","")</f>
        <v/>
      </c>
    </row>
    <row r="3658">
      <c r="A3658" s="14">
        <f>IF(F3658&lt;&gt;"","ISSUE-"&amp;TEXT(ROW()-1,"00000"),"")</f>
        <v/>
      </c>
      <c r="B3658" s="14">
        <f>IF(F3658&lt;&gt;"","错误","")</f>
        <v/>
      </c>
      <c r="C3658" s="14">
        <f>IF('09_连续性验收'!A158&lt;&gt;"","09_连续性验收","")</f>
        <v/>
      </c>
      <c r="D3658" s="14">
        <f>IF('09_连续性验收'!A158&lt;&gt;"",'09_连续性验收'!A158,"")</f>
        <v/>
      </c>
      <c r="E3658" s="14">
        <f>IF(F3658&lt;&gt;"","综合校验","")</f>
        <v/>
      </c>
      <c r="F3658" s="14">
        <f>IF('09_连续性验收'!A158&lt;&gt;"",IF('09_连续性验收'!A158="","缺少验收ID；","")&amp;IF('09_连续性验收'!B158="","缺少对象ID；","")&amp;IF('09_连续性验收'!C158="","缺少检查类型；","")&amp;IF(AND('09_连续性验收'!J158&lt;&gt;"",'09_连续性验收'!K158&lt;&gt;"",'09_连续性验收'!J158&gt;'09_连续性验收'!K158),"坐标偏差超标；","")&amp;IF(AND('09_连续性验收'!B158&lt;&gt;"",COUNTIF('02_固定地理'!$A$2:$A$501,'09_连续性验收'!B158)+COUNTIF('03_地点锚点'!$A$2:$A$501,'09_连续性验收'!B158)+COUNTIF('04_路径网络'!$A$2:$A$501,'09_连续性验收'!B158)+COUNTIF('06_建筑锚点'!$A$2:$A$501,'09_连续性验收'!B158)=0),"验收对象不存在；","")&amp;IF(AND('09_连续性验收'!A158&lt;&gt;"",COUNTIF('09_连续性验收'!$A$2:$A$501,'09_连续性验收'!A158)&gt;1),"ID重复；",""),"")</f>
        <v/>
      </c>
      <c r="G3658" s="14">
        <f>IF(F3658&lt;&gt;"","按字段批注、数据字典和来源记录修正后复核","")</f>
        <v/>
      </c>
      <c r="H3658" s="14">
        <f>IF(F3658&lt;&gt;"","待处理","")</f>
        <v/>
      </c>
    </row>
    <row r="3659">
      <c r="A3659" s="14">
        <f>IF(F3659&lt;&gt;"","ISSUE-"&amp;TEXT(ROW()-1,"00000"),"")</f>
        <v/>
      </c>
      <c r="B3659" s="14">
        <f>IF(F3659&lt;&gt;"","错误","")</f>
        <v/>
      </c>
      <c r="C3659" s="14">
        <f>IF('09_连续性验收'!A159&lt;&gt;"","09_连续性验收","")</f>
        <v/>
      </c>
      <c r="D3659" s="14">
        <f>IF('09_连续性验收'!A159&lt;&gt;"",'09_连续性验收'!A159,"")</f>
        <v/>
      </c>
      <c r="E3659" s="14">
        <f>IF(F3659&lt;&gt;"","综合校验","")</f>
        <v/>
      </c>
      <c r="F3659" s="14">
        <f>IF('09_连续性验收'!A159&lt;&gt;"",IF('09_连续性验收'!A159="","缺少验收ID；","")&amp;IF('09_连续性验收'!B159="","缺少对象ID；","")&amp;IF('09_连续性验收'!C159="","缺少检查类型；","")&amp;IF(AND('09_连续性验收'!J159&lt;&gt;"",'09_连续性验收'!K159&lt;&gt;"",'09_连续性验收'!J159&gt;'09_连续性验收'!K159),"坐标偏差超标；","")&amp;IF(AND('09_连续性验收'!B159&lt;&gt;"",COUNTIF('02_固定地理'!$A$2:$A$501,'09_连续性验收'!B159)+COUNTIF('03_地点锚点'!$A$2:$A$501,'09_连续性验收'!B159)+COUNTIF('04_路径网络'!$A$2:$A$501,'09_连续性验收'!B159)+COUNTIF('06_建筑锚点'!$A$2:$A$501,'09_连续性验收'!B159)=0),"验收对象不存在；","")&amp;IF(AND('09_连续性验收'!A159&lt;&gt;"",COUNTIF('09_连续性验收'!$A$2:$A$501,'09_连续性验收'!A159)&gt;1),"ID重复；",""),"")</f>
        <v/>
      </c>
      <c r="G3659" s="14">
        <f>IF(F3659&lt;&gt;"","按字段批注、数据字典和来源记录修正后复核","")</f>
        <v/>
      </c>
      <c r="H3659" s="14">
        <f>IF(F3659&lt;&gt;"","待处理","")</f>
        <v/>
      </c>
    </row>
    <row r="3660">
      <c r="A3660" s="14">
        <f>IF(F3660&lt;&gt;"","ISSUE-"&amp;TEXT(ROW()-1,"00000"),"")</f>
        <v/>
      </c>
      <c r="B3660" s="14">
        <f>IF(F3660&lt;&gt;"","错误","")</f>
        <v/>
      </c>
      <c r="C3660" s="14">
        <f>IF('09_连续性验收'!A160&lt;&gt;"","09_连续性验收","")</f>
        <v/>
      </c>
      <c r="D3660" s="14">
        <f>IF('09_连续性验收'!A160&lt;&gt;"",'09_连续性验收'!A160,"")</f>
        <v/>
      </c>
      <c r="E3660" s="14">
        <f>IF(F3660&lt;&gt;"","综合校验","")</f>
        <v/>
      </c>
      <c r="F3660" s="14">
        <f>IF('09_连续性验收'!A160&lt;&gt;"",IF('09_连续性验收'!A160="","缺少验收ID；","")&amp;IF('09_连续性验收'!B160="","缺少对象ID；","")&amp;IF('09_连续性验收'!C160="","缺少检查类型；","")&amp;IF(AND('09_连续性验收'!J160&lt;&gt;"",'09_连续性验收'!K160&lt;&gt;"",'09_连续性验收'!J160&gt;'09_连续性验收'!K160),"坐标偏差超标；","")&amp;IF(AND('09_连续性验收'!B160&lt;&gt;"",COUNTIF('02_固定地理'!$A$2:$A$501,'09_连续性验收'!B160)+COUNTIF('03_地点锚点'!$A$2:$A$501,'09_连续性验收'!B160)+COUNTIF('04_路径网络'!$A$2:$A$501,'09_连续性验收'!B160)+COUNTIF('06_建筑锚点'!$A$2:$A$501,'09_连续性验收'!B160)=0),"验收对象不存在；","")&amp;IF(AND('09_连续性验收'!A160&lt;&gt;"",COUNTIF('09_连续性验收'!$A$2:$A$501,'09_连续性验收'!A160)&gt;1),"ID重复；",""),"")</f>
        <v/>
      </c>
      <c r="G3660" s="14">
        <f>IF(F3660&lt;&gt;"","按字段批注、数据字典和来源记录修正后复核","")</f>
        <v/>
      </c>
      <c r="H3660" s="14">
        <f>IF(F3660&lt;&gt;"","待处理","")</f>
        <v/>
      </c>
    </row>
    <row r="3661">
      <c r="A3661" s="14">
        <f>IF(F3661&lt;&gt;"","ISSUE-"&amp;TEXT(ROW()-1,"00000"),"")</f>
        <v/>
      </c>
      <c r="B3661" s="14">
        <f>IF(F3661&lt;&gt;"","错误","")</f>
        <v/>
      </c>
      <c r="C3661" s="14">
        <f>IF('09_连续性验收'!A161&lt;&gt;"","09_连续性验收","")</f>
        <v/>
      </c>
      <c r="D3661" s="14">
        <f>IF('09_连续性验收'!A161&lt;&gt;"",'09_连续性验收'!A161,"")</f>
        <v/>
      </c>
      <c r="E3661" s="14">
        <f>IF(F3661&lt;&gt;"","综合校验","")</f>
        <v/>
      </c>
      <c r="F3661" s="14">
        <f>IF('09_连续性验收'!A161&lt;&gt;"",IF('09_连续性验收'!A161="","缺少验收ID；","")&amp;IF('09_连续性验收'!B161="","缺少对象ID；","")&amp;IF('09_连续性验收'!C161="","缺少检查类型；","")&amp;IF(AND('09_连续性验收'!J161&lt;&gt;"",'09_连续性验收'!K161&lt;&gt;"",'09_连续性验收'!J161&gt;'09_连续性验收'!K161),"坐标偏差超标；","")&amp;IF(AND('09_连续性验收'!B161&lt;&gt;"",COUNTIF('02_固定地理'!$A$2:$A$501,'09_连续性验收'!B161)+COUNTIF('03_地点锚点'!$A$2:$A$501,'09_连续性验收'!B161)+COUNTIF('04_路径网络'!$A$2:$A$501,'09_连续性验收'!B161)+COUNTIF('06_建筑锚点'!$A$2:$A$501,'09_连续性验收'!B161)=0),"验收对象不存在；","")&amp;IF(AND('09_连续性验收'!A161&lt;&gt;"",COUNTIF('09_连续性验收'!$A$2:$A$501,'09_连续性验收'!A161)&gt;1),"ID重复；",""),"")</f>
        <v/>
      </c>
      <c r="G3661" s="14">
        <f>IF(F3661&lt;&gt;"","按字段批注、数据字典和来源记录修正后复核","")</f>
        <v/>
      </c>
      <c r="H3661" s="14">
        <f>IF(F3661&lt;&gt;"","待处理","")</f>
        <v/>
      </c>
    </row>
    <row r="3662">
      <c r="A3662" s="14">
        <f>IF(F3662&lt;&gt;"","ISSUE-"&amp;TEXT(ROW()-1,"00000"),"")</f>
        <v/>
      </c>
      <c r="B3662" s="14">
        <f>IF(F3662&lt;&gt;"","错误","")</f>
        <v/>
      </c>
      <c r="C3662" s="14">
        <f>IF('09_连续性验收'!A162&lt;&gt;"","09_连续性验收","")</f>
        <v/>
      </c>
      <c r="D3662" s="14">
        <f>IF('09_连续性验收'!A162&lt;&gt;"",'09_连续性验收'!A162,"")</f>
        <v/>
      </c>
      <c r="E3662" s="14">
        <f>IF(F3662&lt;&gt;"","综合校验","")</f>
        <v/>
      </c>
      <c r="F3662" s="14">
        <f>IF('09_连续性验收'!A162&lt;&gt;"",IF('09_连续性验收'!A162="","缺少验收ID；","")&amp;IF('09_连续性验收'!B162="","缺少对象ID；","")&amp;IF('09_连续性验收'!C162="","缺少检查类型；","")&amp;IF(AND('09_连续性验收'!J162&lt;&gt;"",'09_连续性验收'!K162&lt;&gt;"",'09_连续性验收'!J162&gt;'09_连续性验收'!K162),"坐标偏差超标；","")&amp;IF(AND('09_连续性验收'!B162&lt;&gt;"",COUNTIF('02_固定地理'!$A$2:$A$501,'09_连续性验收'!B162)+COUNTIF('03_地点锚点'!$A$2:$A$501,'09_连续性验收'!B162)+COUNTIF('04_路径网络'!$A$2:$A$501,'09_连续性验收'!B162)+COUNTIF('06_建筑锚点'!$A$2:$A$501,'09_连续性验收'!B162)=0),"验收对象不存在；","")&amp;IF(AND('09_连续性验收'!A162&lt;&gt;"",COUNTIF('09_连续性验收'!$A$2:$A$501,'09_连续性验收'!A162)&gt;1),"ID重复；",""),"")</f>
        <v/>
      </c>
      <c r="G3662" s="14">
        <f>IF(F3662&lt;&gt;"","按字段批注、数据字典和来源记录修正后复核","")</f>
        <v/>
      </c>
      <c r="H3662" s="14">
        <f>IF(F3662&lt;&gt;"","待处理","")</f>
        <v/>
      </c>
    </row>
    <row r="3663">
      <c r="A3663" s="14">
        <f>IF(F3663&lt;&gt;"","ISSUE-"&amp;TEXT(ROW()-1,"00000"),"")</f>
        <v/>
      </c>
      <c r="B3663" s="14">
        <f>IF(F3663&lt;&gt;"","错误","")</f>
        <v/>
      </c>
      <c r="C3663" s="14">
        <f>IF('09_连续性验收'!A163&lt;&gt;"","09_连续性验收","")</f>
        <v/>
      </c>
      <c r="D3663" s="14">
        <f>IF('09_连续性验收'!A163&lt;&gt;"",'09_连续性验收'!A163,"")</f>
        <v/>
      </c>
      <c r="E3663" s="14">
        <f>IF(F3663&lt;&gt;"","综合校验","")</f>
        <v/>
      </c>
      <c r="F3663" s="14">
        <f>IF('09_连续性验收'!A163&lt;&gt;"",IF('09_连续性验收'!A163="","缺少验收ID；","")&amp;IF('09_连续性验收'!B163="","缺少对象ID；","")&amp;IF('09_连续性验收'!C163="","缺少检查类型；","")&amp;IF(AND('09_连续性验收'!J163&lt;&gt;"",'09_连续性验收'!K163&lt;&gt;"",'09_连续性验收'!J163&gt;'09_连续性验收'!K163),"坐标偏差超标；","")&amp;IF(AND('09_连续性验收'!B163&lt;&gt;"",COUNTIF('02_固定地理'!$A$2:$A$501,'09_连续性验收'!B163)+COUNTIF('03_地点锚点'!$A$2:$A$501,'09_连续性验收'!B163)+COUNTIF('04_路径网络'!$A$2:$A$501,'09_连续性验收'!B163)+COUNTIF('06_建筑锚点'!$A$2:$A$501,'09_连续性验收'!B163)=0),"验收对象不存在；","")&amp;IF(AND('09_连续性验收'!A163&lt;&gt;"",COUNTIF('09_连续性验收'!$A$2:$A$501,'09_连续性验收'!A163)&gt;1),"ID重复；",""),"")</f>
        <v/>
      </c>
      <c r="G3663" s="14">
        <f>IF(F3663&lt;&gt;"","按字段批注、数据字典和来源记录修正后复核","")</f>
        <v/>
      </c>
      <c r="H3663" s="14">
        <f>IF(F3663&lt;&gt;"","待处理","")</f>
        <v/>
      </c>
    </row>
    <row r="3664">
      <c r="A3664" s="14">
        <f>IF(F3664&lt;&gt;"","ISSUE-"&amp;TEXT(ROW()-1,"00000"),"")</f>
        <v/>
      </c>
      <c r="B3664" s="14">
        <f>IF(F3664&lt;&gt;"","错误","")</f>
        <v/>
      </c>
      <c r="C3664" s="14">
        <f>IF('09_连续性验收'!A164&lt;&gt;"","09_连续性验收","")</f>
        <v/>
      </c>
      <c r="D3664" s="14">
        <f>IF('09_连续性验收'!A164&lt;&gt;"",'09_连续性验收'!A164,"")</f>
        <v/>
      </c>
      <c r="E3664" s="14">
        <f>IF(F3664&lt;&gt;"","综合校验","")</f>
        <v/>
      </c>
      <c r="F3664" s="14">
        <f>IF('09_连续性验收'!A164&lt;&gt;"",IF('09_连续性验收'!A164="","缺少验收ID；","")&amp;IF('09_连续性验收'!B164="","缺少对象ID；","")&amp;IF('09_连续性验收'!C164="","缺少检查类型；","")&amp;IF(AND('09_连续性验收'!J164&lt;&gt;"",'09_连续性验收'!K164&lt;&gt;"",'09_连续性验收'!J164&gt;'09_连续性验收'!K164),"坐标偏差超标；","")&amp;IF(AND('09_连续性验收'!B164&lt;&gt;"",COUNTIF('02_固定地理'!$A$2:$A$501,'09_连续性验收'!B164)+COUNTIF('03_地点锚点'!$A$2:$A$501,'09_连续性验收'!B164)+COUNTIF('04_路径网络'!$A$2:$A$501,'09_连续性验收'!B164)+COUNTIF('06_建筑锚点'!$A$2:$A$501,'09_连续性验收'!B164)=0),"验收对象不存在；","")&amp;IF(AND('09_连续性验收'!A164&lt;&gt;"",COUNTIF('09_连续性验收'!$A$2:$A$501,'09_连续性验收'!A164)&gt;1),"ID重复；",""),"")</f>
        <v/>
      </c>
      <c r="G3664" s="14">
        <f>IF(F3664&lt;&gt;"","按字段批注、数据字典和来源记录修正后复核","")</f>
        <v/>
      </c>
      <c r="H3664" s="14">
        <f>IF(F3664&lt;&gt;"","待处理","")</f>
        <v/>
      </c>
    </row>
    <row r="3665">
      <c r="A3665" s="14">
        <f>IF(F3665&lt;&gt;"","ISSUE-"&amp;TEXT(ROW()-1,"00000"),"")</f>
        <v/>
      </c>
      <c r="B3665" s="14">
        <f>IF(F3665&lt;&gt;"","错误","")</f>
        <v/>
      </c>
      <c r="C3665" s="14">
        <f>IF('09_连续性验收'!A165&lt;&gt;"","09_连续性验收","")</f>
        <v/>
      </c>
      <c r="D3665" s="14">
        <f>IF('09_连续性验收'!A165&lt;&gt;"",'09_连续性验收'!A165,"")</f>
        <v/>
      </c>
      <c r="E3665" s="14">
        <f>IF(F3665&lt;&gt;"","综合校验","")</f>
        <v/>
      </c>
      <c r="F3665" s="14">
        <f>IF('09_连续性验收'!A165&lt;&gt;"",IF('09_连续性验收'!A165="","缺少验收ID；","")&amp;IF('09_连续性验收'!B165="","缺少对象ID；","")&amp;IF('09_连续性验收'!C165="","缺少检查类型；","")&amp;IF(AND('09_连续性验收'!J165&lt;&gt;"",'09_连续性验收'!K165&lt;&gt;"",'09_连续性验收'!J165&gt;'09_连续性验收'!K165),"坐标偏差超标；","")&amp;IF(AND('09_连续性验收'!B165&lt;&gt;"",COUNTIF('02_固定地理'!$A$2:$A$501,'09_连续性验收'!B165)+COUNTIF('03_地点锚点'!$A$2:$A$501,'09_连续性验收'!B165)+COUNTIF('04_路径网络'!$A$2:$A$501,'09_连续性验收'!B165)+COUNTIF('06_建筑锚点'!$A$2:$A$501,'09_连续性验收'!B165)=0),"验收对象不存在；","")&amp;IF(AND('09_连续性验收'!A165&lt;&gt;"",COUNTIF('09_连续性验收'!$A$2:$A$501,'09_连续性验收'!A165)&gt;1),"ID重复；",""),"")</f>
        <v/>
      </c>
      <c r="G3665" s="14">
        <f>IF(F3665&lt;&gt;"","按字段批注、数据字典和来源记录修正后复核","")</f>
        <v/>
      </c>
      <c r="H3665" s="14">
        <f>IF(F3665&lt;&gt;"","待处理","")</f>
        <v/>
      </c>
    </row>
    <row r="3666">
      <c r="A3666" s="14">
        <f>IF(F3666&lt;&gt;"","ISSUE-"&amp;TEXT(ROW()-1,"00000"),"")</f>
        <v/>
      </c>
      <c r="B3666" s="14">
        <f>IF(F3666&lt;&gt;"","错误","")</f>
        <v/>
      </c>
      <c r="C3666" s="14">
        <f>IF('09_连续性验收'!A166&lt;&gt;"","09_连续性验收","")</f>
        <v/>
      </c>
      <c r="D3666" s="14">
        <f>IF('09_连续性验收'!A166&lt;&gt;"",'09_连续性验收'!A166,"")</f>
        <v/>
      </c>
      <c r="E3666" s="14">
        <f>IF(F3666&lt;&gt;"","综合校验","")</f>
        <v/>
      </c>
      <c r="F3666" s="14">
        <f>IF('09_连续性验收'!A166&lt;&gt;"",IF('09_连续性验收'!A166="","缺少验收ID；","")&amp;IF('09_连续性验收'!B166="","缺少对象ID；","")&amp;IF('09_连续性验收'!C166="","缺少检查类型；","")&amp;IF(AND('09_连续性验收'!J166&lt;&gt;"",'09_连续性验收'!K166&lt;&gt;"",'09_连续性验收'!J166&gt;'09_连续性验收'!K166),"坐标偏差超标；","")&amp;IF(AND('09_连续性验收'!B166&lt;&gt;"",COUNTIF('02_固定地理'!$A$2:$A$501,'09_连续性验收'!B166)+COUNTIF('03_地点锚点'!$A$2:$A$501,'09_连续性验收'!B166)+COUNTIF('04_路径网络'!$A$2:$A$501,'09_连续性验收'!B166)+COUNTIF('06_建筑锚点'!$A$2:$A$501,'09_连续性验收'!B166)=0),"验收对象不存在；","")&amp;IF(AND('09_连续性验收'!A166&lt;&gt;"",COUNTIF('09_连续性验收'!$A$2:$A$501,'09_连续性验收'!A166)&gt;1),"ID重复；",""),"")</f>
        <v/>
      </c>
      <c r="G3666" s="14">
        <f>IF(F3666&lt;&gt;"","按字段批注、数据字典和来源记录修正后复核","")</f>
        <v/>
      </c>
      <c r="H3666" s="14">
        <f>IF(F3666&lt;&gt;"","待处理","")</f>
        <v/>
      </c>
    </row>
    <row r="3667">
      <c r="A3667" s="14">
        <f>IF(F3667&lt;&gt;"","ISSUE-"&amp;TEXT(ROW()-1,"00000"),"")</f>
        <v/>
      </c>
      <c r="B3667" s="14">
        <f>IF(F3667&lt;&gt;"","错误","")</f>
        <v/>
      </c>
      <c r="C3667" s="14">
        <f>IF('09_连续性验收'!A167&lt;&gt;"","09_连续性验收","")</f>
        <v/>
      </c>
      <c r="D3667" s="14">
        <f>IF('09_连续性验收'!A167&lt;&gt;"",'09_连续性验收'!A167,"")</f>
        <v/>
      </c>
      <c r="E3667" s="14">
        <f>IF(F3667&lt;&gt;"","综合校验","")</f>
        <v/>
      </c>
      <c r="F3667" s="14">
        <f>IF('09_连续性验收'!A167&lt;&gt;"",IF('09_连续性验收'!A167="","缺少验收ID；","")&amp;IF('09_连续性验收'!B167="","缺少对象ID；","")&amp;IF('09_连续性验收'!C167="","缺少检查类型；","")&amp;IF(AND('09_连续性验收'!J167&lt;&gt;"",'09_连续性验收'!K167&lt;&gt;"",'09_连续性验收'!J167&gt;'09_连续性验收'!K167),"坐标偏差超标；","")&amp;IF(AND('09_连续性验收'!B167&lt;&gt;"",COUNTIF('02_固定地理'!$A$2:$A$501,'09_连续性验收'!B167)+COUNTIF('03_地点锚点'!$A$2:$A$501,'09_连续性验收'!B167)+COUNTIF('04_路径网络'!$A$2:$A$501,'09_连续性验收'!B167)+COUNTIF('06_建筑锚点'!$A$2:$A$501,'09_连续性验收'!B167)=0),"验收对象不存在；","")&amp;IF(AND('09_连续性验收'!A167&lt;&gt;"",COUNTIF('09_连续性验收'!$A$2:$A$501,'09_连续性验收'!A167)&gt;1),"ID重复；",""),"")</f>
        <v/>
      </c>
      <c r="G3667" s="14">
        <f>IF(F3667&lt;&gt;"","按字段批注、数据字典和来源记录修正后复核","")</f>
        <v/>
      </c>
      <c r="H3667" s="14">
        <f>IF(F3667&lt;&gt;"","待处理","")</f>
        <v/>
      </c>
    </row>
    <row r="3668">
      <c r="A3668" s="14">
        <f>IF(F3668&lt;&gt;"","ISSUE-"&amp;TEXT(ROW()-1,"00000"),"")</f>
        <v/>
      </c>
      <c r="B3668" s="14">
        <f>IF(F3668&lt;&gt;"","错误","")</f>
        <v/>
      </c>
      <c r="C3668" s="14">
        <f>IF('09_连续性验收'!A168&lt;&gt;"","09_连续性验收","")</f>
        <v/>
      </c>
      <c r="D3668" s="14">
        <f>IF('09_连续性验收'!A168&lt;&gt;"",'09_连续性验收'!A168,"")</f>
        <v/>
      </c>
      <c r="E3668" s="14">
        <f>IF(F3668&lt;&gt;"","综合校验","")</f>
        <v/>
      </c>
      <c r="F3668" s="14">
        <f>IF('09_连续性验收'!A168&lt;&gt;"",IF('09_连续性验收'!A168="","缺少验收ID；","")&amp;IF('09_连续性验收'!B168="","缺少对象ID；","")&amp;IF('09_连续性验收'!C168="","缺少检查类型；","")&amp;IF(AND('09_连续性验收'!J168&lt;&gt;"",'09_连续性验收'!K168&lt;&gt;"",'09_连续性验收'!J168&gt;'09_连续性验收'!K168),"坐标偏差超标；","")&amp;IF(AND('09_连续性验收'!B168&lt;&gt;"",COUNTIF('02_固定地理'!$A$2:$A$501,'09_连续性验收'!B168)+COUNTIF('03_地点锚点'!$A$2:$A$501,'09_连续性验收'!B168)+COUNTIF('04_路径网络'!$A$2:$A$501,'09_连续性验收'!B168)+COUNTIF('06_建筑锚点'!$A$2:$A$501,'09_连续性验收'!B168)=0),"验收对象不存在；","")&amp;IF(AND('09_连续性验收'!A168&lt;&gt;"",COUNTIF('09_连续性验收'!$A$2:$A$501,'09_连续性验收'!A168)&gt;1),"ID重复；",""),"")</f>
        <v/>
      </c>
      <c r="G3668" s="14">
        <f>IF(F3668&lt;&gt;"","按字段批注、数据字典和来源记录修正后复核","")</f>
        <v/>
      </c>
      <c r="H3668" s="14">
        <f>IF(F3668&lt;&gt;"","待处理","")</f>
        <v/>
      </c>
    </row>
    <row r="3669">
      <c r="A3669" s="14">
        <f>IF(F3669&lt;&gt;"","ISSUE-"&amp;TEXT(ROW()-1,"00000"),"")</f>
        <v/>
      </c>
      <c r="B3669" s="14">
        <f>IF(F3669&lt;&gt;"","错误","")</f>
        <v/>
      </c>
      <c r="C3669" s="14">
        <f>IF('09_连续性验收'!A169&lt;&gt;"","09_连续性验收","")</f>
        <v/>
      </c>
      <c r="D3669" s="14">
        <f>IF('09_连续性验收'!A169&lt;&gt;"",'09_连续性验收'!A169,"")</f>
        <v/>
      </c>
      <c r="E3669" s="14">
        <f>IF(F3669&lt;&gt;"","综合校验","")</f>
        <v/>
      </c>
      <c r="F3669" s="14">
        <f>IF('09_连续性验收'!A169&lt;&gt;"",IF('09_连续性验收'!A169="","缺少验收ID；","")&amp;IF('09_连续性验收'!B169="","缺少对象ID；","")&amp;IF('09_连续性验收'!C169="","缺少检查类型；","")&amp;IF(AND('09_连续性验收'!J169&lt;&gt;"",'09_连续性验收'!K169&lt;&gt;"",'09_连续性验收'!J169&gt;'09_连续性验收'!K169),"坐标偏差超标；","")&amp;IF(AND('09_连续性验收'!B169&lt;&gt;"",COUNTIF('02_固定地理'!$A$2:$A$501,'09_连续性验收'!B169)+COUNTIF('03_地点锚点'!$A$2:$A$501,'09_连续性验收'!B169)+COUNTIF('04_路径网络'!$A$2:$A$501,'09_连续性验收'!B169)+COUNTIF('06_建筑锚点'!$A$2:$A$501,'09_连续性验收'!B169)=0),"验收对象不存在；","")&amp;IF(AND('09_连续性验收'!A169&lt;&gt;"",COUNTIF('09_连续性验收'!$A$2:$A$501,'09_连续性验收'!A169)&gt;1),"ID重复；",""),"")</f>
        <v/>
      </c>
      <c r="G3669" s="14">
        <f>IF(F3669&lt;&gt;"","按字段批注、数据字典和来源记录修正后复核","")</f>
        <v/>
      </c>
      <c r="H3669" s="14">
        <f>IF(F3669&lt;&gt;"","待处理","")</f>
        <v/>
      </c>
    </row>
    <row r="3670">
      <c r="A3670" s="14">
        <f>IF(F3670&lt;&gt;"","ISSUE-"&amp;TEXT(ROW()-1,"00000"),"")</f>
        <v/>
      </c>
      <c r="B3670" s="14">
        <f>IF(F3670&lt;&gt;"","错误","")</f>
        <v/>
      </c>
      <c r="C3670" s="14">
        <f>IF('09_连续性验收'!A170&lt;&gt;"","09_连续性验收","")</f>
        <v/>
      </c>
      <c r="D3670" s="14">
        <f>IF('09_连续性验收'!A170&lt;&gt;"",'09_连续性验收'!A170,"")</f>
        <v/>
      </c>
      <c r="E3670" s="14">
        <f>IF(F3670&lt;&gt;"","综合校验","")</f>
        <v/>
      </c>
      <c r="F3670" s="14">
        <f>IF('09_连续性验收'!A170&lt;&gt;"",IF('09_连续性验收'!A170="","缺少验收ID；","")&amp;IF('09_连续性验收'!B170="","缺少对象ID；","")&amp;IF('09_连续性验收'!C170="","缺少检查类型；","")&amp;IF(AND('09_连续性验收'!J170&lt;&gt;"",'09_连续性验收'!K170&lt;&gt;"",'09_连续性验收'!J170&gt;'09_连续性验收'!K170),"坐标偏差超标；","")&amp;IF(AND('09_连续性验收'!B170&lt;&gt;"",COUNTIF('02_固定地理'!$A$2:$A$501,'09_连续性验收'!B170)+COUNTIF('03_地点锚点'!$A$2:$A$501,'09_连续性验收'!B170)+COUNTIF('04_路径网络'!$A$2:$A$501,'09_连续性验收'!B170)+COUNTIF('06_建筑锚点'!$A$2:$A$501,'09_连续性验收'!B170)=0),"验收对象不存在；","")&amp;IF(AND('09_连续性验收'!A170&lt;&gt;"",COUNTIF('09_连续性验收'!$A$2:$A$501,'09_连续性验收'!A170)&gt;1),"ID重复；",""),"")</f>
        <v/>
      </c>
      <c r="G3670" s="14">
        <f>IF(F3670&lt;&gt;"","按字段批注、数据字典和来源记录修正后复核","")</f>
        <v/>
      </c>
      <c r="H3670" s="14">
        <f>IF(F3670&lt;&gt;"","待处理","")</f>
        <v/>
      </c>
    </row>
    <row r="3671">
      <c r="A3671" s="14">
        <f>IF(F3671&lt;&gt;"","ISSUE-"&amp;TEXT(ROW()-1,"00000"),"")</f>
        <v/>
      </c>
      <c r="B3671" s="14">
        <f>IF(F3671&lt;&gt;"","错误","")</f>
        <v/>
      </c>
      <c r="C3671" s="14">
        <f>IF('09_连续性验收'!A171&lt;&gt;"","09_连续性验收","")</f>
        <v/>
      </c>
      <c r="D3671" s="14">
        <f>IF('09_连续性验收'!A171&lt;&gt;"",'09_连续性验收'!A171,"")</f>
        <v/>
      </c>
      <c r="E3671" s="14">
        <f>IF(F3671&lt;&gt;"","综合校验","")</f>
        <v/>
      </c>
      <c r="F3671" s="14">
        <f>IF('09_连续性验收'!A171&lt;&gt;"",IF('09_连续性验收'!A171="","缺少验收ID；","")&amp;IF('09_连续性验收'!B171="","缺少对象ID；","")&amp;IF('09_连续性验收'!C171="","缺少检查类型；","")&amp;IF(AND('09_连续性验收'!J171&lt;&gt;"",'09_连续性验收'!K171&lt;&gt;"",'09_连续性验收'!J171&gt;'09_连续性验收'!K171),"坐标偏差超标；","")&amp;IF(AND('09_连续性验收'!B171&lt;&gt;"",COUNTIF('02_固定地理'!$A$2:$A$501,'09_连续性验收'!B171)+COUNTIF('03_地点锚点'!$A$2:$A$501,'09_连续性验收'!B171)+COUNTIF('04_路径网络'!$A$2:$A$501,'09_连续性验收'!B171)+COUNTIF('06_建筑锚点'!$A$2:$A$501,'09_连续性验收'!B171)=0),"验收对象不存在；","")&amp;IF(AND('09_连续性验收'!A171&lt;&gt;"",COUNTIF('09_连续性验收'!$A$2:$A$501,'09_连续性验收'!A171)&gt;1),"ID重复；",""),"")</f>
        <v/>
      </c>
      <c r="G3671" s="14">
        <f>IF(F3671&lt;&gt;"","按字段批注、数据字典和来源记录修正后复核","")</f>
        <v/>
      </c>
      <c r="H3671" s="14">
        <f>IF(F3671&lt;&gt;"","待处理","")</f>
        <v/>
      </c>
    </row>
    <row r="3672">
      <c r="A3672" s="14">
        <f>IF(F3672&lt;&gt;"","ISSUE-"&amp;TEXT(ROW()-1,"00000"),"")</f>
        <v/>
      </c>
      <c r="B3672" s="14">
        <f>IF(F3672&lt;&gt;"","错误","")</f>
        <v/>
      </c>
      <c r="C3672" s="14">
        <f>IF('09_连续性验收'!A172&lt;&gt;"","09_连续性验收","")</f>
        <v/>
      </c>
      <c r="D3672" s="14">
        <f>IF('09_连续性验收'!A172&lt;&gt;"",'09_连续性验收'!A172,"")</f>
        <v/>
      </c>
      <c r="E3672" s="14">
        <f>IF(F3672&lt;&gt;"","综合校验","")</f>
        <v/>
      </c>
      <c r="F3672" s="14">
        <f>IF('09_连续性验收'!A172&lt;&gt;"",IF('09_连续性验收'!A172="","缺少验收ID；","")&amp;IF('09_连续性验收'!B172="","缺少对象ID；","")&amp;IF('09_连续性验收'!C172="","缺少检查类型；","")&amp;IF(AND('09_连续性验收'!J172&lt;&gt;"",'09_连续性验收'!K172&lt;&gt;"",'09_连续性验收'!J172&gt;'09_连续性验收'!K172),"坐标偏差超标；","")&amp;IF(AND('09_连续性验收'!B172&lt;&gt;"",COUNTIF('02_固定地理'!$A$2:$A$501,'09_连续性验收'!B172)+COUNTIF('03_地点锚点'!$A$2:$A$501,'09_连续性验收'!B172)+COUNTIF('04_路径网络'!$A$2:$A$501,'09_连续性验收'!B172)+COUNTIF('06_建筑锚点'!$A$2:$A$501,'09_连续性验收'!B172)=0),"验收对象不存在；","")&amp;IF(AND('09_连续性验收'!A172&lt;&gt;"",COUNTIF('09_连续性验收'!$A$2:$A$501,'09_连续性验收'!A172)&gt;1),"ID重复；",""),"")</f>
        <v/>
      </c>
      <c r="G3672" s="14">
        <f>IF(F3672&lt;&gt;"","按字段批注、数据字典和来源记录修正后复核","")</f>
        <v/>
      </c>
      <c r="H3672" s="14">
        <f>IF(F3672&lt;&gt;"","待处理","")</f>
        <v/>
      </c>
    </row>
    <row r="3673">
      <c r="A3673" s="14">
        <f>IF(F3673&lt;&gt;"","ISSUE-"&amp;TEXT(ROW()-1,"00000"),"")</f>
        <v/>
      </c>
      <c r="B3673" s="14">
        <f>IF(F3673&lt;&gt;"","错误","")</f>
        <v/>
      </c>
      <c r="C3673" s="14">
        <f>IF('09_连续性验收'!A173&lt;&gt;"","09_连续性验收","")</f>
        <v/>
      </c>
      <c r="D3673" s="14">
        <f>IF('09_连续性验收'!A173&lt;&gt;"",'09_连续性验收'!A173,"")</f>
        <v/>
      </c>
      <c r="E3673" s="14">
        <f>IF(F3673&lt;&gt;"","综合校验","")</f>
        <v/>
      </c>
      <c r="F3673" s="14">
        <f>IF('09_连续性验收'!A173&lt;&gt;"",IF('09_连续性验收'!A173="","缺少验收ID；","")&amp;IF('09_连续性验收'!B173="","缺少对象ID；","")&amp;IF('09_连续性验收'!C173="","缺少检查类型；","")&amp;IF(AND('09_连续性验收'!J173&lt;&gt;"",'09_连续性验收'!K173&lt;&gt;"",'09_连续性验收'!J173&gt;'09_连续性验收'!K173),"坐标偏差超标；","")&amp;IF(AND('09_连续性验收'!B173&lt;&gt;"",COUNTIF('02_固定地理'!$A$2:$A$501,'09_连续性验收'!B173)+COUNTIF('03_地点锚点'!$A$2:$A$501,'09_连续性验收'!B173)+COUNTIF('04_路径网络'!$A$2:$A$501,'09_连续性验收'!B173)+COUNTIF('06_建筑锚点'!$A$2:$A$501,'09_连续性验收'!B173)=0),"验收对象不存在；","")&amp;IF(AND('09_连续性验收'!A173&lt;&gt;"",COUNTIF('09_连续性验收'!$A$2:$A$501,'09_连续性验收'!A173)&gt;1),"ID重复；",""),"")</f>
        <v/>
      </c>
      <c r="G3673" s="14">
        <f>IF(F3673&lt;&gt;"","按字段批注、数据字典和来源记录修正后复核","")</f>
        <v/>
      </c>
      <c r="H3673" s="14">
        <f>IF(F3673&lt;&gt;"","待处理","")</f>
        <v/>
      </c>
    </row>
    <row r="3674">
      <c r="A3674" s="14">
        <f>IF(F3674&lt;&gt;"","ISSUE-"&amp;TEXT(ROW()-1,"00000"),"")</f>
        <v/>
      </c>
      <c r="B3674" s="14">
        <f>IF(F3674&lt;&gt;"","错误","")</f>
        <v/>
      </c>
      <c r="C3674" s="14">
        <f>IF('09_连续性验收'!A174&lt;&gt;"","09_连续性验收","")</f>
        <v/>
      </c>
      <c r="D3674" s="14">
        <f>IF('09_连续性验收'!A174&lt;&gt;"",'09_连续性验收'!A174,"")</f>
        <v/>
      </c>
      <c r="E3674" s="14">
        <f>IF(F3674&lt;&gt;"","综合校验","")</f>
        <v/>
      </c>
      <c r="F3674" s="14">
        <f>IF('09_连续性验收'!A174&lt;&gt;"",IF('09_连续性验收'!A174="","缺少验收ID；","")&amp;IF('09_连续性验收'!B174="","缺少对象ID；","")&amp;IF('09_连续性验收'!C174="","缺少检查类型；","")&amp;IF(AND('09_连续性验收'!J174&lt;&gt;"",'09_连续性验收'!K174&lt;&gt;"",'09_连续性验收'!J174&gt;'09_连续性验收'!K174),"坐标偏差超标；","")&amp;IF(AND('09_连续性验收'!B174&lt;&gt;"",COUNTIF('02_固定地理'!$A$2:$A$501,'09_连续性验收'!B174)+COUNTIF('03_地点锚点'!$A$2:$A$501,'09_连续性验收'!B174)+COUNTIF('04_路径网络'!$A$2:$A$501,'09_连续性验收'!B174)+COUNTIF('06_建筑锚点'!$A$2:$A$501,'09_连续性验收'!B174)=0),"验收对象不存在；","")&amp;IF(AND('09_连续性验收'!A174&lt;&gt;"",COUNTIF('09_连续性验收'!$A$2:$A$501,'09_连续性验收'!A174)&gt;1),"ID重复；",""),"")</f>
        <v/>
      </c>
      <c r="G3674" s="14">
        <f>IF(F3674&lt;&gt;"","按字段批注、数据字典和来源记录修正后复核","")</f>
        <v/>
      </c>
      <c r="H3674" s="14">
        <f>IF(F3674&lt;&gt;"","待处理","")</f>
        <v/>
      </c>
    </row>
    <row r="3675">
      <c r="A3675" s="14">
        <f>IF(F3675&lt;&gt;"","ISSUE-"&amp;TEXT(ROW()-1,"00000"),"")</f>
        <v/>
      </c>
      <c r="B3675" s="14">
        <f>IF(F3675&lt;&gt;"","错误","")</f>
        <v/>
      </c>
      <c r="C3675" s="14">
        <f>IF('09_连续性验收'!A175&lt;&gt;"","09_连续性验收","")</f>
        <v/>
      </c>
      <c r="D3675" s="14">
        <f>IF('09_连续性验收'!A175&lt;&gt;"",'09_连续性验收'!A175,"")</f>
        <v/>
      </c>
      <c r="E3675" s="14">
        <f>IF(F3675&lt;&gt;"","综合校验","")</f>
        <v/>
      </c>
      <c r="F3675" s="14">
        <f>IF('09_连续性验收'!A175&lt;&gt;"",IF('09_连续性验收'!A175="","缺少验收ID；","")&amp;IF('09_连续性验收'!B175="","缺少对象ID；","")&amp;IF('09_连续性验收'!C175="","缺少检查类型；","")&amp;IF(AND('09_连续性验收'!J175&lt;&gt;"",'09_连续性验收'!K175&lt;&gt;"",'09_连续性验收'!J175&gt;'09_连续性验收'!K175),"坐标偏差超标；","")&amp;IF(AND('09_连续性验收'!B175&lt;&gt;"",COUNTIF('02_固定地理'!$A$2:$A$501,'09_连续性验收'!B175)+COUNTIF('03_地点锚点'!$A$2:$A$501,'09_连续性验收'!B175)+COUNTIF('04_路径网络'!$A$2:$A$501,'09_连续性验收'!B175)+COUNTIF('06_建筑锚点'!$A$2:$A$501,'09_连续性验收'!B175)=0),"验收对象不存在；","")&amp;IF(AND('09_连续性验收'!A175&lt;&gt;"",COUNTIF('09_连续性验收'!$A$2:$A$501,'09_连续性验收'!A175)&gt;1),"ID重复；",""),"")</f>
        <v/>
      </c>
      <c r="G3675" s="14">
        <f>IF(F3675&lt;&gt;"","按字段批注、数据字典和来源记录修正后复核","")</f>
        <v/>
      </c>
      <c r="H3675" s="14">
        <f>IF(F3675&lt;&gt;"","待处理","")</f>
        <v/>
      </c>
    </row>
    <row r="3676">
      <c r="A3676" s="14">
        <f>IF(F3676&lt;&gt;"","ISSUE-"&amp;TEXT(ROW()-1,"00000"),"")</f>
        <v/>
      </c>
      <c r="B3676" s="14">
        <f>IF(F3676&lt;&gt;"","错误","")</f>
        <v/>
      </c>
      <c r="C3676" s="14">
        <f>IF('09_连续性验收'!A176&lt;&gt;"","09_连续性验收","")</f>
        <v/>
      </c>
      <c r="D3676" s="14">
        <f>IF('09_连续性验收'!A176&lt;&gt;"",'09_连续性验收'!A176,"")</f>
        <v/>
      </c>
      <c r="E3676" s="14">
        <f>IF(F3676&lt;&gt;"","综合校验","")</f>
        <v/>
      </c>
      <c r="F3676" s="14">
        <f>IF('09_连续性验收'!A176&lt;&gt;"",IF('09_连续性验收'!A176="","缺少验收ID；","")&amp;IF('09_连续性验收'!B176="","缺少对象ID；","")&amp;IF('09_连续性验收'!C176="","缺少检查类型；","")&amp;IF(AND('09_连续性验收'!J176&lt;&gt;"",'09_连续性验收'!K176&lt;&gt;"",'09_连续性验收'!J176&gt;'09_连续性验收'!K176),"坐标偏差超标；","")&amp;IF(AND('09_连续性验收'!B176&lt;&gt;"",COUNTIF('02_固定地理'!$A$2:$A$501,'09_连续性验收'!B176)+COUNTIF('03_地点锚点'!$A$2:$A$501,'09_连续性验收'!B176)+COUNTIF('04_路径网络'!$A$2:$A$501,'09_连续性验收'!B176)+COUNTIF('06_建筑锚点'!$A$2:$A$501,'09_连续性验收'!B176)=0),"验收对象不存在；","")&amp;IF(AND('09_连续性验收'!A176&lt;&gt;"",COUNTIF('09_连续性验收'!$A$2:$A$501,'09_连续性验收'!A176)&gt;1),"ID重复；",""),"")</f>
        <v/>
      </c>
      <c r="G3676" s="14">
        <f>IF(F3676&lt;&gt;"","按字段批注、数据字典和来源记录修正后复核","")</f>
        <v/>
      </c>
      <c r="H3676" s="14">
        <f>IF(F3676&lt;&gt;"","待处理","")</f>
        <v/>
      </c>
    </row>
    <row r="3677">
      <c r="A3677" s="14">
        <f>IF(F3677&lt;&gt;"","ISSUE-"&amp;TEXT(ROW()-1,"00000"),"")</f>
        <v/>
      </c>
      <c r="B3677" s="14">
        <f>IF(F3677&lt;&gt;"","错误","")</f>
        <v/>
      </c>
      <c r="C3677" s="14">
        <f>IF('09_连续性验收'!A177&lt;&gt;"","09_连续性验收","")</f>
        <v/>
      </c>
      <c r="D3677" s="14">
        <f>IF('09_连续性验收'!A177&lt;&gt;"",'09_连续性验收'!A177,"")</f>
        <v/>
      </c>
      <c r="E3677" s="14">
        <f>IF(F3677&lt;&gt;"","综合校验","")</f>
        <v/>
      </c>
      <c r="F3677" s="14">
        <f>IF('09_连续性验收'!A177&lt;&gt;"",IF('09_连续性验收'!A177="","缺少验收ID；","")&amp;IF('09_连续性验收'!B177="","缺少对象ID；","")&amp;IF('09_连续性验收'!C177="","缺少检查类型；","")&amp;IF(AND('09_连续性验收'!J177&lt;&gt;"",'09_连续性验收'!K177&lt;&gt;"",'09_连续性验收'!J177&gt;'09_连续性验收'!K177),"坐标偏差超标；","")&amp;IF(AND('09_连续性验收'!B177&lt;&gt;"",COUNTIF('02_固定地理'!$A$2:$A$501,'09_连续性验收'!B177)+COUNTIF('03_地点锚点'!$A$2:$A$501,'09_连续性验收'!B177)+COUNTIF('04_路径网络'!$A$2:$A$501,'09_连续性验收'!B177)+COUNTIF('06_建筑锚点'!$A$2:$A$501,'09_连续性验收'!B177)=0),"验收对象不存在；","")&amp;IF(AND('09_连续性验收'!A177&lt;&gt;"",COUNTIF('09_连续性验收'!$A$2:$A$501,'09_连续性验收'!A177)&gt;1),"ID重复；",""),"")</f>
        <v/>
      </c>
      <c r="G3677" s="14">
        <f>IF(F3677&lt;&gt;"","按字段批注、数据字典和来源记录修正后复核","")</f>
        <v/>
      </c>
      <c r="H3677" s="14">
        <f>IF(F3677&lt;&gt;"","待处理","")</f>
        <v/>
      </c>
    </row>
    <row r="3678">
      <c r="A3678" s="14">
        <f>IF(F3678&lt;&gt;"","ISSUE-"&amp;TEXT(ROW()-1,"00000"),"")</f>
        <v/>
      </c>
      <c r="B3678" s="14">
        <f>IF(F3678&lt;&gt;"","错误","")</f>
        <v/>
      </c>
      <c r="C3678" s="14">
        <f>IF('09_连续性验收'!A178&lt;&gt;"","09_连续性验收","")</f>
        <v/>
      </c>
      <c r="D3678" s="14">
        <f>IF('09_连续性验收'!A178&lt;&gt;"",'09_连续性验收'!A178,"")</f>
        <v/>
      </c>
      <c r="E3678" s="14">
        <f>IF(F3678&lt;&gt;"","综合校验","")</f>
        <v/>
      </c>
      <c r="F3678" s="14">
        <f>IF('09_连续性验收'!A178&lt;&gt;"",IF('09_连续性验收'!A178="","缺少验收ID；","")&amp;IF('09_连续性验收'!B178="","缺少对象ID；","")&amp;IF('09_连续性验收'!C178="","缺少检查类型；","")&amp;IF(AND('09_连续性验收'!J178&lt;&gt;"",'09_连续性验收'!K178&lt;&gt;"",'09_连续性验收'!J178&gt;'09_连续性验收'!K178),"坐标偏差超标；","")&amp;IF(AND('09_连续性验收'!B178&lt;&gt;"",COUNTIF('02_固定地理'!$A$2:$A$501,'09_连续性验收'!B178)+COUNTIF('03_地点锚点'!$A$2:$A$501,'09_连续性验收'!B178)+COUNTIF('04_路径网络'!$A$2:$A$501,'09_连续性验收'!B178)+COUNTIF('06_建筑锚点'!$A$2:$A$501,'09_连续性验收'!B178)=0),"验收对象不存在；","")&amp;IF(AND('09_连续性验收'!A178&lt;&gt;"",COUNTIF('09_连续性验收'!$A$2:$A$501,'09_连续性验收'!A178)&gt;1),"ID重复；",""),"")</f>
        <v/>
      </c>
      <c r="G3678" s="14">
        <f>IF(F3678&lt;&gt;"","按字段批注、数据字典和来源记录修正后复核","")</f>
        <v/>
      </c>
      <c r="H3678" s="14">
        <f>IF(F3678&lt;&gt;"","待处理","")</f>
        <v/>
      </c>
    </row>
    <row r="3679">
      <c r="A3679" s="14">
        <f>IF(F3679&lt;&gt;"","ISSUE-"&amp;TEXT(ROW()-1,"00000"),"")</f>
        <v/>
      </c>
      <c r="B3679" s="14">
        <f>IF(F3679&lt;&gt;"","错误","")</f>
        <v/>
      </c>
      <c r="C3679" s="14">
        <f>IF('09_连续性验收'!A179&lt;&gt;"","09_连续性验收","")</f>
        <v/>
      </c>
      <c r="D3679" s="14">
        <f>IF('09_连续性验收'!A179&lt;&gt;"",'09_连续性验收'!A179,"")</f>
        <v/>
      </c>
      <c r="E3679" s="14">
        <f>IF(F3679&lt;&gt;"","综合校验","")</f>
        <v/>
      </c>
      <c r="F3679" s="14">
        <f>IF('09_连续性验收'!A179&lt;&gt;"",IF('09_连续性验收'!A179="","缺少验收ID；","")&amp;IF('09_连续性验收'!B179="","缺少对象ID；","")&amp;IF('09_连续性验收'!C179="","缺少检查类型；","")&amp;IF(AND('09_连续性验收'!J179&lt;&gt;"",'09_连续性验收'!K179&lt;&gt;"",'09_连续性验收'!J179&gt;'09_连续性验收'!K179),"坐标偏差超标；","")&amp;IF(AND('09_连续性验收'!B179&lt;&gt;"",COUNTIF('02_固定地理'!$A$2:$A$501,'09_连续性验收'!B179)+COUNTIF('03_地点锚点'!$A$2:$A$501,'09_连续性验收'!B179)+COUNTIF('04_路径网络'!$A$2:$A$501,'09_连续性验收'!B179)+COUNTIF('06_建筑锚点'!$A$2:$A$501,'09_连续性验收'!B179)=0),"验收对象不存在；","")&amp;IF(AND('09_连续性验收'!A179&lt;&gt;"",COUNTIF('09_连续性验收'!$A$2:$A$501,'09_连续性验收'!A179)&gt;1),"ID重复；",""),"")</f>
        <v/>
      </c>
      <c r="G3679" s="14">
        <f>IF(F3679&lt;&gt;"","按字段批注、数据字典和来源记录修正后复核","")</f>
        <v/>
      </c>
      <c r="H3679" s="14">
        <f>IF(F3679&lt;&gt;"","待处理","")</f>
        <v/>
      </c>
    </row>
    <row r="3680">
      <c r="A3680" s="14">
        <f>IF(F3680&lt;&gt;"","ISSUE-"&amp;TEXT(ROW()-1,"00000"),"")</f>
        <v/>
      </c>
      <c r="B3680" s="14">
        <f>IF(F3680&lt;&gt;"","错误","")</f>
        <v/>
      </c>
      <c r="C3680" s="14">
        <f>IF('09_连续性验收'!A180&lt;&gt;"","09_连续性验收","")</f>
        <v/>
      </c>
      <c r="D3680" s="14">
        <f>IF('09_连续性验收'!A180&lt;&gt;"",'09_连续性验收'!A180,"")</f>
        <v/>
      </c>
      <c r="E3680" s="14">
        <f>IF(F3680&lt;&gt;"","综合校验","")</f>
        <v/>
      </c>
      <c r="F3680" s="14">
        <f>IF('09_连续性验收'!A180&lt;&gt;"",IF('09_连续性验收'!A180="","缺少验收ID；","")&amp;IF('09_连续性验收'!B180="","缺少对象ID；","")&amp;IF('09_连续性验收'!C180="","缺少检查类型；","")&amp;IF(AND('09_连续性验收'!J180&lt;&gt;"",'09_连续性验收'!K180&lt;&gt;"",'09_连续性验收'!J180&gt;'09_连续性验收'!K180),"坐标偏差超标；","")&amp;IF(AND('09_连续性验收'!B180&lt;&gt;"",COUNTIF('02_固定地理'!$A$2:$A$501,'09_连续性验收'!B180)+COUNTIF('03_地点锚点'!$A$2:$A$501,'09_连续性验收'!B180)+COUNTIF('04_路径网络'!$A$2:$A$501,'09_连续性验收'!B180)+COUNTIF('06_建筑锚点'!$A$2:$A$501,'09_连续性验收'!B180)=0),"验收对象不存在；","")&amp;IF(AND('09_连续性验收'!A180&lt;&gt;"",COUNTIF('09_连续性验收'!$A$2:$A$501,'09_连续性验收'!A180)&gt;1),"ID重复；",""),"")</f>
        <v/>
      </c>
      <c r="G3680" s="14">
        <f>IF(F3680&lt;&gt;"","按字段批注、数据字典和来源记录修正后复核","")</f>
        <v/>
      </c>
      <c r="H3680" s="14">
        <f>IF(F3680&lt;&gt;"","待处理","")</f>
        <v/>
      </c>
    </row>
    <row r="3681">
      <c r="A3681" s="14">
        <f>IF(F3681&lt;&gt;"","ISSUE-"&amp;TEXT(ROW()-1,"00000"),"")</f>
        <v/>
      </c>
      <c r="B3681" s="14">
        <f>IF(F3681&lt;&gt;"","错误","")</f>
        <v/>
      </c>
      <c r="C3681" s="14">
        <f>IF('09_连续性验收'!A181&lt;&gt;"","09_连续性验收","")</f>
        <v/>
      </c>
      <c r="D3681" s="14">
        <f>IF('09_连续性验收'!A181&lt;&gt;"",'09_连续性验收'!A181,"")</f>
        <v/>
      </c>
      <c r="E3681" s="14">
        <f>IF(F3681&lt;&gt;"","综合校验","")</f>
        <v/>
      </c>
      <c r="F3681" s="14">
        <f>IF('09_连续性验收'!A181&lt;&gt;"",IF('09_连续性验收'!A181="","缺少验收ID；","")&amp;IF('09_连续性验收'!B181="","缺少对象ID；","")&amp;IF('09_连续性验收'!C181="","缺少检查类型；","")&amp;IF(AND('09_连续性验收'!J181&lt;&gt;"",'09_连续性验收'!K181&lt;&gt;"",'09_连续性验收'!J181&gt;'09_连续性验收'!K181),"坐标偏差超标；","")&amp;IF(AND('09_连续性验收'!B181&lt;&gt;"",COUNTIF('02_固定地理'!$A$2:$A$501,'09_连续性验收'!B181)+COUNTIF('03_地点锚点'!$A$2:$A$501,'09_连续性验收'!B181)+COUNTIF('04_路径网络'!$A$2:$A$501,'09_连续性验收'!B181)+COUNTIF('06_建筑锚点'!$A$2:$A$501,'09_连续性验收'!B181)=0),"验收对象不存在；","")&amp;IF(AND('09_连续性验收'!A181&lt;&gt;"",COUNTIF('09_连续性验收'!$A$2:$A$501,'09_连续性验收'!A181)&gt;1),"ID重复；",""),"")</f>
        <v/>
      </c>
      <c r="G3681" s="14">
        <f>IF(F3681&lt;&gt;"","按字段批注、数据字典和来源记录修正后复核","")</f>
        <v/>
      </c>
      <c r="H3681" s="14">
        <f>IF(F3681&lt;&gt;"","待处理","")</f>
        <v/>
      </c>
    </row>
    <row r="3682">
      <c r="A3682" s="14">
        <f>IF(F3682&lt;&gt;"","ISSUE-"&amp;TEXT(ROW()-1,"00000"),"")</f>
        <v/>
      </c>
      <c r="B3682" s="14">
        <f>IF(F3682&lt;&gt;"","错误","")</f>
        <v/>
      </c>
      <c r="C3682" s="14">
        <f>IF('09_连续性验收'!A182&lt;&gt;"","09_连续性验收","")</f>
        <v/>
      </c>
      <c r="D3682" s="14">
        <f>IF('09_连续性验收'!A182&lt;&gt;"",'09_连续性验收'!A182,"")</f>
        <v/>
      </c>
      <c r="E3682" s="14">
        <f>IF(F3682&lt;&gt;"","综合校验","")</f>
        <v/>
      </c>
      <c r="F3682" s="14">
        <f>IF('09_连续性验收'!A182&lt;&gt;"",IF('09_连续性验收'!A182="","缺少验收ID；","")&amp;IF('09_连续性验收'!B182="","缺少对象ID；","")&amp;IF('09_连续性验收'!C182="","缺少检查类型；","")&amp;IF(AND('09_连续性验收'!J182&lt;&gt;"",'09_连续性验收'!K182&lt;&gt;"",'09_连续性验收'!J182&gt;'09_连续性验收'!K182),"坐标偏差超标；","")&amp;IF(AND('09_连续性验收'!B182&lt;&gt;"",COUNTIF('02_固定地理'!$A$2:$A$501,'09_连续性验收'!B182)+COUNTIF('03_地点锚点'!$A$2:$A$501,'09_连续性验收'!B182)+COUNTIF('04_路径网络'!$A$2:$A$501,'09_连续性验收'!B182)+COUNTIF('06_建筑锚点'!$A$2:$A$501,'09_连续性验收'!B182)=0),"验收对象不存在；","")&amp;IF(AND('09_连续性验收'!A182&lt;&gt;"",COUNTIF('09_连续性验收'!$A$2:$A$501,'09_连续性验收'!A182)&gt;1),"ID重复；",""),"")</f>
        <v/>
      </c>
      <c r="G3682" s="14">
        <f>IF(F3682&lt;&gt;"","按字段批注、数据字典和来源记录修正后复核","")</f>
        <v/>
      </c>
      <c r="H3682" s="14">
        <f>IF(F3682&lt;&gt;"","待处理","")</f>
        <v/>
      </c>
    </row>
    <row r="3683">
      <c r="A3683" s="14">
        <f>IF(F3683&lt;&gt;"","ISSUE-"&amp;TEXT(ROW()-1,"00000"),"")</f>
        <v/>
      </c>
      <c r="B3683" s="14">
        <f>IF(F3683&lt;&gt;"","错误","")</f>
        <v/>
      </c>
      <c r="C3683" s="14">
        <f>IF('09_连续性验收'!A183&lt;&gt;"","09_连续性验收","")</f>
        <v/>
      </c>
      <c r="D3683" s="14">
        <f>IF('09_连续性验收'!A183&lt;&gt;"",'09_连续性验收'!A183,"")</f>
        <v/>
      </c>
      <c r="E3683" s="14">
        <f>IF(F3683&lt;&gt;"","综合校验","")</f>
        <v/>
      </c>
      <c r="F3683" s="14">
        <f>IF('09_连续性验收'!A183&lt;&gt;"",IF('09_连续性验收'!A183="","缺少验收ID；","")&amp;IF('09_连续性验收'!B183="","缺少对象ID；","")&amp;IF('09_连续性验收'!C183="","缺少检查类型；","")&amp;IF(AND('09_连续性验收'!J183&lt;&gt;"",'09_连续性验收'!K183&lt;&gt;"",'09_连续性验收'!J183&gt;'09_连续性验收'!K183),"坐标偏差超标；","")&amp;IF(AND('09_连续性验收'!B183&lt;&gt;"",COUNTIF('02_固定地理'!$A$2:$A$501,'09_连续性验收'!B183)+COUNTIF('03_地点锚点'!$A$2:$A$501,'09_连续性验收'!B183)+COUNTIF('04_路径网络'!$A$2:$A$501,'09_连续性验收'!B183)+COUNTIF('06_建筑锚点'!$A$2:$A$501,'09_连续性验收'!B183)=0),"验收对象不存在；","")&amp;IF(AND('09_连续性验收'!A183&lt;&gt;"",COUNTIF('09_连续性验收'!$A$2:$A$501,'09_连续性验收'!A183)&gt;1),"ID重复；",""),"")</f>
        <v/>
      </c>
      <c r="G3683" s="14">
        <f>IF(F3683&lt;&gt;"","按字段批注、数据字典和来源记录修正后复核","")</f>
        <v/>
      </c>
      <c r="H3683" s="14">
        <f>IF(F3683&lt;&gt;"","待处理","")</f>
        <v/>
      </c>
    </row>
    <row r="3684">
      <c r="A3684" s="14">
        <f>IF(F3684&lt;&gt;"","ISSUE-"&amp;TEXT(ROW()-1,"00000"),"")</f>
        <v/>
      </c>
      <c r="B3684" s="14">
        <f>IF(F3684&lt;&gt;"","错误","")</f>
        <v/>
      </c>
      <c r="C3684" s="14">
        <f>IF('09_连续性验收'!A184&lt;&gt;"","09_连续性验收","")</f>
        <v/>
      </c>
      <c r="D3684" s="14">
        <f>IF('09_连续性验收'!A184&lt;&gt;"",'09_连续性验收'!A184,"")</f>
        <v/>
      </c>
      <c r="E3684" s="14">
        <f>IF(F3684&lt;&gt;"","综合校验","")</f>
        <v/>
      </c>
      <c r="F3684" s="14">
        <f>IF('09_连续性验收'!A184&lt;&gt;"",IF('09_连续性验收'!A184="","缺少验收ID；","")&amp;IF('09_连续性验收'!B184="","缺少对象ID；","")&amp;IF('09_连续性验收'!C184="","缺少检查类型；","")&amp;IF(AND('09_连续性验收'!J184&lt;&gt;"",'09_连续性验收'!K184&lt;&gt;"",'09_连续性验收'!J184&gt;'09_连续性验收'!K184),"坐标偏差超标；","")&amp;IF(AND('09_连续性验收'!B184&lt;&gt;"",COUNTIF('02_固定地理'!$A$2:$A$501,'09_连续性验收'!B184)+COUNTIF('03_地点锚点'!$A$2:$A$501,'09_连续性验收'!B184)+COUNTIF('04_路径网络'!$A$2:$A$501,'09_连续性验收'!B184)+COUNTIF('06_建筑锚点'!$A$2:$A$501,'09_连续性验收'!B184)=0),"验收对象不存在；","")&amp;IF(AND('09_连续性验收'!A184&lt;&gt;"",COUNTIF('09_连续性验收'!$A$2:$A$501,'09_连续性验收'!A184)&gt;1),"ID重复；",""),"")</f>
        <v/>
      </c>
      <c r="G3684" s="14">
        <f>IF(F3684&lt;&gt;"","按字段批注、数据字典和来源记录修正后复核","")</f>
        <v/>
      </c>
      <c r="H3684" s="14">
        <f>IF(F3684&lt;&gt;"","待处理","")</f>
        <v/>
      </c>
    </row>
    <row r="3685">
      <c r="A3685" s="14">
        <f>IF(F3685&lt;&gt;"","ISSUE-"&amp;TEXT(ROW()-1,"00000"),"")</f>
        <v/>
      </c>
      <c r="B3685" s="14">
        <f>IF(F3685&lt;&gt;"","错误","")</f>
        <v/>
      </c>
      <c r="C3685" s="14">
        <f>IF('09_连续性验收'!A185&lt;&gt;"","09_连续性验收","")</f>
        <v/>
      </c>
      <c r="D3685" s="14">
        <f>IF('09_连续性验收'!A185&lt;&gt;"",'09_连续性验收'!A185,"")</f>
        <v/>
      </c>
      <c r="E3685" s="14">
        <f>IF(F3685&lt;&gt;"","综合校验","")</f>
        <v/>
      </c>
      <c r="F3685" s="14">
        <f>IF('09_连续性验收'!A185&lt;&gt;"",IF('09_连续性验收'!A185="","缺少验收ID；","")&amp;IF('09_连续性验收'!B185="","缺少对象ID；","")&amp;IF('09_连续性验收'!C185="","缺少检查类型；","")&amp;IF(AND('09_连续性验收'!J185&lt;&gt;"",'09_连续性验收'!K185&lt;&gt;"",'09_连续性验收'!J185&gt;'09_连续性验收'!K185),"坐标偏差超标；","")&amp;IF(AND('09_连续性验收'!B185&lt;&gt;"",COUNTIF('02_固定地理'!$A$2:$A$501,'09_连续性验收'!B185)+COUNTIF('03_地点锚点'!$A$2:$A$501,'09_连续性验收'!B185)+COUNTIF('04_路径网络'!$A$2:$A$501,'09_连续性验收'!B185)+COUNTIF('06_建筑锚点'!$A$2:$A$501,'09_连续性验收'!B185)=0),"验收对象不存在；","")&amp;IF(AND('09_连续性验收'!A185&lt;&gt;"",COUNTIF('09_连续性验收'!$A$2:$A$501,'09_连续性验收'!A185)&gt;1),"ID重复；",""),"")</f>
        <v/>
      </c>
      <c r="G3685" s="14">
        <f>IF(F3685&lt;&gt;"","按字段批注、数据字典和来源记录修正后复核","")</f>
        <v/>
      </c>
      <c r="H3685" s="14">
        <f>IF(F3685&lt;&gt;"","待处理","")</f>
        <v/>
      </c>
    </row>
    <row r="3686">
      <c r="A3686" s="14">
        <f>IF(F3686&lt;&gt;"","ISSUE-"&amp;TEXT(ROW()-1,"00000"),"")</f>
        <v/>
      </c>
      <c r="B3686" s="14">
        <f>IF(F3686&lt;&gt;"","错误","")</f>
        <v/>
      </c>
      <c r="C3686" s="14">
        <f>IF('09_连续性验收'!A186&lt;&gt;"","09_连续性验收","")</f>
        <v/>
      </c>
      <c r="D3686" s="14">
        <f>IF('09_连续性验收'!A186&lt;&gt;"",'09_连续性验收'!A186,"")</f>
        <v/>
      </c>
      <c r="E3686" s="14">
        <f>IF(F3686&lt;&gt;"","综合校验","")</f>
        <v/>
      </c>
      <c r="F3686" s="14">
        <f>IF('09_连续性验收'!A186&lt;&gt;"",IF('09_连续性验收'!A186="","缺少验收ID；","")&amp;IF('09_连续性验收'!B186="","缺少对象ID；","")&amp;IF('09_连续性验收'!C186="","缺少检查类型；","")&amp;IF(AND('09_连续性验收'!J186&lt;&gt;"",'09_连续性验收'!K186&lt;&gt;"",'09_连续性验收'!J186&gt;'09_连续性验收'!K186),"坐标偏差超标；","")&amp;IF(AND('09_连续性验收'!B186&lt;&gt;"",COUNTIF('02_固定地理'!$A$2:$A$501,'09_连续性验收'!B186)+COUNTIF('03_地点锚点'!$A$2:$A$501,'09_连续性验收'!B186)+COUNTIF('04_路径网络'!$A$2:$A$501,'09_连续性验收'!B186)+COUNTIF('06_建筑锚点'!$A$2:$A$501,'09_连续性验收'!B186)=0),"验收对象不存在；","")&amp;IF(AND('09_连续性验收'!A186&lt;&gt;"",COUNTIF('09_连续性验收'!$A$2:$A$501,'09_连续性验收'!A186)&gt;1),"ID重复；",""),"")</f>
        <v/>
      </c>
      <c r="G3686" s="14">
        <f>IF(F3686&lt;&gt;"","按字段批注、数据字典和来源记录修正后复核","")</f>
        <v/>
      </c>
      <c r="H3686" s="14">
        <f>IF(F3686&lt;&gt;"","待处理","")</f>
        <v/>
      </c>
    </row>
    <row r="3687">
      <c r="A3687" s="14">
        <f>IF(F3687&lt;&gt;"","ISSUE-"&amp;TEXT(ROW()-1,"00000"),"")</f>
        <v/>
      </c>
      <c r="B3687" s="14">
        <f>IF(F3687&lt;&gt;"","错误","")</f>
        <v/>
      </c>
      <c r="C3687" s="14">
        <f>IF('09_连续性验收'!A187&lt;&gt;"","09_连续性验收","")</f>
        <v/>
      </c>
      <c r="D3687" s="14">
        <f>IF('09_连续性验收'!A187&lt;&gt;"",'09_连续性验收'!A187,"")</f>
        <v/>
      </c>
      <c r="E3687" s="14">
        <f>IF(F3687&lt;&gt;"","综合校验","")</f>
        <v/>
      </c>
      <c r="F3687" s="14">
        <f>IF('09_连续性验收'!A187&lt;&gt;"",IF('09_连续性验收'!A187="","缺少验收ID；","")&amp;IF('09_连续性验收'!B187="","缺少对象ID；","")&amp;IF('09_连续性验收'!C187="","缺少检查类型；","")&amp;IF(AND('09_连续性验收'!J187&lt;&gt;"",'09_连续性验收'!K187&lt;&gt;"",'09_连续性验收'!J187&gt;'09_连续性验收'!K187),"坐标偏差超标；","")&amp;IF(AND('09_连续性验收'!B187&lt;&gt;"",COUNTIF('02_固定地理'!$A$2:$A$501,'09_连续性验收'!B187)+COUNTIF('03_地点锚点'!$A$2:$A$501,'09_连续性验收'!B187)+COUNTIF('04_路径网络'!$A$2:$A$501,'09_连续性验收'!B187)+COUNTIF('06_建筑锚点'!$A$2:$A$501,'09_连续性验收'!B187)=0),"验收对象不存在；","")&amp;IF(AND('09_连续性验收'!A187&lt;&gt;"",COUNTIF('09_连续性验收'!$A$2:$A$501,'09_连续性验收'!A187)&gt;1),"ID重复；",""),"")</f>
        <v/>
      </c>
      <c r="G3687" s="14">
        <f>IF(F3687&lt;&gt;"","按字段批注、数据字典和来源记录修正后复核","")</f>
        <v/>
      </c>
      <c r="H3687" s="14">
        <f>IF(F3687&lt;&gt;"","待处理","")</f>
        <v/>
      </c>
    </row>
    <row r="3688">
      <c r="A3688" s="14">
        <f>IF(F3688&lt;&gt;"","ISSUE-"&amp;TEXT(ROW()-1,"00000"),"")</f>
        <v/>
      </c>
      <c r="B3688" s="14">
        <f>IF(F3688&lt;&gt;"","错误","")</f>
        <v/>
      </c>
      <c r="C3688" s="14">
        <f>IF('09_连续性验收'!A188&lt;&gt;"","09_连续性验收","")</f>
        <v/>
      </c>
      <c r="D3688" s="14">
        <f>IF('09_连续性验收'!A188&lt;&gt;"",'09_连续性验收'!A188,"")</f>
        <v/>
      </c>
      <c r="E3688" s="14">
        <f>IF(F3688&lt;&gt;"","综合校验","")</f>
        <v/>
      </c>
      <c r="F3688" s="14">
        <f>IF('09_连续性验收'!A188&lt;&gt;"",IF('09_连续性验收'!A188="","缺少验收ID；","")&amp;IF('09_连续性验收'!B188="","缺少对象ID；","")&amp;IF('09_连续性验收'!C188="","缺少检查类型；","")&amp;IF(AND('09_连续性验收'!J188&lt;&gt;"",'09_连续性验收'!K188&lt;&gt;"",'09_连续性验收'!J188&gt;'09_连续性验收'!K188),"坐标偏差超标；","")&amp;IF(AND('09_连续性验收'!B188&lt;&gt;"",COUNTIF('02_固定地理'!$A$2:$A$501,'09_连续性验收'!B188)+COUNTIF('03_地点锚点'!$A$2:$A$501,'09_连续性验收'!B188)+COUNTIF('04_路径网络'!$A$2:$A$501,'09_连续性验收'!B188)+COUNTIF('06_建筑锚点'!$A$2:$A$501,'09_连续性验收'!B188)=0),"验收对象不存在；","")&amp;IF(AND('09_连续性验收'!A188&lt;&gt;"",COUNTIF('09_连续性验收'!$A$2:$A$501,'09_连续性验收'!A188)&gt;1),"ID重复；",""),"")</f>
        <v/>
      </c>
      <c r="G3688" s="14">
        <f>IF(F3688&lt;&gt;"","按字段批注、数据字典和来源记录修正后复核","")</f>
        <v/>
      </c>
      <c r="H3688" s="14">
        <f>IF(F3688&lt;&gt;"","待处理","")</f>
        <v/>
      </c>
    </row>
    <row r="3689">
      <c r="A3689" s="14">
        <f>IF(F3689&lt;&gt;"","ISSUE-"&amp;TEXT(ROW()-1,"00000"),"")</f>
        <v/>
      </c>
      <c r="B3689" s="14">
        <f>IF(F3689&lt;&gt;"","错误","")</f>
        <v/>
      </c>
      <c r="C3689" s="14">
        <f>IF('09_连续性验收'!A189&lt;&gt;"","09_连续性验收","")</f>
        <v/>
      </c>
      <c r="D3689" s="14">
        <f>IF('09_连续性验收'!A189&lt;&gt;"",'09_连续性验收'!A189,"")</f>
        <v/>
      </c>
      <c r="E3689" s="14">
        <f>IF(F3689&lt;&gt;"","综合校验","")</f>
        <v/>
      </c>
      <c r="F3689" s="14">
        <f>IF('09_连续性验收'!A189&lt;&gt;"",IF('09_连续性验收'!A189="","缺少验收ID；","")&amp;IF('09_连续性验收'!B189="","缺少对象ID；","")&amp;IF('09_连续性验收'!C189="","缺少检查类型；","")&amp;IF(AND('09_连续性验收'!J189&lt;&gt;"",'09_连续性验收'!K189&lt;&gt;"",'09_连续性验收'!J189&gt;'09_连续性验收'!K189),"坐标偏差超标；","")&amp;IF(AND('09_连续性验收'!B189&lt;&gt;"",COUNTIF('02_固定地理'!$A$2:$A$501,'09_连续性验收'!B189)+COUNTIF('03_地点锚点'!$A$2:$A$501,'09_连续性验收'!B189)+COUNTIF('04_路径网络'!$A$2:$A$501,'09_连续性验收'!B189)+COUNTIF('06_建筑锚点'!$A$2:$A$501,'09_连续性验收'!B189)=0),"验收对象不存在；","")&amp;IF(AND('09_连续性验收'!A189&lt;&gt;"",COUNTIF('09_连续性验收'!$A$2:$A$501,'09_连续性验收'!A189)&gt;1),"ID重复；",""),"")</f>
        <v/>
      </c>
      <c r="G3689" s="14">
        <f>IF(F3689&lt;&gt;"","按字段批注、数据字典和来源记录修正后复核","")</f>
        <v/>
      </c>
      <c r="H3689" s="14">
        <f>IF(F3689&lt;&gt;"","待处理","")</f>
        <v/>
      </c>
    </row>
    <row r="3690">
      <c r="A3690" s="14">
        <f>IF(F3690&lt;&gt;"","ISSUE-"&amp;TEXT(ROW()-1,"00000"),"")</f>
        <v/>
      </c>
      <c r="B3690" s="14">
        <f>IF(F3690&lt;&gt;"","错误","")</f>
        <v/>
      </c>
      <c r="C3690" s="14">
        <f>IF('09_连续性验收'!A190&lt;&gt;"","09_连续性验收","")</f>
        <v/>
      </c>
      <c r="D3690" s="14">
        <f>IF('09_连续性验收'!A190&lt;&gt;"",'09_连续性验收'!A190,"")</f>
        <v/>
      </c>
      <c r="E3690" s="14">
        <f>IF(F3690&lt;&gt;"","综合校验","")</f>
        <v/>
      </c>
      <c r="F3690" s="14">
        <f>IF('09_连续性验收'!A190&lt;&gt;"",IF('09_连续性验收'!A190="","缺少验收ID；","")&amp;IF('09_连续性验收'!B190="","缺少对象ID；","")&amp;IF('09_连续性验收'!C190="","缺少检查类型；","")&amp;IF(AND('09_连续性验收'!J190&lt;&gt;"",'09_连续性验收'!K190&lt;&gt;"",'09_连续性验收'!J190&gt;'09_连续性验收'!K190),"坐标偏差超标；","")&amp;IF(AND('09_连续性验收'!B190&lt;&gt;"",COUNTIF('02_固定地理'!$A$2:$A$501,'09_连续性验收'!B190)+COUNTIF('03_地点锚点'!$A$2:$A$501,'09_连续性验收'!B190)+COUNTIF('04_路径网络'!$A$2:$A$501,'09_连续性验收'!B190)+COUNTIF('06_建筑锚点'!$A$2:$A$501,'09_连续性验收'!B190)=0),"验收对象不存在；","")&amp;IF(AND('09_连续性验收'!A190&lt;&gt;"",COUNTIF('09_连续性验收'!$A$2:$A$501,'09_连续性验收'!A190)&gt;1),"ID重复；",""),"")</f>
        <v/>
      </c>
      <c r="G3690" s="14">
        <f>IF(F3690&lt;&gt;"","按字段批注、数据字典和来源记录修正后复核","")</f>
        <v/>
      </c>
      <c r="H3690" s="14">
        <f>IF(F3690&lt;&gt;"","待处理","")</f>
        <v/>
      </c>
    </row>
    <row r="3691">
      <c r="A3691" s="14">
        <f>IF(F3691&lt;&gt;"","ISSUE-"&amp;TEXT(ROW()-1,"00000"),"")</f>
        <v/>
      </c>
      <c r="B3691" s="14">
        <f>IF(F3691&lt;&gt;"","错误","")</f>
        <v/>
      </c>
      <c r="C3691" s="14">
        <f>IF('09_连续性验收'!A191&lt;&gt;"","09_连续性验收","")</f>
        <v/>
      </c>
      <c r="D3691" s="14">
        <f>IF('09_连续性验收'!A191&lt;&gt;"",'09_连续性验收'!A191,"")</f>
        <v/>
      </c>
      <c r="E3691" s="14">
        <f>IF(F3691&lt;&gt;"","综合校验","")</f>
        <v/>
      </c>
      <c r="F3691" s="14">
        <f>IF('09_连续性验收'!A191&lt;&gt;"",IF('09_连续性验收'!A191="","缺少验收ID；","")&amp;IF('09_连续性验收'!B191="","缺少对象ID；","")&amp;IF('09_连续性验收'!C191="","缺少检查类型；","")&amp;IF(AND('09_连续性验收'!J191&lt;&gt;"",'09_连续性验收'!K191&lt;&gt;"",'09_连续性验收'!J191&gt;'09_连续性验收'!K191),"坐标偏差超标；","")&amp;IF(AND('09_连续性验收'!B191&lt;&gt;"",COUNTIF('02_固定地理'!$A$2:$A$501,'09_连续性验收'!B191)+COUNTIF('03_地点锚点'!$A$2:$A$501,'09_连续性验收'!B191)+COUNTIF('04_路径网络'!$A$2:$A$501,'09_连续性验收'!B191)+COUNTIF('06_建筑锚点'!$A$2:$A$501,'09_连续性验收'!B191)=0),"验收对象不存在；","")&amp;IF(AND('09_连续性验收'!A191&lt;&gt;"",COUNTIF('09_连续性验收'!$A$2:$A$501,'09_连续性验收'!A191)&gt;1),"ID重复；",""),"")</f>
        <v/>
      </c>
      <c r="G3691" s="14">
        <f>IF(F3691&lt;&gt;"","按字段批注、数据字典和来源记录修正后复核","")</f>
        <v/>
      </c>
      <c r="H3691" s="14">
        <f>IF(F3691&lt;&gt;"","待处理","")</f>
        <v/>
      </c>
    </row>
    <row r="3692">
      <c r="A3692" s="14">
        <f>IF(F3692&lt;&gt;"","ISSUE-"&amp;TEXT(ROW()-1,"00000"),"")</f>
        <v/>
      </c>
      <c r="B3692" s="14">
        <f>IF(F3692&lt;&gt;"","错误","")</f>
        <v/>
      </c>
      <c r="C3692" s="14">
        <f>IF('09_连续性验收'!A192&lt;&gt;"","09_连续性验收","")</f>
        <v/>
      </c>
      <c r="D3692" s="14">
        <f>IF('09_连续性验收'!A192&lt;&gt;"",'09_连续性验收'!A192,"")</f>
        <v/>
      </c>
      <c r="E3692" s="14">
        <f>IF(F3692&lt;&gt;"","综合校验","")</f>
        <v/>
      </c>
      <c r="F3692" s="14">
        <f>IF('09_连续性验收'!A192&lt;&gt;"",IF('09_连续性验收'!A192="","缺少验收ID；","")&amp;IF('09_连续性验收'!B192="","缺少对象ID；","")&amp;IF('09_连续性验收'!C192="","缺少检查类型；","")&amp;IF(AND('09_连续性验收'!J192&lt;&gt;"",'09_连续性验收'!K192&lt;&gt;"",'09_连续性验收'!J192&gt;'09_连续性验收'!K192),"坐标偏差超标；","")&amp;IF(AND('09_连续性验收'!B192&lt;&gt;"",COUNTIF('02_固定地理'!$A$2:$A$501,'09_连续性验收'!B192)+COUNTIF('03_地点锚点'!$A$2:$A$501,'09_连续性验收'!B192)+COUNTIF('04_路径网络'!$A$2:$A$501,'09_连续性验收'!B192)+COUNTIF('06_建筑锚点'!$A$2:$A$501,'09_连续性验收'!B192)=0),"验收对象不存在；","")&amp;IF(AND('09_连续性验收'!A192&lt;&gt;"",COUNTIF('09_连续性验收'!$A$2:$A$501,'09_连续性验收'!A192)&gt;1),"ID重复；",""),"")</f>
        <v/>
      </c>
      <c r="G3692" s="14">
        <f>IF(F3692&lt;&gt;"","按字段批注、数据字典和来源记录修正后复核","")</f>
        <v/>
      </c>
      <c r="H3692" s="14">
        <f>IF(F3692&lt;&gt;"","待处理","")</f>
        <v/>
      </c>
    </row>
    <row r="3693">
      <c r="A3693" s="14">
        <f>IF(F3693&lt;&gt;"","ISSUE-"&amp;TEXT(ROW()-1,"00000"),"")</f>
        <v/>
      </c>
      <c r="B3693" s="14">
        <f>IF(F3693&lt;&gt;"","错误","")</f>
        <v/>
      </c>
      <c r="C3693" s="14">
        <f>IF('09_连续性验收'!A193&lt;&gt;"","09_连续性验收","")</f>
        <v/>
      </c>
      <c r="D3693" s="14">
        <f>IF('09_连续性验收'!A193&lt;&gt;"",'09_连续性验收'!A193,"")</f>
        <v/>
      </c>
      <c r="E3693" s="14">
        <f>IF(F3693&lt;&gt;"","综合校验","")</f>
        <v/>
      </c>
      <c r="F3693" s="14">
        <f>IF('09_连续性验收'!A193&lt;&gt;"",IF('09_连续性验收'!A193="","缺少验收ID；","")&amp;IF('09_连续性验收'!B193="","缺少对象ID；","")&amp;IF('09_连续性验收'!C193="","缺少检查类型；","")&amp;IF(AND('09_连续性验收'!J193&lt;&gt;"",'09_连续性验收'!K193&lt;&gt;"",'09_连续性验收'!J193&gt;'09_连续性验收'!K193),"坐标偏差超标；","")&amp;IF(AND('09_连续性验收'!B193&lt;&gt;"",COUNTIF('02_固定地理'!$A$2:$A$501,'09_连续性验收'!B193)+COUNTIF('03_地点锚点'!$A$2:$A$501,'09_连续性验收'!B193)+COUNTIF('04_路径网络'!$A$2:$A$501,'09_连续性验收'!B193)+COUNTIF('06_建筑锚点'!$A$2:$A$501,'09_连续性验收'!B193)=0),"验收对象不存在；","")&amp;IF(AND('09_连续性验收'!A193&lt;&gt;"",COUNTIF('09_连续性验收'!$A$2:$A$501,'09_连续性验收'!A193)&gt;1),"ID重复；",""),"")</f>
        <v/>
      </c>
      <c r="G3693" s="14">
        <f>IF(F3693&lt;&gt;"","按字段批注、数据字典和来源记录修正后复核","")</f>
        <v/>
      </c>
      <c r="H3693" s="14">
        <f>IF(F3693&lt;&gt;"","待处理","")</f>
        <v/>
      </c>
    </row>
    <row r="3694">
      <c r="A3694" s="14">
        <f>IF(F3694&lt;&gt;"","ISSUE-"&amp;TEXT(ROW()-1,"00000"),"")</f>
        <v/>
      </c>
      <c r="B3694" s="14">
        <f>IF(F3694&lt;&gt;"","错误","")</f>
        <v/>
      </c>
      <c r="C3694" s="14">
        <f>IF('09_连续性验收'!A194&lt;&gt;"","09_连续性验收","")</f>
        <v/>
      </c>
      <c r="D3694" s="14">
        <f>IF('09_连续性验收'!A194&lt;&gt;"",'09_连续性验收'!A194,"")</f>
        <v/>
      </c>
      <c r="E3694" s="14">
        <f>IF(F3694&lt;&gt;"","综合校验","")</f>
        <v/>
      </c>
      <c r="F3694" s="14">
        <f>IF('09_连续性验收'!A194&lt;&gt;"",IF('09_连续性验收'!A194="","缺少验收ID；","")&amp;IF('09_连续性验收'!B194="","缺少对象ID；","")&amp;IF('09_连续性验收'!C194="","缺少检查类型；","")&amp;IF(AND('09_连续性验收'!J194&lt;&gt;"",'09_连续性验收'!K194&lt;&gt;"",'09_连续性验收'!J194&gt;'09_连续性验收'!K194),"坐标偏差超标；","")&amp;IF(AND('09_连续性验收'!B194&lt;&gt;"",COUNTIF('02_固定地理'!$A$2:$A$501,'09_连续性验收'!B194)+COUNTIF('03_地点锚点'!$A$2:$A$501,'09_连续性验收'!B194)+COUNTIF('04_路径网络'!$A$2:$A$501,'09_连续性验收'!B194)+COUNTIF('06_建筑锚点'!$A$2:$A$501,'09_连续性验收'!B194)=0),"验收对象不存在；","")&amp;IF(AND('09_连续性验收'!A194&lt;&gt;"",COUNTIF('09_连续性验收'!$A$2:$A$501,'09_连续性验收'!A194)&gt;1),"ID重复；",""),"")</f>
        <v/>
      </c>
      <c r="G3694" s="14">
        <f>IF(F3694&lt;&gt;"","按字段批注、数据字典和来源记录修正后复核","")</f>
        <v/>
      </c>
      <c r="H3694" s="14">
        <f>IF(F3694&lt;&gt;"","待处理","")</f>
        <v/>
      </c>
    </row>
    <row r="3695">
      <c r="A3695" s="14">
        <f>IF(F3695&lt;&gt;"","ISSUE-"&amp;TEXT(ROW()-1,"00000"),"")</f>
        <v/>
      </c>
      <c r="B3695" s="14">
        <f>IF(F3695&lt;&gt;"","错误","")</f>
        <v/>
      </c>
      <c r="C3695" s="14">
        <f>IF('09_连续性验收'!A195&lt;&gt;"","09_连续性验收","")</f>
        <v/>
      </c>
      <c r="D3695" s="14">
        <f>IF('09_连续性验收'!A195&lt;&gt;"",'09_连续性验收'!A195,"")</f>
        <v/>
      </c>
      <c r="E3695" s="14">
        <f>IF(F3695&lt;&gt;"","综合校验","")</f>
        <v/>
      </c>
      <c r="F3695" s="14">
        <f>IF('09_连续性验收'!A195&lt;&gt;"",IF('09_连续性验收'!A195="","缺少验收ID；","")&amp;IF('09_连续性验收'!B195="","缺少对象ID；","")&amp;IF('09_连续性验收'!C195="","缺少检查类型；","")&amp;IF(AND('09_连续性验收'!J195&lt;&gt;"",'09_连续性验收'!K195&lt;&gt;"",'09_连续性验收'!J195&gt;'09_连续性验收'!K195),"坐标偏差超标；","")&amp;IF(AND('09_连续性验收'!B195&lt;&gt;"",COUNTIF('02_固定地理'!$A$2:$A$501,'09_连续性验收'!B195)+COUNTIF('03_地点锚点'!$A$2:$A$501,'09_连续性验收'!B195)+COUNTIF('04_路径网络'!$A$2:$A$501,'09_连续性验收'!B195)+COUNTIF('06_建筑锚点'!$A$2:$A$501,'09_连续性验收'!B195)=0),"验收对象不存在；","")&amp;IF(AND('09_连续性验收'!A195&lt;&gt;"",COUNTIF('09_连续性验收'!$A$2:$A$501,'09_连续性验收'!A195)&gt;1),"ID重复；",""),"")</f>
        <v/>
      </c>
      <c r="G3695" s="14">
        <f>IF(F3695&lt;&gt;"","按字段批注、数据字典和来源记录修正后复核","")</f>
        <v/>
      </c>
      <c r="H3695" s="14">
        <f>IF(F3695&lt;&gt;"","待处理","")</f>
        <v/>
      </c>
    </row>
    <row r="3696">
      <c r="A3696" s="14">
        <f>IF(F3696&lt;&gt;"","ISSUE-"&amp;TEXT(ROW()-1,"00000"),"")</f>
        <v/>
      </c>
      <c r="B3696" s="14">
        <f>IF(F3696&lt;&gt;"","错误","")</f>
        <v/>
      </c>
      <c r="C3696" s="14">
        <f>IF('09_连续性验收'!A196&lt;&gt;"","09_连续性验收","")</f>
        <v/>
      </c>
      <c r="D3696" s="14">
        <f>IF('09_连续性验收'!A196&lt;&gt;"",'09_连续性验收'!A196,"")</f>
        <v/>
      </c>
      <c r="E3696" s="14">
        <f>IF(F3696&lt;&gt;"","综合校验","")</f>
        <v/>
      </c>
      <c r="F3696" s="14">
        <f>IF('09_连续性验收'!A196&lt;&gt;"",IF('09_连续性验收'!A196="","缺少验收ID；","")&amp;IF('09_连续性验收'!B196="","缺少对象ID；","")&amp;IF('09_连续性验收'!C196="","缺少检查类型；","")&amp;IF(AND('09_连续性验收'!J196&lt;&gt;"",'09_连续性验收'!K196&lt;&gt;"",'09_连续性验收'!J196&gt;'09_连续性验收'!K196),"坐标偏差超标；","")&amp;IF(AND('09_连续性验收'!B196&lt;&gt;"",COUNTIF('02_固定地理'!$A$2:$A$501,'09_连续性验收'!B196)+COUNTIF('03_地点锚点'!$A$2:$A$501,'09_连续性验收'!B196)+COUNTIF('04_路径网络'!$A$2:$A$501,'09_连续性验收'!B196)+COUNTIF('06_建筑锚点'!$A$2:$A$501,'09_连续性验收'!B196)=0),"验收对象不存在；","")&amp;IF(AND('09_连续性验收'!A196&lt;&gt;"",COUNTIF('09_连续性验收'!$A$2:$A$501,'09_连续性验收'!A196)&gt;1),"ID重复；",""),"")</f>
        <v/>
      </c>
      <c r="G3696" s="14">
        <f>IF(F3696&lt;&gt;"","按字段批注、数据字典和来源记录修正后复核","")</f>
        <v/>
      </c>
      <c r="H3696" s="14">
        <f>IF(F3696&lt;&gt;"","待处理","")</f>
        <v/>
      </c>
    </row>
    <row r="3697">
      <c r="A3697" s="14">
        <f>IF(F3697&lt;&gt;"","ISSUE-"&amp;TEXT(ROW()-1,"00000"),"")</f>
        <v/>
      </c>
      <c r="B3697" s="14">
        <f>IF(F3697&lt;&gt;"","错误","")</f>
        <v/>
      </c>
      <c r="C3697" s="14">
        <f>IF('09_连续性验收'!A197&lt;&gt;"","09_连续性验收","")</f>
        <v/>
      </c>
      <c r="D3697" s="14">
        <f>IF('09_连续性验收'!A197&lt;&gt;"",'09_连续性验收'!A197,"")</f>
        <v/>
      </c>
      <c r="E3697" s="14">
        <f>IF(F3697&lt;&gt;"","综合校验","")</f>
        <v/>
      </c>
      <c r="F3697" s="14">
        <f>IF('09_连续性验收'!A197&lt;&gt;"",IF('09_连续性验收'!A197="","缺少验收ID；","")&amp;IF('09_连续性验收'!B197="","缺少对象ID；","")&amp;IF('09_连续性验收'!C197="","缺少检查类型；","")&amp;IF(AND('09_连续性验收'!J197&lt;&gt;"",'09_连续性验收'!K197&lt;&gt;"",'09_连续性验收'!J197&gt;'09_连续性验收'!K197),"坐标偏差超标；","")&amp;IF(AND('09_连续性验收'!B197&lt;&gt;"",COUNTIF('02_固定地理'!$A$2:$A$501,'09_连续性验收'!B197)+COUNTIF('03_地点锚点'!$A$2:$A$501,'09_连续性验收'!B197)+COUNTIF('04_路径网络'!$A$2:$A$501,'09_连续性验收'!B197)+COUNTIF('06_建筑锚点'!$A$2:$A$501,'09_连续性验收'!B197)=0),"验收对象不存在；","")&amp;IF(AND('09_连续性验收'!A197&lt;&gt;"",COUNTIF('09_连续性验收'!$A$2:$A$501,'09_连续性验收'!A197)&gt;1),"ID重复；",""),"")</f>
        <v/>
      </c>
      <c r="G3697" s="14">
        <f>IF(F3697&lt;&gt;"","按字段批注、数据字典和来源记录修正后复核","")</f>
        <v/>
      </c>
      <c r="H3697" s="14">
        <f>IF(F3697&lt;&gt;"","待处理","")</f>
        <v/>
      </c>
    </row>
    <row r="3698">
      <c r="A3698" s="14">
        <f>IF(F3698&lt;&gt;"","ISSUE-"&amp;TEXT(ROW()-1,"00000"),"")</f>
        <v/>
      </c>
      <c r="B3698" s="14">
        <f>IF(F3698&lt;&gt;"","错误","")</f>
        <v/>
      </c>
      <c r="C3698" s="14">
        <f>IF('09_连续性验收'!A198&lt;&gt;"","09_连续性验收","")</f>
        <v/>
      </c>
      <c r="D3698" s="14">
        <f>IF('09_连续性验收'!A198&lt;&gt;"",'09_连续性验收'!A198,"")</f>
        <v/>
      </c>
      <c r="E3698" s="14">
        <f>IF(F3698&lt;&gt;"","综合校验","")</f>
        <v/>
      </c>
      <c r="F3698" s="14">
        <f>IF('09_连续性验收'!A198&lt;&gt;"",IF('09_连续性验收'!A198="","缺少验收ID；","")&amp;IF('09_连续性验收'!B198="","缺少对象ID；","")&amp;IF('09_连续性验收'!C198="","缺少检查类型；","")&amp;IF(AND('09_连续性验收'!J198&lt;&gt;"",'09_连续性验收'!K198&lt;&gt;"",'09_连续性验收'!J198&gt;'09_连续性验收'!K198),"坐标偏差超标；","")&amp;IF(AND('09_连续性验收'!B198&lt;&gt;"",COUNTIF('02_固定地理'!$A$2:$A$501,'09_连续性验收'!B198)+COUNTIF('03_地点锚点'!$A$2:$A$501,'09_连续性验收'!B198)+COUNTIF('04_路径网络'!$A$2:$A$501,'09_连续性验收'!B198)+COUNTIF('06_建筑锚点'!$A$2:$A$501,'09_连续性验收'!B198)=0),"验收对象不存在；","")&amp;IF(AND('09_连续性验收'!A198&lt;&gt;"",COUNTIF('09_连续性验收'!$A$2:$A$501,'09_连续性验收'!A198)&gt;1),"ID重复；",""),"")</f>
        <v/>
      </c>
      <c r="G3698" s="14">
        <f>IF(F3698&lt;&gt;"","按字段批注、数据字典和来源记录修正后复核","")</f>
        <v/>
      </c>
      <c r="H3698" s="14">
        <f>IF(F3698&lt;&gt;"","待处理","")</f>
        <v/>
      </c>
    </row>
    <row r="3699">
      <c r="A3699" s="14">
        <f>IF(F3699&lt;&gt;"","ISSUE-"&amp;TEXT(ROW()-1,"00000"),"")</f>
        <v/>
      </c>
      <c r="B3699" s="14">
        <f>IF(F3699&lt;&gt;"","错误","")</f>
        <v/>
      </c>
      <c r="C3699" s="14">
        <f>IF('09_连续性验收'!A199&lt;&gt;"","09_连续性验收","")</f>
        <v/>
      </c>
      <c r="D3699" s="14">
        <f>IF('09_连续性验收'!A199&lt;&gt;"",'09_连续性验收'!A199,"")</f>
        <v/>
      </c>
      <c r="E3699" s="14">
        <f>IF(F3699&lt;&gt;"","综合校验","")</f>
        <v/>
      </c>
      <c r="F3699" s="14">
        <f>IF('09_连续性验收'!A199&lt;&gt;"",IF('09_连续性验收'!A199="","缺少验收ID；","")&amp;IF('09_连续性验收'!B199="","缺少对象ID；","")&amp;IF('09_连续性验收'!C199="","缺少检查类型；","")&amp;IF(AND('09_连续性验收'!J199&lt;&gt;"",'09_连续性验收'!K199&lt;&gt;"",'09_连续性验收'!J199&gt;'09_连续性验收'!K199),"坐标偏差超标；","")&amp;IF(AND('09_连续性验收'!B199&lt;&gt;"",COUNTIF('02_固定地理'!$A$2:$A$501,'09_连续性验收'!B199)+COUNTIF('03_地点锚点'!$A$2:$A$501,'09_连续性验收'!B199)+COUNTIF('04_路径网络'!$A$2:$A$501,'09_连续性验收'!B199)+COUNTIF('06_建筑锚点'!$A$2:$A$501,'09_连续性验收'!B199)=0),"验收对象不存在；","")&amp;IF(AND('09_连续性验收'!A199&lt;&gt;"",COUNTIF('09_连续性验收'!$A$2:$A$501,'09_连续性验收'!A199)&gt;1),"ID重复；",""),"")</f>
        <v/>
      </c>
      <c r="G3699" s="14">
        <f>IF(F3699&lt;&gt;"","按字段批注、数据字典和来源记录修正后复核","")</f>
        <v/>
      </c>
      <c r="H3699" s="14">
        <f>IF(F3699&lt;&gt;"","待处理","")</f>
        <v/>
      </c>
    </row>
    <row r="3700">
      <c r="A3700" s="14">
        <f>IF(F3700&lt;&gt;"","ISSUE-"&amp;TEXT(ROW()-1,"00000"),"")</f>
        <v/>
      </c>
      <c r="B3700" s="14">
        <f>IF(F3700&lt;&gt;"","错误","")</f>
        <v/>
      </c>
      <c r="C3700" s="14">
        <f>IF('09_连续性验收'!A200&lt;&gt;"","09_连续性验收","")</f>
        <v/>
      </c>
      <c r="D3700" s="14">
        <f>IF('09_连续性验收'!A200&lt;&gt;"",'09_连续性验收'!A200,"")</f>
        <v/>
      </c>
      <c r="E3700" s="14">
        <f>IF(F3700&lt;&gt;"","综合校验","")</f>
        <v/>
      </c>
      <c r="F3700" s="14">
        <f>IF('09_连续性验收'!A200&lt;&gt;"",IF('09_连续性验收'!A200="","缺少验收ID；","")&amp;IF('09_连续性验收'!B200="","缺少对象ID；","")&amp;IF('09_连续性验收'!C200="","缺少检查类型；","")&amp;IF(AND('09_连续性验收'!J200&lt;&gt;"",'09_连续性验收'!K200&lt;&gt;"",'09_连续性验收'!J200&gt;'09_连续性验收'!K200),"坐标偏差超标；","")&amp;IF(AND('09_连续性验收'!B200&lt;&gt;"",COUNTIF('02_固定地理'!$A$2:$A$501,'09_连续性验收'!B200)+COUNTIF('03_地点锚点'!$A$2:$A$501,'09_连续性验收'!B200)+COUNTIF('04_路径网络'!$A$2:$A$501,'09_连续性验收'!B200)+COUNTIF('06_建筑锚点'!$A$2:$A$501,'09_连续性验收'!B200)=0),"验收对象不存在；","")&amp;IF(AND('09_连续性验收'!A200&lt;&gt;"",COUNTIF('09_连续性验收'!$A$2:$A$501,'09_连续性验收'!A200)&gt;1),"ID重复；",""),"")</f>
        <v/>
      </c>
      <c r="G3700" s="14">
        <f>IF(F3700&lt;&gt;"","按字段批注、数据字典和来源记录修正后复核","")</f>
        <v/>
      </c>
      <c r="H3700" s="14">
        <f>IF(F3700&lt;&gt;"","待处理","")</f>
        <v/>
      </c>
    </row>
    <row r="3701">
      <c r="A3701" s="14">
        <f>IF(F3701&lt;&gt;"","ISSUE-"&amp;TEXT(ROW()-1,"00000"),"")</f>
        <v/>
      </c>
      <c r="B3701" s="14">
        <f>IF(F3701&lt;&gt;"","错误","")</f>
        <v/>
      </c>
      <c r="C3701" s="14">
        <f>IF('09_连续性验收'!A201&lt;&gt;"","09_连续性验收","")</f>
        <v/>
      </c>
      <c r="D3701" s="14">
        <f>IF('09_连续性验收'!A201&lt;&gt;"",'09_连续性验收'!A201,"")</f>
        <v/>
      </c>
      <c r="E3701" s="14">
        <f>IF(F3701&lt;&gt;"","综合校验","")</f>
        <v/>
      </c>
      <c r="F3701" s="14">
        <f>IF('09_连续性验收'!A201&lt;&gt;"",IF('09_连续性验收'!A201="","缺少验收ID；","")&amp;IF('09_连续性验收'!B201="","缺少对象ID；","")&amp;IF('09_连续性验收'!C201="","缺少检查类型；","")&amp;IF(AND('09_连续性验收'!J201&lt;&gt;"",'09_连续性验收'!K201&lt;&gt;"",'09_连续性验收'!J201&gt;'09_连续性验收'!K201),"坐标偏差超标；","")&amp;IF(AND('09_连续性验收'!B201&lt;&gt;"",COUNTIF('02_固定地理'!$A$2:$A$501,'09_连续性验收'!B201)+COUNTIF('03_地点锚点'!$A$2:$A$501,'09_连续性验收'!B201)+COUNTIF('04_路径网络'!$A$2:$A$501,'09_连续性验收'!B201)+COUNTIF('06_建筑锚点'!$A$2:$A$501,'09_连续性验收'!B201)=0),"验收对象不存在；","")&amp;IF(AND('09_连续性验收'!A201&lt;&gt;"",COUNTIF('09_连续性验收'!$A$2:$A$501,'09_连续性验收'!A201)&gt;1),"ID重复；",""),"")</f>
        <v/>
      </c>
      <c r="G3701" s="14">
        <f>IF(F3701&lt;&gt;"","按字段批注、数据字典和来源记录修正后复核","")</f>
        <v/>
      </c>
      <c r="H3701" s="14">
        <f>IF(F3701&lt;&gt;"","待处理","")</f>
        <v/>
      </c>
    </row>
    <row r="3702">
      <c r="A3702" s="14">
        <f>IF(F3702&lt;&gt;"","ISSUE-"&amp;TEXT(ROW()-1,"00000"),"")</f>
        <v/>
      </c>
      <c r="B3702" s="14">
        <f>IF(F3702&lt;&gt;"","错误","")</f>
        <v/>
      </c>
      <c r="C3702" s="14">
        <f>IF('09_连续性验收'!A202&lt;&gt;"","09_连续性验收","")</f>
        <v/>
      </c>
      <c r="D3702" s="14">
        <f>IF('09_连续性验收'!A202&lt;&gt;"",'09_连续性验收'!A202,"")</f>
        <v/>
      </c>
      <c r="E3702" s="14">
        <f>IF(F3702&lt;&gt;"","综合校验","")</f>
        <v/>
      </c>
      <c r="F3702" s="14">
        <f>IF('09_连续性验收'!A202&lt;&gt;"",IF('09_连续性验收'!A202="","缺少验收ID；","")&amp;IF('09_连续性验收'!B202="","缺少对象ID；","")&amp;IF('09_连续性验收'!C202="","缺少检查类型；","")&amp;IF(AND('09_连续性验收'!J202&lt;&gt;"",'09_连续性验收'!K202&lt;&gt;"",'09_连续性验收'!J202&gt;'09_连续性验收'!K202),"坐标偏差超标；","")&amp;IF(AND('09_连续性验收'!B202&lt;&gt;"",COUNTIF('02_固定地理'!$A$2:$A$501,'09_连续性验收'!B202)+COUNTIF('03_地点锚点'!$A$2:$A$501,'09_连续性验收'!B202)+COUNTIF('04_路径网络'!$A$2:$A$501,'09_连续性验收'!B202)+COUNTIF('06_建筑锚点'!$A$2:$A$501,'09_连续性验收'!B202)=0),"验收对象不存在；","")&amp;IF(AND('09_连续性验收'!A202&lt;&gt;"",COUNTIF('09_连续性验收'!$A$2:$A$501,'09_连续性验收'!A202)&gt;1),"ID重复；",""),"")</f>
        <v/>
      </c>
      <c r="G3702" s="14">
        <f>IF(F3702&lt;&gt;"","按字段批注、数据字典和来源记录修正后复核","")</f>
        <v/>
      </c>
      <c r="H3702" s="14">
        <f>IF(F3702&lt;&gt;"","待处理","")</f>
        <v/>
      </c>
    </row>
    <row r="3703">
      <c r="A3703" s="14">
        <f>IF(F3703&lt;&gt;"","ISSUE-"&amp;TEXT(ROW()-1,"00000"),"")</f>
        <v/>
      </c>
      <c r="B3703" s="14">
        <f>IF(F3703&lt;&gt;"","错误","")</f>
        <v/>
      </c>
      <c r="C3703" s="14">
        <f>IF('09_连续性验收'!A203&lt;&gt;"","09_连续性验收","")</f>
        <v/>
      </c>
      <c r="D3703" s="14">
        <f>IF('09_连续性验收'!A203&lt;&gt;"",'09_连续性验收'!A203,"")</f>
        <v/>
      </c>
      <c r="E3703" s="14">
        <f>IF(F3703&lt;&gt;"","综合校验","")</f>
        <v/>
      </c>
      <c r="F3703" s="14">
        <f>IF('09_连续性验收'!A203&lt;&gt;"",IF('09_连续性验收'!A203="","缺少验收ID；","")&amp;IF('09_连续性验收'!B203="","缺少对象ID；","")&amp;IF('09_连续性验收'!C203="","缺少检查类型；","")&amp;IF(AND('09_连续性验收'!J203&lt;&gt;"",'09_连续性验收'!K203&lt;&gt;"",'09_连续性验收'!J203&gt;'09_连续性验收'!K203),"坐标偏差超标；","")&amp;IF(AND('09_连续性验收'!B203&lt;&gt;"",COUNTIF('02_固定地理'!$A$2:$A$501,'09_连续性验收'!B203)+COUNTIF('03_地点锚点'!$A$2:$A$501,'09_连续性验收'!B203)+COUNTIF('04_路径网络'!$A$2:$A$501,'09_连续性验收'!B203)+COUNTIF('06_建筑锚点'!$A$2:$A$501,'09_连续性验收'!B203)=0),"验收对象不存在；","")&amp;IF(AND('09_连续性验收'!A203&lt;&gt;"",COUNTIF('09_连续性验收'!$A$2:$A$501,'09_连续性验收'!A203)&gt;1),"ID重复；",""),"")</f>
        <v/>
      </c>
      <c r="G3703" s="14">
        <f>IF(F3703&lt;&gt;"","按字段批注、数据字典和来源记录修正后复核","")</f>
        <v/>
      </c>
      <c r="H3703" s="14">
        <f>IF(F3703&lt;&gt;"","待处理","")</f>
        <v/>
      </c>
    </row>
    <row r="3704">
      <c r="A3704" s="14">
        <f>IF(F3704&lt;&gt;"","ISSUE-"&amp;TEXT(ROW()-1,"00000"),"")</f>
        <v/>
      </c>
      <c r="B3704" s="14">
        <f>IF(F3704&lt;&gt;"","错误","")</f>
        <v/>
      </c>
      <c r="C3704" s="14">
        <f>IF('09_连续性验收'!A204&lt;&gt;"","09_连续性验收","")</f>
        <v/>
      </c>
      <c r="D3704" s="14">
        <f>IF('09_连续性验收'!A204&lt;&gt;"",'09_连续性验收'!A204,"")</f>
        <v/>
      </c>
      <c r="E3704" s="14">
        <f>IF(F3704&lt;&gt;"","综合校验","")</f>
        <v/>
      </c>
      <c r="F3704" s="14">
        <f>IF('09_连续性验收'!A204&lt;&gt;"",IF('09_连续性验收'!A204="","缺少验收ID；","")&amp;IF('09_连续性验收'!B204="","缺少对象ID；","")&amp;IF('09_连续性验收'!C204="","缺少检查类型；","")&amp;IF(AND('09_连续性验收'!J204&lt;&gt;"",'09_连续性验收'!K204&lt;&gt;"",'09_连续性验收'!J204&gt;'09_连续性验收'!K204),"坐标偏差超标；","")&amp;IF(AND('09_连续性验收'!B204&lt;&gt;"",COUNTIF('02_固定地理'!$A$2:$A$501,'09_连续性验收'!B204)+COUNTIF('03_地点锚点'!$A$2:$A$501,'09_连续性验收'!B204)+COUNTIF('04_路径网络'!$A$2:$A$501,'09_连续性验收'!B204)+COUNTIF('06_建筑锚点'!$A$2:$A$501,'09_连续性验收'!B204)=0),"验收对象不存在；","")&amp;IF(AND('09_连续性验收'!A204&lt;&gt;"",COUNTIF('09_连续性验收'!$A$2:$A$501,'09_连续性验收'!A204)&gt;1),"ID重复；",""),"")</f>
        <v/>
      </c>
      <c r="G3704" s="14">
        <f>IF(F3704&lt;&gt;"","按字段批注、数据字典和来源记录修正后复核","")</f>
        <v/>
      </c>
      <c r="H3704" s="14">
        <f>IF(F3704&lt;&gt;"","待处理","")</f>
        <v/>
      </c>
    </row>
    <row r="3705">
      <c r="A3705" s="14">
        <f>IF(F3705&lt;&gt;"","ISSUE-"&amp;TEXT(ROW()-1,"00000"),"")</f>
        <v/>
      </c>
      <c r="B3705" s="14">
        <f>IF(F3705&lt;&gt;"","错误","")</f>
        <v/>
      </c>
      <c r="C3705" s="14">
        <f>IF('09_连续性验收'!A205&lt;&gt;"","09_连续性验收","")</f>
        <v/>
      </c>
      <c r="D3705" s="14">
        <f>IF('09_连续性验收'!A205&lt;&gt;"",'09_连续性验收'!A205,"")</f>
        <v/>
      </c>
      <c r="E3705" s="14">
        <f>IF(F3705&lt;&gt;"","综合校验","")</f>
        <v/>
      </c>
      <c r="F3705" s="14">
        <f>IF('09_连续性验收'!A205&lt;&gt;"",IF('09_连续性验收'!A205="","缺少验收ID；","")&amp;IF('09_连续性验收'!B205="","缺少对象ID；","")&amp;IF('09_连续性验收'!C205="","缺少检查类型；","")&amp;IF(AND('09_连续性验收'!J205&lt;&gt;"",'09_连续性验收'!K205&lt;&gt;"",'09_连续性验收'!J205&gt;'09_连续性验收'!K205),"坐标偏差超标；","")&amp;IF(AND('09_连续性验收'!B205&lt;&gt;"",COUNTIF('02_固定地理'!$A$2:$A$501,'09_连续性验收'!B205)+COUNTIF('03_地点锚点'!$A$2:$A$501,'09_连续性验收'!B205)+COUNTIF('04_路径网络'!$A$2:$A$501,'09_连续性验收'!B205)+COUNTIF('06_建筑锚点'!$A$2:$A$501,'09_连续性验收'!B205)=0),"验收对象不存在；","")&amp;IF(AND('09_连续性验收'!A205&lt;&gt;"",COUNTIF('09_连续性验收'!$A$2:$A$501,'09_连续性验收'!A205)&gt;1),"ID重复；",""),"")</f>
        <v/>
      </c>
      <c r="G3705" s="14">
        <f>IF(F3705&lt;&gt;"","按字段批注、数据字典和来源记录修正后复核","")</f>
        <v/>
      </c>
      <c r="H3705" s="14">
        <f>IF(F3705&lt;&gt;"","待处理","")</f>
        <v/>
      </c>
    </row>
    <row r="3706">
      <c r="A3706" s="14">
        <f>IF(F3706&lt;&gt;"","ISSUE-"&amp;TEXT(ROW()-1,"00000"),"")</f>
        <v/>
      </c>
      <c r="B3706" s="14">
        <f>IF(F3706&lt;&gt;"","错误","")</f>
        <v/>
      </c>
      <c r="C3706" s="14">
        <f>IF('09_连续性验收'!A206&lt;&gt;"","09_连续性验收","")</f>
        <v/>
      </c>
      <c r="D3706" s="14">
        <f>IF('09_连续性验收'!A206&lt;&gt;"",'09_连续性验收'!A206,"")</f>
        <v/>
      </c>
      <c r="E3706" s="14">
        <f>IF(F3706&lt;&gt;"","综合校验","")</f>
        <v/>
      </c>
      <c r="F3706" s="14">
        <f>IF('09_连续性验收'!A206&lt;&gt;"",IF('09_连续性验收'!A206="","缺少验收ID；","")&amp;IF('09_连续性验收'!B206="","缺少对象ID；","")&amp;IF('09_连续性验收'!C206="","缺少检查类型；","")&amp;IF(AND('09_连续性验收'!J206&lt;&gt;"",'09_连续性验收'!K206&lt;&gt;"",'09_连续性验收'!J206&gt;'09_连续性验收'!K206),"坐标偏差超标；","")&amp;IF(AND('09_连续性验收'!B206&lt;&gt;"",COUNTIF('02_固定地理'!$A$2:$A$501,'09_连续性验收'!B206)+COUNTIF('03_地点锚点'!$A$2:$A$501,'09_连续性验收'!B206)+COUNTIF('04_路径网络'!$A$2:$A$501,'09_连续性验收'!B206)+COUNTIF('06_建筑锚点'!$A$2:$A$501,'09_连续性验收'!B206)=0),"验收对象不存在；","")&amp;IF(AND('09_连续性验收'!A206&lt;&gt;"",COUNTIF('09_连续性验收'!$A$2:$A$501,'09_连续性验收'!A206)&gt;1),"ID重复；",""),"")</f>
        <v/>
      </c>
      <c r="G3706" s="14">
        <f>IF(F3706&lt;&gt;"","按字段批注、数据字典和来源记录修正后复核","")</f>
        <v/>
      </c>
      <c r="H3706" s="14">
        <f>IF(F3706&lt;&gt;"","待处理","")</f>
        <v/>
      </c>
    </row>
    <row r="3707">
      <c r="A3707" s="14">
        <f>IF(F3707&lt;&gt;"","ISSUE-"&amp;TEXT(ROW()-1,"00000"),"")</f>
        <v/>
      </c>
      <c r="B3707" s="14">
        <f>IF(F3707&lt;&gt;"","错误","")</f>
        <v/>
      </c>
      <c r="C3707" s="14">
        <f>IF('09_连续性验收'!A207&lt;&gt;"","09_连续性验收","")</f>
        <v/>
      </c>
      <c r="D3707" s="14">
        <f>IF('09_连续性验收'!A207&lt;&gt;"",'09_连续性验收'!A207,"")</f>
        <v/>
      </c>
      <c r="E3707" s="14">
        <f>IF(F3707&lt;&gt;"","综合校验","")</f>
        <v/>
      </c>
      <c r="F3707" s="14">
        <f>IF('09_连续性验收'!A207&lt;&gt;"",IF('09_连续性验收'!A207="","缺少验收ID；","")&amp;IF('09_连续性验收'!B207="","缺少对象ID；","")&amp;IF('09_连续性验收'!C207="","缺少检查类型；","")&amp;IF(AND('09_连续性验收'!J207&lt;&gt;"",'09_连续性验收'!K207&lt;&gt;"",'09_连续性验收'!J207&gt;'09_连续性验收'!K207),"坐标偏差超标；","")&amp;IF(AND('09_连续性验收'!B207&lt;&gt;"",COUNTIF('02_固定地理'!$A$2:$A$501,'09_连续性验收'!B207)+COUNTIF('03_地点锚点'!$A$2:$A$501,'09_连续性验收'!B207)+COUNTIF('04_路径网络'!$A$2:$A$501,'09_连续性验收'!B207)+COUNTIF('06_建筑锚点'!$A$2:$A$501,'09_连续性验收'!B207)=0),"验收对象不存在；","")&amp;IF(AND('09_连续性验收'!A207&lt;&gt;"",COUNTIF('09_连续性验收'!$A$2:$A$501,'09_连续性验收'!A207)&gt;1),"ID重复；",""),"")</f>
        <v/>
      </c>
      <c r="G3707" s="14">
        <f>IF(F3707&lt;&gt;"","按字段批注、数据字典和来源记录修正后复核","")</f>
        <v/>
      </c>
      <c r="H3707" s="14">
        <f>IF(F3707&lt;&gt;"","待处理","")</f>
        <v/>
      </c>
    </row>
    <row r="3708">
      <c r="A3708" s="14">
        <f>IF(F3708&lt;&gt;"","ISSUE-"&amp;TEXT(ROW()-1,"00000"),"")</f>
        <v/>
      </c>
      <c r="B3708" s="14">
        <f>IF(F3708&lt;&gt;"","错误","")</f>
        <v/>
      </c>
      <c r="C3708" s="14">
        <f>IF('09_连续性验收'!A208&lt;&gt;"","09_连续性验收","")</f>
        <v/>
      </c>
      <c r="D3708" s="14">
        <f>IF('09_连续性验收'!A208&lt;&gt;"",'09_连续性验收'!A208,"")</f>
        <v/>
      </c>
      <c r="E3708" s="14">
        <f>IF(F3708&lt;&gt;"","综合校验","")</f>
        <v/>
      </c>
      <c r="F3708" s="14">
        <f>IF('09_连续性验收'!A208&lt;&gt;"",IF('09_连续性验收'!A208="","缺少验收ID；","")&amp;IF('09_连续性验收'!B208="","缺少对象ID；","")&amp;IF('09_连续性验收'!C208="","缺少检查类型；","")&amp;IF(AND('09_连续性验收'!J208&lt;&gt;"",'09_连续性验收'!K208&lt;&gt;"",'09_连续性验收'!J208&gt;'09_连续性验收'!K208),"坐标偏差超标；","")&amp;IF(AND('09_连续性验收'!B208&lt;&gt;"",COUNTIF('02_固定地理'!$A$2:$A$501,'09_连续性验收'!B208)+COUNTIF('03_地点锚点'!$A$2:$A$501,'09_连续性验收'!B208)+COUNTIF('04_路径网络'!$A$2:$A$501,'09_连续性验收'!B208)+COUNTIF('06_建筑锚点'!$A$2:$A$501,'09_连续性验收'!B208)=0),"验收对象不存在；","")&amp;IF(AND('09_连续性验收'!A208&lt;&gt;"",COUNTIF('09_连续性验收'!$A$2:$A$501,'09_连续性验收'!A208)&gt;1),"ID重复；",""),"")</f>
        <v/>
      </c>
      <c r="G3708" s="14">
        <f>IF(F3708&lt;&gt;"","按字段批注、数据字典和来源记录修正后复核","")</f>
        <v/>
      </c>
      <c r="H3708" s="14">
        <f>IF(F3708&lt;&gt;"","待处理","")</f>
        <v/>
      </c>
    </row>
    <row r="3709">
      <c r="A3709" s="14">
        <f>IF(F3709&lt;&gt;"","ISSUE-"&amp;TEXT(ROW()-1,"00000"),"")</f>
        <v/>
      </c>
      <c r="B3709" s="14">
        <f>IF(F3709&lt;&gt;"","错误","")</f>
        <v/>
      </c>
      <c r="C3709" s="14">
        <f>IF('09_连续性验收'!A209&lt;&gt;"","09_连续性验收","")</f>
        <v/>
      </c>
      <c r="D3709" s="14">
        <f>IF('09_连续性验收'!A209&lt;&gt;"",'09_连续性验收'!A209,"")</f>
        <v/>
      </c>
      <c r="E3709" s="14">
        <f>IF(F3709&lt;&gt;"","综合校验","")</f>
        <v/>
      </c>
      <c r="F3709" s="14">
        <f>IF('09_连续性验收'!A209&lt;&gt;"",IF('09_连续性验收'!A209="","缺少验收ID；","")&amp;IF('09_连续性验收'!B209="","缺少对象ID；","")&amp;IF('09_连续性验收'!C209="","缺少检查类型；","")&amp;IF(AND('09_连续性验收'!J209&lt;&gt;"",'09_连续性验收'!K209&lt;&gt;"",'09_连续性验收'!J209&gt;'09_连续性验收'!K209),"坐标偏差超标；","")&amp;IF(AND('09_连续性验收'!B209&lt;&gt;"",COUNTIF('02_固定地理'!$A$2:$A$501,'09_连续性验收'!B209)+COUNTIF('03_地点锚点'!$A$2:$A$501,'09_连续性验收'!B209)+COUNTIF('04_路径网络'!$A$2:$A$501,'09_连续性验收'!B209)+COUNTIF('06_建筑锚点'!$A$2:$A$501,'09_连续性验收'!B209)=0),"验收对象不存在；","")&amp;IF(AND('09_连续性验收'!A209&lt;&gt;"",COUNTIF('09_连续性验收'!$A$2:$A$501,'09_连续性验收'!A209)&gt;1),"ID重复；",""),"")</f>
        <v/>
      </c>
      <c r="G3709" s="14">
        <f>IF(F3709&lt;&gt;"","按字段批注、数据字典和来源记录修正后复核","")</f>
        <v/>
      </c>
      <c r="H3709" s="14">
        <f>IF(F3709&lt;&gt;"","待处理","")</f>
        <v/>
      </c>
    </row>
    <row r="3710">
      <c r="A3710" s="14">
        <f>IF(F3710&lt;&gt;"","ISSUE-"&amp;TEXT(ROW()-1,"00000"),"")</f>
        <v/>
      </c>
      <c r="B3710" s="14">
        <f>IF(F3710&lt;&gt;"","错误","")</f>
        <v/>
      </c>
      <c r="C3710" s="14">
        <f>IF('09_连续性验收'!A210&lt;&gt;"","09_连续性验收","")</f>
        <v/>
      </c>
      <c r="D3710" s="14">
        <f>IF('09_连续性验收'!A210&lt;&gt;"",'09_连续性验收'!A210,"")</f>
        <v/>
      </c>
      <c r="E3710" s="14">
        <f>IF(F3710&lt;&gt;"","综合校验","")</f>
        <v/>
      </c>
      <c r="F3710" s="14">
        <f>IF('09_连续性验收'!A210&lt;&gt;"",IF('09_连续性验收'!A210="","缺少验收ID；","")&amp;IF('09_连续性验收'!B210="","缺少对象ID；","")&amp;IF('09_连续性验收'!C210="","缺少检查类型；","")&amp;IF(AND('09_连续性验收'!J210&lt;&gt;"",'09_连续性验收'!K210&lt;&gt;"",'09_连续性验收'!J210&gt;'09_连续性验收'!K210),"坐标偏差超标；","")&amp;IF(AND('09_连续性验收'!B210&lt;&gt;"",COUNTIF('02_固定地理'!$A$2:$A$501,'09_连续性验收'!B210)+COUNTIF('03_地点锚点'!$A$2:$A$501,'09_连续性验收'!B210)+COUNTIF('04_路径网络'!$A$2:$A$501,'09_连续性验收'!B210)+COUNTIF('06_建筑锚点'!$A$2:$A$501,'09_连续性验收'!B210)=0),"验收对象不存在；","")&amp;IF(AND('09_连续性验收'!A210&lt;&gt;"",COUNTIF('09_连续性验收'!$A$2:$A$501,'09_连续性验收'!A210)&gt;1),"ID重复；",""),"")</f>
        <v/>
      </c>
      <c r="G3710" s="14">
        <f>IF(F3710&lt;&gt;"","按字段批注、数据字典和来源记录修正后复核","")</f>
        <v/>
      </c>
      <c r="H3710" s="14">
        <f>IF(F3710&lt;&gt;"","待处理","")</f>
        <v/>
      </c>
    </row>
    <row r="3711">
      <c r="A3711" s="14">
        <f>IF(F3711&lt;&gt;"","ISSUE-"&amp;TEXT(ROW()-1,"00000"),"")</f>
        <v/>
      </c>
      <c r="B3711" s="14">
        <f>IF(F3711&lt;&gt;"","错误","")</f>
        <v/>
      </c>
      <c r="C3711" s="14">
        <f>IF('09_连续性验收'!A211&lt;&gt;"","09_连续性验收","")</f>
        <v/>
      </c>
      <c r="D3711" s="14">
        <f>IF('09_连续性验收'!A211&lt;&gt;"",'09_连续性验收'!A211,"")</f>
        <v/>
      </c>
      <c r="E3711" s="14">
        <f>IF(F3711&lt;&gt;"","综合校验","")</f>
        <v/>
      </c>
      <c r="F3711" s="14">
        <f>IF('09_连续性验收'!A211&lt;&gt;"",IF('09_连续性验收'!A211="","缺少验收ID；","")&amp;IF('09_连续性验收'!B211="","缺少对象ID；","")&amp;IF('09_连续性验收'!C211="","缺少检查类型；","")&amp;IF(AND('09_连续性验收'!J211&lt;&gt;"",'09_连续性验收'!K211&lt;&gt;"",'09_连续性验收'!J211&gt;'09_连续性验收'!K211),"坐标偏差超标；","")&amp;IF(AND('09_连续性验收'!B211&lt;&gt;"",COUNTIF('02_固定地理'!$A$2:$A$501,'09_连续性验收'!B211)+COUNTIF('03_地点锚点'!$A$2:$A$501,'09_连续性验收'!B211)+COUNTIF('04_路径网络'!$A$2:$A$501,'09_连续性验收'!B211)+COUNTIF('06_建筑锚点'!$A$2:$A$501,'09_连续性验收'!B211)=0),"验收对象不存在；","")&amp;IF(AND('09_连续性验收'!A211&lt;&gt;"",COUNTIF('09_连续性验收'!$A$2:$A$501,'09_连续性验收'!A211)&gt;1),"ID重复；",""),"")</f>
        <v/>
      </c>
      <c r="G3711" s="14">
        <f>IF(F3711&lt;&gt;"","按字段批注、数据字典和来源记录修正后复核","")</f>
        <v/>
      </c>
      <c r="H3711" s="14">
        <f>IF(F3711&lt;&gt;"","待处理","")</f>
        <v/>
      </c>
    </row>
    <row r="3712">
      <c r="A3712" s="14">
        <f>IF(F3712&lt;&gt;"","ISSUE-"&amp;TEXT(ROW()-1,"00000"),"")</f>
        <v/>
      </c>
      <c r="B3712" s="14">
        <f>IF(F3712&lt;&gt;"","错误","")</f>
        <v/>
      </c>
      <c r="C3712" s="14">
        <f>IF('09_连续性验收'!A212&lt;&gt;"","09_连续性验收","")</f>
        <v/>
      </c>
      <c r="D3712" s="14">
        <f>IF('09_连续性验收'!A212&lt;&gt;"",'09_连续性验收'!A212,"")</f>
        <v/>
      </c>
      <c r="E3712" s="14">
        <f>IF(F3712&lt;&gt;"","综合校验","")</f>
        <v/>
      </c>
      <c r="F3712" s="14">
        <f>IF('09_连续性验收'!A212&lt;&gt;"",IF('09_连续性验收'!A212="","缺少验收ID；","")&amp;IF('09_连续性验收'!B212="","缺少对象ID；","")&amp;IF('09_连续性验收'!C212="","缺少检查类型；","")&amp;IF(AND('09_连续性验收'!J212&lt;&gt;"",'09_连续性验收'!K212&lt;&gt;"",'09_连续性验收'!J212&gt;'09_连续性验收'!K212),"坐标偏差超标；","")&amp;IF(AND('09_连续性验收'!B212&lt;&gt;"",COUNTIF('02_固定地理'!$A$2:$A$501,'09_连续性验收'!B212)+COUNTIF('03_地点锚点'!$A$2:$A$501,'09_连续性验收'!B212)+COUNTIF('04_路径网络'!$A$2:$A$501,'09_连续性验收'!B212)+COUNTIF('06_建筑锚点'!$A$2:$A$501,'09_连续性验收'!B212)=0),"验收对象不存在；","")&amp;IF(AND('09_连续性验收'!A212&lt;&gt;"",COUNTIF('09_连续性验收'!$A$2:$A$501,'09_连续性验收'!A212)&gt;1),"ID重复；",""),"")</f>
        <v/>
      </c>
      <c r="G3712" s="14">
        <f>IF(F3712&lt;&gt;"","按字段批注、数据字典和来源记录修正后复核","")</f>
        <v/>
      </c>
      <c r="H3712" s="14">
        <f>IF(F3712&lt;&gt;"","待处理","")</f>
        <v/>
      </c>
    </row>
    <row r="3713">
      <c r="A3713" s="14">
        <f>IF(F3713&lt;&gt;"","ISSUE-"&amp;TEXT(ROW()-1,"00000"),"")</f>
        <v/>
      </c>
      <c r="B3713" s="14">
        <f>IF(F3713&lt;&gt;"","错误","")</f>
        <v/>
      </c>
      <c r="C3713" s="14">
        <f>IF('09_连续性验收'!A213&lt;&gt;"","09_连续性验收","")</f>
        <v/>
      </c>
      <c r="D3713" s="14">
        <f>IF('09_连续性验收'!A213&lt;&gt;"",'09_连续性验收'!A213,"")</f>
        <v/>
      </c>
      <c r="E3713" s="14">
        <f>IF(F3713&lt;&gt;"","综合校验","")</f>
        <v/>
      </c>
      <c r="F3713" s="14">
        <f>IF('09_连续性验收'!A213&lt;&gt;"",IF('09_连续性验收'!A213="","缺少验收ID；","")&amp;IF('09_连续性验收'!B213="","缺少对象ID；","")&amp;IF('09_连续性验收'!C213="","缺少检查类型；","")&amp;IF(AND('09_连续性验收'!J213&lt;&gt;"",'09_连续性验收'!K213&lt;&gt;"",'09_连续性验收'!J213&gt;'09_连续性验收'!K213),"坐标偏差超标；","")&amp;IF(AND('09_连续性验收'!B213&lt;&gt;"",COUNTIF('02_固定地理'!$A$2:$A$501,'09_连续性验收'!B213)+COUNTIF('03_地点锚点'!$A$2:$A$501,'09_连续性验收'!B213)+COUNTIF('04_路径网络'!$A$2:$A$501,'09_连续性验收'!B213)+COUNTIF('06_建筑锚点'!$A$2:$A$501,'09_连续性验收'!B213)=0),"验收对象不存在；","")&amp;IF(AND('09_连续性验收'!A213&lt;&gt;"",COUNTIF('09_连续性验收'!$A$2:$A$501,'09_连续性验收'!A213)&gt;1),"ID重复；",""),"")</f>
        <v/>
      </c>
      <c r="G3713" s="14">
        <f>IF(F3713&lt;&gt;"","按字段批注、数据字典和来源记录修正后复核","")</f>
        <v/>
      </c>
      <c r="H3713" s="14">
        <f>IF(F3713&lt;&gt;"","待处理","")</f>
        <v/>
      </c>
    </row>
    <row r="3714">
      <c r="A3714" s="14">
        <f>IF(F3714&lt;&gt;"","ISSUE-"&amp;TEXT(ROW()-1,"00000"),"")</f>
        <v/>
      </c>
      <c r="B3714" s="14">
        <f>IF(F3714&lt;&gt;"","错误","")</f>
        <v/>
      </c>
      <c r="C3714" s="14">
        <f>IF('09_连续性验收'!A214&lt;&gt;"","09_连续性验收","")</f>
        <v/>
      </c>
      <c r="D3714" s="14">
        <f>IF('09_连续性验收'!A214&lt;&gt;"",'09_连续性验收'!A214,"")</f>
        <v/>
      </c>
      <c r="E3714" s="14">
        <f>IF(F3714&lt;&gt;"","综合校验","")</f>
        <v/>
      </c>
      <c r="F3714" s="14">
        <f>IF('09_连续性验收'!A214&lt;&gt;"",IF('09_连续性验收'!A214="","缺少验收ID；","")&amp;IF('09_连续性验收'!B214="","缺少对象ID；","")&amp;IF('09_连续性验收'!C214="","缺少检查类型；","")&amp;IF(AND('09_连续性验收'!J214&lt;&gt;"",'09_连续性验收'!K214&lt;&gt;"",'09_连续性验收'!J214&gt;'09_连续性验收'!K214),"坐标偏差超标；","")&amp;IF(AND('09_连续性验收'!B214&lt;&gt;"",COUNTIF('02_固定地理'!$A$2:$A$501,'09_连续性验收'!B214)+COUNTIF('03_地点锚点'!$A$2:$A$501,'09_连续性验收'!B214)+COUNTIF('04_路径网络'!$A$2:$A$501,'09_连续性验收'!B214)+COUNTIF('06_建筑锚点'!$A$2:$A$501,'09_连续性验收'!B214)=0),"验收对象不存在；","")&amp;IF(AND('09_连续性验收'!A214&lt;&gt;"",COUNTIF('09_连续性验收'!$A$2:$A$501,'09_连续性验收'!A214)&gt;1),"ID重复；",""),"")</f>
        <v/>
      </c>
      <c r="G3714" s="14">
        <f>IF(F3714&lt;&gt;"","按字段批注、数据字典和来源记录修正后复核","")</f>
        <v/>
      </c>
      <c r="H3714" s="14">
        <f>IF(F3714&lt;&gt;"","待处理","")</f>
        <v/>
      </c>
    </row>
    <row r="3715">
      <c r="A3715" s="14">
        <f>IF(F3715&lt;&gt;"","ISSUE-"&amp;TEXT(ROW()-1,"00000"),"")</f>
        <v/>
      </c>
      <c r="B3715" s="14">
        <f>IF(F3715&lt;&gt;"","错误","")</f>
        <v/>
      </c>
      <c r="C3715" s="14">
        <f>IF('09_连续性验收'!A215&lt;&gt;"","09_连续性验收","")</f>
        <v/>
      </c>
      <c r="D3715" s="14">
        <f>IF('09_连续性验收'!A215&lt;&gt;"",'09_连续性验收'!A215,"")</f>
        <v/>
      </c>
      <c r="E3715" s="14">
        <f>IF(F3715&lt;&gt;"","综合校验","")</f>
        <v/>
      </c>
      <c r="F3715" s="14">
        <f>IF('09_连续性验收'!A215&lt;&gt;"",IF('09_连续性验收'!A215="","缺少验收ID；","")&amp;IF('09_连续性验收'!B215="","缺少对象ID；","")&amp;IF('09_连续性验收'!C215="","缺少检查类型；","")&amp;IF(AND('09_连续性验收'!J215&lt;&gt;"",'09_连续性验收'!K215&lt;&gt;"",'09_连续性验收'!J215&gt;'09_连续性验收'!K215),"坐标偏差超标；","")&amp;IF(AND('09_连续性验收'!B215&lt;&gt;"",COUNTIF('02_固定地理'!$A$2:$A$501,'09_连续性验收'!B215)+COUNTIF('03_地点锚点'!$A$2:$A$501,'09_连续性验收'!B215)+COUNTIF('04_路径网络'!$A$2:$A$501,'09_连续性验收'!B215)+COUNTIF('06_建筑锚点'!$A$2:$A$501,'09_连续性验收'!B215)=0),"验收对象不存在；","")&amp;IF(AND('09_连续性验收'!A215&lt;&gt;"",COUNTIF('09_连续性验收'!$A$2:$A$501,'09_连续性验收'!A215)&gt;1),"ID重复；",""),"")</f>
        <v/>
      </c>
      <c r="G3715" s="14">
        <f>IF(F3715&lt;&gt;"","按字段批注、数据字典和来源记录修正后复核","")</f>
        <v/>
      </c>
      <c r="H3715" s="14">
        <f>IF(F3715&lt;&gt;"","待处理","")</f>
        <v/>
      </c>
    </row>
    <row r="3716">
      <c r="A3716" s="14">
        <f>IF(F3716&lt;&gt;"","ISSUE-"&amp;TEXT(ROW()-1,"00000"),"")</f>
        <v/>
      </c>
      <c r="B3716" s="14">
        <f>IF(F3716&lt;&gt;"","错误","")</f>
        <v/>
      </c>
      <c r="C3716" s="14">
        <f>IF('09_连续性验收'!A216&lt;&gt;"","09_连续性验收","")</f>
        <v/>
      </c>
      <c r="D3716" s="14">
        <f>IF('09_连续性验收'!A216&lt;&gt;"",'09_连续性验收'!A216,"")</f>
        <v/>
      </c>
      <c r="E3716" s="14">
        <f>IF(F3716&lt;&gt;"","综合校验","")</f>
        <v/>
      </c>
      <c r="F3716" s="14">
        <f>IF('09_连续性验收'!A216&lt;&gt;"",IF('09_连续性验收'!A216="","缺少验收ID；","")&amp;IF('09_连续性验收'!B216="","缺少对象ID；","")&amp;IF('09_连续性验收'!C216="","缺少检查类型；","")&amp;IF(AND('09_连续性验收'!J216&lt;&gt;"",'09_连续性验收'!K216&lt;&gt;"",'09_连续性验收'!J216&gt;'09_连续性验收'!K216),"坐标偏差超标；","")&amp;IF(AND('09_连续性验收'!B216&lt;&gt;"",COUNTIF('02_固定地理'!$A$2:$A$501,'09_连续性验收'!B216)+COUNTIF('03_地点锚点'!$A$2:$A$501,'09_连续性验收'!B216)+COUNTIF('04_路径网络'!$A$2:$A$501,'09_连续性验收'!B216)+COUNTIF('06_建筑锚点'!$A$2:$A$501,'09_连续性验收'!B216)=0),"验收对象不存在；","")&amp;IF(AND('09_连续性验收'!A216&lt;&gt;"",COUNTIF('09_连续性验收'!$A$2:$A$501,'09_连续性验收'!A216)&gt;1),"ID重复；",""),"")</f>
        <v/>
      </c>
      <c r="G3716" s="14">
        <f>IF(F3716&lt;&gt;"","按字段批注、数据字典和来源记录修正后复核","")</f>
        <v/>
      </c>
      <c r="H3716" s="14">
        <f>IF(F3716&lt;&gt;"","待处理","")</f>
        <v/>
      </c>
    </row>
    <row r="3717">
      <c r="A3717" s="14">
        <f>IF(F3717&lt;&gt;"","ISSUE-"&amp;TEXT(ROW()-1,"00000"),"")</f>
        <v/>
      </c>
      <c r="B3717" s="14">
        <f>IF(F3717&lt;&gt;"","错误","")</f>
        <v/>
      </c>
      <c r="C3717" s="14">
        <f>IF('09_连续性验收'!A217&lt;&gt;"","09_连续性验收","")</f>
        <v/>
      </c>
      <c r="D3717" s="14">
        <f>IF('09_连续性验收'!A217&lt;&gt;"",'09_连续性验收'!A217,"")</f>
        <v/>
      </c>
      <c r="E3717" s="14">
        <f>IF(F3717&lt;&gt;"","综合校验","")</f>
        <v/>
      </c>
      <c r="F3717" s="14">
        <f>IF('09_连续性验收'!A217&lt;&gt;"",IF('09_连续性验收'!A217="","缺少验收ID；","")&amp;IF('09_连续性验收'!B217="","缺少对象ID；","")&amp;IF('09_连续性验收'!C217="","缺少检查类型；","")&amp;IF(AND('09_连续性验收'!J217&lt;&gt;"",'09_连续性验收'!K217&lt;&gt;"",'09_连续性验收'!J217&gt;'09_连续性验收'!K217),"坐标偏差超标；","")&amp;IF(AND('09_连续性验收'!B217&lt;&gt;"",COUNTIF('02_固定地理'!$A$2:$A$501,'09_连续性验收'!B217)+COUNTIF('03_地点锚点'!$A$2:$A$501,'09_连续性验收'!B217)+COUNTIF('04_路径网络'!$A$2:$A$501,'09_连续性验收'!B217)+COUNTIF('06_建筑锚点'!$A$2:$A$501,'09_连续性验收'!B217)=0),"验收对象不存在；","")&amp;IF(AND('09_连续性验收'!A217&lt;&gt;"",COUNTIF('09_连续性验收'!$A$2:$A$501,'09_连续性验收'!A217)&gt;1),"ID重复；",""),"")</f>
        <v/>
      </c>
      <c r="G3717" s="14">
        <f>IF(F3717&lt;&gt;"","按字段批注、数据字典和来源记录修正后复核","")</f>
        <v/>
      </c>
      <c r="H3717" s="14">
        <f>IF(F3717&lt;&gt;"","待处理","")</f>
        <v/>
      </c>
    </row>
    <row r="3718">
      <c r="A3718" s="14">
        <f>IF(F3718&lt;&gt;"","ISSUE-"&amp;TEXT(ROW()-1,"00000"),"")</f>
        <v/>
      </c>
      <c r="B3718" s="14">
        <f>IF(F3718&lt;&gt;"","错误","")</f>
        <v/>
      </c>
      <c r="C3718" s="14">
        <f>IF('09_连续性验收'!A218&lt;&gt;"","09_连续性验收","")</f>
        <v/>
      </c>
      <c r="D3718" s="14">
        <f>IF('09_连续性验收'!A218&lt;&gt;"",'09_连续性验收'!A218,"")</f>
        <v/>
      </c>
      <c r="E3718" s="14">
        <f>IF(F3718&lt;&gt;"","综合校验","")</f>
        <v/>
      </c>
      <c r="F3718" s="14">
        <f>IF('09_连续性验收'!A218&lt;&gt;"",IF('09_连续性验收'!A218="","缺少验收ID；","")&amp;IF('09_连续性验收'!B218="","缺少对象ID；","")&amp;IF('09_连续性验收'!C218="","缺少检查类型；","")&amp;IF(AND('09_连续性验收'!J218&lt;&gt;"",'09_连续性验收'!K218&lt;&gt;"",'09_连续性验收'!J218&gt;'09_连续性验收'!K218),"坐标偏差超标；","")&amp;IF(AND('09_连续性验收'!B218&lt;&gt;"",COUNTIF('02_固定地理'!$A$2:$A$501,'09_连续性验收'!B218)+COUNTIF('03_地点锚点'!$A$2:$A$501,'09_连续性验收'!B218)+COUNTIF('04_路径网络'!$A$2:$A$501,'09_连续性验收'!B218)+COUNTIF('06_建筑锚点'!$A$2:$A$501,'09_连续性验收'!B218)=0),"验收对象不存在；","")&amp;IF(AND('09_连续性验收'!A218&lt;&gt;"",COUNTIF('09_连续性验收'!$A$2:$A$501,'09_连续性验收'!A218)&gt;1),"ID重复；",""),"")</f>
        <v/>
      </c>
      <c r="G3718" s="14">
        <f>IF(F3718&lt;&gt;"","按字段批注、数据字典和来源记录修正后复核","")</f>
        <v/>
      </c>
      <c r="H3718" s="14">
        <f>IF(F3718&lt;&gt;"","待处理","")</f>
        <v/>
      </c>
    </row>
    <row r="3719">
      <c r="A3719" s="14">
        <f>IF(F3719&lt;&gt;"","ISSUE-"&amp;TEXT(ROW()-1,"00000"),"")</f>
        <v/>
      </c>
      <c r="B3719" s="14">
        <f>IF(F3719&lt;&gt;"","错误","")</f>
        <v/>
      </c>
      <c r="C3719" s="14">
        <f>IF('09_连续性验收'!A219&lt;&gt;"","09_连续性验收","")</f>
        <v/>
      </c>
      <c r="D3719" s="14">
        <f>IF('09_连续性验收'!A219&lt;&gt;"",'09_连续性验收'!A219,"")</f>
        <v/>
      </c>
      <c r="E3719" s="14">
        <f>IF(F3719&lt;&gt;"","综合校验","")</f>
        <v/>
      </c>
      <c r="F3719" s="14">
        <f>IF('09_连续性验收'!A219&lt;&gt;"",IF('09_连续性验收'!A219="","缺少验收ID；","")&amp;IF('09_连续性验收'!B219="","缺少对象ID；","")&amp;IF('09_连续性验收'!C219="","缺少检查类型；","")&amp;IF(AND('09_连续性验收'!J219&lt;&gt;"",'09_连续性验收'!K219&lt;&gt;"",'09_连续性验收'!J219&gt;'09_连续性验收'!K219),"坐标偏差超标；","")&amp;IF(AND('09_连续性验收'!B219&lt;&gt;"",COUNTIF('02_固定地理'!$A$2:$A$501,'09_连续性验收'!B219)+COUNTIF('03_地点锚点'!$A$2:$A$501,'09_连续性验收'!B219)+COUNTIF('04_路径网络'!$A$2:$A$501,'09_连续性验收'!B219)+COUNTIF('06_建筑锚点'!$A$2:$A$501,'09_连续性验收'!B219)=0),"验收对象不存在；","")&amp;IF(AND('09_连续性验收'!A219&lt;&gt;"",COUNTIF('09_连续性验收'!$A$2:$A$501,'09_连续性验收'!A219)&gt;1),"ID重复；",""),"")</f>
        <v/>
      </c>
      <c r="G3719" s="14">
        <f>IF(F3719&lt;&gt;"","按字段批注、数据字典和来源记录修正后复核","")</f>
        <v/>
      </c>
      <c r="H3719" s="14">
        <f>IF(F3719&lt;&gt;"","待处理","")</f>
        <v/>
      </c>
    </row>
    <row r="3720">
      <c r="A3720" s="14">
        <f>IF(F3720&lt;&gt;"","ISSUE-"&amp;TEXT(ROW()-1,"00000"),"")</f>
        <v/>
      </c>
      <c r="B3720" s="14">
        <f>IF(F3720&lt;&gt;"","错误","")</f>
        <v/>
      </c>
      <c r="C3720" s="14">
        <f>IF('09_连续性验收'!A220&lt;&gt;"","09_连续性验收","")</f>
        <v/>
      </c>
      <c r="D3720" s="14">
        <f>IF('09_连续性验收'!A220&lt;&gt;"",'09_连续性验收'!A220,"")</f>
        <v/>
      </c>
      <c r="E3720" s="14">
        <f>IF(F3720&lt;&gt;"","综合校验","")</f>
        <v/>
      </c>
      <c r="F3720" s="14">
        <f>IF('09_连续性验收'!A220&lt;&gt;"",IF('09_连续性验收'!A220="","缺少验收ID；","")&amp;IF('09_连续性验收'!B220="","缺少对象ID；","")&amp;IF('09_连续性验收'!C220="","缺少检查类型；","")&amp;IF(AND('09_连续性验收'!J220&lt;&gt;"",'09_连续性验收'!K220&lt;&gt;"",'09_连续性验收'!J220&gt;'09_连续性验收'!K220),"坐标偏差超标；","")&amp;IF(AND('09_连续性验收'!B220&lt;&gt;"",COUNTIF('02_固定地理'!$A$2:$A$501,'09_连续性验收'!B220)+COUNTIF('03_地点锚点'!$A$2:$A$501,'09_连续性验收'!B220)+COUNTIF('04_路径网络'!$A$2:$A$501,'09_连续性验收'!B220)+COUNTIF('06_建筑锚点'!$A$2:$A$501,'09_连续性验收'!B220)=0),"验收对象不存在；","")&amp;IF(AND('09_连续性验收'!A220&lt;&gt;"",COUNTIF('09_连续性验收'!$A$2:$A$501,'09_连续性验收'!A220)&gt;1),"ID重复；",""),"")</f>
        <v/>
      </c>
      <c r="G3720" s="14">
        <f>IF(F3720&lt;&gt;"","按字段批注、数据字典和来源记录修正后复核","")</f>
        <v/>
      </c>
      <c r="H3720" s="14">
        <f>IF(F3720&lt;&gt;"","待处理","")</f>
        <v/>
      </c>
    </row>
    <row r="3721">
      <c r="A3721" s="14">
        <f>IF(F3721&lt;&gt;"","ISSUE-"&amp;TEXT(ROW()-1,"00000"),"")</f>
        <v/>
      </c>
      <c r="B3721" s="14">
        <f>IF(F3721&lt;&gt;"","错误","")</f>
        <v/>
      </c>
      <c r="C3721" s="14">
        <f>IF('09_连续性验收'!A221&lt;&gt;"","09_连续性验收","")</f>
        <v/>
      </c>
      <c r="D3721" s="14">
        <f>IF('09_连续性验收'!A221&lt;&gt;"",'09_连续性验收'!A221,"")</f>
        <v/>
      </c>
      <c r="E3721" s="14">
        <f>IF(F3721&lt;&gt;"","综合校验","")</f>
        <v/>
      </c>
      <c r="F3721" s="14">
        <f>IF('09_连续性验收'!A221&lt;&gt;"",IF('09_连续性验收'!A221="","缺少验收ID；","")&amp;IF('09_连续性验收'!B221="","缺少对象ID；","")&amp;IF('09_连续性验收'!C221="","缺少检查类型；","")&amp;IF(AND('09_连续性验收'!J221&lt;&gt;"",'09_连续性验收'!K221&lt;&gt;"",'09_连续性验收'!J221&gt;'09_连续性验收'!K221),"坐标偏差超标；","")&amp;IF(AND('09_连续性验收'!B221&lt;&gt;"",COUNTIF('02_固定地理'!$A$2:$A$501,'09_连续性验收'!B221)+COUNTIF('03_地点锚点'!$A$2:$A$501,'09_连续性验收'!B221)+COUNTIF('04_路径网络'!$A$2:$A$501,'09_连续性验收'!B221)+COUNTIF('06_建筑锚点'!$A$2:$A$501,'09_连续性验收'!B221)=0),"验收对象不存在；","")&amp;IF(AND('09_连续性验收'!A221&lt;&gt;"",COUNTIF('09_连续性验收'!$A$2:$A$501,'09_连续性验收'!A221)&gt;1),"ID重复；",""),"")</f>
        <v/>
      </c>
      <c r="G3721" s="14">
        <f>IF(F3721&lt;&gt;"","按字段批注、数据字典和来源记录修正后复核","")</f>
        <v/>
      </c>
      <c r="H3721" s="14">
        <f>IF(F3721&lt;&gt;"","待处理","")</f>
        <v/>
      </c>
    </row>
    <row r="3722">
      <c r="A3722" s="14">
        <f>IF(F3722&lt;&gt;"","ISSUE-"&amp;TEXT(ROW()-1,"00000"),"")</f>
        <v/>
      </c>
      <c r="B3722" s="14">
        <f>IF(F3722&lt;&gt;"","错误","")</f>
        <v/>
      </c>
      <c r="C3722" s="14">
        <f>IF('09_连续性验收'!A222&lt;&gt;"","09_连续性验收","")</f>
        <v/>
      </c>
      <c r="D3722" s="14">
        <f>IF('09_连续性验收'!A222&lt;&gt;"",'09_连续性验收'!A222,"")</f>
        <v/>
      </c>
      <c r="E3722" s="14">
        <f>IF(F3722&lt;&gt;"","综合校验","")</f>
        <v/>
      </c>
      <c r="F3722" s="14">
        <f>IF('09_连续性验收'!A222&lt;&gt;"",IF('09_连续性验收'!A222="","缺少验收ID；","")&amp;IF('09_连续性验收'!B222="","缺少对象ID；","")&amp;IF('09_连续性验收'!C222="","缺少检查类型；","")&amp;IF(AND('09_连续性验收'!J222&lt;&gt;"",'09_连续性验收'!K222&lt;&gt;"",'09_连续性验收'!J222&gt;'09_连续性验收'!K222),"坐标偏差超标；","")&amp;IF(AND('09_连续性验收'!B222&lt;&gt;"",COUNTIF('02_固定地理'!$A$2:$A$501,'09_连续性验收'!B222)+COUNTIF('03_地点锚点'!$A$2:$A$501,'09_连续性验收'!B222)+COUNTIF('04_路径网络'!$A$2:$A$501,'09_连续性验收'!B222)+COUNTIF('06_建筑锚点'!$A$2:$A$501,'09_连续性验收'!B222)=0),"验收对象不存在；","")&amp;IF(AND('09_连续性验收'!A222&lt;&gt;"",COUNTIF('09_连续性验收'!$A$2:$A$501,'09_连续性验收'!A222)&gt;1),"ID重复；",""),"")</f>
        <v/>
      </c>
      <c r="G3722" s="14">
        <f>IF(F3722&lt;&gt;"","按字段批注、数据字典和来源记录修正后复核","")</f>
        <v/>
      </c>
      <c r="H3722" s="14">
        <f>IF(F3722&lt;&gt;"","待处理","")</f>
        <v/>
      </c>
    </row>
    <row r="3723">
      <c r="A3723" s="14">
        <f>IF(F3723&lt;&gt;"","ISSUE-"&amp;TEXT(ROW()-1,"00000"),"")</f>
        <v/>
      </c>
      <c r="B3723" s="14">
        <f>IF(F3723&lt;&gt;"","错误","")</f>
        <v/>
      </c>
      <c r="C3723" s="14">
        <f>IF('09_连续性验收'!A223&lt;&gt;"","09_连续性验收","")</f>
        <v/>
      </c>
      <c r="D3723" s="14">
        <f>IF('09_连续性验收'!A223&lt;&gt;"",'09_连续性验收'!A223,"")</f>
        <v/>
      </c>
      <c r="E3723" s="14">
        <f>IF(F3723&lt;&gt;"","综合校验","")</f>
        <v/>
      </c>
      <c r="F3723" s="14">
        <f>IF('09_连续性验收'!A223&lt;&gt;"",IF('09_连续性验收'!A223="","缺少验收ID；","")&amp;IF('09_连续性验收'!B223="","缺少对象ID；","")&amp;IF('09_连续性验收'!C223="","缺少检查类型；","")&amp;IF(AND('09_连续性验收'!J223&lt;&gt;"",'09_连续性验收'!K223&lt;&gt;"",'09_连续性验收'!J223&gt;'09_连续性验收'!K223),"坐标偏差超标；","")&amp;IF(AND('09_连续性验收'!B223&lt;&gt;"",COUNTIF('02_固定地理'!$A$2:$A$501,'09_连续性验收'!B223)+COUNTIF('03_地点锚点'!$A$2:$A$501,'09_连续性验收'!B223)+COUNTIF('04_路径网络'!$A$2:$A$501,'09_连续性验收'!B223)+COUNTIF('06_建筑锚点'!$A$2:$A$501,'09_连续性验收'!B223)=0),"验收对象不存在；","")&amp;IF(AND('09_连续性验收'!A223&lt;&gt;"",COUNTIF('09_连续性验收'!$A$2:$A$501,'09_连续性验收'!A223)&gt;1),"ID重复；",""),"")</f>
        <v/>
      </c>
      <c r="G3723" s="14">
        <f>IF(F3723&lt;&gt;"","按字段批注、数据字典和来源记录修正后复核","")</f>
        <v/>
      </c>
      <c r="H3723" s="14">
        <f>IF(F3723&lt;&gt;"","待处理","")</f>
        <v/>
      </c>
    </row>
    <row r="3724">
      <c r="A3724" s="14">
        <f>IF(F3724&lt;&gt;"","ISSUE-"&amp;TEXT(ROW()-1,"00000"),"")</f>
        <v/>
      </c>
      <c r="B3724" s="14">
        <f>IF(F3724&lt;&gt;"","错误","")</f>
        <v/>
      </c>
      <c r="C3724" s="14">
        <f>IF('09_连续性验收'!A224&lt;&gt;"","09_连续性验收","")</f>
        <v/>
      </c>
      <c r="D3724" s="14">
        <f>IF('09_连续性验收'!A224&lt;&gt;"",'09_连续性验收'!A224,"")</f>
        <v/>
      </c>
      <c r="E3724" s="14">
        <f>IF(F3724&lt;&gt;"","综合校验","")</f>
        <v/>
      </c>
      <c r="F3724" s="14">
        <f>IF('09_连续性验收'!A224&lt;&gt;"",IF('09_连续性验收'!A224="","缺少验收ID；","")&amp;IF('09_连续性验收'!B224="","缺少对象ID；","")&amp;IF('09_连续性验收'!C224="","缺少检查类型；","")&amp;IF(AND('09_连续性验收'!J224&lt;&gt;"",'09_连续性验收'!K224&lt;&gt;"",'09_连续性验收'!J224&gt;'09_连续性验收'!K224),"坐标偏差超标；","")&amp;IF(AND('09_连续性验收'!B224&lt;&gt;"",COUNTIF('02_固定地理'!$A$2:$A$501,'09_连续性验收'!B224)+COUNTIF('03_地点锚点'!$A$2:$A$501,'09_连续性验收'!B224)+COUNTIF('04_路径网络'!$A$2:$A$501,'09_连续性验收'!B224)+COUNTIF('06_建筑锚点'!$A$2:$A$501,'09_连续性验收'!B224)=0),"验收对象不存在；","")&amp;IF(AND('09_连续性验收'!A224&lt;&gt;"",COUNTIF('09_连续性验收'!$A$2:$A$501,'09_连续性验收'!A224)&gt;1),"ID重复；",""),"")</f>
        <v/>
      </c>
      <c r="G3724" s="14">
        <f>IF(F3724&lt;&gt;"","按字段批注、数据字典和来源记录修正后复核","")</f>
        <v/>
      </c>
      <c r="H3724" s="14">
        <f>IF(F3724&lt;&gt;"","待处理","")</f>
        <v/>
      </c>
    </row>
    <row r="3725">
      <c r="A3725" s="14">
        <f>IF(F3725&lt;&gt;"","ISSUE-"&amp;TEXT(ROW()-1,"00000"),"")</f>
        <v/>
      </c>
      <c r="B3725" s="14">
        <f>IF(F3725&lt;&gt;"","错误","")</f>
        <v/>
      </c>
      <c r="C3725" s="14">
        <f>IF('09_连续性验收'!A225&lt;&gt;"","09_连续性验收","")</f>
        <v/>
      </c>
      <c r="D3725" s="14">
        <f>IF('09_连续性验收'!A225&lt;&gt;"",'09_连续性验收'!A225,"")</f>
        <v/>
      </c>
      <c r="E3725" s="14">
        <f>IF(F3725&lt;&gt;"","综合校验","")</f>
        <v/>
      </c>
      <c r="F3725" s="14">
        <f>IF('09_连续性验收'!A225&lt;&gt;"",IF('09_连续性验收'!A225="","缺少验收ID；","")&amp;IF('09_连续性验收'!B225="","缺少对象ID；","")&amp;IF('09_连续性验收'!C225="","缺少检查类型；","")&amp;IF(AND('09_连续性验收'!J225&lt;&gt;"",'09_连续性验收'!K225&lt;&gt;"",'09_连续性验收'!J225&gt;'09_连续性验收'!K225),"坐标偏差超标；","")&amp;IF(AND('09_连续性验收'!B225&lt;&gt;"",COUNTIF('02_固定地理'!$A$2:$A$501,'09_连续性验收'!B225)+COUNTIF('03_地点锚点'!$A$2:$A$501,'09_连续性验收'!B225)+COUNTIF('04_路径网络'!$A$2:$A$501,'09_连续性验收'!B225)+COUNTIF('06_建筑锚点'!$A$2:$A$501,'09_连续性验收'!B225)=0),"验收对象不存在；","")&amp;IF(AND('09_连续性验收'!A225&lt;&gt;"",COUNTIF('09_连续性验收'!$A$2:$A$501,'09_连续性验收'!A225)&gt;1),"ID重复；",""),"")</f>
        <v/>
      </c>
      <c r="G3725" s="14">
        <f>IF(F3725&lt;&gt;"","按字段批注、数据字典和来源记录修正后复核","")</f>
        <v/>
      </c>
      <c r="H3725" s="14">
        <f>IF(F3725&lt;&gt;"","待处理","")</f>
        <v/>
      </c>
    </row>
    <row r="3726">
      <c r="A3726" s="14">
        <f>IF(F3726&lt;&gt;"","ISSUE-"&amp;TEXT(ROW()-1,"00000"),"")</f>
        <v/>
      </c>
      <c r="B3726" s="14">
        <f>IF(F3726&lt;&gt;"","错误","")</f>
        <v/>
      </c>
      <c r="C3726" s="14">
        <f>IF('09_连续性验收'!A226&lt;&gt;"","09_连续性验收","")</f>
        <v/>
      </c>
      <c r="D3726" s="14">
        <f>IF('09_连续性验收'!A226&lt;&gt;"",'09_连续性验收'!A226,"")</f>
        <v/>
      </c>
      <c r="E3726" s="14">
        <f>IF(F3726&lt;&gt;"","综合校验","")</f>
        <v/>
      </c>
      <c r="F3726" s="14">
        <f>IF('09_连续性验收'!A226&lt;&gt;"",IF('09_连续性验收'!A226="","缺少验收ID；","")&amp;IF('09_连续性验收'!B226="","缺少对象ID；","")&amp;IF('09_连续性验收'!C226="","缺少检查类型；","")&amp;IF(AND('09_连续性验收'!J226&lt;&gt;"",'09_连续性验收'!K226&lt;&gt;"",'09_连续性验收'!J226&gt;'09_连续性验收'!K226),"坐标偏差超标；","")&amp;IF(AND('09_连续性验收'!B226&lt;&gt;"",COUNTIF('02_固定地理'!$A$2:$A$501,'09_连续性验收'!B226)+COUNTIF('03_地点锚点'!$A$2:$A$501,'09_连续性验收'!B226)+COUNTIF('04_路径网络'!$A$2:$A$501,'09_连续性验收'!B226)+COUNTIF('06_建筑锚点'!$A$2:$A$501,'09_连续性验收'!B226)=0),"验收对象不存在；","")&amp;IF(AND('09_连续性验收'!A226&lt;&gt;"",COUNTIF('09_连续性验收'!$A$2:$A$501,'09_连续性验收'!A226)&gt;1),"ID重复；",""),"")</f>
        <v/>
      </c>
      <c r="G3726" s="14">
        <f>IF(F3726&lt;&gt;"","按字段批注、数据字典和来源记录修正后复核","")</f>
        <v/>
      </c>
      <c r="H3726" s="14">
        <f>IF(F3726&lt;&gt;"","待处理","")</f>
        <v/>
      </c>
    </row>
    <row r="3727">
      <c r="A3727" s="14">
        <f>IF(F3727&lt;&gt;"","ISSUE-"&amp;TEXT(ROW()-1,"00000"),"")</f>
        <v/>
      </c>
      <c r="B3727" s="14">
        <f>IF(F3727&lt;&gt;"","错误","")</f>
        <v/>
      </c>
      <c r="C3727" s="14">
        <f>IF('09_连续性验收'!A227&lt;&gt;"","09_连续性验收","")</f>
        <v/>
      </c>
      <c r="D3727" s="14">
        <f>IF('09_连续性验收'!A227&lt;&gt;"",'09_连续性验收'!A227,"")</f>
        <v/>
      </c>
      <c r="E3727" s="14">
        <f>IF(F3727&lt;&gt;"","综合校验","")</f>
        <v/>
      </c>
      <c r="F3727" s="14">
        <f>IF('09_连续性验收'!A227&lt;&gt;"",IF('09_连续性验收'!A227="","缺少验收ID；","")&amp;IF('09_连续性验收'!B227="","缺少对象ID；","")&amp;IF('09_连续性验收'!C227="","缺少检查类型；","")&amp;IF(AND('09_连续性验收'!J227&lt;&gt;"",'09_连续性验收'!K227&lt;&gt;"",'09_连续性验收'!J227&gt;'09_连续性验收'!K227),"坐标偏差超标；","")&amp;IF(AND('09_连续性验收'!B227&lt;&gt;"",COUNTIF('02_固定地理'!$A$2:$A$501,'09_连续性验收'!B227)+COUNTIF('03_地点锚点'!$A$2:$A$501,'09_连续性验收'!B227)+COUNTIF('04_路径网络'!$A$2:$A$501,'09_连续性验收'!B227)+COUNTIF('06_建筑锚点'!$A$2:$A$501,'09_连续性验收'!B227)=0),"验收对象不存在；","")&amp;IF(AND('09_连续性验收'!A227&lt;&gt;"",COUNTIF('09_连续性验收'!$A$2:$A$501,'09_连续性验收'!A227)&gt;1),"ID重复；",""),"")</f>
        <v/>
      </c>
      <c r="G3727" s="14">
        <f>IF(F3727&lt;&gt;"","按字段批注、数据字典和来源记录修正后复核","")</f>
        <v/>
      </c>
      <c r="H3727" s="14">
        <f>IF(F3727&lt;&gt;"","待处理","")</f>
        <v/>
      </c>
    </row>
    <row r="3728">
      <c r="A3728" s="14">
        <f>IF(F3728&lt;&gt;"","ISSUE-"&amp;TEXT(ROW()-1,"00000"),"")</f>
        <v/>
      </c>
      <c r="B3728" s="14">
        <f>IF(F3728&lt;&gt;"","错误","")</f>
        <v/>
      </c>
      <c r="C3728" s="14">
        <f>IF('09_连续性验收'!A228&lt;&gt;"","09_连续性验收","")</f>
        <v/>
      </c>
      <c r="D3728" s="14">
        <f>IF('09_连续性验收'!A228&lt;&gt;"",'09_连续性验收'!A228,"")</f>
        <v/>
      </c>
      <c r="E3728" s="14">
        <f>IF(F3728&lt;&gt;"","综合校验","")</f>
        <v/>
      </c>
      <c r="F3728" s="14">
        <f>IF('09_连续性验收'!A228&lt;&gt;"",IF('09_连续性验收'!A228="","缺少验收ID；","")&amp;IF('09_连续性验收'!B228="","缺少对象ID；","")&amp;IF('09_连续性验收'!C228="","缺少检查类型；","")&amp;IF(AND('09_连续性验收'!J228&lt;&gt;"",'09_连续性验收'!K228&lt;&gt;"",'09_连续性验收'!J228&gt;'09_连续性验收'!K228),"坐标偏差超标；","")&amp;IF(AND('09_连续性验收'!B228&lt;&gt;"",COUNTIF('02_固定地理'!$A$2:$A$501,'09_连续性验收'!B228)+COUNTIF('03_地点锚点'!$A$2:$A$501,'09_连续性验收'!B228)+COUNTIF('04_路径网络'!$A$2:$A$501,'09_连续性验收'!B228)+COUNTIF('06_建筑锚点'!$A$2:$A$501,'09_连续性验收'!B228)=0),"验收对象不存在；","")&amp;IF(AND('09_连续性验收'!A228&lt;&gt;"",COUNTIF('09_连续性验收'!$A$2:$A$501,'09_连续性验收'!A228)&gt;1),"ID重复；",""),"")</f>
        <v/>
      </c>
      <c r="G3728" s="14">
        <f>IF(F3728&lt;&gt;"","按字段批注、数据字典和来源记录修正后复核","")</f>
        <v/>
      </c>
      <c r="H3728" s="14">
        <f>IF(F3728&lt;&gt;"","待处理","")</f>
        <v/>
      </c>
    </row>
    <row r="3729">
      <c r="A3729" s="14">
        <f>IF(F3729&lt;&gt;"","ISSUE-"&amp;TEXT(ROW()-1,"00000"),"")</f>
        <v/>
      </c>
      <c r="B3729" s="14">
        <f>IF(F3729&lt;&gt;"","错误","")</f>
        <v/>
      </c>
      <c r="C3729" s="14">
        <f>IF('09_连续性验收'!A229&lt;&gt;"","09_连续性验收","")</f>
        <v/>
      </c>
      <c r="D3729" s="14">
        <f>IF('09_连续性验收'!A229&lt;&gt;"",'09_连续性验收'!A229,"")</f>
        <v/>
      </c>
      <c r="E3729" s="14">
        <f>IF(F3729&lt;&gt;"","综合校验","")</f>
        <v/>
      </c>
      <c r="F3729" s="14">
        <f>IF('09_连续性验收'!A229&lt;&gt;"",IF('09_连续性验收'!A229="","缺少验收ID；","")&amp;IF('09_连续性验收'!B229="","缺少对象ID；","")&amp;IF('09_连续性验收'!C229="","缺少检查类型；","")&amp;IF(AND('09_连续性验收'!J229&lt;&gt;"",'09_连续性验收'!K229&lt;&gt;"",'09_连续性验收'!J229&gt;'09_连续性验收'!K229),"坐标偏差超标；","")&amp;IF(AND('09_连续性验收'!B229&lt;&gt;"",COUNTIF('02_固定地理'!$A$2:$A$501,'09_连续性验收'!B229)+COUNTIF('03_地点锚点'!$A$2:$A$501,'09_连续性验收'!B229)+COUNTIF('04_路径网络'!$A$2:$A$501,'09_连续性验收'!B229)+COUNTIF('06_建筑锚点'!$A$2:$A$501,'09_连续性验收'!B229)=0),"验收对象不存在；","")&amp;IF(AND('09_连续性验收'!A229&lt;&gt;"",COUNTIF('09_连续性验收'!$A$2:$A$501,'09_连续性验收'!A229)&gt;1),"ID重复；",""),"")</f>
        <v/>
      </c>
      <c r="G3729" s="14">
        <f>IF(F3729&lt;&gt;"","按字段批注、数据字典和来源记录修正后复核","")</f>
        <v/>
      </c>
      <c r="H3729" s="14">
        <f>IF(F3729&lt;&gt;"","待处理","")</f>
        <v/>
      </c>
    </row>
    <row r="3730">
      <c r="A3730" s="14">
        <f>IF(F3730&lt;&gt;"","ISSUE-"&amp;TEXT(ROW()-1,"00000"),"")</f>
        <v/>
      </c>
      <c r="B3730" s="14">
        <f>IF(F3730&lt;&gt;"","错误","")</f>
        <v/>
      </c>
      <c r="C3730" s="14">
        <f>IF('09_连续性验收'!A230&lt;&gt;"","09_连续性验收","")</f>
        <v/>
      </c>
      <c r="D3730" s="14">
        <f>IF('09_连续性验收'!A230&lt;&gt;"",'09_连续性验收'!A230,"")</f>
        <v/>
      </c>
      <c r="E3730" s="14">
        <f>IF(F3730&lt;&gt;"","综合校验","")</f>
        <v/>
      </c>
      <c r="F3730" s="14">
        <f>IF('09_连续性验收'!A230&lt;&gt;"",IF('09_连续性验收'!A230="","缺少验收ID；","")&amp;IF('09_连续性验收'!B230="","缺少对象ID；","")&amp;IF('09_连续性验收'!C230="","缺少检查类型；","")&amp;IF(AND('09_连续性验收'!J230&lt;&gt;"",'09_连续性验收'!K230&lt;&gt;"",'09_连续性验收'!J230&gt;'09_连续性验收'!K230),"坐标偏差超标；","")&amp;IF(AND('09_连续性验收'!B230&lt;&gt;"",COUNTIF('02_固定地理'!$A$2:$A$501,'09_连续性验收'!B230)+COUNTIF('03_地点锚点'!$A$2:$A$501,'09_连续性验收'!B230)+COUNTIF('04_路径网络'!$A$2:$A$501,'09_连续性验收'!B230)+COUNTIF('06_建筑锚点'!$A$2:$A$501,'09_连续性验收'!B230)=0),"验收对象不存在；","")&amp;IF(AND('09_连续性验收'!A230&lt;&gt;"",COUNTIF('09_连续性验收'!$A$2:$A$501,'09_连续性验收'!A230)&gt;1),"ID重复；",""),"")</f>
        <v/>
      </c>
      <c r="G3730" s="14">
        <f>IF(F3730&lt;&gt;"","按字段批注、数据字典和来源记录修正后复核","")</f>
        <v/>
      </c>
      <c r="H3730" s="14">
        <f>IF(F3730&lt;&gt;"","待处理","")</f>
        <v/>
      </c>
    </row>
    <row r="3731">
      <c r="A3731" s="14">
        <f>IF(F3731&lt;&gt;"","ISSUE-"&amp;TEXT(ROW()-1,"00000"),"")</f>
        <v/>
      </c>
      <c r="B3731" s="14">
        <f>IF(F3731&lt;&gt;"","错误","")</f>
        <v/>
      </c>
      <c r="C3731" s="14">
        <f>IF('09_连续性验收'!A231&lt;&gt;"","09_连续性验收","")</f>
        <v/>
      </c>
      <c r="D3731" s="14">
        <f>IF('09_连续性验收'!A231&lt;&gt;"",'09_连续性验收'!A231,"")</f>
        <v/>
      </c>
      <c r="E3731" s="14">
        <f>IF(F3731&lt;&gt;"","综合校验","")</f>
        <v/>
      </c>
      <c r="F3731" s="14">
        <f>IF('09_连续性验收'!A231&lt;&gt;"",IF('09_连续性验收'!A231="","缺少验收ID；","")&amp;IF('09_连续性验收'!B231="","缺少对象ID；","")&amp;IF('09_连续性验收'!C231="","缺少检查类型；","")&amp;IF(AND('09_连续性验收'!J231&lt;&gt;"",'09_连续性验收'!K231&lt;&gt;"",'09_连续性验收'!J231&gt;'09_连续性验收'!K231),"坐标偏差超标；","")&amp;IF(AND('09_连续性验收'!B231&lt;&gt;"",COUNTIF('02_固定地理'!$A$2:$A$501,'09_连续性验收'!B231)+COUNTIF('03_地点锚点'!$A$2:$A$501,'09_连续性验收'!B231)+COUNTIF('04_路径网络'!$A$2:$A$501,'09_连续性验收'!B231)+COUNTIF('06_建筑锚点'!$A$2:$A$501,'09_连续性验收'!B231)=0),"验收对象不存在；","")&amp;IF(AND('09_连续性验收'!A231&lt;&gt;"",COUNTIF('09_连续性验收'!$A$2:$A$501,'09_连续性验收'!A231)&gt;1),"ID重复；",""),"")</f>
        <v/>
      </c>
      <c r="G3731" s="14">
        <f>IF(F3731&lt;&gt;"","按字段批注、数据字典和来源记录修正后复核","")</f>
        <v/>
      </c>
      <c r="H3731" s="14">
        <f>IF(F3731&lt;&gt;"","待处理","")</f>
        <v/>
      </c>
    </row>
    <row r="3732">
      <c r="A3732" s="14">
        <f>IF(F3732&lt;&gt;"","ISSUE-"&amp;TEXT(ROW()-1,"00000"),"")</f>
        <v/>
      </c>
      <c r="B3732" s="14">
        <f>IF(F3732&lt;&gt;"","错误","")</f>
        <v/>
      </c>
      <c r="C3732" s="14">
        <f>IF('09_连续性验收'!A232&lt;&gt;"","09_连续性验收","")</f>
        <v/>
      </c>
      <c r="D3732" s="14">
        <f>IF('09_连续性验收'!A232&lt;&gt;"",'09_连续性验收'!A232,"")</f>
        <v/>
      </c>
      <c r="E3732" s="14">
        <f>IF(F3732&lt;&gt;"","综合校验","")</f>
        <v/>
      </c>
      <c r="F3732" s="14">
        <f>IF('09_连续性验收'!A232&lt;&gt;"",IF('09_连续性验收'!A232="","缺少验收ID；","")&amp;IF('09_连续性验收'!B232="","缺少对象ID；","")&amp;IF('09_连续性验收'!C232="","缺少检查类型；","")&amp;IF(AND('09_连续性验收'!J232&lt;&gt;"",'09_连续性验收'!K232&lt;&gt;"",'09_连续性验收'!J232&gt;'09_连续性验收'!K232),"坐标偏差超标；","")&amp;IF(AND('09_连续性验收'!B232&lt;&gt;"",COUNTIF('02_固定地理'!$A$2:$A$501,'09_连续性验收'!B232)+COUNTIF('03_地点锚点'!$A$2:$A$501,'09_连续性验收'!B232)+COUNTIF('04_路径网络'!$A$2:$A$501,'09_连续性验收'!B232)+COUNTIF('06_建筑锚点'!$A$2:$A$501,'09_连续性验收'!B232)=0),"验收对象不存在；","")&amp;IF(AND('09_连续性验收'!A232&lt;&gt;"",COUNTIF('09_连续性验收'!$A$2:$A$501,'09_连续性验收'!A232)&gt;1),"ID重复；",""),"")</f>
        <v/>
      </c>
      <c r="G3732" s="14">
        <f>IF(F3732&lt;&gt;"","按字段批注、数据字典和来源记录修正后复核","")</f>
        <v/>
      </c>
      <c r="H3732" s="14">
        <f>IF(F3732&lt;&gt;"","待处理","")</f>
        <v/>
      </c>
    </row>
    <row r="3733">
      <c r="A3733" s="14">
        <f>IF(F3733&lt;&gt;"","ISSUE-"&amp;TEXT(ROW()-1,"00000"),"")</f>
        <v/>
      </c>
      <c r="B3733" s="14">
        <f>IF(F3733&lt;&gt;"","错误","")</f>
        <v/>
      </c>
      <c r="C3733" s="14">
        <f>IF('09_连续性验收'!A233&lt;&gt;"","09_连续性验收","")</f>
        <v/>
      </c>
      <c r="D3733" s="14">
        <f>IF('09_连续性验收'!A233&lt;&gt;"",'09_连续性验收'!A233,"")</f>
        <v/>
      </c>
      <c r="E3733" s="14">
        <f>IF(F3733&lt;&gt;"","综合校验","")</f>
        <v/>
      </c>
      <c r="F3733" s="14">
        <f>IF('09_连续性验收'!A233&lt;&gt;"",IF('09_连续性验收'!A233="","缺少验收ID；","")&amp;IF('09_连续性验收'!B233="","缺少对象ID；","")&amp;IF('09_连续性验收'!C233="","缺少检查类型；","")&amp;IF(AND('09_连续性验收'!J233&lt;&gt;"",'09_连续性验收'!K233&lt;&gt;"",'09_连续性验收'!J233&gt;'09_连续性验收'!K233),"坐标偏差超标；","")&amp;IF(AND('09_连续性验收'!B233&lt;&gt;"",COUNTIF('02_固定地理'!$A$2:$A$501,'09_连续性验收'!B233)+COUNTIF('03_地点锚点'!$A$2:$A$501,'09_连续性验收'!B233)+COUNTIF('04_路径网络'!$A$2:$A$501,'09_连续性验收'!B233)+COUNTIF('06_建筑锚点'!$A$2:$A$501,'09_连续性验收'!B233)=0),"验收对象不存在；","")&amp;IF(AND('09_连续性验收'!A233&lt;&gt;"",COUNTIF('09_连续性验收'!$A$2:$A$501,'09_连续性验收'!A233)&gt;1),"ID重复；",""),"")</f>
        <v/>
      </c>
      <c r="G3733" s="14">
        <f>IF(F3733&lt;&gt;"","按字段批注、数据字典和来源记录修正后复核","")</f>
        <v/>
      </c>
      <c r="H3733" s="14">
        <f>IF(F3733&lt;&gt;"","待处理","")</f>
        <v/>
      </c>
    </row>
    <row r="3734">
      <c r="A3734" s="14">
        <f>IF(F3734&lt;&gt;"","ISSUE-"&amp;TEXT(ROW()-1,"00000"),"")</f>
        <v/>
      </c>
      <c r="B3734" s="14">
        <f>IF(F3734&lt;&gt;"","错误","")</f>
        <v/>
      </c>
      <c r="C3734" s="14">
        <f>IF('09_连续性验收'!A234&lt;&gt;"","09_连续性验收","")</f>
        <v/>
      </c>
      <c r="D3734" s="14">
        <f>IF('09_连续性验收'!A234&lt;&gt;"",'09_连续性验收'!A234,"")</f>
        <v/>
      </c>
      <c r="E3734" s="14">
        <f>IF(F3734&lt;&gt;"","综合校验","")</f>
        <v/>
      </c>
      <c r="F3734" s="14">
        <f>IF('09_连续性验收'!A234&lt;&gt;"",IF('09_连续性验收'!A234="","缺少验收ID；","")&amp;IF('09_连续性验收'!B234="","缺少对象ID；","")&amp;IF('09_连续性验收'!C234="","缺少检查类型；","")&amp;IF(AND('09_连续性验收'!J234&lt;&gt;"",'09_连续性验收'!K234&lt;&gt;"",'09_连续性验收'!J234&gt;'09_连续性验收'!K234),"坐标偏差超标；","")&amp;IF(AND('09_连续性验收'!B234&lt;&gt;"",COUNTIF('02_固定地理'!$A$2:$A$501,'09_连续性验收'!B234)+COUNTIF('03_地点锚点'!$A$2:$A$501,'09_连续性验收'!B234)+COUNTIF('04_路径网络'!$A$2:$A$501,'09_连续性验收'!B234)+COUNTIF('06_建筑锚点'!$A$2:$A$501,'09_连续性验收'!B234)=0),"验收对象不存在；","")&amp;IF(AND('09_连续性验收'!A234&lt;&gt;"",COUNTIF('09_连续性验收'!$A$2:$A$501,'09_连续性验收'!A234)&gt;1),"ID重复；",""),"")</f>
        <v/>
      </c>
      <c r="G3734" s="14">
        <f>IF(F3734&lt;&gt;"","按字段批注、数据字典和来源记录修正后复核","")</f>
        <v/>
      </c>
      <c r="H3734" s="14">
        <f>IF(F3734&lt;&gt;"","待处理","")</f>
        <v/>
      </c>
    </row>
    <row r="3735">
      <c r="A3735" s="14">
        <f>IF(F3735&lt;&gt;"","ISSUE-"&amp;TEXT(ROW()-1,"00000"),"")</f>
        <v/>
      </c>
      <c r="B3735" s="14">
        <f>IF(F3735&lt;&gt;"","错误","")</f>
        <v/>
      </c>
      <c r="C3735" s="14">
        <f>IF('09_连续性验收'!A235&lt;&gt;"","09_连续性验收","")</f>
        <v/>
      </c>
      <c r="D3735" s="14">
        <f>IF('09_连续性验收'!A235&lt;&gt;"",'09_连续性验收'!A235,"")</f>
        <v/>
      </c>
      <c r="E3735" s="14">
        <f>IF(F3735&lt;&gt;"","综合校验","")</f>
        <v/>
      </c>
      <c r="F3735" s="14">
        <f>IF('09_连续性验收'!A235&lt;&gt;"",IF('09_连续性验收'!A235="","缺少验收ID；","")&amp;IF('09_连续性验收'!B235="","缺少对象ID；","")&amp;IF('09_连续性验收'!C235="","缺少检查类型；","")&amp;IF(AND('09_连续性验收'!J235&lt;&gt;"",'09_连续性验收'!K235&lt;&gt;"",'09_连续性验收'!J235&gt;'09_连续性验收'!K235),"坐标偏差超标；","")&amp;IF(AND('09_连续性验收'!B235&lt;&gt;"",COUNTIF('02_固定地理'!$A$2:$A$501,'09_连续性验收'!B235)+COUNTIF('03_地点锚点'!$A$2:$A$501,'09_连续性验收'!B235)+COUNTIF('04_路径网络'!$A$2:$A$501,'09_连续性验收'!B235)+COUNTIF('06_建筑锚点'!$A$2:$A$501,'09_连续性验收'!B235)=0),"验收对象不存在；","")&amp;IF(AND('09_连续性验收'!A235&lt;&gt;"",COUNTIF('09_连续性验收'!$A$2:$A$501,'09_连续性验收'!A235)&gt;1),"ID重复；",""),"")</f>
        <v/>
      </c>
      <c r="G3735" s="14">
        <f>IF(F3735&lt;&gt;"","按字段批注、数据字典和来源记录修正后复核","")</f>
        <v/>
      </c>
      <c r="H3735" s="14">
        <f>IF(F3735&lt;&gt;"","待处理","")</f>
        <v/>
      </c>
    </row>
    <row r="3736">
      <c r="A3736" s="14">
        <f>IF(F3736&lt;&gt;"","ISSUE-"&amp;TEXT(ROW()-1,"00000"),"")</f>
        <v/>
      </c>
      <c r="B3736" s="14">
        <f>IF(F3736&lt;&gt;"","错误","")</f>
        <v/>
      </c>
      <c r="C3736" s="14">
        <f>IF('09_连续性验收'!A236&lt;&gt;"","09_连续性验收","")</f>
        <v/>
      </c>
      <c r="D3736" s="14">
        <f>IF('09_连续性验收'!A236&lt;&gt;"",'09_连续性验收'!A236,"")</f>
        <v/>
      </c>
      <c r="E3736" s="14">
        <f>IF(F3736&lt;&gt;"","综合校验","")</f>
        <v/>
      </c>
      <c r="F3736" s="14">
        <f>IF('09_连续性验收'!A236&lt;&gt;"",IF('09_连续性验收'!A236="","缺少验收ID；","")&amp;IF('09_连续性验收'!B236="","缺少对象ID；","")&amp;IF('09_连续性验收'!C236="","缺少检查类型；","")&amp;IF(AND('09_连续性验收'!J236&lt;&gt;"",'09_连续性验收'!K236&lt;&gt;"",'09_连续性验收'!J236&gt;'09_连续性验收'!K236),"坐标偏差超标；","")&amp;IF(AND('09_连续性验收'!B236&lt;&gt;"",COUNTIF('02_固定地理'!$A$2:$A$501,'09_连续性验收'!B236)+COUNTIF('03_地点锚点'!$A$2:$A$501,'09_连续性验收'!B236)+COUNTIF('04_路径网络'!$A$2:$A$501,'09_连续性验收'!B236)+COUNTIF('06_建筑锚点'!$A$2:$A$501,'09_连续性验收'!B236)=0),"验收对象不存在；","")&amp;IF(AND('09_连续性验收'!A236&lt;&gt;"",COUNTIF('09_连续性验收'!$A$2:$A$501,'09_连续性验收'!A236)&gt;1),"ID重复；",""),"")</f>
        <v/>
      </c>
      <c r="G3736" s="14">
        <f>IF(F3736&lt;&gt;"","按字段批注、数据字典和来源记录修正后复核","")</f>
        <v/>
      </c>
      <c r="H3736" s="14">
        <f>IF(F3736&lt;&gt;"","待处理","")</f>
        <v/>
      </c>
    </row>
    <row r="3737">
      <c r="A3737" s="14">
        <f>IF(F3737&lt;&gt;"","ISSUE-"&amp;TEXT(ROW()-1,"00000"),"")</f>
        <v/>
      </c>
      <c r="B3737" s="14">
        <f>IF(F3737&lt;&gt;"","错误","")</f>
        <v/>
      </c>
      <c r="C3737" s="14">
        <f>IF('09_连续性验收'!A237&lt;&gt;"","09_连续性验收","")</f>
        <v/>
      </c>
      <c r="D3737" s="14">
        <f>IF('09_连续性验收'!A237&lt;&gt;"",'09_连续性验收'!A237,"")</f>
        <v/>
      </c>
      <c r="E3737" s="14">
        <f>IF(F3737&lt;&gt;"","综合校验","")</f>
        <v/>
      </c>
      <c r="F3737" s="14">
        <f>IF('09_连续性验收'!A237&lt;&gt;"",IF('09_连续性验收'!A237="","缺少验收ID；","")&amp;IF('09_连续性验收'!B237="","缺少对象ID；","")&amp;IF('09_连续性验收'!C237="","缺少检查类型；","")&amp;IF(AND('09_连续性验收'!J237&lt;&gt;"",'09_连续性验收'!K237&lt;&gt;"",'09_连续性验收'!J237&gt;'09_连续性验收'!K237),"坐标偏差超标；","")&amp;IF(AND('09_连续性验收'!B237&lt;&gt;"",COUNTIF('02_固定地理'!$A$2:$A$501,'09_连续性验收'!B237)+COUNTIF('03_地点锚点'!$A$2:$A$501,'09_连续性验收'!B237)+COUNTIF('04_路径网络'!$A$2:$A$501,'09_连续性验收'!B237)+COUNTIF('06_建筑锚点'!$A$2:$A$501,'09_连续性验收'!B237)=0),"验收对象不存在；","")&amp;IF(AND('09_连续性验收'!A237&lt;&gt;"",COUNTIF('09_连续性验收'!$A$2:$A$501,'09_连续性验收'!A237)&gt;1),"ID重复；",""),"")</f>
        <v/>
      </c>
      <c r="G3737" s="14">
        <f>IF(F3737&lt;&gt;"","按字段批注、数据字典和来源记录修正后复核","")</f>
        <v/>
      </c>
      <c r="H3737" s="14">
        <f>IF(F3737&lt;&gt;"","待处理","")</f>
        <v/>
      </c>
    </row>
    <row r="3738">
      <c r="A3738" s="14">
        <f>IF(F3738&lt;&gt;"","ISSUE-"&amp;TEXT(ROW()-1,"00000"),"")</f>
        <v/>
      </c>
      <c r="B3738" s="14">
        <f>IF(F3738&lt;&gt;"","错误","")</f>
        <v/>
      </c>
      <c r="C3738" s="14">
        <f>IF('09_连续性验收'!A238&lt;&gt;"","09_连续性验收","")</f>
        <v/>
      </c>
      <c r="D3738" s="14">
        <f>IF('09_连续性验收'!A238&lt;&gt;"",'09_连续性验收'!A238,"")</f>
        <v/>
      </c>
      <c r="E3738" s="14">
        <f>IF(F3738&lt;&gt;"","综合校验","")</f>
        <v/>
      </c>
      <c r="F3738" s="14">
        <f>IF('09_连续性验收'!A238&lt;&gt;"",IF('09_连续性验收'!A238="","缺少验收ID；","")&amp;IF('09_连续性验收'!B238="","缺少对象ID；","")&amp;IF('09_连续性验收'!C238="","缺少检查类型；","")&amp;IF(AND('09_连续性验收'!J238&lt;&gt;"",'09_连续性验收'!K238&lt;&gt;"",'09_连续性验收'!J238&gt;'09_连续性验收'!K238),"坐标偏差超标；","")&amp;IF(AND('09_连续性验收'!B238&lt;&gt;"",COUNTIF('02_固定地理'!$A$2:$A$501,'09_连续性验收'!B238)+COUNTIF('03_地点锚点'!$A$2:$A$501,'09_连续性验收'!B238)+COUNTIF('04_路径网络'!$A$2:$A$501,'09_连续性验收'!B238)+COUNTIF('06_建筑锚点'!$A$2:$A$501,'09_连续性验收'!B238)=0),"验收对象不存在；","")&amp;IF(AND('09_连续性验收'!A238&lt;&gt;"",COUNTIF('09_连续性验收'!$A$2:$A$501,'09_连续性验收'!A238)&gt;1),"ID重复；",""),"")</f>
        <v/>
      </c>
      <c r="G3738" s="14">
        <f>IF(F3738&lt;&gt;"","按字段批注、数据字典和来源记录修正后复核","")</f>
        <v/>
      </c>
      <c r="H3738" s="14">
        <f>IF(F3738&lt;&gt;"","待处理","")</f>
        <v/>
      </c>
    </row>
    <row r="3739">
      <c r="A3739" s="14">
        <f>IF(F3739&lt;&gt;"","ISSUE-"&amp;TEXT(ROW()-1,"00000"),"")</f>
        <v/>
      </c>
      <c r="B3739" s="14">
        <f>IF(F3739&lt;&gt;"","错误","")</f>
        <v/>
      </c>
      <c r="C3739" s="14">
        <f>IF('09_连续性验收'!A239&lt;&gt;"","09_连续性验收","")</f>
        <v/>
      </c>
      <c r="D3739" s="14">
        <f>IF('09_连续性验收'!A239&lt;&gt;"",'09_连续性验收'!A239,"")</f>
        <v/>
      </c>
      <c r="E3739" s="14">
        <f>IF(F3739&lt;&gt;"","综合校验","")</f>
        <v/>
      </c>
      <c r="F3739" s="14">
        <f>IF('09_连续性验收'!A239&lt;&gt;"",IF('09_连续性验收'!A239="","缺少验收ID；","")&amp;IF('09_连续性验收'!B239="","缺少对象ID；","")&amp;IF('09_连续性验收'!C239="","缺少检查类型；","")&amp;IF(AND('09_连续性验收'!J239&lt;&gt;"",'09_连续性验收'!K239&lt;&gt;"",'09_连续性验收'!J239&gt;'09_连续性验收'!K239),"坐标偏差超标；","")&amp;IF(AND('09_连续性验收'!B239&lt;&gt;"",COUNTIF('02_固定地理'!$A$2:$A$501,'09_连续性验收'!B239)+COUNTIF('03_地点锚点'!$A$2:$A$501,'09_连续性验收'!B239)+COUNTIF('04_路径网络'!$A$2:$A$501,'09_连续性验收'!B239)+COUNTIF('06_建筑锚点'!$A$2:$A$501,'09_连续性验收'!B239)=0),"验收对象不存在；","")&amp;IF(AND('09_连续性验收'!A239&lt;&gt;"",COUNTIF('09_连续性验收'!$A$2:$A$501,'09_连续性验收'!A239)&gt;1),"ID重复；",""),"")</f>
        <v/>
      </c>
      <c r="G3739" s="14">
        <f>IF(F3739&lt;&gt;"","按字段批注、数据字典和来源记录修正后复核","")</f>
        <v/>
      </c>
      <c r="H3739" s="14">
        <f>IF(F3739&lt;&gt;"","待处理","")</f>
        <v/>
      </c>
    </row>
    <row r="3740">
      <c r="A3740" s="14">
        <f>IF(F3740&lt;&gt;"","ISSUE-"&amp;TEXT(ROW()-1,"00000"),"")</f>
        <v/>
      </c>
      <c r="B3740" s="14">
        <f>IF(F3740&lt;&gt;"","错误","")</f>
        <v/>
      </c>
      <c r="C3740" s="14">
        <f>IF('09_连续性验收'!A240&lt;&gt;"","09_连续性验收","")</f>
        <v/>
      </c>
      <c r="D3740" s="14">
        <f>IF('09_连续性验收'!A240&lt;&gt;"",'09_连续性验收'!A240,"")</f>
        <v/>
      </c>
      <c r="E3740" s="14">
        <f>IF(F3740&lt;&gt;"","综合校验","")</f>
        <v/>
      </c>
      <c r="F3740" s="14">
        <f>IF('09_连续性验收'!A240&lt;&gt;"",IF('09_连续性验收'!A240="","缺少验收ID；","")&amp;IF('09_连续性验收'!B240="","缺少对象ID；","")&amp;IF('09_连续性验收'!C240="","缺少检查类型；","")&amp;IF(AND('09_连续性验收'!J240&lt;&gt;"",'09_连续性验收'!K240&lt;&gt;"",'09_连续性验收'!J240&gt;'09_连续性验收'!K240),"坐标偏差超标；","")&amp;IF(AND('09_连续性验收'!B240&lt;&gt;"",COUNTIF('02_固定地理'!$A$2:$A$501,'09_连续性验收'!B240)+COUNTIF('03_地点锚点'!$A$2:$A$501,'09_连续性验收'!B240)+COUNTIF('04_路径网络'!$A$2:$A$501,'09_连续性验收'!B240)+COUNTIF('06_建筑锚点'!$A$2:$A$501,'09_连续性验收'!B240)=0),"验收对象不存在；","")&amp;IF(AND('09_连续性验收'!A240&lt;&gt;"",COUNTIF('09_连续性验收'!$A$2:$A$501,'09_连续性验收'!A240)&gt;1),"ID重复；",""),"")</f>
        <v/>
      </c>
      <c r="G3740" s="14">
        <f>IF(F3740&lt;&gt;"","按字段批注、数据字典和来源记录修正后复核","")</f>
        <v/>
      </c>
      <c r="H3740" s="14">
        <f>IF(F3740&lt;&gt;"","待处理","")</f>
        <v/>
      </c>
    </row>
    <row r="3741">
      <c r="A3741" s="14">
        <f>IF(F3741&lt;&gt;"","ISSUE-"&amp;TEXT(ROW()-1,"00000"),"")</f>
        <v/>
      </c>
      <c r="B3741" s="14">
        <f>IF(F3741&lt;&gt;"","错误","")</f>
        <v/>
      </c>
      <c r="C3741" s="14">
        <f>IF('09_连续性验收'!A241&lt;&gt;"","09_连续性验收","")</f>
        <v/>
      </c>
      <c r="D3741" s="14">
        <f>IF('09_连续性验收'!A241&lt;&gt;"",'09_连续性验收'!A241,"")</f>
        <v/>
      </c>
      <c r="E3741" s="14">
        <f>IF(F3741&lt;&gt;"","综合校验","")</f>
        <v/>
      </c>
      <c r="F3741" s="14">
        <f>IF('09_连续性验收'!A241&lt;&gt;"",IF('09_连续性验收'!A241="","缺少验收ID；","")&amp;IF('09_连续性验收'!B241="","缺少对象ID；","")&amp;IF('09_连续性验收'!C241="","缺少检查类型；","")&amp;IF(AND('09_连续性验收'!J241&lt;&gt;"",'09_连续性验收'!K241&lt;&gt;"",'09_连续性验收'!J241&gt;'09_连续性验收'!K241),"坐标偏差超标；","")&amp;IF(AND('09_连续性验收'!B241&lt;&gt;"",COUNTIF('02_固定地理'!$A$2:$A$501,'09_连续性验收'!B241)+COUNTIF('03_地点锚点'!$A$2:$A$501,'09_连续性验收'!B241)+COUNTIF('04_路径网络'!$A$2:$A$501,'09_连续性验收'!B241)+COUNTIF('06_建筑锚点'!$A$2:$A$501,'09_连续性验收'!B241)=0),"验收对象不存在；","")&amp;IF(AND('09_连续性验收'!A241&lt;&gt;"",COUNTIF('09_连续性验收'!$A$2:$A$501,'09_连续性验收'!A241)&gt;1),"ID重复；",""),"")</f>
        <v/>
      </c>
      <c r="G3741" s="14">
        <f>IF(F3741&lt;&gt;"","按字段批注、数据字典和来源记录修正后复核","")</f>
        <v/>
      </c>
      <c r="H3741" s="14">
        <f>IF(F3741&lt;&gt;"","待处理","")</f>
        <v/>
      </c>
    </row>
    <row r="3742">
      <c r="A3742" s="14">
        <f>IF(F3742&lt;&gt;"","ISSUE-"&amp;TEXT(ROW()-1,"00000"),"")</f>
        <v/>
      </c>
      <c r="B3742" s="14">
        <f>IF(F3742&lt;&gt;"","错误","")</f>
        <v/>
      </c>
      <c r="C3742" s="14">
        <f>IF('09_连续性验收'!A242&lt;&gt;"","09_连续性验收","")</f>
        <v/>
      </c>
      <c r="D3742" s="14">
        <f>IF('09_连续性验收'!A242&lt;&gt;"",'09_连续性验收'!A242,"")</f>
        <v/>
      </c>
      <c r="E3742" s="14">
        <f>IF(F3742&lt;&gt;"","综合校验","")</f>
        <v/>
      </c>
      <c r="F3742" s="14">
        <f>IF('09_连续性验收'!A242&lt;&gt;"",IF('09_连续性验收'!A242="","缺少验收ID；","")&amp;IF('09_连续性验收'!B242="","缺少对象ID；","")&amp;IF('09_连续性验收'!C242="","缺少检查类型；","")&amp;IF(AND('09_连续性验收'!J242&lt;&gt;"",'09_连续性验收'!K242&lt;&gt;"",'09_连续性验收'!J242&gt;'09_连续性验收'!K242),"坐标偏差超标；","")&amp;IF(AND('09_连续性验收'!B242&lt;&gt;"",COUNTIF('02_固定地理'!$A$2:$A$501,'09_连续性验收'!B242)+COUNTIF('03_地点锚点'!$A$2:$A$501,'09_连续性验收'!B242)+COUNTIF('04_路径网络'!$A$2:$A$501,'09_连续性验收'!B242)+COUNTIF('06_建筑锚点'!$A$2:$A$501,'09_连续性验收'!B242)=0),"验收对象不存在；","")&amp;IF(AND('09_连续性验收'!A242&lt;&gt;"",COUNTIF('09_连续性验收'!$A$2:$A$501,'09_连续性验收'!A242)&gt;1),"ID重复；",""),"")</f>
        <v/>
      </c>
      <c r="G3742" s="14">
        <f>IF(F3742&lt;&gt;"","按字段批注、数据字典和来源记录修正后复核","")</f>
        <v/>
      </c>
      <c r="H3742" s="14">
        <f>IF(F3742&lt;&gt;"","待处理","")</f>
        <v/>
      </c>
    </row>
    <row r="3743">
      <c r="A3743" s="14">
        <f>IF(F3743&lt;&gt;"","ISSUE-"&amp;TEXT(ROW()-1,"00000"),"")</f>
        <v/>
      </c>
      <c r="B3743" s="14">
        <f>IF(F3743&lt;&gt;"","错误","")</f>
        <v/>
      </c>
      <c r="C3743" s="14">
        <f>IF('09_连续性验收'!A243&lt;&gt;"","09_连续性验收","")</f>
        <v/>
      </c>
      <c r="D3743" s="14">
        <f>IF('09_连续性验收'!A243&lt;&gt;"",'09_连续性验收'!A243,"")</f>
        <v/>
      </c>
      <c r="E3743" s="14">
        <f>IF(F3743&lt;&gt;"","综合校验","")</f>
        <v/>
      </c>
      <c r="F3743" s="14">
        <f>IF('09_连续性验收'!A243&lt;&gt;"",IF('09_连续性验收'!A243="","缺少验收ID；","")&amp;IF('09_连续性验收'!B243="","缺少对象ID；","")&amp;IF('09_连续性验收'!C243="","缺少检查类型；","")&amp;IF(AND('09_连续性验收'!J243&lt;&gt;"",'09_连续性验收'!K243&lt;&gt;"",'09_连续性验收'!J243&gt;'09_连续性验收'!K243),"坐标偏差超标；","")&amp;IF(AND('09_连续性验收'!B243&lt;&gt;"",COUNTIF('02_固定地理'!$A$2:$A$501,'09_连续性验收'!B243)+COUNTIF('03_地点锚点'!$A$2:$A$501,'09_连续性验收'!B243)+COUNTIF('04_路径网络'!$A$2:$A$501,'09_连续性验收'!B243)+COUNTIF('06_建筑锚点'!$A$2:$A$501,'09_连续性验收'!B243)=0),"验收对象不存在；","")&amp;IF(AND('09_连续性验收'!A243&lt;&gt;"",COUNTIF('09_连续性验收'!$A$2:$A$501,'09_连续性验收'!A243)&gt;1),"ID重复；",""),"")</f>
        <v/>
      </c>
      <c r="G3743" s="14">
        <f>IF(F3743&lt;&gt;"","按字段批注、数据字典和来源记录修正后复核","")</f>
        <v/>
      </c>
      <c r="H3743" s="14">
        <f>IF(F3743&lt;&gt;"","待处理","")</f>
        <v/>
      </c>
    </row>
    <row r="3744">
      <c r="A3744" s="14">
        <f>IF(F3744&lt;&gt;"","ISSUE-"&amp;TEXT(ROW()-1,"00000"),"")</f>
        <v/>
      </c>
      <c r="B3744" s="14">
        <f>IF(F3744&lt;&gt;"","错误","")</f>
        <v/>
      </c>
      <c r="C3744" s="14">
        <f>IF('09_连续性验收'!A244&lt;&gt;"","09_连续性验收","")</f>
        <v/>
      </c>
      <c r="D3744" s="14">
        <f>IF('09_连续性验收'!A244&lt;&gt;"",'09_连续性验收'!A244,"")</f>
        <v/>
      </c>
      <c r="E3744" s="14">
        <f>IF(F3744&lt;&gt;"","综合校验","")</f>
        <v/>
      </c>
      <c r="F3744" s="14">
        <f>IF('09_连续性验收'!A244&lt;&gt;"",IF('09_连续性验收'!A244="","缺少验收ID；","")&amp;IF('09_连续性验收'!B244="","缺少对象ID；","")&amp;IF('09_连续性验收'!C244="","缺少检查类型；","")&amp;IF(AND('09_连续性验收'!J244&lt;&gt;"",'09_连续性验收'!K244&lt;&gt;"",'09_连续性验收'!J244&gt;'09_连续性验收'!K244),"坐标偏差超标；","")&amp;IF(AND('09_连续性验收'!B244&lt;&gt;"",COUNTIF('02_固定地理'!$A$2:$A$501,'09_连续性验收'!B244)+COUNTIF('03_地点锚点'!$A$2:$A$501,'09_连续性验收'!B244)+COUNTIF('04_路径网络'!$A$2:$A$501,'09_连续性验收'!B244)+COUNTIF('06_建筑锚点'!$A$2:$A$501,'09_连续性验收'!B244)=0),"验收对象不存在；","")&amp;IF(AND('09_连续性验收'!A244&lt;&gt;"",COUNTIF('09_连续性验收'!$A$2:$A$501,'09_连续性验收'!A244)&gt;1),"ID重复；",""),"")</f>
        <v/>
      </c>
      <c r="G3744" s="14">
        <f>IF(F3744&lt;&gt;"","按字段批注、数据字典和来源记录修正后复核","")</f>
        <v/>
      </c>
      <c r="H3744" s="14">
        <f>IF(F3744&lt;&gt;"","待处理","")</f>
        <v/>
      </c>
    </row>
    <row r="3745">
      <c r="A3745" s="14">
        <f>IF(F3745&lt;&gt;"","ISSUE-"&amp;TEXT(ROW()-1,"00000"),"")</f>
        <v/>
      </c>
      <c r="B3745" s="14">
        <f>IF(F3745&lt;&gt;"","错误","")</f>
        <v/>
      </c>
      <c r="C3745" s="14">
        <f>IF('09_连续性验收'!A245&lt;&gt;"","09_连续性验收","")</f>
        <v/>
      </c>
      <c r="D3745" s="14">
        <f>IF('09_连续性验收'!A245&lt;&gt;"",'09_连续性验收'!A245,"")</f>
        <v/>
      </c>
      <c r="E3745" s="14">
        <f>IF(F3745&lt;&gt;"","综合校验","")</f>
        <v/>
      </c>
      <c r="F3745" s="14">
        <f>IF('09_连续性验收'!A245&lt;&gt;"",IF('09_连续性验收'!A245="","缺少验收ID；","")&amp;IF('09_连续性验收'!B245="","缺少对象ID；","")&amp;IF('09_连续性验收'!C245="","缺少检查类型；","")&amp;IF(AND('09_连续性验收'!J245&lt;&gt;"",'09_连续性验收'!K245&lt;&gt;"",'09_连续性验收'!J245&gt;'09_连续性验收'!K245),"坐标偏差超标；","")&amp;IF(AND('09_连续性验收'!B245&lt;&gt;"",COUNTIF('02_固定地理'!$A$2:$A$501,'09_连续性验收'!B245)+COUNTIF('03_地点锚点'!$A$2:$A$501,'09_连续性验收'!B245)+COUNTIF('04_路径网络'!$A$2:$A$501,'09_连续性验收'!B245)+COUNTIF('06_建筑锚点'!$A$2:$A$501,'09_连续性验收'!B245)=0),"验收对象不存在；","")&amp;IF(AND('09_连续性验收'!A245&lt;&gt;"",COUNTIF('09_连续性验收'!$A$2:$A$501,'09_连续性验收'!A245)&gt;1),"ID重复；",""),"")</f>
        <v/>
      </c>
      <c r="G3745" s="14">
        <f>IF(F3745&lt;&gt;"","按字段批注、数据字典和来源记录修正后复核","")</f>
        <v/>
      </c>
      <c r="H3745" s="14">
        <f>IF(F3745&lt;&gt;"","待处理","")</f>
        <v/>
      </c>
    </row>
    <row r="3746">
      <c r="A3746" s="14">
        <f>IF(F3746&lt;&gt;"","ISSUE-"&amp;TEXT(ROW()-1,"00000"),"")</f>
        <v/>
      </c>
      <c r="B3746" s="14">
        <f>IF(F3746&lt;&gt;"","错误","")</f>
        <v/>
      </c>
      <c r="C3746" s="14">
        <f>IF('09_连续性验收'!A246&lt;&gt;"","09_连续性验收","")</f>
        <v/>
      </c>
      <c r="D3746" s="14">
        <f>IF('09_连续性验收'!A246&lt;&gt;"",'09_连续性验收'!A246,"")</f>
        <v/>
      </c>
      <c r="E3746" s="14">
        <f>IF(F3746&lt;&gt;"","综合校验","")</f>
        <v/>
      </c>
      <c r="F3746" s="14">
        <f>IF('09_连续性验收'!A246&lt;&gt;"",IF('09_连续性验收'!A246="","缺少验收ID；","")&amp;IF('09_连续性验收'!B246="","缺少对象ID；","")&amp;IF('09_连续性验收'!C246="","缺少检查类型；","")&amp;IF(AND('09_连续性验收'!J246&lt;&gt;"",'09_连续性验收'!K246&lt;&gt;"",'09_连续性验收'!J246&gt;'09_连续性验收'!K246),"坐标偏差超标；","")&amp;IF(AND('09_连续性验收'!B246&lt;&gt;"",COUNTIF('02_固定地理'!$A$2:$A$501,'09_连续性验收'!B246)+COUNTIF('03_地点锚点'!$A$2:$A$501,'09_连续性验收'!B246)+COUNTIF('04_路径网络'!$A$2:$A$501,'09_连续性验收'!B246)+COUNTIF('06_建筑锚点'!$A$2:$A$501,'09_连续性验收'!B246)=0),"验收对象不存在；","")&amp;IF(AND('09_连续性验收'!A246&lt;&gt;"",COUNTIF('09_连续性验收'!$A$2:$A$501,'09_连续性验收'!A246)&gt;1),"ID重复；",""),"")</f>
        <v/>
      </c>
      <c r="G3746" s="14">
        <f>IF(F3746&lt;&gt;"","按字段批注、数据字典和来源记录修正后复核","")</f>
        <v/>
      </c>
      <c r="H3746" s="14">
        <f>IF(F3746&lt;&gt;"","待处理","")</f>
        <v/>
      </c>
    </row>
    <row r="3747">
      <c r="A3747" s="14">
        <f>IF(F3747&lt;&gt;"","ISSUE-"&amp;TEXT(ROW()-1,"00000"),"")</f>
        <v/>
      </c>
      <c r="B3747" s="14">
        <f>IF(F3747&lt;&gt;"","错误","")</f>
        <v/>
      </c>
      <c r="C3747" s="14">
        <f>IF('09_连续性验收'!A247&lt;&gt;"","09_连续性验收","")</f>
        <v/>
      </c>
      <c r="D3747" s="14">
        <f>IF('09_连续性验收'!A247&lt;&gt;"",'09_连续性验收'!A247,"")</f>
        <v/>
      </c>
      <c r="E3747" s="14">
        <f>IF(F3747&lt;&gt;"","综合校验","")</f>
        <v/>
      </c>
      <c r="F3747" s="14">
        <f>IF('09_连续性验收'!A247&lt;&gt;"",IF('09_连续性验收'!A247="","缺少验收ID；","")&amp;IF('09_连续性验收'!B247="","缺少对象ID；","")&amp;IF('09_连续性验收'!C247="","缺少检查类型；","")&amp;IF(AND('09_连续性验收'!J247&lt;&gt;"",'09_连续性验收'!K247&lt;&gt;"",'09_连续性验收'!J247&gt;'09_连续性验收'!K247),"坐标偏差超标；","")&amp;IF(AND('09_连续性验收'!B247&lt;&gt;"",COUNTIF('02_固定地理'!$A$2:$A$501,'09_连续性验收'!B247)+COUNTIF('03_地点锚点'!$A$2:$A$501,'09_连续性验收'!B247)+COUNTIF('04_路径网络'!$A$2:$A$501,'09_连续性验收'!B247)+COUNTIF('06_建筑锚点'!$A$2:$A$501,'09_连续性验收'!B247)=0),"验收对象不存在；","")&amp;IF(AND('09_连续性验收'!A247&lt;&gt;"",COUNTIF('09_连续性验收'!$A$2:$A$501,'09_连续性验收'!A247)&gt;1),"ID重复；",""),"")</f>
        <v/>
      </c>
      <c r="G3747" s="14">
        <f>IF(F3747&lt;&gt;"","按字段批注、数据字典和来源记录修正后复核","")</f>
        <v/>
      </c>
      <c r="H3747" s="14">
        <f>IF(F3747&lt;&gt;"","待处理","")</f>
        <v/>
      </c>
    </row>
    <row r="3748">
      <c r="A3748" s="14">
        <f>IF(F3748&lt;&gt;"","ISSUE-"&amp;TEXT(ROW()-1,"00000"),"")</f>
        <v/>
      </c>
      <c r="B3748" s="14">
        <f>IF(F3748&lt;&gt;"","错误","")</f>
        <v/>
      </c>
      <c r="C3748" s="14">
        <f>IF('09_连续性验收'!A248&lt;&gt;"","09_连续性验收","")</f>
        <v/>
      </c>
      <c r="D3748" s="14">
        <f>IF('09_连续性验收'!A248&lt;&gt;"",'09_连续性验收'!A248,"")</f>
        <v/>
      </c>
      <c r="E3748" s="14">
        <f>IF(F3748&lt;&gt;"","综合校验","")</f>
        <v/>
      </c>
      <c r="F3748" s="14">
        <f>IF('09_连续性验收'!A248&lt;&gt;"",IF('09_连续性验收'!A248="","缺少验收ID；","")&amp;IF('09_连续性验收'!B248="","缺少对象ID；","")&amp;IF('09_连续性验收'!C248="","缺少检查类型；","")&amp;IF(AND('09_连续性验收'!J248&lt;&gt;"",'09_连续性验收'!K248&lt;&gt;"",'09_连续性验收'!J248&gt;'09_连续性验收'!K248),"坐标偏差超标；","")&amp;IF(AND('09_连续性验收'!B248&lt;&gt;"",COUNTIF('02_固定地理'!$A$2:$A$501,'09_连续性验收'!B248)+COUNTIF('03_地点锚点'!$A$2:$A$501,'09_连续性验收'!B248)+COUNTIF('04_路径网络'!$A$2:$A$501,'09_连续性验收'!B248)+COUNTIF('06_建筑锚点'!$A$2:$A$501,'09_连续性验收'!B248)=0),"验收对象不存在；","")&amp;IF(AND('09_连续性验收'!A248&lt;&gt;"",COUNTIF('09_连续性验收'!$A$2:$A$501,'09_连续性验收'!A248)&gt;1),"ID重复；",""),"")</f>
        <v/>
      </c>
      <c r="G3748" s="14">
        <f>IF(F3748&lt;&gt;"","按字段批注、数据字典和来源记录修正后复核","")</f>
        <v/>
      </c>
      <c r="H3748" s="14">
        <f>IF(F3748&lt;&gt;"","待处理","")</f>
        <v/>
      </c>
    </row>
    <row r="3749">
      <c r="A3749" s="14">
        <f>IF(F3749&lt;&gt;"","ISSUE-"&amp;TEXT(ROW()-1,"00000"),"")</f>
        <v/>
      </c>
      <c r="B3749" s="14">
        <f>IF(F3749&lt;&gt;"","错误","")</f>
        <v/>
      </c>
      <c r="C3749" s="14">
        <f>IF('09_连续性验收'!A249&lt;&gt;"","09_连续性验收","")</f>
        <v/>
      </c>
      <c r="D3749" s="14">
        <f>IF('09_连续性验收'!A249&lt;&gt;"",'09_连续性验收'!A249,"")</f>
        <v/>
      </c>
      <c r="E3749" s="14">
        <f>IF(F3749&lt;&gt;"","综合校验","")</f>
        <v/>
      </c>
      <c r="F3749" s="14">
        <f>IF('09_连续性验收'!A249&lt;&gt;"",IF('09_连续性验收'!A249="","缺少验收ID；","")&amp;IF('09_连续性验收'!B249="","缺少对象ID；","")&amp;IF('09_连续性验收'!C249="","缺少检查类型；","")&amp;IF(AND('09_连续性验收'!J249&lt;&gt;"",'09_连续性验收'!K249&lt;&gt;"",'09_连续性验收'!J249&gt;'09_连续性验收'!K249),"坐标偏差超标；","")&amp;IF(AND('09_连续性验收'!B249&lt;&gt;"",COUNTIF('02_固定地理'!$A$2:$A$501,'09_连续性验收'!B249)+COUNTIF('03_地点锚点'!$A$2:$A$501,'09_连续性验收'!B249)+COUNTIF('04_路径网络'!$A$2:$A$501,'09_连续性验收'!B249)+COUNTIF('06_建筑锚点'!$A$2:$A$501,'09_连续性验收'!B249)=0),"验收对象不存在；","")&amp;IF(AND('09_连续性验收'!A249&lt;&gt;"",COUNTIF('09_连续性验收'!$A$2:$A$501,'09_连续性验收'!A249)&gt;1),"ID重复；",""),"")</f>
        <v/>
      </c>
      <c r="G3749" s="14">
        <f>IF(F3749&lt;&gt;"","按字段批注、数据字典和来源记录修正后复核","")</f>
        <v/>
      </c>
      <c r="H3749" s="14">
        <f>IF(F3749&lt;&gt;"","待处理","")</f>
        <v/>
      </c>
    </row>
    <row r="3750">
      <c r="A3750" s="14">
        <f>IF(F3750&lt;&gt;"","ISSUE-"&amp;TEXT(ROW()-1,"00000"),"")</f>
        <v/>
      </c>
      <c r="B3750" s="14">
        <f>IF(F3750&lt;&gt;"","错误","")</f>
        <v/>
      </c>
      <c r="C3750" s="14">
        <f>IF('09_连续性验收'!A250&lt;&gt;"","09_连续性验收","")</f>
        <v/>
      </c>
      <c r="D3750" s="14">
        <f>IF('09_连续性验收'!A250&lt;&gt;"",'09_连续性验收'!A250,"")</f>
        <v/>
      </c>
      <c r="E3750" s="14">
        <f>IF(F3750&lt;&gt;"","综合校验","")</f>
        <v/>
      </c>
      <c r="F3750" s="14">
        <f>IF('09_连续性验收'!A250&lt;&gt;"",IF('09_连续性验收'!A250="","缺少验收ID；","")&amp;IF('09_连续性验收'!B250="","缺少对象ID；","")&amp;IF('09_连续性验收'!C250="","缺少检查类型；","")&amp;IF(AND('09_连续性验收'!J250&lt;&gt;"",'09_连续性验收'!K250&lt;&gt;"",'09_连续性验收'!J250&gt;'09_连续性验收'!K250),"坐标偏差超标；","")&amp;IF(AND('09_连续性验收'!B250&lt;&gt;"",COUNTIF('02_固定地理'!$A$2:$A$501,'09_连续性验收'!B250)+COUNTIF('03_地点锚点'!$A$2:$A$501,'09_连续性验收'!B250)+COUNTIF('04_路径网络'!$A$2:$A$501,'09_连续性验收'!B250)+COUNTIF('06_建筑锚点'!$A$2:$A$501,'09_连续性验收'!B250)=0),"验收对象不存在；","")&amp;IF(AND('09_连续性验收'!A250&lt;&gt;"",COUNTIF('09_连续性验收'!$A$2:$A$501,'09_连续性验收'!A250)&gt;1),"ID重复；",""),"")</f>
        <v/>
      </c>
      <c r="G3750" s="14">
        <f>IF(F3750&lt;&gt;"","按字段批注、数据字典和来源记录修正后复核","")</f>
        <v/>
      </c>
      <c r="H3750" s="14">
        <f>IF(F3750&lt;&gt;"","待处理","")</f>
        <v/>
      </c>
    </row>
    <row r="3751">
      <c r="A3751" s="14">
        <f>IF(F3751&lt;&gt;"","ISSUE-"&amp;TEXT(ROW()-1,"00000"),"")</f>
        <v/>
      </c>
      <c r="B3751" s="14">
        <f>IF(F3751&lt;&gt;"","错误","")</f>
        <v/>
      </c>
      <c r="C3751" s="14">
        <f>IF('09_连续性验收'!A251&lt;&gt;"","09_连续性验收","")</f>
        <v/>
      </c>
      <c r="D3751" s="14">
        <f>IF('09_连续性验收'!A251&lt;&gt;"",'09_连续性验收'!A251,"")</f>
        <v/>
      </c>
      <c r="E3751" s="14">
        <f>IF(F3751&lt;&gt;"","综合校验","")</f>
        <v/>
      </c>
      <c r="F3751" s="14">
        <f>IF('09_连续性验收'!A251&lt;&gt;"",IF('09_连续性验收'!A251="","缺少验收ID；","")&amp;IF('09_连续性验收'!B251="","缺少对象ID；","")&amp;IF('09_连续性验收'!C251="","缺少检查类型；","")&amp;IF(AND('09_连续性验收'!J251&lt;&gt;"",'09_连续性验收'!K251&lt;&gt;"",'09_连续性验收'!J251&gt;'09_连续性验收'!K251),"坐标偏差超标；","")&amp;IF(AND('09_连续性验收'!B251&lt;&gt;"",COUNTIF('02_固定地理'!$A$2:$A$501,'09_连续性验收'!B251)+COUNTIF('03_地点锚点'!$A$2:$A$501,'09_连续性验收'!B251)+COUNTIF('04_路径网络'!$A$2:$A$501,'09_连续性验收'!B251)+COUNTIF('06_建筑锚点'!$A$2:$A$501,'09_连续性验收'!B251)=0),"验收对象不存在；","")&amp;IF(AND('09_连续性验收'!A251&lt;&gt;"",COUNTIF('09_连续性验收'!$A$2:$A$501,'09_连续性验收'!A251)&gt;1),"ID重复；",""),"")</f>
        <v/>
      </c>
      <c r="G3751" s="14">
        <f>IF(F3751&lt;&gt;"","按字段批注、数据字典和来源记录修正后复核","")</f>
        <v/>
      </c>
      <c r="H3751" s="14">
        <f>IF(F3751&lt;&gt;"","待处理","")</f>
        <v/>
      </c>
    </row>
    <row r="3752">
      <c r="A3752" s="14">
        <f>IF(F3752&lt;&gt;"","ISSUE-"&amp;TEXT(ROW()-1,"00000"),"")</f>
        <v/>
      </c>
      <c r="B3752" s="14">
        <f>IF(F3752&lt;&gt;"","错误","")</f>
        <v/>
      </c>
      <c r="C3752" s="14">
        <f>IF('09_连续性验收'!A252&lt;&gt;"","09_连续性验收","")</f>
        <v/>
      </c>
      <c r="D3752" s="14">
        <f>IF('09_连续性验收'!A252&lt;&gt;"",'09_连续性验收'!A252,"")</f>
        <v/>
      </c>
      <c r="E3752" s="14">
        <f>IF(F3752&lt;&gt;"","综合校验","")</f>
        <v/>
      </c>
      <c r="F3752" s="14">
        <f>IF('09_连续性验收'!A252&lt;&gt;"",IF('09_连续性验收'!A252="","缺少验收ID；","")&amp;IF('09_连续性验收'!B252="","缺少对象ID；","")&amp;IF('09_连续性验收'!C252="","缺少检查类型；","")&amp;IF(AND('09_连续性验收'!J252&lt;&gt;"",'09_连续性验收'!K252&lt;&gt;"",'09_连续性验收'!J252&gt;'09_连续性验收'!K252),"坐标偏差超标；","")&amp;IF(AND('09_连续性验收'!B252&lt;&gt;"",COUNTIF('02_固定地理'!$A$2:$A$501,'09_连续性验收'!B252)+COUNTIF('03_地点锚点'!$A$2:$A$501,'09_连续性验收'!B252)+COUNTIF('04_路径网络'!$A$2:$A$501,'09_连续性验收'!B252)+COUNTIF('06_建筑锚点'!$A$2:$A$501,'09_连续性验收'!B252)=0),"验收对象不存在；","")&amp;IF(AND('09_连续性验收'!A252&lt;&gt;"",COUNTIF('09_连续性验收'!$A$2:$A$501,'09_连续性验收'!A252)&gt;1),"ID重复；",""),"")</f>
        <v/>
      </c>
      <c r="G3752" s="14">
        <f>IF(F3752&lt;&gt;"","按字段批注、数据字典和来源记录修正后复核","")</f>
        <v/>
      </c>
      <c r="H3752" s="14">
        <f>IF(F3752&lt;&gt;"","待处理","")</f>
        <v/>
      </c>
    </row>
    <row r="3753">
      <c r="A3753" s="14">
        <f>IF(F3753&lt;&gt;"","ISSUE-"&amp;TEXT(ROW()-1,"00000"),"")</f>
        <v/>
      </c>
      <c r="B3753" s="14">
        <f>IF(F3753&lt;&gt;"","错误","")</f>
        <v/>
      </c>
      <c r="C3753" s="14">
        <f>IF('09_连续性验收'!A253&lt;&gt;"","09_连续性验收","")</f>
        <v/>
      </c>
      <c r="D3753" s="14">
        <f>IF('09_连续性验收'!A253&lt;&gt;"",'09_连续性验收'!A253,"")</f>
        <v/>
      </c>
      <c r="E3753" s="14">
        <f>IF(F3753&lt;&gt;"","综合校验","")</f>
        <v/>
      </c>
      <c r="F3753" s="14">
        <f>IF('09_连续性验收'!A253&lt;&gt;"",IF('09_连续性验收'!A253="","缺少验收ID；","")&amp;IF('09_连续性验收'!B253="","缺少对象ID；","")&amp;IF('09_连续性验收'!C253="","缺少检查类型；","")&amp;IF(AND('09_连续性验收'!J253&lt;&gt;"",'09_连续性验收'!K253&lt;&gt;"",'09_连续性验收'!J253&gt;'09_连续性验收'!K253),"坐标偏差超标；","")&amp;IF(AND('09_连续性验收'!B253&lt;&gt;"",COUNTIF('02_固定地理'!$A$2:$A$501,'09_连续性验收'!B253)+COUNTIF('03_地点锚点'!$A$2:$A$501,'09_连续性验收'!B253)+COUNTIF('04_路径网络'!$A$2:$A$501,'09_连续性验收'!B253)+COUNTIF('06_建筑锚点'!$A$2:$A$501,'09_连续性验收'!B253)=0),"验收对象不存在；","")&amp;IF(AND('09_连续性验收'!A253&lt;&gt;"",COUNTIF('09_连续性验收'!$A$2:$A$501,'09_连续性验收'!A253)&gt;1),"ID重复；",""),"")</f>
        <v/>
      </c>
      <c r="G3753" s="14">
        <f>IF(F3753&lt;&gt;"","按字段批注、数据字典和来源记录修正后复核","")</f>
        <v/>
      </c>
      <c r="H3753" s="14">
        <f>IF(F3753&lt;&gt;"","待处理","")</f>
        <v/>
      </c>
    </row>
    <row r="3754">
      <c r="A3754" s="14">
        <f>IF(F3754&lt;&gt;"","ISSUE-"&amp;TEXT(ROW()-1,"00000"),"")</f>
        <v/>
      </c>
      <c r="B3754" s="14">
        <f>IF(F3754&lt;&gt;"","错误","")</f>
        <v/>
      </c>
      <c r="C3754" s="14">
        <f>IF('09_连续性验收'!A254&lt;&gt;"","09_连续性验收","")</f>
        <v/>
      </c>
      <c r="D3754" s="14">
        <f>IF('09_连续性验收'!A254&lt;&gt;"",'09_连续性验收'!A254,"")</f>
        <v/>
      </c>
      <c r="E3754" s="14">
        <f>IF(F3754&lt;&gt;"","综合校验","")</f>
        <v/>
      </c>
      <c r="F3754" s="14">
        <f>IF('09_连续性验收'!A254&lt;&gt;"",IF('09_连续性验收'!A254="","缺少验收ID；","")&amp;IF('09_连续性验收'!B254="","缺少对象ID；","")&amp;IF('09_连续性验收'!C254="","缺少检查类型；","")&amp;IF(AND('09_连续性验收'!J254&lt;&gt;"",'09_连续性验收'!K254&lt;&gt;"",'09_连续性验收'!J254&gt;'09_连续性验收'!K254),"坐标偏差超标；","")&amp;IF(AND('09_连续性验收'!B254&lt;&gt;"",COUNTIF('02_固定地理'!$A$2:$A$501,'09_连续性验收'!B254)+COUNTIF('03_地点锚点'!$A$2:$A$501,'09_连续性验收'!B254)+COUNTIF('04_路径网络'!$A$2:$A$501,'09_连续性验收'!B254)+COUNTIF('06_建筑锚点'!$A$2:$A$501,'09_连续性验收'!B254)=0),"验收对象不存在；","")&amp;IF(AND('09_连续性验收'!A254&lt;&gt;"",COUNTIF('09_连续性验收'!$A$2:$A$501,'09_连续性验收'!A254)&gt;1),"ID重复；",""),"")</f>
        <v/>
      </c>
      <c r="G3754" s="14">
        <f>IF(F3754&lt;&gt;"","按字段批注、数据字典和来源记录修正后复核","")</f>
        <v/>
      </c>
      <c r="H3754" s="14">
        <f>IF(F3754&lt;&gt;"","待处理","")</f>
        <v/>
      </c>
    </row>
    <row r="3755">
      <c r="A3755" s="14">
        <f>IF(F3755&lt;&gt;"","ISSUE-"&amp;TEXT(ROW()-1,"00000"),"")</f>
        <v/>
      </c>
      <c r="B3755" s="14">
        <f>IF(F3755&lt;&gt;"","错误","")</f>
        <v/>
      </c>
      <c r="C3755" s="14">
        <f>IF('09_连续性验收'!A255&lt;&gt;"","09_连续性验收","")</f>
        <v/>
      </c>
      <c r="D3755" s="14">
        <f>IF('09_连续性验收'!A255&lt;&gt;"",'09_连续性验收'!A255,"")</f>
        <v/>
      </c>
      <c r="E3755" s="14">
        <f>IF(F3755&lt;&gt;"","综合校验","")</f>
        <v/>
      </c>
      <c r="F3755" s="14">
        <f>IF('09_连续性验收'!A255&lt;&gt;"",IF('09_连续性验收'!A255="","缺少验收ID；","")&amp;IF('09_连续性验收'!B255="","缺少对象ID；","")&amp;IF('09_连续性验收'!C255="","缺少检查类型；","")&amp;IF(AND('09_连续性验收'!J255&lt;&gt;"",'09_连续性验收'!K255&lt;&gt;"",'09_连续性验收'!J255&gt;'09_连续性验收'!K255),"坐标偏差超标；","")&amp;IF(AND('09_连续性验收'!B255&lt;&gt;"",COUNTIF('02_固定地理'!$A$2:$A$501,'09_连续性验收'!B255)+COUNTIF('03_地点锚点'!$A$2:$A$501,'09_连续性验收'!B255)+COUNTIF('04_路径网络'!$A$2:$A$501,'09_连续性验收'!B255)+COUNTIF('06_建筑锚点'!$A$2:$A$501,'09_连续性验收'!B255)=0),"验收对象不存在；","")&amp;IF(AND('09_连续性验收'!A255&lt;&gt;"",COUNTIF('09_连续性验收'!$A$2:$A$501,'09_连续性验收'!A255)&gt;1),"ID重复；",""),"")</f>
        <v/>
      </c>
      <c r="G3755" s="14">
        <f>IF(F3755&lt;&gt;"","按字段批注、数据字典和来源记录修正后复核","")</f>
        <v/>
      </c>
      <c r="H3755" s="14">
        <f>IF(F3755&lt;&gt;"","待处理","")</f>
        <v/>
      </c>
    </row>
    <row r="3756">
      <c r="A3756" s="14">
        <f>IF(F3756&lt;&gt;"","ISSUE-"&amp;TEXT(ROW()-1,"00000"),"")</f>
        <v/>
      </c>
      <c r="B3756" s="14">
        <f>IF(F3756&lt;&gt;"","错误","")</f>
        <v/>
      </c>
      <c r="C3756" s="14">
        <f>IF('09_连续性验收'!A256&lt;&gt;"","09_连续性验收","")</f>
        <v/>
      </c>
      <c r="D3756" s="14">
        <f>IF('09_连续性验收'!A256&lt;&gt;"",'09_连续性验收'!A256,"")</f>
        <v/>
      </c>
      <c r="E3756" s="14">
        <f>IF(F3756&lt;&gt;"","综合校验","")</f>
        <v/>
      </c>
      <c r="F3756" s="14">
        <f>IF('09_连续性验收'!A256&lt;&gt;"",IF('09_连续性验收'!A256="","缺少验收ID；","")&amp;IF('09_连续性验收'!B256="","缺少对象ID；","")&amp;IF('09_连续性验收'!C256="","缺少检查类型；","")&amp;IF(AND('09_连续性验收'!J256&lt;&gt;"",'09_连续性验收'!K256&lt;&gt;"",'09_连续性验收'!J256&gt;'09_连续性验收'!K256),"坐标偏差超标；","")&amp;IF(AND('09_连续性验收'!B256&lt;&gt;"",COUNTIF('02_固定地理'!$A$2:$A$501,'09_连续性验收'!B256)+COUNTIF('03_地点锚点'!$A$2:$A$501,'09_连续性验收'!B256)+COUNTIF('04_路径网络'!$A$2:$A$501,'09_连续性验收'!B256)+COUNTIF('06_建筑锚点'!$A$2:$A$501,'09_连续性验收'!B256)=0),"验收对象不存在；","")&amp;IF(AND('09_连续性验收'!A256&lt;&gt;"",COUNTIF('09_连续性验收'!$A$2:$A$501,'09_连续性验收'!A256)&gt;1),"ID重复；",""),"")</f>
        <v/>
      </c>
      <c r="G3756" s="14">
        <f>IF(F3756&lt;&gt;"","按字段批注、数据字典和来源记录修正后复核","")</f>
        <v/>
      </c>
      <c r="H3756" s="14">
        <f>IF(F3756&lt;&gt;"","待处理","")</f>
        <v/>
      </c>
    </row>
    <row r="3757">
      <c r="A3757" s="14">
        <f>IF(F3757&lt;&gt;"","ISSUE-"&amp;TEXT(ROW()-1,"00000"),"")</f>
        <v/>
      </c>
      <c r="B3757" s="14">
        <f>IF(F3757&lt;&gt;"","错误","")</f>
        <v/>
      </c>
      <c r="C3757" s="14">
        <f>IF('09_连续性验收'!A257&lt;&gt;"","09_连续性验收","")</f>
        <v/>
      </c>
      <c r="D3757" s="14">
        <f>IF('09_连续性验收'!A257&lt;&gt;"",'09_连续性验收'!A257,"")</f>
        <v/>
      </c>
      <c r="E3757" s="14">
        <f>IF(F3757&lt;&gt;"","综合校验","")</f>
        <v/>
      </c>
      <c r="F3757" s="14">
        <f>IF('09_连续性验收'!A257&lt;&gt;"",IF('09_连续性验收'!A257="","缺少验收ID；","")&amp;IF('09_连续性验收'!B257="","缺少对象ID；","")&amp;IF('09_连续性验收'!C257="","缺少检查类型；","")&amp;IF(AND('09_连续性验收'!J257&lt;&gt;"",'09_连续性验收'!K257&lt;&gt;"",'09_连续性验收'!J257&gt;'09_连续性验收'!K257),"坐标偏差超标；","")&amp;IF(AND('09_连续性验收'!B257&lt;&gt;"",COUNTIF('02_固定地理'!$A$2:$A$501,'09_连续性验收'!B257)+COUNTIF('03_地点锚点'!$A$2:$A$501,'09_连续性验收'!B257)+COUNTIF('04_路径网络'!$A$2:$A$501,'09_连续性验收'!B257)+COUNTIF('06_建筑锚点'!$A$2:$A$501,'09_连续性验收'!B257)=0),"验收对象不存在；","")&amp;IF(AND('09_连续性验收'!A257&lt;&gt;"",COUNTIF('09_连续性验收'!$A$2:$A$501,'09_连续性验收'!A257)&gt;1),"ID重复；",""),"")</f>
        <v/>
      </c>
      <c r="G3757" s="14">
        <f>IF(F3757&lt;&gt;"","按字段批注、数据字典和来源记录修正后复核","")</f>
        <v/>
      </c>
      <c r="H3757" s="14">
        <f>IF(F3757&lt;&gt;"","待处理","")</f>
        <v/>
      </c>
    </row>
    <row r="3758">
      <c r="A3758" s="14">
        <f>IF(F3758&lt;&gt;"","ISSUE-"&amp;TEXT(ROW()-1,"00000"),"")</f>
        <v/>
      </c>
      <c r="B3758" s="14">
        <f>IF(F3758&lt;&gt;"","错误","")</f>
        <v/>
      </c>
      <c r="C3758" s="14">
        <f>IF('09_连续性验收'!A258&lt;&gt;"","09_连续性验收","")</f>
        <v/>
      </c>
      <c r="D3758" s="14">
        <f>IF('09_连续性验收'!A258&lt;&gt;"",'09_连续性验收'!A258,"")</f>
        <v/>
      </c>
      <c r="E3758" s="14">
        <f>IF(F3758&lt;&gt;"","综合校验","")</f>
        <v/>
      </c>
      <c r="F3758" s="14">
        <f>IF('09_连续性验收'!A258&lt;&gt;"",IF('09_连续性验收'!A258="","缺少验收ID；","")&amp;IF('09_连续性验收'!B258="","缺少对象ID；","")&amp;IF('09_连续性验收'!C258="","缺少检查类型；","")&amp;IF(AND('09_连续性验收'!J258&lt;&gt;"",'09_连续性验收'!K258&lt;&gt;"",'09_连续性验收'!J258&gt;'09_连续性验收'!K258),"坐标偏差超标；","")&amp;IF(AND('09_连续性验收'!B258&lt;&gt;"",COUNTIF('02_固定地理'!$A$2:$A$501,'09_连续性验收'!B258)+COUNTIF('03_地点锚点'!$A$2:$A$501,'09_连续性验收'!B258)+COUNTIF('04_路径网络'!$A$2:$A$501,'09_连续性验收'!B258)+COUNTIF('06_建筑锚点'!$A$2:$A$501,'09_连续性验收'!B258)=0),"验收对象不存在；","")&amp;IF(AND('09_连续性验收'!A258&lt;&gt;"",COUNTIF('09_连续性验收'!$A$2:$A$501,'09_连续性验收'!A258)&gt;1),"ID重复；",""),"")</f>
        <v/>
      </c>
      <c r="G3758" s="14">
        <f>IF(F3758&lt;&gt;"","按字段批注、数据字典和来源记录修正后复核","")</f>
        <v/>
      </c>
      <c r="H3758" s="14">
        <f>IF(F3758&lt;&gt;"","待处理","")</f>
        <v/>
      </c>
    </row>
    <row r="3759">
      <c r="A3759" s="14">
        <f>IF(F3759&lt;&gt;"","ISSUE-"&amp;TEXT(ROW()-1,"00000"),"")</f>
        <v/>
      </c>
      <c r="B3759" s="14">
        <f>IF(F3759&lt;&gt;"","错误","")</f>
        <v/>
      </c>
      <c r="C3759" s="14">
        <f>IF('09_连续性验收'!A259&lt;&gt;"","09_连续性验收","")</f>
        <v/>
      </c>
      <c r="D3759" s="14">
        <f>IF('09_连续性验收'!A259&lt;&gt;"",'09_连续性验收'!A259,"")</f>
        <v/>
      </c>
      <c r="E3759" s="14">
        <f>IF(F3759&lt;&gt;"","综合校验","")</f>
        <v/>
      </c>
      <c r="F3759" s="14">
        <f>IF('09_连续性验收'!A259&lt;&gt;"",IF('09_连续性验收'!A259="","缺少验收ID；","")&amp;IF('09_连续性验收'!B259="","缺少对象ID；","")&amp;IF('09_连续性验收'!C259="","缺少检查类型；","")&amp;IF(AND('09_连续性验收'!J259&lt;&gt;"",'09_连续性验收'!K259&lt;&gt;"",'09_连续性验收'!J259&gt;'09_连续性验收'!K259),"坐标偏差超标；","")&amp;IF(AND('09_连续性验收'!B259&lt;&gt;"",COUNTIF('02_固定地理'!$A$2:$A$501,'09_连续性验收'!B259)+COUNTIF('03_地点锚点'!$A$2:$A$501,'09_连续性验收'!B259)+COUNTIF('04_路径网络'!$A$2:$A$501,'09_连续性验收'!B259)+COUNTIF('06_建筑锚点'!$A$2:$A$501,'09_连续性验收'!B259)=0),"验收对象不存在；","")&amp;IF(AND('09_连续性验收'!A259&lt;&gt;"",COUNTIF('09_连续性验收'!$A$2:$A$501,'09_连续性验收'!A259)&gt;1),"ID重复；",""),"")</f>
        <v/>
      </c>
      <c r="G3759" s="14">
        <f>IF(F3759&lt;&gt;"","按字段批注、数据字典和来源记录修正后复核","")</f>
        <v/>
      </c>
      <c r="H3759" s="14">
        <f>IF(F3759&lt;&gt;"","待处理","")</f>
        <v/>
      </c>
    </row>
    <row r="3760">
      <c r="A3760" s="14">
        <f>IF(F3760&lt;&gt;"","ISSUE-"&amp;TEXT(ROW()-1,"00000"),"")</f>
        <v/>
      </c>
      <c r="B3760" s="14">
        <f>IF(F3760&lt;&gt;"","错误","")</f>
        <v/>
      </c>
      <c r="C3760" s="14">
        <f>IF('09_连续性验收'!A260&lt;&gt;"","09_连续性验收","")</f>
        <v/>
      </c>
      <c r="D3760" s="14">
        <f>IF('09_连续性验收'!A260&lt;&gt;"",'09_连续性验收'!A260,"")</f>
        <v/>
      </c>
      <c r="E3760" s="14">
        <f>IF(F3760&lt;&gt;"","综合校验","")</f>
        <v/>
      </c>
      <c r="F3760" s="14">
        <f>IF('09_连续性验收'!A260&lt;&gt;"",IF('09_连续性验收'!A260="","缺少验收ID；","")&amp;IF('09_连续性验收'!B260="","缺少对象ID；","")&amp;IF('09_连续性验收'!C260="","缺少检查类型；","")&amp;IF(AND('09_连续性验收'!J260&lt;&gt;"",'09_连续性验收'!K260&lt;&gt;"",'09_连续性验收'!J260&gt;'09_连续性验收'!K260),"坐标偏差超标；","")&amp;IF(AND('09_连续性验收'!B260&lt;&gt;"",COUNTIF('02_固定地理'!$A$2:$A$501,'09_连续性验收'!B260)+COUNTIF('03_地点锚点'!$A$2:$A$501,'09_连续性验收'!B260)+COUNTIF('04_路径网络'!$A$2:$A$501,'09_连续性验收'!B260)+COUNTIF('06_建筑锚点'!$A$2:$A$501,'09_连续性验收'!B260)=0),"验收对象不存在；","")&amp;IF(AND('09_连续性验收'!A260&lt;&gt;"",COUNTIF('09_连续性验收'!$A$2:$A$501,'09_连续性验收'!A260)&gt;1),"ID重复；",""),"")</f>
        <v/>
      </c>
      <c r="G3760" s="14">
        <f>IF(F3760&lt;&gt;"","按字段批注、数据字典和来源记录修正后复核","")</f>
        <v/>
      </c>
      <c r="H3760" s="14">
        <f>IF(F3760&lt;&gt;"","待处理","")</f>
        <v/>
      </c>
    </row>
    <row r="3761">
      <c r="A3761" s="14">
        <f>IF(F3761&lt;&gt;"","ISSUE-"&amp;TEXT(ROW()-1,"00000"),"")</f>
        <v/>
      </c>
      <c r="B3761" s="14">
        <f>IF(F3761&lt;&gt;"","错误","")</f>
        <v/>
      </c>
      <c r="C3761" s="14">
        <f>IF('09_连续性验收'!A261&lt;&gt;"","09_连续性验收","")</f>
        <v/>
      </c>
      <c r="D3761" s="14">
        <f>IF('09_连续性验收'!A261&lt;&gt;"",'09_连续性验收'!A261,"")</f>
        <v/>
      </c>
      <c r="E3761" s="14">
        <f>IF(F3761&lt;&gt;"","综合校验","")</f>
        <v/>
      </c>
      <c r="F3761" s="14">
        <f>IF('09_连续性验收'!A261&lt;&gt;"",IF('09_连续性验收'!A261="","缺少验收ID；","")&amp;IF('09_连续性验收'!B261="","缺少对象ID；","")&amp;IF('09_连续性验收'!C261="","缺少检查类型；","")&amp;IF(AND('09_连续性验收'!J261&lt;&gt;"",'09_连续性验收'!K261&lt;&gt;"",'09_连续性验收'!J261&gt;'09_连续性验收'!K261),"坐标偏差超标；","")&amp;IF(AND('09_连续性验收'!B261&lt;&gt;"",COUNTIF('02_固定地理'!$A$2:$A$501,'09_连续性验收'!B261)+COUNTIF('03_地点锚点'!$A$2:$A$501,'09_连续性验收'!B261)+COUNTIF('04_路径网络'!$A$2:$A$501,'09_连续性验收'!B261)+COUNTIF('06_建筑锚点'!$A$2:$A$501,'09_连续性验收'!B261)=0),"验收对象不存在；","")&amp;IF(AND('09_连续性验收'!A261&lt;&gt;"",COUNTIF('09_连续性验收'!$A$2:$A$501,'09_连续性验收'!A261)&gt;1),"ID重复；",""),"")</f>
        <v/>
      </c>
      <c r="G3761" s="14">
        <f>IF(F3761&lt;&gt;"","按字段批注、数据字典和来源记录修正后复核","")</f>
        <v/>
      </c>
      <c r="H3761" s="14">
        <f>IF(F3761&lt;&gt;"","待处理","")</f>
        <v/>
      </c>
    </row>
    <row r="3762">
      <c r="A3762" s="14">
        <f>IF(F3762&lt;&gt;"","ISSUE-"&amp;TEXT(ROW()-1,"00000"),"")</f>
        <v/>
      </c>
      <c r="B3762" s="14">
        <f>IF(F3762&lt;&gt;"","错误","")</f>
        <v/>
      </c>
      <c r="C3762" s="14">
        <f>IF('09_连续性验收'!A262&lt;&gt;"","09_连续性验收","")</f>
        <v/>
      </c>
      <c r="D3762" s="14">
        <f>IF('09_连续性验收'!A262&lt;&gt;"",'09_连续性验收'!A262,"")</f>
        <v/>
      </c>
      <c r="E3762" s="14">
        <f>IF(F3762&lt;&gt;"","综合校验","")</f>
        <v/>
      </c>
      <c r="F3762" s="14">
        <f>IF('09_连续性验收'!A262&lt;&gt;"",IF('09_连续性验收'!A262="","缺少验收ID；","")&amp;IF('09_连续性验收'!B262="","缺少对象ID；","")&amp;IF('09_连续性验收'!C262="","缺少检查类型；","")&amp;IF(AND('09_连续性验收'!J262&lt;&gt;"",'09_连续性验收'!K262&lt;&gt;"",'09_连续性验收'!J262&gt;'09_连续性验收'!K262),"坐标偏差超标；","")&amp;IF(AND('09_连续性验收'!B262&lt;&gt;"",COUNTIF('02_固定地理'!$A$2:$A$501,'09_连续性验收'!B262)+COUNTIF('03_地点锚点'!$A$2:$A$501,'09_连续性验收'!B262)+COUNTIF('04_路径网络'!$A$2:$A$501,'09_连续性验收'!B262)+COUNTIF('06_建筑锚点'!$A$2:$A$501,'09_连续性验收'!B262)=0),"验收对象不存在；","")&amp;IF(AND('09_连续性验收'!A262&lt;&gt;"",COUNTIF('09_连续性验收'!$A$2:$A$501,'09_连续性验收'!A262)&gt;1),"ID重复；",""),"")</f>
        <v/>
      </c>
      <c r="G3762" s="14">
        <f>IF(F3762&lt;&gt;"","按字段批注、数据字典和来源记录修正后复核","")</f>
        <v/>
      </c>
      <c r="H3762" s="14">
        <f>IF(F3762&lt;&gt;"","待处理","")</f>
        <v/>
      </c>
    </row>
    <row r="3763">
      <c r="A3763" s="14">
        <f>IF(F3763&lt;&gt;"","ISSUE-"&amp;TEXT(ROW()-1,"00000"),"")</f>
        <v/>
      </c>
      <c r="B3763" s="14">
        <f>IF(F3763&lt;&gt;"","错误","")</f>
        <v/>
      </c>
      <c r="C3763" s="14">
        <f>IF('09_连续性验收'!A263&lt;&gt;"","09_连续性验收","")</f>
        <v/>
      </c>
      <c r="D3763" s="14">
        <f>IF('09_连续性验收'!A263&lt;&gt;"",'09_连续性验收'!A263,"")</f>
        <v/>
      </c>
      <c r="E3763" s="14">
        <f>IF(F3763&lt;&gt;"","综合校验","")</f>
        <v/>
      </c>
      <c r="F3763" s="14">
        <f>IF('09_连续性验收'!A263&lt;&gt;"",IF('09_连续性验收'!A263="","缺少验收ID；","")&amp;IF('09_连续性验收'!B263="","缺少对象ID；","")&amp;IF('09_连续性验收'!C263="","缺少检查类型；","")&amp;IF(AND('09_连续性验收'!J263&lt;&gt;"",'09_连续性验收'!K263&lt;&gt;"",'09_连续性验收'!J263&gt;'09_连续性验收'!K263),"坐标偏差超标；","")&amp;IF(AND('09_连续性验收'!B263&lt;&gt;"",COUNTIF('02_固定地理'!$A$2:$A$501,'09_连续性验收'!B263)+COUNTIF('03_地点锚点'!$A$2:$A$501,'09_连续性验收'!B263)+COUNTIF('04_路径网络'!$A$2:$A$501,'09_连续性验收'!B263)+COUNTIF('06_建筑锚点'!$A$2:$A$501,'09_连续性验收'!B263)=0),"验收对象不存在；","")&amp;IF(AND('09_连续性验收'!A263&lt;&gt;"",COUNTIF('09_连续性验收'!$A$2:$A$501,'09_连续性验收'!A263)&gt;1),"ID重复；",""),"")</f>
        <v/>
      </c>
      <c r="G3763" s="14">
        <f>IF(F3763&lt;&gt;"","按字段批注、数据字典和来源记录修正后复核","")</f>
        <v/>
      </c>
      <c r="H3763" s="14">
        <f>IF(F3763&lt;&gt;"","待处理","")</f>
        <v/>
      </c>
    </row>
    <row r="3764">
      <c r="A3764" s="14">
        <f>IF(F3764&lt;&gt;"","ISSUE-"&amp;TEXT(ROW()-1,"00000"),"")</f>
        <v/>
      </c>
      <c r="B3764" s="14">
        <f>IF(F3764&lt;&gt;"","错误","")</f>
        <v/>
      </c>
      <c r="C3764" s="14">
        <f>IF('09_连续性验收'!A264&lt;&gt;"","09_连续性验收","")</f>
        <v/>
      </c>
      <c r="D3764" s="14">
        <f>IF('09_连续性验收'!A264&lt;&gt;"",'09_连续性验收'!A264,"")</f>
        <v/>
      </c>
      <c r="E3764" s="14">
        <f>IF(F3764&lt;&gt;"","综合校验","")</f>
        <v/>
      </c>
      <c r="F3764" s="14">
        <f>IF('09_连续性验收'!A264&lt;&gt;"",IF('09_连续性验收'!A264="","缺少验收ID；","")&amp;IF('09_连续性验收'!B264="","缺少对象ID；","")&amp;IF('09_连续性验收'!C264="","缺少检查类型；","")&amp;IF(AND('09_连续性验收'!J264&lt;&gt;"",'09_连续性验收'!K264&lt;&gt;"",'09_连续性验收'!J264&gt;'09_连续性验收'!K264),"坐标偏差超标；","")&amp;IF(AND('09_连续性验收'!B264&lt;&gt;"",COUNTIF('02_固定地理'!$A$2:$A$501,'09_连续性验收'!B264)+COUNTIF('03_地点锚点'!$A$2:$A$501,'09_连续性验收'!B264)+COUNTIF('04_路径网络'!$A$2:$A$501,'09_连续性验收'!B264)+COUNTIF('06_建筑锚点'!$A$2:$A$501,'09_连续性验收'!B264)=0),"验收对象不存在；","")&amp;IF(AND('09_连续性验收'!A264&lt;&gt;"",COUNTIF('09_连续性验收'!$A$2:$A$501,'09_连续性验收'!A264)&gt;1),"ID重复；",""),"")</f>
        <v/>
      </c>
      <c r="G3764" s="14">
        <f>IF(F3764&lt;&gt;"","按字段批注、数据字典和来源记录修正后复核","")</f>
        <v/>
      </c>
      <c r="H3764" s="14">
        <f>IF(F3764&lt;&gt;"","待处理","")</f>
        <v/>
      </c>
    </row>
    <row r="3765">
      <c r="A3765" s="14">
        <f>IF(F3765&lt;&gt;"","ISSUE-"&amp;TEXT(ROW()-1,"00000"),"")</f>
        <v/>
      </c>
      <c r="B3765" s="14">
        <f>IF(F3765&lt;&gt;"","错误","")</f>
        <v/>
      </c>
      <c r="C3765" s="14">
        <f>IF('09_连续性验收'!A265&lt;&gt;"","09_连续性验收","")</f>
        <v/>
      </c>
      <c r="D3765" s="14">
        <f>IF('09_连续性验收'!A265&lt;&gt;"",'09_连续性验收'!A265,"")</f>
        <v/>
      </c>
      <c r="E3765" s="14">
        <f>IF(F3765&lt;&gt;"","综合校验","")</f>
        <v/>
      </c>
      <c r="F3765" s="14">
        <f>IF('09_连续性验收'!A265&lt;&gt;"",IF('09_连续性验收'!A265="","缺少验收ID；","")&amp;IF('09_连续性验收'!B265="","缺少对象ID；","")&amp;IF('09_连续性验收'!C265="","缺少检查类型；","")&amp;IF(AND('09_连续性验收'!J265&lt;&gt;"",'09_连续性验收'!K265&lt;&gt;"",'09_连续性验收'!J265&gt;'09_连续性验收'!K265),"坐标偏差超标；","")&amp;IF(AND('09_连续性验收'!B265&lt;&gt;"",COUNTIF('02_固定地理'!$A$2:$A$501,'09_连续性验收'!B265)+COUNTIF('03_地点锚点'!$A$2:$A$501,'09_连续性验收'!B265)+COUNTIF('04_路径网络'!$A$2:$A$501,'09_连续性验收'!B265)+COUNTIF('06_建筑锚点'!$A$2:$A$501,'09_连续性验收'!B265)=0),"验收对象不存在；","")&amp;IF(AND('09_连续性验收'!A265&lt;&gt;"",COUNTIF('09_连续性验收'!$A$2:$A$501,'09_连续性验收'!A265)&gt;1),"ID重复；",""),"")</f>
        <v/>
      </c>
      <c r="G3765" s="14">
        <f>IF(F3765&lt;&gt;"","按字段批注、数据字典和来源记录修正后复核","")</f>
        <v/>
      </c>
      <c r="H3765" s="14">
        <f>IF(F3765&lt;&gt;"","待处理","")</f>
        <v/>
      </c>
    </row>
    <row r="3766">
      <c r="A3766" s="14">
        <f>IF(F3766&lt;&gt;"","ISSUE-"&amp;TEXT(ROW()-1,"00000"),"")</f>
        <v/>
      </c>
      <c r="B3766" s="14">
        <f>IF(F3766&lt;&gt;"","错误","")</f>
        <v/>
      </c>
      <c r="C3766" s="14">
        <f>IF('09_连续性验收'!A266&lt;&gt;"","09_连续性验收","")</f>
        <v/>
      </c>
      <c r="D3766" s="14">
        <f>IF('09_连续性验收'!A266&lt;&gt;"",'09_连续性验收'!A266,"")</f>
        <v/>
      </c>
      <c r="E3766" s="14">
        <f>IF(F3766&lt;&gt;"","综合校验","")</f>
        <v/>
      </c>
      <c r="F3766" s="14">
        <f>IF('09_连续性验收'!A266&lt;&gt;"",IF('09_连续性验收'!A266="","缺少验收ID；","")&amp;IF('09_连续性验收'!B266="","缺少对象ID；","")&amp;IF('09_连续性验收'!C266="","缺少检查类型；","")&amp;IF(AND('09_连续性验收'!J266&lt;&gt;"",'09_连续性验收'!K266&lt;&gt;"",'09_连续性验收'!J266&gt;'09_连续性验收'!K266),"坐标偏差超标；","")&amp;IF(AND('09_连续性验收'!B266&lt;&gt;"",COUNTIF('02_固定地理'!$A$2:$A$501,'09_连续性验收'!B266)+COUNTIF('03_地点锚点'!$A$2:$A$501,'09_连续性验收'!B266)+COUNTIF('04_路径网络'!$A$2:$A$501,'09_连续性验收'!B266)+COUNTIF('06_建筑锚点'!$A$2:$A$501,'09_连续性验收'!B266)=0),"验收对象不存在；","")&amp;IF(AND('09_连续性验收'!A266&lt;&gt;"",COUNTIF('09_连续性验收'!$A$2:$A$501,'09_连续性验收'!A266)&gt;1),"ID重复；",""),"")</f>
        <v/>
      </c>
      <c r="G3766" s="14">
        <f>IF(F3766&lt;&gt;"","按字段批注、数据字典和来源记录修正后复核","")</f>
        <v/>
      </c>
      <c r="H3766" s="14">
        <f>IF(F3766&lt;&gt;"","待处理","")</f>
        <v/>
      </c>
    </row>
    <row r="3767">
      <c r="A3767" s="14">
        <f>IF(F3767&lt;&gt;"","ISSUE-"&amp;TEXT(ROW()-1,"00000"),"")</f>
        <v/>
      </c>
      <c r="B3767" s="14">
        <f>IF(F3767&lt;&gt;"","错误","")</f>
        <v/>
      </c>
      <c r="C3767" s="14">
        <f>IF('09_连续性验收'!A267&lt;&gt;"","09_连续性验收","")</f>
        <v/>
      </c>
      <c r="D3767" s="14">
        <f>IF('09_连续性验收'!A267&lt;&gt;"",'09_连续性验收'!A267,"")</f>
        <v/>
      </c>
      <c r="E3767" s="14">
        <f>IF(F3767&lt;&gt;"","综合校验","")</f>
        <v/>
      </c>
      <c r="F3767" s="14">
        <f>IF('09_连续性验收'!A267&lt;&gt;"",IF('09_连续性验收'!A267="","缺少验收ID；","")&amp;IF('09_连续性验收'!B267="","缺少对象ID；","")&amp;IF('09_连续性验收'!C267="","缺少检查类型；","")&amp;IF(AND('09_连续性验收'!J267&lt;&gt;"",'09_连续性验收'!K267&lt;&gt;"",'09_连续性验收'!J267&gt;'09_连续性验收'!K267),"坐标偏差超标；","")&amp;IF(AND('09_连续性验收'!B267&lt;&gt;"",COUNTIF('02_固定地理'!$A$2:$A$501,'09_连续性验收'!B267)+COUNTIF('03_地点锚点'!$A$2:$A$501,'09_连续性验收'!B267)+COUNTIF('04_路径网络'!$A$2:$A$501,'09_连续性验收'!B267)+COUNTIF('06_建筑锚点'!$A$2:$A$501,'09_连续性验收'!B267)=0),"验收对象不存在；","")&amp;IF(AND('09_连续性验收'!A267&lt;&gt;"",COUNTIF('09_连续性验收'!$A$2:$A$501,'09_连续性验收'!A267)&gt;1),"ID重复；",""),"")</f>
        <v/>
      </c>
      <c r="G3767" s="14">
        <f>IF(F3767&lt;&gt;"","按字段批注、数据字典和来源记录修正后复核","")</f>
        <v/>
      </c>
      <c r="H3767" s="14">
        <f>IF(F3767&lt;&gt;"","待处理","")</f>
        <v/>
      </c>
    </row>
    <row r="3768">
      <c r="A3768" s="14">
        <f>IF(F3768&lt;&gt;"","ISSUE-"&amp;TEXT(ROW()-1,"00000"),"")</f>
        <v/>
      </c>
      <c r="B3768" s="14">
        <f>IF(F3768&lt;&gt;"","错误","")</f>
        <v/>
      </c>
      <c r="C3768" s="14">
        <f>IF('09_连续性验收'!A268&lt;&gt;"","09_连续性验收","")</f>
        <v/>
      </c>
      <c r="D3768" s="14">
        <f>IF('09_连续性验收'!A268&lt;&gt;"",'09_连续性验收'!A268,"")</f>
        <v/>
      </c>
      <c r="E3768" s="14">
        <f>IF(F3768&lt;&gt;"","综合校验","")</f>
        <v/>
      </c>
      <c r="F3768" s="14">
        <f>IF('09_连续性验收'!A268&lt;&gt;"",IF('09_连续性验收'!A268="","缺少验收ID；","")&amp;IF('09_连续性验收'!B268="","缺少对象ID；","")&amp;IF('09_连续性验收'!C268="","缺少检查类型；","")&amp;IF(AND('09_连续性验收'!J268&lt;&gt;"",'09_连续性验收'!K268&lt;&gt;"",'09_连续性验收'!J268&gt;'09_连续性验收'!K268),"坐标偏差超标；","")&amp;IF(AND('09_连续性验收'!B268&lt;&gt;"",COUNTIF('02_固定地理'!$A$2:$A$501,'09_连续性验收'!B268)+COUNTIF('03_地点锚点'!$A$2:$A$501,'09_连续性验收'!B268)+COUNTIF('04_路径网络'!$A$2:$A$501,'09_连续性验收'!B268)+COUNTIF('06_建筑锚点'!$A$2:$A$501,'09_连续性验收'!B268)=0),"验收对象不存在；","")&amp;IF(AND('09_连续性验收'!A268&lt;&gt;"",COUNTIF('09_连续性验收'!$A$2:$A$501,'09_连续性验收'!A268)&gt;1),"ID重复；",""),"")</f>
        <v/>
      </c>
      <c r="G3768" s="14">
        <f>IF(F3768&lt;&gt;"","按字段批注、数据字典和来源记录修正后复核","")</f>
        <v/>
      </c>
      <c r="H3768" s="14">
        <f>IF(F3768&lt;&gt;"","待处理","")</f>
        <v/>
      </c>
    </row>
    <row r="3769">
      <c r="A3769" s="14">
        <f>IF(F3769&lt;&gt;"","ISSUE-"&amp;TEXT(ROW()-1,"00000"),"")</f>
        <v/>
      </c>
      <c r="B3769" s="14">
        <f>IF(F3769&lt;&gt;"","错误","")</f>
        <v/>
      </c>
      <c r="C3769" s="14">
        <f>IF('09_连续性验收'!A269&lt;&gt;"","09_连续性验收","")</f>
        <v/>
      </c>
      <c r="D3769" s="14">
        <f>IF('09_连续性验收'!A269&lt;&gt;"",'09_连续性验收'!A269,"")</f>
        <v/>
      </c>
      <c r="E3769" s="14">
        <f>IF(F3769&lt;&gt;"","综合校验","")</f>
        <v/>
      </c>
      <c r="F3769" s="14">
        <f>IF('09_连续性验收'!A269&lt;&gt;"",IF('09_连续性验收'!A269="","缺少验收ID；","")&amp;IF('09_连续性验收'!B269="","缺少对象ID；","")&amp;IF('09_连续性验收'!C269="","缺少检查类型；","")&amp;IF(AND('09_连续性验收'!J269&lt;&gt;"",'09_连续性验收'!K269&lt;&gt;"",'09_连续性验收'!J269&gt;'09_连续性验收'!K269),"坐标偏差超标；","")&amp;IF(AND('09_连续性验收'!B269&lt;&gt;"",COUNTIF('02_固定地理'!$A$2:$A$501,'09_连续性验收'!B269)+COUNTIF('03_地点锚点'!$A$2:$A$501,'09_连续性验收'!B269)+COUNTIF('04_路径网络'!$A$2:$A$501,'09_连续性验收'!B269)+COUNTIF('06_建筑锚点'!$A$2:$A$501,'09_连续性验收'!B269)=0),"验收对象不存在；","")&amp;IF(AND('09_连续性验收'!A269&lt;&gt;"",COUNTIF('09_连续性验收'!$A$2:$A$501,'09_连续性验收'!A269)&gt;1),"ID重复；",""),"")</f>
        <v/>
      </c>
      <c r="G3769" s="14">
        <f>IF(F3769&lt;&gt;"","按字段批注、数据字典和来源记录修正后复核","")</f>
        <v/>
      </c>
      <c r="H3769" s="14">
        <f>IF(F3769&lt;&gt;"","待处理","")</f>
        <v/>
      </c>
    </row>
    <row r="3770">
      <c r="A3770" s="14">
        <f>IF(F3770&lt;&gt;"","ISSUE-"&amp;TEXT(ROW()-1,"00000"),"")</f>
        <v/>
      </c>
      <c r="B3770" s="14">
        <f>IF(F3770&lt;&gt;"","错误","")</f>
        <v/>
      </c>
      <c r="C3770" s="14">
        <f>IF('09_连续性验收'!A270&lt;&gt;"","09_连续性验收","")</f>
        <v/>
      </c>
      <c r="D3770" s="14">
        <f>IF('09_连续性验收'!A270&lt;&gt;"",'09_连续性验收'!A270,"")</f>
        <v/>
      </c>
      <c r="E3770" s="14">
        <f>IF(F3770&lt;&gt;"","综合校验","")</f>
        <v/>
      </c>
      <c r="F3770" s="14">
        <f>IF('09_连续性验收'!A270&lt;&gt;"",IF('09_连续性验收'!A270="","缺少验收ID；","")&amp;IF('09_连续性验收'!B270="","缺少对象ID；","")&amp;IF('09_连续性验收'!C270="","缺少检查类型；","")&amp;IF(AND('09_连续性验收'!J270&lt;&gt;"",'09_连续性验收'!K270&lt;&gt;"",'09_连续性验收'!J270&gt;'09_连续性验收'!K270),"坐标偏差超标；","")&amp;IF(AND('09_连续性验收'!B270&lt;&gt;"",COUNTIF('02_固定地理'!$A$2:$A$501,'09_连续性验收'!B270)+COUNTIF('03_地点锚点'!$A$2:$A$501,'09_连续性验收'!B270)+COUNTIF('04_路径网络'!$A$2:$A$501,'09_连续性验收'!B270)+COUNTIF('06_建筑锚点'!$A$2:$A$501,'09_连续性验收'!B270)=0),"验收对象不存在；","")&amp;IF(AND('09_连续性验收'!A270&lt;&gt;"",COUNTIF('09_连续性验收'!$A$2:$A$501,'09_连续性验收'!A270)&gt;1),"ID重复；",""),"")</f>
        <v/>
      </c>
      <c r="G3770" s="14">
        <f>IF(F3770&lt;&gt;"","按字段批注、数据字典和来源记录修正后复核","")</f>
        <v/>
      </c>
      <c r="H3770" s="14">
        <f>IF(F3770&lt;&gt;"","待处理","")</f>
        <v/>
      </c>
    </row>
    <row r="3771">
      <c r="A3771" s="14">
        <f>IF(F3771&lt;&gt;"","ISSUE-"&amp;TEXT(ROW()-1,"00000"),"")</f>
        <v/>
      </c>
      <c r="B3771" s="14">
        <f>IF(F3771&lt;&gt;"","错误","")</f>
        <v/>
      </c>
      <c r="C3771" s="14">
        <f>IF('09_连续性验收'!A271&lt;&gt;"","09_连续性验收","")</f>
        <v/>
      </c>
      <c r="D3771" s="14">
        <f>IF('09_连续性验收'!A271&lt;&gt;"",'09_连续性验收'!A271,"")</f>
        <v/>
      </c>
      <c r="E3771" s="14">
        <f>IF(F3771&lt;&gt;"","综合校验","")</f>
        <v/>
      </c>
      <c r="F3771" s="14">
        <f>IF('09_连续性验收'!A271&lt;&gt;"",IF('09_连续性验收'!A271="","缺少验收ID；","")&amp;IF('09_连续性验收'!B271="","缺少对象ID；","")&amp;IF('09_连续性验收'!C271="","缺少检查类型；","")&amp;IF(AND('09_连续性验收'!J271&lt;&gt;"",'09_连续性验收'!K271&lt;&gt;"",'09_连续性验收'!J271&gt;'09_连续性验收'!K271),"坐标偏差超标；","")&amp;IF(AND('09_连续性验收'!B271&lt;&gt;"",COUNTIF('02_固定地理'!$A$2:$A$501,'09_连续性验收'!B271)+COUNTIF('03_地点锚点'!$A$2:$A$501,'09_连续性验收'!B271)+COUNTIF('04_路径网络'!$A$2:$A$501,'09_连续性验收'!B271)+COUNTIF('06_建筑锚点'!$A$2:$A$501,'09_连续性验收'!B271)=0),"验收对象不存在；","")&amp;IF(AND('09_连续性验收'!A271&lt;&gt;"",COUNTIF('09_连续性验收'!$A$2:$A$501,'09_连续性验收'!A271)&gt;1),"ID重复；",""),"")</f>
        <v/>
      </c>
      <c r="G3771" s="14">
        <f>IF(F3771&lt;&gt;"","按字段批注、数据字典和来源记录修正后复核","")</f>
        <v/>
      </c>
      <c r="H3771" s="14">
        <f>IF(F3771&lt;&gt;"","待处理","")</f>
        <v/>
      </c>
    </row>
    <row r="3772">
      <c r="A3772" s="14">
        <f>IF(F3772&lt;&gt;"","ISSUE-"&amp;TEXT(ROW()-1,"00000"),"")</f>
        <v/>
      </c>
      <c r="B3772" s="14">
        <f>IF(F3772&lt;&gt;"","错误","")</f>
        <v/>
      </c>
      <c r="C3772" s="14">
        <f>IF('09_连续性验收'!A272&lt;&gt;"","09_连续性验收","")</f>
        <v/>
      </c>
      <c r="D3772" s="14">
        <f>IF('09_连续性验收'!A272&lt;&gt;"",'09_连续性验收'!A272,"")</f>
        <v/>
      </c>
      <c r="E3772" s="14">
        <f>IF(F3772&lt;&gt;"","综合校验","")</f>
        <v/>
      </c>
      <c r="F3772" s="14">
        <f>IF('09_连续性验收'!A272&lt;&gt;"",IF('09_连续性验收'!A272="","缺少验收ID；","")&amp;IF('09_连续性验收'!B272="","缺少对象ID；","")&amp;IF('09_连续性验收'!C272="","缺少检查类型；","")&amp;IF(AND('09_连续性验收'!J272&lt;&gt;"",'09_连续性验收'!K272&lt;&gt;"",'09_连续性验收'!J272&gt;'09_连续性验收'!K272),"坐标偏差超标；","")&amp;IF(AND('09_连续性验收'!B272&lt;&gt;"",COUNTIF('02_固定地理'!$A$2:$A$501,'09_连续性验收'!B272)+COUNTIF('03_地点锚点'!$A$2:$A$501,'09_连续性验收'!B272)+COUNTIF('04_路径网络'!$A$2:$A$501,'09_连续性验收'!B272)+COUNTIF('06_建筑锚点'!$A$2:$A$501,'09_连续性验收'!B272)=0),"验收对象不存在；","")&amp;IF(AND('09_连续性验收'!A272&lt;&gt;"",COUNTIF('09_连续性验收'!$A$2:$A$501,'09_连续性验收'!A272)&gt;1),"ID重复；",""),"")</f>
        <v/>
      </c>
      <c r="G3772" s="14">
        <f>IF(F3772&lt;&gt;"","按字段批注、数据字典和来源记录修正后复核","")</f>
        <v/>
      </c>
      <c r="H3772" s="14">
        <f>IF(F3772&lt;&gt;"","待处理","")</f>
        <v/>
      </c>
    </row>
    <row r="3773">
      <c r="A3773" s="14">
        <f>IF(F3773&lt;&gt;"","ISSUE-"&amp;TEXT(ROW()-1,"00000"),"")</f>
        <v/>
      </c>
      <c r="B3773" s="14">
        <f>IF(F3773&lt;&gt;"","错误","")</f>
        <v/>
      </c>
      <c r="C3773" s="14">
        <f>IF('09_连续性验收'!A273&lt;&gt;"","09_连续性验收","")</f>
        <v/>
      </c>
      <c r="D3773" s="14">
        <f>IF('09_连续性验收'!A273&lt;&gt;"",'09_连续性验收'!A273,"")</f>
        <v/>
      </c>
      <c r="E3773" s="14">
        <f>IF(F3773&lt;&gt;"","综合校验","")</f>
        <v/>
      </c>
      <c r="F3773" s="14">
        <f>IF('09_连续性验收'!A273&lt;&gt;"",IF('09_连续性验收'!A273="","缺少验收ID；","")&amp;IF('09_连续性验收'!B273="","缺少对象ID；","")&amp;IF('09_连续性验收'!C273="","缺少检查类型；","")&amp;IF(AND('09_连续性验收'!J273&lt;&gt;"",'09_连续性验收'!K273&lt;&gt;"",'09_连续性验收'!J273&gt;'09_连续性验收'!K273),"坐标偏差超标；","")&amp;IF(AND('09_连续性验收'!B273&lt;&gt;"",COUNTIF('02_固定地理'!$A$2:$A$501,'09_连续性验收'!B273)+COUNTIF('03_地点锚点'!$A$2:$A$501,'09_连续性验收'!B273)+COUNTIF('04_路径网络'!$A$2:$A$501,'09_连续性验收'!B273)+COUNTIF('06_建筑锚点'!$A$2:$A$501,'09_连续性验收'!B273)=0),"验收对象不存在；","")&amp;IF(AND('09_连续性验收'!A273&lt;&gt;"",COUNTIF('09_连续性验收'!$A$2:$A$501,'09_连续性验收'!A273)&gt;1),"ID重复；",""),"")</f>
        <v/>
      </c>
      <c r="G3773" s="14">
        <f>IF(F3773&lt;&gt;"","按字段批注、数据字典和来源记录修正后复核","")</f>
        <v/>
      </c>
      <c r="H3773" s="14">
        <f>IF(F3773&lt;&gt;"","待处理","")</f>
        <v/>
      </c>
    </row>
    <row r="3774">
      <c r="A3774" s="14">
        <f>IF(F3774&lt;&gt;"","ISSUE-"&amp;TEXT(ROW()-1,"00000"),"")</f>
        <v/>
      </c>
      <c r="B3774" s="14">
        <f>IF(F3774&lt;&gt;"","错误","")</f>
        <v/>
      </c>
      <c r="C3774" s="14">
        <f>IF('09_连续性验收'!A274&lt;&gt;"","09_连续性验收","")</f>
        <v/>
      </c>
      <c r="D3774" s="14">
        <f>IF('09_连续性验收'!A274&lt;&gt;"",'09_连续性验收'!A274,"")</f>
        <v/>
      </c>
      <c r="E3774" s="14">
        <f>IF(F3774&lt;&gt;"","综合校验","")</f>
        <v/>
      </c>
      <c r="F3774" s="14">
        <f>IF('09_连续性验收'!A274&lt;&gt;"",IF('09_连续性验收'!A274="","缺少验收ID；","")&amp;IF('09_连续性验收'!B274="","缺少对象ID；","")&amp;IF('09_连续性验收'!C274="","缺少检查类型；","")&amp;IF(AND('09_连续性验收'!J274&lt;&gt;"",'09_连续性验收'!K274&lt;&gt;"",'09_连续性验收'!J274&gt;'09_连续性验收'!K274),"坐标偏差超标；","")&amp;IF(AND('09_连续性验收'!B274&lt;&gt;"",COUNTIF('02_固定地理'!$A$2:$A$501,'09_连续性验收'!B274)+COUNTIF('03_地点锚点'!$A$2:$A$501,'09_连续性验收'!B274)+COUNTIF('04_路径网络'!$A$2:$A$501,'09_连续性验收'!B274)+COUNTIF('06_建筑锚点'!$A$2:$A$501,'09_连续性验收'!B274)=0),"验收对象不存在；","")&amp;IF(AND('09_连续性验收'!A274&lt;&gt;"",COUNTIF('09_连续性验收'!$A$2:$A$501,'09_连续性验收'!A274)&gt;1),"ID重复；",""),"")</f>
        <v/>
      </c>
      <c r="G3774" s="14">
        <f>IF(F3774&lt;&gt;"","按字段批注、数据字典和来源记录修正后复核","")</f>
        <v/>
      </c>
      <c r="H3774" s="14">
        <f>IF(F3774&lt;&gt;"","待处理","")</f>
        <v/>
      </c>
    </row>
    <row r="3775">
      <c r="A3775" s="14">
        <f>IF(F3775&lt;&gt;"","ISSUE-"&amp;TEXT(ROW()-1,"00000"),"")</f>
        <v/>
      </c>
      <c r="B3775" s="14">
        <f>IF(F3775&lt;&gt;"","错误","")</f>
        <v/>
      </c>
      <c r="C3775" s="14">
        <f>IF('09_连续性验收'!A275&lt;&gt;"","09_连续性验收","")</f>
        <v/>
      </c>
      <c r="D3775" s="14">
        <f>IF('09_连续性验收'!A275&lt;&gt;"",'09_连续性验收'!A275,"")</f>
        <v/>
      </c>
      <c r="E3775" s="14">
        <f>IF(F3775&lt;&gt;"","综合校验","")</f>
        <v/>
      </c>
      <c r="F3775" s="14">
        <f>IF('09_连续性验收'!A275&lt;&gt;"",IF('09_连续性验收'!A275="","缺少验收ID；","")&amp;IF('09_连续性验收'!B275="","缺少对象ID；","")&amp;IF('09_连续性验收'!C275="","缺少检查类型；","")&amp;IF(AND('09_连续性验收'!J275&lt;&gt;"",'09_连续性验收'!K275&lt;&gt;"",'09_连续性验收'!J275&gt;'09_连续性验收'!K275),"坐标偏差超标；","")&amp;IF(AND('09_连续性验收'!B275&lt;&gt;"",COUNTIF('02_固定地理'!$A$2:$A$501,'09_连续性验收'!B275)+COUNTIF('03_地点锚点'!$A$2:$A$501,'09_连续性验收'!B275)+COUNTIF('04_路径网络'!$A$2:$A$501,'09_连续性验收'!B275)+COUNTIF('06_建筑锚点'!$A$2:$A$501,'09_连续性验收'!B275)=0),"验收对象不存在；","")&amp;IF(AND('09_连续性验收'!A275&lt;&gt;"",COUNTIF('09_连续性验收'!$A$2:$A$501,'09_连续性验收'!A275)&gt;1),"ID重复；",""),"")</f>
        <v/>
      </c>
      <c r="G3775" s="14">
        <f>IF(F3775&lt;&gt;"","按字段批注、数据字典和来源记录修正后复核","")</f>
        <v/>
      </c>
      <c r="H3775" s="14">
        <f>IF(F3775&lt;&gt;"","待处理","")</f>
        <v/>
      </c>
    </row>
    <row r="3776">
      <c r="A3776" s="14">
        <f>IF(F3776&lt;&gt;"","ISSUE-"&amp;TEXT(ROW()-1,"00000"),"")</f>
        <v/>
      </c>
      <c r="B3776" s="14">
        <f>IF(F3776&lt;&gt;"","错误","")</f>
        <v/>
      </c>
      <c r="C3776" s="14">
        <f>IF('09_连续性验收'!A276&lt;&gt;"","09_连续性验收","")</f>
        <v/>
      </c>
      <c r="D3776" s="14">
        <f>IF('09_连续性验收'!A276&lt;&gt;"",'09_连续性验收'!A276,"")</f>
        <v/>
      </c>
      <c r="E3776" s="14">
        <f>IF(F3776&lt;&gt;"","综合校验","")</f>
        <v/>
      </c>
      <c r="F3776" s="14">
        <f>IF('09_连续性验收'!A276&lt;&gt;"",IF('09_连续性验收'!A276="","缺少验收ID；","")&amp;IF('09_连续性验收'!B276="","缺少对象ID；","")&amp;IF('09_连续性验收'!C276="","缺少检查类型；","")&amp;IF(AND('09_连续性验收'!J276&lt;&gt;"",'09_连续性验收'!K276&lt;&gt;"",'09_连续性验收'!J276&gt;'09_连续性验收'!K276),"坐标偏差超标；","")&amp;IF(AND('09_连续性验收'!B276&lt;&gt;"",COUNTIF('02_固定地理'!$A$2:$A$501,'09_连续性验收'!B276)+COUNTIF('03_地点锚点'!$A$2:$A$501,'09_连续性验收'!B276)+COUNTIF('04_路径网络'!$A$2:$A$501,'09_连续性验收'!B276)+COUNTIF('06_建筑锚点'!$A$2:$A$501,'09_连续性验收'!B276)=0),"验收对象不存在；","")&amp;IF(AND('09_连续性验收'!A276&lt;&gt;"",COUNTIF('09_连续性验收'!$A$2:$A$501,'09_连续性验收'!A276)&gt;1),"ID重复；",""),"")</f>
        <v/>
      </c>
      <c r="G3776" s="14">
        <f>IF(F3776&lt;&gt;"","按字段批注、数据字典和来源记录修正后复核","")</f>
        <v/>
      </c>
      <c r="H3776" s="14">
        <f>IF(F3776&lt;&gt;"","待处理","")</f>
        <v/>
      </c>
    </row>
    <row r="3777">
      <c r="A3777" s="14">
        <f>IF(F3777&lt;&gt;"","ISSUE-"&amp;TEXT(ROW()-1,"00000"),"")</f>
        <v/>
      </c>
      <c r="B3777" s="14">
        <f>IF(F3777&lt;&gt;"","错误","")</f>
        <v/>
      </c>
      <c r="C3777" s="14">
        <f>IF('09_连续性验收'!A277&lt;&gt;"","09_连续性验收","")</f>
        <v/>
      </c>
      <c r="D3777" s="14">
        <f>IF('09_连续性验收'!A277&lt;&gt;"",'09_连续性验收'!A277,"")</f>
        <v/>
      </c>
      <c r="E3777" s="14">
        <f>IF(F3777&lt;&gt;"","综合校验","")</f>
        <v/>
      </c>
      <c r="F3777" s="14">
        <f>IF('09_连续性验收'!A277&lt;&gt;"",IF('09_连续性验收'!A277="","缺少验收ID；","")&amp;IF('09_连续性验收'!B277="","缺少对象ID；","")&amp;IF('09_连续性验收'!C277="","缺少检查类型；","")&amp;IF(AND('09_连续性验收'!J277&lt;&gt;"",'09_连续性验收'!K277&lt;&gt;"",'09_连续性验收'!J277&gt;'09_连续性验收'!K277),"坐标偏差超标；","")&amp;IF(AND('09_连续性验收'!B277&lt;&gt;"",COUNTIF('02_固定地理'!$A$2:$A$501,'09_连续性验收'!B277)+COUNTIF('03_地点锚点'!$A$2:$A$501,'09_连续性验收'!B277)+COUNTIF('04_路径网络'!$A$2:$A$501,'09_连续性验收'!B277)+COUNTIF('06_建筑锚点'!$A$2:$A$501,'09_连续性验收'!B277)=0),"验收对象不存在；","")&amp;IF(AND('09_连续性验收'!A277&lt;&gt;"",COUNTIF('09_连续性验收'!$A$2:$A$501,'09_连续性验收'!A277)&gt;1),"ID重复；",""),"")</f>
        <v/>
      </c>
      <c r="G3777" s="14">
        <f>IF(F3777&lt;&gt;"","按字段批注、数据字典和来源记录修正后复核","")</f>
        <v/>
      </c>
      <c r="H3777" s="14">
        <f>IF(F3777&lt;&gt;"","待处理","")</f>
        <v/>
      </c>
    </row>
    <row r="3778">
      <c r="A3778" s="14">
        <f>IF(F3778&lt;&gt;"","ISSUE-"&amp;TEXT(ROW()-1,"00000"),"")</f>
        <v/>
      </c>
      <c r="B3778" s="14">
        <f>IF(F3778&lt;&gt;"","错误","")</f>
        <v/>
      </c>
      <c r="C3778" s="14">
        <f>IF('09_连续性验收'!A278&lt;&gt;"","09_连续性验收","")</f>
        <v/>
      </c>
      <c r="D3778" s="14">
        <f>IF('09_连续性验收'!A278&lt;&gt;"",'09_连续性验收'!A278,"")</f>
        <v/>
      </c>
      <c r="E3778" s="14">
        <f>IF(F3778&lt;&gt;"","综合校验","")</f>
        <v/>
      </c>
      <c r="F3778" s="14">
        <f>IF('09_连续性验收'!A278&lt;&gt;"",IF('09_连续性验收'!A278="","缺少验收ID；","")&amp;IF('09_连续性验收'!B278="","缺少对象ID；","")&amp;IF('09_连续性验收'!C278="","缺少检查类型；","")&amp;IF(AND('09_连续性验收'!J278&lt;&gt;"",'09_连续性验收'!K278&lt;&gt;"",'09_连续性验收'!J278&gt;'09_连续性验收'!K278),"坐标偏差超标；","")&amp;IF(AND('09_连续性验收'!B278&lt;&gt;"",COUNTIF('02_固定地理'!$A$2:$A$501,'09_连续性验收'!B278)+COUNTIF('03_地点锚点'!$A$2:$A$501,'09_连续性验收'!B278)+COUNTIF('04_路径网络'!$A$2:$A$501,'09_连续性验收'!B278)+COUNTIF('06_建筑锚点'!$A$2:$A$501,'09_连续性验收'!B278)=0),"验收对象不存在；","")&amp;IF(AND('09_连续性验收'!A278&lt;&gt;"",COUNTIF('09_连续性验收'!$A$2:$A$501,'09_连续性验收'!A278)&gt;1),"ID重复；",""),"")</f>
        <v/>
      </c>
      <c r="G3778" s="14">
        <f>IF(F3778&lt;&gt;"","按字段批注、数据字典和来源记录修正后复核","")</f>
        <v/>
      </c>
      <c r="H3778" s="14">
        <f>IF(F3778&lt;&gt;"","待处理","")</f>
        <v/>
      </c>
    </row>
    <row r="3779">
      <c r="A3779" s="14">
        <f>IF(F3779&lt;&gt;"","ISSUE-"&amp;TEXT(ROW()-1,"00000"),"")</f>
        <v/>
      </c>
      <c r="B3779" s="14">
        <f>IF(F3779&lt;&gt;"","错误","")</f>
        <v/>
      </c>
      <c r="C3779" s="14">
        <f>IF('09_连续性验收'!A279&lt;&gt;"","09_连续性验收","")</f>
        <v/>
      </c>
      <c r="D3779" s="14">
        <f>IF('09_连续性验收'!A279&lt;&gt;"",'09_连续性验收'!A279,"")</f>
        <v/>
      </c>
      <c r="E3779" s="14">
        <f>IF(F3779&lt;&gt;"","综合校验","")</f>
        <v/>
      </c>
      <c r="F3779" s="14">
        <f>IF('09_连续性验收'!A279&lt;&gt;"",IF('09_连续性验收'!A279="","缺少验收ID；","")&amp;IF('09_连续性验收'!B279="","缺少对象ID；","")&amp;IF('09_连续性验收'!C279="","缺少检查类型；","")&amp;IF(AND('09_连续性验收'!J279&lt;&gt;"",'09_连续性验收'!K279&lt;&gt;"",'09_连续性验收'!J279&gt;'09_连续性验收'!K279),"坐标偏差超标；","")&amp;IF(AND('09_连续性验收'!B279&lt;&gt;"",COUNTIF('02_固定地理'!$A$2:$A$501,'09_连续性验收'!B279)+COUNTIF('03_地点锚点'!$A$2:$A$501,'09_连续性验收'!B279)+COUNTIF('04_路径网络'!$A$2:$A$501,'09_连续性验收'!B279)+COUNTIF('06_建筑锚点'!$A$2:$A$501,'09_连续性验收'!B279)=0),"验收对象不存在；","")&amp;IF(AND('09_连续性验收'!A279&lt;&gt;"",COUNTIF('09_连续性验收'!$A$2:$A$501,'09_连续性验收'!A279)&gt;1),"ID重复；",""),"")</f>
        <v/>
      </c>
      <c r="G3779" s="14">
        <f>IF(F3779&lt;&gt;"","按字段批注、数据字典和来源记录修正后复核","")</f>
        <v/>
      </c>
      <c r="H3779" s="14">
        <f>IF(F3779&lt;&gt;"","待处理","")</f>
        <v/>
      </c>
    </row>
    <row r="3780">
      <c r="A3780" s="14">
        <f>IF(F3780&lt;&gt;"","ISSUE-"&amp;TEXT(ROW()-1,"00000"),"")</f>
        <v/>
      </c>
      <c r="B3780" s="14">
        <f>IF(F3780&lt;&gt;"","错误","")</f>
        <v/>
      </c>
      <c r="C3780" s="14">
        <f>IF('09_连续性验收'!A280&lt;&gt;"","09_连续性验收","")</f>
        <v/>
      </c>
      <c r="D3780" s="14">
        <f>IF('09_连续性验收'!A280&lt;&gt;"",'09_连续性验收'!A280,"")</f>
        <v/>
      </c>
      <c r="E3780" s="14">
        <f>IF(F3780&lt;&gt;"","综合校验","")</f>
        <v/>
      </c>
      <c r="F3780" s="14">
        <f>IF('09_连续性验收'!A280&lt;&gt;"",IF('09_连续性验收'!A280="","缺少验收ID；","")&amp;IF('09_连续性验收'!B280="","缺少对象ID；","")&amp;IF('09_连续性验收'!C280="","缺少检查类型；","")&amp;IF(AND('09_连续性验收'!J280&lt;&gt;"",'09_连续性验收'!K280&lt;&gt;"",'09_连续性验收'!J280&gt;'09_连续性验收'!K280),"坐标偏差超标；","")&amp;IF(AND('09_连续性验收'!B280&lt;&gt;"",COUNTIF('02_固定地理'!$A$2:$A$501,'09_连续性验收'!B280)+COUNTIF('03_地点锚点'!$A$2:$A$501,'09_连续性验收'!B280)+COUNTIF('04_路径网络'!$A$2:$A$501,'09_连续性验收'!B280)+COUNTIF('06_建筑锚点'!$A$2:$A$501,'09_连续性验收'!B280)=0),"验收对象不存在；","")&amp;IF(AND('09_连续性验收'!A280&lt;&gt;"",COUNTIF('09_连续性验收'!$A$2:$A$501,'09_连续性验收'!A280)&gt;1),"ID重复；",""),"")</f>
        <v/>
      </c>
      <c r="G3780" s="14">
        <f>IF(F3780&lt;&gt;"","按字段批注、数据字典和来源记录修正后复核","")</f>
        <v/>
      </c>
      <c r="H3780" s="14">
        <f>IF(F3780&lt;&gt;"","待处理","")</f>
        <v/>
      </c>
    </row>
    <row r="3781">
      <c r="A3781" s="14">
        <f>IF(F3781&lt;&gt;"","ISSUE-"&amp;TEXT(ROW()-1,"00000"),"")</f>
        <v/>
      </c>
      <c r="B3781" s="14">
        <f>IF(F3781&lt;&gt;"","错误","")</f>
        <v/>
      </c>
      <c r="C3781" s="14">
        <f>IF('09_连续性验收'!A281&lt;&gt;"","09_连续性验收","")</f>
        <v/>
      </c>
      <c r="D3781" s="14">
        <f>IF('09_连续性验收'!A281&lt;&gt;"",'09_连续性验收'!A281,"")</f>
        <v/>
      </c>
      <c r="E3781" s="14">
        <f>IF(F3781&lt;&gt;"","综合校验","")</f>
        <v/>
      </c>
      <c r="F3781" s="14">
        <f>IF('09_连续性验收'!A281&lt;&gt;"",IF('09_连续性验收'!A281="","缺少验收ID；","")&amp;IF('09_连续性验收'!B281="","缺少对象ID；","")&amp;IF('09_连续性验收'!C281="","缺少检查类型；","")&amp;IF(AND('09_连续性验收'!J281&lt;&gt;"",'09_连续性验收'!K281&lt;&gt;"",'09_连续性验收'!J281&gt;'09_连续性验收'!K281),"坐标偏差超标；","")&amp;IF(AND('09_连续性验收'!B281&lt;&gt;"",COUNTIF('02_固定地理'!$A$2:$A$501,'09_连续性验收'!B281)+COUNTIF('03_地点锚点'!$A$2:$A$501,'09_连续性验收'!B281)+COUNTIF('04_路径网络'!$A$2:$A$501,'09_连续性验收'!B281)+COUNTIF('06_建筑锚点'!$A$2:$A$501,'09_连续性验收'!B281)=0),"验收对象不存在；","")&amp;IF(AND('09_连续性验收'!A281&lt;&gt;"",COUNTIF('09_连续性验收'!$A$2:$A$501,'09_连续性验收'!A281)&gt;1),"ID重复；",""),"")</f>
        <v/>
      </c>
      <c r="G3781" s="14">
        <f>IF(F3781&lt;&gt;"","按字段批注、数据字典和来源记录修正后复核","")</f>
        <v/>
      </c>
      <c r="H3781" s="14">
        <f>IF(F3781&lt;&gt;"","待处理","")</f>
        <v/>
      </c>
    </row>
    <row r="3782">
      <c r="A3782" s="14">
        <f>IF(F3782&lt;&gt;"","ISSUE-"&amp;TEXT(ROW()-1,"00000"),"")</f>
        <v/>
      </c>
      <c r="B3782" s="14">
        <f>IF(F3782&lt;&gt;"","错误","")</f>
        <v/>
      </c>
      <c r="C3782" s="14">
        <f>IF('09_连续性验收'!A282&lt;&gt;"","09_连续性验收","")</f>
        <v/>
      </c>
      <c r="D3782" s="14">
        <f>IF('09_连续性验收'!A282&lt;&gt;"",'09_连续性验收'!A282,"")</f>
        <v/>
      </c>
      <c r="E3782" s="14">
        <f>IF(F3782&lt;&gt;"","综合校验","")</f>
        <v/>
      </c>
      <c r="F3782" s="14">
        <f>IF('09_连续性验收'!A282&lt;&gt;"",IF('09_连续性验收'!A282="","缺少验收ID；","")&amp;IF('09_连续性验收'!B282="","缺少对象ID；","")&amp;IF('09_连续性验收'!C282="","缺少检查类型；","")&amp;IF(AND('09_连续性验收'!J282&lt;&gt;"",'09_连续性验收'!K282&lt;&gt;"",'09_连续性验收'!J282&gt;'09_连续性验收'!K282),"坐标偏差超标；","")&amp;IF(AND('09_连续性验收'!B282&lt;&gt;"",COUNTIF('02_固定地理'!$A$2:$A$501,'09_连续性验收'!B282)+COUNTIF('03_地点锚点'!$A$2:$A$501,'09_连续性验收'!B282)+COUNTIF('04_路径网络'!$A$2:$A$501,'09_连续性验收'!B282)+COUNTIF('06_建筑锚点'!$A$2:$A$501,'09_连续性验收'!B282)=0),"验收对象不存在；","")&amp;IF(AND('09_连续性验收'!A282&lt;&gt;"",COUNTIF('09_连续性验收'!$A$2:$A$501,'09_连续性验收'!A282)&gt;1),"ID重复；",""),"")</f>
        <v/>
      </c>
      <c r="G3782" s="14">
        <f>IF(F3782&lt;&gt;"","按字段批注、数据字典和来源记录修正后复核","")</f>
        <v/>
      </c>
      <c r="H3782" s="14">
        <f>IF(F3782&lt;&gt;"","待处理","")</f>
        <v/>
      </c>
    </row>
    <row r="3783">
      <c r="A3783" s="14">
        <f>IF(F3783&lt;&gt;"","ISSUE-"&amp;TEXT(ROW()-1,"00000"),"")</f>
        <v/>
      </c>
      <c r="B3783" s="14">
        <f>IF(F3783&lt;&gt;"","错误","")</f>
        <v/>
      </c>
      <c r="C3783" s="14">
        <f>IF('09_连续性验收'!A283&lt;&gt;"","09_连续性验收","")</f>
        <v/>
      </c>
      <c r="D3783" s="14">
        <f>IF('09_连续性验收'!A283&lt;&gt;"",'09_连续性验收'!A283,"")</f>
        <v/>
      </c>
      <c r="E3783" s="14">
        <f>IF(F3783&lt;&gt;"","综合校验","")</f>
        <v/>
      </c>
      <c r="F3783" s="14">
        <f>IF('09_连续性验收'!A283&lt;&gt;"",IF('09_连续性验收'!A283="","缺少验收ID；","")&amp;IF('09_连续性验收'!B283="","缺少对象ID；","")&amp;IF('09_连续性验收'!C283="","缺少检查类型；","")&amp;IF(AND('09_连续性验收'!J283&lt;&gt;"",'09_连续性验收'!K283&lt;&gt;"",'09_连续性验收'!J283&gt;'09_连续性验收'!K283),"坐标偏差超标；","")&amp;IF(AND('09_连续性验收'!B283&lt;&gt;"",COUNTIF('02_固定地理'!$A$2:$A$501,'09_连续性验收'!B283)+COUNTIF('03_地点锚点'!$A$2:$A$501,'09_连续性验收'!B283)+COUNTIF('04_路径网络'!$A$2:$A$501,'09_连续性验收'!B283)+COUNTIF('06_建筑锚点'!$A$2:$A$501,'09_连续性验收'!B283)=0),"验收对象不存在；","")&amp;IF(AND('09_连续性验收'!A283&lt;&gt;"",COUNTIF('09_连续性验收'!$A$2:$A$501,'09_连续性验收'!A283)&gt;1),"ID重复；",""),"")</f>
        <v/>
      </c>
      <c r="G3783" s="14">
        <f>IF(F3783&lt;&gt;"","按字段批注、数据字典和来源记录修正后复核","")</f>
        <v/>
      </c>
      <c r="H3783" s="14">
        <f>IF(F3783&lt;&gt;"","待处理","")</f>
        <v/>
      </c>
    </row>
    <row r="3784">
      <c r="A3784" s="14">
        <f>IF(F3784&lt;&gt;"","ISSUE-"&amp;TEXT(ROW()-1,"00000"),"")</f>
        <v/>
      </c>
      <c r="B3784" s="14">
        <f>IF(F3784&lt;&gt;"","错误","")</f>
        <v/>
      </c>
      <c r="C3784" s="14">
        <f>IF('09_连续性验收'!A284&lt;&gt;"","09_连续性验收","")</f>
        <v/>
      </c>
      <c r="D3784" s="14">
        <f>IF('09_连续性验收'!A284&lt;&gt;"",'09_连续性验收'!A284,"")</f>
        <v/>
      </c>
      <c r="E3784" s="14">
        <f>IF(F3784&lt;&gt;"","综合校验","")</f>
        <v/>
      </c>
      <c r="F3784" s="14">
        <f>IF('09_连续性验收'!A284&lt;&gt;"",IF('09_连续性验收'!A284="","缺少验收ID；","")&amp;IF('09_连续性验收'!B284="","缺少对象ID；","")&amp;IF('09_连续性验收'!C284="","缺少检查类型；","")&amp;IF(AND('09_连续性验收'!J284&lt;&gt;"",'09_连续性验收'!K284&lt;&gt;"",'09_连续性验收'!J284&gt;'09_连续性验收'!K284),"坐标偏差超标；","")&amp;IF(AND('09_连续性验收'!B284&lt;&gt;"",COUNTIF('02_固定地理'!$A$2:$A$501,'09_连续性验收'!B284)+COUNTIF('03_地点锚点'!$A$2:$A$501,'09_连续性验收'!B284)+COUNTIF('04_路径网络'!$A$2:$A$501,'09_连续性验收'!B284)+COUNTIF('06_建筑锚点'!$A$2:$A$501,'09_连续性验收'!B284)=0),"验收对象不存在；","")&amp;IF(AND('09_连续性验收'!A284&lt;&gt;"",COUNTIF('09_连续性验收'!$A$2:$A$501,'09_连续性验收'!A284)&gt;1),"ID重复；",""),"")</f>
        <v/>
      </c>
      <c r="G3784" s="14">
        <f>IF(F3784&lt;&gt;"","按字段批注、数据字典和来源记录修正后复核","")</f>
        <v/>
      </c>
      <c r="H3784" s="14">
        <f>IF(F3784&lt;&gt;"","待处理","")</f>
        <v/>
      </c>
    </row>
    <row r="3785">
      <c r="A3785" s="14">
        <f>IF(F3785&lt;&gt;"","ISSUE-"&amp;TEXT(ROW()-1,"00000"),"")</f>
        <v/>
      </c>
      <c r="B3785" s="14">
        <f>IF(F3785&lt;&gt;"","错误","")</f>
        <v/>
      </c>
      <c r="C3785" s="14">
        <f>IF('09_连续性验收'!A285&lt;&gt;"","09_连续性验收","")</f>
        <v/>
      </c>
      <c r="D3785" s="14">
        <f>IF('09_连续性验收'!A285&lt;&gt;"",'09_连续性验收'!A285,"")</f>
        <v/>
      </c>
      <c r="E3785" s="14">
        <f>IF(F3785&lt;&gt;"","综合校验","")</f>
        <v/>
      </c>
      <c r="F3785" s="14">
        <f>IF('09_连续性验收'!A285&lt;&gt;"",IF('09_连续性验收'!A285="","缺少验收ID；","")&amp;IF('09_连续性验收'!B285="","缺少对象ID；","")&amp;IF('09_连续性验收'!C285="","缺少检查类型；","")&amp;IF(AND('09_连续性验收'!J285&lt;&gt;"",'09_连续性验收'!K285&lt;&gt;"",'09_连续性验收'!J285&gt;'09_连续性验收'!K285),"坐标偏差超标；","")&amp;IF(AND('09_连续性验收'!B285&lt;&gt;"",COUNTIF('02_固定地理'!$A$2:$A$501,'09_连续性验收'!B285)+COUNTIF('03_地点锚点'!$A$2:$A$501,'09_连续性验收'!B285)+COUNTIF('04_路径网络'!$A$2:$A$501,'09_连续性验收'!B285)+COUNTIF('06_建筑锚点'!$A$2:$A$501,'09_连续性验收'!B285)=0),"验收对象不存在；","")&amp;IF(AND('09_连续性验收'!A285&lt;&gt;"",COUNTIF('09_连续性验收'!$A$2:$A$501,'09_连续性验收'!A285)&gt;1),"ID重复；",""),"")</f>
        <v/>
      </c>
      <c r="G3785" s="14">
        <f>IF(F3785&lt;&gt;"","按字段批注、数据字典和来源记录修正后复核","")</f>
        <v/>
      </c>
      <c r="H3785" s="14">
        <f>IF(F3785&lt;&gt;"","待处理","")</f>
        <v/>
      </c>
    </row>
    <row r="3786">
      <c r="A3786" s="14">
        <f>IF(F3786&lt;&gt;"","ISSUE-"&amp;TEXT(ROW()-1,"00000"),"")</f>
        <v/>
      </c>
      <c r="B3786" s="14">
        <f>IF(F3786&lt;&gt;"","错误","")</f>
        <v/>
      </c>
      <c r="C3786" s="14">
        <f>IF('09_连续性验收'!A286&lt;&gt;"","09_连续性验收","")</f>
        <v/>
      </c>
      <c r="D3786" s="14">
        <f>IF('09_连续性验收'!A286&lt;&gt;"",'09_连续性验收'!A286,"")</f>
        <v/>
      </c>
      <c r="E3786" s="14">
        <f>IF(F3786&lt;&gt;"","综合校验","")</f>
        <v/>
      </c>
      <c r="F3786" s="14">
        <f>IF('09_连续性验收'!A286&lt;&gt;"",IF('09_连续性验收'!A286="","缺少验收ID；","")&amp;IF('09_连续性验收'!B286="","缺少对象ID；","")&amp;IF('09_连续性验收'!C286="","缺少检查类型；","")&amp;IF(AND('09_连续性验收'!J286&lt;&gt;"",'09_连续性验收'!K286&lt;&gt;"",'09_连续性验收'!J286&gt;'09_连续性验收'!K286),"坐标偏差超标；","")&amp;IF(AND('09_连续性验收'!B286&lt;&gt;"",COUNTIF('02_固定地理'!$A$2:$A$501,'09_连续性验收'!B286)+COUNTIF('03_地点锚点'!$A$2:$A$501,'09_连续性验收'!B286)+COUNTIF('04_路径网络'!$A$2:$A$501,'09_连续性验收'!B286)+COUNTIF('06_建筑锚点'!$A$2:$A$501,'09_连续性验收'!B286)=0),"验收对象不存在；","")&amp;IF(AND('09_连续性验收'!A286&lt;&gt;"",COUNTIF('09_连续性验收'!$A$2:$A$501,'09_连续性验收'!A286)&gt;1),"ID重复；",""),"")</f>
        <v/>
      </c>
      <c r="G3786" s="14">
        <f>IF(F3786&lt;&gt;"","按字段批注、数据字典和来源记录修正后复核","")</f>
        <v/>
      </c>
      <c r="H3786" s="14">
        <f>IF(F3786&lt;&gt;"","待处理","")</f>
        <v/>
      </c>
    </row>
    <row r="3787">
      <c r="A3787" s="14">
        <f>IF(F3787&lt;&gt;"","ISSUE-"&amp;TEXT(ROW()-1,"00000"),"")</f>
        <v/>
      </c>
      <c r="B3787" s="14">
        <f>IF(F3787&lt;&gt;"","错误","")</f>
        <v/>
      </c>
      <c r="C3787" s="14">
        <f>IF('09_连续性验收'!A287&lt;&gt;"","09_连续性验收","")</f>
        <v/>
      </c>
      <c r="D3787" s="14">
        <f>IF('09_连续性验收'!A287&lt;&gt;"",'09_连续性验收'!A287,"")</f>
        <v/>
      </c>
      <c r="E3787" s="14">
        <f>IF(F3787&lt;&gt;"","综合校验","")</f>
        <v/>
      </c>
      <c r="F3787" s="14">
        <f>IF('09_连续性验收'!A287&lt;&gt;"",IF('09_连续性验收'!A287="","缺少验收ID；","")&amp;IF('09_连续性验收'!B287="","缺少对象ID；","")&amp;IF('09_连续性验收'!C287="","缺少检查类型；","")&amp;IF(AND('09_连续性验收'!J287&lt;&gt;"",'09_连续性验收'!K287&lt;&gt;"",'09_连续性验收'!J287&gt;'09_连续性验收'!K287),"坐标偏差超标；","")&amp;IF(AND('09_连续性验收'!B287&lt;&gt;"",COUNTIF('02_固定地理'!$A$2:$A$501,'09_连续性验收'!B287)+COUNTIF('03_地点锚点'!$A$2:$A$501,'09_连续性验收'!B287)+COUNTIF('04_路径网络'!$A$2:$A$501,'09_连续性验收'!B287)+COUNTIF('06_建筑锚点'!$A$2:$A$501,'09_连续性验收'!B287)=0),"验收对象不存在；","")&amp;IF(AND('09_连续性验收'!A287&lt;&gt;"",COUNTIF('09_连续性验收'!$A$2:$A$501,'09_连续性验收'!A287)&gt;1),"ID重复；",""),"")</f>
        <v/>
      </c>
      <c r="G3787" s="14">
        <f>IF(F3787&lt;&gt;"","按字段批注、数据字典和来源记录修正后复核","")</f>
        <v/>
      </c>
      <c r="H3787" s="14">
        <f>IF(F3787&lt;&gt;"","待处理","")</f>
        <v/>
      </c>
    </row>
    <row r="3788">
      <c r="A3788" s="14">
        <f>IF(F3788&lt;&gt;"","ISSUE-"&amp;TEXT(ROW()-1,"00000"),"")</f>
        <v/>
      </c>
      <c r="B3788" s="14">
        <f>IF(F3788&lt;&gt;"","错误","")</f>
        <v/>
      </c>
      <c r="C3788" s="14">
        <f>IF('09_连续性验收'!A288&lt;&gt;"","09_连续性验收","")</f>
        <v/>
      </c>
      <c r="D3788" s="14">
        <f>IF('09_连续性验收'!A288&lt;&gt;"",'09_连续性验收'!A288,"")</f>
        <v/>
      </c>
      <c r="E3788" s="14">
        <f>IF(F3788&lt;&gt;"","综合校验","")</f>
        <v/>
      </c>
      <c r="F3788" s="14">
        <f>IF('09_连续性验收'!A288&lt;&gt;"",IF('09_连续性验收'!A288="","缺少验收ID；","")&amp;IF('09_连续性验收'!B288="","缺少对象ID；","")&amp;IF('09_连续性验收'!C288="","缺少检查类型；","")&amp;IF(AND('09_连续性验收'!J288&lt;&gt;"",'09_连续性验收'!K288&lt;&gt;"",'09_连续性验收'!J288&gt;'09_连续性验收'!K288),"坐标偏差超标；","")&amp;IF(AND('09_连续性验收'!B288&lt;&gt;"",COUNTIF('02_固定地理'!$A$2:$A$501,'09_连续性验收'!B288)+COUNTIF('03_地点锚点'!$A$2:$A$501,'09_连续性验收'!B288)+COUNTIF('04_路径网络'!$A$2:$A$501,'09_连续性验收'!B288)+COUNTIF('06_建筑锚点'!$A$2:$A$501,'09_连续性验收'!B288)=0),"验收对象不存在；","")&amp;IF(AND('09_连续性验收'!A288&lt;&gt;"",COUNTIF('09_连续性验收'!$A$2:$A$501,'09_连续性验收'!A288)&gt;1),"ID重复；",""),"")</f>
        <v/>
      </c>
      <c r="G3788" s="14">
        <f>IF(F3788&lt;&gt;"","按字段批注、数据字典和来源记录修正后复核","")</f>
        <v/>
      </c>
      <c r="H3788" s="14">
        <f>IF(F3788&lt;&gt;"","待处理","")</f>
        <v/>
      </c>
    </row>
    <row r="3789">
      <c r="A3789" s="14">
        <f>IF(F3789&lt;&gt;"","ISSUE-"&amp;TEXT(ROW()-1,"00000"),"")</f>
        <v/>
      </c>
      <c r="B3789" s="14">
        <f>IF(F3789&lt;&gt;"","错误","")</f>
        <v/>
      </c>
      <c r="C3789" s="14">
        <f>IF('09_连续性验收'!A289&lt;&gt;"","09_连续性验收","")</f>
        <v/>
      </c>
      <c r="D3789" s="14">
        <f>IF('09_连续性验收'!A289&lt;&gt;"",'09_连续性验收'!A289,"")</f>
        <v/>
      </c>
      <c r="E3789" s="14">
        <f>IF(F3789&lt;&gt;"","综合校验","")</f>
        <v/>
      </c>
      <c r="F3789" s="14">
        <f>IF('09_连续性验收'!A289&lt;&gt;"",IF('09_连续性验收'!A289="","缺少验收ID；","")&amp;IF('09_连续性验收'!B289="","缺少对象ID；","")&amp;IF('09_连续性验收'!C289="","缺少检查类型；","")&amp;IF(AND('09_连续性验收'!J289&lt;&gt;"",'09_连续性验收'!K289&lt;&gt;"",'09_连续性验收'!J289&gt;'09_连续性验收'!K289),"坐标偏差超标；","")&amp;IF(AND('09_连续性验收'!B289&lt;&gt;"",COUNTIF('02_固定地理'!$A$2:$A$501,'09_连续性验收'!B289)+COUNTIF('03_地点锚点'!$A$2:$A$501,'09_连续性验收'!B289)+COUNTIF('04_路径网络'!$A$2:$A$501,'09_连续性验收'!B289)+COUNTIF('06_建筑锚点'!$A$2:$A$501,'09_连续性验收'!B289)=0),"验收对象不存在；","")&amp;IF(AND('09_连续性验收'!A289&lt;&gt;"",COUNTIF('09_连续性验收'!$A$2:$A$501,'09_连续性验收'!A289)&gt;1),"ID重复；",""),"")</f>
        <v/>
      </c>
      <c r="G3789" s="14">
        <f>IF(F3789&lt;&gt;"","按字段批注、数据字典和来源记录修正后复核","")</f>
        <v/>
      </c>
      <c r="H3789" s="14">
        <f>IF(F3789&lt;&gt;"","待处理","")</f>
        <v/>
      </c>
    </row>
    <row r="3790">
      <c r="A3790" s="14">
        <f>IF(F3790&lt;&gt;"","ISSUE-"&amp;TEXT(ROW()-1,"00000"),"")</f>
        <v/>
      </c>
      <c r="B3790" s="14">
        <f>IF(F3790&lt;&gt;"","错误","")</f>
        <v/>
      </c>
      <c r="C3790" s="14">
        <f>IF('09_连续性验收'!A290&lt;&gt;"","09_连续性验收","")</f>
        <v/>
      </c>
      <c r="D3790" s="14">
        <f>IF('09_连续性验收'!A290&lt;&gt;"",'09_连续性验收'!A290,"")</f>
        <v/>
      </c>
      <c r="E3790" s="14">
        <f>IF(F3790&lt;&gt;"","综合校验","")</f>
        <v/>
      </c>
      <c r="F3790" s="14">
        <f>IF('09_连续性验收'!A290&lt;&gt;"",IF('09_连续性验收'!A290="","缺少验收ID；","")&amp;IF('09_连续性验收'!B290="","缺少对象ID；","")&amp;IF('09_连续性验收'!C290="","缺少检查类型；","")&amp;IF(AND('09_连续性验收'!J290&lt;&gt;"",'09_连续性验收'!K290&lt;&gt;"",'09_连续性验收'!J290&gt;'09_连续性验收'!K290),"坐标偏差超标；","")&amp;IF(AND('09_连续性验收'!B290&lt;&gt;"",COUNTIF('02_固定地理'!$A$2:$A$501,'09_连续性验收'!B290)+COUNTIF('03_地点锚点'!$A$2:$A$501,'09_连续性验收'!B290)+COUNTIF('04_路径网络'!$A$2:$A$501,'09_连续性验收'!B290)+COUNTIF('06_建筑锚点'!$A$2:$A$501,'09_连续性验收'!B290)=0),"验收对象不存在；","")&amp;IF(AND('09_连续性验收'!A290&lt;&gt;"",COUNTIF('09_连续性验收'!$A$2:$A$501,'09_连续性验收'!A290)&gt;1),"ID重复；",""),"")</f>
        <v/>
      </c>
      <c r="G3790" s="14">
        <f>IF(F3790&lt;&gt;"","按字段批注、数据字典和来源记录修正后复核","")</f>
        <v/>
      </c>
      <c r="H3790" s="14">
        <f>IF(F3790&lt;&gt;"","待处理","")</f>
        <v/>
      </c>
    </row>
    <row r="3791">
      <c r="A3791" s="14">
        <f>IF(F3791&lt;&gt;"","ISSUE-"&amp;TEXT(ROW()-1,"00000"),"")</f>
        <v/>
      </c>
      <c r="B3791" s="14">
        <f>IF(F3791&lt;&gt;"","错误","")</f>
        <v/>
      </c>
      <c r="C3791" s="14">
        <f>IF('09_连续性验收'!A291&lt;&gt;"","09_连续性验收","")</f>
        <v/>
      </c>
      <c r="D3791" s="14">
        <f>IF('09_连续性验收'!A291&lt;&gt;"",'09_连续性验收'!A291,"")</f>
        <v/>
      </c>
      <c r="E3791" s="14">
        <f>IF(F3791&lt;&gt;"","综合校验","")</f>
        <v/>
      </c>
      <c r="F3791" s="14">
        <f>IF('09_连续性验收'!A291&lt;&gt;"",IF('09_连续性验收'!A291="","缺少验收ID；","")&amp;IF('09_连续性验收'!B291="","缺少对象ID；","")&amp;IF('09_连续性验收'!C291="","缺少检查类型；","")&amp;IF(AND('09_连续性验收'!J291&lt;&gt;"",'09_连续性验收'!K291&lt;&gt;"",'09_连续性验收'!J291&gt;'09_连续性验收'!K291),"坐标偏差超标；","")&amp;IF(AND('09_连续性验收'!B291&lt;&gt;"",COUNTIF('02_固定地理'!$A$2:$A$501,'09_连续性验收'!B291)+COUNTIF('03_地点锚点'!$A$2:$A$501,'09_连续性验收'!B291)+COUNTIF('04_路径网络'!$A$2:$A$501,'09_连续性验收'!B291)+COUNTIF('06_建筑锚点'!$A$2:$A$501,'09_连续性验收'!B291)=0),"验收对象不存在；","")&amp;IF(AND('09_连续性验收'!A291&lt;&gt;"",COUNTIF('09_连续性验收'!$A$2:$A$501,'09_连续性验收'!A291)&gt;1),"ID重复；",""),"")</f>
        <v/>
      </c>
      <c r="G3791" s="14">
        <f>IF(F3791&lt;&gt;"","按字段批注、数据字典和来源记录修正后复核","")</f>
        <v/>
      </c>
      <c r="H3791" s="14">
        <f>IF(F3791&lt;&gt;"","待处理","")</f>
        <v/>
      </c>
    </row>
    <row r="3792">
      <c r="A3792" s="14">
        <f>IF(F3792&lt;&gt;"","ISSUE-"&amp;TEXT(ROW()-1,"00000"),"")</f>
        <v/>
      </c>
      <c r="B3792" s="14">
        <f>IF(F3792&lt;&gt;"","错误","")</f>
        <v/>
      </c>
      <c r="C3792" s="14">
        <f>IF('09_连续性验收'!A292&lt;&gt;"","09_连续性验收","")</f>
        <v/>
      </c>
      <c r="D3792" s="14">
        <f>IF('09_连续性验收'!A292&lt;&gt;"",'09_连续性验收'!A292,"")</f>
        <v/>
      </c>
      <c r="E3792" s="14">
        <f>IF(F3792&lt;&gt;"","综合校验","")</f>
        <v/>
      </c>
      <c r="F3792" s="14">
        <f>IF('09_连续性验收'!A292&lt;&gt;"",IF('09_连续性验收'!A292="","缺少验收ID；","")&amp;IF('09_连续性验收'!B292="","缺少对象ID；","")&amp;IF('09_连续性验收'!C292="","缺少检查类型；","")&amp;IF(AND('09_连续性验收'!J292&lt;&gt;"",'09_连续性验收'!K292&lt;&gt;"",'09_连续性验收'!J292&gt;'09_连续性验收'!K292),"坐标偏差超标；","")&amp;IF(AND('09_连续性验收'!B292&lt;&gt;"",COUNTIF('02_固定地理'!$A$2:$A$501,'09_连续性验收'!B292)+COUNTIF('03_地点锚点'!$A$2:$A$501,'09_连续性验收'!B292)+COUNTIF('04_路径网络'!$A$2:$A$501,'09_连续性验收'!B292)+COUNTIF('06_建筑锚点'!$A$2:$A$501,'09_连续性验收'!B292)=0),"验收对象不存在；","")&amp;IF(AND('09_连续性验收'!A292&lt;&gt;"",COUNTIF('09_连续性验收'!$A$2:$A$501,'09_连续性验收'!A292)&gt;1),"ID重复；",""),"")</f>
        <v/>
      </c>
      <c r="G3792" s="14">
        <f>IF(F3792&lt;&gt;"","按字段批注、数据字典和来源记录修正后复核","")</f>
        <v/>
      </c>
      <c r="H3792" s="14">
        <f>IF(F3792&lt;&gt;"","待处理","")</f>
        <v/>
      </c>
    </row>
    <row r="3793">
      <c r="A3793" s="14">
        <f>IF(F3793&lt;&gt;"","ISSUE-"&amp;TEXT(ROW()-1,"00000"),"")</f>
        <v/>
      </c>
      <c r="B3793" s="14">
        <f>IF(F3793&lt;&gt;"","错误","")</f>
        <v/>
      </c>
      <c r="C3793" s="14">
        <f>IF('09_连续性验收'!A293&lt;&gt;"","09_连续性验收","")</f>
        <v/>
      </c>
      <c r="D3793" s="14">
        <f>IF('09_连续性验收'!A293&lt;&gt;"",'09_连续性验收'!A293,"")</f>
        <v/>
      </c>
      <c r="E3793" s="14">
        <f>IF(F3793&lt;&gt;"","综合校验","")</f>
        <v/>
      </c>
      <c r="F3793" s="14">
        <f>IF('09_连续性验收'!A293&lt;&gt;"",IF('09_连续性验收'!A293="","缺少验收ID；","")&amp;IF('09_连续性验收'!B293="","缺少对象ID；","")&amp;IF('09_连续性验收'!C293="","缺少检查类型；","")&amp;IF(AND('09_连续性验收'!J293&lt;&gt;"",'09_连续性验收'!K293&lt;&gt;"",'09_连续性验收'!J293&gt;'09_连续性验收'!K293),"坐标偏差超标；","")&amp;IF(AND('09_连续性验收'!B293&lt;&gt;"",COUNTIF('02_固定地理'!$A$2:$A$501,'09_连续性验收'!B293)+COUNTIF('03_地点锚点'!$A$2:$A$501,'09_连续性验收'!B293)+COUNTIF('04_路径网络'!$A$2:$A$501,'09_连续性验收'!B293)+COUNTIF('06_建筑锚点'!$A$2:$A$501,'09_连续性验收'!B293)=0),"验收对象不存在；","")&amp;IF(AND('09_连续性验收'!A293&lt;&gt;"",COUNTIF('09_连续性验收'!$A$2:$A$501,'09_连续性验收'!A293)&gt;1),"ID重复；",""),"")</f>
        <v/>
      </c>
      <c r="G3793" s="14">
        <f>IF(F3793&lt;&gt;"","按字段批注、数据字典和来源记录修正后复核","")</f>
        <v/>
      </c>
      <c r="H3793" s="14">
        <f>IF(F3793&lt;&gt;"","待处理","")</f>
        <v/>
      </c>
    </row>
    <row r="3794">
      <c r="A3794" s="14">
        <f>IF(F3794&lt;&gt;"","ISSUE-"&amp;TEXT(ROW()-1,"00000"),"")</f>
        <v/>
      </c>
      <c r="B3794" s="14">
        <f>IF(F3794&lt;&gt;"","错误","")</f>
        <v/>
      </c>
      <c r="C3794" s="14">
        <f>IF('09_连续性验收'!A294&lt;&gt;"","09_连续性验收","")</f>
        <v/>
      </c>
      <c r="D3794" s="14">
        <f>IF('09_连续性验收'!A294&lt;&gt;"",'09_连续性验收'!A294,"")</f>
        <v/>
      </c>
      <c r="E3794" s="14">
        <f>IF(F3794&lt;&gt;"","综合校验","")</f>
        <v/>
      </c>
      <c r="F3794" s="14">
        <f>IF('09_连续性验收'!A294&lt;&gt;"",IF('09_连续性验收'!A294="","缺少验收ID；","")&amp;IF('09_连续性验收'!B294="","缺少对象ID；","")&amp;IF('09_连续性验收'!C294="","缺少检查类型；","")&amp;IF(AND('09_连续性验收'!J294&lt;&gt;"",'09_连续性验收'!K294&lt;&gt;"",'09_连续性验收'!J294&gt;'09_连续性验收'!K294),"坐标偏差超标；","")&amp;IF(AND('09_连续性验收'!B294&lt;&gt;"",COUNTIF('02_固定地理'!$A$2:$A$501,'09_连续性验收'!B294)+COUNTIF('03_地点锚点'!$A$2:$A$501,'09_连续性验收'!B294)+COUNTIF('04_路径网络'!$A$2:$A$501,'09_连续性验收'!B294)+COUNTIF('06_建筑锚点'!$A$2:$A$501,'09_连续性验收'!B294)=0),"验收对象不存在；","")&amp;IF(AND('09_连续性验收'!A294&lt;&gt;"",COUNTIF('09_连续性验收'!$A$2:$A$501,'09_连续性验收'!A294)&gt;1),"ID重复；",""),"")</f>
        <v/>
      </c>
      <c r="G3794" s="14">
        <f>IF(F3794&lt;&gt;"","按字段批注、数据字典和来源记录修正后复核","")</f>
        <v/>
      </c>
      <c r="H3794" s="14">
        <f>IF(F3794&lt;&gt;"","待处理","")</f>
        <v/>
      </c>
    </row>
    <row r="3795">
      <c r="A3795" s="14">
        <f>IF(F3795&lt;&gt;"","ISSUE-"&amp;TEXT(ROW()-1,"00000"),"")</f>
        <v/>
      </c>
      <c r="B3795" s="14">
        <f>IF(F3795&lt;&gt;"","错误","")</f>
        <v/>
      </c>
      <c r="C3795" s="14">
        <f>IF('09_连续性验收'!A295&lt;&gt;"","09_连续性验收","")</f>
        <v/>
      </c>
      <c r="D3795" s="14">
        <f>IF('09_连续性验收'!A295&lt;&gt;"",'09_连续性验收'!A295,"")</f>
        <v/>
      </c>
      <c r="E3795" s="14">
        <f>IF(F3795&lt;&gt;"","综合校验","")</f>
        <v/>
      </c>
      <c r="F3795" s="14">
        <f>IF('09_连续性验收'!A295&lt;&gt;"",IF('09_连续性验收'!A295="","缺少验收ID；","")&amp;IF('09_连续性验收'!B295="","缺少对象ID；","")&amp;IF('09_连续性验收'!C295="","缺少检查类型；","")&amp;IF(AND('09_连续性验收'!J295&lt;&gt;"",'09_连续性验收'!K295&lt;&gt;"",'09_连续性验收'!J295&gt;'09_连续性验收'!K295),"坐标偏差超标；","")&amp;IF(AND('09_连续性验收'!B295&lt;&gt;"",COUNTIF('02_固定地理'!$A$2:$A$501,'09_连续性验收'!B295)+COUNTIF('03_地点锚点'!$A$2:$A$501,'09_连续性验收'!B295)+COUNTIF('04_路径网络'!$A$2:$A$501,'09_连续性验收'!B295)+COUNTIF('06_建筑锚点'!$A$2:$A$501,'09_连续性验收'!B295)=0),"验收对象不存在；","")&amp;IF(AND('09_连续性验收'!A295&lt;&gt;"",COUNTIF('09_连续性验收'!$A$2:$A$501,'09_连续性验收'!A295)&gt;1),"ID重复；",""),"")</f>
        <v/>
      </c>
      <c r="G3795" s="14">
        <f>IF(F3795&lt;&gt;"","按字段批注、数据字典和来源记录修正后复核","")</f>
        <v/>
      </c>
      <c r="H3795" s="14">
        <f>IF(F3795&lt;&gt;"","待处理","")</f>
        <v/>
      </c>
    </row>
    <row r="3796">
      <c r="A3796" s="14">
        <f>IF(F3796&lt;&gt;"","ISSUE-"&amp;TEXT(ROW()-1,"00000"),"")</f>
        <v/>
      </c>
      <c r="B3796" s="14">
        <f>IF(F3796&lt;&gt;"","错误","")</f>
        <v/>
      </c>
      <c r="C3796" s="14">
        <f>IF('09_连续性验收'!A296&lt;&gt;"","09_连续性验收","")</f>
        <v/>
      </c>
      <c r="D3796" s="14">
        <f>IF('09_连续性验收'!A296&lt;&gt;"",'09_连续性验收'!A296,"")</f>
        <v/>
      </c>
      <c r="E3796" s="14">
        <f>IF(F3796&lt;&gt;"","综合校验","")</f>
        <v/>
      </c>
      <c r="F3796" s="14">
        <f>IF('09_连续性验收'!A296&lt;&gt;"",IF('09_连续性验收'!A296="","缺少验收ID；","")&amp;IF('09_连续性验收'!B296="","缺少对象ID；","")&amp;IF('09_连续性验收'!C296="","缺少检查类型；","")&amp;IF(AND('09_连续性验收'!J296&lt;&gt;"",'09_连续性验收'!K296&lt;&gt;"",'09_连续性验收'!J296&gt;'09_连续性验收'!K296),"坐标偏差超标；","")&amp;IF(AND('09_连续性验收'!B296&lt;&gt;"",COUNTIF('02_固定地理'!$A$2:$A$501,'09_连续性验收'!B296)+COUNTIF('03_地点锚点'!$A$2:$A$501,'09_连续性验收'!B296)+COUNTIF('04_路径网络'!$A$2:$A$501,'09_连续性验收'!B296)+COUNTIF('06_建筑锚点'!$A$2:$A$501,'09_连续性验收'!B296)=0),"验收对象不存在；","")&amp;IF(AND('09_连续性验收'!A296&lt;&gt;"",COUNTIF('09_连续性验收'!$A$2:$A$501,'09_连续性验收'!A296)&gt;1),"ID重复；",""),"")</f>
        <v/>
      </c>
      <c r="G3796" s="14">
        <f>IF(F3796&lt;&gt;"","按字段批注、数据字典和来源记录修正后复核","")</f>
        <v/>
      </c>
      <c r="H3796" s="14">
        <f>IF(F3796&lt;&gt;"","待处理","")</f>
        <v/>
      </c>
    </row>
    <row r="3797">
      <c r="A3797" s="14">
        <f>IF(F3797&lt;&gt;"","ISSUE-"&amp;TEXT(ROW()-1,"00000"),"")</f>
        <v/>
      </c>
      <c r="B3797" s="14">
        <f>IF(F3797&lt;&gt;"","错误","")</f>
        <v/>
      </c>
      <c r="C3797" s="14">
        <f>IF('09_连续性验收'!A297&lt;&gt;"","09_连续性验收","")</f>
        <v/>
      </c>
      <c r="D3797" s="14">
        <f>IF('09_连续性验收'!A297&lt;&gt;"",'09_连续性验收'!A297,"")</f>
        <v/>
      </c>
      <c r="E3797" s="14">
        <f>IF(F3797&lt;&gt;"","综合校验","")</f>
        <v/>
      </c>
      <c r="F3797" s="14">
        <f>IF('09_连续性验收'!A297&lt;&gt;"",IF('09_连续性验收'!A297="","缺少验收ID；","")&amp;IF('09_连续性验收'!B297="","缺少对象ID；","")&amp;IF('09_连续性验收'!C297="","缺少检查类型；","")&amp;IF(AND('09_连续性验收'!J297&lt;&gt;"",'09_连续性验收'!K297&lt;&gt;"",'09_连续性验收'!J297&gt;'09_连续性验收'!K297),"坐标偏差超标；","")&amp;IF(AND('09_连续性验收'!B297&lt;&gt;"",COUNTIF('02_固定地理'!$A$2:$A$501,'09_连续性验收'!B297)+COUNTIF('03_地点锚点'!$A$2:$A$501,'09_连续性验收'!B297)+COUNTIF('04_路径网络'!$A$2:$A$501,'09_连续性验收'!B297)+COUNTIF('06_建筑锚点'!$A$2:$A$501,'09_连续性验收'!B297)=0),"验收对象不存在；","")&amp;IF(AND('09_连续性验收'!A297&lt;&gt;"",COUNTIF('09_连续性验收'!$A$2:$A$501,'09_连续性验收'!A297)&gt;1),"ID重复；",""),"")</f>
        <v/>
      </c>
      <c r="G3797" s="14">
        <f>IF(F3797&lt;&gt;"","按字段批注、数据字典和来源记录修正后复核","")</f>
        <v/>
      </c>
      <c r="H3797" s="14">
        <f>IF(F3797&lt;&gt;"","待处理","")</f>
        <v/>
      </c>
    </row>
    <row r="3798">
      <c r="A3798" s="14">
        <f>IF(F3798&lt;&gt;"","ISSUE-"&amp;TEXT(ROW()-1,"00000"),"")</f>
        <v/>
      </c>
      <c r="B3798" s="14">
        <f>IF(F3798&lt;&gt;"","错误","")</f>
        <v/>
      </c>
      <c r="C3798" s="14">
        <f>IF('09_连续性验收'!A298&lt;&gt;"","09_连续性验收","")</f>
        <v/>
      </c>
      <c r="D3798" s="14">
        <f>IF('09_连续性验收'!A298&lt;&gt;"",'09_连续性验收'!A298,"")</f>
        <v/>
      </c>
      <c r="E3798" s="14">
        <f>IF(F3798&lt;&gt;"","综合校验","")</f>
        <v/>
      </c>
      <c r="F3798" s="14">
        <f>IF('09_连续性验收'!A298&lt;&gt;"",IF('09_连续性验收'!A298="","缺少验收ID；","")&amp;IF('09_连续性验收'!B298="","缺少对象ID；","")&amp;IF('09_连续性验收'!C298="","缺少检查类型；","")&amp;IF(AND('09_连续性验收'!J298&lt;&gt;"",'09_连续性验收'!K298&lt;&gt;"",'09_连续性验收'!J298&gt;'09_连续性验收'!K298),"坐标偏差超标；","")&amp;IF(AND('09_连续性验收'!B298&lt;&gt;"",COUNTIF('02_固定地理'!$A$2:$A$501,'09_连续性验收'!B298)+COUNTIF('03_地点锚点'!$A$2:$A$501,'09_连续性验收'!B298)+COUNTIF('04_路径网络'!$A$2:$A$501,'09_连续性验收'!B298)+COUNTIF('06_建筑锚点'!$A$2:$A$501,'09_连续性验收'!B298)=0),"验收对象不存在；","")&amp;IF(AND('09_连续性验收'!A298&lt;&gt;"",COUNTIF('09_连续性验收'!$A$2:$A$501,'09_连续性验收'!A298)&gt;1),"ID重复；",""),"")</f>
        <v/>
      </c>
      <c r="G3798" s="14">
        <f>IF(F3798&lt;&gt;"","按字段批注、数据字典和来源记录修正后复核","")</f>
        <v/>
      </c>
      <c r="H3798" s="14">
        <f>IF(F3798&lt;&gt;"","待处理","")</f>
        <v/>
      </c>
    </row>
    <row r="3799">
      <c r="A3799" s="14">
        <f>IF(F3799&lt;&gt;"","ISSUE-"&amp;TEXT(ROW()-1,"00000"),"")</f>
        <v/>
      </c>
      <c r="B3799" s="14">
        <f>IF(F3799&lt;&gt;"","错误","")</f>
        <v/>
      </c>
      <c r="C3799" s="14">
        <f>IF('09_连续性验收'!A299&lt;&gt;"","09_连续性验收","")</f>
        <v/>
      </c>
      <c r="D3799" s="14">
        <f>IF('09_连续性验收'!A299&lt;&gt;"",'09_连续性验收'!A299,"")</f>
        <v/>
      </c>
      <c r="E3799" s="14">
        <f>IF(F3799&lt;&gt;"","综合校验","")</f>
        <v/>
      </c>
      <c r="F3799" s="14">
        <f>IF('09_连续性验收'!A299&lt;&gt;"",IF('09_连续性验收'!A299="","缺少验收ID；","")&amp;IF('09_连续性验收'!B299="","缺少对象ID；","")&amp;IF('09_连续性验收'!C299="","缺少检查类型；","")&amp;IF(AND('09_连续性验收'!J299&lt;&gt;"",'09_连续性验收'!K299&lt;&gt;"",'09_连续性验收'!J299&gt;'09_连续性验收'!K299),"坐标偏差超标；","")&amp;IF(AND('09_连续性验收'!B299&lt;&gt;"",COUNTIF('02_固定地理'!$A$2:$A$501,'09_连续性验收'!B299)+COUNTIF('03_地点锚点'!$A$2:$A$501,'09_连续性验收'!B299)+COUNTIF('04_路径网络'!$A$2:$A$501,'09_连续性验收'!B299)+COUNTIF('06_建筑锚点'!$A$2:$A$501,'09_连续性验收'!B299)=0),"验收对象不存在；","")&amp;IF(AND('09_连续性验收'!A299&lt;&gt;"",COUNTIF('09_连续性验收'!$A$2:$A$501,'09_连续性验收'!A299)&gt;1),"ID重复；",""),"")</f>
        <v/>
      </c>
      <c r="G3799" s="14">
        <f>IF(F3799&lt;&gt;"","按字段批注、数据字典和来源记录修正后复核","")</f>
        <v/>
      </c>
      <c r="H3799" s="14">
        <f>IF(F3799&lt;&gt;"","待处理","")</f>
        <v/>
      </c>
    </row>
    <row r="3800">
      <c r="A3800" s="14">
        <f>IF(F3800&lt;&gt;"","ISSUE-"&amp;TEXT(ROW()-1,"00000"),"")</f>
        <v/>
      </c>
      <c r="B3800" s="14">
        <f>IF(F3800&lt;&gt;"","错误","")</f>
        <v/>
      </c>
      <c r="C3800" s="14">
        <f>IF('09_连续性验收'!A300&lt;&gt;"","09_连续性验收","")</f>
        <v/>
      </c>
      <c r="D3800" s="14">
        <f>IF('09_连续性验收'!A300&lt;&gt;"",'09_连续性验收'!A300,"")</f>
        <v/>
      </c>
      <c r="E3800" s="14">
        <f>IF(F3800&lt;&gt;"","综合校验","")</f>
        <v/>
      </c>
      <c r="F3800" s="14">
        <f>IF('09_连续性验收'!A300&lt;&gt;"",IF('09_连续性验收'!A300="","缺少验收ID；","")&amp;IF('09_连续性验收'!B300="","缺少对象ID；","")&amp;IF('09_连续性验收'!C300="","缺少检查类型；","")&amp;IF(AND('09_连续性验收'!J300&lt;&gt;"",'09_连续性验收'!K300&lt;&gt;"",'09_连续性验收'!J300&gt;'09_连续性验收'!K300),"坐标偏差超标；","")&amp;IF(AND('09_连续性验收'!B300&lt;&gt;"",COUNTIF('02_固定地理'!$A$2:$A$501,'09_连续性验收'!B300)+COUNTIF('03_地点锚点'!$A$2:$A$501,'09_连续性验收'!B300)+COUNTIF('04_路径网络'!$A$2:$A$501,'09_连续性验收'!B300)+COUNTIF('06_建筑锚点'!$A$2:$A$501,'09_连续性验收'!B300)=0),"验收对象不存在；","")&amp;IF(AND('09_连续性验收'!A300&lt;&gt;"",COUNTIF('09_连续性验收'!$A$2:$A$501,'09_连续性验收'!A300)&gt;1),"ID重复；",""),"")</f>
        <v/>
      </c>
      <c r="G3800" s="14">
        <f>IF(F3800&lt;&gt;"","按字段批注、数据字典和来源记录修正后复核","")</f>
        <v/>
      </c>
      <c r="H3800" s="14">
        <f>IF(F3800&lt;&gt;"","待处理","")</f>
        <v/>
      </c>
    </row>
    <row r="3801">
      <c r="A3801" s="14">
        <f>IF(F3801&lt;&gt;"","ISSUE-"&amp;TEXT(ROW()-1,"00000"),"")</f>
        <v/>
      </c>
      <c r="B3801" s="14">
        <f>IF(F3801&lt;&gt;"","错误","")</f>
        <v/>
      </c>
      <c r="C3801" s="14">
        <f>IF('09_连续性验收'!A301&lt;&gt;"","09_连续性验收","")</f>
        <v/>
      </c>
      <c r="D3801" s="14">
        <f>IF('09_连续性验收'!A301&lt;&gt;"",'09_连续性验收'!A301,"")</f>
        <v/>
      </c>
      <c r="E3801" s="14">
        <f>IF(F3801&lt;&gt;"","综合校验","")</f>
        <v/>
      </c>
      <c r="F3801" s="14">
        <f>IF('09_连续性验收'!A301&lt;&gt;"",IF('09_连续性验收'!A301="","缺少验收ID；","")&amp;IF('09_连续性验收'!B301="","缺少对象ID；","")&amp;IF('09_连续性验收'!C301="","缺少检查类型；","")&amp;IF(AND('09_连续性验收'!J301&lt;&gt;"",'09_连续性验收'!K301&lt;&gt;"",'09_连续性验收'!J301&gt;'09_连续性验收'!K301),"坐标偏差超标；","")&amp;IF(AND('09_连续性验收'!B301&lt;&gt;"",COUNTIF('02_固定地理'!$A$2:$A$501,'09_连续性验收'!B301)+COUNTIF('03_地点锚点'!$A$2:$A$501,'09_连续性验收'!B301)+COUNTIF('04_路径网络'!$A$2:$A$501,'09_连续性验收'!B301)+COUNTIF('06_建筑锚点'!$A$2:$A$501,'09_连续性验收'!B301)=0),"验收对象不存在；","")&amp;IF(AND('09_连续性验收'!A301&lt;&gt;"",COUNTIF('09_连续性验收'!$A$2:$A$501,'09_连续性验收'!A301)&gt;1),"ID重复；",""),"")</f>
        <v/>
      </c>
      <c r="G3801" s="14">
        <f>IF(F3801&lt;&gt;"","按字段批注、数据字典和来源记录修正后复核","")</f>
        <v/>
      </c>
      <c r="H3801" s="14">
        <f>IF(F3801&lt;&gt;"","待处理","")</f>
        <v/>
      </c>
    </row>
    <row r="3802">
      <c r="A3802" s="14">
        <f>IF(F3802&lt;&gt;"","ISSUE-"&amp;TEXT(ROW()-1,"00000"),"")</f>
        <v/>
      </c>
      <c r="B3802" s="14">
        <f>IF(F3802&lt;&gt;"","错误","")</f>
        <v/>
      </c>
      <c r="C3802" s="14">
        <f>IF('09_连续性验收'!A302&lt;&gt;"","09_连续性验收","")</f>
        <v/>
      </c>
      <c r="D3802" s="14">
        <f>IF('09_连续性验收'!A302&lt;&gt;"",'09_连续性验收'!A302,"")</f>
        <v/>
      </c>
      <c r="E3802" s="14">
        <f>IF(F3802&lt;&gt;"","综合校验","")</f>
        <v/>
      </c>
      <c r="F3802" s="14">
        <f>IF('09_连续性验收'!A302&lt;&gt;"",IF('09_连续性验收'!A302="","缺少验收ID；","")&amp;IF('09_连续性验收'!B302="","缺少对象ID；","")&amp;IF('09_连续性验收'!C302="","缺少检查类型；","")&amp;IF(AND('09_连续性验收'!J302&lt;&gt;"",'09_连续性验收'!K302&lt;&gt;"",'09_连续性验收'!J302&gt;'09_连续性验收'!K302),"坐标偏差超标；","")&amp;IF(AND('09_连续性验收'!B302&lt;&gt;"",COUNTIF('02_固定地理'!$A$2:$A$501,'09_连续性验收'!B302)+COUNTIF('03_地点锚点'!$A$2:$A$501,'09_连续性验收'!B302)+COUNTIF('04_路径网络'!$A$2:$A$501,'09_连续性验收'!B302)+COUNTIF('06_建筑锚点'!$A$2:$A$501,'09_连续性验收'!B302)=0),"验收对象不存在；","")&amp;IF(AND('09_连续性验收'!A302&lt;&gt;"",COUNTIF('09_连续性验收'!$A$2:$A$501,'09_连续性验收'!A302)&gt;1),"ID重复；",""),"")</f>
        <v/>
      </c>
      <c r="G3802" s="14">
        <f>IF(F3802&lt;&gt;"","按字段批注、数据字典和来源记录修正后复核","")</f>
        <v/>
      </c>
      <c r="H3802" s="14">
        <f>IF(F3802&lt;&gt;"","待处理","")</f>
        <v/>
      </c>
    </row>
    <row r="3803">
      <c r="A3803" s="14">
        <f>IF(F3803&lt;&gt;"","ISSUE-"&amp;TEXT(ROW()-1,"00000"),"")</f>
        <v/>
      </c>
      <c r="B3803" s="14">
        <f>IF(F3803&lt;&gt;"","错误","")</f>
        <v/>
      </c>
      <c r="C3803" s="14">
        <f>IF('09_连续性验收'!A303&lt;&gt;"","09_连续性验收","")</f>
        <v/>
      </c>
      <c r="D3803" s="14">
        <f>IF('09_连续性验收'!A303&lt;&gt;"",'09_连续性验收'!A303,"")</f>
        <v/>
      </c>
      <c r="E3803" s="14">
        <f>IF(F3803&lt;&gt;"","综合校验","")</f>
        <v/>
      </c>
      <c r="F3803" s="14">
        <f>IF('09_连续性验收'!A303&lt;&gt;"",IF('09_连续性验收'!A303="","缺少验收ID；","")&amp;IF('09_连续性验收'!B303="","缺少对象ID；","")&amp;IF('09_连续性验收'!C303="","缺少检查类型；","")&amp;IF(AND('09_连续性验收'!J303&lt;&gt;"",'09_连续性验收'!K303&lt;&gt;"",'09_连续性验收'!J303&gt;'09_连续性验收'!K303),"坐标偏差超标；","")&amp;IF(AND('09_连续性验收'!B303&lt;&gt;"",COUNTIF('02_固定地理'!$A$2:$A$501,'09_连续性验收'!B303)+COUNTIF('03_地点锚点'!$A$2:$A$501,'09_连续性验收'!B303)+COUNTIF('04_路径网络'!$A$2:$A$501,'09_连续性验收'!B303)+COUNTIF('06_建筑锚点'!$A$2:$A$501,'09_连续性验收'!B303)=0),"验收对象不存在；","")&amp;IF(AND('09_连续性验收'!A303&lt;&gt;"",COUNTIF('09_连续性验收'!$A$2:$A$501,'09_连续性验收'!A303)&gt;1),"ID重复；",""),"")</f>
        <v/>
      </c>
      <c r="G3803" s="14">
        <f>IF(F3803&lt;&gt;"","按字段批注、数据字典和来源记录修正后复核","")</f>
        <v/>
      </c>
      <c r="H3803" s="14">
        <f>IF(F3803&lt;&gt;"","待处理","")</f>
        <v/>
      </c>
    </row>
    <row r="3804">
      <c r="A3804" s="14">
        <f>IF(F3804&lt;&gt;"","ISSUE-"&amp;TEXT(ROW()-1,"00000"),"")</f>
        <v/>
      </c>
      <c r="B3804" s="14">
        <f>IF(F3804&lt;&gt;"","错误","")</f>
        <v/>
      </c>
      <c r="C3804" s="14">
        <f>IF('09_连续性验收'!A304&lt;&gt;"","09_连续性验收","")</f>
        <v/>
      </c>
      <c r="D3804" s="14">
        <f>IF('09_连续性验收'!A304&lt;&gt;"",'09_连续性验收'!A304,"")</f>
        <v/>
      </c>
      <c r="E3804" s="14">
        <f>IF(F3804&lt;&gt;"","综合校验","")</f>
        <v/>
      </c>
      <c r="F3804" s="14">
        <f>IF('09_连续性验收'!A304&lt;&gt;"",IF('09_连续性验收'!A304="","缺少验收ID；","")&amp;IF('09_连续性验收'!B304="","缺少对象ID；","")&amp;IF('09_连续性验收'!C304="","缺少检查类型；","")&amp;IF(AND('09_连续性验收'!J304&lt;&gt;"",'09_连续性验收'!K304&lt;&gt;"",'09_连续性验收'!J304&gt;'09_连续性验收'!K304),"坐标偏差超标；","")&amp;IF(AND('09_连续性验收'!B304&lt;&gt;"",COUNTIF('02_固定地理'!$A$2:$A$501,'09_连续性验收'!B304)+COUNTIF('03_地点锚点'!$A$2:$A$501,'09_连续性验收'!B304)+COUNTIF('04_路径网络'!$A$2:$A$501,'09_连续性验收'!B304)+COUNTIF('06_建筑锚点'!$A$2:$A$501,'09_连续性验收'!B304)=0),"验收对象不存在；","")&amp;IF(AND('09_连续性验收'!A304&lt;&gt;"",COUNTIF('09_连续性验收'!$A$2:$A$501,'09_连续性验收'!A304)&gt;1),"ID重复；",""),"")</f>
        <v/>
      </c>
      <c r="G3804" s="14">
        <f>IF(F3804&lt;&gt;"","按字段批注、数据字典和来源记录修正后复核","")</f>
        <v/>
      </c>
      <c r="H3804" s="14">
        <f>IF(F3804&lt;&gt;"","待处理","")</f>
        <v/>
      </c>
    </row>
    <row r="3805">
      <c r="A3805" s="14">
        <f>IF(F3805&lt;&gt;"","ISSUE-"&amp;TEXT(ROW()-1,"00000"),"")</f>
        <v/>
      </c>
      <c r="B3805" s="14">
        <f>IF(F3805&lt;&gt;"","错误","")</f>
        <v/>
      </c>
      <c r="C3805" s="14">
        <f>IF('09_连续性验收'!A305&lt;&gt;"","09_连续性验收","")</f>
        <v/>
      </c>
      <c r="D3805" s="14">
        <f>IF('09_连续性验收'!A305&lt;&gt;"",'09_连续性验收'!A305,"")</f>
        <v/>
      </c>
      <c r="E3805" s="14">
        <f>IF(F3805&lt;&gt;"","综合校验","")</f>
        <v/>
      </c>
      <c r="F3805" s="14">
        <f>IF('09_连续性验收'!A305&lt;&gt;"",IF('09_连续性验收'!A305="","缺少验收ID；","")&amp;IF('09_连续性验收'!B305="","缺少对象ID；","")&amp;IF('09_连续性验收'!C305="","缺少检查类型；","")&amp;IF(AND('09_连续性验收'!J305&lt;&gt;"",'09_连续性验收'!K305&lt;&gt;"",'09_连续性验收'!J305&gt;'09_连续性验收'!K305),"坐标偏差超标；","")&amp;IF(AND('09_连续性验收'!B305&lt;&gt;"",COUNTIF('02_固定地理'!$A$2:$A$501,'09_连续性验收'!B305)+COUNTIF('03_地点锚点'!$A$2:$A$501,'09_连续性验收'!B305)+COUNTIF('04_路径网络'!$A$2:$A$501,'09_连续性验收'!B305)+COUNTIF('06_建筑锚点'!$A$2:$A$501,'09_连续性验收'!B305)=0),"验收对象不存在；","")&amp;IF(AND('09_连续性验收'!A305&lt;&gt;"",COUNTIF('09_连续性验收'!$A$2:$A$501,'09_连续性验收'!A305)&gt;1),"ID重复；",""),"")</f>
        <v/>
      </c>
      <c r="G3805" s="14">
        <f>IF(F3805&lt;&gt;"","按字段批注、数据字典和来源记录修正后复核","")</f>
        <v/>
      </c>
      <c r="H3805" s="14">
        <f>IF(F3805&lt;&gt;"","待处理","")</f>
        <v/>
      </c>
    </row>
    <row r="3806">
      <c r="A3806" s="14">
        <f>IF(F3806&lt;&gt;"","ISSUE-"&amp;TEXT(ROW()-1,"00000"),"")</f>
        <v/>
      </c>
      <c r="B3806" s="14">
        <f>IF(F3806&lt;&gt;"","错误","")</f>
        <v/>
      </c>
      <c r="C3806" s="14">
        <f>IF('09_连续性验收'!A306&lt;&gt;"","09_连续性验收","")</f>
        <v/>
      </c>
      <c r="D3806" s="14">
        <f>IF('09_连续性验收'!A306&lt;&gt;"",'09_连续性验收'!A306,"")</f>
        <v/>
      </c>
      <c r="E3806" s="14">
        <f>IF(F3806&lt;&gt;"","综合校验","")</f>
        <v/>
      </c>
      <c r="F3806" s="14">
        <f>IF('09_连续性验收'!A306&lt;&gt;"",IF('09_连续性验收'!A306="","缺少验收ID；","")&amp;IF('09_连续性验收'!B306="","缺少对象ID；","")&amp;IF('09_连续性验收'!C306="","缺少检查类型；","")&amp;IF(AND('09_连续性验收'!J306&lt;&gt;"",'09_连续性验收'!K306&lt;&gt;"",'09_连续性验收'!J306&gt;'09_连续性验收'!K306),"坐标偏差超标；","")&amp;IF(AND('09_连续性验收'!B306&lt;&gt;"",COUNTIF('02_固定地理'!$A$2:$A$501,'09_连续性验收'!B306)+COUNTIF('03_地点锚点'!$A$2:$A$501,'09_连续性验收'!B306)+COUNTIF('04_路径网络'!$A$2:$A$501,'09_连续性验收'!B306)+COUNTIF('06_建筑锚点'!$A$2:$A$501,'09_连续性验收'!B306)=0),"验收对象不存在；","")&amp;IF(AND('09_连续性验收'!A306&lt;&gt;"",COUNTIF('09_连续性验收'!$A$2:$A$501,'09_连续性验收'!A306)&gt;1),"ID重复；",""),"")</f>
        <v/>
      </c>
      <c r="G3806" s="14">
        <f>IF(F3806&lt;&gt;"","按字段批注、数据字典和来源记录修正后复核","")</f>
        <v/>
      </c>
      <c r="H3806" s="14">
        <f>IF(F3806&lt;&gt;"","待处理","")</f>
        <v/>
      </c>
    </row>
    <row r="3807">
      <c r="A3807" s="14">
        <f>IF(F3807&lt;&gt;"","ISSUE-"&amp;TEXT(ROW()-1,"00000"),"")</f>
        <v/>
      </c>
      <c r="B3807" s="14">
        <f>IF(F3807&lt;&gt;"","错误","")</f>
        <v/>
      </c>
      <c r="C3807" s="14">
        <f>IF('09_连续性验收'!A307&lt;&gt;"","09_连续性验收","")</f>
        <v/>
      </c>
      <c r="D3807" s="14">
        <f>IF('09_连续性验收'!A307&lt;&gt;"",'09_连续性验收'!A307,"")</f>
        <v/>
      </c>
      <c r="E3807" s="14">
        <f>IF(F3807&lt;&gt;"","综合校验","")</f>
        <v/>
      </c>
      <c r="F3807" s="14">
        <f>IF('09_连续性验收'!A307&lt;&gt;"",IF('09_连续性验收'!A307="","缺少验收ID；","")&amp;IF('09_连续性验收'!B307="","缺少对象ID；","")&amp;IF('09_连续性验收'!C307="","缺少检查类型；","")&amp;IF(AND('09_连续性验收'!J307&lt;&gt;"",'09_连续性验收'!K307&lt;&gt;"",'09_连续性验收'!J307&gt;'09_连续性验收'!K307),"坐标偏差超标；","")&amp;IF(AND('09_连续性验收'!B307&lt;&gt;"",COUNTIF('02_固定地理'!$A$2:$A$501,'09_连续性验收'!B307)+COUNTIF('03_地点锚点'!$A$2:$A$501,'09_连续性验收'!B307)+COUNTIF('04_路径网络'!$A$2:$A$501,'09_连续性验收'!B307)+COUNTIF('06_建筑锚点'!$A$2:$A$501,'09_连续性验收'!B307)=0),"验收对象不存在；","")&amp;IF(AND('09_连续性验收'!A307&lt;&gt;"",COUNTIF('09_连续性验收'!$A$2:$A$501,'09_连续性验收'!A307)&gt;1),"ID重复；",""),"")</f>
        <v/>
      </c>
      <c r="G3807" s="14">
        <f>IF(F3807&lt;&gt;"","按字段批注、数据字典和来源记录修正后复核","")</f>
        <v/>
      </c>
      <c r="H3807" s="14">
        <f>IF(F3807&lt;&gt;"","待处理","")</f>
        <v/>
      </c>
    </row>
    <row r="3808">
      <c r="A3808" s="14">
        <f>IF(F3808&lt;&gt;"","ISSUE-"&amp;TEXT(ROW()-1,"00000"),"")</f>
        <v/>
      </c>
      <c r="B3808" s="14">
        <f>IF(F3808&lt;&gt;"","错误","")</f>
        <v/>
      </c>
      <c r="C3808" s="14">
        <f>IF('09_连续性验收'!A308&lt;&gt;"","09_连续性验收","")</f>
        <v/>
      </c>
      <c r="D3808" s="14">
        <f>IF('09_连续性验收'!A308&lt;&gt;"",'09_连续性验收'!A308,"")</f>
        <v/>
      </c>
      <c r="E3808" s="14">
        <f>IF(F3808&lt;&gt;"","综合校验","")</f>
        <v/>
      </c>
      <c r="F3808" s="14">
        <f>IF('09_连续性验收'!A308&lt;&gt;"",IF('09_连续性验收'!A308="","缺少验收ID；","")&amp;IF('09_连续性验收'!B308="","缺少对象ID；","")&amp;IF('09_连续性验收'!C308="","缺少检查类型；","")&amp;IF(AND('09_连续性验收'!J308&lt;&gt;"",'09_连续性验收'!K308&lt;&gt;"",'09_连续性验收'!J308&gt;'09_连续性验收'!K308),"坐标偏差超标；","")&amp;IF(AND('09_连续性验收'!B308&lt;&gt;"",COUNTIF('02_固定地理'!$A$2:$A$501,'09_连续性验收'!B308)+COUNTIF('03_地点锚点'!$A$2:$A$501,'09_连续性验收'!B308)+COUNTIF('04_路径网络'!$A$2:$A$501,'09_连续性验收'!B308)+COUNTIF('06_建筑锚点'!$A$2:$A$501,'09_连续性验收'!B308)=0),"验收对象不存在；","")&amp;IF(AND('09_连续性验收'!A308&lt;&gt;"",COUNTIF('09_连续性验收'!$A$2:$A$501,'09_连续性验收'!A308)&gt;1),"ID重复；",""),"")</f>
        <v/>
      </c>
      <c r="G3808" s="14">
        <f>IF(F3808&lt;&gt;"","按字段批注、数据字典和来源记录修正后复核","")</f>
        <v/>
      </c>
      <c r="H3808" s="14">
        <f>IF(F3808&lt;&gt;"","待处理","")</f>
        <v/>
      </c>
    </row>
    <row r="3809">
      <c r="A3809" s="14">
        <f>IF(F3809&lt;&gt;"","ISSUE-"&amp;TEXT(ROW()-1,"00000"),"")</f>
        <v/>
      </c>
      <c r="B3809" s="14">
        <f>IF(F3809&lt;&gt;"","错误","")</f>
        <v/>
      </c>
      <c r="C3809" s="14">
        <f>IF('09_连续性验收'!A309&lt;&gt;"","09_连续性验收","")</f>
        <v/>
      </c>
      <c r="D3809" s="14">
        <f>IF('09_连续性验收'!A309&lt;&gt;"",'09_连续性验收'!A309,"")</f>
        <v/>
      </c>
      <c r="E3809" s="14">
        <f>IF(F3809&lt;&gt;"","综合校验","")</f>
        <v/>
      </c>
      <c r="F3809" s="14">
        <f>IF('09_连续性验收'!A309&lt;&gt;"",IF('09_连续性验收'!A309="","缺少验收ID；","")&amp;IF('09_连续性验收'!B309="","缺少对象ID；","")&amp;IF('09_连续性验收'!C309="","缺少检查类型；","")&amp;IF(AND('09_连续性验收'!J309&lt;&gt;"",'09_连续性验收'!K309&lt;&gt;"",'09_连续性验收'!J309&gt;'09_连续性验收'!K309),"坐标偏差超标；","")&amp;IF(AND('09_连续性验收'!B309&lt;&gt;"",COUNTIF('02_固定地理'!$A$2:$A$501,'09_连续性验收'!B309)+COUNTIF('03_地点锚点'!$A$2:$A$501,'09_连续性验收'!B309)+COUNTIF('04_路径网络'!$A$2:$A$501,'09_连续性验收'!B309)+COUNTIF('06_建筑锚点'!$A$2:$A$501,'09_连续性验收'!B309)=0),"验收对象不存在；","")&amp;IF(AND('09_连续性验收'!A309&lt;&gt;"",COUNTIF('09_连续性验收'!$A$2:$A$501,'09_连续性验收'!A309)&gt;1),"ID重复；",""),"")</f>
        <v/>
      </c>
      <c r="G3809" s="14">
        <f>IF(F3809&lt;&gt;"","按字段批注、数据字典和来源记录修正后复核","")</f>
        <v/>
      </c>
      <c r="H3809" s="14">
        <f>IF(F3809&lt;&gt;"","待处理","")</f>
        <v/>
      </c>
    </row>
    <row r="3810">
      <c r="A3810" s="14">
        <f>IF(F3810&lt;&gt;"","ISSUE-"&amp;TEXT(ROW()-1,"00000"),"")</f>
        <v/>
      </c>
      <c r="B3810" s="14">
        <f>IF(F3810&lt;&gt;"","错误","")</f>
        <v/>
      </c>
      <c r="C3810" s="14">
        <f>IF('09_连续性验收'!A310&lt;&gt;"","09_连续性验收","")</f>
        <v/>
      </c>
      <c r="D3810" s="14">
        <f>IF('09_连续性验收'!A310&lt;&gt;"",'09_连续性验收'!A310,"")</f>
        <v/>
      </c>
      <c r="E3810" s="14">
        <f>IF(F3810&lt;&gt;"","综合校验","")</f>
        <v/>
      </c>
      <c r="F3810" s="14">
        <f>IF('09_连续性验收'!A310&lt;&gt;"",IF('09_连续性验收'!A310="","缺少验收ID；","")&amp;IF('09_连续性验收'!B310="","缺少对象ID；","")&amp;IF('09_连续性验收'!C310="","缺少检查类型；","")&amp;IF(AND('09_连续性验收'!J310&lt;&gt;"",'09_连续性验收'!K310&lt;&gt;"",'09_连续性验收'!J310&gt;'09_连续性验收'!K310),"坐标偏差超标；","")&amp;IF(AND('09_连续性验收'!B310&lt;&gt;"",COUNTIF('02_固定地理'!$A$2:$A$501,'09_连续性验收'!B310)+COUNTIF('03_地点锚点'!$A$2:$A$501,'09_连续性验收'!B310)+COUNTIF('04_路径网络'!$A$2:$A$501,'09_连续性验收'!B310)+COUNTIF('06_建筑锚点'!$A$2:$A$501,'09_连续性验收'!B310)=0),"验收对象不存在；","")&amp;IF(AND('09_连续性验收'!A310&lt;&gt;"",COUNTIF('09_连续性验收'!$A$2:$A$501,'09_连续性验收'!A310)&gt;1),"ID重复；",""),"")</f>
        <v/>
      </c>
      <c r="G3810" s="14">
        <f>IF(F3810&lt;&gt;"","按字段批注、数据字典和来源记录修正后复核","")</f>
        <v/>
      </c>
      <c r="H3810" s="14">
        <f>IF(F3810&lt;&gt;"","待处理","")</f>
        <v/>
      </c>
    </row>
    <row r="3811">
      <c r="A3811" s="14">
        <f>IF(F3811&lt;&gt;"","ISSUE-"&amp;TEXT(ROW()-1,"00000"),"")</f>
        <v/>
      </c>
      <c r="B3811" s="14">
        <f>IF(F3811&lt;&gt;"","错误","")</f>
        <v/>
      </c>
      <c r="C3811" s="14">
        <f>IF('09_连续性验收'!A311&lt;&gt;"","09_连续性验收","")</f>
        <v/>
      </c>
      <c r="D3811" s="14">
        <f>IF('09_连续性验收'!A311&lt;&gt;"",'09_连续性验收'!A311,"")</f>
        <v/>
      </c>
      <c r="E3811" s="14">
        <f>IF(F3811&lt;&gt;"","综合校验","")</f>
        <v/>
      </c>
      <c r="F3811" s="14">
        <f>IF('09_连续性验收'!A311&lt;&gt;"",IF('09_连续性验收'!A311="","缺少验收ID；","")&amp;IF('09_连续性验收'!B311="","缺少对象ID；","")&amp;IF('09_连续性验收'!C311="","缺少检查类型；","")&amp;IF(AND('09_连续性验收'!J311&lt;&gt;"",'09_连续性验收'!K311&lt;&gt;"",'09_连续性验收'!J311&gt;'09_连续性验收'!K311),"坐标偏差超标；","")&amp;IF(AND('09_连续性验收'!B311&lt;&gt;"",COUNTIF('02_固定地理'!$A$2:$A$501,'09_连续性验收'!B311)+COUNTIF('03_地点锚点'!$A$2:$A$501,'09_连续性验收'!B311)+COUNTIF('04_路径网络'!$A$2:$A$501,'09_连续性验收'!B311)+COUNTIF('06_建筑锚点'!$A$2:$A$501,'09_连续性验收'!B311)=0),"验收对象不存在；","")&amp;IF(AND('09_连续性验收'!A311&lt;&gt;"",COUNTIF('09_连续性验收'!$A$2:$A$501,'09_连续性验收'!A311)&gt;1),"ID重复；",""),"")</f>
        <v/>
      </c>
      <c r="G3811" s="14">
        <f>IF(F3811&lt;&gt;"","按字段批注、数据字典和来源记录修正后复核","")</f>
        <v/>
      </c>
      <c r="H3811" s="14">
        <f>IF(F3811&lt;&gt;"","待处理","")</f>
        <v/>
      </c>
    </row>
    <row r="3812">
      <c r="A3812" s="14">
        <f>IF(F3812&lt;&gt;"","ISSUE-"&amp;TEXT(ROW()-1,"00000"),"")</f>
        <v/>
      </c>
      <c r="B3812" s="14">
        <f>IF(F3812&lt;&gt;"","错误","")</f>
        <v/>
      </c>
      <c r="C3812" s="14">
        <f>IF('09_连续性验收'!A312&lt;&gt;"","09_连续性验收","")</f>
        <v/>
      </c>
      <c r="D3812" s="14">
        <f>IF('09_连续性验收'!A312&lt;&gt;"",'09_连续性验收'!A312,"")</f>
        <v/>
      </c>
      <c r="E3812" s="14">
        <f>IF(F3812&lt;&gt;"","综合校验","")</f>
        <v/>
      </c>
      <c r="F3812" s="14">
        <f>IF('09_连续性验收'!A312&lt;&gt;"",IF('09_连续性验收'!A312="","缺少验收ID；","")&amp;IF('09_连续性验收'!B312="","缺少对象ID；","")&amp;IF('09_连续性验收'!C312="","缺少检查类型；","")&amp;IF(AND('09_连续性验收'!J312&lt;&gt;"",'09_连续性验收'!K312&lt;&gt;"",'09_连续性验收'!J312&gt;'09_连续性验收'!K312),"坐标偏差超标；","")&amp;IF(AND('09_连续性验收'!B312&lt;&gt;"",COUNTIF('02_固定地理'!$A$2:$A$501,'09_连续性验收'!B312)+COUNTIF('03_地点锚点'!$A$2:$A$501,'09_连续性验收'!B312)+COUNTIF('04_路径网络'!$A$2:$A$501,'09_连续性验收'!B312)+COUNTIF('06_建筑锚点'!$A$2:$A$501,'09_连续性验收'!B312)=0),"验收对象不存在；","")&amp;IF(AND('09_连续性验收'!A312&lt;&gt;"",COUNTIF('09_连续性验收'!$A$2:$A$501,'09_连续性验收'!A312)&gt;1),"ID重复；",""),"")</f>
        <v/>
      </c>
      <c r="G3812" s="14">
        <f>IF(F3812&lt;&gt;"","按字段批注、数据字典和来源记录修正后复核","")</f>
        <v/>
      </c>
      <c r="H3812" s="14">
        <f>IF(F3812&lt;&gt;"","待处理","")</f>
        <v/>
      </c>
    </row>
    <row r="3813">
      <c r="A3813" s="14">
        <f>IF(F3813&lt;&gt;"","ISSUE-"&amp;TEXT(ROW()-1,"00000"),"")</f>
        <v/>
      </c>
      <c r="B3813" s="14">
        <f>IF(F3813&lt;&gt;"","错误","")</f>
        <v/>
      </c>
      <c r="C3813" s="14">
        <f>IF('09_连续性验收'!A313&lt;&gt;"","09_连续性验收","")</f>
        <v/>
      </c>
      <c r="D3813" s="14">
        <f>IF('09_连续性验收'!A313&lt;&gt;"",'09_连续性验收'!A313,"")</f>
        <v/>
      </c>
      <c r="E3813" s="14">
        <f>IF(F3813&lt;&gt;"","综合校验","")</f>
        <v/>
      </c>
      <c r="F3813" s="14">
        <f>IF('09_连续性验收'!A313&lt;&gt;"",IF('09_连续性验收'!A313="","缺少验收ID；","")&amp;IF('09_连续性验收'!B313="","缺少对象ID；","")&amp;IF('09_连续性验收'!C313="","缺少检查类型；","")&amp;IF(AND('09_连续性验收'!J313&lt;&gt;"",'09_连续性验收'!K313&lt;&gt;"",'09_连续性验收'!J313&gt;'09_连续性验收'!K313),"坐标偏差超标；","")&amp;IF(AND('09_连续性验收'!B313&lt;&gt;"",COUNTIF('02_固定地理'!$A$2:$A$501,'09_连续性验收'!B313)+COUNTIF('03_地点锚点'!$A$2:$A$501,'09_连续性验收'!B313)+COUNTIF('04_路径网络'!$A$2:$A$501,'09_连续性验收'!B313)+COUNTIF('06_建筑锚点'!$A$2:$A$501,'09_连续性验收'!B313)=0),"验收对象不存在；","")&amp;IF(AND('09_连续性验收'!A313&lt;&gt;"",COUNTIF('09_连续性验收'!$A$2:$A$501,'09_连续性验收'!A313)&gt;1),"ID重复；",""),"")</f>
        <v/>
      </c>
      <c r="G3813" s="14">
        <f>IF(F3813&lt;&gt;"","按字段批注、数据字典和来源记录修正后复核","")</f>
        <v/>
      </c>
      <c r="H3813" s="14">
        <f>IF(F3813&lt;&gt;"","待处理","")</f>
        <v/>
      </c>
    </row>
    <row r="3814">
      <c r="A3814" s="14">
        <f>IF(F3814&lt;&gt;"","ISSUE-"&amp;TEXT(ROW()-1,"00000"),"")</f>
        <v/>
      </c>
      <c r="B3814" s="14">
        <f>IF(F3814&lt;&gt;"","错误","")</f>
        <v/>
      </c>
      <c r="C3814" s="14">
        <f>IF('09_连续性验收'!A314&lt;&gt;"","09_连续性验收","")</f>
        <v/>
      </c>
      <c r="D3814" s="14">
        <f>IF('09_连续性验收'!A314&lt;&gt;"",'09_连续性验收'!A314,"")</f>
        <v/>
      </c>
      <c r="E3814" s="14">
        <f>IF(F3814&lt;&gt;"","综合校验","")</f>
        <v/>
      </c>
      <c r="F3814" s="14">
        <f>IF('09_连续性验收'!A314&lt;&gt;"",IF('09_连续性验收'!A314="","缺少验收ID；","")&amp;IF('09_连续性验收'!B314="","缺少对象ID；","")&amp;IF('09_连续性验收'!C314="","缺少检查类型；","")&amp;IF(AND('09_连续性验收'!J314&lt;&gt;"",'09_连续性验收'!K314&lt;&gt;"",'09_连续性验收'!J314&gt;'09_连续性验收'!K314),"坐标偏差超标；","")&amp;IF(AND('09_连续性验收'!B314&lt;&gt;"",COUNTIF('02_固定地理'!$A$2:$A$501,'09_连续性验收'!B314)+COUNTIF('03_地点锚点'!$A$2:$A$501,'09_连续性验收'!B314)+COUNTIF('04_路径网络'!$A$2:$A$501,'09_连续性验收'!B314)+COUNTIF('06_建筑锚点'!$A$2:$A$501,'09_连续性验收'!B314)=0),"验收对象不存在；","")&amp;IF(AND('09_连续性验收'!A314&lt;&gt;"",COUNTIF('09_连续性验收'!$A$2:$A$501,'09_连续性验收'!A314)&gt;1),"ID重复；",""),"")</f>
        <v/>
      </c>
      <c r="G3814" s="14">
        <f>IF(F3814&lt;&gt;"","按字段批注、数据字典和来源记录修正后复核","")</f>
        <v/>
      </c>
      <c r="H3814" s="14">
        <f>IF(F3814&lt;&gt;"","待处理","")</f>
        <v/>
      </c>
    </row>
    <row r="3815">
      <c r="A3815" s="14">
        <f>IF(F3815&lt;&gt;"","ISSUE-"&amp;TEXT(ROW()-1,"00000"),"")</f>
        <v/>
      </c>
      <c r="B3815" s="14">
        <f>IF(F3815&lt;&gt;"","错误","")</f>
        <v/>
      </c>
      <c r="C3815" s="14">
        <f>IF('09_连续性验收'!A315&lt;&gt;"","09_连续性验收","")</f>
        <v/>
      </c>
      <c r="D3815" s="14">
        <f>IF('09_连续性验收'!A315&lt;&gt;"",'09_连续性验收'!A315,"")</f>
        <v/>
      </c>
      <c r="E3815" s="14">
        <f>IF(F3815&lt;&gt;"","综合校验","")</f>
        <v/>
      </c>
      <c r="F3815" s="14">
        <f>IF('09_连续性验收'!A315&lt;&gt;"",IF('09_连续性验收'!A315="","缺少验收ID；","")&amp;IF('09_连续性验收'!B315="","缺少对象ID；","")&amp;IF('09_连续性验收'!C315="","缺少检查类型；","")&amp;IF(AND('09_连续性验收'!J315&lt;&gt;"",'09_连续性验收'!K315&lt;&gt;"",'09_连续性验收'!J315&gt;'09_连续性验收'!K315),"坐标偏差超标；","")&amp;IF(AND('09_连续性验收'!B315&lt;&gt;"",COUNTIF('02_固定地理'!$A$2:$A$501,'09_连续性验收'!B315)+COUNTIF('03_地点锚点'!$A$2:$A$501,'09_连续性验收'!B315)+COUNTIF('04_路径网络'!$A$2:$A$501,'09_连续性验收'!B315)+COUNTIF('06_建筑锚点'!$A$2:$A$501,'09_连续性验收'!B315)=0),"验收对象不存在；","")&amp;IF(AND('09_连续性验收'!A315&lt;&gt;"",COUNTIF('09_连续性验收'!$A$2:$A$501,'09_连续性验收'!A315)&gt;1),"ID重复；",""),"")</f>
        <v/>
      </c>
      <c r="G3815" s="14">
        <f>IF(F3815&lt;&gt;"","按字段批注、数据字典和来源记录修正后复核","")</f>
        <v/>
      </c>
      <c r="H3815" s="14">
        <f>IF(F3815&lt;&gt;"","待处理","")</f>
        <v/>
      </c>
    </row>
    <row r="3816">
      <c r="A3816" s="14">
        <f>IF(F3816&lt;&gt;"","ISSUE-"&amp;TEXT(ROW()-1,"00000"),"")</f>
        <v/>
      </c>
      <c r="B3816" s="14">
        <f>IF(F3816&lt;&gt;"","错误","")</f>
        <v/>
      </c>
      <c r="C3816" s="14">
        <f>IF('09_连续性验收'!A316&lt;&gt;"","09_连续性验收","")</f>
        <v/>
      </c>
      <c r="D3816" s="14">
        <f>IF('09_连续性验收'!A316&lt;&gt;"",'09_连续性验收'!A316,"")</f>
        <v/>
      </c>
      <c r="E3816" s="14">
        <f>IF(F3816&lt;&gt;"","综合校验","")</f>
        <v/>
      </c>
      <c r="F3816" s="14">
        <f>IF('09_连续性验收'!A316&lt;&gt;"",IF('09_连续性验收'!A316="","缺少验收ID；","")&amp;IF('09_连续性验收'!B316="","缺少对象ID；","")&amp;IF('09_连续性验收'!C316="","缺少检查类型；","")&amp;IF(AND('09_连续性验收'!J316&lt;&gt;"",'09_连续性验收'!K316&lt;&gt;"",'09_连续性验收'!J316&gt;'09_连续性验收'!K316),"坐标偏差超标；","")&amp;IF(AND('09_连续性验收'!B316&lt;&gt;"",COUNTIF('02_固定地理'!$A$2:$A$501,'09_连续性验收'!B316)+COUNTIF('03_地点锚点'!$A$2:$A$501,'09_连续性验收'!B316)+COUNTIF('04_路径网络'!$A$2:$A$501,'09_连续性验收'!B316)+COUNTIF('06_建筑锚点'!$A$2:$A$501,'09_连续性验收'!B316)=0),"验收对象不存在；","")&amp;IF(AND('09_连续性验收'!A316&lt;&gt;"",COUNTIF('09_连续性验收'!$A$2:$A$501,'09_连续性验收'!A316)&gt;1),"ID重复；",""),"")</f>
        <v/>
      </c>
      <c r="G3816" s="14">
        <f>IF(F3816&lt;&gt;"","按字段批注、数据字典和来源记录修正后复核","")</f>
        <v/>
      </c>
      <c r="H3816" s="14">
        <f>IF(F3816&lt;&gt;"","待处理","")</f>
        <v/>
      </c>
    </row>
    <row r="3817">
      <c r="A3817" s="14">
        <f>IF(F3817&lt;&gt;"","ISSUE-"&amp;TEXT(ROW()-1,"00000"),"")</f>
        <v/>
      </c>
      <c r="B3817" s="14">
        <f>IF(F3817&lt;&gt;"","错误","")</f>
        <v/>
      </c>
      <c r="C3817" s="14">
        <f>IF('09_连续性验收'!A317&lt;&gt;"","09_连续性验收","")</f>
        <v/>
      </c>
      <c r="D3817" s="14">
        <f>IF('09_连续性验收'!A317&lt;&gt;"",'09_连续性验收'!A317,"")</f>
        <v/>
      </c>
      <c r="E3817" s="14">
        <f>IF(F3817&lt;&gt;"","综合校验","")</f>
        <v/>
      </c>
      <c r="F3817" s="14">
        <f>IF('09_连续性验收'!A317&lt;&gt;"",IF('09_连续性验收'!A317="","缺少验收ID；","")&amp;IF('09_连续性验收'!B317="","缺少对象ID；","")&amp;IF('09_连续性验收'!C317="","缺少检查类型；","")&amp;IF(AND('09_连续性验收'!J317&lt;&gt;"",'09_连续性验收'!K317&lt;&gt;"",'09_连续性验收'!J317&gt;'09_连续性验收'!K317),"坐标偏差超标；","")&amp;IF(AND('09_连续性验收'!B317&lt;&gt;"",COUNTIF('02_固定地理'!$A$2:$A$501,'09_连续性验收'!B317)+COUNTIF('03_地点锚点'!$A$2:$A$501,'09_连续性验收'!B317)+COUNTIF('04_路径网络'!$A$2:$A$501,'09_连续性验收'!B317)+COUNTIF('06_建筑锚点'!$A$2:$A$501,'09_连续性验收'!B317)=0),"验收对象不存在；","")&amp;IF(AND('09_连续性验收'!A317&lt;&gt;"",COUNTIF('09_连续性验收'!$A$2:$A$501,'09_连续性验收'!A317)&gt;1),"ID重复；",""),"")</f>
        <v/>
      </c>
      <c r="G3817" s="14">
        <f>IF(F3817&lt;&gt;"","按字段批注、数据字典和来源记录修正后复核","")</f>
        <v/>
      </c>
      <c r="H3817" s="14">
        <f>IF(F3817&lt;&gt;"","待处理","")</f>
        <v/>
      </c>
    </row>
    <row r="3818">
      <c r="A3818" s="14">
        <f>IF(F3818&lt;&gt;"","ISSUE-"&amp;TEXT(ROW()-1,"00000"),"")</f>
        <v/>
      </c>
      <c r="B3818" s="14">
        <f>IF(F3818&lt;&gt;"","错误","")</f>
        <v/>
      </c>
      <c r="C3818" s="14">
        <f>IF('09_连续性验收'!A318&lt;&gt;"","09_连续性验收","")</f>
        <v/>
      </c>
      <c r="D3818" s="14">
        <f>IF('09_连续性验收'!A318&lt;&gt;"",'09_连续性验收'!A318,"")</f>
        <v/>
      </c>
      <c r="E3818" s="14">
        <f>IF(F3818&lt;&gt;"","综合校验","")</f>
        <v/>
      </c>
      <c r="F3818" s="14">
        <f>IF('09_连续性验收'!A318&lt;&gt;"",IF('09_连续性验收'!A318="","缺少验收ID；","")&amp;IF('09_连续性验收'!B318="","缺少对象ID；","")&amp;IF('09_连续性验收'!C318="","缺少检查类型；","")&amp;IF(AND('09_连续性验收'!J318&lt;&gt;"",'09_连续性验收'!K318&lt;&gt;"",'09_连续性验收'!J318&gt;'09_连续性验收'!K318),"坐标偏差超标；","")&amp;IF(AND('09_连续性验收'!B318&lt;&gt;"",COUNTIF('02_固定地理'!$A$2:$A$501,'09_连续性验收'!B318)+COUNTIF('03_地点锚点'!$A$2:$A$501,'09_连续性验收'!B318)+COUNTIF('04_路径网络'!$A$2:$A$501,'09_连续性验收'!B318)+COUNTIF('06_建筑锚点'!$A$2:$A$501,'09_连续性验收'!B318)=0),"验收对象不存在；","")&amp;IF(AND('09_连续性验收'!A318&lt;&gt;"",COUNTIF('09_连续性验收'!$A$2:$A$501,'09_连续性验收'!A318)&gt;1),"ID重复；",""),"")</f>
        <v/>
      </c>
      <c r="G3818" s="14">
        <f>IF(F3818&lt;&gt;"","按字段批注、数据字典和来源记录修正后复核","")</f>
        <v/>
      </c>
      <c r="H3818" s="14">
        <f>IF(F3818&lt;&gt;"","待处理","")</f>
        <v/>
      </c>
    </row>
    <row r="3819">
      <c r="A3819" s="14">
        <f>IF(F3819&lt;&gt;"","ISSUE-"&amp;TEXT(ROW()-1,"00000"),"")</f>
        <v/>
      </c>
      <c r="B3819" s="14">
        <f>IF(F3819&lt;&gt;"","错误","")</f>
        <v/>
      </c>
      <c r="C3819" s="14">
        <f>IF('09_连续性验收'!A319&lt;&gt;"","09_连续性验收","")</f>
        <v/>
      </c>
      <c r="D3819" s="14">
        <f>IF('09_连续性验收'!A319&lt;&gt;"",'09_连续性验收'!A319,"")</f>
        <v/>
      </c>
      <c r="E3819" s="14">
        <f>IF(F3819&lt;&gt;"","综合校验","")</f>
        <v/>
      </c>
      <c r="F3819" s="14">
        <f>IF('09_连续性验收'!A319&lt;&gt;"",IF('09_连续性验收'!A319="","缺少验收ID；","")&amp;IF('09_连续性验收'!B319="","缺少对象ID；","")&amp;IF('09_连续性验收'!C319="","缺少检查类型；","")&amp;IF(AND('09_连续性验收'!J319&lt;&gt;"",'09_连续性验收'!K319&lt;&gt;"",'09_连续性验收'!J319&gt;'09_连续性验收'!K319),"坐标偏差超标；","")&amp;IF(AND('09_连续性验收'!B319&lt;&gt;"",COUNTIF('02_固定地理'!$A$2:$A$501,'09_连续性验收'!B319)+COUNTIF('03_地点锚点'!$A$2:$A$501,'09_连续性验收'!B319)+COUNTIF('04_路径网络'!$A$2:$A$501,'09_连续性验收'!B319)+COUNTIF('06_建筑锚点'!$A$2:$A$501,'09_连续性验收'!B319)=0),"验收对象不存在；","")&amp;IF(AND('09_连续性验收'!A319&lt;&gt;"",COUNTIF('09_连续性验收'!$A$2:$A$501,'09_连续性验收'!A319)&gt;1),"ID重复；",""),"")</f>
        <v/>
      </c>
      <c r="G3819" s="14">
        <f>IF(F3819&lt;&gt;"","按字段批注、数据字典和来源记录修正后复核","")</f>
        <v/>
      </c>
      <c r="H3819" s="14">
        <f>IF(F3819&lt;&gt;"","待处理","")</f>
        <v/>
      </c>
    </row>
    <row r="3820">
      <c r="A3820" s="14">
        <f>IF(F3820&lt;&gt;"","ISSUE-"&amp;TEXT(ROW()-1,"00000"),"")</f>
        <v/>
      </c>
      <c r="B3820" s="14">
        <f>IF(F3820&lt;&gt;"","错误","")</f>
        <v/>
      </c>
      <c r="C3820" s="14">
        <f>IF('09_连续性验收'!A320&lt;&gt;"","09_连续性验收","")</f>
        <v/>
      </c>
      <c r="D3820" s="14">
        <f>IF('09_连续性验收'!A320&lt;&gt;"",'09_连续性验收'!A320,"")</f>
        <v/>
      </c>
      <c r="E3820" s="14">
        <f>IF(F3820&lt;&gt;"","综合校验","")</f>
        <v/>
      </c>
      <c r="F3820" s="14">
        <f>IF('09_连续性验收'!A320&lt;&gt;"",IF('09_连续性验收'!A320="","缺少验收ID；","")&amp;IF('09_连续性验收'!B320="","缺少对象ID；","")&amp;IF('09_连续性验收'!C320="","缺少检查类型；","")&amp;IF(AND('09_连续性验收'!J320&lt;&gt;"",'09_连续性验收'!K320&lt;&gt;"",'09_连续性验收'!J320&gt;'09_连续性验收'!K320),"坐标偏差超标；","")&amp;IF(AND('09_连续性验收'!B320&lt;&gt;"",COUNTIF('02_固定地理'!$A$2:$A$501,'09_连续性验收'!B320)+COUNTIF('03_地点锚点'!$A$2:$A$501,'09_连续性验收'!B320)+COUNTIF('04_路径网络'!$A$2:$A$501,'09_连续性验收'!B320)+COUNTIF('06_建筑锚点'!$A$2:$A$501,'09_连续性验收'!B320)=0),"验收对象不存在；","")&amp;IF(AND('09_连续性验收'!A320&lt;&gt;"",COUNTIF('09_连续性验收'!$A$2:$A$501,'09_连续性验收'!A320)&gt;1),"ID重复；",""),"")</f>
        <v/>
      </c>
      <c r="G3820" s="14">
        <f>IF(F3820&lt;&gt;"","按字段批注、数据字典和来源记录修正后复核","")</f>
        <v/>
      </c>
      <c r="H3820" s="14">
        <f>IF(F3820&lt;&gt;"","待处理","")</f>
        <v/>
      </c>
    </row>
    <row r="3821">
      <c r="A3821" s="14">
        <f>IF(F3821&lt;&gt;"","ISSUE-"&amp;TEXT(ROW()-1,"00000"),"")</f>
        <v/>
      </c>
      <c r="B3821" s="14">
        <f>IF(F3821&lt;&gt;"","错误","")</f>
        <v/>
      </c>
      <c r="C3821" s="14">
        <f>IF('09_连续性验收'!A321&lt;&gt;"","09_连续性验收","")</f>
        <v/>
      </c>
      <c r="D3821" s="14">
        <f>IF('09_连续性验收'!A321&lt;&gt;"",'09_连续性验收'!A321,"")</f>
        <v/>
      </c>
      <c r="E3821" s="14">
        <f>IF(F3821&lt;&gt;"","综合校验","")</f>
        <v/>
      </c>
      <c r="F3821" s="14">
        <f>IF('09_连续性验收'!A321&lt;&gt;"",IF('09_连续性验收'!A321="","缺少验收ID；","")&amp;IF('09_连续性验收'!B321="","缺少对象ID；","")&amp;IF('09_连续性验收'!C321="","缺少检查类型；","")&amp;IF(AND('09_连续性验收'!J321&lt;&gt;"",'09_连续性验收'!K321&lt;&gt;"",'09_连续性验收'!J321&gt;'09_连续性验收'!K321),"坐标偏差超标；","")&amp;IF(AND('09_连续性验收'!B321&lt;&gt;"",COUNTIF('02_固定地理'!$A$2:$A$501,'09_连续性验收'!B321)+COUNTIF('03_地点锚点'!$A$2:$A$501,'09_连续性验收'!B321)+COUNTIF('04_路径网络'!$A$2:$A$501,'09_连续性验收'!B321)+COUNTIF('06_建筑锚点'!$A$2:$A$501,'09_连续性验收'!B321)=0),"验收对象不存在；","")&amp;IF(AND('09_连续性验收'!A321&lt;&gt;"",COUNTIF('09_连续性验收'!$A$2:$A$501,'09_连续性验收'!A321)&gt;1),"ID重复；",""),"")</f>
        <v/>
      </c>
      <c r="G3821" s="14">
        <f>IF(F3821&lt;&gt;"","按字段批注、数据字典和来源记录修正后复核","")</f>
        <v/>
      </c>
      <c r="H3821" s="14">
        <f>IF(F3821&lt;&gt;"","待处理","")</f>
        <v/>
      </c>
    </row>
    <row r="3822">
      <c r="A3822" s="14">
        <f>IF(F3822&lt;&gt;"","ISSUE-"&amp;TEXT(ROW()-1,"00000"),"")</f>
        <v/>
      </c>
      <c r="B3822" s="14">
        <f>IF(F3822&lt;&gt;"","错误","")</f>
        <v/>
      </c>
      <c r="C3822" s="14">
        <f>IF('09_连续性验收'!A322&lt;&gt;"","09_连续性验收","")</f>
        <v/>
      </c>
      <c r="D3822" s="14">
        <f>IF('09_连续性验收'!A322&lt;&gt;"",'09_连续性验收'!A322,"")</f>
        <v/>
      </c>
      <c r="E3822" s="14">
        <f>IF(F3822&lt;&gt;"","综合校验","")</f>
        <v/>
      </c>
      <c r="F3822" s="14">
        <f>IF('09_连续性验收'!A322&lt;&gt;"",IF('09_连续性验收'!A322="","缺少验收ID；","")&amp;IF('09_连续性验收'!B322="","缺少对象ID；","")&amp;IF('09_连续性验收'!C322="","缺少检查类型；","")&amp;IF(AND('09_连续性验收'!J322&lt;&gt;"",'09_连续性验收'!K322&lt;&gt;"",'09_连续性验收'!J322&gt;'09_连续性验收'!K322),"坐标偏差超标；","")&amp;IF(AND('09_连续性验收'!B322&lt;&gt;"",COUNTIF('02_固定地理'!$A$2:$A$501,'09_连续性验收'!B322)+COUNTIF('03_地点锚点'!$A$2:$A$501,'09_连续性验收'!B322)+COUNTIF('04_路径网络'!$A$2:$A$501,'09_连续性验收'!B322)+COUNTIF('06_建筑锚点'!$A$2:$A$501,'09_连续性验收'!B322)=0),"验收对象不存在；","")&amp;IF(AND('09_连续性验收'!A322&lt;&gt;"",COUNTIF('09_连续性验收'!$A$2:$A$501,'09_连续性验收'!A322)&gt;1),"ID重复；",""),"")</f>
        <v/>
      </c>
      <c r="G3822" s="14">
        <f>IF(F3822&lt;&gt;"","按字段批注、数据字典和来源记录修正后复核","")</f>
        <v/>
      </c>
      <c r="H3822" s="14">
        <f>IF(F3822&lt;&gt;"","待处理","")</f>
        <v/>
      </c>
    </row>
    <row r="3823">
      <c r="A3823" s="14">
        <f>IF(F3823&lt;&gt;"","ISSUE-"&amp;TEXT(ROW()-1,"00000"),"")</f>
        <v/>
      </c>
      <c r="B3823" s="14">
        <f>IF(F3823&lt;&gt;"","错误","")</f>
        <v/>
      </c>
      <c r="C3823" s="14">
        <f>IF('09_连续性验收'!A323&lt;&gt;"","09_连续性验收","")</f>
        <v/>
      </c>
      <c r="D3823" s="14">
        <f>IF('09_连续性验收'!A323&lt;&gt;"",'09_连续性验收'!A323,"")</f>
        <v/>
      </c>
      <c r="E3823" s="14">
        <f>IF(F3823&lt;&gt;"","综合校验","")</f>
        <v/>
      </c>
      <c r="F3823" s="14">
        <f>IF('09_连续性验收'!A323&lt;&gt;"",IF('09_连续性验收'!A323="","缺少验收ID；","")&amp;IF('09_连续性验收'!B323="","缺少对象ID；","")&amp;IF('09_连续性验收'!C323="","缺少检查类型；","")&amp;IF(AND('09_连续性验收'!J323&lt;&gt;"",'09_连续性验收'!K323&lt;&gt;"",'09_连续性验收'!J323&gt;'09_连续性验收'!K323),"坐标偏差超标；","")&amp;IF(AND('09_连续性验收'!B323&lt;&gt;"",COUNTIF('02_固定地理'!$A$2:$A$501,'09_连续性验收'!B323)+COUNTIF('03_地点锚点'!$A$2:$A$501,'09_连续性验收'!B323)+COUNTIF('04_路径网络'!$A$2:$A$501,'09_连续性验收'!B323)+COUNTIF('06_建筑锚点'!$A$2:$A$501,'09_连续性验收'!B323)=0),"验收对象不存在；","")&amp;IF(AND('09_连续性验收'!A323&lt;&gt;"",COUNTIF('09_连续性验收'!$A$2:$A$501,'09_连续性验收'!A323)&gt;1),"ID重复；",""),"")</f>
        <v/>
      </c>
      <c r="G3823" s="14">
        <f>IF(F3823&lt;&gt;"","按字段批注、数据字典和来源记录修正后复核","")</f>
        <v/>
      </c>
      <c r="H3823" s="14">
        <f>IF(F3823&lt;&gt;"","待处理","")</f>
        <v/>
      </c>
    </row>
    <row r="3824">
      <c r="A3824" s="14">
        <f>IF(F3824&lt;&gt;"","ISSUE-"&amp;TEXT(ROW()-1,"00000"),"")</f>
        <v/>
      </c>
      <c r="B3824" s="14">
        <f>IF(F3824&lt;&gt;"","错误","")</f>
        <v/>
      </c>
      <c r="C3824" s="14">
        <f>IF('09_连续性验收'!A324&lt;&gt;"","09_连续性验收","")</f>
        <v/>
      </c>
      <c r="D3824" s="14">
        <f>IF('09_连续性验收'!A324&lt;&gt;"",'09_连续性验收'!A324,"")</f>
        <v/>
      </c>
      <c r="E3824" s="14">
        <f>IF(F3824&lt;&gt;"","综合校验","")</f>
        <v/>
      </c>
      <c r="F3824" s="14">
        <f>IF('09_连续性验收'!A324&lt;&gt;"",IF('09_连续性验收'!A324="","缺少验收ID；","")&amp;IF('09_连续性验收'!B324="","缺少对象ID；","")&amp;IF('09_连续性验收'!C324="","缺少检查类型；","")&amp;IF(AND('09_连续性验收'!J324&lt;&gt;"",'09_连续性验收'!K324&lt;&gt;"",'09_连续性验收'!J324&gt;'09_连续性验收'!K324),"坐标偏差超标；","")&amp;IF(AND('09_连续性验收'!B324&lt;&gt;"",COUNTIF('02_固定地理'!$A$2:$A$501,'09_连续性验收'!B324)+COUNTIF('03_地点锚点'!$A$2:$A$501,'09_连续性验收'!B324)+COUNTIF('04_路径网络'!$A$2:$A$501,'09_连续性验收'!B324)+COUNTIF('06_建筑锚点'!$A$2:$A$501,'09_连续性验收'!B324)=0),"验收对象不存在；","")&amp;IF(AND('09_连续性验收'!A324&lt;&gt;"",COUNTIF('09_连续性验收'!$A$2:$A$501,'09_连续性验收'!A324)&gt;1),"ID重复；",""),"")</f>
        <v/>
      </c>
      <c r="G3824" s="14">
        <f>IF(F3824&lt;&gt;"","按字段批注、数据字典和来源记录修正后复核","")</f>
        <v/>
      </c>
      <c r="H3824" s="14">
        <f>IF(F3824&lt;&gt;"","待处理","")</f>
        <v/>
      </c>
    </row>
    <row r="3825">
      <c r="A3825" s="14">
        <f>IF(F3825&lt;&gt;"","ISSUE-"&amp;TEXT(ROW()-1,"00000"),"")</f>
        <v/>
      </c>
      <c r="B3825" s="14">
        <f>IF(F3825&lt;&gt;"","错误","")</f>
        <v/>
      </c>
      <c r="C3825" s="14">
        <f>IF('09_连续性验收'!A325&lt;&gt;"","09_连续性验收","")</f>
        <v/>
      </c>
      <c r="D3825" s="14">
        <f>IF('09_连续性验收'!A325&lt;&gt;"",'09_连续性验收'!A325,"")</f>
        <v/>
      </c>
      <c r="E3825" s="14">
        <f>IF(F3825&lt;&gt;"","综合校验","")</f>
        <v/>
      </c>
      <c r="F3825" s="14">
        <f>IF('09_连续性验收'!A325&lt;&gt;"",IF('09_连续性验收'!A325="","缺少验收ID；","")&amp;IF('09_连续性验收'!B325="","缺少对象ID；","")&amp;IF('09_连续性验收'!C325="","缺少检查类型；","")&amp;IF(AND('09_连续性验收'!J325&lt;&gt;"",'09_连续性验收'!K325&lt;&gt;"",'09_连续性验收'!J325&gt;'09_连续性验收'!K325),"坐标偏差超标；","")&amp;IF(AND('09_连续性验收'!B325&lt;&gt;"",COUNTIF('02_固定地理'!$A$2:$A$501,'09_连续性验收'!B325)+COUNTIF('03_地点锚点'!$A$2:$A$501,'09_连续性验收'!B325)+COUNTIF('04_路径网络'!$A$2:$A$501,'09_连续性验收'!B325)+COUNTIF('06_建筑锚点'!$A$2:$A$501,'09_连续性验收'!B325)=0),"验收对象不存在；","")&amp;IF(AND('09_连续性验收'!A325&lt;&gt;"",COUNTIF('09_连续性验收'!$A$2:$A$501,'09_连续性验收'!A325)&gt;1),"ID重复；",""),"")</f>
        <v/>
      </c>
      <c r="G3825" s="14">
        <f>IF(F3825&lt;&gt;"","按字段批注、数据字典和来源记录修正后复核","")</f>
        <v/>
      </c>
      <c r="H3825" s="14">
        <f>IF(F3825&lt;&gt;"","待处理","")</f>
        <v/>
      </c>
    </row>
    <row r="3826">
      <c r="A3826" s="14">
        <f>IF(F3826&lt;&gt;"","ISSUE-"&amp;TEXT(ROW()-1,"00000"),"")</f>
        <v/>
      </c>
      <c r="B3826" s="14">
        <f>IF(F3826&lt;&gt;"","错误","")</f>
        <v/>
      </c>
      <c r="C3826" s="14">
        <f>IF('09_连续性验收'!A326&lt;&gt;"","09_连续性验收","")</f>
        <v/>
      </c>
      <c r="D3826" s="14">
        <f>IF('09_连续性验收'!A326&lt;&gt;"",'09_连续性验收'!A326,"")</f>
        <v/>
      </c>
      <c r="E3826" s="14">
        <f>IF(F3826&lt;&gt;"","综合校验","")</f>
        <v/>
      </c>
      <c r="F3826" s="14">
        <f>IF('09_连续性验收'!A326&lt;&gt;"",IF('09_连续性验收'!A326="","缺少验收ID；","")&amp;IF('09_连续性验收'!B326="","缺少对象ID；","")&amp;IF('09_连续性验收'!C326="","缺少检查类型；","")&amp;IF(AND('09_连续性验收'!J326&lt;&gt;"",'09_连续性验收'!K326&lt;&gt;"",'09_连续性验收'!J326&gt;'09_连续性验收'!K326),"坐标偏差超标；","")&amp;IF(AND('09_连续性验收'!B326&lt;&gt;"",COUNTIF('02_固定地理'!$A$2:$A$501,'09_连续性验收'!B326)+COUNTIF('03_地点锚点'!$A$2:$A$501,'09_连续性验收'!B326)+COUNTIF('04_路径网络'!$A$2:$A$501,'09_连续性验收'!B326)+COUNTIF('06_建筑锚点'!$A$2:$A$501,'09_连续性验收'!B326)=0),"验收对象不存在；","")&amp;IF(AND('09_连续性验收'!A326&lt;&gt;"",COUNTIF('09_连续性验收'!$A$2:$A$501,'09_连续性验收'!A326)&gt;1),"ID重复；",""),"")</f>
        <v/>
      </c>
      <c r="G3826" s="14">
        <f>IF(F3826&lt;&gt;"","按字段批注、数据字典和来源记录修正后复核","")</f>
        <v/>
      </c>
      <c r="H3826" s="14">
        <f>IF(F3826&lt;&gt;"","待处理","")</f>
        <v/>
      </c>
    </row>
    <row r="3827">
      <c r="A3827" s="14">
        <f>IF(F3827&lt;&gt;"","ISSUE-"&amp;TEXT(ROW()-1,"00000"),"")</f>
        <v/>
      </c>
      <c r="B3827" s="14">
        <f>IF(F3827&lt;&gt;"","错误","")</f>
        <v/>
      </c>
      <c r="C3827" s="14">
        <f>IF('09_连续性验收'!A327&lt;&gt;"","09_连续性验收","")</f>
        <v/>
      </c>
      <c r="D3827" s="14">
        <f>IF('09_连续性验收'!A327&lt;&gt;"",'09_连续性验收'!A327,"")</f>
        <v/>
      </c>
      <c r="E3827" s="14">
        <f>IF(F3827&lt;&gt;"","综合校验","")</f>
        <v/>
      </c>
      <c r="F3827" s="14">
        <f>IF('09_连续性验收'!A327&lt;&gt;"",IF('09_连续性验收'!A327="","缺少验收ID；","")&amp;IF('09_连续性验收'!B327="","缺少对象ID；","")&amp;IF('09_连续性验收'!C327="","缺少检查类型；","")&amp;IF(AND('09_连续性验收'!J327&lt;&gt;"",'09_连续性验收'!K327&lt;&gt;"",'09_连续性验收'!J327&gt;'09_连续性验收'!K327),"坐标偏差超标；","")&amp;IF(AND('09_连续性验收'!B327&lt;&gt;"",COUNTIF('02_固定地理'!$A$2:$A$501,'09_连续性验收'!B327)+COUNTIF('03_地点锚点'!$A$2:$A$501,'09_连续性验收'!B327)+COUNTIF('04_路径网络'!$A$2:$A$501,'09_连续性验收'!B327)+COUNTIF('06_建筑锚点'!$A$2:$A$501,'09_连续性验收'!B327)=0),"验收对象不存在；","")&amp;IF(AND('09_连续性验收'!A327&lt;&gt;"",COUNTIF('09_连续性验收'!$A$2:$A$501,'09_连续性验收'!A327)&gt;1),"ID重复；",""),"")</f>
        <v/>
      </c>
      <c r="G3827" s="14">
        <f>IF(F3827&lt;&gt;"","按字段批注、数据字典和来源记录修正后复核","")</f>
        <v/>
      </c>
      <c r="H3827" s="14">
        <f>IF(F3827&lt;&gt;"","待处理","")</f>
        <v/>
      </c>
    </row>
    <row r="3828">
      <c r="A3828" s="14">
        <f>IF(F3828&lt;&gt;"","ISSUE-"&amp;TEXT(ROW()-1,"00000"),"")</f>
        <v/>
      </c>
      <c r="B3828" s="14">
        <f>IF(F3828&lt;&gt;"","错误","")</f>
        <v/>
      </c>
      <c r="C3828" s="14">
        <f>IF('09_连续性验收'!A328&lt;&gt;"","09_连续性验收","")</f>
        <v/>
      </c>
      <c r="D3828" s="14">
        <f>IF('09_连续性验收'!A328&lt;&gt;"",'09_连续性验收'!A328,"")</f>
        <v/>
      </c>
      <c r="E3828" s="14">
        <f>IF(F3828&lt;&gt;"","综合校验","")</f>
        <v/>
      </c>
      <c r="F3828" s="14">
        <f>IF('09_连续性验收'!A328&lt;&gt;"",IF('09_连续性验收'!A328="","缺少验收ID；","")&amp;IF('09_连续性验收'!B328="","缺少对象ID；","")&amp;IF('09_连续性验收'!C328="","缺少检查类型；","")&amp;IF(AND('09_连续性验收'!J328&lt;&gt;"",'09_连续性验收'!K328&lt;&gt;"",'09_连续性验收'!J328&gt;'09_连续性验收'!K328),"坐标偏差超标；","")&amp;IF(AND('09_连续性验收'!B328&lt;&gt;"",COUNTIF('02_固定地理'!$A$2:$A$501,'09_连续性验收'!B328)+COUNTIF('03_地点锚点'!$A$2:$A$501,'09_连续性验收'!B328)+COUNTIF('04_路径网络'!$A$2:$A$501,'09_连续性验收'!B328)+COUNTIF('06_建筑锚点'!$A$2:$A$501,'09_连续性验收'!B328)=0),"验收对象不存在；","")&amp;IF(AND('09_连续性验收'!A328&lt;&gt;"",COUNTIF('09_连续性验收'!$A$2:$A$501,'09_连续性验收'!A328)&gt;1),"ID重复；",""),"")</f>
        <v/>
      </c>
      <c r="G3828" s="14">
        <f>IF(F3828&lt;&gt;"","按字段批注、数据字典和来源记录修正后复核","")</f>
        <v/>
      </c>
      <c r="H3828" s="14">
        <f>IF(F3828&lt;&gt;"","待处理","")</f>
        <v/>
      </c>
    </row>
    <row r="3829">
      <c r="A3829" s="14">
        <f>IF(F3829&lt;&gt;"","ISSUE-"&amp;TEXT(ROW()-1,"00000"),"")</f>
        <v/>
      </c>
      <c r="B3829" s="14">
        <f>IF(F3829&lt;&gt;"","错误","")</f>
        <v/>
      </c>
      <c r="C3829" s="14">
        <f>IF('09_连续性验收'!A329&lt;&gt;"","09_连续性验收","")</f>
        <v/>
      </c>
      <c r="D3829" s="14">
        <f>IF('09_连续性验收'!A329&lt;&gt;"",'09_连续性验收'!A329,"")</f>
        <v/>
      </c>
      <c r="E3829" s="14">
        <f>IF(F3829&lt;&gt;"","综合校验","")</f>
        <v/>
      </c>
      <c r="F3829" s="14">
        <f>IF('09_连续性验收'!A329&lt;&gt;"",IF('09_连续性验收'!A329="","缺少验收ID；","")&amp;IF('09_连续性验收'!B329="","缺少对象ID；","")&amp;IF('09_连续性验收'!C329="","缺少检查类型；","")&amp;IF(AND('09_连续性验收'!J329&lt;&gt;"",'09_连续性验收'!K329&lt;&gt;"",'09_连续性验收'!J329&gt;'09_连续性验收'!K329),"坐标偏差超标；","")&amp;IF(AND('09_连续性验收'!B329&lt;&gt;"",COUNTIF('02_固定地理'!$A$2:$A$501,'09_连续性验收'!B329)+COUNTIF('03_地点锚点'!$A$2:$A$501,'09_连续性验收'!B329)+COUNTIF('04_路径网络'!$A$2:$A$501,'09_连续性验收'!B329)+COUNTIF('06_建筑锚点'!$A$2:$A$501,'09_连续性验收'!B329)=0),"验收对象不存在；","")&amp;IF(AND('09_连续性验收'!A329&lt;&gt;"",COUNTIF('09_连续性验收'!$A$2:$A$501,'09_连续性验收'!A329)&gt;1),"ID重复；",""),"")</f>
        <v/>
      </c>
      <c r="G3829" s="14">
        <f>IF(F3829&lt;&gt;"","按字段批注、数据字典和来源记录修正后复核","")</f>
        <v/>
      </c>
      <c r="H3829" s="14">
        <f>IF(F3829&lt;&gt;"","待处理","")</f>
        <v/>
      </c>
    </row>
    <row r="3830">
      <c r="A3830" s="14">
        <f>IF(F3830&lt;&gt;"","ISSUE-"&amp;TEXT(ROW()-1,"00000"),"")</f>
        <v/>
      </c>
      <c r="B3830" s="14">
        <f>IF(F3830&lt;&gt;"","错误","")</f>
        <v/>
      </c>
      <c r="C3830" s="14">
        <f>IF('09_连续性验收'!A330&lt;&gt;"","09_连续性验收","")</f>
        <v/>
      </c>
      <c r="D3830" s="14">
        <f>IF('09_连续性验收'!A330&lt;&gt;"",'09_连续性验收'!A330,"")</f>
        <v/>
      </c>
      <c r="E3830" s="14">
        <f>IF(F3830&lt;&gt;"","综合校验","")</f>
        <v/>
      </c>
      <c r="F3830" s="14">
        <f>IF('09_连续性验收'!A330&lt;&gt;"",IF('09_连续性验收'!A330="","缺少验收ID；","")&amp;IF('09_连续性验收'!B330="","缺少对象ID；","")&amp;IF('09_连续性验收'!C330="","缺少检查类型；","")&amp;IF(AND('09_连续性验收'!J330&lt;&gt;"",'09_连续性验收'!K330&lt;&gt;"",'09_连续性验收'!J330&gt;'09_连续性验收'!K330),"坐标偏差超标；","")&amp;IF(AND('09_连续性验收'!B330&lt;&gt;"",COUNTIF('02_固定地理'!$A$2:$A$501,'09_连续性验收'!B330)+COUNTIF('03_地点锚点'!$A$2:$A$501,'09_连续性验收'!B330)+COUNTIF('04_路径网络'!$A$2:$A$501,'09_连续性验收'!B330)+COUNTIF('06_建筑锚点'!$A$2:$A$501,'09_连续性验收'!B330)=0),"验收对象不存在；","")&amp;IF(AND('09_连续性验收'!A330&lt;&gt;"",COUNTIF('09_连续性验收'!$A$2:$A$501,'09_连续性验收'!A330)&gt;1),"ID重复；",""),"")</f>
        <v/>
      </c>
      <c r="G3830" s="14">
        <f>IF(F3830&lt;&gt;"","按字段批注、数据字典和来源记录修正后复核","")</f>
        <v/>
      </c>
      <c r="H3830" s="14">
        <f>IF(F3830&lt;&gt;"","待处理","")</f>
        <v/>
      </c>
    </row>
    <row r="3831">
      <c r="A3831" s="14">
        <f>IF(F3831&lt;&gt;"","ISSUE-"&amp;TEXT(ROW()-1,"00000"),"")</f>
        <v/>
      </c>
      <c r="B3831" s="14">
        <f>IF(F3831&lt;&gt;"","错误","")</f>
        <v/>
      </c>
      <c r="C3831" s="14">
        <f>IF('09_连续性验收'!A331&lt;&gt;"","09_连续性验收","")</f>
        <v/>
      </c>
      <c r="D3831" s="14">
        <f>IF('09_连续性验收'!A331&lt;&gt;"",'09_连续性验收'!A331,"")</f>
        <v/>
      </c>
      <c r="E3831" s="14">
        <f>IF(F3831&lt;&gt;"","综合校验","")</f>
        <v/>
      </c>
      <c r="F3831" s="14">
        <f>IF('09_连续性验收'!A331&lt;&gt;"",IF('09_连续性验收'!A331="","缺少验收ID；","")&amp;IF('09_连续性验收'!B331="","缺少对象ID；","")&amp;IF('09_连续性验收'!C331="","缺少检查类型；","")&amp;IF(AND('09_连续性验收'!J331&lt;&gt;"",'09_连续性验收'!K331&lt;&gt;"",'09_连续性验收'!J331&gt;'09_连续性验收'!K331),"坐标偏差超标；","")&amp;IF(AND('09_连续性验收'!B331&lt;&gt;"",COUNTIF('02_固定地理'!$A$2:$A$501,'09_连续性验收'!B331)+COUNTIF('03_地点锚点'!$A$2:$A$501,'09_连续性验收'!B331)+COUNTIF('04_路径网络'!$A$2:$A$501,'09_连续性验收'!B331)+COUNTIF('06_建筑锚点'!$A$2:$A$501,'09_连续性验收'!B331)=0),"验收对象不存在；","")&amp;IF(AND('09_连续性验收'!A331&lt;&gt;"",COUNTIF('09_连续性验收'!$A$2:$A$501,'09_连续性验收'!A331)&gt;1),"ID重复；",""),"")</f>
        <v/>
      </c>
      <c r="G3831" s="14">
        <f>IF(F3831&lt;&gt;"","按字段批注、数据字典和来源记录修正后复核","")</f>
        <v/>
      </c>
      <c r="H3831" s="14">
        <f>IF(F3831&lt;&gt;"","待处理","")</f>
        <v/>
      </c>
    </row>
    <row r="3832">
      <c r="A3832" s="14">
        <f>IF(F3832&lt;&gt;"","ISSUE-"&amp;TEXT(ROW()-1,"00000"),"")</f>
        <v/>
      </c>
      <c r="B3832" s="14">
        <f>IF(F3832&lt;&gt;"","错误","")</f>
        <v/>
      </c>
      <c r="C3832" s="14">
        <f>IF('09_连续性验收'!A332&lt;&gt;"","09_连续性验收","")</f>
        <v/>
      </c>
      <c r="D3832" s="14">
        <f>IF('09_连续性验收'!A332&lt;&gt;"",'09_连续性验收'!A332,"")</f>
        <v/>
      </c>
      <c r="E3832" s="14">
        <f>IF(F3832&lt;&gt;"","综合校验","")</f>
        <v/>
      </c>
      <c r="F3832" s="14">
        <f>IF('09_连续性验收'!A332&lt;&gt;"",IF('09_连续性验收'!A332="","缺少验收ID；","")&amp;IF('09_连续性验收'!B332="","缺少对象ID；","")&amp;IF('09_连续性验收'!C332="","缺少检查类型；","")&amp;IF(AND('09_连续性验收'!J332&lt;&gt;"",'09_连续性验收'!K332&lt;&gt;"",'09_连续性验收'!J332&gt;'09_连续性验收'!K332),"坐标偏差超标；","")&amp;IF(AND('09_连续性验收'!B332&lt;&gt;"",COUNTIF('02_固定地理'!$A$2:$A$501,'09_连续性验收'!B332)+COUNTIF('03_地点锚点'!$A$2:$A$501,'09_连续性验收'!B332)+COUNTIF('04_路径网络'!$A$2:$A$501,'09_连续性验收'!B332)+COUNTIF('06_建筑锚点'!$A$2:$A$501,'09_连续性验收'!B332)=0),"验收对象不存在；","")&amp;IF(AND('09_连续性验收'!A332&lt;&gt;"",COUNTIF('09_连续性验收'!$A$2:$A$501,'09_连续性验收'!A332)&gt;1),"ID重复；",""),"")</f>
        <v/>
      </c>
      <c r="G3832" s="14">
        <f>IF(F3832&lt;&gt;"","按字段批注、数据字典和来源记录修正后复核","")</f>
        <v/>
      </c>
      <c r="H3832" s="14">
        <f>IF(F3832&lt;&gt;"","待处理","")</f>
        <v/>
      </c>
    </row>
    <row r="3833">
      <c r="A3833" s="14">
        <f>IF(F3833&lt;&gt;"","ISSUE-"&amp;TEXT(ROW()-1,"00000"),"")</f>
        <v/>
      </c>
      <c r="B3833" s="14">
        <f>IF(F3833&lt;&gt;"","错误","")</f>
        <v/>
      </c>
      <c r="C3833" s="14">
        <f>IF('09_连续性验收'!A333&lt;&gt;"","09_连续性验收","")</f>
        <v/>
      </c>
      <c r="D3833" s="14">
        <f>IF('09_连续性验收'!A333&lt;&gt;"",'09_连续性验收'!A333,"")</f>
        <v/>
      </c>
      <c r="E3833" s="14">
        <f>IF(F3833&lt;&gt;"","综合校验","")</f>
        <v/>
      </c>
      <c r="F3833" s="14">
        <f>IF('09_连续性验收'!A333&lt;&gt;"",IF('09_连续性验收'!A333="","缺少验收ID；","")&amp;IF('09_连续性验收'!B333="","缺少对象ID；","")&amp;IF('09_连续性验收'!C333="","缺少检查类型；","")&amp;IF(AND('09_连续性验收'!J333&lt;&gt;"",'09_连续性验收'!K333&lt;&gt;"",'09_连续性验收'!J333&gt;'09_连续性验收'!K333),"坐标偏差超标；","")&amp;IF(AND('09_连续性验收'!B333&lt;&gt;"",COUNTIF('02_固定地理'!$A$2:$A$501,'09_连续性验收'!B333)+COUNTIF('03_地点锚点'!$A$2:$A$501,'09_连续性验收'!B333)+COUNTIF('04_路径网络'!$A$2:$A$501,'09_连续性验收'!B333)+COUNTIF('06_建筑锚点'!$A$2:$A$501,'09_连续性验收'!B333)=0),"验收对象不存在；","")&amp;IF(AND('09_连续性验收'!A333&lt;&gt;"",COUNTIF('09_连续性验收'!$A$2:$A$501,'09_连续性验收'!A333)&gt;1),"ID重复；",""),"")</f>
        <v/>
      </c>
      <c r="G3833" s="14">
        <f>IF(F3833&lt;&gt;"","按字段批注、数据字典和来源记录修正后复核","")</f>
        <v/>
      </c>
      <c r="H3833" s="14">
        <f>IF(F3833&lt;&gt;"","待处理","")</f>
        <v/>
      </c>
    </row>
    <row r="3834">
      <c r="A3834" s="14">
        <f>IF(F3834&lt;&gt;"","ISSUE-"&amp;TEXT(ROW()-1,"00000"),"")</f>
        <v/>
      </c>
      <c r="B3834" s="14">
        <f>IF(F3834&lt;&gt;"","错误","")</f>
        <v/>
      </c>
      <c r="C3834" s="14">
        <f>IF('09_连续性验收'!A334&lt;&gt;"","09_连续性验收","")</f>
        <v/>
      </c>
      <c r="D3834" s="14">
        <f>IF('09_连续性验收'!A334&lt;&gt;"",'09_连续性验收'!A334,"")</f>
        <v/>
      </c>
      <c r="E3834" s="14">
        <f>IF(F3834&lt;&gt;"","综合校验","")</f>
        <v/>
      </c>
      <c r="F3834" s="14">
        <f>IF('09_连续性验收'!A334&lt;&gt;"",IF('09_连续性验收'!A334="","缺少验收ID；","")&amp;IF('09_连续性验收'!B334="","缺少对象ID；","")&amp;IF('09_连续性验收'!C334="","缺少检查类型；","")&amp;IF(AND('09_连续性验收'!J334&lt;&gt;"",'09_连续性验收'!K334&lt;&gt;"",'09_连续性验收'!J334&gt;'09_连续性验收'!K334),"坐标偏差超标；","")&amp;IF(AND('09_连续性验收'!B334&lt;&gt;"",COUNTIF('02_固定地理'!$A$2:$A$501,'09_连续性验收'!B334)+COUNTIF('03_地点锚点'!$A$2:$A$501,'09_连续性验收'!B334)+COUNTIF('04_路径网络'!$A$2:$A$501,'09_连续性验收'!B334)+COUNTIF('06_建筑锚点'!$A$2:$A$501,'09_连续性验收'!B334)=0),"验收对象不存在；","")&amp;IF(AND('09_连续性验收'!A334&lt;&gt;"",COUNTIF('09_连续性验收'!$A$2:$A$501,'09_连续性验收'!A334)&gt;1),"ID重复；",""),"")</f>
        <v/>
      </c>
      <c r="G3834" s="14">
        <f>IF(F3834&lt;&gt;"","按字段批注、数据字典和来源记录修正后复核","")</f>
        <v/>
      </c>
      <c r="H3834" s="14">
        <f>IF(F3834&lt;&gt;"","待处理","")</f>
        <v/>
      </c>
    </row>
    <row r="3835">
      <c r="A3835" s="14">
        <f>IF(F3835&lt;&gt;"","ISSUE-"&amp;TEXT(ROW()-1,"00000"),"")</f>
        <v/>
      </c>
      <c r="B3835" s="14">
        <f>IF(F3835&lt;&gt;"","错误","")</f>
        <v/>
      </c>
      <c r="C3835" s="14">
        <f>IF('09_连续性验收'!A335&lt;&gt;"","09_连续性验收","")</f>
        <v/>
      </c>
      <c r="D3835" s="14">
        <f>IF('09_连续性验收'!A335&lt;&gt;"",'09_连续性验收'!A335,"")</f>
        <v/>
      </c>
      <c r="E3835" s="14">
        <f>IF(F3835&lt;&gt;"","综合校验","")</f>
        <v/>
      </c>
      <c r="F3835" s="14">
        <f>IF('09_连续性验收'!A335&lt;&gt;"",IF('09_连续性验收'!A335="","缺少验收ID；","")&amp;IF('09_连续性验收'!B335="","缺少对象ID；","")&amp;IF('09_连续性验收'!C335="","缺少检查类型；","")&amp;IF(AND('09_连续性验收'!J335&lt;&gt;"",'09_连续性验收'!K335&lt;&gt;"",'09_连续性验收'!J335&gt;'09_连续性验收'!K335),"坐标偏差超标；","")&amp;IF(AND('09_连续性验收'!B335&lt;&gt;"",COUNTIF('02_固定地理'!$A$2:$A$501,'09_连续性验收'!B335)+COUNTIF('03_地点锚点'!$A$2:$A$501,'09_连续性验收'!B335)+COUNTIF('04_路径网络'!$A$2:$A$501,'09_连续性验收'!B335)+COUNTIF('06_建筑锚点'!$A$2:$A$501,'09_连续性验收'!B335)=0),"验收对象不存在；","")&amp;IF(AND('09_连续性验收'!A335&lt;&gt;"",COUNTIF('09_连续性验收'!$A$2:$A$501,'09_连续性验收'!A335)&gt;1),"ID重复；",""),"")</f>
        <v/>
      </c>
      <c r="G3835" s="14">
        <f>IF(F3835&lt;&gt;"","按字段批注、数据字典和来源记录修正后复核","")</f>
        <v/>
      </c>
      <c r="H3835" s="14">
        <f>IF(F3835&lt;&gt;"","待处理","")</f>
        <v/>
      </c>
    </row>
    <row r="3836">
      <c r="A3836" s="14">
        <f>IF(F3836&lt;&gt;"","ISSUE-"&amp;TEXT(ROW()-1,"00000"),"")</f>
        <v/>
      </c>
      <c r="B3836" s="14">
        <f>IF(F3836&lt;&gt;"","错误","")</f>
        <v/>
      </c>
      <c r="C3836" s="14">
        <f>IF('09_连续性验收'!A336&lt;&gt;"","09_连续性验收","")</f>
        <v/>
      </c>
      <c r="D3836" s="14">
        <f>IF('09_连续性验收'!A336&lt;&gt;"",'09_连续性验收'!A336,"")</f>
        <v/>
      </c>
      <c r="E3836" s="14">
        <f>IF(F3836&lt;&gt;"","综合校验","")</f>
        <v/>
      </c>
      <c r="F3836" s="14">
        <f>IF('09_连续性验收'!A336&lt;&gt;"",IF('09_连续性验收'!A336="","缺少验收ID；","")&amp;IF('09_连续性验收'!B336="","缺少对象ID；","")&amp;IF('09_连续性验收'!C336="","缺少检查类型；","")&amp;IF(AND('09_连续性验收'!J336&lt;&gt;"",'09_连续性验收'!K336&lt;&gt;"",'09_连续性验收'!J336&gt;'09_连续性验收'!K336),"坐标偏差超标；","")&amp;IF(AND('09_连续性验收'!B336&lt;&gt;"",COUNTIF('02_固定地理'!$A$2:$A$501,'09_连续性验收'!B336)+COUNTIF('03_地点锚点'!$A$2:$A$501,'09_连续性验收'!B336)+COUNTIF('04_路径网络'!$A$2:$A$501,'09_连续性验收'!B336)+COUNTIF('06_建筑锚点'!$A$2:$A$501,'09_连续性验收'!B336)=0),"验收对象不存在；","")&amp;IF(AND('09_连续性验收'!A336&lt;&gt;"",COUNTIF('09_连续性验收'!$A$2:$A$501,'09_连续性验收'!A336)&gt;1),"ID重复；",""),"")</f>
        <v/>
      </c>
      <c r="G3836" s="14">
        <f>IF(F3836&lt;&gt;"","按字段批注、数据字典和来源记录修正后复核","")</f>
        <v/>
      </c>
      <c r="H3836" s="14">
        <f>IF(F3836&lt;&gt;"","待处理","")</f>
        <v/>
      </c>
    </row>
    <row r="3837">
      <c r="A3837" s="14">
        <f>IF(F3837&lt;&gt;"","ISSUE-"&amp;TEXT(ROW()-1,"00000"),"")</f>
        <v/>
      </c>
      <c r="B3837" s="14">
        <f>IF(F3837&lt;&gt;"","错误","")</f>
        <v/>
      </c>
      <c r="C3837" s="14">
        <f>IF('09_连续性验收'!A337&lt;&gt;"","09_连续性验收","")</f>
        <v/>
      </c>
      <c r="D3837" s="14">
        <f>IF('09_连续性验收'!A337&lt;&gt;"",'09_连续性验收'!A337,"")</f>
        <v/>
      </c>
      <c r="E3837" s="14">
        <f>IF(F3837&lt;&gt;"","综合校验","")</f>
        <v/>
      </c>
      <c r="F3837" s="14">
        <f>IF('09_连续性验收'!A337&lt;&gt;"",IF('09_连续性验收'!A337="","缺少验收ID；","")&amp;IF('09_连续性验收'!B337="","缺少对象ID；","")&amp;IF('09_连续性验收'!C337="","缺少检查类型；","")&amp;IF(AND('09_连续性验收'!J337&lt;&gt;"",'09_连续性验收'!K337&lt;&gt;"",'09_连续性验收'!J337&gt;'09_连续性验收'!K337),"坐标偏差超标；","")&amp;IF(AND('09_连续性验收'!B337&lt;&gt;"",COUNTIF('02_固定地理'!$A$2:$A$501,'09_连续性验收'!B337)+COUNTIF('03_地点锚点'!$A$2:$A$501,'09_连续性验收'!B337)+COUNTIF('04_路径网络'!$A$2:$A$501,'09_连续性验收'!B337)+COUNTIF('06_建筑锚点'!$A$2:$A$501,'09_连续性验收'!B337)=0),"验收对象不存在；","")&amp;IF(AND('09_连续性验收'!A337&lt;&gt;"",COUNTIF('09_连续性验收'!$A$2:$A$501,'09_连续性验收'!A337)&gt;1),"ID重复；",""),"")</f>
        <v/>
      </c>
      <c r="G3837" s="14">
        <f>IF(F3837&lt;&gt;"","按字段批注、数据字典和来源记录修正后复核","")</f>
        <v/>
      </c>
      <c r="H3837" s="14">
        <f>IF(F3837&lt;&gt;"","待处理","")</f>
        <v/>
      </c>
    </row>
    <row r="3838">
      <c r="A3838" s="14">
        <f>IF(F3838&lt;&gt;"","ISSUE-"&amp;TEXT(ROW()-1,"00000"),"")</f>
        <v/>
      </c>
      <c r="B3838" s="14">
        <f>IF(F3838&lt;&gt;"","错误","")</f>
        <v/>
      </c>
      <c r="C3838" s="14">
        <f>IF('09_连续性验收'!A338&lt;&gt;"","09_连续性验收","")</f>
        <v/>
      </c>
      <c r="D3838" s="14">
        <f>IF('09_连续性验收'!A338&lt;&gt;"",'09_连续性验收'!A338,"")</f>
        <v/>
      </c>
      <c r="E3838" s="14">
        <f>IF(F3838&lt;&gt;"","综合校验","")</f>
        <v/>
      </c>
      <c r="F3838" s="14">
        <f>IF('09_连续性验收'!A338&lt;&gt;"",IF('09_连续性验收'!A338="","缺少验收ID；","")&amp;IF('09_连续性验收'!B338="","缺少对象ID；","")&amp;IF('09_连续性验收'!C338="","缺少检查类型；","")&amp;IF(AND('09_连续性验收'!J338&lt;&gt;"",'09_连续性验收'!K338&lt;&gt;"",'09_连续性验收'!J338&gt;'09_连续性验收'!K338),"坐标偏差超标；","")&amp;IF(AND('09_连续性验收'!B338&lt;&gt;"",COUNTIF('02_固定地理'!$A$2:$A$501,'09_连续性验收'!B338)+COUNTIF('03_地点锚点'!$A$2:$A$501,'09_连续性验收'!B338)+COUNTIF('04_路径网络'!$A$2:$A$501,'09_连续性验收'!B338)+COUNTIF('06_建筑锚点'!$A$2:$A$501,'09_连续性验收'!B338)=0),"验收对象不存在；","")&amp;IF(AND('09_连续性验收'!A338&lt;&gt;"",COUNTIF('09_连续性验收'!$A$2:$A$501,'09_连续性验收'!A338)&gt;1),"ID重复；",""),"")</f>
        <v/>
      </c>
      <c r="G3838" s="14">
        <f>IF(F3838&lt;&gt;"","按字段批注、数据字典和来源记录修正后复核","")</f>
        <v/>
      </c>
      <c r="H3838" s="14">
        <f>IF(F3838&lt;&gt;"","待处理","")</f>
        <v/>
      </c>
    </row>
    <row r="3839">
      <c r="A3839" s="14">
        <f>IF(F3839&lt;&gt;"","ISSUE-"&amp;TEXT(ROW()-1,"00000"),"")</f>
        <v/>
      </c>
      <c r="B3839" s="14">
        <f>IF(F3839&lt;&gt;"","错误","")</f>
        <v/>
      </c>
      <c r="C3839" s="14">
        <f>IF('09_连续性验收'!A339&lt;&gt;"","09_连续性验收","")</f>
        <v/>
      </c>
      <c r="D3839" s="14">
        <f>IF('09_连续性验收'!A339&lt;&gt;"",'09_连续性验收'!A339,"")</f>
        <v/>
      </c>
      <c r="E3839" s="14">
        <f>IF(F3839&lt;&gt;"","综合校验","")</f>
        <v/>
      </c>
      <c r="F3839" s="14">
        <f>IF('09_连续性验收'!A339&lt;&gt;"",IF('09_连续性验收'!A339="","缺少验收ID；","")&amp;IF('09_连续性验收'!B339="","缺少对象ID；","")&amp;IF('09_连续性验收'!C339="","缺少检查类型；","")&amp;IF(AND('09_连续性验收'!J339&lt;&gt;"",'09_连续性验收'!K339&lt;&gt;"",'09_连续性验收'!J339&gt;'09_连续性验收'!K339),"坐标偏差超标；","")&amp;IF(AND('09_连续性验收'!B339&lt;&gt;"",COUNTIF('02_固定地理'!$A$2:$A$501,'09_连续性验收'!B339)+COUNTIF('03_地点锚点'!$A$2:$A$501,'09_连续性验收'!B339)+COUNTIF('04_路径网络'!$A$2:$A$501,'09_连续性验收'!B339)+COUNTIF('06_建筑锚点'!$A$2:$A$501,'09_连续性验收'!B339)=0),"验收对象不存在；","")&amp;IF(AND('09_连续性验收'!A339&lt;&gt;"",COUNTIF('09_连续性验收'!$A$2:$A$501,'09_连续性验收'!A339)&gt;1),"ID重复；",""),"")</f>
        <v/>
      </c>
      <c r="G3839" s="14">
        <f>IF(F3839&lt;&gt;"","按字段批注、数据字典和来源记录修正后复核","")</f>
        <v/>
      </c>
      <c r="H3839" s="14">
        <f>IF(F3839&lt;&gt;"","待处理","")</f>
        <v/>
      </c>
    </row>
    <row r="3840">
      <c r="A3840" s="14">
        <f>IF(F3840&lt;&gt;"","ISSUE-"&amp;TEXT(ROW()-1,"00000"),"")</f>
        <v/>
      </c>
      <c r="B3840" s="14">
        <f>IF(F3840&lt;&gt;"","错误","")</f>
        <v/>
      </c>
      <c r="C3840" s="14">
        <f>IF('09_连续性验收'!A340&lt;&gt;"","09_连续性验收","")</f>
        <v/>
      </c>
      <c r="D3840" s="14">
        <f>IF('09_连续性验收'!A340&lt;&gt;"",'09_连续性验收'!A340,"")</f>
        <v/>
      </c>
      <c r="E3840" s="14">
        <f>IF(F3840&lt;&gt;"","综合校验","")</f>
        <v/>
      </c>
      <c r="F3840" s="14">
        <f>IF('09_连续性验收'!A340&lt;&gt;"",IF('09_连续性验收'!A340="","缺少验收ID；","")&amp;IF('09_连续性验收'!B340="","缺少对象ID；","")&amp;IF('09_连续性验收'!C340="","缺少检查类型；","")&amp;IF(AND('09_连续性验收'!J340&lt;&gt;"",'09_连续性验收'!K340&lt;&gt;"",'09_连续性验收'!J340&gt;'09_连续性验收'!K340),"坐标偏差超标；","")&amp;IF(AND('09_连续性验收'!B340&lt;&gt;"",COUNTIF('02_固定地理'!$A$2:$A$501,'09_连续性验收'!B340)+COUNTIF('03_地点锚点'!$A$2:$A$501,'09_连续性验收'!B340)+COUNTIF('04_路径网络'!$A$2:$A$501,'09_连续性验收'!B340)+COUNTIF('06_建筑锚点'!$A$2:$A$501,'09_连续性验收'!B340)=0),"验收对象不存在；","")&amp;IF(AND('09_连续性验收'!A340&lt;&gt;"",COUNTIF('09_连续性验收'!$A$2:$A$501,'09_连续性验收'!A340)&gt;1),"ID重复；",""),"")</f>
        <v/>
      </c>
      <c r="G3840" s="14">
        <f>IF(F3840&lt;&gt;"","按字段批注、数据字典和来源记录修正后复核","")</f>
        <v/>
      </c>
      <c r="H3840" s="14">
        <f>IF(F3840&lt;&gt;"","待处理","")</f>
        <v/>
      </c>
    </row>
    <row r="3841">
      <c r="A3841" s="14">
        <f>IF(F3841&lt;&gt;"","ISSUE-"&amp;TEXT(ROW()-1,"00000"),"")</f>
        <v/>
      </c>
      <c r="B3841" s="14">
        <f>IF(F3841&lt;&gt;"","错误","")</f>
        <v/>
      </c>
      <c r="C3841" s="14">
        <f>IF('09_连续性验收'!A341&lt;&gt;"","09_连续性验收","")</f>
        <v/>
      </c>
      <c r="D3841" s="14">
        <f>IF('09_连续性验收'!A341&lt;&gt;"",'09_连续性验收'!A341,"")</f>
        <v/>
      </c>
      <c r="E3841" s="14">
        <f>IF(F3841&lt;&gt;"","综合校验","")</f>
        <v/>
      </c>
      <c r="F3841" s="14">
        <f>IF('09_连续性验收'!A341&lt;&gt;"",IF('09_连续性验收'!A341="","缺少验收ID；","")&amp;IF('09_连续性验收'!B341="","缺少对象ID；","")&amp;IF('09_连续性验收'!C341="","缺少检查类型；","")&amp;IF(AND('09_连续性验收'!J341&lt;&gt;"",'09_连续性验收'!K341&lt;&gt;"",'09_连续性验收'!J341&gt;'09_连续性验收'!K341),"坐标偏差超标；","")&amp;IF(AND('09_连续性验收'!B341&lt;&gt;"",COUNTIF('02_固定地理'!$A$2:$A$501,'09_连续性验收'!B341)+COUNTIF('03_地点锚点'!$A$2:$A$501,'09_连续性验收'!B341)+COUNTIF('04_路径网络'!$A$2:$A$501,'09_连续性验收'!B341)+COUNTIF('06_建筑锚点'!$A$2:$A$501,'09_连续性验收'!B341)=0),"验收对象不存在；","")&amp;IF(AND('09_连续性验收'!A341&lt;&gt;"",COUNTIF('09_连续性验收'!$A$2:$A$501,'09_连续性验收'!A341)&gt;1),"ID重复；",""),"")</f>
        <v/>
      </c>
      <c r="G3841" s="14">
        <f>IF(F3841&lt;&gt;"","按字段批注、数据字典和来源记录修正后复核","")</f>
        <v/>
      </c>
      <c r="H3841" s="14">
        <f>IF(F3841&lt;&gt;"","待处理","")</f>
        <v/>
      </c>
    </row>
    <row r="3842">
      <c r="A3842" s="14">
        <f>IF(F3842&lt;&gt;"","ISSUE-"&amp;TEXT(ROW()-1,"00000"),"")</f>
        <v/>
      </c>
      <c r="B3842" s="14">
        <f>IF(F3842&lt;&gt;"","错误","")</f>
        <v/>
      </c>
      <c r="C3842" s="14">
        <f>IF('09_连续性验收'!A342&lt;&gt;"","09_连续性验收","")</f>
        <v/>
      </c>
      <c r="D3842" s="14">
        <f>IF('09_连续性验收'!A342&lt;&gt;"",'09_连续性验收'!A342,"")</f>
        <v/>
      </c>
      <c r="E3842" s="14">
        <f>IF(F3842&lt;&gt;"","综合校验","")</f>
        <v/>
      </c>
      <c r="F3842" s="14">
        <f>IF('09_连续性验收'!A342&lt;&gt;"",IF('09_连续性验收'!A342="","缺少验收ID；","")&amp;IF('09_连续性验收'!B342="","缺少对象ID；","")&amp;IF('09_连续性验收'!C342="","缺少检查类型；","")&amp;IF(AND('09_连续性验收'!J342&lt;&gt;"",'09_连续性验收'!K342&lt;&gt;"",'09_连续性验收'!J342&gt;'09_连续性验收'!K342),"坐标偏差超标；","")&amp;IF(AND('09_连续性验收'!B342&lt;&gt;"",COUNTIF('02_固定地理'!$A$2:$A$501,'09_连续性验收'!B342)+COUNTIF('03_地点锚点'!$A$2:$A$501,'09_连续性验收'!B342)+COUNTIF('04_路径网络'!$A$2:$A$501,'09_连续性验收'!B342)+COUNTIF('06_建筑锚点'!$A$2:$A$501,'09_连续性验收'!B342)=0),"验收对象不存在；","")&amp;IF(AND('09_连续性验收'!A342&lt;&gt;"",COUNTIF('09_连续性验收'!$A$2:$A$501,'09_连续性验收'!A342)&gt;1),"ID重复；",""),"")</f>
        <v/>
      </c>
      <c r="G3842" s="14">
        <f>IF(F3842&lt;&gt;"","按字段批注、数据字典和来源记录修正后复核","")</f>
        <v/>
      </c>
      <c r="H3842" s="14">
        <f>IF(F3842&lt;&gt;"","待处理","")</f>
        <v/>
      </c>
    </row>
    <row r="3843">
      <c r="A3843" s="14">
        <f>IF(F3843&lt;&gt;"","ISSUE-"&amp;TEXT(ROW()-1,"00000"),"")</f>
        <v/>
      </c>
      <c r="B3843" s="14">
        <f>IF(F3843&lt;&gt;"","错误","")</f>
        <v/>
      </c>
      <c r="C3843" s="14">
        <f>IF('09_连续性验收'!A343&lt;&gt;"","09_连续性验收","")</f>
        <v/>
      </c>
      <c r="D3843" s="14">
        <f>IF('09_连续性验收'!A343&lt;&gt;"",'09_连续性验收'!A343,"")</f>
        <v/>
      </c>
      <c r="E3843" s="14">
        <f>IF(F3843&lt;&gt;"","综合校验","")</f>
        <v/>
      </c>
      <c r="F3843" s="14">
        <f>IF('09_连续性验收'!A343&lt;&gt;"",IF('09_连续性验收'!A343="","缺少验收ID；","")&amp;IF('09_连续性验收'!B343="","缺少对象ID；","")&amp;IF('09_连续性验收'!C343="","缺少检查类型；","")&amp;IF(AND('09_连续性验收'!J343&lt;&gt;"",'09_连续性验收'!K343&lt;&gt;"",'09_连续性验收'!J343&gt;'09_连续性验收'!K343),"坐标偏差超标；","")&amp;IF(AND('09_连续性验收'!B343&lt;&gt;"",COUNTIF('02_固定地理'!$A$2:$A$501,'09_连续性验收'!B343)+COUNTIF('03_地点锚点'!$A$2:$A$501,'09_连续性验收'!B343)+COUNTIF('04_路径网络'!$A$2:$A$501,'09_连续性验收'!B343)+COUNTIF('06_建筑锚点'!$A$2:$A$501,'09_连续性验收'!B343)=0),"验收对象不存在；","")&amp;IF(AND('09_连续性验收'!A343&lt;&gt;"",COUNTIF('09_连续性验收'!$A$2:$A$501,'09_连续性验收'!A343)&gt;1),"ID重复；",""),"")</f>
        <v/>
      </c>
      <c r="G3843" s="14">
        <f>IF(F3843&lt;&gt;"","按字段批注、数据字典和来源记录修正后复核","")</f>
        <v/>
      </c>
      <c r="H3843" s="14">
        <f>IF(F3843&lt;&gt;"","待处理","")</f>
        <v/>
      </c>
    </row>
    <row r="3844">
      <c r="A3844" s="14">
        <f>IF(F3844&lt;&gt;"","ISSUE-"&amp;TEXT(ROW()-1,"00000"),"")</f>
        <v/>
      </c>
      <c r="B3844" s="14">
        <f>IF(F3844&lt;&gt;"","错误","")</f>
        <v/>
      </c>
      <c r="C3844" s="14">
        <f>IF('09_连续性验收'!A344&lt;&gt;"","09_连续性验收","")</f>
        <v/>
      </c>
      <c r="D3844" s="14">
        <f>IF('09_连续性验收'!A344&lt;&gt;"",'09_连续性验收'!A344,"")</f>
        <v/>
      </c>
      <c r="E3844" s="14">
        <f>IF(F3844&lt;&gt;"","综合校验","")</f>
        <v/>
      </c>
      <c r="F3844" s="14">
        <f>IF('09_连续性验收'!A344&lt;&gt;"",IF('09_连续性验收'!A344="","缺少验收ID；","")&amp;IF('09_连续性验收'!B344="","缺少对象ID；","")&amp;IF('09_连续性验收'!C344="","缺少检查类型；","")&amp;IF(AND('09_连续性验收'!J344&lt;&gt;"",'09_连续性验收'!K344&lt;&gt;"",'09_连续性验收'!J344&gt;'09_连续性验收'!K344),"坐标偏差超标；","")&amp;IF(AND('09_连续性验收'!B344&lt;&gt;"",COUNTIF('02_固定地理'!$A$2:$A$501,'09_连续性验收'!B344)+COUNTIF('03_地点锚点'!$A$2:$A$501,'09_连续性验收'!B344)+COUNTIF('04_路径网络'!$A$2:$A$501,'09_连续性验收'!B344)+COUNTIF('06_建筑锚点'!$A$2:$A$501,'09_连续性验收'!B344)=0),"验收对象不存在；","")&amp;IF(AND('09_连续性验收'!A344&lt;&gt;"",COUNTIF('09_连续性验收'!$A$2:$A$501,'09_连续性验收'!A344)&gt;1),"ID重复；",""),"")</f>
        <v/>
      </c>
      <c r="G3844" s="14">
        <f>IF(F3844&lt;&gt;"","按字段批注、数据字典和来源记录修正后复核","")</f>
        <v/>
      </c>
      <c r="H3844" s="14">
        <f>IF(F3844&lt;&gt;"","待处理","")</f>
        <v/>
      </c>
    </row>
    <row r="3845">
      <c r="A3845" s="14">
        <f>IF(F3845&lt;&gt;"","ISSUE-"&amp;TEXT(ROW()-1,"00000"),"")</f>
        <v/>
      </c>
      <c r="B3845" s="14">
        <f>IF(F3845&lt;&gt;"","错误","")</f>
        <v/>
      </c>
      <c r="C3845" s="14">
        <f>IF('09_连续性验收'!A345&lt;&gt;"","09_连续性验收","")</f>
        <v/>
      </c>
      <c r="D3845" s="14">
        <f>IF('09_连续性验收'!A345&lt;&gt;"",'09_连续性验收'!A345,"")</f>
        <v/>
      </c>
      <c r="E3845" s="14">
        <f>IF(F3845&lt;&gt;"","综合校验","")</f>
        <v/>
      </c>
      <c r="F3845" s="14">
        <f>IF('09_连续性验收'!A345&lt;&gt;"",IF('09_连续性验收'!A345="","缺少验收ID；","")&amp;IF('09_连续性验收'!B345="","缺少对象ID；","")&amp;IF('09_连续性验收'!C345="","缺少检查类型；","")&amp;IF(AND('09_连续性验收'!J345&lt;&gt;"",'09_连续性验收'!K345&lt;&gt;"",'09_连续性验收'!J345&gt;'09_连续性验收'!K345),"坐标偏差超标；","")&amp;IF(AND('09_连续性验收'!B345&lt;&gt;"",COUNTIF('02_固定地理'!$A$2:$A$501,'09_连续性验收'!B345)+COUNTIF('03_地点锚点'!$A$2:$A$501,'09_连续性验收'!B345)+COUNTIF('04_路径网络'!$A$2:$A$501,'09_连续性验收'!B345)+COUNTIF('06_建筑锚点'!$A$2:$A$501,'09_连续性验收'!B345)=0),"验收对象不存在；","")&amp;IF(AND('09_连续性验收'!A345&lt;&gt;"",COUNTIF('09_连续性验收'!$A$2:$A$501,'09_连续性验收'!A345)&gt;1),"ID重复；",""),"")</f>
        <v/>
      </c>
      <c r="G3845" s="14">
        <f>IF(F3845&lt;&gt;"","按字段批注、数据字典和来源记录修正后复核","")</f>
        <v/>
      </c>
      <c r="H3845" s="14">
        <f>IF(F3845&lt;&gt;"","待处理","")</f>
        <v/>
      </c>
    </row>
    <row r="3846">
      <c r="A3846" s="14">
        <f>IF(F3846&lt;&gt;"","ISSUE-"&amp;TEXT(ROW()-1,"00000"),"")</f>
        <v/>
      </c>
      <c r="B3846" s="14">
        <f>IF(F3846&lt;&gt;"","错误","")</f>
        <v/>
      </c>
      <c r="C3846" s="14">
        <f>IF('09_连续性验收'!A346&lt;&gt;"","09_连续性验收","")</f>
        <v/>
      </c>
      <c r="D3846" s="14">
        <f>IF('09_连续性验收'!A346&lt;&gt;"",'09_连续性验收'!A346,"")</f>
        <v/>
      </c>
      <c r="E3846" s="14">
        <f>IF(F3846&lt;&gt;"","综合校验","")</f>
        <v/>
      </c>
      <c r="F3846" s="14">
        <f>IF('09_连续性验收'!A346&lt;&gt;"",IF('09_连续性验收'!A346="","缺少验收ID；","")&amp;IF('09_连续性验收'!B346="","缺少对象ID；","")&amp;IF('09_连续性验收'!C346="","缺少检查类型；","")&amp;IF(AND('09_连续性验收'!J346&lt;&gt;"",'09_连续性验收'!K346&lt;&gt;"",'09_连续性验收'!J346&gt;'09_连续性验收'!K346),"坐标偏差超标；","")&amp;IF(AND('09_连续性验收'!B346&lt;&gt;"",COUNTIF('02_固定地理'!$A$2:$A$501,'09_连续性验收'!B346)+COUNTIF('03_地点锚点'!$A$2:$A$501,'09_连续性验收'!B346)+COUNTIF('04_路径网络'!$A$2:$A$501,'09_连续性验收'!B346)+COUNTIF('06_建筑锚点'!$A$2:$A$501,'09_连续性验收'!B346)=0),"验收对象不存在；","")&amp;IF(AND('09_连续性验收'!A346&lt;&gt;"",COUNTIF('09_连续性验收'!$A$2:$A$501,'09_连续性验收'!A346)&gt;1),"ID重复；",""),"")</f>
        <v/>
      </c>
      <c r="G3846" s="14">
        <f>IF(F3846&lt;&gt;"","按字段批注、数据字典和来源记录修正后复核","")</f>
        <v/>
      </c>
      <c r="H3846" s="14">
        <f>IF(F3846&lt;&gt;"","待处理","")</f>
        <v/>
      </c>
    </row>
    <row r="3847">
      <c r="A3847" s="14">
        <f>IF(F3847&lt;&gt;"","ISSUE-"&amp;TEXT(ROW()-1,"00000"),"")</f>
        <v/>
      </c>
      <c r="B3847" s="14">
        <f>IF(F3847&lt;&gt;"","错误","")</f>
        <v/>
      </c>
      <c r="C3847" s="14">
        <f>IF('09_连续性验收'!A347&lt;&gt;"","09_连续性验收","")</f>
        <v/>
      </c>
      <c r="D3847" s="14">
        <f>IF('09_连续性验收'!A347&lt;&gt;"",'09_连续性验收'!A347,"")</f>
        <v/>
      </c>
      <c r="E3847" s="14">
        <f>IF(F3847&lt;&gt;"","综合校验","")</f>
        <v/>
      </c>
      <c r="F3847" s="14">
        <f>IF('09_连续性验收'!A347&lt;&gt;"",IF('09_连续性验收'!A347="","缺少验收ID；","")&amp;IF('09_连续性验收'!B347="","缺少对象ID；","")&amp;IF('09_连续性验收'!C347="","缺少检查类型；","")&amp;IF(AND('09_连续性验收'!J347&lt;&gt;"",'09_连续性验收'!K347&lt;&gt;"",'09_连续性验收'!J347&gt;'09_连续性验收'!K347),"坐标偏差超标；","")&amp;IF(AND('09_连续性验收'!B347&lt;&gt;"",COUNTIF('02_固定地理'!$A$2:$A$501,'09_连续性验收'!B347)+COUNTIF('03_地点锚点'!$A$2:$A$501,'09_连续性验收'!B347)+COUNTIF('04_路径网络'!$A$2:$A$501,'09_连续性验收'!B347)+COUNTIF('06_建筑锚点'!$A$2:$A$501,'09_连续性验收'!B347)=0),"验收对象不存在；","")&amp;IF(AND('09_连续性验收'!A347&lt;&gt;"",COUNTIF('09_连续性验收'!$A$2:$A$501,'09_连续性验收'!A347)&gt;1),"ID重复；",""),"")</f>
        <v/>
      </c>
      <c r="G3847" s="14">
        <f>IF(F3847&lt;&gt;"","按字段批注、数据字典和来源记录修正后复核","")</f>
        <v/>
      </c>
      <c r="H3847" s="14">
        <f>IF(F3847&lt;&gt;"","待处理","")</f>
        <v/>
      </c>
    </row>
    <row r="3848">
      <c r="A3848" s="14">
        <f>IF(F3848&lt;&gt;"","ISSUE-"&amp;TEXT(ROW()-1,"00000"),"")</f>
        <v/>
      </c>
      <c r="B3848" s="14">
        <f>IF(F3848&lt;&gt;"","错误","")</f>
        <v/>
      </c>
      <c r="C3848" s="14">
        <f>IF('09_连续性验收'!A348&lt;&gt;"","09_连续性验收","")</f>
        <v/>
      </c>
      <c r="D3848" s="14">
        <f>IF('09_连续性验收'!A348&lt;&gt;"",'09_连续性验收'!A348,"")</f>
        <v/>
      </c>
      <c r="E3848" s="14">
        <f>IF(F3848&lt;&gt;"","综合校验","")</f>
        <v/>
      </c>
      <c r="F3848" s="14">
        <f>IF('09_连续性验收'!A348&lt;&gt;"",IF('09_连续性验收'!A348="","缺少验收ID；","")&amp;IF('09_连续性验收'!B348="","缺少对象ID；","")&amp;IF('09_连续性验收'!C348="","缺少检查类型；","")&amp;IF(AND('09_连续性验收'!J348&lt;&gt;"",'09_连续性验收'!K348&lt;&gt;"",'09_连续性验收'!J348&gt;'09_连续性验收'!K348),"坐标偏差超标；","")&amp;IF(AND('09_连续性验收'!B348&lt;&gt;"",COUNTIF('02_固定地理'!$A$2:$A$501,'09_连续性验收'!B348)+COUNTIF('03_地点锚点'!$A$2:$A$501,'09_连续性验收'!B348)+COUNTIF('04_路径网络'!$A$2:$A$501,'09_连续性验收'!B348)+COUNTIF('06_建筑锚点'!$A$2:$A$501,'09_连续性验收'!B348)=0),"验收对象不存在；","")&amp;IF(AND('09_连续性验收'!A348&lt;&gt;"",COUNTIF('09_连续性验收'!$A$2:$A$501,'09_连续性验收'!A348)&gt;1),"ID重复；",""),"")</f>
        <v/>
      </c>
      <c r="G3848" s="14">
        <f>IF(F3848&lt;&gt;"","按字段批注、数据字典和来源记录修正后复核","")</f>
        <v/>
      </c>
      <c r="H3848" s="14">
        <f>IF(F3848&lt;&gt;"","待处理","")</f>
        <v/>
      </c>
    </row>
    <row r="3849">
      <c r="A3849" s="14">
        <f>IF(F3849&lt;&gt;"","ISSUE-"&amp;TEXT(ROW()-1,"00000"),"")</f>
        <v/>
      </c>
      <c r="B3849" s="14">
        <f>IF(F3849&lt;&gt;"","错误","")</f>
        <v/>
      </c>
      <c r="C3849" s="14">
        <f>IF('09_连续性验收'!A349&lt;&gt;"","09_连续性验收","")</f>
        <v/>
      </c>
      <c r="D3849" s="14">
        <f>IF('09_连续性验收'!A349&lt;&gt;"",'09_连续性验收'!A349,"")</f>
        <v/>
      </c>
      <c r="E3849" s="14">
        <f>IF(F3849&lt;&gt;"","综合校验","")</f>
        <v/>
      </c>
      <c r="F3849" s="14">
        <f>IF('09_连续性验收'!A349&lt;&gt;"",IF('09_连续性验收'!A349="","缺少验收ID；","")&amp;IF('09_连续性验收'!B349="","缺少对象ID；","")&amp;IF('09_连续性验收'!C349="","缺少检查类型；","")&amp;IF(AND('09_连续性验收'!J349&lt;&gt;"",'09_连续性验收'!K349&lt;&gt;"",'09_连续性验收'!J349&gt;'09_连续性验收'!K349),"坐标偏差超标；","")&amp;IF(AND('09_连续性验收'!B349&lt;&gt;"",COUNTIF('02_固定地理'!$A$2:$A$501,'09_连续性验收'!B349)+COUNTIF('03_地点锚点'!$A$2:$A$501,'09_连续性验收'!B349)+COUNTIF('04_路径网络'!$A$2:$A$501,'09_连续性验收'!B349)+COUNTIF('06_建筑锚点'!$A$2:$A$501,'09_连续性验收'!B349)=0),"验收对象不存在；","")&amp;IF(AND('09_连续性验收'!A349&lt;&gt;"",COUNTIF('09_连续性验收'!$A$2:$A$501,'09_连续性验收'!A349)&gt;1),"ID重复；",""),"")</f>
        <v/>
      </c>
      <c r="G3849" s="14">
        <f>IF(F3849&lt;&gt;"","按字段批注、数据字典和来源记录修正后复核","")</f>
        <v/>
      </c>
      <c r="H3849" s="14">
        <f>IF(F3849&lt;&gt;"","待处理","")</f>
        <v/>
      </c>
    </row>
    <row r="3850">
      <c r="A3850" s="14">
        <f>IF(F3850&lt;&gt;"","ISSUE-"&amp;TEXT(ROW()-1,"00000"),"")</f>
        <v/>
      </c>
      <c r="B3850" s="14">
        <f>IF(F3850&lt;&gt;"","错误","")</f>
        <v/>
      </c>
      <c r="C3850" s="14">
        <f>IF('09_连续性验收'!A350&lt;&gt;"","09_连续性验收","")</f>
        <v/>
      </c>
      <c r="D3850" s="14">
        <f>IF('09_连续性验收'!A350&lt;&gt;"",'09_连续性验收'!A350,"")</f>
        <v/>
      </c>
      <c r="E3850" s="14">
        <f>IF(F3850&lt;&gt;"","综合校验","")</f>
        <v/>
      </c>
      <c r="F3850" s="14">
        <f>IF('09_连续性验收'!A350&lt;&gt;"",IF('09_连续性验收'!A350="","缺少验收ID；","")&amp;IF('09_连续性验收'!B350="","缺少对象ID；","")&amp;IF('09_连续性验收'!C350="","缺少检查类型；","")&amp;IF(AND('09_连续性验收'!J350&lt;&gt;"",'09_连续性验收'!K350&lt;&gt;"",'09_连续性验收'!J350&gt;'09_连续性验收'!K350),"坐标偏差超标；","")&amp;IF(AND('09_连续性验收'!B350&lt;&gt;"",COUNTIF('02_固定地理'!$A$2:$A$501,'09_连续性验收'!B350)+COUNTIF('03_地点锚点'!$A$2:$A$501,'09_连续性验收'!B350)+COUNTIF('04_路径网络'!$A$2:$A$501,'09_连续性验收'!B350)+COUNTIF('06_建筑锚点'!$A$2:$A$501,'09_连续性验收'!B350)=0),"验收对象不存在；","")&amp;IF(AND('09_连续性验收'!A350&lt;&gt;"",COUNTIF('09_连续性验收'!$A$2:$A$501,'09_连续性验收'!A350)&gt;1),"ID重复；",""),"")</f>
        <v/>
      </c>
      <c r="G3850" s="14">
        <f>IF(F3850&lt;&gt;"","按字段批注、数据字典和来源记录修正后复核","")</f>
        <v/>
      </c>
      <c r="H3850" s="14">
        <f>IF(F3850&lt;&gt;"","待处理","")</f>
        <v/>
      </c>
    </row>
    <row r="3851">
      <c r="A3851" s="14">
        <f>IF(F3851&lt;&gt;"","ISSUE-"&amp;TEXT(ROW()-1,"00000"),"")</f>
        <v/>
      </c>
      <c r="B3851" s="14">
        <f>IF(F3851&lt;&gt;"","错误","")</f>
        <v/>
      </c>
      <c r="C3851" s="14">
        <f>IF('09_连续性验收'!A351&lt;&gt;"","09_连续性验收","")</f>
        <v/>
      </c>
      <c r="D3851" s="14">
        <f>IF('09_连续性验收'!A351&lt;&gt;"",'09_连续性验收'!A351,"")</f>
        <v/>
      </c>
      <c r="E3851" s="14">
        <f>IF(F3851&lt;&gt;"","综合校验","")</f>
        <v/>
      </c>
      <c r="F3851" s="14">
        <f>IF('09_连续性验收'!A351&lt;&gt;"",IF('09_连续性验收'!A351="","缺少验收ID；","")&amp;IF('09_连续性验收'!B351="","缺少对象ID；","")&amp;IF('09_连续性验收'!C351="","缺少检查类型；","")&amp;IF(AND('09_连续性验收'!J351&lt;&gt;"",'09_连续性验收'!K351&lt;&gt;"",'09_连续性验收'!J351&gt;'09_连续性验收'!K351),"坐标偏差超标；","")&amp;IF(AND('09_连续性验收'!B351&lt;&gt;"",COUNTIF('02_固定地理'!$A$2:$A$501,'09_连续性验收'!B351)+COUNTIF('03_地点锚点'!$A$2:$A$501,'09_连续性验收'!B351)+COUNTIF('04_路径网络'!$A$2:$A$501,'09_连续性验收'!B351)+COUNTIF('06_建筑锚点'!$A$2:$A$501,'09_连续性验收'!B351)=0),"验收对象不存在；","")&amp;IF(AND('09_连续性验收'!A351&lt;&gt;"",COUNTIF('09_连续性验收'!$A$2:$A$501,'09_连续性验收'!A351)&gt;1),"ID重复；",""),"")</f>
        <v/>
      </c>
      <c r="G3851" s="14">
        <f>IF(F3851&lt;&gt;"","按字段批注、数据字典和来源记录修正后复核","")</f>
        <v/>
      </c>
      <c r="H3851" s="14">
        <f>IF(F3851&lt;&gt;"","待处理","")</f>
        <v/>
      </c>
    </row>
    <row r="3852">
      <c r="A3852" s="14">
        <f>IF(F3852&lt;&gt;"","ISSUE-"&amp;TEXT(ROW()-1,"00000"),"")</f>
        <v/>
      </c>
      <c r="B3852" s="14">
        <f>IF(F3852&lt;&gt;"","错误","")</f>
        <v/>
      </c>
      <c r="C3852" s="14">
        <f>IF('09_连续性验收'!A352&lt;&gt;"","09_连续性验收","")</f>
        <v/>
      </c>
      <c r="D3852" s="14">
        <f>IF('09_连续性验收'!A352&lt;&gt;"",'09_连续性验收'!A352,"")</f>
        <v/>
      </c>
      <c r="E3852" s="14">
        <f>IF(F3852&lt;&gt;"","综合校验","")</f>
        <v/>
      </c>
      <c r="F3852" s="14">
        <f>IF('09_连续性验收'!A352&lt;&gt;"",IF('09_连续性验收'!A352="","缺少验收ID；","")&amp;IF('09_连续性验收'!B352="","缺少对象ID；","")&amp;IF('09_连续性验收'!C352="","缺少检查类型；","")&amp;IF(AND('09_连续性验收'!J352&lt;&gt;"",'09_连续性验收'!K352&lt;&gt;"",'09_连续性验收'!J352&gt;'09_连续性验收'!K352),"坐标偏差超标；","")&amp;IF(AND('09_连续性验收'!B352&lt;&gt;"",COUNTIF('02_固定地理'!$A$2:$A$501,'09_连续性验收'!B352)+COUNTIF('03_地点锚点'!$A$2:$A$501,'09_连续性验收'!B352)+COUNTIF('04_路径网络'!$A$2:$A$501,'09_连续性验收'!B352)+COUNTIF('06_建筑锚点'!$A$2:$A$501,'09_连续性验收'!B352)=0),"验收对象不存在；","")&amp;IF(AND('09_连续性验收'!A352&lt;&gt;"",COUNTIF('09_连续性验收'!$A$2:$A$501,'09_连续性验收'!A352)&gt;1),"ID重复；",""),"")</f>
        <v/>
      </c>
      <c r="G3852" s="14">
        <f>IF(F3852&lt;&gt;"","按字段批注、数据字典和来源记录修正后复核","")</f>
        <v/>
      </c>
      <c r="H3852" s="14">
        <f>IF(F3852&lt;&gt;"","待处理","")</f>
        <v/>
      </c>
    </row>
    <row r="3853">
      <c r="A3853" s="14">
        <f>IF(F3853&lt;&gt;"","ISSUE-"&amp;TEXT(ROW()-1,"00000"),"")</f>
        <v/>
      </c>
      <c r="B3853" s="14">
        <f>IF(F3853&lt;&gt;"","错误","")</f>
        <v/>
      </c>
      <c r="C3853" s="14">
        <f>IF('09_连续性验收'!A353&lt;&gt;"","09_连续性验收","")</f>
        <v/>
      </c>
      <c r="D3853" s="14">
        <f>IF('09_连续性验收'!A353&lt;&gt;"",'09_连续性验收'!A353,"")</f>
        <v/>
      </c>
      <c r="E3853" s="14">
        <f>IF(F3853&lt;&gt;"","综合校验","")</f>
        <v/>
      </c>
      <c r="F3853" s="14">
        <f>IF('09_连续性验收'!A353&lt;&gt;"",IF('09_连续性验收'!A353="","缺少验收ID；","")&amp;IF('09_连续性验收'!B353="","缺少对象ID；","")&amp;IF('09_连续性验收'!C353="","缺少检查类型；","")&amp;IF(AND('09_连续性验收'!J353&lt;&gt;"",'09_连续性验收'!K353&lt;&gt;"",'09_连续性验收'!J353&gt;'09_连续性验收'!K353),"坐标偏差超标；","")&amp;IF(AND('09_连续性验收'!B353&lt;&gt;"",COUNTIF('02_固定地理'!$A$2:$A$501,'09_连续性验收'!B353)+COUNTIF('03_地点锚点'!$A$2:$A$501,'09_连续性验收'!B353)+COUNTIF('04_路径网络'!$A$2:$A$501,'09_连续性验收'!B353)+COUNTIF('06_建筑锚点'!$A$2:$A$501,'09_连续性验收'!B353)=0),"验收对象不存在；","")&amp;IF(AND('09_连续性验收'!A353&lt;&gt;"",COUNTIF('09_连续性验收'!$A$2:$A$501,'09_连续性验收'!A353)&gt;1),"ID重复；",""),"")</f>
        <v/>
      </c>
      <c r="G3853" s="14">
        <f>IF(F3853&lt;&gt;"","按字段批注、数据字典和来源记录修正后复核","")</f>
        <v/>
      </c>
      <c r="H3853" s="14">
        <f>IF(F3853&lt;&gt;"","待处理","")</f>
        <v/>
      </c>
    </row>
    <row r="3854">
      <c r="A3854" s="14">
        <f>IF(F3854&lt;&gt;"","ISSUE-"&amp;TEXT(ROW()-1,"00000"),"")</f>
        <v/>
      </c>
      <c r="B3854" s="14">
        <f>IF(F3854&lt;&gt;"","错误","")</f>
        <v/>
      </c>
      <c r="C3854" s="14">
        <f>IF('09_连续性验收'!A354&lt;&gt;"","09_连续性验收","")</f>
        <v/>
      </c>
      <c r="D3854" s="14">
        <f>IF('09_连续性验收'!A354&lt;&gt;"",'09_连续性验收'!A354,"")</f>
        <v/>
      </c>
      <c r="E3854" s="14">
        <f>IF(F3854&lt;&gt;"","综合校验","")</f>
        <v/>
      </c>
      <c r="F3854" s="14">
        <f>IF('09_连续性验收'!A354&lt;&gt;"",IF('09_连续性验收'!A354="","缺少验收ID；","")&amp;IF('09_连续性验收'!B354="","缺少对象ID；","")&amp;IF('09_连续性验收'!C354="","缺少检查类型；","")&amp;IF(AND('09_连续性验收'!J354&lt;&gt;"",'09_连续性验收'!K354&lt;&gt;"",'09_连续性验收'!J354&gt;'09_连续性验收'!K354),"坐标偏差超标；","")&amp;IF(AND('09_连续性验收'!B354&lt;&gt;"",COUNTIF('02_固定地理'!$A$2:$A$501,'09_连续性验收'!B354)+COUNTIF('03_地点锚点'!$A$2:$A$501,'09_连续性验收'!B354)+COUNTIF('04_路径网络'!$A$2:$A$501,'09_连续性验收'!B354)+COUNTIF('06_建筑锚点'!$A$2:$A$501,'09_连续性验收'!B354)=0),"验收对象不存在；","")&amp;IF(AND('09_连续性验收'!A354&lt;&gt;"",COUNTIF('09_连续性验收'!$A$2:$A$501,'09_连续性验收'!A354)&gt;1),"ID重复；",""),"")</f>
        <v/>
      </c>
      <c r="G3854" s="14">
        <f>IF(F3854&lt;&gt;"","按字段批注、数据字典和来源记录修正后复核","")</f>
        <v/>
      </c>
      <c r="H3854" s="14">
        <f>IF(F3854&lt;&gt;"","待处理","")</f>
        <v/>
      </c>
    </row>
    <row r="3855">
      <c r="A3855" s="14">
        <f>IF(F3855&lt;&gt;"","ISSUE-"&amp;TEXT(ROW()-1,"00000"),"")</f>
        <v/>
      </c>
      <c r="B3855" s="14">
        <f>IF(F3855&lt;&gt;"","错误","")</f>
        <v/>
      </c>
      <c r="C3855" s="14">
        <f>IF('09_连续性验收'!A355&lt;&gt;"","09_连续性验收","")</f>
        <v/>
      </c>
      <c r="D3855" s="14">
        <f>IF('09_连续性验收'!A355&lt;&gt;"",'09_连续性验收'!A355,"")</f>
        <v/>
      </c>
      <c r="E3855" s="14">
        <f>IF(F3855&lt;&gt;"","综合校验","")</f>
        <v/>
      </c>
      <c r="F3855" s="14">
        <f>IF('09_连续性验收'!A355&lt;&gt;"",IF('09_连续性验收'!A355="","缺少验收ID；","")&amp;IF('09_连续性验收'!B355="","缺少对象ID；","")&amp;IF('09_连续性验收'!C355="","缺少检查类型；","")&amp;IF(AND('09_连续性验收'!J355&lt;&gt;"",'09_连续性验收'!K355&lt;&gt;"",'09_连续性验收'!J355&gt;'09_连续性验收'!K355),"坐标偏差超标；","")&amp;IF(AND('09_连续性验收'!B355&lt;&gt;"",COUNTIF('02_固定地理'!$A$2:$A$501,'09_连续性验收'!B355)+COUNTIF('03_地点锚点'!$A$2:$A$501,'09_连续性验收'!B355)+COUNTIF('04_路径网络'!$A$2:$A$501,'09_连续性验收'!B355)+COUNTIF('06_建筑锚点'!$A$2:$A$501,'09_连续性验收'!B355)=0),"验收对象不存在；","")&amp;IF(AND('09_连续性验收'!A355&lt;&gt;"",COUNTIF('09_连续性验收'!$A$2:$A$501,'09_连续性验收'!A355)&gt;1),"ID重复；",""),"")</f>
        <v/>
      </c>
      <c r="G3855" s="14">
        <f>IF(F3855&lt;&gt;"","按字段批注、数据字典和来源记录修正后复核","")</f>
        <v/>
      </c>
      <c r="H3855" s="14">
        <f>IF(F3855&lt;&gt;"","待处理","")</f>
        <v/>
      </c>
    </row>
    <row r="3856">
      <c r="A3856" s="14">
        <f>IF(F3856&lt;&gt;"","ISSUE-"&amp;TEXT(ROW()-1,"00000"),"")</f>
        <v/>
      </c>
      <c r="B3856" s="14">
        <f>IF(F3856&lt;&gt;"","错误","")</f>
        <v/>
      </c>
      <c r="C3856" s="14">
        <f>IF('09_连续性验收'!A356&lt;&gt;"","09_连续性验收","")</f>
        <v/>
      </c>
      <c r="D3856" s="14">
        <f>IF('09_连续性验收'!A356&lt;&gt;"",'09_连续性验收'!A356,"")</f>
        <v/>
      </c>
      <c r="E3856" s="14">
        <f>IF(F3856&lt;&gt;"","综合校验","")</f>
        <v/>
      </c>
      <c r="F3856" s="14">
        <f>IF('09_连续性验收'!A356&lt;&gt;"",IF('09_连续性验收'!A356="","缺少验收ID；","")&amp;IF('09_连续性验收'!B356="","缺少对象ID；","")&amp;IF('09_连续性验收'!C356="","缺少检查类型；","")&amp;IF(AND('09_连续性验收'!J356&lt;&gt;"",'09_连续性验收'!K356&lt;&gt;"",'09_连续性验收'!J356&gt;'09_连续性验收'!K356),"坐标偏差超标；","")&amp;IF(AND('09_连续性验收'!B356&lt;&gt;"",COUNTIF('02_固定地理'!$A$2:$A$501,'09_连续性验收'!B356)+COUNTIF('03_地点锚点'!$A$2:$A$501,'09_连续性验收'!B356)+COUNTIF('04_路径网络'!$A$2:$A$501,'09_连续性验收'!B356)+COUNTIF('06_建筑锚点'!$A$2:$A$501,'09_连续性验收'!B356)=0),"验收对象不存在；","")&amp;IF(AND('09_连续性验收'!A356&lt;&gt;"",COUNTIF('09_连续性验收'!$A$2:$A$501,'09_连续性验收'!A356)&gt;1),"ID重复；",""),"")</f>
        <v/>
      </c>
      <c r="G3856" s="14">
        <f>IF(F3856&lt;&gt;"","按字段批注、数据字典和来源记录修正后复核","")</f>
        <v/>
      </c>
      <c r="H3856" s="14">
        <f>IF(F3856&lt;&gt;"","待处理","")</f>
        <v/>
      </c>
    </row>
    <row r="3857">
      <c r="A3857" s="14">
        <f>IF(F3857&lt;&gt;"","ISSUE-"&amp;TEXT(ROW()-1,"00000"),"")</f>
        <v/>
      </c>
      <c r="B3857" s="14">
        <f>IF(F3857&lt;&gt;"","错误","")</f>
        <v/>
      </c>
      <c r="C3857" s="14">
        <f>IF('09_连续性验收'!A357&lt;&gt;"","09_连续性验收","")</f>
        <v/>
      </c>
      <c r="D3857" s="14">
        <f>IF('09_连续性验收'!A357&lt;&gt;"",'09_连续性验收'!A357,"")</f>
        <v/>
      </c>
      <c r="E3857" s="14">
        <f>IF(F3857&lt;&gt;"","综合校验","")</f>
        <v/>
      </c>
      <c r="F3857" s="14">
        <f>IF('09_连续性验收'!A357&lt;&gt;"",IF('09_连续性验收'!A357="","缺少验收ID；","")&amp;IF('09_连续性验收'!B357="","缺少对象ID；","")&amp;IF('09_连续性验收'!C357="","缺少检查类型；","")&amp;IF(AND('09_连续性验收'!J357&lt;&gt;"",'09_连续性验收'!K357&lt;&gt;"",'09_连续性验收'!J357&gt;'09_连续性验收'!K357),"坐标偏差超标；","")&amp;IF(AND('09_连续性验收'!B357&lt;&gt;"",COUNTIF('02_固定地理'!$A$2:$A$501,'09_连续性验收'!B357)+COUNTIF('03_地点锚点'!$A$2:$A$501,'09_连续性验收'!B357)+COUNTIF('04_路径网络'!$A$2:$A$501,'09_连续性验收'!B357)+COUNTIF('06_建筑锚点'!$A$2:$A$501,'09_连续性验收'!B357)=0),"验收对象不存在；","")&amp;IF(AND('09_连续性验收'!A357&lt;&gt;"",COUNTIF('09_连续性验收'!$A$2:$A$501,'09_连续性验收'!A357)&gt;1),"ID重复；",""),"")</f>
        <v/>
      </c>
      <c r="G3857" s="14">
        <f>IF(F3857&lt;&gt;"","按字段批注、数据字典和来源记录修正后复核","")</f>
        <v/>
      </c>
      <c r="H3857" s="14">
        <f>IF(F3857&lt;&gt;"","待处理","")</f>
        <v/>
      </c>
    </row>
    <row r="3858">
      <c r="A3858" s="14">
        <f>IF(F3858&lt;&gt;"","ISSUE-"&amp;TEXT(ROW()-1,"00000"),"")</f>
        <v/>
      </c>
      <c r="B3858" s="14">
        <f>IF(F3858&lt;&gt;"","错误","")</f>
        <v/>
      </c>
      <c r="C3858" s="14">
        <f>IF('09_连续性验收'!A358&lt;&gt;"","09_连续性验收","")</f>
        <v/>
      </c>
      <c r="D3858" s="14">
        <f>IF('09_连续性验收'!A358&lt;&gt;"",'09_连续性验收'!A358,"")</f>
        <v/>
      </c>
      <c r="E3858" s="14">
        <f>IF(F3858&lt;&gt;"","综合校验","")</f>
        <v/>
      </c>
      <c r="F3858" s="14">
        <f>IF('09_连续性验收'!A358&lt;&gt;"",IF('09_连续性验收'!A358="","缺少验收ID；","")&amp;IF('09_连续性验收'!B358="","缺少对象ID；","")&amp;IF('09_连续性验收'!C358="","缺少检查类型；","")&amp;IF(AND('09_连续性验收'!J358&lt;&gt;"",'09_连续性验收'!K358&lt;&gt;"",'09_连续性验收'!J358&gt;'09_连续性验收'!K358),"坐标偏差超标；","")&amp;IF(AND('09_连续性验收'!B358&lt;&gt;"",COUNTIF('02_固定地理'!$A$2:$A$501,'09_连续性验收'!B358)+COUNTIF('03_地点锚点'!$A$2:$A$501,'09_连续性验收'!B358)+COUNTIF('04_路径网络'!$A$2:$A$501,'09_连续性验收'!B358)+COUNTIF('06_建筑锚点'!$A$2:$A$501,'09_连续性验收'!B358)=0),"验收对象不存在；","")&amp;IF(AND('09_连续性验收'!A358&lt;&gt;"",COUNTIF('09_连续性验收'!$A$2:$A$501,'09_连续性验收'!A358)&gt;1),"ID重复；",""),"")</f>
        <v/>
      </c>
      <c r="G3858" s="14">
        <f>IF(F3858&lt;&gt;"","按字段批注、数据字典和来源记录修正后复核","")</f>
        <v/>
      </c>
      <c r="H3858" s="14">
        <f>IF(F3858&lt;&gt;"","待处理","")</f>
        <v/>
      </c>
    </row>
    <row r="3859">
      <c r="A3859" s="14">
        <f>IF(F3859&lt;&gt;"","ISSUE-"&amp;TEXT(ROW()-1,"00000"),"")</f>
        <v/>
      </c>
      <c r="B3859" s="14">
        <f>IF(F3859&lt;&gt;"","错误","")</f>
        <v/>
      </c>
      <c r="C3859" s="14">
        <f>IF('09_连续性验收'!A359&lt;&gt;"","09_连续性验收","")</f>
        <v/>
      </c>
      <c r="D3859" s="14">
        <f>IF('09_连续性验收'!A359&lt;&gt;"",'09_连续性验收'!A359,"")</f>
        <v/>
      </c>
      <c r="E3859" s="14">
        <f>IF(F3859&lt;&gt;"","综合校验","")</f>
        <v/>
      </c>
      <c r="F3859" s="14">
        <f>IF('09_连续性验收'!A359&lt;&gt;"",IF('09_连续性验收'!A359="","缺少验收ID；","")&amp;IF('09_连续性验收'!B359="","缺少对象ID；","")&amp;IF('09_连续性验收'!C359="","缺少检查类型；","")&amp;IF(AND('09_连续性验收'!J359&lt;&gt;"",'09_连续性验收'!K359&lt;&gt;"",'09_连续性验收'!J359&gt;'09_连续性验收'!K359),"坐标偏差超标；","")&amp;IF(AND('09_连续性验收'!B359&lt;&gt;"",COUNTIF('02_固定地理'!$A$2:$A$501,'09_连续性验收'!B359)+COUNTIF('03_地点锚点'!$A$2:$A$501,'09_连续性验收'!B359)+COUNTIF('04_路径网络'!$A$2:$A$501,'09_连续性验收'!B359)+COUNTIF('06_建筑锚点'!$A$2:$A$501,'09_连续性验收'!B359)=0),"验收对象不存在；","")&amp;IF(AND('09_连续性验收'!A359&lt;&gt;"",COUNTIF('09_连续性验收'!$A$2:$A$501,'09_连续性验收'!A359)&gt;1),"ID重复；",""),"")</f>
        <v/>
      </c>
      <c r="G3859" s="14">
        <f>IF(F3859&lt;&gt;"","按字段批注、数据字典和来源记录修正后复核","")</f>
        <v/>
      </c>
      <c r="H3859" s="14">
        <f>IF(F3859&lt;&gt;"","待处理","")</f>
        <v/>
      </c>
    </row>
    <row r="3860">
      <c r="A3860" s="14">
        <f>IF(F3860&lt;&gt;"","ISSUE-"&amp;TEXT(ROW()-1,"00000"),"")</f>
        <v/>
      </c>
      <c r="B3860" s="14">
        <f>IF(F3860&lt;&gt;"","错误","")</f>
        <v/>
      </c>
      <c r="C3860" s="14">
        <f>IF('09_连续性验收'!A360&lt;&gt;"","09_连续性验收","")</f>
        <v/>
      </c>
      <c r="D3860" s="14">
        <f>IF('09_连续性验收'!A360&lt;&gt;"",'09_连续性验收'!A360,"")</f>
        <v/>
      </c>
      <c r="E3860" s="14">
        <f>IF(F3860&lt;&gt;"","综合校验","")</f>
        <v/>
      </c>
      <c r="F3860" s="14">
        <f>IF('09_连续性验收'!A360&lt;&gt;"",IF('09_连续性验收'!A360="","缺少验收ID；","")&amp;IF('09_连续性验收'!B360="","缺少对象ID；","")&amp;IF('09_连续性验收'!C360="","缺少检查类型；","")&amp;IF(AND('09_连续性验收'!J360&lt;&gt;"",'09_连续性验收'!K360&lt;&gt;"",'09_连续性验收'!J360&gt;'09_连续性验收'!K360),"坐标偏差超标；","")&amp;IF(AND('09_连续性验收'!B360&lt;&gt;"",COUNTIF('02_固定地理'!$A$2:$A$501,'09_连续性验收'!B360)+COUNTIF('03_地点锚点'!$A$2:$A$501,'09_连续性验收'!B360)+COUNTIF('04_路径网络'!$A$2:$A$501,'09_连续性验收'!B360)+COUNTIF('06_建筑锚点'!$A$2:$A$501,'09_连续性验收'!B360)=0),"验收对象不存在；","")&amp;IF(AND('09_连续性验收'!A360&lt;&gt;"",COUNTIF('09_连续性验收'!$A$2:$A$501,'09_连续性验收'!A360)&gt;1),"ID重复；",""),"")</f>
        <v/>
      </c>
      <c r="G3860" s="14">
        <f>IF(F3860&lt;&gt;"","按字段批注、数据字典和来源记录修正后复核","")</f>
        <v/>
      </c>
      <c r="H3860" s="14">
        <f>IF(F3860&lt;&gt;"","待处理","")</f>
        <v/>
      </c>
    </row>
    <row r="3861">
      <c r="A3861" s="14">
        <f>IF(F3861&lt;&gt;"","ISSUE-"&amp;TEXT(ROW()-1,"00000"),"")</f>
        <v/>
      </c>
      <c r="B3861" s="14">
        <f>IF(F3861&lt;&gt;"","错误","")</f>
        <v/>
      </c>
      <c r="C3861" s="14">
        <f>IF('09_连续性验收'!A361&lt;&gt;"","09_连续性验收","")</f>
        <v/>
      </c>
      <c r="D3861" s="14">
        <f>IF('09_连续性验收'!A361&lt;&gt;"",'09_连续性验收'!A361,"")</f>
        <v/>
      </c>
      <c r="E3861" s="14">
        <f>IF(F3861&lt;&gt;"","综合校验","")</f>
        <v/>
      </c>
      <c r="F3861" s="14">
        <f>IF('09_连续性验收'!A361&lt;&gt;"",IF('09_连续性验收'!A361="","缺少验收ID；","")&amp;IF('09_连续性验收'!B361="","缺少对象ID；","")&amp;IF('09_连续性验收'!C361="","缺少检查类型；","")&amp;IF(AND('09_连续性验收'!J361&lt;&gt;"",'09_连续性验收'!K361&lt;&gt;"",'09_连续性验收'!J361&gt;'09_连续性验收'!K361),"坐标偏差超标；","")&amp;IF(AND('09_连续性验收'!B361&lt;&gt;"",COUNTIF('02_固定地理'!$A$2:$A$501,'09_连续性验收'!B361)+COUNTIF('03_地点锚点'!$A$2:$A$501,'09_连续性验收'!B361)+COUNTIF('04_路径网络'!$A$2:$A$501,'09_连续性验收'!B361)+COUNTIF('06_建筑锚点'!$A$2:$A$501,'09_连续性验收'!B361)=0),"验收对象不存在；","")&amp;IF(AND('09_连续性验收'!A361&lt;&gt;"",COUNTIF('09_连续性验收'!$A$2:$A$501,'09_连续性验收'!A361)&gt;1),"ID重复；",""),"")</f>
        <v/>
      </c>
      <c r="G3861" s="14">
        <f>IF(F3861&lt;&gt;"","按字段批注、数据字典和来源记录修正后复核","")</f>
        <v/>
      </c>
      <c r="H3861" s="14">
        <f>IF(F3861&lt;&gt;"","待处理","")</f>
        <v/>
      </c>
    </row>
    <row r="3862">
      <c r="A3862" s="14">
        <f>IF(F3862&lt;&gt;"","ISSUE-"&amp;TEXT(ROW()-1,"00000"),"")</f>
        <v/>
      </c>
      <c r="B3862" s="14">
        <f>IF(F3862&lt;&gt;"","错误","")</f>
        <v/>
      </c>
      <c r="C3862" s="14">
        <f>IF('09_连续性验收'!A362&lt;&gt;"","09_连续性验收","")</f>
        <v/>
      </c>
      <c r="D3862" s="14">
        <f>IF('09_连续性验收'!A362&lt;&gt;"",'09_连续性验收'!A362,"")</f>
        <v/>
      </c>
      <c r="E3862" s="14">
        <f>IF(F3862&lt;&gt;"","综合校验","")</f>
        <v/>
      </c>
      <c r="F3862" s="14">
        <f>IF('09_连续性验收'!A362&lt;&gt;"",IF('09_连续性验收'!A362="","缺少验收ID；","")&amp;IF('09_连续性验收'!B362="","缺少对象ID；","")&amp;IF('09_连续性验收'!C362="","缺少检查类型；","")&amp;IF(AND('09_连续性验收'!J362&lt;&gt;"",'09_连续性验收'!K362&lt;&gt;"",'09_连续性验收'!J362&gt;'09_连续性验收'!K362),"坐标偏差超标；","")&amp;IF(AND('09_连续性验收'!B362&lt;&gt;"",COUNTIF('02_固定地理'!$A$2:$A$501,'09_连续性验收'!B362)+COUNTIF('03_地点锚点'!$A$2:$A$501,'09_连续性验收'!B362)+COUNTIF('04_路径网络'!$A$2:$A$501,'09_连续性验收'!B362)+COUNTIF('06_建筑锚点'!$A$2:$A$501,'09_连续性验收'!B362)=0),"验收对象不存在；","")&amp;IF(AND('09_连续性验收'!A362&lt;&gt;"",COUNTIF('09_连续性验收'!$A$2:$A$501,'09_连续性验收'!A362)&gt;1),"ID重复；",""),"")</f>
        <v/>
      </c>
      <c r="G3862" s="14">
        <f>IF(F3862&lt;&gt;"","按字段批注、数据字典和来源记录修正后复核","")</f>
        <v/>
      </c>
      <c r="H3862" s="14">
        <f>IF(F3862&lt;&gt;"","待处理","")</f>
        <v/>
      </c>
    </row>
    <row r="3863">
      <c r="A3863" s="14">
        <f>IF(F3863&lt;&gt;"","ISSUE-"&amp;TEXT(ROW()-1,"00000"),"")</f>
        <v/>
      </c>
      <c r="B3863" s="14">
        <f>IF(F3863&lt;&gt;"","错误","")</f>
        <v/>
      </c>
      <c r="C3863" s="14">
        <f>IF('09_连续性验收'!A363&lt;&gt;"","09_连续性验收","")</f>
        <v/>
      </c>
      <c r="D3863" s="14">
        <f>IF('09_连续性验收'!A363&lt;&gt;"",'09_连续性验收'!A363,"")</f>
        <v/>
      </c>
      <c r="E3863" s="14">
        <f>IF(F3863&lt;&gt;"","综合校验","")</f>
        <v/>
      </c>
      <c r="F3863" s="14">
        <f>IF('09_连续性验收'!A363&lt;&gt;"",IF('09_连续性验收'!A363="","缺少验收ID；","")&amp;IF('09_连续性验收'!B363="","缺少对象ID；","")&amp;IF('09_连续性验收'!C363="","缺少检查类型；","")&amp;IF(AND('09_连续性验收'!J363&lt;&gt;"",'09_连续性验收'!K363&lt;&gt;"",'09_连续性验收'!J363&gt;'09_连续性验收'!K363),"坐标偏差超标；","")&amp;IF(AND('09_连续性验收'!B363&lt;&gt;"",COUNTIF('02_固定地理'!$A$2:$A$501,'09_连续性验收'!B363)+COUNTIF('03_地点锚点'!$A$2:$A$501,'09_连续性验收'!B363)+COUNTIF('04_路径网络'!$A$2:$A$501,'09_连续性验收'!B363)+COUNTIF('06_建筑锚点'!$A$2:$A$501,'09_连续性验收'!B363)=0),"验收对象不存在；","")&amp;IF(AND('09_连续性验收'!A363&lt;&gt;"",COUNTIF('09_连续性验收'!$A$2:$A$501,'09_连续性验收'!A363)&gt;1),"ID重复；",""),"")</f>
        <v/>
      </c>
      <c r="G3863" s="14">
        <f>IF(F3863&lt;&gt;"","按字段批注、数据字典和来源记录修正后复核","")</f>
        <v/>
      </c>
      <c r="H3863" s="14">
        <f>IF(F3863&lt;&gt;"","待处理","")</f>
        <v/>
      </c>
    </row>
    <row r="3864">
      <c r="A3864" s="14">
        <f>IF(F3864&lt;&gt;"","ISSUE-"&amp;TEXT(ROW()-1,"00000"),"")</f>
        <v/>
      </c>
      <c r="B3864" s="14">
        <f>IF(F3864&lt;&gt;"","错误","")</f>
        <v/>
      </c>
      <c r="C3864" s="14">
        <f>IF('09_连续性验收'!A364&lt;&gt;"","09_连续性验收","")</f>
        <v/>
      </c>
      <c r="D3864" s="14">
        <f>IF('09_连续性验收'!A364&lt;&gt;"",'09_连续性验收'!A364,"")</f>
        <v/>
      </c>
      <c r="E3864" s="14">
        <f>IF(F3864&lt;&gt;"","综合校验","")</f>
        <v/>
      </c>
      <c r="F3864" s="14">
        <f>IF('09_连续性验收'!A364&lt;&gt;"",IF('09_连续性验收'!A364="","缺少验收ID；","")&amp;IF('09_连续性验收'!B364="","缺少对象ID；","")&amp;IF('09_连续性验收'!C364="","缺少检查类型；","")&amp;IF(AND('09_连续性验收'!J364&lt;&gt;"",'09_连续性验收'!K364&lt;&gt;"",'09_连续性验收'!J364&gt;'09_连续性验收'!K364),"坐标偏差超标；","")&amp;IF(AND('09_连续性验收'!B364&lt;&gt;"",COUNTIF('02_固定地理'!$A$2:$A$501,'09_连续性验收'!B364)+COUNTIF('03_地点锚点'!$A$2:$A$501,'09_连续性验收'!B364)+COUNTIF('04_路径网络'!$A$2:$A$501,'09_连续性验收'!B364)+COUNTIF('06_建筑锚点'!$A$2:$A$501,'09_连续性验收'!B364)=0),"验收对象不存在；","")&amp;IF(AND('09_连续性验收'!A364&lt;&gt;"",COUNTIF('09_连续性验收'!$A$2:$A$501,'09_连续性验收'!A364)&gt;1),"ID重复；",""),"")</f>
        <v/>
      </c>
      <c r="G3864" s="14">
        <f>IF(F3864&lt;&gt;"","按字段批注、数据字典和来源记录修正后复核","")</f>
        <v/>
      </c>
      <c r="H3864" s="14">
        <f>IF(F3864&lt;&gt;"","待处理","")</f>
        <v/>
      </c>
    </row>
    <row r="3865">
      <c r="A3865" s="14">
        <f>IF(F3865&lt;&gt;"","ISSUE-"&amp;TEXT(ROW()-1,"00000"),"")</f>
        <v/>
      </c>
      <c r="B3865" s="14">
        <f>IF(F3865&lt;&gt;"","错误","")</f>
        <v/>
      </c>
      <c r="C3865" s="14">
        <f>IF('09_连续性验收'!A365&lt;&gt;"","09_连续性验收","")</f>
        <v/>
      </c>
      <c r="D3865" s="14">
        <f>IF('09_连续性验收'!A365&lt;&gt;"",'09_连续性验收'!A365,"")</f>
        <v/>
      </c>
      <c r="E3865" s="14">
        <f>IF(F3865&lt;&gt;"","综合校验","")</f>
        <v/>
      </c>
      <c r="F3865" s="14">
        <f>IF('09_连续性验收'!A365&lt;&gt;"",IF('09_连续性验收'!A365="","缺少验收ID；","")&amp;IF('09_连续性验收'!B365="","缺少对象ID；","")&amp;IF('09_连续性验收'!C365="","缺少检查类型；","")&amp;IF(AND('09_连续性验收'!J365&lt;&gt;"",'09_连续性验收'!K365&lt;&gt;"",'09_连续性验收'!J365&gt;'09_连续性验收'!K365),"坐标偏差超标；","")&amp;IF(AND('09_连续性验收'!B365&lt;&gt;"",COUNTIF('02_固定地理'!$A$2:$A$501,'09_连续性验收'!B365)+COUNTIF('03_地点锚点'!$A$2:$A$501,'09_连续性验收'!B365)+COUNTIF('04_路径网络'!$A$2:$A$501,'09_连续性验收'!B365)+COUNTIF('06_建筑锚点'!$A$2:$A$501,'09_连续性验收'!B365)=0),"验收对象不存在；","")&amp;IF(AND('09_连续性验收'!A365&lt;&gt;"",COUNTIF('09_连续性验收'!$A$2:$A$501,'09_连续性验收'!A365)&gt;1),"ID重复；",""),"")</f>
        <v/>
      </c>
      <c r="G3865" s="14">
        <f>IF(F3865&lt;&gt;"","按字段批注、数据字典和来源记录修正后复核","")</f>
        <v/>
      </c>
      <c r="H3865" s="14">
        <f>IF(F3865&lt;&gt;"","待处理","")</f>
        <v/>
      </c>
    </row>
    <row r="3866">
      <c r="A3866" s="14">
        <f>IF(F3866&lt;&gt;"","ISSUE-"&amp;TEXT(ROW()-1,"00000"),"")</f>
        <v/>
      </c>
      <c r="B3866" s="14">
        <f>IF(F3866&lt;&gt;"","错误","")</f>
        <v/>
      </c>
      <c r="C3866" s="14">
        <f>IF('09_连续性验收'!A366&lt;&gt;"","09_连续性验收","")</f>
        <v/>
      </c>
      <c r="D3866" s="14">
        <f>IF('09_连续性验收'!A366&lt;&gt;"",'09_连续性验收'!A366,"")</f>
        <v/>
      </c>
      <c r="E3866" s="14">
        <f>IF(F3866&lt;&gt;"","综合校验","")</f>
        <v/>
      </c>
      <c r="F3866" s="14">
        <f>IF('09_连续性验收'!A366&lt;&gt;"",IF('09_连续性验收'!A366="","缺少验收ID；","")&amp;IF('09_连续性验收'!B366="","缺少对象ID；","")&amp;IF('09_连续性验收'!C366="","缺少检查类型；","")&amp;IF(AND('09_连续性验收'!J366&lt;&gt;"",'09_连续性验收'!K366&lt;&gt;"",'09_连续性验收'!J366&gt;'09_连续性验收'!K366),"坐标偏差超标；","")&amp;IF(AND('09_连续性验收'!B366&lt;&gt;"",COUNTIF('02_固定地理'!$A$2:$A$501,'09_连续性验收'!B366)+COUNTIF('03_地点锚点'!$A$2:$A$501,'09_连续性验收'!B366)+COUNTIF('04_路径网络'!$A$2:$A$501,'09_连续性验收'!B366)+COUNTIF('06_建筑锚点'!$A$2:$A$501,'09_连续性验收'!B366)=0),"验收对象不存在；","")&amp;IF(AND('09_连续性验收'!A366&lt;&gt;"",COUNTIF('09_连续性验收'!$A$2:$A$501,'09_连续性验收'!A366)&gt;1),"ID重复；",""),"")</f>
        <v/>
      </c>
      <c r="G3866" s="14">
        <f>IF(F3866&lt;&gt;"","按字段批注、数据字典和来源记录修正后复核","")</f>
        <v/>
      </c>
      <c r="H3866" s="14">
        <f>IF(F3866&lt;&gt;"","待处理","")</f>
        <v/>
      </c>
    </row>
    <row r="3867">
      <c r="A3867" s="14">
        <f>IF(F3867&lt;&gt;"","ISSUE-"&amp;TEXT(ROW()-1,"00000"),"")</f>
        <v/>
      </c>
      <c r="B3867" s="14">
        <f>IF(F3867&lt;&gt;"","错误","")</f>
        <v/>
      </c>
      <c r="C3867" s="14">
        <f>IF('09_连续性验收'!A367&lt;&gt;"","09_连续性验收","")</f>
        <v/>
      </c>
      <c r="D3867" s="14">
        <f>IF('09_连续性验收'!A367&lt;&gt;"",'09_连续性验收'!A367,"")</f>
        <v/>
      </c>
      <c r="E3867" s="14">
        <f>IF(F3867&lt;&gt;"","综合校验","")</f>
        <v/>
      </c>
      <c r="F3867" s="14">
        <f>IF('09_连续性验收'!A367&lt;&gt;"",IF('09_连续性验收'!A367="","缺少验收ID；","")&amp;IF('09_连续性验收'!B367="","缺少对象ID；","")&amp;IF('09_连续性验收'!C367="","缺少检查类型；","")&amp;IF(AND('09_连续性验收'!J367&lt;&gt;"",'09_连续性验收'!K367&lt;&gt;"",'09_连续性验收'!J367&gt;'09_连续性验收'!K367),"坐标偏差超标；","")&amp;IF(AND('09_连续性验收'!B367&lt;&gt;"",COUNTIF('02_固定地理'!$A$2:$A$501,'09_连续性验收'!B367)+COUNTIF('03_地点锚点'!$A$2:$A$501,'09_连续性验收'!B367)+COUNTIF('04_路径网络'!$A$2:$A$501,'09_连续性验收'!B367)+COUNTIF('06_建筑锚点'!$A$2:$A$501,'09_连续性验收'!B367)=0),"验收对象不存在；","")&amp;IF(AND('09_连续性验收'!A367&lt;&gt;"",COUNTIF('09_连续性验收'!$A$2:$A$501,'09_连续性验收'!A367)&gt;1),"ID重复；",""),"")</f>
        <v/>
      </c>
      <c r="G3867" s="14">
        <f>IF(F3867&lt;&gt;"","按字段批注、数据字典和来源记录修正后复核","")</f>
        <v/>
      </c>
      <c r="H3867" s="14">
        <f>IF(F3867&lt;&gt;"","待处理","")</f>
        <v/>
      </c>
    </row>
    <row r="3868">
      <c r="A3868" s="14">
        <f>IF(F3868&lt;&gt;"","ISSUE-"&amp;TEXT(ROW()-1,"00000"),"")</f>
        <v/>
      </c>
      <c r="B3868" s="14">
        <f>IF(F3868&lt;&gt;"","错误","")</f>
        <v/>
      </c>
      <c r="C3868" s="14">
        <f>IF('09_连续性验收'!A368&lt;&gt;"","09_连续性验收","")</f>
        <v/>
      </c>
      <c r="D3868" s="14">
        <f>IF('09_连续性验收'!A368&lt;&gt;"",'09_连续性验收'!A368,"")</f>
        <v/>
      </c>
      <c r="E3868" s="14">
        <f>IF(F3868&lt;&gt;"","综合校验","")</f>
        <v/>
      </c>
      <c r="F3868" s="14">
        <f>IF('09_连续性验收'!A368&lt;&gt;"",IF('09_连续性验收'!A368="","缺少验收ID；","")&amp;IF('09_连续性验收'!B368="","缺少对象ID；","")&amp;IF('09_连续性验收'!C368="","缺少检查类型；","")&amp;IF(AND('09_连续性验收'!J368&lt;&gt;"",'09_连续性验收'!K368&lt;&gt;"",'09_连续性验收'!J368&gt;'09_连续性验收'!K368),"坐标偏差超标；","")&amp;IF(AND('09_连续性验收'!B368&lt;&gt;"",COUNTIF('02_固定地理'!$A$2:$A$501,'09_连续性验收'!B368)+COUNTIF('03_地点锚点'!$A$2:$A$501,'09_连续性验收'!B368)+COUNTIF('04_路径网络'!$A$2:$A$501,'09_连续性验收'!B368)+COUNTIF('06_建筑锚点'!$A$2:$A$501,'09_连续性验收'!B368)=0),"验收对象不存在；","")&amp;IF(AND('09_连续性验收'!A368&lt;&gt;"",COUNTIF('09_连续性验收'!$A$2:$A$501,'09_连续性验收'!A368)&gt;1),"ID重复；",""),"")</f>
        <v/>
      </c>
      <c r="G3868" s="14">
        <f>IF(F3868&lt;&gt;"","按字段批注、数据字典和来源记录修正后复核","")</f>
        <v/>
      </c>
      <c r="H3868" s="14">
        <f>IF(F3868&lt;&gt;"","待处理","")</f>
        <v/>
      </c>
    </row>
    <row r="3869">
      <c r="A3869" s="14">
        <f>IF(F3869&lt;&gt;"","ISSUE-"&amp;TEXT(ROW()-1,"00000"),"")</f>
        <v/>
      </c>
      <c r="B3869" s="14">
        <f>IF(F3869&lt;&gt;"","错误","")</f>
        <v/>
      </c>
      <c r="C3869" s="14">
        <f>IF('09_连续性验收'!A369&lt;&gt;"","09_连续性验收","")</f>
        <v/>
      </c>
      <c r="D3869" s="14">
        <f>IF('09_连续性验收'!A369&lt;&gt;"",'09_连续性验收'!A369,"")</f>
        <v/>
      </c>
      <c r="E3869" s="14">
        <f>IF(F3869&lt;&gt;"","综合校验","")</f>
        <v/>
      </c>
      <c r="F3869" s="14">
        <f>IF('09_连续性验收'!A369&lt;&gt;"",IF('09_连续性验收'!A369="","缺少验收ID；","")&amp;IF('09_连续性验收'!B369="","缺少对象ID；","")&amp;IF('09_连续性验收'!C369="","缺少检查类型；","")&amp;IF(AND('09_连续性验收'!J369&lt;&gt;"",'09_连续性验收'!K369&lt;&gt;"",'09_连续性验收'!J369&gt;'09_连续性验收'!K369),"坐标偏差超标；","")&amp;IF(AND('09_连续性验收'!B369&lt;&gt;"",COUNTIF('02_固定地理'!$A$2:$A$501,'09_连续性验收'!B369)+COUNTIF('03_地点锚点'!$A$2:$A$501,'09_连续性验收'!B369)+COUNTIF('04_路径网络'!$A$2:$A$501,'09_连续性验收'!B369)+COUNTIF('06_建筑锚点'!$A$2:$A$501,'09_连续性验收'!B369)=0),"验收对象不存在；","")&amp;IF(AND('09_连续性验收'!A369&lt;&gt;"",COUNTIF('09_连续性验收'!$A$2:$A$501,'09_连续性验收'!A369)&gt;1),"ID重复；",""),"")</f>
        <v/>
      </c>
      <c r="G3869" s="14">
        <f>IF(F3869&lt;&gt;"","按字段批注、数据字典和来源记录修正后复核","")</f>
        <v/>
      </c>
      <c r="H3869" s="14">
        <f>IF(F3869&lt;&gt;"","待处理","")</f>
        <v/>
      </c>
    </row>
    <row r="3870">
      <c r="A3870" s="14">
        <f>IF(F3870&lt;&gt;"","ISSUE-"&amp;TEXT(ROW()-1,"00000"),"")</f>
        <v/>
      </c>
      <c r="B3870" s="14">
        <f>IF(F3870&lt;&gt;"","错误","")</f>
        <v/>
      </c>
      <c r="C3870" s="14">
        <f>IF('09_连续性验收'!A370&lt;&gt;"","09_连续性验收","")</f>
        <v/>
      </c>
      <c r="D3870" s="14">
        <f>IF('09_连续性验收'!A370&lt;&gt;"",'09_连续性验收'!A370,"")</f>
        <v/>
      </c>
      <c r="E3870" s="14">
        <f>IF(F3870&lt;&gt;"","综合校验","")</f>
        <v/>
      </c>
      <c r="F3870" s="14">
        <f>IF('09_连续性验收'!A370&lt;&gt;"",IF('09_连续性验收'!A370="","缺少验收ID；","")&amp;IF('09_连续性验收'!B370="","缺少对象ID；","")&amp;IF('09_连续性验收'!C370="","缺少检查类型；","")&amp;IF(AND('09_连续性验收'!J370&lt;&gt;"",'09_连续性验收'!K370&lt;&gt;"",'09_连续性验收'!J370&gt;'09_连续性验收'!K370),"坐标偏差超标；","")&amp;IF(AND('09_连续性验收'!B370&lt;&gt;"",COUNTIF('02_固定地理'!$A$2:$A$501,'09_连续性验收'!B370)+COUNTIF('03_地点锚点'!$A$2:$A$501,'09_连续性验收'!B370)+COUNTIF('04_路径网络'!$A$2:$A$501,'09_连续性验收'!B370)+COUNTIF('06_建筑锚点'!$A$2:$A$501,'09_连续性验收'!B370)=0),"验收对象不存在；","")&amp;IF(AND('09_连续性验收'!A370&lt;&gt;"",COUNTIF('09_连续性验收'!$A$2:$A$501,'09_连续性验收'!A370)&gt;1),"ID重复；",""),"")</f>
        <v/>
      </c>
      <c r="G3870" s="14">
        <f>IF(F3870&lt;&gt;"","按字段批注、数据字典和来源记录修正后复核","")</f>
        <v/>
      </c>
      <c r="H3870" s="14">
        <f>IF(F3870&lt;&gt;"","待处理","")</f>
        <v/>
      </c>
    </row>
    <row r="3871">
      <c r="A3871" s="14">
        <f>IF(F3871&lt;&gt;"","ISSUE-"&amp;TEXT(ROW()-1,"00000"),"")</f>
        <v/>
      </c>
      <c r="B3871" s="14">
        <f>IF(F3871&lt;&gt;"","错误","")</f>
        <v/>
      </c>
      <c r="C3871" s="14">
        <f>IF('09_连续性验收'!A371&lt;&gt;"","09_连续性验收","")</f>
        <v/>
      </c>
      <c r="D3871" s="14">
        <f>IF('09_连续性验收'!A371&lt;&gt;"",'09_连续性验收'!A371,"")</f>
        <v/>
      </c>
      <c r="E3871" s="14">
        <f>IF(F3871&lt;&gt;"","综合校验","")</f>
        <v/>
      </c>
      <c r="F3871" s="14">
        <f>IF('09_连续性验收'!A371&lt;&gt;"",IF('09_连续性验收'!A371="","缺少验收ID；","")&amp;IF('09_连续性验收'!B371="","缺少对象ID；","")&amp;IF('09_连续性验收'!C371="","缺少检查类型；","")&amp;IF(AND('09_连续性验收'!J371&lt;&gt;"",'09_连续性验收'!K371&lt;&gt;"",'09_连续性验收'!J371&gt;'09_连续性验收'!K371),"坐标偏差超标；","")&amp;IF(AND('09_连续性验收'!B371&lt;&gt;"",COUNTIF('02_固定地理'!$A$2:$A$501,'09_连续性验收'!B371)+COUNTIF('03_地点锚点'!$A$2:$A$501,'09_连续性验收'!B371)+COUNTIF('04_路径网络'!$A$2:$A$501,'09_连续性验收'!B371)+COUNTIF('06_建筑锚点'!$A$2:$A$501,'09_连续性验收'!B371)=0),"验收对象不存在；","")&amp;IF(AND('09_连续性验收'!A371&lt;&gt;"",COUNTIF('09_连续性验收'!$A$2:$A$501,'09_连续性验收'!A371)&gt;1),"ID重复；",""),"")</f>
        <v/>
      </c>
      <c r="G3871" s="14">
        <f>IF(F3871&lt;&gt;"","按字段批注、数据字典和来源记录修正后复核","")</f>
        <v/>
      </c>
      <c r="H3871" s="14">
        <f>IF(F3871&lt;&gt;"","待处理","")</f>
        <v/>
      </c>
    </row>
    <row r="3872">
      <c r="A3872" s="14">
        <f>IF(F3872&lt;&gt;"","ISSUE-"&amp;TEXT(ROW()-1,"00000"),"")</f>
        <v/>
      </c>
      <c r="B3872" s="14">
        <f>IF(F3872&lt;&gt;"","错误","")</f>
        <v/>
      </c>
      <c r="C3872" s="14">
        <f>IF('09_连续性验收'!A372&lt;&gt;"","09_连续性验收","")</f>
        <v/>
      </c>
      <c r="D3872" s="14">
        <f>IF('09_连续性验收'!A372&lt;&gt;"",'09_连续性验收'!A372,"")</f>
        <v/>
      </c>
      <c r="E3872" s="14">
        <f>IF(F3872&lt;&gt;"","综合校验","")</f>
        <v/>
      </c>
      <c r="F3872" s="14">
        <f>IF('09_连续性验收'!A372&lt;&gt;"",IF('09_连续性验收'!A372="","缺少验收ID；","")&amp;IF('09_连续性验收'!B372="","缺少对象ID；","")&amp;IF('09_连续性验收'!C372="","缺少检查类型；","")&amp;IF(AND('09_连续性验收'!J372&lt;&gt;"",'09_连续性验收'!K372&lt;&gt;"",'09_连续性验收'!J372&gt;'09_连续性验收'!K372),"坐标偏差超标；","")&amp;IF(AND('09_连续性验收'!B372&lt;&gt;"",COUNTIF('02_固定地理'!$A$2:$A$501,'09_连续性验收'!B372)+COUNTIF('03_地点锚点'!$A$2:$A$501,'09_连续性验收'!B372)+COUNTIF('04_路径网络'!$A$2:$A$501,'09_连续性验收'!B372)+COUNTIF('06_建筑锚点'!$A$2:$A$501,'09_连续性验收'!B372)=0),"验收对象不存在；","")&amp;IF(AND('09_连续性验收'!A372&lt;&gt;"",COUNTIF('09_连续性验收'!$A$2:$A$501,'09_连续性验收'!A372)&gt;1),"ID重复；",""),"")</f>
        <v/>
      </c>
      <c r="G3872" s="14">
        <f>IF(F3872&lt;&gt;"","按字段批注、数据字典和来源记录修正后复核","")</f>
        <v/>
      </c>
      <c r="H3872" s="14">
        <f>IF(F3872&lt;&gt;"","待处理","")</f>
        <v/>
      </c>
    </row>
    <row r="3873">
      <c r="A3873" s="14">
        <f>IF(F3873&lt;&gt;"","ISSUE-"&amp;TEXT(ROW()-1,"00000"),"")</f>
        <v/>
      </c>
      <c r="B3873" s="14">
        <f>IF(F3873&lt;&gt;"","错误","")</f>
        <v/>
      </c>
      <c r="C3873" s="14">
        <f>IF('09_连续性验收'!A373&lt;&gt;"","09_连续性验收","")</f>
        <v/>
      </c>
      <c r="D3873" s="14">
        <f>IF('09_连续性验收'!A373&lt;&gt;"",'09_连续性验收'!A373,"")</f>
        <v/>
      </c>
      <c r="E3873" s="14">
        <f>IF(F3873&lt;&gt;"","综合校验","")</f>
        <v/>
      </c>
      <c r="F3873" s="14">
        <f>IF('09_连续性验收'!A373&lt;&gt;"",IF('09_连续性验收'!A373="","缺少验收ID；","")&amp;IF('09_连续性验收'!B373="","缺少对象ID；","")&amp;IF('09_连续性验收'!C373="","缺少检查类型；","")&amp;IF(AND('09_连续性验收'!J373&lt;&gt;"",'09_连续性验收'!K373&lt;&gt;"",'09_连续性验收'!J373&gt;'09_连续性验收'!K373),"坐标偏差超标；","")&amp;IF(AND('09_连续性验收'!B373&lt;&gt;"",COUNTIF('02_固定地理'!$A$2:$A$501,'09_连续性验收'!B373)+COUNTIF('03_地点锚点'!$A$2:$A$501,'09_连续性验收'!B373)+COUNTIF('04_路径网络'!$A$2:$A$501,'09_连续性验收'!B373)+COUNTIF('06_建筑锚点'!$A$2:$A$501,'09_连续性验收'!B373)=0),"验收对象不存在；","")&amp;IF(AND('09_连续性验收'!A373&lt;&gt;"",COUNTIF('09_连续性验收'!$A$2:$A$501,'09_连续性验收'!A373)&gt;1),"ID重复；",""),"")</f>
        <v/>
      </c>
      <c r="G3873" s="14">
        <f>IF(F3873&lt;&gt;"","按字段批注、数据字典和来源记录修正后复核","")</f>
        <v/>
      </c>
      <c r="H3873" s="14">
        <f>IF(F3873&lt;&gt;"","待处理","")</f>
        <v/>
      </c>
    </row>
    <row r="3874">
      <c r="A3874" s="14">
        <f>IF(F3874&lt;&gt;"","ISSUE-"&amp;TEXT(ROW()-1,"00000"),"")</f>
        <v/>
      </c>
      <c r="B3874" s="14">
        <f>IF(F3874&lt;&gt;"","错误","")</f>
        <v/>
      </c>
      <c r="C3874" s="14">
        <f>IF('09_连续性验收'!A374&lt;&gt;"","09_连续性验收","")</f>
        <v/>
      </c>
      <c r="D3874" s="14">
        <f>IF('09_连续性验收'!A374&lt;&gt;"",'09_连续性验收'!A374,"")</f>
        <v/>
      </c>
      <c r="E3874" s="14">
        <f>IF(F3874&lt;&gt;"","综合校验","")</f>
        <v/>
      </c>
      <c r="F3874" s="14">
        <f>IF('09_连续性验收'!A374&lt;&gt;"",IF('09_连续性验收'!A374="","缺少验收ID；","")&amp;IF('09_连续性验收'!B374="","缺少对象ID；","")&amp;IF('09_连续性验收'!C374="","缺少检查类型；","")&amp;IF(AND('09_连续性验收'!J374&lt;&gt;"",'09_连续性验收'!K374&lt;&gt;"",'09_连续性验收'!J374&gt;'09_连续性验收'!K374),"坐标偏差超标；","")&amp;IF(AND('09_连续性验收'!B374&lt;&gt;"",COUNTIF('02_固定地理'!$A$2:$A$501,'09_连续性验收'!B374)+COUNTIF('03_地点锚点'!$A$2:$A$501,'09_连续性验收'!B374)+COUNTIF('04_路径网络'!$A$2:$A$501,'09_连续性验收'!B374)+COUNTIF('06_建筑锚点'!$A$2:$A$501,'09_连续性验收'!B374)=0),"验收对象不存在；","")&amp;IF(AND('09_连续性验收'!A374&lt;&gt;"",COUNTIF('09_连续性验收'!$A$2:$A$501,'09_连续性验收'!A374)&gt;1),"ID重复；",""),"")</f>
        <v/>
      </c>
      <c r="G3874" s="14">
        <f>IF(F3874&lt;&gt;"","按字段批注、数据字典和来源记录修正后复核","")</f>
        <v/>
      </c>
      <c r="H3874" s="14">
        <f>IF(F3874&lt;&gt;"","待处理","")</f>
        <v/>
      </c>
    </row>
    <row r="3875">
      <c r="A3875" s="14">
        <f>IF(F3875&lt;&gt;"","ISSUE-"&amp;TEXT(ROW()-1,"00000"),"")</f>
        <v/>
      </c>
      <c r="B3875" s="14">
        <f>IF(F3875&lt;&gt;"","错误","")</f>
        <v/>
      </c>
      <c r="C3875" s="14">
        <f>IF('09_连续性验收'!A375&lt;&gt;"","09_连续性验收","")</f>
        <v/>
      </c>
      <c r="D3875" s="14">
        <f>IF('09_连续性验收'!A375&lt;&gt;"",'09_连续性验收'!A375,"")</f>
        <v/>
      </c>
      <c r="E3875" s="14">
        <f>IF(F3875&lt;&gt;"","综合校验","")</f>
        <v/>
      </c>
      <c r="F3875" s="14">
        <f>IF('09_连续性验收'!A375&lt;&gt;"",IF('09_连续性验收'!A375="","缺少验收ID；","")&amp;IF('09_连续性验收'!B375="","缺少对象ID；","")&amp;IF('09_连续性验收'!C375="","缺少检查类型；","")&amp;IF(AND('09_连续性验收'!J375&lt;&gt;"",'09_连续性验收'!K375&lt;&gt;"",'09_连续性验收'!J375&gt;'09_连续性验收'!K375),"坐标偏差超标；","")&amp;IF(AND('09_连续性验收'!B375&lt;&gt;"",COUNTIF('02_固定地理'!$A$2:$A$501,'09_连续性验收'!B375)+COUNTIF('03_地点锚点'!$A$2:$A$501,'09_连续性验收'!B375)+COUNTIF('04_路径网络'!$A$2:$A$501,'09_连续性验收'!B375)+COUNTIF('06_建筑锚点'!$A$2:$A$501,'09_连续性验收'!B375)=0),"验收对象不存在；","")&amp;IF(AND('09_连续性验收'!A375&lt;&gt;"",COUNTIF('09_连续性验收'!$A$2:$A$501,'09_连续性验收'!A375)&gt;1),"ID重复；",""),"")</f>
        <v/>
      </c>
      <c r="G3875" s="14">
        <f>IF(F3875&lt;&gt;"","按字段批注、数据字典和来源记录修正后复核","")</f>
        <v/>
      </c>
      <c r="H3875" s="14">
        <f>IF(F3875&lt;&gt;"","待处理","")</f>
        <v/>
      </c>
    </row>
    <row r="3876">
      <c r="A3876" s="14">
        <f>IF(F3876&lt;&gt;"","ISSUE-"&amp;TEXT(ROW()-1,"00000"),"")</f>
        <v/>
      </c>
      <c r="B3876" s="14">
        <f>IF(F3876&lt;&gt;"","错误","")</f>
        <v/>
      </c>
      <c r="C3876" s="14">
        <f>IF('09_连续性验收'!A376&lt;&gt;"","09_连续性验收","")</f>
        <v/>
      </c>
      <c r="D3876" s="14">
        <f>IF('09_连续性验收'!A376&lt;&gt;"",'09_连续性验收'!A376,"")</f>
        <v/>
      </c>
      <c r="E3876" s="14">
        <f>IF(F3876&lt;&gt;"","综合校验","")</f>
        <v/>
      </c>
      <c r="F3876" s="14">
        <f>IF('09_连续性验收'!A376&lt;&gt;"",IF('09_连续性验收'!A376="","缺少验收ID；","")&amp;IF('09_连续性验收'!B376="","缺少对象ID；","")&amp;IF('09_连续性验收'!C376="","缺少检查类型；","")&amp;IF(AND('09_连续性验收'!J376&lt;&gt;"",'09_连续性验收'!K376&lt;&gt;"",'09_连续性验收'!J376&gt;'09_连续性验收'!K376),"坐标偏差超标；","")&amp;IF(AND('09_连续性验收'!B376&lt;&gt;"",COUNTIF('02_固定地理'!$A$2:$A$501,'09_连续性验收'!B376)+COUNTIF('03_地点锚点'!$A$2:$A$501,'09_连续性验收'!B376)+COUNTIF('04_路径网络'!$A$2:$A$501,'09_连续性验收'!B376)+COUNTIF('06_建筑锚点'!$A$2:$A$501,'09_连续性验收'!B376)=0),"验收对象不存在；","")&amp;IF(AND('09_连续性验收'!A376&lt;&gt;"",COUNTIF('09_连续性验收'!$A$2:$A$501,'09_连续性验收'!A376)&gt;1),"ID重复；",""),"")</f>
        <v/>
      </c>
      <c r="G3876" s="14">
        <f>IF(F3876&lt;&gt;"","按字段批注、数据字典和来源记录修正后复核","")</f>
        <v/>
      </c>
      <c r="H3876" s="14">
        <f>IF(F3876&lt;&gt;"","待处理","")</f>
        <v/>
      </c>
    </row>
    <row r="3877">
      <c r="A3877" s="14">
        <f>IF(F3877&lt;&gt;"","ISSUE-"&amp;TEXT(ROW()-1,"00000"),"")</f>
        <v/>
      </c>
      <c r="B3877" s="14">
        <f>IF(F3877&lt;&gt;"","错误","")</f>
        <v/>
      </c>
      <c r="C3877" s="14">
        <f>IF('09_连续性验收'!A377&lt;&gt;"","09_连续性验收","")</f>
        <v/>
      </c>
      <c r="D3877" s="14">
        <f>IF('09_连续性验收'!A377&lt;&gt;"",'09_连续性验收'!A377,"")</f>
        <v/>
      </c>
      <c r="E3877" s="14">
        <f>IF(F3877&lt;&gt;"","综合校验","")</f>
        <v/>
      </c>
      <c r="F3877" s="14">
        <f>IF('09_连续性验收'!A377&lt;&gt;"",IF('09_连续性验收'!A377="","缺少验收ID；","")&amp;IF('09_连续性验收'!B377="","缺少对象ID；","")&amp;IF('09_连续性验收'!C377="","缺少检查类型；","")&amp;IF(AND('09_连续性验收'!J377&lt;&gt;"",'09_连续性验收'!K377&lt;&gt;"",'09_连续性验收'!J377&gt;'09_连续性验收'!K377),"坐标偏差超标；","")&amp;IF(AND('09_连续性验收'!B377&lt;&gt;"",COUNTIF('02_固定地理'!$A$2:$A$501,'09_连续性验收'!B377)+COUNTIF('03_地点锚点'!$A$2:$A$501,'09_连续性验收'!B377)+COUNTIF('04_路径网络'!$A$2:$A$501,'09_连续性验收'!B377)+COUNTIF('06_建筑锚点'!$A$2:$A$501,'09_连续性验收'!B377)=0),"验收对象不存在；","")&amp;IF(AND('09_连续性验收'!A377&lt;&gt;"",COUNTIF('09_连续性验收'!$A$2:$A$501,'09_连续性验收'!A377)&gt;1),"ID重复；",""),"")</f>
        <v/>
      </c>
      <c r="G3877" s="14">
        <f>IF(F3877&lt;&gt;"","按字段批注、数据字典和来源记录修正后复核","")</f>
        <v/>
      </c>
      <c r="H3877" s="14">
        <f>IF(F3877&lt;&gt;"","待处理","")</f>
        <v/>
      </c>
    </row>
    <row r="3878">
      <c r="A3878" s="14">
        <f>IF(F3878&lt;&gt;"","ISSUE-"&amp;TEXT(ROW()-1,"00000"),"")</f>
        <v/>
      </c>
      <c r="B3878" s="14">
        <f>IF(F3878&lt;&gt;"","错误","")</f>
        <v/>
      </c>
      <c r="C3878" s="14">
        <f>IF('09_连续性验收'!A378&lt;&gt;"","09_连续性验收","")</f>
        <v/>
      </c>
      <c r="D3878" s="14">
        <f>IF('09_连续性验收'!A378&lt;&gt;"",'09_连续性验收'!A378,"")</f>
        <v/>
      </c>
      <c r="E3878" s="14">
        <f>IF(F3878&lt;&gt;"","综合校验","")</f>
        <v/>
      </c>
      <c r="F3878" s="14">
        <f>IF('09_连续性验收'!A378&lt;&gt;"",IF('09_连续性验收'!A378="","缺少验收ID；","")&amp;IF('09_连续性验收'!B378="","缺少对象ID；","")&amp;IF('09_连续性验收'!C378="","缺少检查类型；","")&amp;IF(AND('09_连续性验收'!J378&lt;&gt;"",'09_连续性验收'!K378&lt;&gt;"",'09_连续性验收'!J378&gt;'09_连续性验收'!K378),"坐标偏差超标；","")&amp;IF(AND('09_连续性验收'!B378&lt;&gt;"",COUNTIF('02_固定地理'!$A$2:$A$501,'09_连续性验收'!B378)+COUNTIF('03_地点锚点'!$A$2:$A$501,'09_连续性验收'!B378)+COUNTIF('04_路径网络'!$A$2:$A$501,'09_连续性验收'!B378)+COUNTIF('06_建筑锚点'!$A$2:$A$501,'09_连续性验收'!B378)=0),"验收对象不存在；","")&amp;IF(AND('09_连续性验收'!A378&lt;&gt;"",COUNTIF('09_连续性验收'!$A$2:$A$501,'09_连续性验收'!A378)&gt;1),"ID重复；",""),"")</f>
        <v/>
      </c>
      <c r="G3878" s="14">
        <f>IF(F3878&lt;&gt;"","按字段批注、数据字典和来源记录修正后复核","")</f>
        <v/>
      </c>
      <c r="H3878" s="14">
        <f>IF(F3878&lt;&gt;"","待处理","")</f>
        <v/>
      </c>
    </row>
    <row r="3879">
      <c r="A3879" s="14">
        <f>IF(F3879&lt;&gt;"","ISSUE-"&amp;TEXT(ROW()-1,"00000"),"")</f>
        <v/>
      </c>
      <c r="B3879" s="14">
        <f>IF(F3879&lt;&gt;"","错误","")</f>
        <v/>
      </c>
      <c r="C3879" s="14">
        <f>IF('09_连续性验收'!A379&lt;&gt;"","09_连续性验收","")</f>
        <v/>
      </c>
      <c r="D3879" s="14">
        <f>IF('09_连续性验收'!A379&lt;&gt;"",'09_连续性验收'!A379,"")</f>
        <v/>
      </c>
      <c r="E3879" s="14">
        <f>IF(F3879&lt;&gt;"","综合校验","")</f>
        <v/>
      </c>
      <c r="F3879" s="14">
        <f>IF('09_连续性验收'!A379&lt;&gt;"",IF('09_连续性验收'!A379="","缺少验收ID；","")&amp;IF('09_连续性验收'!B379="","缺少对象ID；","")&amp;IF('09_连续性验收'!C379="","缺少检查类型；","")&amp;IF(AND('09_连续性验收'!J379&lt;&gt;"",'09_连续性验收'!K379&lt;&gt;"",'09_连续性验收'!J379&gt;'09_连续性验收'!K379),"坐标偏差超标；","")&amp;IF(AND('09_连续性验收'!B379&lt;&gt;"",COUNTIF('02_固定地理'!$A$2:$A$501,'09_连续性验收'!B379)+COUNTIF('03_地点锚点'!$A$2:$A$501,'09_连续性验收'!B379)+COUNTIF('04_路径网络'!$A$2:$A$501,'09_连续性验收'!B379)+COUNTIF('06_建筑锚点'!$A$2:$A$501,'09_连续性验收'!B379)=0),"验收对象不存在；","")&amp;IF(AND('09_连续性验收'!A379&lt;&gt;"",COUNTIF('09_连续性验收'!$A$2:$A$501,'09_连续性验收'!A379)&gt;1),"ID重复；",""),"")</f>
        <v/>
      </c>
      <c r="G3879" s="14">
        <f>IF(F3879&lt;&gt;"","按字段批注、数据字典和来源记录修正后复核","")</f>
        <v/>
      </c>
      <c r="H3879" s="14">
        <f>IF(F3879&lt;&gt;"","待处理","")</f>
        <v/>
      </c>
    </row>
    <row r="3880">
      <c r="A3880" s="14">
        <f>IF(F3880&lt;&gt;"","ISSUE-"&amp;TEXT(ROW()-1,"00000"),"")</f>
        <v/>
      </c>
      <c r="B3880" s="14">
        <f>IF(F3880&lt;&gt;"","错误","")</f>
        <v/>
      </c>
      <c r="C3880" s="14">
        <f>IF('09_连续性验收'!A380&lt;&gt;"","09_连续性验收","")</f>
        <v/>
      </c>
      <c r="D3880" s="14">
        <f>IF('09_连续性验收'!A380&lt;&gt;"",'09_连续性验收'!A380,"")</f>
        <v/>
      </c>
      <c r="E3880" s="14">
        <f>IF(F3880&lt;&gt;"","综合校验","")</f>
        <v/>
      </c>
      <c r="F3880" s="14">
        <f>IF('09_连续性验收'!A380&lt;&gt;"",IF('09_连续性验收'!A380="","缺少验收ID；","")&amp;IF('09_连续性验收'!B380="","缺少对象ID；","")&amp;IF('09_连续性验收'!C380="","缺少检查类型；","")&amp;IF(AND('09_连续性验收'!J380&lt;&gt;"",'09_连续性验收'!K380&lt;&gt;"",'09_连续性验收'!J380&gt;'09_连续性验收'!K380),"坐标偏差超标；","")&amp;IF(AND('09_连续性验收'!B380&lt;&gt;"",COUNTIF('02_固定地理'!$A$2:$A$501,'09_连续性验收'!B380)+COUNTIF('03_地点锚点'!$A$2:$A$501,'09_连续性验收'!B380)+COUNTIF('04_路径网络'!$A$2:$A$501,'09_连续性验收'!B380)+COUNTIF('06_建筑锚点'!$A$2:$A$501,'09_连续性验收'!B380)=0),"验收对象不存在；","")&amp;IF(AND('09_连续性验收'!A380&lt;&gt;"",COUNTIF('09_连续性验收'!$A$2:$A$501,'09_连续性验收'!A380)&gt;1),"ID重复；",""),"")</f>
        <v/>
      </c>
      <c r="G3880" s="14">
        <f>IF(F3880&lt;&gt;"","按字段批注、数据字典和来源记录修正后复核","")</f>
        <v/>
      </c>
      <c r="H3880" s="14">
        <f>IF(F3880&lt;&gt;"","待处理","")</f>
        <v/>
      </c>
    </row>
    <row r="3881">
      <c r="A3881" s="14">
        <f>IF(F3881&lt;&gt;"","ISSUE-"&amp;TEXT(ROW()-1,"00000"),"")</f>
        <v/>
      </c>
      <c r="B3881" s="14">
        <f>IF(F3881&lt;&gt;"","错误","")</f>
        <v/>
      </c>
      <c r="C3881" s="14">
        <f>IF('09_连续性验收'!A381&lt;&gt;"","09_连续性验收","")</f>
        <v/>
      </c>
      <c r="D3881" s="14">
        <f>IF('09_连续性验收'!A381&lt;&gt;"",'09_连续性验收'!A381,"")</f>
        <v/>
      </c>
      <c r="E3881" s="14">
        <f>IF(F3881&lt;&gt;"","综合校验","")</f>
        <v/>
      </c>
      <c r="F3881" s="14">
        <f>IF('09_连续性验收'!A381&lt;&gt;"",IF('09_连续性验收'!A381="","缺少验收ID；","")&amp;IF('09_连续性验收'!B381="","缺少对象ID；","")&amp;IF('09_连续性验收'!C381="","缺少检查类型；","")&amp;IF(AND('09_连续性验收'!J381&lt;&gt;"",'09_连续性验收'!K381&lt;&gt;"",'09_连续性验收'!J381&gt;'09_连续性验收'!K381),"坐标偏差超标；","")&amp;IF(AND('09_连续性验收'!B381&lt;&gt;"",COUNTIF('02_固定地理'!$A$2:$A$501,'09_连续性验收'!B381)+COUNTIF('03_地点锚点'!$A$2:$A$501,'09_连续性验收'!B381)+COUNTIF('04_路径网络'!$A$2:$A$501,'09_连续性验收'!B381)+COUNTIF('06_建筑锚点'!$A$2:$A$501,'09_连续性验收'!B381)=0),"验收对象不存在；","")&amp;IF(AND('09_连续性验收'!A381&lt;&gt;"",COUNTIF('09_连续性验收'!$A$2:$A$501,'09_连续性验收'!A381)&gt;1),"ID重复；",""),"")</f>
        <v/>
      </c>
      <c r="G3881" s="14">
        <f>IF(F3881&lt;&gt;"","按字段批注、数据字典和来源记录修正后复核","")</f>
        <v/>
      </c>
      <c r="H3881" s="14">
        <f>IF(F3881&lt;&gt;"","待处理","")</f>
        <v/>
      </c>
    </row>
    <row r="3882">
      <c r="A3882" s="14">
        <f>IF(F3882&lt;&gt;"","ISSUE-"&amp;TEXT(ROW()-1,"00000"),"")</f>
        <v/>
      </c>
      <c r="B3882" s="14">
        <f>IF(F3882&lt;&gt;"","错误","")</f>
        <v/>
      </c>
      <c r="C3882" s="14">
        <f>IF('09_连续性验收'!A382&lt;&gt;"","09_连续性验收","")</f>
        <v/>
      </c>
      <c r="D3882" s="14">
        <f>IF('09_连续性验收'!A382&lt;&gt;"",'09_连续性验收'!A382,"")</f>
        <v/>
      </c>
      <c r="E3882" s="14">
        <f>IF(F3882&lt;&gt;"","综合校验","")</f>
        <v/>
      </c>
      <c r="F3882" s="14">
        <f>IF('09_连续性验收'!A382&lt;&gt;"",IF('09_连续性验收'!A382="","缺少验收ID；","")&amp;IF('09_连续性验收'!B382="","缺少对象ID；","")&amp;IF('09_连续性验收'!C382="","缺少检查类型；","")&amp;IF(AND('09_连续性验收'!J382&lt;&gt;"",'09_连续性验收'!K382&lt;&gt;"",'09_连续性验收'!J382&gt;'09_连续性验收'!K382),"坐标偏差超标；","")&amp;IF(AND('09_连续性验收'!B382&lt;&gt;"",COUNTIF('02_固定地理'!$A$2:$A$501,'09_连续性验收'!B382)+COUNTIF('03_地点锚点'!$A$2:$A$501,'09_连续性验收'!B382)+COUNTIF('04_路径网络'!$A$2:$A$501,'09_连续性验收'!B382)+COUNTIF('06_建筑锚点'!$A$2:$A$501,'09_连续性验收'!B382)=0),"验收对象不存在；","")&amp;IF(AND('09_连续性验收'!A382&lt;&gt;"",COUNTIF('09_连续性验收'!$A$2:$A$501,'09_连续性验收'!A382)&gt;1),"ID重复；",""),"")</f>
        <v/>
      </c>
      <c r="G3882" s="14">
        <f>IF(F3882&lt;&gt;"","按字段批注、数据字典和来源记录修正后复核","")</f>
        <v/>
      </c>
      <c r="H3882" s="14">
        <f>IF(F3882&lt;&gt;"","待处理","")</f>
        <v/>
      </c>
    </row>
    <row r="3883">
      <c r="A3883" s="14">
        <f>IF(F3883&lt;&gt;"","ISSUE-"&amp;TEXT(ROW()-1,"00000"),"")</f>
        <v/>
      </c>
      <c r="B3883" s="14">
        <f>IF(F3883&lt;&gt;"","错误","")</f>
        <v/>
      </c>
      <c r="C3883" s="14">
        <f>IF('09_连续性验收'!A383&lt;&gt;"","09_连续性验收","")</f>
        <v/>
      </c>
      <c r="D3883" s="14">
        <f>IF('09_连续性验收'!A383&lt;&gt;"",'09_连续性验收'!A383,"")</f>
        <v/>
      </c>
      <c r="E3883" s="14">
        <f>IF(F3883&lt;&gt;"","综合校验","")</f>
        <v/>
      </c>
      <c r="F3883" s="14">
        <f>IF('09_连续性验收'!A383&lt;&gt;"",IF('09_连续性验收'!A383="","缺少验收ID；","")&amp;IF('09_连续性验收'!B383="","缺少对象ID；","")&amp;IF('09_连续性验收'!C383="","缺少检查类型；","")&amp;IF(AND('09_连续性验收'!J383&lt;&gt;"",'09_连续性验收'!K383&lt;&gt;"",'09_连续性验收'!J383&gt;'09_连续性验收'!K383),"坐标偏差超标；","")&amp;IF(AND('09_连续性验收'!B383&lt;&gt;"",COUNTIF('02_固定地理'!$A$2:$A$501,'09_连续性验收'!B383)+COUNTIF('03_地点锚点'!$A$2:$A$501,'09_连续性验收'!B383)+COUNTIF('04_路径网络'!$A$2:$A$501,'09_连续性验收'!B383)+COUNTIF('06_建筑锚点'!$A$2:$A$501,'09_连续性验收'!B383)=0),"验收对象不存在；","")&amp;IF(AND('09_连续性验收'!A383&lt;&gt;"",COUNTIF('09_连续性验收'!$A$2:$A$501,'09_连续性验收'!A383)&gt;1),"ID重复；",""),"")</f>
        <v/>
      </c>
      <c r="G3883" s="14">
        <f>IF(F3883&lt;&gt;"","按字段批注、数据字典和来源记录修正后复核","")</f>
        <v/>
      </c>
      <c r="H3883" s="14">
        <f>IF(F3883&lt;&gt;"","待处理","")</f>
        <v/>
      </c>
    </row>
    <row r="3884">
      <c r="A3884" s="14">
        <f>IF(F3884&lt;&gt;"","ISSUE-"&amp;TEXT(ROW()-1,"00000"),"")</f>
        <v/>
      </c>
      <c r="B3884" s="14">
        <f>IF(F3884&lt;&gt;"","错误","")</f>
        <v/>
      </c>
      <c r="C3884" s="14">
        <f>IF('09_连续性验收'!A384&lt;&gt;"","09_连续性验收","")</f>
        <v/>
      </c>
      <c r="D3884" s="14">
        <f>IF('09_连续性验收'!A384&lt;&gt;"",'09_连续性验收'!A384,"")</f>
        <v/>
      </c>
      <c r="E3884" s="14">
        <f>IF(F3884&lt;&gt;"","综合校验","")</f>
        <v/>
      </c>
      <c r="F3884" s="14">
        <f>IF('09_连续性验收'!A384&lt;&gt;"",IF('09_连续性验收'!A384="","缺少验收ID；","")&amp;IF('09_连续性验收'!B384="","缺少对象ID；","")&amp;IF('09_连续性验收'!C384="","缺少检查类型；","")&amp;IF(AND('09_连续性验收'!J384&lt;&gt;"",'09_连续性验收'!K384&lt;&gt;"",'09_连续性验收'!J384&gt;'09_连续性验收'!K384),"坐标偏差超标；","")&amp;IF(AND('09_连续性验收'!B384&lt;&gt;"",COUNTIF('02_固定地理'!$A$2:$A$501,'09_连续性验收'!B384)+COUNTIF('03_地点锚点'!$A$2:$A$501,'09_连续性验收'!B384)+COUNTIF('04_路径网络'!$A$2:$A$501,'09_连续性验收'!B384)+COUNTIF('06_建筑锚点'!$A$2:$A$501,'09_连续性验收'!B384)=0),"验收对象不存在；","")&amp;IF(AND('09_连续性验收'!A384&lt;&gt;"",COUNTIF('09_连续性验收'!$A$2:$A$501,'09_连续性验收'!A384)&gt;1),"ID重复；",""),"")</f>
        <v/>
      </c>
      <c r="G3884" s="14">
        <f>IF(F3884&lt;&gt;"","按字段批注、数据字典和来源记录修正后复核","")</f>
        <v/>
      </c>
      <c r="H3884" s="14">
        <f>IF(F3884&lt;&gt;"","待处理","")</f>
        <v/>
      </c>
    </row>
    <row r="3885">
      <c r="A3885" s="14">
        <f>IF(F3885&lt;&gt;"","ISSUE-"&amp;TEXT(ROW()-1,"00000"),"")</f>
        <v/>
      </c>
      <c r="B3885" s="14">
        <f>IF(F3885&lt;&gt;"","错误","")</f>
        <v/>
      </c>
      <c r="C3885" s="14">
        <f>IF('09_连续性验收'!A385&lt;&gt;"","09_连续性验收","")</f>
        <v/>
      </c>
      <c r="D3885" s="14">
        <f>IF('09_连续性验收'!A385&lt;&gt;"",'09_连续性验收'!A385,"")</f>
        <v/>
      </c>
      <c r="E3885" s="14">
        <f>IF(F3885&lt;&gt;"","综合校验","")</f>
        <v/>
      </c>
      <c r="F3885" s="14">
        <f>IF('09_连续性验收'!A385&lt;&gt;"",IF('09_连续性验收'!A385="","缺少验收ID；","")&amp;IF('09_连续性验收'!B385="","缺少对象ID；","")&amp;IF('09_连续性验收'!C385="","缺少检查类型；","")&amp;IF(AND('09_连续性验收'!J385&lt;&gt;"",'09_连续性验收'!K385&lt;&gt;"",'09_连续性验收'!J385&gt;'09_连续性验收'!K385),"坐标偏差超标；","")&amp;IF(AND('09_连续性验收'!B385&lt;&gt;"",COUNTIF('02_固定地理'!$A$2:$A$501,'09_连续性验收'!B385)+COUNTIF('03_地点锚点'!$A$2:$A$501,'09_连续性验收'!B385)+COUNTIF('04_路径网络'!$A$2:$A$501,'09_连续性验收'!B385)+COUNTIF('06_建筑锚点'!$A$2:$A$501,'09_连续性验收'!B385)=0),"验收对象不存在；","")&amp;IF(AND('09_连续性验收'!A385&lt;&gt;"",COUNTIF('09_连续性验收'!$A$2:$A$501,'09_连续性验收'!A385)&gt;1),"ID重复；",""),"")</f>
        <v/>
      </c>
      <c r="G3885" s="14">
        <f>IF(F3885&lt;&gt;"","按字段批注、数据字典和来源记录修正后复核","")</f>
        <v/>
      </c>
      <c r="H3885" s="14">
        <f>IF(F3885&lt;&gt;"","待处理","")</f>
        <v/>
      </c>
    </row>
    <row r="3886">
      <c r="A3886" s="14">
        <f>IF(F3886&lt;&gt;"","ISSUE-"&amp;TEXT(ROW()-1,"00000"),"")</f>
        <v/>
      </c>
      <c r="B3886" s="14">
        <f>IF(F3886&lt;&gt;"","错误","")</f>
        <v/>
      </c>
      <c r="C3886" s="14">
        <f>IF('09_连续性验收'!A386&lt;&gt;"","09_连续性验收","")</f>
        <v/>
      </c>
      <c r="D3886" s="14">
        <f>IF('09_连续性验收'!A386&lt;&gt;"",'09_连续性验收'!A386,"")</f>
        <v/>
      </c>
      <c r="E3886" s="14">
        <f>IF(F3886&lt;&gt;"","综合校验","")</f>
        <v/>
      </c>
      <c r="F3886" s="14">
        <f>IF('09_连续性验收'!A386&lt;&gt;"",IF('09_连续性验收'!A386="","缺少验收ID；","")&amp;IF('09_连续性验收'!B386="","缺少对象ID；","")&amp;IF('09_连续性验收'!C386="","缺少检查类型；","")&amp;IF(AND('09_连续性验收'!J386&lt;&gt;"",'09_连续性验收'!K386&lt;&gt;"",'09_连续性验收'!J386&gt;'09_连续性验收'!K386),"坐标偏差超标；","")&amp;IF(AND('09_连续性验收'!B386&lt;&gt;"",COUNTIF('02_固定地理'!$A$2:$A$501,'09_连续性验收'!B386)+COUNTIF('03_地点锚点'!$A$2:$A$501,'09_连续性验收'!B386)+COUNTIF('04_路径网络'!$A$2:$A$501,'09_连续性验收'!B386)+COUNTIF('06_建筑锚点'!$A$2:$A$501,'09_连续性验收'!B386)=0),"验收对象不存在；","")&amp;IF(AND('09_连续性验收'!A386&lt;&gt;"",COUNTIF('09_连续性验收'!$A$2:$A$501,'09_连续性验收'!A386)&gt;1),"ID重复；",""),"")</f>
        <v/>
      </c>
      <c r="G3886" s="14">
        <f>IF(F3886&lt;&gt;"","按字段批注、数据字典和来源记录修正后复核","")</f>
        <v/>
      </c>
      <c r="H3886" s="14">
        <f>IF(F3886&lt;&gt;"","待处理","")</f>
        <v/>
      </c>
    </row>
    <row r="3887">
      <c r="A3887" s="14">
        <f>IF(F3887&lt;&gt;"","ISSUE-"&amp;TEXT(ROW()-1,"00000"),"")</f>
        <v/>
      </c>
      <c r="B3887" s="14">
        <f>IF(F3887&lt;&gt;"","错误","")</f>
        <v/>
      </c>
      <c r="C3887" s="14">
        <f>IF('09_连续性验收'!A387&lt;&gt;"","09_连续性验收","")</f>
        <v/>
      </c>
      <c r="D3887" s="14">
        <f>IF('09_连续性验收'!A387&lt;&gt;"",'09_连续性验收'!A387,"")</f>
        <v/>
      </c>
      <c r="E3887" s="14">
        <f>IF(F3887&lt;&gt;"","综合校验","")</f>
        <v/>
      </c>
      <c r="F3887" s="14">
        <f>IF('09_连续性验收'!A387&lt;&gt;"",IF('09_连续性验收'!A387="","缺少验收ID；","")&amp;IF('09_连续性验收'!B387="","缺少对象ID；","")&amp;IF('09_连续性验收'!C387="","缺少检查类型；","")&amp;IF(AND('09_连续性验收'!J387&lt;&gt;"",'09_连续性验收'!K387&lt;&gt;"",'09_连续性验收'!J387&gt;'09_连续性验收'!K387),"坐标偏差超标；","")&amp;IF(AND('09_连续性验收'!B387&lt;&gt;"",COUNTIF('02_固定地理'!$A$2:$A$501,'09_连续性验收'!B387)+COUNTIF('03_地点锚点'!$A$2:$A$501,'09_连续性验收'!B387)+COUNTIF('04_路径网络'!$A$2:$A$501,'09_连续性验收'!B387)+COUNTIF('06_建筑锚点'!$A$2:$A$501,'09_连续性验收'!B387)=0),"验收对象不存在；","")&amp;IF(AND('09_连续性验收'!A387&lt;&gt;"",COUNTIF('09_连续性验收'!$A$2:$A$501,'09_连续性验收'!A387)&gt;1),"ID重复；",""),"")</f>
        <v/>
      </c>
      <c r="G3887" s="14">
        <f>IF(F3887&lt;&gt;"","按字段批注、数据字典和来源记录修正后复核","")</f>
        <v/>
      </c>
      <c r="H3887" s="14">
        <f>IF(F3887&lt;&gt;"","待处理","")</f>
        <v/>
      </c>
    </row>
    <row r="3888">
      <c r="A3888" s="14">
        <f>IF(F3888&lt;&gt;"","ISSUE-"&amp;TEXT(ROW()-1,"00000"),"")</f>
        <v/>
      </c>
      <c r="B3888" s="14">
        <f>IF(F3888&lt;&gt;"","错误","")</f>
        <v/>
      </c>
      <c r="C3888" s="14">
        <f>IF('09_连续性验收'!A388&lt;&gt;"","09_连续性验收","")</f>
        <v/>
      </c>
      <c r="D3888" s="14">
        <f>IF('09_连续性验收'!A388&lt;&gt;"",'09_连续性验收'!A388,"")</f>
        <v/>
      </c>
      <c r="E3888" s="14">
        <f>IF(F3888&lt;&gt;"","综合校验","")</f>
        <v/>
      </c>
      <c r="F3888" s="14">
        <f>IF('09_连续性验收'!A388&lt;&gt;"",IF('09_连续性验收'!A388="","缺少验收ID；","")&amp;IF('09_连续性验收'!B388="","缺少对象ID；","")&amp;IF('09_连续性验收'!C388="","缺少检查类型；","")&amp;IF(AND('09_连续性验收'!J388&lt;&gt;"",'09_连续性验收'!K388&lt;&gt;"",'09_连续性验收'!J388&gt;'09_连续性验收'!K388),"坐标偏差超标；","")&amp;IF(AND('09_连续性验收'!B388&lt;&gt;"",COUNTIF('02_固定地理'!$A$2:$A$501,'09_连续性验收'!B388)+COUNTIF('03_地点锚点'!$A$2:$A$501,'09_连续性验收'!B388)+COUNTIF('04_路径网络'!$A$2:$A$501,'09_连续性验收'!B388)+COUNTIF('06_建筑锚点'!$A$2:$A$501,'09_连续性验收'!B388)=0),"验收对象不存在；","")&amp;IF(AND('09_连续性验收'!A388&lt;&gt;"",COUNTIF('09_连续性验收'!$A$2:$A$501,'09_连续性验收'!A388)&gt;1),"ID重复；",""),"")</f>
        <v/>
      </c>
      <c r="G3888" s="14">
        <f>IF(F3888&lt;&gt;"","按字段批注、数据字典和来源记录修正后复核","")</f>
        <v/>
      </c>
      <c r="H3888" s="14">
        <f>IF(F3888&lt;&gt;"","待处理","")</f>
        <v/>
      </c>
    </row>
    <row r="3889">
      <c r="A3889" s="14">
        <f>IF(F3889&lt;&gt;"","ISSUE-"&amp;TEXT(ROW()-1,"00000"),"")</f>
        <v/>
      </c>
      <c r="B3889" s="14">
        <f>IF(F3889&lt;&gt;"","错误","")</f>
        <v/>
      </c>
      <c r="C3889" s="14">
        <f>IF('09_连续性验收'!A389&lt;&gt;"","09_连续性验收","")</f>
        <v/>
      </c>
      <c r="D3889" s="14">
        <f>IF('09_连续性验收'!A389&lt;&gt;"",'09_连续性验收'!A389,"")</f>
        <v/>
      </c>
      <c r="E3889" s="14">
        <f>IF(F3889&lt;&gt;"","综合校验","")</f>
        <v/>
      </c>
      <c r="F3889" s="14">
        <f>IF('09_连续性验收'!A389&lt;&gt;"",IF('09_连续性验收'!A389="","缺少验收ID；","")&amp;IF('09_连续性验收'!B389="","缺少对象ID；","")&amp;IF('09_连续性验收'!C389="","缺少检查类型；","")&amp;IF(AND('09_连续性验收'!J389&lt;&gt;"",'09_连续性验收'!K389&lt;&gt;"",'09_连续性验收'!J389&gt;'09_连续性验收'!K389),"坐标偏差超标；","")&amp;IF(AND('09_连续性验收'!B389&lt;&gt;"",COUNTIF('02_固定地理'!$A$2:$A$501,'09_连续性验收'!B389)+COUNTIF('03_地点锚点'!$A$2:$A$501,'09_连续性验收'!B389)+COUNTIF('04_路径网络'!$A$2:$A$501,'09_连续性验收'!B389)+COUNTIF('06_建筑锚点'!$A$2:$A$501,'09_连续性验收'!B389)=0),"验收对象不存在；","")&amp;IF(AND('09_连续性验收'!A389&lt;&gt;"",COUNTIF('09_连续性验收'!$A$2:$A$501,'09_连续性验收'!A389)&gt;1),"ID重复；",""),"")</f>
        <v/>
      </c>
      <c r="G3889" s="14">
        <f>IF(F3889&lt;&gt;"","按字段批注、数据字典和来源记录修正后复核","")</f>
        <v/>
      </c>
      <c r="H3889" s="14">
        <f>IF(F3889&lt;&gt;"","待处理","")</f>
        <v/>
      </c>
    </row>
    <row r="3890">
      <c r="A3890" s="14">
        <f>IF(F3890&lt;&gt;"","ISSUE-"&amp;TEXT(ROW()-1,"00000"),"")</f>
        <v/>
      </c>
      <c r="B3890" s="14">
        <f>IF(F3890&lt;&gt;"","错误","")</f>
        <v/>
      </c>
      <c r="C3890" s="14">
        <f>IF('09_连续性验收'!A390&lt;&gt;"","09_连续性验收","")</f>
        <v/>
      </c>
      <c r="D3890" s="14">
        <f>IF('09_连续性验收'!A390&lt;&gt;"",'09_连续性验收'!A390,"")</f>
        <v/>
      </c>
      <c r="E3890" s="14">
        <f>IF(F3890&lt;&gt;"","综合校验","")</f>
        <v/>
      </c>
      <c r="F3890" s="14">
        <f>IF('09_连续性验收'!A390&lt;&gt;"",IF('09_连续性验收'!A390="","缺少验收ID；","")&amp;IF('09_连续性验收'!B390="","缺少对象ID；","")&amp;IF('09_连续性验收'!C390="","缺少检查类型；","")&amp;IF(AND('09_连续性验收'!J390&lt;&gt;"",'09_连续性验收'!K390&lt;&gt;"",'09_连续性验收'!J390&gt;'09_连续性验收'!K390),"坐标偏差超标；","")&amp;IF(AND('09_连续性验收'!B390&lt;&gt;"",COUNTIF('02_固定地理'!$A$2:$A$501,'09_连续性验收'!B390)+COUNTIF('03_地点锚点'!$A$2:$A$501,'09_连续性验收'!B390)+COUNTIF('04_路径网络'!$A$2:$A$501,'09_连续性验收'!B390)+COUNTIF('06_建筑锚点'!$A$2:$A$501,'09_连续性验收'!B390)=0),"验收对象不存在；","")&amp;IF(AND('09_连续性验收'!A390&lt;&gt;"",COUNTIF('09_连续性验收'!$A$2:$A$501,'09_连续性验收'!A390)&gt;1),"ID重复；",""),"")</f>
        <v/>
      </c>
      <c r="G3890" s="14">
        <f>IF(F3890&lt;&gt;"","按字段批注、数据字典和来源记录修正后复核","")</f>
        <v/>
      </c>
      <c r="H3890" s="14">
        <f>IF(F3890&lt;&gt;"","待处理","")</f>
        <v/>
      </c>
    </row>
    <row r="3891">
      <c r="A3891" s="14">
        <f>IF(F3891&lt;&gt;"","ISSUE-"&amp;TEXT(ROW()-1,"00000"),"")</f>
        <v/>
      </c>
      <c r="B3891" s="14">
        <f>IF(F3891&lt;&gt;"","错误","")</f>
        <v/>
      </c>
      <c r="C3891" s="14">
        <f>IF('09_连续性验收'!A391&lt;&gt;"","09_连续性验收","")</f>
        <v/>
      </c>
      <c r="D3891" s="14">
        <f>IF('09_连续性验收'!A391&lt;&gt;"",'09_连续性验收'!A391,"")</f>
        <v/>
      </c>
      <c r="E3891" s="14">
        <f>IF(F3891&lt;&gt;"","综合校验","")</f>
        <v/>
      </c>
      <c r="F3891" s="14">
        <f>IF('09_连续性验收'!A391&lt;&gt;"",IF('09_连续性验收'!A391="","缺少验收ID；","")&amp;IF('09_连续性验收'!B391="","缺少对象ID；","")&amp;IF('09_连续性验收'!C391="","缺少检查类型；","")&amp;IF(AND('09_连续性验收'!J391&lt;&gt;"",'09_连续性验收'!K391&lt;&gt;"",'09_连续性验收'!J391&gt;'09_连续性验收'!K391),"坐标偏差超标；","")&amp;IF(AND('09_连续性验收'!B391&lt;&gt;"",COUNTIF('02_固定地理'!$A$2:$A$501,'09_连续性验收'!B391)+COUNTIF('03_地点锚点'!$A$2:$A$501,'09_连续性验收'!B391)+COUNTIF('04_路径网络'!$A$2:$A$501,'09_连续性验收'!B391)+COUNTIF('06_建筑锚点'!$A$2:$A$501,'09_连续性验收'!B391)=0),"验收对象不存在；","")&amp;IF(AND('09_连续性验收'!A391&lt;&gt;"",COUNTIF('09_连续性验收'!$A$2:$A$501,'09_连续性验收'!A391)&gt;1),"ID重复；",""),"")</f>
        <v/>
      </c>
      <c r="G3891" s="14">
        <f>IF(F3891&lt;&gt;"","按字段批注、数据字典和来源记录修正后复核","")</f>
        <v/>
      </c>
      <c r="H3891" s="14">
        <f>IF(F3891&lt;&gt;"","待处理","")</f>
        <v/>
      </c>
    </row>
    <row r="3892">
      <c r="A3892" s="14">
        <f>IF(F3892&lt;&gt;"","ISSUE-"&amp;TEXT(ROW()-1,"00000"),"")</f>
        <v/>
      </c>
      <c r="B3892" s="14">
        <f>IF(F3892&lt;&gt;"","错误","")</f>
        <v/>
      </c>
      <c r="C3892" s="14">
        <f>IF('09_连续性验收'!A392&lt;&gt;"","09_连续性验收","")</f>
        <v/>
      </c>
      <c r="D3892" s="14">
        <f>IF('09_连续性验收'!A392&lt;&gt;"",'09_连续性验收'!A392,"")</f>
        <v/>
      </c>
      <c r="E3892" s="14">
        <f>IF(F3892&lt;&gt;"","综合校验","")</f>
        <v/>
      </c>
      <c r="F3892" s="14">
        <f>IF('09_连续性验收'!A392&lt;&gt;"",IF('09_连续性验收'!A392="","缺少验收ID；","")&amp;IF('09_连续性验收'!B392="","缺少对象ID；","")&amp;IF('09_连续性验收'!C392="","缺少检查类型；","")&amp;IF(AND('09_连续性验收'!J392&lt;&gt;"",'09_连续性验收'!K392&lt;&gt;"",'09_连续性验收'!J392&gt;'09_连续性验收'!K392),"坐标偏差超标；","")&amp;IF(AND('09_连续性验收'!B392&lt;&gt;"",COUNTIF('02_固定地理'!$A$2:$A$501,'09_连续性验收'!B392)+COUNTIF('03_地点锚点'!$A$2:$A$501,'09_连续性验收'!B392)+COUNTIF('04_路径网络'!$A$2:$A$501,'09_连续性验收'!B392)+COUNTIF('06_建筑锚点'!$A$2:$A$501,'09_连续性验收'!B392)=0),"验收对象不存在；","")&amp;IF(AND('09_连续性验收'!A392&lt;&gt;"",COUNTIF('09_连续性验收'!$A$2:$A$501,'09_连续性验收'!A392)&gt;1),"ID重复；",""),"")</f>
        <v/>
      </c>
      <c r="G3892" s="14">
        <f>IF(F3892&lt;&gt;"","按字段批注、数据字典和来源记录修正后复核","")</f>
        <v/>
      </c>
      <c r="H3892" s="14">
        <f>IF(F3892&lt;&gt;"","待处理","")</f>
        <v/>
      </c>
    </row>
    <row r="3893">
      <c r="A3893" s="14">
        <f>IF(F3893&lt;&gt;"","ISSUE-"&amp;TEXT(ROW()-1,"00000"),"")</f>
        <v/>
      </c>
      <c r="B3893" s="14">
        <f>IF(F3893&lt;&gt;"","错误","")</f>
        <v/>
      </c>
      <c r="C3893" s="14">
        <f>IF('09_连续性验收'!A393&lt;&gt;"","09_连续性验收","")</f>
        <v/>
      </c>
      <c r="D3893" s="14">
        <f>IF('09_连续性验收'!A393&lt;&gt;"",'09_连续性验收'!A393,"")</f>
        <v/>
      </c>
      <c r="E3893" s="14">
        <f>IF(F3893&lt;&gt;"","综合校验","")</f>
        <v/>
      </c>
      <c r="F3893" s="14">
        <f>IF('09_连续性验收'!A393&lt;&gt;"",IF('09_连续性验收'!A393="","缺少验收ID；","")&amp;IF('09_连续性验收'!B393="","缺少对象ID；","")&amp;IF('09_连续性验收'!C393="","缺少检查类型；","")&amp;IF(AND('09_连续性验收'!J393&lt;&gt;"",'09_连续性验收'!K393&lt;&gt;"",'09_连续性验收'!J393&gt;'09_连续性验收'!K393),"坐标偏差超标；","")&amp;IF(AND('09_连续性验收'!B393&lt;&gt;"",COUNTIF('02_固定地理'!$A$2:$A$501,'09_连续性验收'!B393)+COUNTIF('03_地点锚点'!$A$2:$A$501,'09_连续性验收'!B393)+COUNTIF('04_路径网络'!$A$2:$A$501,'09_连续性验收'!B393)+COUNTIF('06_建筑锚点'!$A$2:$A$501,'09_连续性验收'!B393)=0),"验收对象不存在；","")&amp;IF(AND('09_连续性验收'!A393&lt;&gt;"",COUNTIF('09_连续性验收'!$A$2:$A$501,'09_连续性验收'!A393)&gt;1),"ID重复；",""),"")</f>
        <v/>
      </c>
      <c r="G3893" s="14">
        <f>IF(F3893&lt;&gt;"","按字段批注、数据字典和来源记录修正后复核","")</f>
        <v/>
      </c>
      <c r="H3893" s="14">
        <f>IF(F3893&lt;&gt;"","待处理","")</f>
        <v/>
      </c>
    </row>
    <row r="3894">
      <c r="A3894" s="14">
        <f>IF(F3894&lt;&gt;"","ISSUE-"&amp;TEXT(ROW()-1,"00000"),"")</f>
        <v/>
      </c>
      <c r="B3894" s="14">
        <f>IF(F3894&lt;&gt;"","错误","")</f>
        <v/>
      </c>
      <c r="C3894" s="14">
        <f>IF('09_连续性验收'!A394&lt;&gt;"","09_连续性验收","")</f>
        <v/>
      </c>
      <c r="D3894" s="14">
        <f>IF('09_连续性验收'!A394&lt;&gt;"",'09_连续性验收'!A394,"")</f>
        <v/>
      </c>
      <c r="E3894" s="14">
        <f>IF(F3894&lt;&gt;"","综合校验","")</f>
        <v/>
      </c>
      <c r="F3894" s="14">
        <f>IF('09_连续性验收'!A394&lt;&gt;"",IF('09_连续性验收'!A394="","缺少验收ID；","")&amp;IF('09_连续性验收'!B394="","缺少对象ID；","")&amp;IF('09_连续性验收'!C394="","缺少检查类型；","")&amp;IF(AND('09_连续性验收'!J394&lt;&gt;"",'09_连续性验收'!K394&lt;&gt;"",'09_连续性验收'!J394&gt;'09_连续性验收'!K394),"坐标偏差超标；","")&amp;IF(AND('09_连续性验收'!B394&lt;&gt;"",COUNTIF('02_固定地理'!$A$2:$A$501,'09_连续性验收'!B394)+COUNTIF('03_地点锚点'!$A$2:$A$501,'09_连续性验收'!B394)+COUNTIF('04_路径网络'!$A$2:$A$501,'09_连续性验收'!B394)+COUNTIF('06_建筑锚点'!$A$2:$A$501,'09_连续性验收'!B394)=0),"验收对象不存在；","")&amp;IF(AND('09_连续性验收'!A394&lt;&gt;"",COUNTIF('09_连续性验收'!$A$2:$A$501,'09_连续性验收'!A394)&gt;1),"ID重复；",""),"")</f>
        <v/>
      </c>
      <c r="G3894" s="14">
        <f>IF(F3894&lt;&gt;"","按字段批注、数据字典和来源记录修正后复核","")</f>
        <v/>
      </c>
      <c r="H3894" s="14">
        <f>IF(F3894&lt;&gt;"","待处理","")</f>
        <v/>
      </c>
    </row>
    <row r="3895">
      <c r="A3895" s="14">
        <f>IF(F3895&lt;&gt;"","ISSUE-"&amp;TEXT(ROW()-1,"00000"),"")</f>
        <v/>
      </c>
      <c r="B3895" s="14">
        <f>IF(F3895&lt;&gt;"","错误","")</f>
        <v/>
      </c>
      <c r="C3895" s="14">
        <f>IF('09_连续性验收'!A395&lt;&gt;"","09_连续性验收","")</f>
        <v/>
      </c>
      <c r="D3895" s="14">
        <f>IF('09_连续性验收'!A395&lt;&gt;"",'09_连续性验收'!A395,"")</f>
        <v/>
      </c>
      <c r="E3895" s="14">
        <f>IF(F3895&lt;&gt;"","综合校验","")</f>
        <v/>
      </c>
      <c r="F3895" s="14">
        <f>IF('09_连续性验收'!A395&lt;&gt;"",IF('09_连续性验收'!A395="","缺少验收ID；","")&amp;IF('09_连续性验收'!B395="","缺少对象ID；","")&amp;IF('09_连续性验收'!C395="","缺少检查类型；","")&amp;IF(AND('09_连续性验收'!J395&lt;&gt;"",'09_连续性验收'!K395&lt;&gt;"",'09_连续性验收'!J395&gt;'09_连续性验收'!K395),"坐标偏差超标；","")&amp;IF(AND('09_连续性验收'!B395&lt;&gt;"",COUNTIF('02_固定地理'!$A$2:$A$501,'09_连续性验收'!B395)+COUNTIF('03_地点锚点'!$A$2:$A$501,'09_连续性验收'!B395)+COUNTIF('04_路径网络'!$A$2:$A$501,'09_连续性验收'!B395)+COUNTIF('06_建筑锚点'!$A$2:$A$501,'09_连续性验收'!B395)=0),"验收对象不存在；","")&amp;IF(AND('09_连续性验收'!A395&lt;&gt;"",COUNTIF('09_连续性验收'!$A$2:$A$501,'09_连续性验收'!A395)&gt;1),"ID重复；",""),"")</f>
        <v/>
      </c>
      <c r="G3895" s="14">
        <f>IF(F3895&lt;&gt;"","按字段批注、数据字典和来源记录修正后复核","")</f>
        <v/>
      </c>
      <c r="H3895" s="14">
        <f>IF(F3895&lt;&gt;"","待处理","")</f>
        <v/>
      </c>
    </row>
    <row r="3896">
      <c r="A3896" s="14">
        <f>IF(F3896&lt;&gt;"","ISSUE-"&amp;TEXT(ROW()-1,"00000"),"")</f>
        <v/>
      </c>
      <c r="B3896" s="14">
        <f>IF(F3896&lt;&gt;"","错误","")</f>
        <v/>
      </c>
      <c r="C3896" s="14">
        <f>IF('09_连续性验收'!A396&lt;&gt;"","09_连续性验收","")</f>
        <v/>
      </c>
      <c r="D3896" s="14">
        <f>IF('09_连续性验收'!A396&lt;&gt;"",'09_连续性验收'!A396,"")</f>
        <v/>
      </c>
      <c r="E3896" s="14">
        <f>IF(F3896&lt;&gt;"","综合校验","")</f>
        <v/>
      </c>
      <c r="F3896" s="14">
        <f>IF('09_连续性验收'!A396&lt;&gt;"",IF('09_连续性验收'!A396="","缺少验收ID；","")&amp;IF('09_连续性验收'!B396="","缺少对象ID；","")&amp;IF('09_连续性验收'!C396="","缺少检查类型；","")&amp;IF(AND('09_连续性验收'!J396&lt;&gt;"",'09_连续性验收'!K396&lt;&gt;"",'09_连续性验收'!J396&gt;'09_连续性验收'!K396),"坐标偏差超标；","")&amp;IF(AND('09_连续性验收'!B396&lt;&gt;"",COUNTIF('02_固定地理'!$A$2:$A$501,'09_连续性验收'!B396)+COUNTIF('03_地点锚点'!$A$2:$A$501,'09_连续性验收'!B396)+COUNTIF('04_路径网络'!$A$2:$A$501,'09_连续性验收'!B396)+COUNTIF('06_建筑锚点'!$A$2:$A$501,'09_连续性验收'!B396)=0),"验收对象不存在；","")&amp;IF(AND('09_连续性验收'!A396&lt;&gt;"",COUNTIF('09_连续性验收'!$A$2:$A$501,'09_连续性验收'!A396)&gt;1),"ID重复；",""),"")</f>
        <v/>
      </c>
      <c r="G3896" s="14">
        <f>IF(F3896&lt;&gt;"","按字段批注、数据字典和来源记录修正后复核","")</f>
        <v/>
      </c>
      <c r="H3896" s="14">
        <f>IF(F3896&lt;&gt;"","待处理","")</f>
        <v/>
      </c>
    </row>
    <row r="3897">
      <c r="A3897" s="14">
        <f>IF(F3897&lt;&gt;"","ISSUE-"&amp;TEXT(ROW()-1,"00000"),"")</f>
        <v/>
      </c>
      <c r="B3897" s="14">
        <f>IF(F3897&lt;&gt;"","错误","")</f>
        <v/>
      </c>
      <c r="C3897" s="14">
        <f>IF('09_连续性验收'!A397&lt;&gt;"","09_连续性验收","")</f>
        <v/>
      </c>
      <c r="D3897" s="14">
        <f>IF('09_连续性验收'!A397&lt;&gt;"",'09_连续性验收'!A397,"")</f>
        <v/>
      </c>
      <c r="E3897" s="14">
        <f>IF(F3897&lt;&gt;"","综合校验","")</f>
        <v/>
      </c>
      <c r="F3897" s="14">
        <f>IF('09_连续性验收'!A397&lt;&gt;"",IF('09_连续性验收'!A397="","缺少验收ID；","")&amp;IF('09_连续性验收'!B397="","缺少对象ID；","")&amp;IF('09_连续性验收'!C397="","缺少检查类型；","")&amp;IF(AND('09_连续性验收'!J397&lt;&gt;"",'09_连续性验收'!K397&lt;&gt;"",'09_连续性验收'!J397&gt;'09_连续性验收'!K397),"坐标偏差超标；","")&amp;IF(AND('09_连续性验收'!B397&lt;&gt;"",COUNTIF('02_固定地理'!$A$2:$A$501,'09_连续性验收'!B397)+COUNTIF('03_地点锚点'!$A$2:$A$501,'09_连续性验收'!B397)+COUNTIF('04_路径网络'!$A$2:$A$501,'09_连续性验收'!B397)+COUNTIF('06_建筑锚点'!$A$2:$A$501,'09_连续性验收'!B397)=0),"验收对象不存在；","")&amp;IF(AND('09_连续性验收'!A397&lt;&gt;"",COUNTIF('09_连续性验收'!$A$2:$A$501,'09_连续性验收'!A397)&gt;1),"ID重复；",""),"")</f>
        <v/>
      </c>
      <c r="G3897" s="14">
        <f>IF(F3897&lt;&gt;"","按字段批注、数据字典和来源记录修正后复核","")</f>
        <v/>
      </c>
      <c r="H3897" s="14">
        <f>IF(F3897&lt;&gt;"","待处理","")</f>
        <v/>
      </c>
    </row>
    <row r="3898">
      <c r="A3898" s="14">
        <f>IF(F3898&lt;&gt;"","ISSUE-"&amp;TEXT(ROW()-1,"00000"),"")</f>
        <v/>
      </c>
      <c r="B3898" s="14">
        <f>IF(F3898&lt;&gt;"","错误","")</f>
        <v/>
      </c>
      <c r="C3898" s="14">
        <f>IF('09_连续性验收'!A398&lt;&gt;"","09_连续性验收","")</f>
        <v/>
      </c>
      <c r="D3898" s="14">
        <f>IF('09_连续性验收'!A398&lt;&gt;"",'09_连续性验收'!A398,"")</f>
        <v/>
      </c>
      <c r="E3898" s="14">
        <f>IF(F3898&lt;&gt;"","综合校验","")</f>
        <v/>
      </c>
      <c r="F3898" s="14">
        <f>IF('09_连续性验收'!A398&lt;&gt;"",IF('09_连续性验收'!A398="","缺少验收ID；","")&amp;IF('09_连续性验收'!B398="","缺少对象ID；","")&amp;IF('09_连续性验收'!C398="","缺少检查类型；","")&amp;IF(AND('09_连续性验收'!J398&lt;&gt;"",'09_连续性验收'!K398&lt;&gt;"",'09_连续性验收'!J398&gt;'09_连续性验收'!K398),"坐标偏差超标；","")&amp;IF(AND('09_连续性验收'!B398&lt;&gt;"",COUNTIF('02_固定地理'!$A$2:$A$501,'09_连续性验收'!B398)+COUNTIF('03_地点锚点'!$A$2:$A$501,'09_连续性验收'!B398)+COUNTIF('04_路径网络'!$A$2:$A$501,'09_连续性验收'!B398)+COUNTIF('06_建筑锚点'!$A$2:$A$501,'09_连续性验收'!B398)=0),"验收对象不存在；","")&amp;IF(AND('09_连续性验收'!A398&lt;&gt;"",COUNTIF('09_连续性验收'!$A$2:$A$501,'09_连续性验收'!A398)&gt;1),"ID重复；",""),"")</f>
        <v/>
      </c>
      <c r="G3898" s="14">
        <f>IF(F3898&lt;&gt;"","按字段批注、数据字典和来源记录修正后复核","")</f>
        <v/>
      </c>
      <c r="H3898" s="14">
        <f>IF(F3898&lt;&gt;"","待处理","")</f>
        <v/>
      </c>
    </row>
    <row r="3899">
      <c r="A3899" s="14">
        <f>IF(F3899&lt;&gt;"","ISSUE-"&amp;TEXT(ROW()-1,"00000"),"")</f>
        <v/>
      </c>
      <c r="B3899" s="14">
        <f>IF(F3899&lt;&gt;"","错误","")</f>
        <v/>
      </c>
      <c r="C3899" s="14">
        <f>IF('09_连续性验收'!A399&lt;&gt;"","09_连续性验收","")</f>
        <v/>
      </c>
      <c r="D3899" s="14">
        <f>IF('09_连续性验收'!A399&lt;&gt;"",'09_连续性验收'!A399,"")</f>
        <v/>
      </c>
      <c r="E3899" s="14">
        <f>IF(F3899&lt;&gt;"","综合校验","")</f>
        <v/>
      </c>
      <c r="F3899" s="14">
        <f>IF('09_连续性验收'!A399&lt;&gt;"",IF('09_连续性验收'!A399="","缺少验收ID；","")&amp;IF('09_连续性验收'!B399="","缺少对象ID；","")&amp;IF('09_连续性验收'!C399="","缺少检查类型；","")&amp;IF(AND('09_连续性验收'!J399&lt;&gt;"",'09_连续性验收'!K399&lt;&gt;"",'09_连续性验收'!J399&gt;'09_连续性验收'!K399),"坐标偏差超标；","")&amp;IF(AND('09_连续性验收'!B399&lt;&gt;"",COUNTIF('02_固定地理'!$A$2:$A$501,'09_连续性验收'!B399)+COUNTIF('03_地点锚点'!$A$2:$A$501,'09_连续性验收'!B399)+COUNTIF('04_路径网络'!$A$2:$A$501,'09_连续性验收'!B399)+COUNTIF('06_建筑锚点'!$A$2:$A$501,'09_连续性验收'!B399)=0),"验收对象不存在；","")&amp;IF(AND('09_连续性验收'!A399&lt;&gt;"",COUNTIF('09_连续性验收'!$A$2:$A$501,'09_连续性验收'!A399)&gt;1),"ID重复；",""),"")</f>
        <v/>
      </c>
      <c r="G3899" s="14">
        <f>IF(F3899&lt;&gt;"","按字段批注、数据字典和来源记录修正后复核","")</f>
        <v/>
      </c>
      <c r="H3899" s="14">
        <f>IF(F3899&lt;&gt;"","待处理","")</f>
        <v/>
      </c>
    </row>
    <row r="3900">
      <c r="A3900" s="14">
        <f>IF(F3900&lt;&gt;"","ISSUE-"&amp;TEXT(ROW()-1,"00000"),"")</f>
        <v/>
      </c>
      <c r="B3900" s="14">
        <f>IF(F3900&lt;&gt;"","错误","")</f>
        <v/>
      </c>
      <c r="C3900" s="14">
        <f>IF('09_连续性验收'!A400&lt;&gt;"","09_连续性验收","")</f>
        <v/>
      </c>
      <c r="D3900" s="14">
        <f>IF('09_连续性验收'!A400&lt;&gt;"",'09_连续性验收'!A400,"")</f>
        <v/>
      </c>
      <c r="E3900" s="14">
        <f>IF(F3900&lt;&gt;"","综合校验","")</f>
        <v/>
      </c>
      <c r="F3900" s="14">
        <f>IF('09_连续性验收'!A400&lt;&gt;"",IF('09_连续性验收'!A400="","缺少验收ID；","")&amp;IF('09_连续性验收'!B400="","缺少对象ID；","")&amp;IF('09_连续性验收'!C400="","缺少检查类型；","")&amp;IF(AND('09_连续性验收'!J400&lt;&gt;"",'09_连续性验收'!K400&lt;&gt;"",'09_连续性验收'!J400&gt;'09_连续性验收'!K400),"坐标偏差超标；","")&amp;IF(AND('09_连续性验收'!B400&lt;&gt;"",COUNTIF('02_固定地理'!$A$2:$A$501,'09_连续性验收'!B400)+COUNTIF('03_地点锚点'!$A$2:$A$501,'09_连续性验收'!B400)+COUNTIF('04_路径网络'!$A$2:$A$501,'09_连续性验收'!B400)+COUNTIF('06_建筑锚点'!$A$2:$A$501,'09_连续性验收'!B400)=0),"验收对象不存在；","")&amp;IF(AND('09_连续性验收'!A400&lt;&gt;"",COUNTIF('09_连续性验收'!$A$2:$A$501,'09_连续性验收'!A400)&gt;1),"ID重复；",""),"")</f>
        <v/>
      </c>
      <c r="G3900" s="14">
        <f>IF(F3900&lt;&gt;"","按字段批注、数据字典和来源记录修正后复核","")</f>
        <v/>
      </c>
      <c r="H3900" s="14">
        <f>IF(F3900&lt;&gt;"","待处理","")</f>
        <v/>
      </c>
    </row>
    <row r="3901">
      <c r="A3901" s="14">
        <f>IF(F3901&lt;&gt;"","ISSUE-"&amp;TEXT(ROW()-1,"00000"),"")</f>
        <v/>
      </c>
      <c r="B3901" s="14">
        <f>IF(F3901&lt;&gt;"","错误","")</f>
        <v/>
      </c>
      <c r="C3901" s="14">
        <f>IF('09_连续性验收'!A401&lt;&gt;"","09_连续性验收","")</f>
        <v/>
      </c>
      <c r="D3901" s="14">
        <f>IF('09_连续性验收'!A401&lt;&gt;"",'09_连续性验收'!A401,"")</f>
        <v/>
      </c>
      <c r="E3901" s="14">
        <f>IF(F3901&lt;&gt;"","综合校验","")</f>
        <v/>
      </c>
      <c r="F3901" s="14">
        <f>IF('09_连续性验收'!A401&lt;&gt;"",IF('09_连续性验收'!A401="","缺少验收ID；","")&amp;IF('09_连续性验收'!B401="","缺少对象ID；","")&amp;IF('09_连续性验收'!C401="","缺少检查类型；","")&amp;IF(AND('09_连续性验收'!J401&lt;&gt;"",'09_连续性验收'!K401&lt;&gt;"",'09_连续性验收'!J401&gt;'09_连续性验收'!K401),"坐标偏差超标；","")&amp;IF(AND('09_连续性验收'!B401&lt;&gt;"",COUNTIF('02_固定地理'!$A$2:$A$501,'09_连续性验收'!B401)+COUNTIF('03_地点锚点'!$A$2:$A$501,'09_连续性验收'!B401)+COUNTIF('04_路径网络'!$A$2:$A$501,'09_连续性验收'!B401)+COUNTIF('06_建筑锚点'!$A$2:$A$501,'09_连续性验收'!B401)=0),"验收对象不存在；","")&amp;IF(AND('09_连续性验收'!A401&lt;&gt;"",COUNTIF('09_连续性验收'!$A$2:$A$501,'09_连续性验收'!A401)&gt;1),"ID重复；",""),"")</f>
        <v/>
      </c>
      <c r="G3901" s="14">
        <f>IF(F3901&lt;&gt;"","按字段批注、数据字典和来源记录修正后复核","")</f>
        <v/>
      </c>
      <c r="H3901" s="14">
        <f>IF(F3901&lt;&gt;"","待处理","")</f>
        <v/>
      </c>
    </row>
    <row r="3902">
      <c r="A3902" s="14">
        <f>IF(F3902&lt;&gt;"","ISSUE-"&amp;TEXT(ROW()-1,"00000"),"")</f>
        <v/>
      </c>
      <c r="B3902" s="14">
        <f>IF(F3902&lt;&gt;"","错误","")</f>
        <v/>
      </c>
      <c r="C3902" s="14">
        <f>IF('09_连续性验收'!A402&lt;&gt;"","09_连续性验收","")</f>
        <v/>
      </c>
      <c r="D3902" s="14">
        <f>IF('09_连续性验收'!A402&lt;&gt;"",'09_连续性验收'!A402,"")</f>
        <v/>
      </c>
      <c r="E3902" s="14">
        <f>IF(F3902&lt;&gt;"","综合校验","")</f>
        <v/>
      </c>
      <c r="F3902" s="14">
        <f>IF('09_连续性验收'!A402&lt;&gt;"",IF('09_连续性验收'!A402="","缺少验收ID；","")&amp;IF('09_连续性验收'!B402="","缺少对象ID；","")&amp;IF('09_连续性验收'!C402="","缺少检查类型；","")&amp;IF(AND('09_连续性验收'!J402&lt;&gt;"",'09_连续性验收'!K402&lt;&gt;"",'09_连续性验收'!J402&gt;'09_连续性验收'!K402),"坐标偏差超标；","")&amp;IF(AND('09_连续性验收'!B402&lt;&gt;"",COUNTIF('02_固定地理'!$A$2:$A$501,'09_连续性验收'!B402)+COUNTIF('03_地点锚点'!$A$2:$A$501,'09_连续性验收'!B402)+COUNTIF('04_路径网络'!$A$2:$A$501,'09_连续性验收'!B402)+COUNTIF('06_建筑锚点'!$A$2:$A$501,'09_连续性验收'!B402)=0),"验收对象不存在；","")&amp;IF(AND('09_连续性验收'!A402&lt;&gt;"",COUNTIF('09_连续性验收'!$A$2:$A$501,'09_连续性验收'!A402)&gt;1),"ID重复；",""),"")</f>
        <v/>
      </c>
      <c r="G3902" s="14">
        <f>IF(F3902&lt;&gt;"","按字段批注、数据字典和来源记录修正后复核","")</f>
        <v/>
      </c>
      <c r="H3902" s="14">
        <f>IF(F3902&lt;&gt;"","待处理","")</f>
        <v/>
      </c>
    </row>
    <row r="3903">
      <c r="A3903" s="14">
        <f>IF(F3903&lt;&gt;"","ISSUE-"&amp;TEXT(ROW()-1,"00000"),"")</f>
        <v/>
      </c>
      <c r="B3903" s="14">
        <f>IF(F3903&lt;&gt;"","错误","")</f>
        <v/>
      </c>
      <c r="C3903" s="14">
        <f>IF('09_连续性验收'!A403&lt;&gt;"","09_连续性验收","")</f>
        <v/>
      </c>
      <c r="D3903" s="14">
        <f>IF('09_连续性验收'!A403&lt;&gt;"",'09_连续性验收'!A403,"")</f>
        <v/>
      </c>
      <c r="E3903" s="14">
        <f>IF(F3903&lt;&gt;"","综合校验","")</f>
        <v/>
      </c>
      <c r="F3903" s="14">
        <f>IF('09_连续性验收'!A403&lt;&gt;"",IF('09_连续性验收'!A403="","缺少验收ID；","")&amp;IF('09_连续性验收'!B403="","缺少对象ID；","")&amp;IF('09_连续性验收'!C403="","缺少检查类型；","")&amp;IF(AND('09_连续性验收'!J403&lt;&gt;"",'09_连续性验收'!K403&lt;&gt;"",'09_连续性验收'!J403&gt;'09_连续性验收'!K403),"坐标偏差超标；","")&amp;IF(AND('09_连续性验收'!B403&lt;&gt;"",COUNTIF('02_固定地理'!$A$2:$A$501,'09_连续性验收'!B403)+COUNTIF('03_地点锚点'!$A$2:$A$501,'09_连续性验收'!B403)+COUNTIF('04_路径网络'!$A$2:$A$501,'09_连续性验收'!B403)+COUNTIF('06_建筑锚点'!$A$2:$A$501,'09_连续性验收'!B403)=0),"验收对象不存在；","")&amp;IF(AND('09_连续性验收'!A403&lt;&gt;"",COUNTIF('09_连续性验收'!$A$2:$A$501,'09_连续性验收'!A403)&gt;1),"ID重复；",""),"")</f>
        <v/>
      </c>
      <c r="G3903" s="14">
        <f>IF(F3903&lt;&gt;"","按字段批注、数据字典和来源记录修正后复核","")</f>
        <v/>
      </c>
      <c r="H3903" s="14">
        <f>IF(F3903&lt;&gt;"","待处理","")</f>
        <v/>
      </c>
    </row>
    <row r="3904">
      <c r="A3904" s="14">
        <f>IF(F3904&lt;&gt;"","ISSUE-"&amp;TEXT(ROW()-1,"00000"),"")</f>
        <v/>
      </c>
      <c r="B3904" s="14">
        <f>IF(F3904&lt;&gt;"","错误","")</f>
        <v/>
      </c>
      <c r="C3904" s="14">
        <f>IF('09_连续性验收'!A404&lt;&gt;"","09_连续性验收","")</f>
        <v/>
      </c>
      <c r="D3904" s="14">
        <f>IF('09_连续性验收'!A404&lt;&gt;"",'09_连续性验收'!A404,"")</f>
        <v/>
      </c>
      <c r="E3904" s="14">
        <f>IF(F3904&lt;&gt;"","综合校验","")</f>
        <v/>
      </c>
      <c r="F3904" s="14">
        <f>IF('09_连续性验收'!A404&lt;&gt;"",IF('09_连续性验收'!A404="","缺少验收ID；","")&amp;IF('09_连续性验收'!B404="","缺少对象ID；","")&amp;IF('09_连续性验收'!C404="","缺少检查类型；","")&amp;IF(AND('09_连续性验收'!J404&lt;&gt;"",'09_连续性验收'!K404&lt;&gt;"",'09_连续性验收'!J404&gt;'09_连续性验收'!K404),"坐标偏差超标；","")&amp;IF(AND('09_连续性验收'!B404&lt;&gt;"",COUNTIF('02_固定地理'!$A$2:$A$501,'09_连续性验收'!B404)+COUNTIF('03_地点锚点'!$A$2:$A$501,'09_连续性验收'!B404)+COUNTIF('04_路径网络'!$A$2:$A$501,'09_连续性验收'!B404)+COUNTIF('06_建筑锚点'!$A$2:$A$501,'09_连续性验收'!B404)=0),"验收对象不存在；","")&amp;IF(AND('09_连续性验收'!A404&lt;&gt;"",COUNTIF('09_连续性验收'!$A$2:$A$501,'09_连续性验收'!A404)&gt;1),"ID重复；",""),"")</f>
        <v/>
      </c>
      <c r="G3904" s="14">
        <f>IF(F3904&lt;&gt;"","按字段批注、数据字典和来源记录修正后复核","")</f>
        <v/>
      </c>
      <c r="H3904" s="14">
        <f>IF(F3904&lt;&gt;"","待处理","")</f>
        <v/>
      </c>
    </row>
    <row r="3905">
      <c r="A3905" s="14">
        <f>IF(F3905&lt;&gt;"","ISSUE-"&amp;TEXT(ROW()-1,"00000"),"")</f>
        <v/>
      </c>
      <c r="B3905" s="14">
        <f>IF(F3905&lt;&gt;"","错误","")</f>
        <v/>
      </c>
      <c r="C3905" s="14">
        <f>IF('09_连续性验收'!A405&lt;&gt;"","09_连续性验收","")</f>
        <v/>
      </c>
      <c r="D3905" s="14">
        <f>IF('09_连续性验收'!A405&lt;&gt;"",'09_连续性验收'!A405,"")</f>
        <v/>
      </c>
      <c r="E3905" s="14">
        <f>IF(F3905&lt;&gt;"","综合校验","")</f>
        <v/>
      </c>
      <c r="F3905" s="14">
        <f>IF('09_连续性验收'!A405&lt;&gt;"",IF('09_连续性验收'!A405="","缺少验收ID；","")&amp;IF('09_连续性验收'!B405="","缺少对象ID；","")&amp;IF('09_连续性验收'!C405="","缺少检查类型；","")&amp;IF(AND('09_连续性验收'!J405&lt;&gt;"",'09_连续性验收'!K405&lt;&gt;"",'09_连续性验收'!J405&gt;'09_连续性验收'!K405),"坐标偏差超标；","")&amp;IF(AND('09_连续性验收'!B405&lt;&gt;"",COUNTIF('02_固定地理'!$A$2:$A$501,'09_连续性验收'!B405)+COUNTIF('03_地点锚点'!$A$2:$A$501,'09_连续性验收'!B405)+COUNTIF('04_路径网络'!$A$2:$A$501,'09_连续性验收'!B405)+COUNTIF('06_建筑锚点'!$A$2:$A$501,'09_连续性验收'!B405)=0),"验收对象不存在；","")&amp;IF(AND('09_连续性验收'!A405&lt;&gt;"",COUNTIF('09_连续性验收'!$A$2:$A$501,'09_连续性验收'!A405)&gt;1),"ID重复；",""),"")</f>
        <v/>
      </c>
      <c r="G3905" s="14">
        <f>IF(F3905&lt;&gt;"","按字段批注、数据字典和来源记录修正后复核","")</f>
        <v/>
      </c>
      <c r="H3905" s="14">
        <f>IF(F3905&lt;&gt;"","待处理","")</f>
        <v/>
      </c>
    </row>
    <row r="3906">
      <c r="A3906" s="14">
        <f>IF(F3906&lt;&gt;"","ISSUE-"&amp;TEXT(ROW()-1,"00000"),"")</f>
        <v/>
      </c>
      <c r="B3906" s="14">
        <f>IF(F3906&lt;&gt;"","错误","")</f>
        <v/>
      </c>
      <c r="C3906" s="14">
        <f>IF('09_连续性验收'!A406&lt;&gt;"","09_连续性验收","")</f>
        <v/>
      </c>
      <c r="D3906" s="14">
        <f>IF('09_连续性验收'!A406&lt;&gt;"",'09_连续性验收'!A406,"")</f>
        <v/>
      </c>
      <c r="E3906" s="14">
        <f>IF(F3906&lt;&gt;"","综合校验","")</f>
        <v/>
      </c>
      <c r="F3906" s="14">
        <f>IF('09_连续性验收'!A406&lt;&gt;"",IF('09_连续性验收'!A406="","缺少验收ID；","")&amp;IF('09_连续性验收'!B406="","缺少对象ID；","")&amp;IF('09_连续性验收'!C406="","缺少检查类型；","")&amp;IF(AND('09_连续性验收'!J406&lt;&gt;"",'09_连续性验收'!K406&lt;&gt;"",'09_连续性验收'!J406&gt;'09_连续性验收'!K406),"坐标偏差超标；","")&amp;IF(AND('09_连续性验收'!B406&lt;&gt;"",COUNTIF('02_固定地理'!$A$2:$A$501,'09_连续性验收'!B406)+COUNTIF('03_地点锚点'!$A$2:$A$501,'09_连续性验收'!B406)+COUNTIF('04_路径网络'!$A$2:$A$501,'09_连续性验收'!B406)+COUNTIF('06_建筑锚点'!$A$2:$A$501,'09_连续性验收'!B406)=0),"验收对象不存在；","")&amp;IF(AND('09_连续性验收'!A406&lt;&gt;"",COUNTIF('09_连续性验收'!$A$2:$A$501,'09_连续性验收'!A406)&gt;1),"ID重复；",""),"")</f>
        <v/>
      </c>
      <c r="G3906" s="14">
        <f>IF(F3906&lt;&gt;"","按字段批注、数据字典和来源记录修正后复核","")</f>
        <v/>
      </c>
      <c r="H3906" s="14">
        <f>IF(F3906&lt;&gt;"","待处理","")</f>
        <v/>
      </c>
    </row>
    <row r="3907">
      <c r="A3907" s="14">
        <f>IF(F3907&lt;&gt;"","ISSUE-"&amp;TEXT(ROW()-1,"00000"),"")</f>
        <v/>
      </c>
      <c r="B3907" s="14">
        <f>IF(F3907&lt;&gt;"","错误","")</f>
        <v/>
      </c>
      <c r="C3907" s="14">
        <f>IF('09_连续性验收'!A407&lt;&gt;"","09_连续性验收","")</f>
        <v/>
      </c>
      <c r="D3907" s="14">
        <f>IF('09_连续性验收'!A407&lt;&gt;"",'09_连续性验收'!A407,"")</f>
        <v/>
      </c>
      <c r="E3907" s="14">
        <f>IF(F3907&lt;&gt;"","综合校验","")</f>
        <v/>
      </c>
      <c r="F3907" s="14">
        <f>IF('09_连续性验收'!A407&lt;&gt;"",IF('09_连续性验收'!A407="","缺少验收ID；","")&amp;IF('09_连续性验收'!B407="","缺少对象ID；","")&amp;IF('09_连续性验收'!C407="","缺少检查类型；","")&amp;IF(AND('09_连续性验收'!J407&lt;&gt;"",'09_连续性验收'!K407&lt;&gt;"",'09_连续性验收'!J407&gt;'09_连续性验收'!K407),"坐标偏差超标；","")&amp;IF(AND('09_连续性验收'!B407&lt;&gt;"",COUNTIF('02_固定地理'!$A$2:$A$501,'09_连续性验收'!B407)+COUNTIF('03_地点锚点'!$A$2:$A$501,'09_连续性验收'!B407)+COUNTIF('04_路径网络'!$A$2:$A$501,'09_连续性验收'!B407)+COUNTIF('06_建筑锚点'!$A$2:$A$501,'09_连续性验收'!B407)=0),"验收对象不存在；","")&amp;IF(AND('09_连续性验收'!A407&lt;&gt;"",COUNTIF('09_连续性验收'!$A$2:$A$501,'09_连续性验收'!A407)&gt;1),"ID重复；",""),"")</f>
        <v/>
      </c>
      <c r="G3907" s="14">
        <f>IF(F3907&lt;&gt;"","按字段批注、数据字典和来源记录修正后复核","")</f>
        <v/>
      </c>
      <c r="H3907" s="14">
        <f>IF(F3907&lt;&gt;"","待处理","")</f>
        <v/>
      </c>
    </row>
    <row r="3908">
      <c r="A3908" s="14">
        <f>IF(F3908&lt;&gt;"","ISSUE-"&amp;TEXT(ROW()-1,"00000"),"")</f>
        <v/>
      </c>
      <c r="B3908" s="14">
        <f>IF(F3908&lt;&gt;"","错误","")</f>
        <v/>
      </c>
      <c r="C3908" s="14">
        <f>IF('09_连续性验收'!A408&lt;&gt;"","09_连续性验收","")</f>
        <v/>
      </c>
      <c r="D3908" s="14">
        <f>IF('09_连续性验收'!A408&lt;&gt;"",'09_连续性验收'!A408,"")</f>
        <v/>
      </c>
      <c r="E3908" s="14">
        <f>IF(F3908&lt;&gt;"","综合校验","")</f>
        <v/>
      </c>
      <c r="F3908" s="14">
        <f>IF('09_连续性验收'!A408&lt;&gt;"",IF('09_连续性验收'!A408="","缺少验收ID；","")&amp;IF('09_连续性验收'!B408="","缺少对象ID；","")&amp;IF('09_连续性验收'!C408="","缺少检查类型；","")&amp;IF(AND('09_连续性验收'!J408&lt;&gt;"",'09_连续性验收'!K408&lt;&gt;"",'09_连续性验收'!J408&gt;'09_连续性验收'!K408),"坐标偏差超标；","")&amp;IF(AND('09_连续性验收'!B408&lt;&gt;"",COUNTIF('02_固定地理'!$A$2:$A$501,'09_连续性验收'!B408)+COUNTIF('03_地点锚点'!$A$2:$A$501,'09_连续性验收'!B408)+COUNTIF('04_路径网络'!$A$2:$A$501,'09_连续性验收'!B408)+COUNTIF('06_建筑锚点'!$A$2:$A$501,'09_连续性验收'!B408)=0),"验收对象不存在；","")&amp;IF(AND('09_连续性验收'!A408&lt;&gt;"",COUNTIF('09_连续性验收'!$A$2:$A$501,'09_连续性验收'!A408)&gt;1),"ID重复；",""),"")</f>
        <v/>
      </c>
      <c r="G3908" s="14">
        <f>IF(F3908&lt;&gt;"","按字段批注、数据字典和来源记录修正后复核","")</f>
        <v/>
      </c>
      <c r="H3908" s="14">
        <f>IF(F3908&lt;&gt;"","待处理","")</f>
        <v/>
      </c>
    </row>
    <row r="3909">
      <c r="A3909" s="14">
        <f>IF(F3909&lt;&gt;"","ISSUE-"&amp;TEXT(ROW()-1,"00000"),"")</f>
        <v/>
      </c>
      <c r="B3909" s="14">
        <f>IF(F3909&lt;&gt;"","错误","")</f>
        <v/>
      </c>
      <c r="C3909" s="14">
        <f>IF('09_连续性验收'!A409&lt;&gt;"","09_连续性验收","")</f>
        <v/>
      </c>
      <c r="D3909" s="14">
        <f>IF('09_连续性验收'!A409&lt;&gt;"",'09_连续性验收'!A409,"")</f>
        <v/>
      </c>
      <c r="E3909" s="14">
        <f>IF(F3909&lt;&gt;"","综合校验","")</f>
        <v/>
      </c>
      <c r="F3909" s="14">
        <f>IF('09_连续性验收'!A409&lt;&gt;"",IF('09_连续性验收'!A409="","缺少验收ID；","")&amp;IF('09_连续性验收'!B409="","缺少对象ID；","")&amp;IF('09_连续性验收'!C409="","缺少检查类型；","")&amp;IF(AND('09_连续性验收'!J409&lt;&gt;"",'09_连续性验收'!K409&lt;&gt;"",'09_连续性验收'!J409&gt;'09_连续性验收'!K409),"坐标偏差超标；","")&amp;IF(AND('09_连续性验收'!B409&lt;&gt;"",COUNTIF('02_固定地理'!$A$2:$A$501,'09_连续性验收'!B409)+COUNTIF('03_地点锚点'!$A$2:$A$501,'09_连续性验收'!B409)+COUNTIF('04_路径网络'!$A$2:$A$501,'09_连续性验收'!B409)+COUNTIF('06_建筑锚点'!$A$2:$A$501,'09_连续性验收'!B409)=0),"验收对象不存在；","")&amp;IF(AND('09_连续性验收'!A409&lt;&gt;"",COUNTIF('09_连续性验收'!$A$2:$A$501,'09_连续性验收'!A409)&gt;1),"ID重复；",""),"")</f>
        <v/>
      </c>
      <c r="G3909" s="14">
        <f>IF(F3909&lt;&gt;"","按字段批注、数据字典和来源记录修正后复核","")</f>
        <v/>
      </c>
      <c r="H3909" s="14">
        <f>IF(F3909&lt;&gt;"","待处理","")</f>
        <v/>
      </c>
    </row>
    <row r="3910">
      <c r="A3910" s="14">
        <f>IF(F3910&lt;&gt;"","ISSUE-"&amp;TEXT(ROW()-1,"00000"),"")</f>
        <v/>
      </c>
      <c r="B3910" s="14">
        <f>IF(F3910&lt;&gt;"","错误","")</f>
        <v/>
      </c>
      <c r="C3910" s="14">
        <f>IF('09_连续性验收'!A410&lt;&gt;"","09_连续性验收","")</f>
        <v/>
      </c>
      <c r="D3910" s="14">
        <f>IF('09_连续性验收'!A410&lt;&gt;"",'09_连续性验收'!A410,"")</f>
        <v/>
      </c>
      <c r="E3910" s="14">
        <f>IF(F3910&lt;&gt;"","综合校验","")</f>
        <v/>
      </c>
      <c r="F3910" s="14">
        <f>IF('09_连续性验收'!A410&lt;&gt;"",IF('09_连续性验收'!A410="","缺少验收ID；","")&amp;IF('09_连续性验收'!B410="","缺少对象ID；","")&amp;IF('09_连续性验收'!C410="","缺少检查类型；","")&amp;IF(AND('09_连续性验收'!J410&lt;&gt;"",'09_连续性验收'!K410&lt;&gt;"",'09_连续性验收'!J410&gt;'09_连续性验收'!K410),"坐标偏差超标；","")&amp;IF(AND('09_连续性验收'!B410&lt;&gt;"",COUNTIF('02_固定地理'!$A$2:$A$501,'09_连续性验收'!B410)+COUNTIF('03_地点锚点'!$A$2:$A$501,'09_连续性验收'!B410)+COUNTIF('04_路径网络'!$A$2:$A$501,'09_连续性验收'!B410)+COUNTIF('06_建筑锚点'!$A$2:$A$501,'09_连续性验收'!B410)=0),"验收对象不存在；","")&amp;IF(AND('09_连续性验收'!A410&lt;&gt;"",COUNTIF('09_连续性验收'!$A$2:$A$501,'09_连续性验收'!A410)&gt;1),"ID重复；",""),"")</f>
        <v/>
      </c>
      <c r="G3910" s="14">
        <f>IF(F3910&lt;&gt;"","按字段批注、数据字典和来源记录修正后复核","")</f>
        <v/>
      </c>
      <c r="H3910" s="14">
        <f>IF(F3910&lt;&gt;"","待处理","")</f>
        <v/>
      </c>
    </row>
    <row r="3911">
      <c r="A3911" s="14">
        <f>IF(F3911&lt;&gt;"","ISSUE-"&amp;TEXT(ROW()-1,"00000"),"")</f>
        <v/>
      </c>
      <c r="B3911" s="14">
        <f>IF(F3911&lt;&gt;"","错误","")</f>
        <v/>
      </c>
      <c r="C3911" s="14">
        <f>IF('09_连续性验收'!A411&lt;&gt;"","09_连续性验收","")</f>
        <v/>
      </c>
      <c r="D3911" s="14">
        <f>IF('09_连续性验收'!A411&lt;&gt;"",'09_连续性验收'!A411,"")</f>
        <v/>
      </c>
      <c r="E3911" s="14">
        <f>IF(F3911&lt;&gt;"","综合校验","")</f>
        <v/>
      </c>
      <c r="F3911" s="14">
        <f>IF('09_连续性验收'!A411&lt;&gt;"",IF('09_连续性验收'!A411="","缺少验收ID；","")&amp;IF('09_连续性验收'!B411="","缺少对象ID；","")&amp;IF('09_连续性验收'!C411="","缺少检查类型；","")&amp;IF(AND('09_连续性验收'!J411&lt;&gt;"",'09_连续性验收'!K411&lt;&gt;"",'09_连续性验收'!J411&gt;'09_连续性验收'!K411),"坐标偏差超标；","")&amp;IF(AND('09_连续性验收'!B411&lt;&gt;"",COUNTIF('02_固定地理'!$A$2:$A$501,'09_连续性验收'!B411)+COUNTIF('03_地点锚点'!$A$2:$A$501,'09_连续性验收'!B411)+COUNTIF('04_路径网络'!$A$2:$A$501,'09_连续性验收'!B411)+COUNTIF('06_建筑锚点'!$A$2:$A$501,'09_连续性验收'!B411)=0),"验收对象不存在；","")&amp;IF(AND('09_连续性验收'!A411&lt;&gt;"",COUNTIF('09_连续性验收'!$A$2:$A$501,'09_连续性验收'!A411)&gt;1),"ID重复；",""),"")</f>
        <v/>
      </c>
      <c r="G3911" s="14">
        <f>IF(F3911&lt;&gt;"","按字段批注、数据字典和来源记录修正后复核","")</f>
        <v/>
      </c>
      <c r="H3911" s="14">
        <f>IF(F3911&lt;&gt;"","待处理","")</f>
        <v/>
      </c>
    </row>
    <row r="3912">
      <c r="A3912" s="14">
        <f>IF(F3912&lt;&gt;"","ISSUE-"&amp;TEXT(ROW()-1,"00000"),"")</f>
        <v/>
      </c>
      <c r="B3912" s="14">
        <f>IF(F3912&lt;&gt;"","错误","")</f>
        <v/>
      </c>
      <c r="C3912" s="14">
        <f>IF('09_连续性验收'!A412&lt;&gt;"","09_连续性验收","")</f>
        <v/>
      </c>
      <c r="D3912" s="14">
        <f>IF('09_连续性验收'!A412&lt;&gt;"",'09_连续性验收'!A412,"")</f>
        <v/>
      </c>
      <c r="E3912" s="14">
        <f>IF(F3912&lt;&gt;"","综合校验","")</f>
        <v/>
      </c>
      <c r="F3912" s="14">
        <f>IF('09_连续性验收'!A412&lt;&gt;"",IF('09_连续性验收'!A412="","缺少验收ID；","")&amp;IF('09_连续性验收'!B412="","缺少对象ID；","")&amp;IF('09_连续性验收'!C412="","缺少检查类型；","")&amp;IF(AND('09_连续性验收'!J412&lt;&gt;"",'09_连续性验收'!K412&lt;&gt;"",'09_连续性验收'!J412&gt;'09_连续性验收'!K412),"坐标偏差超标；","")&amp;IF(AND('09_连续性验收'!B412&lt;&gt;"",COUNTIF('02_固定地理'!$A$2:$A$501,'09_连续性验收'!B412)+COUNTIF('03_地点锚点'!$A$2:$A$501,'09_连续性验收'!B412)+COUNTIF('04_路径网络'!$A$2:$A$501,'09_连续性验收'!B412)+COUNTIF('06_建筑锚点'!$A$2:$A$501,'09_连续性验收'!B412)=0),"验收对象不存在；","")&amp;IF(AND('09_连续性验收'!A412&lt;&gt;"",COUNTIF('09_连续性验收'!$A$2:$A$501,'09_连续性验收'!A412)&gt;1),"ID重复；",""),"")</f>
        <v/>
      </c>
      <c r="G3912" s="14">
        <f>IF(F3912&lt;&gt;"","按字段批注、数据字典和来源记录修正后复核","")</f>
        <v/>
      </c>
      <c r="H3912" s="14">
        <f>IF(F3912&lt;&gt;"","待处理","")</f>
        <v/>
      </c>
    </row>
    <row r="3913">
      <c r="A3913" s="14">
        <f>IF(F3913&lt;&gt;"","ISSUE-"&amp;TEXT(ROW()-1,"00000"),"")</f>
        <v/>
      </c>
      <c r="B3913" s="14">
        <f>IF(F3913&lt;&gt;"","错误","")</f>
        <v/>
      </c>
      <c r="C3913" s="14">
        <f>IF('09_连续性验收'!A413&lt;&gt;"","09_连续性验收","")</f>
        <v/>
      </c>
      <c r="D3913" s="14">
        <f>IF('09_连续性验收'!A413&lt;&gt;"",'09_连续性验收'!A413,"")</f>
        <v/>
      </c>
      <c r="E3913" s="14">
        <f>IF(F3913&lt;&gt;"","综合校验","")</f>
        <v/>
      </c>
      <c r="F3913" s="14">
        <f>IF('09_连续性验收'!A413&lt;&gt;"",IF('09_连续性验收'!A413="","缺少验收ID；","")&amp;IF('09_连续性验收'!B413="","缺少对象ID；","")&amp;IF('09_连续性验收'!C413="","缺少检查类型；","")&amp;IF(AND('09_连续性验收'!J413&lt;&gt;"",'09_连续性验收'!K413&lt;&gt;"",'09_连续性验收'!J413&gt;'09_连续性验收'!K413),"坐标偏差超标；","")&amp;IF(AND('09_连续性验收'!B413&lt;&gt;"",COUNTIF('02_固定地理'!$A$2:$A$501,'09_连续性验收'!B413)+COUNTIF('03_地点锚点'!$A$2:$A$501,'09_连续性验收'!B413)+COUNTIF('04_路径网络'!$A$2:$A$501,'09_连续性验收'!B413)+COUNTIF('06_建筑锚点'!$A$2:$A$501,'09_连续性验收'!B413)=0),"验收对象不存在；","")&amp;IF(AND('09_连续性验收'!A413&lt;&gt;"",COUNTIF('09_连续性验收'!$A$2:$A$501,'09_连续性验收'!A413)&gt;1),"ID重复；",""),"")</f>
        <v/>
      </c>
      <c r="G3913" s="14">
        <f>IF(F3913&lt;&gt;"","按字段批注、数据字典和来源记录修正后复核","")</f>
        <v/>
      </c>
      <c r="H3913" s="14">
        <f>IF(F3913&lt;&gt;"","待处理","")</f>
        <v/>
      </c>
    </row>
    <row r="3914">
      <c r="A3914" s="14">
        <f>IF(F3914&lt;&gt;"","ISSUE-"&amp;TEXT(ROW()-1,"00000"),"")</f>
        <v/>
      </c>
      <c r="B3914" s="14">
        <f>IF(F3914&lt;&gt;"","错误","")</f>
        <v/>
      </c>
      <c r="C3914" s="14">
        <f>IF('09_连续性验收'!A414&lt;&gt;"","09_连续性验收","")</f>
        <v/>
      </c>
      <c r="D3914" s="14">
        <f>IF('09_连续性验收'!A414&lt;&gt;"",'09_连续性验收'!A414,"")</f>
        <v/>
      </c>
      <c r="E3914" s="14">
        <f>IF(F3914&lt;&gt;"","综合校验","")</f>
        <v/>
      </c>
      <c r="F3914" s="14">
        <f>IF('09_连续性验收'!A414&lt;&gt;"",IF('09_连续性验收'!A414="","缺少验收ID；","")&amp;IF('09_连续性验收'!B414="","缺少对象ID；","")&amp;IF('09_连续性验收'!C414="","缺少检查类型；","")&amp;IF(AND('09_连续性验收'!J414&lt;&gt;"",'09_连续性验收'!K414&lt;&gt;"",'09_连续性验收'!J414&gt;'09_连续性验收'!K414),"坐标偏差超标；","")&amp;IF(AND('09_连续性验收'!B414&lt;&gt;"",COUNTIF('02_固定地理'!$A$2:$A$501,'09_连续性验收'!B414)+COUNTIF('03_地点锚点'!$A$2:$A$501,'09_连续性验收'!B414)+COUNTIF('04_路径网络'!$A$2:$A$501,'09_连续性验收'!B414)+COUNTIF('06_建筑锚点'!$A$2:$A$501,'09_连续性验收'!B414)=0),"验收对象不存在；","")&amp;IF(AND('09_连续性验收'!A414&lt;&gt;"",COUNTIF('09_连续性验收'!$A$2:$A$501,'09_连续性验收'!A414)&gt;1),"ID重复；",""),"")</f>
        <v/>
      </c>
      <c r="G3914" s="14">
        <f>IF(F3914&lt;&gt;"","按字段批注、数据字典和来源记录修正后复核","")</f>
        <v/>
      </c>
      <c r="H3914" s="14">
        <f>IF(F3914&lt;&gt;"","待处理","")</f>
        <v/>
      </c>
    </row>
    <row r="3915">
      <c r="A3915" s="14">
        <f>IF(F3915&lt;&gt;"","ISSUE-"&amp;TEXT(ROW()-1,"00000"),"")</f>
        <v/>
      </c>
      <c r="B3915" s="14">
        <f>IF(F3915&lt;&gt;"","错误","")</f>
        <v/>
      </c>
      <c r="C3915" s="14">
        <f>IF('09_连续性验收'!A415&lt;&gt;"","09_连续性验收","")</f>
        <v/>
      </c>
      <c r="D3915" s="14">
        <f>IF('09_连续性验收'!A415&lt;&gt;"",'09_连续性验收'!A415,"")</f>
        <v/>
      </c>
      <c r="E3915" s="14">
        <f>IF(F3915&lt;&gt;"","综合校验","")</f>
        <v/>
      </c>
      <c r="F3915" s="14">
        <f>IF('09_连续性验收'!A415&lt;&gt;"",IF('09_连续性验收'!A415="","缺少验收ID；","")&amp;IF('09_连续性验收'!B415="","缺少对象ID；","")&amp;IF('09_连续性验收'!C415="","缺少检查类型；","")&amp;IF(AND('09_连续性验收'!J415&lt;&gt;"",'09_连续性验收'!K415&lt;&gt;"",'09_连续性验收'!J415&gt;'09_连续性验收'!K415),"坐标偏差超标；","")&amp;IF(AND('09_连续性验收'!B415&lt;&gt;"",COUNTIF('02_固定地理'!$A$2:$A$501,'09_连续性验收'!B415)+COUNTIF('03_地点锚点'!$A$2:$A$501,'09_连续性验收'!B415)+COUNTIF('04_路径网络'!$A$2:$A$501,'09_连续性验收'!B415)+COUNTIF('06_建筑锚点'!$A$2:$A$501,'09_连续性验收'!B415)=0),"验收对象不存在；","")&amp;IF(AND('09_连续性验收'!A415&lt;&gt;"",COUNTIF('09_连续性验收'!$A$2:$A$501,'09_连续性验收'!A415)&gt;1),"ID重复；",""),"")</f>
        <v/>
      </c>
      <c r="G3915" s="14">
        <f>IF(F3915&lt;&gt;"","按字段批注、数据字典和来源记录修正后复核","")</f>
        <v/>
      </c>
      <c r="H3915" s="14">
        <f>IF(F3915&lt;&gt;"","待处理","")</f>
        <v/>
      </c>
    </row>
    <row r="3916">
      <c r="A3916" s="14">
        <f>IF(F3916&lt;&gt;"","ISSUE-"&amp;TEXT(ROW()-1,"00000"),"")</f>
        <v/>
      </c>
      <c r="B3916" s="14">
        <f>IF(F3916&lt;&gt;"","错误","")</f>
        <v/>
      </c>
      <c r="C3916" s="14">
        <f>IF('09_连续性验收'!A416&lt;&gt;"","09_连续性验收","")</f>
        <v/>
      </c>
      <c r="D3916" s="14">
        <f>IF('09_连续性验收'!A416&lt;&gt;"",'09_连续性验收'!A416,"")</f>
        <v/>
      </c>
      <c r="E3916" s="14">
        <f>IF(F3916&lt;&gt;"","综合校验","")</f>
        <v/>
      </c>
      <c r="F3916" s="14">
        <f>IF('09_连续性验收'!A416&lt;&gt;"",IF('09_连续性验收'!A416="","缺少验收ID；","")&amp;IF('09_连续性验收'!B416="","缺少对象ID；","")&amp;IF('09_连续性验收'!C416="","缺少检查类型；","")&amp;IF(AND('09_连续性验收'!J416&lt;&gt;"",'09_连续性验收'!K416&lt;&gt;"",'09_连续性验收'!J416&gt;'09_连续性验收'!K416),"坐标偏差超标；","")&amp;IF(AND('09_连续性验收'!B416&lt;&gt;"",COUNTIF('02_固定地理'!$A$2:$A$501,'09_连续性验收'!B416)+COUNTIF('03_地点锚点'!$A$2:$A$501,'09_连续性验收'!B416)+COUNTIF('04_路径网络'!$A$2:$A$501,'09_连续性验收'!B416)+COUNTIF('06_建筑锚点'!$A$2:$A$501,'09_连续性验收'!B416)=0),"验收对象不存在；","")&amp;IF(AND('09_连续性验收'!A416&lt;&gt;"",COUNTIF('09_连续性验收'!$A$2:$A$501,'09_连续性验收'!A416)&gt;1),"ID重复；",""),"")</f>
        <v/>
      </c>
      <c r="G3916" s="14">
        <f>IF(F3916&lt;&gt;"","按字段批注、数据字典和来源记录修正后复核","")</f>
        <v/>
      </c>
      <c r="H3916" s="14">
        <f>IF(F3916&lt;&gt;"","待处理","")</f>
        <v/>
      </c>
    </row>
    <row r="3917">
      <c r="A3917" s="14">
        <f>IF(F3917&lt;&gt;"","ISSUE-"&amp;TEXT(ROW()-1,"00000"),"")</f>
        <v/>
      </c>
      <c r="B3917" s="14">
        <f>IF(F3917&lt;&gt;"","错误","")</f>
        <v/>
      </c>
      <c r="C3917" s="14">
        <f>IF('09_连续性验收'!A417&lt;&gt;"","09_连续性验收","")</f>
        <v/>
      </c>
      <c r="D3917" s="14">
        <f>IF('09_连续性验收'!A417&lt;&gt;"",'09_连续性验收'!A417,"")</f>
        <v/>
      </c>
      <c r="E3917" s="14">
        <f>IF(F3917&lt;&gt;"","综合校验","")</f>
        <v/>
      </c>
      <c r="F3917" s="14">
        <f>IF('09_连续性验收'!A417&lt;&gt;"",IF('09_连续性验收'!A417="","缺少验收ID；","")&amp;IF('09_连续性验收'!B417="","缺少对象ID；","")&amp;IF('09_连续性验收'!C417="","缺少检查类型；","")&amp;IF(AND('09_连续性验收'!J417&lt;&gt;"",'09_连续性验收'!K417&lt;&gt;"",'09_连续性验收'!J417&gt;'09_连续性验收'!K417),"坐标偏差超标；","")&amp;IF(AND('09_连续性验收'!B417&lt;&gt;"",COUNTIF('02_固定地理'!$A$2:$A$501,'09_连续性验收'!B417)+COUNTIF('03_地点锚点'!$A$2:$A$501,'09_连续性验收'!B417)+COUNTIF('04_路径网络'!$A$2:$A$501,'09_连续性验收'!B417)+COUNTIF('06_建筑锚点'!$A$2:$A$501,'09_连续性验收'!B417)=0),"验收对象不存在；","")&amp;IF(AND('09_连续性验收'!A417&lt;&gt;"",COUNTIF('09_连续性验收'!$A$2:$A$501,'09_连续性验收'!A417)&gt;1),"ID重复；",""),"")</f>
        <v/>
      </c>
      <c r="G3917" s="14">
        <f>IF(F3917&lt;&gt;"","按字段批注、数据字典和来源记录修正后复核","")</f>
        <v/>
      </c>
      <c r="H3917" s="14">
        <f>IF(F3917&lt;&gt;"","待处理","")</f>
        <v/>
      </c>
    </row>
    <row r="3918">
      <c r="A3918" s="14">
        <f>IF(F3918&lt;&gt;"","ISSUE-"&amp;TEXT(ROW()-1,"00000"),"")</f>
        <v/>
      </c>
      <c r="B3918" s="14">
        <f>IF(F3918&lt;&gt;"","错误","")</f>
        <v/>
      </c>
      <c r="C3918" s="14">
        <f>IF('09_连续性验收'!A418&lt;&gt;"","09_连续性验收","")</f>
        <v/>
      </c>
      <c r="D3918" s="14">
        <f>IF('09_连续性验收'!A418&lt;&gt;"",'09_连续性验收'!A418,"")</f>
        <v/>
      </c>
      <c r="E3918" s="14">
        <f>IF(F3918&lt;&gt;"","综合校验","")</f>
        <v/>
      </c>
      <c r="F3918" s="14">
        <f>IF('09_连续性验收'!A418&lt;&gt;"",IF('09_连续性验收'!A418="","缺少验收ID；","")&amp;IF('09_连续性验收'!B418="","缺少对象ID；","")&amp;IF('09_连续性验收'!C418="","缺少检查类型；","")&amp;IF(AND('09_连续性验收'!J418&lt;&gt;"",'09_连续性验收'!K418&lt;&gt;"",'09_连续性验收'!J418&gt;'09_连续性验收'!K418),"坐标偏差超标；","")&amp;IF(AND('09_连续性验收'!B418&lt;&gt;"",COUNTIF('02_固定地理'!$A$2:$A$501,'09_连续性验收'!B418)+COUNTIF('03_地点锚点'!$A$2:$A$501,'09_连续性验收'!B418)+COUNTIF('04_路径网络'!$A$2:$A$501,'09_连续性验收'!B418)+COUNTIF('06_建筑锚点'!$A$2:$A$501,'09_连续性验收'!B418)=0),"验收对象不存在；","")&amp;IF(AND('09_连续性验收'!A418&lt;&gt;"",COUNTIF('09_连续性验收'!$A$2:$A$501,'09_连续性验收'!A418)&gt;1),"ID重复；",""),"")</f>
        <v/>
      </c>
      <c r="G3918" s="14">
        <f>IF(F3918&lt;&gt;"","按字段批注、数据字典和来源记录修正后复核","")</f>
        <v/>
      </c>
      <c r="H3918" s="14">
        <f>IF(F3918&lt;&gt;"","待处理","")</f>
        <v/>
      </c>
    </row>
    <row r="3919">
      <c r="A3919" s="14">
        <f>IF(F3919&lt;&gt;"","ISSUE-"&amp;TEXT(ROW()-1,"00000"),"")</f>
        <v/>
      </c>
      <c r="B3919" s="14">
        <f>IF(F3919&lt;&gt;"","错误","")</f>
        <v/>
      </c>
      <c r="C3919" s="14">
        <f>IF('09_连续性验收'!A419&lt;&gt;"","09_连续性验收","")</f>
        <v/>
      </c>
      <c r="D3919" s="14">
        <f>IF('09_连续性验收'!A419&lt;&gt;"",'09_连续性验收'!A419,"")</f>
        <v/>
      </c>
      <c r="E3919" s="14">
        <f>IF(F3919&lt;&gt;"","综合校验","")</f>
        <v/>
      </c>
      <c r="F3919" s="14">
        <f>IF('09_连续性验收'!A419&lt;&gt;"",IF('09_连续性验收'!A419="","缺少验收ID；","")&amp;IF('09_连续性验收'!B419="","缺少对象ID；","")&amp;IF('09_连续性验收'!C419="","缺少检查类型；","")&amp;IF(AND('09_连续性验收'!J419&lt;&gt;"",'09_连续性验收'!K419&lt;&gt;"",'09_连续性验收'!J419&gt;'09_连续性验收'!K419),"坐标偏差超标；","")&amp;IF(AND('09_连续性验收'!B419&lt;&gt;"",COUNTIF('02_固定地理'!$A$2:$A$501,'09_连续性验收'!B419)+COUNTIF('03_地点锚点'!$A$2:$A$501,'09_连续性验收'!B419)+COUNTIF('04_路径网络'!$A$2:$A$501,'09_连续性验收'!B419)+COUNTIF('06_建筑锚点'!$A$2:$A$501,'09_连续性验收'!B419)=0),"验收对象不存在；","")&amp;IF(AND('09_连续性验收'!A419&lt;&gt;"",COUNTIF('09_连续性验收'!$A$2:$A$501,'09_连续性验收'!A419)&gt;1),"ID重复；",""),"")</f>
        <v/>
      </c>
      <c r="G3919" s="14">
        <f>IF(F3919&lt;&gt;"","按字段批注、数据字典和来源记录修正后复核","")</f>
        <v/>
      </c>
      <c r="H3919" s="14">
        <f>IF(F3919&lt;&gt;"","待处理","")</f>
        <v/>
      </c>
    </row>
    <row r="3920">
      <c r="A3920" s="14">
        <f>IF(F3920&lt;&gt;"","ISSUE-"&amp;TEXT(ROW()-1,"00000"),"")</f>
        <v/>
      </c>
      <c r="B3920" s="14">
        <f>IF(F3920&lt;&gt;"","错误","")</f>
        <v/>
      </c>
      <c r="C3920" s="14">
        <f>IF('09_连续性验收'!A420&lt;&gt;"","09_连续性验收","")</f>
        <v/>
      </c>
      <c r="D3920" s="14">
        <f>IF('09_连续性验收'!A420&lt;&gt;"",'09_连续性验收'!A420,"")</f>
        <v/>
      </c>
      <c r="E3920" s="14">
        <f>IF(F3920&lt;&gt;"","综合校验","")</f>
        <v/>
      </c>
      <c r="F3920" s="14">
        <f>IF('09_连续性验收'!A420&lt;&gt;"",IF('09_连续性验收'!A420="","缺少验收ID；","")&amp;IF('09_连续性验收'!B420="","缺少对象ID；","")&amp;IF('09_连续性验收'!C420="","缺少检查类型；","")&amp;IF(AND('09_连续性验收'!J420&lt;&gt;"",'09_连续性验收'!K420&lt;&gt;"",'09_连续性验收'!J420&gt;'09_连续性验收'!K420),"坐标偏差超标；","")&amp;IF(AND('09_连续性验收'!B420&lt;&gt;"",COUNTIF('02_固定地理'!$A$2:$A$501,'09_连续性验收'!B420)+COUNTIF('03_地点锚点'!$A$2:$A$501,'09_连续性验收'!B420)+COUNTIF('04_路径网络'!$A$2:$A$501,'09_连续性验收'!B420)+COUNTIF('06_建筑锚点'!$A$2:$A$501,'09_连续性验收'!B420)=0),"验收对象不存在；","")&amp;IF(AND('09_连续性验收'!A420&lt;&gt;"",COUNTIF('09_连续性验收'!$A$2:$A$501,'09_连续性验收'!A420)&gt;1),"ID重复；",""),"")</f>
        <v/>
      </c>
      <c r="G3920" s="14">
        <f>IF(F3920&lt;&gt;"","按字段批注、数据字典和来源记录修正后复核","")</f>
        <v/>
      </c>
      <c r="H3920" s="14">
        <f>IF(F3920&lt;&gt;"","待处理","")</f>
        <v/>
      </c>
    </row>
    <row r="3921">
      <c r="A3921" s="14">
        <f>IF(F3921&lt;&gt;"","ISSUE-"&amp;TEXT(ROW()-1,"00000"),"")</f>
        <v/>
      </c>
      <c r="B3921" s="14">
        <f>IF(F3921&lt;&gt;"","错误","")</f>
        <v/>
      </c>
      <c r="C3921" s="14">
        <f>IF('09_连续性验收'!A421&lt;&gt;"","09_连续性验收","")</f>
        <v/>
      </c>
      <c r="D3921" s="14">
        <f>IF('09_连续性验收'!A421&lt;&gt;"",'09_连续性验收'!A421,"")</f>
        <v/>
      </c>
      <c r="E3921" s="14">
        <f>IF(F3921&lt;&gt;"","综合校验","")</f>
        <v/>
      </c>
      <c r="F3921" s="14">
        <f>IF('09_连续性验收'!A421&lt;&gt;"",IF('09_连续性验收'!A421="","缺少验收ID；","")&amp;IF('09_连续性验收'!B421="","缺少对象ID；","")&amp;IF('09_连续性验收'!C421="","缺少检查类型；","")&amp;IF(AND('09_连续性验收'!J421&lt;&gt;"",'09_连续性验收'!K421&lt;&gt;"",'09_连续性验收'!J421&gt;'09_连续性验收'!K421),"坐标偏差超标；","")&amp;IF(AND('09_连续性验收'!B421&lt;&gt;"",COUNTIF('02_固定地理'!$A$2:$A$501,'09_连续性验收'!B421)+COUNTIF('03_地点锚点'!$A$2:$A$501,'09_连续性验收'!B421)+COUNTIF('04_路径网络'!$A$2:$A$501,'09_连续性验收'!B421)+COUNTIF('06_建筑锚点'!$A$2:$A$501,'09_连续性验收'!B421)=0),"验收对象不存在；","")&amp;IF(AND('09_连续性验收'!A421&lt;&gt;"",COUNTIF('09_连续性验收'!$A$2:$A$501,'09_连续性验收'!A421)&gt;1),"ID重复；",""),"")</f>
        <v/>
      </c>
      <c r="G3921" s="14">
        <f>IF(F3921&lt;&gt;"","按字段批注、数据字典和来源记录修正后复核","")</f>
        <v/>
      </c>
      <c r="H3921" s="14">
        <f>IF(F3921&lt;&gt;"","待处理","")</f>
        <v/>
      </c>
    </row>
    <row r="3922">
      <c r="A3922" s="14">
        <f>IF(F3922&lt;&gt;"","ISSUE-"&amp;TEXT(ROW()-1,"00000"),"")</f>
        <v/>
      </c>
      <c r="B3922" s="14">
        <f>IF(F3922&lt;&gt;"","错误","")</f>
        <v/>
      </c>
      <c r="C3922" s="14">
        <f>IF('09_连续性验收'!A422&lt;&gt;"","09_连续性验收","")</f>
        <v/>
      </c>
      <c r="D3922" s="14">
        <f>IF('09_连续性验收'!A422&lt;&gt;"",'09_连续性验收'!A422,"")</f>
        <v/>
      </c>
      <c r="E3922" s="14">
        <f>IF(F3922&lt;&gt;"","综合校验","")</f>
        <v/>
      </c>
      <c r="F3922" s="14">
        <f>IF('09_连续性验收'!A422&lt;&gt;"",IF('09_连续性验收'!A422="","缺少验收ID；","")&amp;IF('09_连续性验收'!B422="","缺少对象ID；","")&amp;IF('09_连续性验收'!C422="","缺少检查类型；","")&amp;IF(AND('09_连续性验收'!J422&lt;&gt;"",'09_连续性验收'!K422&lt;&gt;"",'09_连续性验收'!J422&gt;'09_连续性验收'!K422),"坐标偏差超标；","")&amp;IF(AND('09_连续性验收'!B422&lt;&gt;"",COUNTIF('02_固定地理'!$A$2:$A$501,'09_连续性验收'!B422)+COUNTIF('03_地点锚点'!$A$2:$A$501,'09_连续性验收'!B422)+COUNTIF('04_路径网络'!$A$2:$A$501,'09_连续性验收'!B422)+COUNTIF('06_建筑锚点'!$A$2:$A$501,'09_连续性验收'!B422)=0),"验收对象不存在；","")&amp;IF(AND('09_连续性验收'!A422&lt;&gt;"",COUNTIF('09_连续性验收'!$A$2:$A$501,'09_连续性验收'!A422)&gt;1),"ID重复；",""),"")</f>
        <v/>
      </c>
      <c r="G3922" s="14">
        <f>IF(F3922&lt;&gt;"","按字段批注、数据字典和来源记录修正后复核","")</f>
        <v/>
      </c>
      <c r="H3922" s="14">
        <f>IF(F3922&lt;&gt;"","待处理","")</f>
        <v/>
      </c>
    </row>
    <row r="3923">
      <c r="A3923" s="14">
        <f>IF(F3923&lt;&gt;"","ISSUE-"&amp;TEXT(ROW()-1,"00000"),"")</f>
        <v/>
      </c>
      <c r="B3923" s="14">
        <f>IF(F3923&lt;&gt;"","错误","")</f>
        <v/>
      </c>
      <c r="C3923" s="14">
        <f>IF('09_连续性验收'!A423&lt;&gt;"","09_连续性验收","")</f>
        <v/>
      </c>
      <c r="D3923" s="14">
        <f>IF('09_连续性验收'!A423&lt;&gt;"",'09_连续性验收'!A423,"")</f>
        <v/>
      </c>
      <c r="E3923" s="14">
        <f>IF(F3923&lt;&gt;"","综合校验","")</f>
        <v/>
      </c>
      <c r="F3923" s="14">
        <f>IF('09_连续性验收'!A423&lt;&gt;"",IF('09_连续性验收'!A423="","缺少验收ID；","")&amp;IF('09_连续性验收'!B423="","缺少对象ID；","")&amp;IF('09_连续性验收'!C423="","缺少检查类型；","")&amp;IF(AND('09_连续性验收'!J423&lt;&gt;"",'09_连续性验收'!K423&lt;&gt;"",'09_连续性验收'!J423&gt;'09_连续性验收'!K423),"坐标偏差超标；","")&amp;IF(AND('09_连续性验收'!B423&lt;&gt;"",COUNTIF('02_固定地理'!$A$2:$A$501,'09_连续性验收'!B423)+COUNTIF('03_地点锚点'!$A$2:$A$501,'09_连续性验收'!B423)+COUNTIF('04_路径网络'!$A$2:$A$501,'09_连续性验收'!B423)+COUNTIF('06_建筑锚点'!$A$2:$A$501,'09_连续性验收'!B423)=0),"验收对象不存在；","")&amp;IF(AND('09_连续性验收'!A423&lt;&gt;"",COUNTIF('09_连续性验收'!$A$2:$A$501,'09_连续性验收'!A423)&gt;1),"ID重复；",""),"")</f>
        <v/>
      </c>
      <c r="G3923" s="14">
        <f>IF(F3923&lt;&gt;"","按字段批注、数据字典和来源记录修正后复核","")</f>
        <v/>
      </c>
      <c r="H3923" s="14">
        <f>IF(F3923&lt;&gt;"","待处理","")</f>
        <v/>
      </c>
    </row>
    <row r="3924">
      <c r="A3924" s="14">
        <f>IF(F3924&lt;&gt;"","ISSUE-"&amp;TEXT(ROW()-1,"00000"),"")</f>
        <v/>
      </c>
      <c r="B3924" s="14">
        <f>IF(F3924&lt;&gt;"","错误","")</f>
        <v/>
      </c>
      <c r="C3924" s="14">
        <f>IF('09_连续性验收'!A424&lt;&gt;"","09_连续性验收","")</f>
        <v/>
      </c>
      <c r="D3924" s="14">
        <f>IF('09_连续性验收'!A424&lt;&gt;"",'09_连续性验收'!A424,"")</f>
        <v/>
      </c>
      <c r="E3924" s="14">
        <f>IF(F3924&lt;&gt;"","综合校验","")</f>
        <v/>
      </c>
      <c r="F3924" s="14">
        <f>IF('09_连续性验收'!A424&lt;&gt;"",IF('09_连续性验收'!A424="","缺少验收ID；","")&amp;IF('09_连续性验收'!B424="","缺少对象ID；","")&amp;IF('09_连续性验收'!C424="","缺少检查类型；","")&amp;IF(AND('09_连续性验收'!J424&lt;&gt;"",'09_连续性验收'!K424&lt;&gt;"",'09_连续性验收'!J424&gt;'09_连续性验收'!K424),"坐标偏差超标；","")&amp;IF(AND('09_连续性验收'!B424&lt;&gt;"",COUNTIF('02_固定地理'!$A$2:$A$501,'09_连续性验收'!B424)+COUNTIF('03_地点锚点'!$A$2:$A$501,'09_连续性验收'!B424)+COUNTIF('04_路径网络'!$A$2:$A$501,'09_连续性验收'!B424)+COUNTIF('06_建筑锚点'!$A$2:$A$501,'09_连续性验收'!B424)=0),"验收对象不存在；","")&amp;IF(AND('09_连续性验收'!A424&lt;&gt;"",COUNTIF('09_连续性验收'!$A$2:$A$501,'09_连续性验收'!A424)&gt;1),"ID重复；",""),"")</f>
        <v/>
      </c>
      <c r="G3924" s="14">
        <f>IF(F3924&lt;&gt;"","按字段批注、数据字典和来源记录修正后复核","")</f>
        <v/>
      </c>
      <c r="H3924" s="14">
        <f>IF(F3924&lt;&gt;"","待处理","")</f>
        <v/>
      </c>
    </row>
    <row r="3925">
      <c r="A3925" s="14">
        <f>IF(F3925&lt;&gt;"","ISSUE-"&amp;TEXT(ROW()-1,"00000"),"")</f>
        <v/>
      </c>
      <c r="B3925" s="14">
        <f>IF(F3925&lt;&gt;"","错误","")</f>
        <v/>
      </c>
      <c r="C3925" s="14">
        <f>IF('09_连续性验收'!A425&lt;&gt;"","09_连续性验收","")</f>
        <v/>
      </c>
      <c r="D3925" s="14">
        <f>IF('09_连续性验收'!A425&lt;&gt;"",'09_连续性验收'!A425,"")</f>
        <v/>
      </c>
      <c r="E3925" s="14">
        <f>IF(F3925&lt;&gt;"","综合校验","")</f>
        <v/>
      </c>
      <c r="F3925" s="14">
        <f>IF('09_连续性验收'!A425&lt;&gt;"",IF('09_连续性验收'!A425="","缺少验收ID；","")&amp;IF('09_连续性验收'!B425="","缺少对象ID；","")&amp;IF('09_连续性验收'!C425="","缺少检查类型；","")&amp;IF(AND('09_连续性验收'!J425&lt;&gt;"",'09_连续性验收'!K425&lt;&gt;"",'09_连续性验收'!J425&gt;'09_连续性验收'!K425),"坐标偏差超标；","")&amp;IF(AND('09_连续性验收'!B425&lt;&gt;"",COUNTIF('02_固定地理'!$A$2:$A$501,'09_连续性验收'!B425)+COUNTIF('03_地点锚点'!$A$2:$A$501,'09_连续性验收'!B425)+COUNTIF('04_路径网络'!$A$2:$A$501,'09_连续性验收'!B425)+COUNTIF('06_建筑锚点'!$A$2:$A$501,'09_连续性验收'!B425)=0),"验收对象不存在；","")&amp;IF(AND('09_连续性验收'!A425&lt;&gt;"",COUNTIF('09_连续性验收'!$A$2:$A$501,'09_连续性验收'!A425)&gt;1),"ID重复；",""),"")</f>
        <v/>
      </c>
      <c r="G3925" s="14">
        <f>IF(F3925&lt;&gt;"","按字段批注、数据字典和来源记录修正后复核","")</f>
        <v/>
      </c>
      <c r="H3925" s="14">
        <f>IF(F3925&lt;&gt;"","待处理","")</f>
        <v/>
      </c>
    </row>
    <row r="3926">
      <c r="A3926" s="14">
        <f>IF(F3926&lt;&gt;"","ISSUE-"&amp;TEXT(ROW()-1,"00000"),"")</f>
        <v/>
      </c>
      <c r="B3926" s="14">
        <f>IF(F3926&lt;&gt;"","错误","")</f>
        <v/>
      </c>
      <c r="C3926" s="14">
        <f>IF('09_连续性验收'!A426&lt;&gt;"","09_连续性验收","")</f>
        <v/>
      </c>
      <c r="D3926" s="14">
        <f>IF('09_连续性验收'!A426&lt;&gt;"",'09_连续性验收'!A426,"")</f>
        <v/>
      </c>
      <c r="E3926" s="14">
        <f>IF(F3926&lt;&gt;"","综合校验","")</f>
        <v/>
      </c>
      <c r="F3926" s="14">
        <f>IF('09_连续性验收'!A426&lt;&gt;"",IF('09_连续性验收'!A426="","缺少验收ID；","")&amp;IF('09_连续性验收'!B426="","缺少对象ID；","")&amp;IF('09_连续性验收'!C426="","缺少检查类型；","")&amp;IF(AND('09_连续性验收'!J426&lt;&gt;"",'09_连续性验收'!K426&lt;&gt;"",'09_连续性验收'!J426&gt;'09_连续性验收'!K426),"坐标偏差超标；","")&amp;IF(AND('09_连续性验收'!B426&lt;&gt;"",COUNTIF('02_固定地理'!$A$2:$A$501,'09_连续性验收'!B426)+COUNTIF('03_地点锚点'!$A$2:$A$501,'09_连续性验收'!B426)+COUNTIF('04_路径网络'!$A$2:$A$501,'09_连续性验收'!B426)+COUNTIF('06_建筑锚点'!$A$2:$A$501,'09_连续性验收'!B426)=0),"验收对象不存在；","")&amp;IF(AND('09_连续性验收'!A426&lt;&gt;"",COUNTIF('09_连续性验收'!$A$2:$A$501,'09_连续性验收'!A426)&gt;1),"ID重复；",""),"")</f>
        <v/>
      </c>
      <c r="G3926" s="14">
        <f>IF(F3926&lt;&gt;"","按字段批注、数据字典和来源记录修正后复核","")</f>
        <v/>
      </c>
      <c r="H3926" s="14">
        <f>IF(F3926&lt;&gt;"","待处理","")</f>
        <v/>
      </c>
    </row>
    <row r="3927">
      <c r="A3927" s="14">
        <f>IF(F3927&lt;&gt;"","ISSUE-"&amp;TEXT(ROW()-1,"00000"),"")</f>
        <v/>
      </c>
      <c r="B3927" s="14">
        <f>IF(F3927&lt;&gt;"","错误","")</f>
        <v/>
      </c>
      <c r="C3927" s="14">
        <f>IF('09_连续性验收'!A427&lt;&gt;"","09_连续性验收","")</f>
        <v/>
      </c>
      <c r="D3927" s="14">
        <f>IF('09_连续性验收'!A427&lt;&gt;"",'09_连续性验收'!A427,"")</f>
        <v/>
      </c>
      <c r="E3927" s="14">
        <f>IF(F3927&lt;&gt;"","综合校验","")</f>
        <v/>
      </c>
      <c r="F3927" s="14">
        <f>IF('09_连续性验收'!A427&lt;&gt;"",IF('09_连续性验收'!A427="","缺少验收ID；","")&amp;IF('09_连续性验收'!B427="","缺少对象ID；","")&amp;IF('09_连续性验收'!C427="","缺少检查类型；","")&amp;IF(AND('09_连续性验收'!J427&lt;&gt;"",'09_连续性验收'!K427&lt;&gt;"",'09_连续性验收'!J427&gt;'09_连续性验收'!K427),"坐标偏差超标；","")&amp;IF(AND('09_连续性验收'!B427&lt;&gt;"",COUNTIF('02_固定地理'!$A$2:$A$501,'09_连续性验收'!B427)+COUNTIF('03_地点锚点'!$A$2:$A$501,'09_连续性验收'!B427)+COUNTIF('04_路径网络'!$A$2:$A$501,'09_连续性验收'!B427)+COUNTIF('06_建筑锚点'!$A$2:$A$501,'09_连续性验收'!B427)=0),"验收对象不存在；","")&amp;IF(AND('09_连续性验收'!A427&lt;&gt;"",COUNTIF('09_连续性验收'!$A$2:$A$501,'09_连续性验收'!A427)&gt;1),"ID重复；",""),"")</f>
        <v/>
      </c>
      <c r="G3927" s="14">
        <f>IF(F3927&lt;&gt;"","按字段批注、数据字典和来源记录修正后复核","")</f>
        <v/>
      </c>
      <c r="H3927" s="14">
        <f>IF(F3927&lt;&gt;"","待处理","")</f>
        <v/>
      </c>
    </row>
    <row r="3928">
      <c r="A3928" s="14">
        <f>IF(F3928&lt;&gt;"","ISSUE-"&amp;TEXT(ROW()-1,"00000"),"")</f>
        <v/>
      </c>
      <c r="B3928" s="14">
        <f>IF(F3928&lt;&gt;"","错误","")</f>
        <v/>
      </c>
      <c r="C3928" s="14">
        <f>IF('09_连续性验收'!A428&lt;&gt;"","09_连续性验收","")</f>
        <v/>
      </c>
      <c r="D3928" s="14">
        <f>IF('09_连续性验收'!A428&lt;&gt;"",'09_连续性验收'!A428,"")</f>
        <v/>
      </c>
      <c r="E3928" s="14">
        <f>IF(F3928&lt;&gt;"","综合校验","")</f>
        <v/>
      </c>
      <c r="F3928" s="14">
        <f>IF('09_连续性验收'!A428&lt;&gt;"",IF('09_连续性验收'!A428="","缺少验收ID；","")&amp;IF('09_连续性验收'!B428="","缺少对象ID；","")&amp;IF('09_连续性验收'!C428="","缺少检查类型；","")&amp;IF(AND('09_连续性验收'!J428&lt;&gt;"",'09_连续性验收'!K428&lt;&gt;"",'09_连续性验收'!J428&gt;'09_连续性验收'!K428),"坐标偏差超标；","")&amp;IF(AND('09_连续性验收'!B428&lt;&gt;"",COUNTIF('02_固定地理'!$A$2:$A$501,'09_连续性验收'!B428)+COUNTIF('03_地点锚点'!$A$2:$A$501,'09_连续性验收'!B428)+COUNTIF('04_路径网络'!$A$2:$A$501,'09_连续性验收'!B428)+COUNTIF('06_建筑锚点'!$A$2:$A$501,'09_连续性验收'!B428)=0),"验收对象不存在；","")&amp;IF(AND('09_连续性验收'!A428&lt;&gt;"",COUNTIF('09_连续性验收'!$A$2:$A$501,'09_连续性验收'!A428)&gt;1),"ID重复；",""),"")</f>
        <v/>
      </c>
      <c r="G3928" s="14">
        <f>IF(F3928&lt;&gt;"","按字段批注、数据字典和来源记录修正后复核","")</f>
        <v/>
      </c>
      <c r="H3928" s="14">
        <f>IF(F3928&lt;&gt;"","待处理","")</f>
        <v/>
      </c>
    </row>
    <row r="3929">
      <c r="A3929" s="14">
        <f>IF(F3929&lt;&gt;"","ISSUE-"&amp;TEXT(ROW()-1,"00000"),"")</f>
        <v/>
      </c>
      <c r="B3929" s="14">
        <f>IF(F3929&lt;&gt;"","错误","")</f>
        <v/>
      </c>
      <c r="C3929" s="14">
        <f>IF('09_连续性验收'!A429&lt;&gt;"","09_连续性验收","")</f>
        <v/>
      </c>
      <c r="D3929" s="14">
        <f>IF('09_连续性验收'!A429&lt;&gt;"",'09_连续性验收'!A429,"")</f>
        <v/>
      </c>
      <c r="E3929" s="14">
        <f>IF(F3929&lt;&gt;"","综合校验","")</f>
        <v/>
      </c>
      <c r="F3929" s="14">
        <f>IF('09_连续性验收'!A429&lt;&gt;"",IF('09_连续性验收'!A429="","缺少验收ID；","")&amp;IF('09_连续性验收'!B429="","缺少对象ID；","")&amp;IF('09_连续性验收'!C429="","缺少检查类型；","")&amp;IF(AND('09_连续性验收'!J429&lt;&gt;"",'09_连续性验收'!K429&lt;&gt;"",'09_连续性验收'!J429&gt;'09_连续性验收'!K429),"坐标偏差超标；","")&amp;IF(AND('09_连续性验收'!B429&lt;&gt;"",COUNTIF('02_固定地理'!$A$2:$A$501,'09_连续性验收'!B429)+COUNTIF('03_地点锚点'!$A$2:$A$501,'09_连续性验收'!B429)+COUNTIF('04_路径网络'!$A$2:$A$501,'09_连续性验收'!B429)+COUNTIF('06_建筑锚点'!$A$2:$A$501,'09_连续性验收'!B429)=0),"验收对象不存在；","")&amp;IF(AND('09_连续性验收'!A429&lt;&gt;"",COUNTIF('09_连续性验收'!$A$2:$A$501,'09_连续性验收'!A429)&gt;1),"ID重复；",""),"")</f>
        <v/>
      </c>
      <c r="G3929" s="14">
        <f>IF(F3929&lt;&gt;"","按字段批注、数据字典和来源记录修正后复核","")</f>
        <v/>
      </c>
      <c r="H3929" s="14">
        <f>IF(F3929&lt;&gt;"","待处理","")</f>
        <v/>
      </c>
    </row>
    <row r="3930">
      <c r="A3930" s="14">
        <f>IF(F3930&lt;&gt;"","ISSUE-"&amp;TEXT(ROW()-1,"00000"),"")</f>
        <v/>
      </c>
      <c r="B3930" s="14">
        <f>IF(F3930&lt;&gt;"","错误","")</f>
        <v/>
      </c>
      <c r="C3930" s="14">
        <f>IF('09_连续性验收'!A430&lt;&gt;"","09_连续性验收","")</f>
        <v/>
      </c>
      <c r="D3930" s="14">
        <f>IF('09_连续性验收'!A430&lt;&gt;"",'09_连续性验收'!A430,"")</f>
        <v/>
      </c>
      <c r="E3930" s="14">
        <f>IF(F3930&lt;&gt;"","综合校验","")</f>
        <v/>
      </c>
      <c r="F3930" s="14">
        <f>IF('09_连续性验收'!A430&lt;&gt;"",IF('09_连续性验收'!A430="","缺少验收ID；","")&amp;IF('09_连续性验收'!B430="","缺少对象ID；","")&amp;IF('09_连续性验收'!C430="","缺少检查类型；","")&amp;IF(AND('09_连续性验收'!J430&lt;&gt;"",'09_连续性验收'!K430&lt;&gt;"",'09_连续性验收'!J430&gt;'09_连续性验收'!K430),"坐标偏差超标；","")&amp;IF(AND('09_连续性验收'!B430&lt;&gt;"",COUNTIF('02_固定地理'!$A$2:$A$501,'09_连续性验收'!B430)+COUNTIF('03_地点锚点'!$A$2:$A$501,'09_连续性验收'!B430)+COUNTIF('04_路径网络'!$A$2:$A$501,'09_连续性验收'!B430)+COUNTIF('06_建筑锚点'!$A$2:$A$501,'09_连续性验收'!B430)=0),"验收对象不存在；","")&amp;IF(AND('09_连续性验收'!A430&lt;&gt;"",COUNTIF('09_连续性验收'!$A$2:$A$501,'09_连续性验收'!A430)&gt;1),"ID重复；",""),"")</f>
        <v/>
      </c>
      <c r="G3930" s="14">
        <f>IF(F3930&lt;&gt;"","按字段批注、数据字典和来源记录修正后复核","")</f>
        <v/>
      </c>
      <c r="H3930" s="14">
        <f>IF(F3930&lt;&gt;"","待处理","")</f>
        <v/>
      </c>
    </row>
    <row r="3931">
      <c r="A3931" s="14">
        <f>IF(F3931&lt;&gt;"","ISSUE-"&amp;TEXT(ROW()-1,"00000"),"")</f>
        <v/>
      </c>
      <c r="B3931" s="14">
        <f>IF(F3931&lt;&gt;"","错误","")</f>
        <v/>
      </c>
      <c r="C3931" s="14">
        <f>IF('09_连续性验收'!A431&lt;&gt;"","09_连续性验收","")</f>
        <v/>
      </c>
      <c r="D3931" s="14">
        <f>IF('09_连续性验收'!A431&lt;&gt;"",'09_连续性验收'!A431,"")</f>
        <v/>
      </c>
      <c r="E3931" s="14">
        <f>IF(F3931&lt;&gt;"","综合校验","")</f>
        <v/>
      </c>
      <c r="F3931" s="14">
        <f>IF('09_连续性验收'!A431&lt;&gt;"",IF('09_连续性验收'!A431="","缺少验收ID；","")&amp;IF('09_连续性验收'!B431="","缺少对象ID；","")&amp;IF('09_连续性验收'!C431="","缺少检查类型；","")&amp;IF(AND('09_连续性验收'!J431&lt;&gt;"",'09_连续性验收'!K431&lt;&gt;"",'09_连续性验收'!J431&gt;'09_连续性验收'!K431),"坐标偏差超标；","")&amp;IF(AND('09_连续性验收'!B431&lt;&gt;"",COUNTIF('02_固定地理'!$A$2:$A$501,'09_连续性验收'!B431)+COUNTIF('03_地点锚点'!$A$2:$A$501,'09_连续性验收'!B431)+COUNTIF('04_路径网络'!$A$2:$A$501,'09_连续性验收'!B431)+COUNTIF('06_建筑锚点'!$A$2:$A$501,'09_连续性验收'!B431)=0),"验收对象不存在；","")&amp;IF(AND('09_连续性验收'!A431&lt;&gt;"",COUNTIF('09_连续性验收'!$A$2:$A$501,'09_连续性验收'!A431)&gt;1),"ID重复；",""),"")</f>
        <v/>
      </c>
      <c r="G3931" s="14">
        <f>IF(F3931&lt;&gt;"","按字段批注、数据字典和来源记录修正后复核","")</f>
        <v/>
      </c>
      <c r="H3931" s="14">
        <f>IF(F3931&lt;&gt;"","待处理","")</f>
        <v/>
      </c>
    </row>
    <row r="3932">
      <c r="A3932" s="14">
        <f>IF(F3932&lt;&gt;"","ISSUE-"&amp;TEXT(ROW()-1,"00000"),"")</f>
        <v/>
      </c>
      <c r="B3932" s="14">
        <f>IF(F3932&lt;&gt;"","错误","")</f>
        <v/>
      </c>
      <c r="C3932" s="14">
        <f>IF('09_连续性验收'!A432&lt;&gt;"","09_连续性验收","")</f>
        <v/>
      </c>
      <c r="D3932" s="14">
        <f>IF('09_连续性验收'!A432&lt;&gt;"",'09_连续性验收'!A432,"")</f>
        <v/>
      </c>
      <c r="E3932" s="14">
        <f>IF(F3932&lt;&gt;"","综合校验","")</f>
        <v/>
      </c>
      <c r="F3932" s="14">
        <f>IF('09_连续性验收'!A432&lt;&gt;"",IF('09_连续性验收'!A432="","缺少验收ID；","")&amp;IF('09_连续性验收'!B432="","缺少对象ID；","")&amp;IF('09_连续性验收'!C432="","缺少检查类型；","")&amp;IF(AND('09_连续性验收'!J432&lt;&gt;"",'09_连续性验收'!K432&lt;&gt;"",'09_连续性验收'!J432&gt;'09_连续性验收'!K432),"坐标偏差超标；","")&amp;IF(AND('09_连续性验收'!B432&lt;&gt;"",COUNTIF('02_固定地理'!$A$2:$A$501,'09_连续性验收'!B432)+COUNTIF('03_地点锚点'!$A$2:$A$501,'09_连续性验收'!B432)+COUNTIF('04_路径网络'!$A$2:$A$501,'09_连续性验收'!B432)+COUNTIF('06_建筑锚点'!$A$2:$A$501,'09_连续性验收'!B432)=0),"验收对象不存在；","")&amp;IF(AND('09_连续性验收'!A432&lt;&gt;"",COUNTIF('09_连续性验收'!$A$2:$A$501,'09_连续性验收'!A432)&gt;1),"ID重复；",""),"")</f>
        <v/>
      </c>
      <c r="G3932" s="14">
        <f>IF(F3932&lt;&gt;"","按字段批注、数据字典和来源记录修正后复核","")</f>
        <v/>
      </c>
      <c r="H3932" s="14">
        <f>IF(F3932&lt;&gt;"","待处理","")</f>
        <v/>
      </c>
    </row>
    <row r="3933">
      <c r="A3933" s="14">
        <f>IF(F3933&lt;&gt;"","ISSUE-"&amp;TEXT(ROW()-1,"00000"),"")</f>
        <v/>
      </c>
      <c r="B3933" s="14">
        <f>IF(F3933&lt;&gt;"","错误","")</f>
        <v/>
      </c>
      <c r="C3933" s="14">
        <f>IF('09_连续性验收'!A433&lt;&gt;"","09_连续性验收","")</f>
        <v/>
      </c>
      <c r="D3933" s="14">
        <f>IF('09_连续性验收'!A433&lt;&gt;"",'09_连续性验收'!A433,"")</f>
        <v/>
      </c>
      <c r="E3933" s="14">
        <f>IF(F3933&lt;&gt;"","综合校验","")</f>
        <v/>
      </c>
      <c r="F3933" s="14">
        <f>IF('09_连续性验收'!A433&lt;&gt;"",IF('09_连续性验收'!A433="","缺少验收ID；","")&amp;IF('09_连续性验收'!B433="","缺少对象ID；","")&amp;IF('09_连续性验收'!C433="","缺少检查类型；","")&amp;IF(AND('09_连续性验收'!J433&lt;&gt;"",'09_连续性验收'!K433&lt;&gt;"",'09_连续性验收'!J433&gt;'09_连续性验收'!K433),"坐标偏差超标；","")&amp;IF(AND('09_连续性验收'!B433&lt;&gt;"",COUNTIF('02_固定地理'!$A$2:$A$501,'09_连续性验收'!B433)+COUNTIF('03_地点锚点'!$A$2:$A$501,'09_连续性验收'!B433)+COUNTIF('04_路径网络'!$A$2:$A$501,'09_连续性验收'!B433)+COUNTIF('06_建筑锚点'!$A$2:$A$501,'09_连续性验收'!B433)=0),"验收对象不存在；","")&amp;IF(AND('09_连续性验收'!A433&lt;&gt;"",COUNTIF('09_连续性验收'!$A$2:$A$501,'09_连续性验收'!A433)&gt;1),"ID重复；",""),"")</f>
        <v/>
      </c>
      <c r="G3933" s="14">
        <f>IF(F3933&lt;&gt;"","按字段批注、数据字典和来源记录修正后复核","")</f>
        <v/>
      </c>
      <c r="H3933" s="14">
        <f>IF(F3933&lt;&gt;"","待处理","")</f>
        <v/>
      </c>
    </row>
    <row r="3934">
      <c r="A3934" s="14">
        <f>IF(F3934&lt;&gt;"","ISSUE-"&amp;TEXT(ROW()-1,"00000"),"")</f>
        <v/>
      </c>
      <c r="B3934" s="14">
        <f>IF(F3934&lt;&gt;"","错误","")</f>
        <v/>
      </c>
      <c r="C3934" s="14">
        <f>IF('09_连续性验收'!A434&lt;&gt;"","09_连续性验收","")</f>
        <v/>
      </c>
      <c r="D3934" s="14">
        <f>IF('09_连续性验收'!A434&lt;&gt;"",'09_连续性验收'!A434,"")</f>
        <v/>
      </c>
      <c r="E3934" s="14">
        <f>IF(F3934&lt;&gt;"","综合校验","")</f>
        <v/>
      </c>
      <c r="F3934" s="14">
        <f>IF('09_连续性验收'!A434&lt;&gt;"",IF('09_连续性验收'!A434="","缺少验收ID；","")&amp;IF('09_连续性验收'!B434="","缺少对象ID；","")&amp;IF('09_连续性验收'!C434="","缺少检查类型；","")&amp;IF(AND('09_连续性验收'!J434&lt;&gt;"",'09_连续性验收'!K434&lt;&gt;"",'09_连续性验收'!J434&gt;'09_连续性验收'!K434),"坐标偏差超标；","")&amp;IF(AND('09_连续性验收'!B434&lt;&gt;"",COUNTIF('02_固定地理'!$A$2:$A$501,'09_连续性验收'!B434)+COUNTIF('03_地点锚点'!$A$2:$A$501,'09_连续性验收'!B434)+COUNTIF('04_路径网络'!$A$2:$A$501,'09_连续性验收'!B434)+COUNTIF('06_建筑锚点'!$A$2:$A$501,'09_连续性验收'!B434)=0),"验收对象不存在；","")&amp;IF(AND('09_连续性验收'!A434&lt;&gt;"",COUNTIF('09_连续性验收'!$A$2:$A$501,'09_连续性验收'!A434)&gt;1),"ID重复；",""),"")</f>
        <v/>
      </c>
      <c r="G3934" s="14">
        <f>IF(F3934&lt;&gt;"","按字段批注、数据字典和来源记录修正后复核","")</f>
        <v/>
      </c>
      <c r="H3934" s="14">
        <f>IF(F3934&lt;&gt;"","待处理","")</f>
        <v/>
      </c>
    </row>
    <row r="3935">
      <c r="A3935" s="14">
        <f>IF(F3935&lt;&gt;"","ISSUE-"&amp;TEXT(ROW()-1,"00000"),"")</f>
        <v/>
      </c>
      <c r="B3935" s="14">
        <f>IF(F3935&lt;&gt;"","错误","")</f>
        <v/>
      </c>
      <c r="C3935" s="14">
        <f>IF('09_连续性验收'!A435&lt;&gt;"","09_连续性验收","")</f>
        <v/>
      </c>
      <c r="D3935" s="14">
        <f>IF('09_连续性验收'!A435&lt;&gt;"",'09_连续性验收'!A435,"")</f>
        <v/>
      </c>
      <c r="E3935" s="14">
        <f>IF(F3935&lt;&gt;"","综合校验","")</f>
        <v/>
      </c>
      <c r="F3935" s="14">
        <f>IF('09_连续性验收'!A435&lt;&gt;"",IF('09_连续性验收'!A435="","缺少验收ID；","")&amp;IF('09_连续性验收'!B435="","缺少对象ID；","")&amp;IF('09_连续性验收'!C435="","缺少检查类型；","")&amp;IF(AND('09_连续性验收'!J435&lt;&gt;"",'09_连续性验收'!K435&lt;&gt;"",'09_连续性验收'!J435&gt;'09_连续性验收'!K435),"坐标偏差超标；","")&amp;IF(AND('09_连续性验收'!B435&lt;&gt;"",COUNTIF('02_固定地理'!$A$2:$A$501,'09_连续性验收'!B435)+COUNTIF('03_地点锚点'!$A$2:$A$501,'09_连续性验收'!B435)+COUNTIF('04_路径网络'!$A$2:$A$501,'09_连续性验收'!B435)+COUNTIF('06_建筑锚点'!$A$2:$A$501,'09_连续性验收'!B435)=0),"验收对象不存在；","")&amp;IF(AND('09_连续性验收'!A435&lt;&gt;"",COUNTIF('09_连续性验收'!$A$2:$A$501,'09_连续性验收'!A435)&gt;1),"ID重复；",""),"")</f>
        <v/>
      </c>
      <c r="G3935" s="14">
        <f>IF(F3935&lt;&gt;"","按字段批注、数据字典和来源记录修正后复核","")</f>
        <v/>
      </c>
      <c r="H3935" s="14">
        <f>IF(F3935&lt;&gt;"","待处理","")</f>
        <v/>
      </c>
    </row>
    <row r="3936">
      <c r="A3936" s="14">
        <f>IF(F3936&lt;&gt;"","ISSUE-"&amp;TEXT(ROW()-1,"00000"),"")</f>
        <v/>
      </c>
      <c r="B3936" s="14">
        <f>IF(F3936&lt;&gt;"","错误","")</f>
        <v/>
      </c>
      <c r="C3936" s="14">
        <f>IF('09_连续性验收'!A436&lt;&gt;"","09_连续性验收","")</f>
        <v/>
      </c>
      <c r="D3936" s="14">
        <f>IF('09_连续性验收'!A436&lt;&gt;"",'09_连续性验收'!A436,"")</f>
        <v/>
      </c>
      <c r="E3936" s="14">
        <f>IF(F3936&lt;&gt;"","综合校验","")</f>
        <v/>
      </c>
      <c r="F3936" s="14">
        <f>IF('09_连续性验收'!A436&lt;&gt;"",IF('09_连续性验收'!A436="","缺少验收ID；","")&amp;IF('09_连续性验收'!B436="","缺少对象ID；","")&amp;IF('09_连续性验收'!C436="","缺少检查类型；","")&amp;IF(AND('09_连续性验收'!J436&lt;&gt;"",'09_连续性验收'!K436&lt;&gt;"",'09_连续性验收'!J436&gt;'09_连续性验收'!K436),"坐标偏差超标；","")&amp;IF(AND('09_连续性验收'!B436&lt;&gt;"",COUNTIF('02_固定地理'!$A$2:$A$501,'09_连续性验收'!B436)+COUNTIF('03_地点锚点'!$A$2:$A$501,'09_连续性验收'!B436)+COUNTIF('04_路径网络'!$A$2:$A$501,'09_连续性验收'!B436)+COUNTIF('06_建筑锚点'!$A$2:$A$501,'09_连续性验收'!B436)=0),"验收对象不存在；","")&amp;IF(AND('09_连续性验收'!A436&lt;&gt;"",COUNTIF('09_连续性验收'!$A$2:$A$501,'09_连续性验收'!A436)&gt;1),"ID重复；",""),"")</f>
        <v/>
      </c>
      <c r="G3936" s="14">
        <f>IF(F3936&lt;&gt;"","按字段批注、数据字典和来源记录修正后复核","")</f>
        <v/>
      </c>
      <c r="H3936" s="14">
        <f>IF(F3936&lt;&gt;"","待处理","")</f>
        <v/>
      </c>
    </row>
    <row r="3937">
      <c r="A3937" s="14">
        <f>IF(F3937&lt;&gt;"","ISSUE-"&amp;TEXT(ROW()-1,"00000"),"")</f>
        <v/>
      </c>
      <c r="B3937" s="14">
        <f>IF(F3937&lt;&gt;"","错误","")</f>
        <v/>
      </c>
      <c r="C3937" s="14">
        <f>IF('09_连续性验收'!A437&lt;&gt;"","09_连续性验收","")</f>
        <v/>
      </c>
      <c r="D3937" s="14">
        <f>IF('09_连续性验收'!A437&lt;&gt;"",'09_连续性验收'!A437,"")</f>
        <v/>
      </c>
      <c r="E3937" s="14">
        <f>IF(F3937&lt;&gt;"","综合校验","")</f>
        <v/>
      </c>
      <c r="F3937" s="14">
        <f>IF('09_连续性验收'!A437&lt;&gt;"",IF('09_连续性验收'!A437="","缺少验收ID；","")&amp;IF('09_连续性验收'!B437="","缺少对象ID；","")&amp;IF('09_连续性验收'!C437="","缺少检查类型；","")&amp;IF(AND('09_连续性验收'!J437&lt;&gt;"",'09_连续性验收'!K437&lt;&gt;"",'09_连续性验收'!J437&gt;'09_连续性验收'!K437),"坐标偏差超标；","")&amp;IF(AND('09_连续性验收'!B437&lt;&gt;"",COUNTIF('02_固定地理'!$A$2:$A$501,'09_连续性验收'!B437)+COUNTIF('03_地点锚点'!$A$2:$A$501,'09_连续性验收'!B437)+COUNTIF('04_路径网络'!$A$2:$A$501,'09_连续性验收'!B437)+COUNTIF('06_建筑锚点'!$A$2:$A$501,'09_连续性验收'!B437)=0),"验收对象不存在；","")&amp;IF(AND('09_连续性验收'!A437&lt;&gt;"",COUNTIF('09_连续性验收'!$A$2:$A$501,'09_连续性验收'!A437)&gt;1),"ID重复；",""),"")</f>
        <v/>
      </c>
      <c r="G3937" s="14">
        <f>IF(F3937&lt;&gt;"","按字段批注、数据字典和来源记录修正后复核","")</f>
        <v/>
      </c>
      <c r="H3937" s="14">
        <f>IF(F3937&lt;&gt;"","待处理","")</f>
        <v/>
      </c>
    </row>
    <row r="3938">
      <c r="A3938" s="14">
        <f>IF(F3938&lt;&gt;"","ISSUE-"&amp;TEXT(ROW()-1,"00000"),"")</f>
        <v/>
      </c>
      <c r="B3938" s="14">
        <f>IF(F3938&lt;&gt;"","错误","")</f>
        <v/>
      </c>
      <c r="C3938" s="14">
        <f>IF('09_连续性验收'!A438&lt;&gt;"","09_连续性验收","")</f>
        <v/>
      </c>
      <c r="D3938" s="14">
        <f>IF('09_连续性验收'!A438&lt;&gt;"",'09_连续性验收'!A438,"")</f>
        <v/>
      </c>
      <c r="E3938" s="14">
        <f>IF(F3938&lt;&gt;"","综合校验","")</f>
        <v/>
      </c>
      <c r="F3938" s="14">
        <f>IF('09_连续性验收'!A438&lt;&gt;"",IF('09_连续性验收'!A438="","缺少验收ID；","")&amp;IF('09_连续性验收'!B438="","缺少对象ID；","")&amp;IF('09_连续性验收'!C438="","缺少检查类型；","")&amp;IF(AND('09_连续性验收'!J438&lt;&gt;"",'09_连续性验收'!K438&lt;&gt;"",'09_连续性验收'!J438&gt;'09_连续性验收'!K438),"坐标偏差超标；","")&amp;IF(AND('09_连续性验收'!B438&lt;&gt;"",COUNTIF('02_固定地理'!$A$2:$A$501,'09_连续性验收'!B438)+COUNTIF('03_地点锚点'!$A$2:$A$501,'09_连续性验收'!B438)+COUNTIF('04_路径网络'!$A$2:$A$501,'09_连续性验收'!B438)+COUNTIF('06_建筑锚点'!$A$2:$A$501,'09_连续性验收'!B438)=0),"验收对象不存在；","")&amp;IF(AND('09_连续性验收'!A438&lt;&gt;"",COUNTIF('09_连续性验收'!$A$2:$A$501,'09_连续性验收'!A438)&gt;1),"ID重复；",""),"")</f>
        <v/>
      </c>
      <c r="G3938" s="14">
        <f>IF(F3938&lt;&gt;"","按字段批注、数据字典和来源记录修正后复核","")</f>
        <v/>
      </c>
      <c r="H3938" s="14">
        <f>IF(F3938&lt;&gt;"","待处理","")</f>
        <v/>
      </c>
    </row>
    <row r="3939">
      <c r="A3939" s="14">
        <f>IF(F3939&lt;&gt;"","ISSUE-"&amp;TEXT(ROW()-1,"00000"),"")</f>
        <v/>
      </c>
      <c r="B3939" s="14">
        <f>IF(F3939&lt;&gt;"","错误","")</f>
        <v/>
      </c>
      <c r="C3939" s="14">
        <f>IF('09_连续性验收'!A439&lt;&gt;"","09_连续性验收","")</f>
        <v/>
      </c>
      <c r="D3939" s="14">
        <f>IF('09_连续性验收'!A439&lt;&gt;"",'09_连续性验收'!A439,"")</f>
        <v/>
      </c>
      <c r="E3939" s="14">
        <f>IF(F3939&lt;&gt;"","综合校验","")</f>
        <v/>
      </c>
      <c r="F3939" s="14">
        <f>IF('09_连续性验收'!A439&lt;&gt;"",IF('09_连续性验收'!A439="","缺少验收ID；","")&amp;IF('09_连续性验收'!B439="","缺少对象ID；","")&amp;IF('09_连续性验收'!C439="","缺少检查类型；","")&amp;IF(AND('09_连续性验收'!J439&lt;&gt;"",'09_连续性验收'!K439&lt;&gt;"",'09_连续性验收'!J439&gt;'09_连续性验收'!K439),"坐标偏差超标；","")&amp;IF(AND('09_连续性验收'!B439&lt;&gt;"",COUNTIF('02_固定地理'!$A$2:$A$501,'09_连续性验收'!B439)+COUNTIF('03_地点锚点'!$A$2:$A$501,'09_连续性验收'!B439)+COUNTIF('04_路径网络'!$A$2:$A$501,'09_连续性验收'!B439)+COUNTIF('06_建筑锚点'!$A$2:$A$501,'09_连续性验收'!B439)=0),"验收对象不存在；","")&amp;IF(AND('09_连续性验收'!A439&lt;&gt;"",COUNTIF('09_连续性验收'!$A$2:$A$501,'09_连续性验收'!A439)&gt;1),"ID重复；",""),"")</f>
        <v/>
      </c>
      <c r="G3939" s="14">
        <f>IF(F3939&lt;&gt;"","按字段批注、数据字典和来源记录修正后复核","")</f>
        <v/>
      </c>
      <c r="H3939" s="14">
        <f>IF(F3939&lt;&gt;"","待处理","")</f>
        <v/>
      </c>
    </row>
    <row r="3940">
      <c r="A3940" s="14">
        <f>IF(F3940&lt;&gt;"","ISSUE-"&amp;TEXT(ROW()-1,"00000"),"")</f>
        <v/>
      </c>
      <c r="B3940" s="14">
        <f>IF(F3940&lt;&gt;"","错误","")</f>
        <v/>
      </c>
      <c r="C3940" s="14">
        <f>IF('09_连续性验收'!A440&lt;&gt;"","09_连续性验收","")</f>
        <v/>
      </c>
      <c r="D3940" s="14">
        <f>IF('09_连续性验收'!A440&lt;&gt;"",'09_连续性验收'!A440,"")</f>
        <v/>
      </c>
      <c r="E3940" s="14">
        <f>IF(F3940&lt;&gt;"","综合校验","")</f>
        <v/>
      </c>
      <c r="F3940" s="14">
        <f>IF('09_连续性验收'!A440&lt;&gt;"",IF('09_连续性验收'!A440="","缺少验收ID；","")&amp;IF('09_连续性验收'!B440="","缺少对象ID；","")&amp;IF('09_连续性验收'!C440="","缺少检查类型；","")&amp;IF(AND('09_连续性验收'!J440&lt;&gt;"",'09_连续性验收'!K440&lt;&gt;"",'09_连续性验收'!J440&gt;'09_连续性验收'!K440),"坐标偏差超标；","")&amp;IF(AND('09_连续性验收'!B440&lt;&gt;"",COUNTIF('02_固定地理'!$A$2:$A$501,'09_连续性验收'!B440)+COUNTIF('03_地点锚点'!$A$2:$A$501,'09_连续性验收'!B440)+COUNTIF('04_路径网络'!$A$2:$A$501,'09_连续性验收'!B440)+COUNTIF('06_建筑锚点'!$A$2:$A$501,'09_连续性验收'!B440)=0),"验收对象不存在；","")&amp;IF(AND('09_连续性验收'!A440&lt;&gt;"",COUNTIF('09_连续性验收'!$A$2:$A$501,'09_连续性验收'!A440)&gt;1),"ID重复；",""),"")</f>
        <v/>
      </c>
      <c r="G3940" s="14">
        <f>IF(F3940&lt;&gt;"","按字段批注、数据字典和来源记录修正后复核","")</f>
        <v/>
      </c>
      <c r="H3940" s="14">
        <f>IF(F3940&lt;&gt;"","待处理","")</f>
        <v/>
      </c>
    </row>
    <row r="3941">
      <c r="A3941" s="14">
        <f>IF(F3941&lt;&gt;"","ISSUE-"&amp;TEXT(ROW()-1,"00000"),"")</f>
        <v/>
      </c>
      <c r="B3941" s="14">
        <f>IF(F3941&lt;&gt;"","错误","")</f>
        <v/>
      </c>
      <c r="C3941" s="14">
        <f>IF('09_连续性验收'!A441&lt;&gt;"","09_连续性验收","")</f>
        <v/>
      </c>
      <c r="D3941" s="14">
        <f>IF('09_连续性验收'!A441&lt;&gt;"",'09_连续性验收'!A441,"")</f>
        <v/>
      </c>
      <c r="E3941" s="14">
        <f>IF(F3941&lt;&gt;"","综合校验","")</f>
        <v/>
      </c>
      <c r="F3941" s="14">
        <f>IF('09_连续性验收'!A441&lt;&gt;"",IF('09_连续性验收'!A441="","缺少验收ID；","")&amp;IF('09_连续性验收'!B441="","缺少对象ID；","")&amp;IF('09_连续性验收'!C441="","缺少检查类型；","")&amp;IF(AND('09_连续性验收'!J441&lt;&gt;"",'09_连续性验收'!K441&lt;&gt;"",'09_连续性验收'!J441&gt;'09_连续性验收'!K441),"坐标偏差超标；","")&amp;IF(AND('09_连续性验收'!B441&lt;&gt;"",COUNTIF('02_固定地理'!$A$2:$A$501,'09_连续性验收'!B441)+COUNTIF('03_地点锚点'!$A$2:$A$501,'09_连续性验收'!B441)+COUNTIF('04_路径网络'!$A$2:$A$501,'09_连续性验收'!B441)+COUNTIF('06_建筑锚点'!$A$2:$A$501,'09_连续性验收'!B441)=0),"验收对象不存在；","")&amp;IF(AND('09_连续性验收'!A441&lt;&gt;"",COUNTIF('09_连续性验收'!$A$2:$A$501,'09_连续性验收'!A441)&gt;1),"ID重复；",""),"")</f>
        <v/>
      </c>
      <c r="G3941" s="14">
        <f>IF(F3941&lt;&gt;"","按字段批注、数据字典和来源记录修正后复核","")</f>
        <v/>
      </c>
      <c r="H3941" s="14">
        <f>IF(F3941&lt;&gt;"","待处理","")</f>
        <v/>
      </c>
    </row>
    <row r="3942">
      <c r="A3942" s="14">
        <f>IF(F3942&lt;&gt;"","ISSUE-"&amp;TEXT(ROW()-1,"00000"),"")</f>
        <v/>
      </c>
      <c r="B3942" s="14">
        <f>IF(F3942&lt;&gt;"","错误","")</f>
        <v/>
      </c>
      <c r="C3942" s="14">
        <f>IF('09_连续性验收'!A442&lt;&gt;"","09_连续性验收","")</f>
        <v/>
      </c>
      <c r="D3942" s="14">
        <f>IF('09_连续性验收'!A442&lt;&gt;"",'09_连续性验收'!A442,"")</f>
        <v/>
      </c>
      <c r="E3942" s="14">
        <f>IF(F3942&lt;&gt;"","综合校验","")</f>
        <v/>
      </c>
      <c r="F3942" s="14">
        <f>IF('09_连续性验收'!A442&lt;&gt;"",IF('09_连续性验收'!A442="","缺少验收ID；","")&amp;IF('09_连续性验收'!B442="","缺少对象ID；","")&amp;IF('09_连续性验收'!C442="","缺少检查类型；","")&amp;IF(AND('09_连续性验收'!J442&lt;&gt;"",'09_连续性验收'!K442&lt;&gt;"",'09_连续性验收'!J442&gt;'09_连续性验收'!K442),"坐标偏差超标；","")&amp;IF(AND('09_连续性验收'!B442&lt;&gt;"",COUNTIF('02_固定地理'!$A$2:$A$501,'09_连续性验收'!B442)+COUNTIF('03_地点锚点'!$A$2:$A$501,'09_连续性验收'!B442)+COUNTIF('04_路径网络'!$A$2:$A$501,'09_连续性验收'!B442)+COUNTIF('06_建筑锚点'!$A$2:$A$501,'09_连续性验收'!B442)=0),"验收对象不存在；","")&amp;IF(AND('09_连续性验收'!A442&lt;&gt;"",COUNTIF('09_连续性验收'!$A$2:$A$501,'09_连续性验收'!A442)&gt;1),"ID重复；",""),"")</f>
        <v/>
      </c>
      <c r="G3942" s="14">
        <f>IF(F3942&lt;&gt;"","按字段批注、数据字典和来源记录修正后复核","")</f>
        <v/>
      </c>
      <c r="H3942" s="14">
        <f>IF(F3942&lt;&gt;"","待处理","")</f>
        <v/>
      </c>
    </row>
    <row r="3943">
      <c r="A3943" s="14">
        <f>IF(F3943&lt;&gt;"","ISSUE-"&amp;TEXT(ROW()-1,"00000"),"")</f>
        <v/>
      </c>
      <c r="B3943" s="14">
        <f>IF(F3943&lt;&gt;"","错误","")</f>
        <v/>
      </c>
      <c r="C3943" s="14">
        <f>IF('09_连续性验收'!A443&lt;&gt;"","09_连续性验收","")</f>
        <v/>
      </c>
      <c r="D3943" s="14">
        <f>IF('09_连续性验收'!A443&lt;&gt;"",'09_连续性验收'!A443,"")</f>
        <v/>
      </c>
      <c r="E3943" s="14">
        <f>IF(F3943&lt;&gt;"","综合校验","")</f>
        <v/>
      </c>
      <c r="F3943" s="14">
        <f>IF('09_连续性验收'!A443&lt;&gt;"",IF('09_连续性验收'!A443="","缺少验收ID；","")&amp;IF('09_连续性验收'!B443="","缺少对象ID；","")&amp;IF('09_连续性验收'!C443="","缺少检查类型；","")&amp;IF(AND('09_连续性验收'!J443&lt;&gt;"",'09_连续性验收'!K443&lt;&gt;"",'09_连续性验收'!J443&gt;'09_连续性验收'!K443),"坐标偏差超标；","")&amp;IF(AND('09_连续性验收'!B443&lt;&gt;"",COUNTIF('02_固定地理'!$A$2:$A$501,'09_连续性验收'!B443)+COUNTIF('03_地点锚点'!$A$2:$A$501,'09_连续性验收'!B443)+COUNTIF('04_路径网络'!$A$2:$A$501,'09_连续性验收'!B443)+COUNTIF('06_建筑锚点'!$A$2:$A$501,'09_连续性验收'!B443)=0),"验收对象不存在；","")&amp;IF(AND('09_连续性验收'!A443&lt;&gt;"",COUNTIF('09_连续性验收'!$A$2:$A$501,'09_连续性验收'!A443)&gt;1),"ID重复；",""),"")</f>
        <v/>
      </c>
      <c r="G3943" s="14">
        <f>IF(F3943&lt;&gt;"","按字段批注、数据字典和来源记录修正后复核","")</f>
        <v/>
      </c>
      <c r="H3943" s="14">
        <f>IF(F3943&lt;&gt;"","待处理","")</f>
        <v/>
      </c>
    </row>
    <row r="3944">
      <c r="A3944" s="14">
        <f>IF(F3944&lt;&gt;"","ISSUE-"&amp;TEXT(ROW()-1,"00000"),"")</f>
        <v/>
      </c>
      <c r="B3944" s="14">
        <f>IF(F3944&lt;&gt;"","错误","")</f>
        <v/>
      </c>
      <c r="C3944" s="14">
        <f>IF('09_连续性验收'!A444&lt;&gt;"","09_连续性验收","")</f>
        <v/>
      </c>
      <c r="D3944" s="14">
        <f>IF('09_连续性验收'!A444&lt;&gt;"",'09_连续性验收'!A444,"")</f>
        <v/>
      </c>
      <c r="E3944" s="14">
        <f>IF(F3944&lt;&gt;"","综合校验","")</f>
        <v/>
      </c>
      <c r="F3944" s="14">
        <f>IF('09_连续性验收'!A444&lt;&gt;"",IF('09_连续性验收'!A444="","缺少验收ID；","")&amp;IF('09_连续性验收'!B444="","缺少对象ID；","")&amp;IF('09_连续性验收'!C444="","缺少检查类型；","")&amp;IF(AND('09_连续性验收'!J444&lt;&gt;"",'09_连续性验收'!K444&lt;&gt;"",'09_连续性验收'!J444&gt;'09_连续性验收'!K444),"坐标偏差超标；","")&amp;IF(AND('09_连续性验收'!B444&lt;&gt;"",COUNTIF('02_固定地理'!$A$2:$A$501,'09_连续性验收'!B444)+COUNTIF('03_地点锚点'!$A$2:$A$501,'09_连续性验收'!B444)+COUNTIF('04_路径网络'!$A$2:$A$501,'09_连续性验收'!B444)+COUNTIF('06_建筑锚点'!$A$2:$A$501,'09_连续性验收'!B444)=0),"验收对象不存在；","")&amp;IF(AND('09_连续性验收'!A444&lt;&gt;"",COUNTIF('09_连续性验收'!$A$2:$A$501,'09_连续性验收'!A444)&gt;1),"ID重复；",""),"")</f>
        <v/>
      </c>
      <c r="G3944" s="14">
        <f>IF(F3944&lt;&gt;"","按字段批注、数据字典和来源记录修正后复核","")</f>
        <v/>
      </c>
      <c r="H3944" s="14">
        <f>IF(F3944&lt;&gt;"","待处理","")</f>
        <v/>
      </c>
    </row>
    <row r="3945">
      <c r="A3945" s="14">
        <f>IF(F3945&lt;&gt;"","ISSUE-"&amp;TEXT(ROW()-1,"00000"),"")</f>
        <v/>
      </c>
      <c r="B3945" s="14">
        <f>IF(F3945&lt;&gt;"","错误","")</f>
        <v/>
      </c>
      <c r="C3945" s="14">
        <f>IF('09_连续性验收'!A445&lt;&gt;"","09_连续性验收","")</f>
        <v/>
      </c>
      <c r="D3945" s="14">
        <f>IF('09_连续性验收'!A445&lt;&gt;"",'09_连续性验收'!A445,"")</f>
        <v/>
      </c>
      <c r="E3945" s="14">
        <f>IF(F3945&lt;&gt;"","综合校验","")</f>
        <v/>
      </c>
      <c r="F3945" s="14">
        <f>IF('09_连续性验收'!A445&lt;&gt;"",IF('09_连续性验收'!A445="","缺少验收ID；","")&amp;IF('09_连续性验收'!B445="","缺少对象ID；","")&amp;IF('09_连续性验收'!C445="","缺少检查类型；","")&amp;IF(AND('09_连续性验收'!J445&lt;&gt;"",'09_连续性验收'!K445&lt;&gt;"",'09_连续性验收'!J445&gt;'09_连续性验收'!K445),"坐标偏差超标；","")&amp;IF(AND('09_连续性验收'!B445&lt;&gt;"",COUNTIF('02_固定地理'!$A$2:$A$501,'09_连续性验收'!B445)+COUNTIF('03_地点锚点'!$A$2:$A$501,'09_连续性验收'!B445)+COUNTIF('04_路径网络'!$A$2:$A$501,'09_连续性验收'!B445)+COUNTIF('06_建筑锚点'!$A$2:$A$501,'09_连续性验收'!B445)=0),"验收对象不存在；","")&amp;IF(AND('09_连续性验收'!A445&lt;&gt;"",COUNTIF('09_连续性验收'!$A$2:$A$501,'09_连续性验收'!A445)&gt;1),"ID重复；",""),"")</f>
        <v/>
      </c>
      <c r="G3945" s="14">
        <f>IF(F3945&lt;&gt;"","按字段批注、数据字典和来源记录修正后复核","")</f>
        <v/>
      </c>
      <c r="H3945" s="14">
        <f>IF(F3945&lt;&gt;"","待处理","")</f>
        <v/>
      </c>
    </row>
    <row r="3946">
      <c r="A3946" s="14">
        <f>IF(F3946&lt;&gt;"","ISSUE-"&amp;TEXT(ROW()-1,"00000"),"")</f>
        <v/>
      </c>
      <c r="B3946" s="14">
        <f>IF(F3946&lt;&gt;"","错误","")</f>
        <v/>
      </c>
      <c r="C3946" s="14">
        <f>IF('09_连续性验收'!A446&lt;&gt;"","09_连续性验收","")</f>
        <v/>
      </c>
      <c r="D3946" s="14">
        <f>IF('09_连续性验收'!A446&lt;&gt;"",'09_连续性验收'!A446,"")</f>
        <v/>
      </c>
      <c r="E3946" s="14">
        <f>IF(F3946&lt;&gt;"","综合校验","")</f>
        <v/>
      </c>
      <c r="F3946" s="14">
        <f>IF('09_连续性验收'!A446&lt;&gt;"",IF('09_连续性验收'!A446="","缺少验收ID；","")&amp;IF('09_连续性验收'!B446="","缺少对象ID；","")&amp;IF('09_连续性验收'!C446="","缺少检查类型；","")&amp;IF(AND('09_连续性验收'!J446&lt;&gt;"",'09_连续性验收'!K446&lt;&gt;"",'09_连续性验收'!J446&gt;'09_连续性验收'!K446),"坐标偏差超标；","")&amp;IF(AND('09_连续性验收'!B446&lt;&gt;"",COUNTIF('02_固定地理'!$A$2:$A$501,'09_连续性验收'!B446)+COUNTIF('03_地点锚点'!$A$2:$A$501,'09_连续性验收'!B446)+COUNTIF('04_路径网络'!$A$2:$A$501,'09_连续性验收'!B446)+COUNTIF('06_建筑锚点'!$A$2:$A$501,'09_连续性验收'!B446)=0),"验收对象不存在；","")&amp;IF(AND('09_连续性验收'!A446&lt;&gt;"",COUNTIF('09_连续性验收'!$A$2:$A$501,'09_连续性验收'!A446)&gt;1),"ID重复；",""),"")</f>
        <v/>
      </c>
      <c r="G3946" s="14">
        <f>IF(F3946&lt;&gt;"","按字段批注、数据字典和来源记录修正后复核","")</f>
        <v/>
      </c>
      <c r="H3946" s="14">
        <f>IF(F3946&lt;&gt;"","待处理","")</f>
        <v/>
      </c>
    </row>
    <row r="3947">
      <c r="A3947" s="14">
        <f>IF(F3947&lt;&gt;"","ISSUE-"&amp;TEXT(ROW()-1,"00000"),"")</f>
        <v/>
      </c>
      <c r="B3947" s="14">
        <f>IF(F3947&lt;&gt;"","错误","")</f>
        <v/>
      </c>
      <c r="C3947" s="14">
        <f>IF('09_连续性验收'!A447&lt;&gt;"","09_连续性验收","")</f>
        <v/>
      </c>
      <c r="D3947" s="14">
        <f>IF('09_连续性验收'!A447&lt;&gt;"",'09_连续性验收'!A447,"")</f>
        <v/>
      </c>
      <c r="E3947" s="14">
        <f>IF(F3947&lt;&gt;"","综合校验","")</f>
        <v/>
      </c>
      <c r="F3947" s="14">
        <f>IF('09_连续性验收'!A447&lt;&gt;"",IF('09_连续性验收'!A447="","缺少验收ID；","")&amp;IF('09_连续性验收'!B447="","缺少对象ID；","")&amp;IF('09_连续性验收'!C447="","缺少检查类型；","")&amp;IF(AND('09_连续性验收'!J447&lt;&gt;"",'09_连续性验收'!K447&lt;&gt;"",'09_连续性验收'!J447&gt;'09_连续性验收'!K447),"坐标偏差超标；","")&amp;IF(AND('09_连续性验收'!B447&lt;&gt;"",COUNTIF('02_固定地理'!$A$2:$A$501,'09_连续性验收'!B447)+COUNTIF('03_地点锚点'!$A$2:$A$501,'09_连续性验收'!B447)+COUNTIF('04_路径网络'!$A$2:$A$501,'09_连续性验收'!B447)+COUNTIF('06_建筑锚点'!$A$2:$A$501,'09_连续性验收'!B447)=0),"验收对象不存在；","")&amp;IF(AND('09_连续性验收'!A447&lt;&gt;"",COUNTIF('09_连续性验收'!$A$2:$A$501,'09_连续性验收'!A447)&gt;1),"ID重复；",""),"")</f>
        <v/>
      </c>
      <c r="G3947" s="14">
        <f>IF(F3947&lt;&gt;"","按字段批注、数据字典和来源记录修正后复核","")</f>
        <v/>
      </c>
      <c r="H3947" s="14">
        <f>IF(F3947&lt;&gt;"","待处理","")</f>
        <v/>
      </c>
    </row>
    <row r="3948">
      <c r="A3948" s="14">
        <f>IF(F3948&lt;&gt;"","ISSUE-"&amp;TEXT(ROW()-1,"00000"),"")</f>
        <v/>
      </c>
      <c r="B3948" s="14">
        <f>IF(F3948&lt;&gt;"","错误","")</f>
        <v/>
      </c>
      <c r="C3948" s="14">
        <f>IF('09_连续性验收'!A448&lt;&gt;"","09_连续性验收","")</f>
        <v/>
      </c>
      <c r="D3948" s="14">
        <f>IF('09_连续性验收'!A448&lt;&gt;"",'09_连续性验收'!A448,"")</f>
        <v/>
      </c>
      <c r="E3948" s="14">
        <f>IF(F3948&lt;&gt;"","综合校验","")</f>
        <v/>
      </c>
      <c r="F3948" s="14">
        <f>IF('09_连续性验收'!A448&lt;&gt;"",IF('09_连续性验收'!A448="","缺少验收ID；","")&amp;IF('09_连续性验收'!B448="","缺少对象ID；","")&amp;IF('09_连续性验收'!C448="","缺少检查类型；","")&amp;IF(AND('09_连续性验收'!J448&lt;&gt;"",'09_连续性验收'!K448&lt;&gt;"",'09_连续性验收'!J448&gt;'09_连续性验收'!K448),"坐标偏差超标；","")&amp;IF(AND('09_连续性验收'!B448&lt;&gt;"",COUNTIF('02_固定地理'!$A$2:$A$501,'09_连续性验收'!B448)+COUNTIF('03_地点锚点'!$A$2:$A$501,'09_连续性验收'!B448)+COUNTIF('04_路径网络'!$A$2:$A$501,'09_连续性验收'!B448)+COUNTIF('06_建筑锚点'!$A$2:$A$501,'09_连续性验收'!B448)=0),"验收对象不存在；","")&amp;IF(AND('09_连续性验收'!A448&lt;&gt;"",COUNTIF('09_连续性验收'!$A$2:$A$501,'09_连续性验收'!A448)&gt;1),"ID重复；",""),"")</f>
        <v/>
      </c>
      <c r="G3948" s="14">
        <f>IF(F3948&lt;&gt;"","按字段批注、数据字典和来源记录修正后复核","")</f>
        <v/>
      </c>
      <c r="H3948" s="14">
        <f>IF(F3948&lt;&gt;"","待处理","")</f>
        <v/>
      </c>
    </row>
    <row r="3949">
      <c r="A3949" s="14">
        <f>IF(F3949&lt;&gt;"","ISSUE-"&amp;TEXT(ROW()-1,"00000"),"")</f>
        <v/>
      </c>
      <c r="B3949" s="14">
        <f>IF(F3949&lt;&gt;"","错误","")</f>
        <v/>
      </c>
      <c r="C3949" s="14">
        <f>IF('09_连续性验收'!A449&lt;&gt;"","09_连续性验收","")</f>
        <v/>
      </c>
      <c r="D3949" s="14">
        <f>IF('09_连续性验收'!A449&lt;&gt;"",'09_连续性验收'!A449,"")</f>
        <v/>
      </c>
      <c r="E3949" s="14">
        <f>IF(F3949&lt;&gt;"","综合校验","")</f>
        <v/>
      </c>
      <c r="F3949" s="14">
        <f>IF('09_连续性验收'!A449&lt;&gt;"",IF('09_连续性验收'!A449="","缺少验收ID；","")&amp;IF('09_连续性验收'!B449="","缺少对象ID；","")&amp;IF('09_连续性验收'!C449="","缺少检查类型；","")&amp;IF(AND('09_连续性验收'!J449&lt;&gt;"",'09_连续性验收'!K449&lt;&gt;"",'09_连续性验收'!J449&gt;'09_连续性验收'!K449),"坐标偏差超标；","")&amp;IF(AND('09_连续性验收'!B449&lt;&gt;"",COUNTIF('02_固定地理'!$A$2:$A$501,'09_连续性验收'!B449)+COUNTIF('03_地点锚点'!$A$2:$A$501,'09_连续性验收'!B449)+COUNTIF('04_路径网络'!$A$2:$A$501,'09_连续性验收'!B449)+COUNTIF('06_建筑锚点'!$A$2:$A$501,'09_连续性验收'!B449)=0),"验收对象不存在；","")&amp;IF(AND('09_连续性验收'!A449&lt;&gt;"",COUNTIF('09_连续性验收'!$A$2:$A$501,'09_连续性验收'!A449)&gt;1),"ID重复；",""),"")</f>
        <v/>
      </c>
      <c r="G3949" s="14">
        <f>IF(F3949&lt;&gt;"","按字段批注、数据字典和来源记录修正后复核","")</f>
        <v/>
      </c>
      <c r="H3949" s="14">
        <f>IF(F3949&lt;&gt;"","待处理","")</f>
        <v/>
      </c>
    </row>
    <row r="3950">
      <c r="A3950" s="14">
        <f>IF(F3950&lt;&gt;"","ISSUE-"&amp;TEXT(ROW()-1,"00000"),"")</f>
        <v/>
      </c>
      <c r="B3950" s="14">
        <f>IF(F3950&lt;&gt;"","错误","")</f>
        <v/>
      </c>
      <c r="C3950" s="14">
        <f>IF('09_连续性验收'!A450&lt;&gt;"","09_连续性验收","")</f>
        <v/>
      </c>
      <c r="D3950" s="14">
        <f>IF('09_连续性验收'!A450&lt;&gt;"",'09_连续性验收'!A450,"")</f>
        <v/>
      </c>
      <c r="E3950" s="14">
        <f>IF(F3950&lt;&gt;"","综合校验","")</f>
        <v/>
      </c>
      <c r="F3950" s="14">
        <f>IF('09_连续性验收'!A450&lt;&gt;"",IF('09_连续性验收'!A450="","缺少验收ID；","")&amp;IF('09_连续性验收'!B450="","缺少对象ID；","")&amp;IF('09_连续性验收'!C450="","缺少检查类型；","")&amp;IF(AND('09_连续性验收'!J450&lt;&gt;"",'09_连续性验收'!K450&lt;&gt;"",'09_连续性验收'!J450&gt;'09_连续性验收'!K450),"坐标偏差超标；","")&amp;IF(AND('09_连续性验收'!B450&lt;&gt;"",COUNTIF('02_固定地理'!$A$2:$A$501,'09_连续性验收'!B450)+COUNTIF('03_地点锚点'!$A$2:$A$501,'09_连续性验收'!B450)+COUNTIF('04_路径网络'!$A$2:$A$501,'09_连续性验收'!B450)+COUNTIF('06_建筑锚点'!$A$2:$A$501,'09_连续性验收'!B450)=0),"验收对象不存在；","")&amp;IF(AND('09_连续性验收'!A450&lt;&gt;"",COUNTIF('09_连续性验收'!$A$2:$A$501,'09_连续性验收'!A450)&gt;1),"ID重复；",""),"")</f>
        <v/>
      </c>
      <c r="G3950" s="14">
        <f>IF(F3950&lt;&gt;"","按字段批注、数据字典和来源记录修正后复核","")</f>
        <v/>
      </c>
      <c r="H3950" s="14">
        <f>IF(F3950&lt;&gt;"","待处理","")</f>
        <v/>
      </c>
    </row>
    <row r="3951">
      <c r="A3951" s="14">
        <f>IF(F3951&lt;&gt;"","ISSUE-"&amp;TEXT(ROW()-1,"00000"),"")</f>
        <v/>
      </c>
      <c r="B3951" s="14">
        <f>IF(F3951&lt;&gt;"","错误","")</f>
        <v/>
      </c>
      <c r="C3951" s="14">
        <f>IF('09_连续性验收'!A451&lt;&gt;"","09_连续性验收","")</f>
        <v/>
      </c>
      <c r="D3951" s="14">
        <f>IF('09_连续性验收'!A451&lt;&gt;"",'09_连续性验收'!A451,"")</f>
        <v/>
      </c>
      <c r="E3951" s="14">
        <f>IF(F3951&lt;&gt;"","综合校验","")</f>
        <v/>
      </c>
      <c r="F3951" s="14">
        <f>IF('09_连续性验收'!A451&lt;&gt;"",IF('09_连续性验收'!A451="","缺少验收ID；","")&amp;IF('09_连续性验收'!B451="","缺少对象ID；","")&amp;IF('09_连续性验收'!C451="","缺少检查类型；","")&amp;IF(AND('09_连续性验收'!J451&lt;&gt;"",'09_连续性验收'!K451&lt;&gt;"",'09_连续性验收'!J451&gt;'09_连续性验收'!K451),"坐标偏差超标；","")&amp;IF(AND('09_连续性验收'!B451&lt;&gt;"",COUNTIF('02_固定地理'!$A$2:$A$501,'09_连续性验收'!B451)+COUNTIF('03_地点锚点'!$A$2:$A$501,'09_连续性验收'!B451)+COUNTIF('04_路径网络'!$A$2:$A$501,'09_连续性验收'!B451)+COUNTIF('06_建筑锚点'!$A$2:$A$501,'09_连续性验收'!B451)=0),"验收对象不存在；","")&amp;IF(AND('09_连续性验收'!A451&lt;&gt;"",COUNTIF('09_连续性验收'!$A$2:$A$501,'09_连续性验收'!A451)&gt;1),"ID重复；",""),"")</f>
        <v/>
      </c>
      <c r="G3951" s="14">
        <f>IF(F3951&lt;&gt;"","按字段批注、数据字典和来源记录修正后复核","")</f>
        <v/>
      </c>
      <c r="H3951" s="14">
        <f>IF(F3951&lt;&gt;"","待处理","")</f>
        <v/>
      </c>
    </row>
    <row r="3952">
      <c r="A3952" s="14">
        <f>IF(F3952&lt;&gt;"","ISSUE-"&amp;TEXT(ROW()-1,"00000"),"")</f>
        <v/>
      </c>
      <c r="B3952" s="14">
        <f>IF(F3952&lt;&gt;"","错误","")</f>
        <v/>
      </c>
      <c r="C3952" s="14">
        <f>IF('09_连续性验收'!A452&lt;&gt;"","09_连续性验收","")</f>
        <v/>
      </c>
      <c r="D3952" s="14">
        <f>IF('09_连续性验收'!A452&lt;&gt;"",'09_连续性验收'!A452,"")</f>
        <v/>
      </c>
      <c r="E3952" s="14">
        <f>IF(F3952&lt;&gt;"","综合校验","")</f>
        <v/>
      </c>
      <c r="F3952" s="14">
        <f>IF('09_连续性验收'!A452&lt;&gt;"",IF('09_连续性验收'!A452="","缺少验收ID；","")&amp;IF('09_连续性验收'!B452="","缺少对象ID；","")&amp;IF('09_连续性验收'!C452="","缺少检查类型；","")&amp;IF(AND('09_连续性验收'!J452&lt;&gt;"",'09_连续性验收'!K452&lt;&gt;"",'09_连续性验收'!J452&gt;'09_连续性验收'!K452),"坐标偏差超标；","")&amp;IF(AND('09_连续性验收'!B452&lt;&gt;"",COUNTIF('02_固定地理'!$A$2:$A$501,'09_连续性验收'!B452)+COUNTIF('03_地点锚点'!$A$2:$A$501,'09_连续性验收'!B452)+COUNTIF('04_路径网络'!$A$2:$A$501,'09_连续性验收'!B452)+COUNTIF('06_建筑锚点'!$A$2:$A$501,'09_连续性验收'!B452)=0),"验收对象不存在；","")&amp;IF(AND('09_连续性验收'!A452&lt;&gt;"",COUNTIF('09_连续性验收'!$A$2:$A$501,'09_连续性验收'!A452)&gt;1),"ID重复；",""),"")</f>
        <v/>
      </c>
      <c r="G3952" s="14">
        <f>IF(F3952&lt;&gt;"","按字段批注、数据字典和来源记录修正后复核","")</f>
        <v/>
      </c>
      <c r="H3952" s="14">
        <f>IF(F3952&lt;&gt;"","待处理","")</f>
        <v/>
      </c>
    </row>
    <row r="3953">
      <c r="A3953" s="14">
        <f>IF(F3953&lt;&gt;"","ISSUE-"&amp;TEXT(ROW()-1,"00000"),"")</f>
        <v/>
      </c>
      <c r="B3953" s="14">
        <f>IF(F3953&lt;&gt;"","错误","")</f>
        <v/>
      </c>
      <c r="C3953" s="14">
        <f>IF('09_连续性验收'!A453&lt;&gt;"","09_连续性验收","")</f>
        <v/>
      </c>
      <c r="D3953" s="14">
        <f>IF('09_连续性验收'!A453&lt;&gt;"",'09_连续性验收'!A453,"")</f>
        <v/>
      </c>
      <c r="E3953" s="14">
        <f>IF(F3953&lt;&gt;"","综合校验","")</f>
        <v/>
      </c>
      <c r="F3953" s="14">
        <f>IF('09_连续性验收'!A453&lt;&gt;"",IF('09_连续性验收'!A453="","缺少验收ID；","")&amp;IF('09_连续性验收'!B453="","缺少对象ID；","")&amp;IF('09_连续性验收'!C453="","缺少检查类型；","")&amp;IF(AND('09_连续性验收'!J453&lt;&gt;"",'09_连续性验收'!K453&lt;&gt;"",'09_连续性验收'!J453&gt;'09_连续性验收'!K453),"坐标偏差超标；","")&amp;IF(AND('09_连续性验收'!B453&lt;&gt;"",COUNTIF('02_固定地理'!$A$2:$A$501,'09_连续性验收'!B453)+COUNTIF('03_地点锚点'!$A$2:$A$501,'09_连续性验收'!B453)+COUNTIF('04_路径网络'!$A$2:$A$501,'09_连续性验收'!B453)+COUNTIF('06_建筑锚点'!$A$2:$A$501,'09_连续性验收'!B453)=0),"验收对象不存在；","")&amp;IF(AND('09_连续性验收'!A453&lt;&gt;"",COUNTIF('09_连续性验收'!$A$2:$A$501,'09_连续性验收'!A453)&gt;1),"ID重复；",""),"")</f>
        <v/>
      </c>
      <c r="G3953" s="14">
        <f>IF(F3953&lt;&gt;"","按字段批注、数据字典和来源记录修正后复核","")</f>
        <v/>
      </c>
      <c r="H3953" s="14">
        <f>IF(F3953&lt;&gt;"","待处理","")</f>
        <v/>
      </c>
    </row>
    <row r="3954">
      <c r="A3954" s="14">
        <f>IF(F3954&lt;&gt;"","ISSUE-"&amp;TEXT(ROW()-1,"00000"),"")</f>
        <v/>
      </c>
      <c r="B3954" s="14">
        <f>IF(F3954&lt;&gt;"","错误","")</f>
        <v/>
      </c>
      <c r="C3954" s="14">
        <f>IF('09_连续性验收'!A454&lt;&gt;"","09_连续性验收","")</f>
        <v/>
      </c>
      <c r="D3954" s="14">
        <f>IF('09_连续性验收'!A454&lt;&gt;"",'09_连续性验收'!A454,"")</f>
        <v/>
      </c>
      <c r="E3954" s="14">
        <f>IF(F3954&lt;&gt;"","综合校验","")</f>
        <v/>
      </c>
      <c r="F3954" s="14">
        <f>IF('09_连续性验收'!A454&lt;&gt;"",IF('09_连续性验收'!A454="","缺少验收ID；","")&amp;IF('09_连续性验收'!B454="","缺少对象ID；","")&amp;IF('09_连续性验收'!C454="","缺少检查类型；","")&amp;IF(AND('09_连续性验收'!J454&lt;&gt;"",'09_连续性验收'!K454&lt;&gt;"",'09_连续性验收'!J454&gt;'09_连续性验收'!K454),"坐标偏差超标；","")&amp;IF(AND('09_连续性验收'!B454&lt;&gt;"",COUNTIF('02_固定地理'!$A$2:$A$501,'09_连续性验收'!B454)+COUNTIF('03_地点锚点'!$A$2:$A$501,'09_连续性验收'!B454)+COUNTIF('04_路径网络'!$A$2:$A$501,'09_连续性验收'!B454)+COUNTIF('06_建筑锚点'!$A$2:$A$501,'09_连续性验收'!B454)=0),"验收对象不存在；","")&amp;IF(AND('09_连续性验收'!A454&lt;&gt;"",COUNTIF('09_连续性验收'!$A$2:$A$501,'09_连续性验收'!A454)&gt;1),"ID重复；",""),"")</f>
        <v/>
      </c>
      <c r="G3954" s="14">
        <f>IF(F3954&lt;&gt;"","按字段批注、数据字典和来源记录修正后复核","")</f>
        <v/>
      </c>
      <c r="H3954" s="14">
        <f>IF(F3954&lt;&gt;"","待处理","")</f>
        <v/>
      </c>
    </row>
    <row r="3955">
      <c r="A3955" s="14">
        <f>IF(F3955&lt;&gt;"","ISSUE-"&amp;TEXT(ROW()-1,"00000"),"")</f>
        <v/>
      </c>
      <c r="B3955" s="14">
        <f>IF(F3955&lt;&gt;"","错误","")</f>
        <v/>
      </c>
      <c r="C3955" s="14">
        <f>IF('09_连续性验收'!A455&lt;&gt;"","09_连续性验收","")</f>
        <v/>
      </c>
      <c r="D3955" s="14">
        <f>IF('09_连续性验收'!A455&lt;&gt;"",'09_连续性验收'!A455,"")</f>
        <v/>
      </c>
      <c r="E3955" s="14">
        <f>IF(F3955&lt;&gt;"","综合校验","")</f>
        <v/>
      </c>
      <c r="F3955" s="14">
        <f>IF('09_连续性验收'!A455&lt;&gt;"",IF('09_连续性验收'!A455="","缺少验收ID；","")&amp;IF('09_连续性验收'!B455="","缺少对象ID；","")&amp;IF('09_连续性验收'!C455="","缺少检查类型；","")&amp;IF(AND('09_连续性验收'!J455&lt;&gt;"",'09_连续性验收'!K455&lt;&gt;"",'09_连续性验收'!J455&gt;'09_连续性验收'!K455),"坐标偏差超标；","")&amp;IF(AND('09_连续性验收'!B455&lt;&gt;"",COUNTIF('02_固定地理'!$A$2:$A$501,'09_连续性验收'!B455)+COUNTIF('03_地点锚点'!$A$2:$A$501,'09_连续性验收'!B455)+COUNTIF('04_路径网络'!$A$2:$A$501,'09_连续性验收'!B455)+COUNTIF('06_建筑锚点'!$A$2:$A$501,'09_连续性验收'!B455)=0),"验收对象不存在；","")&amp;IF(AND('09_连续性验收'!A455&lt;&gt;"",COUNTIF('09_连续性验收'!$A$2:$A$501,'09_连续性验收'!A455)&gt;1),"ID重复；",""),"")</f>
        <v/>
      </c>
      <c r="G3955" s="14">
        <f>IF(F3955&lt;&gt;"","按字段批注、数据字典和来源记录修正后复核","")</f>
        <v/>
      </c>
      <c r="H3955" s="14">
        <f>IF(F3955&lt;&gt;"","待处理","")</f>
        <v/>
      </c>
    </row>
    <row r="3956">
      <c r="A3956" s="14">
        <f>IF(F3956&lt;&gt;"","ISSUE-"&amp;TEXT(ROW()-1,"00000"),"")</f>
        <v/>
      </c>
      <c r="B3956" s="14">
        <f>IF(F3956&lt;&gt;"","错误","")</f>
        <v/>
      </c>
      <c r="C3956" s="14">
        <f>IF('09_连续性验收'!A456&lt;&gt;"","09_连续性验收","")</f>
        <v/>
      </c>
      <c r="D3956" s="14">
        <f>IF('09_连续性验收'!A456&lt;&gt;"",'09_连续性验收'!A456,"")</f>
        <v/>
      </c>
      <c r="E3956" s="14">
        <f>IF(F3956&lt;&gt;"","综合校验","")</f>
        <v/>
      </c>
      <c r="F3956" s="14">
        <f>IF('09_连续性验收'!A456&lt;&gt;"",IF('09_连续性验收'!A456="","缺少验收ID；","")&amp;IF('09_连续性验收'!B456="","缺少对象ID；","")&amp;IF('09_连续性验收'!C456="","缺少检查类型；","")&amp;IF(AND('09_连续性验收'!J456&lt;&gt;"",'09_连续性验收'!K456&lt;&gt;"",'09_连续性验收'!J456&gt;'09_连续性验收'!K456),"坐标偏差超标；","")&amp;IF(AND('09_连续性验收'!B456&lt;&gt;"",COUNTIF('02_固定地理'!$A$2:$A$501,'09_连续性验收'!B456)+COUNTIF('03_地点锚点'!$A$2:$A$501,'09_连续性验收'!B456)+COUNTIF('04_路径网络'!$A$2:$A$501,'09_连续性验收'!B456)+COUNTIF('06_建筑锚点'!$A$2:$A$501,'09_连续性验收'!B456)=0),"验收对象不存在；","")&amp;IF(AND('09_连续性验收'!A456&lt;&gt;"",COUNTIF('09_连续性验收'!$A$2:$A$501,'09_连续性验收'!A456)&gt;1),"ID重复；",""),"")</f>
        <v/>
      </c>
      <c r="G3956" s="14">
        <f>IF(F3956&lt;&gt;"","按字段批注、数据字典和来源记录修正后复核","")</f>
        <v/>
      </c>
      <c r="H3956" s="14">
        <f>IF(F3956&lt;&gt;"","待处理","")</f>
        <v/>
      </c>
    </row>
    <row r="3957">
      <c r="A3957" s="14">
        <f>IF(F3957&lt;&gt;"","ISSUE-"&amp;TEXT(ROW()-1,"00000"),"")</f>
        <v/>
      </c>
      <c r="B3957" s="14">
        <f>IF(F3957&lt;&gt;"","错误","")</f>
        <v/>
      </c>
      <c r="C3957" s="14">
        <f>IF('09_连续性验收'!A457&lt;&gt;"","09_连续性验收","")</f>
        <v/>
      </c>
      <c r="D3957" s="14">
        <f>IF('09_连续性验收'!A457&lt;&gt;"",'09_连续性验收'!A457,"")</f>
        <v/>
      </c>
      <c r="E3957" s="14">
        <f>IF(F3957&lt;&gt;"","综合校验","")</f>
        <v/>
      </c>
      <c r="F3957" s="14">
        <f>IF('09_连续性验收'!A457&lt;&gt;"",IF('09_连续性验收'!A457="","缺少验收ID；","")&amp;IF('09_连续性验收'!B457="","缺少对象ID；","")&amp;IF('09_连续性验收'!C457="","缺少检查类型；","")&amp;IF(AND('09_连续性验收'!J457&lt;&gt;"",'09_连续性验收'!K457&lt;&gt;"",'09_连续性验收'!J457&gt;'09_连续性验收'!K457),"坐标偏差超标；","")&amp;IF(AND('09_连续性验收'!B457&lt;&gt;"",COUNTIF('02_固定地理'!$A$2:$A$501,'09_连续性验收'!B457)+COUNTIF('03_地点锚点'!$A$2:$A$501,'09_连续性验收'!B457)+COUNTIF('04_路径网络'!$A$2:$A$501,'09_连续性验收'!B457)+COUNTIF('06_建筑锚点'!$A$2:$A$501,'09_连续性验收'!B457)=0),"验收对象不存在；","")&amp;IF(AND('09_连续性验收'!A457&lt;&gt;"",COUNTIF('09_连续性验收'!$A$2:$A$501,'09_连续性验收'!A457)&gt;1),"ID重复；",""),"")</f>
        <v/>
      </c>
      <c r="G3957" s="14">
        <f>IF(F3957&lt;&gt;"","按字段批注、数据字典和来源记录修正后复核","")</f>
        <v/>
      </c>
      <c r="H3957" s="14">
        <f>IF(F3957&lt;&gt;"","待处理","")</f>
        <v/>
      </c>
    </row>
    <row r="3958">
      <c r="A3958" s="14">
        <f>IF(F3958&lt;&gt;"","ISSUE-"&amp;TEXT(ROW()-1,"00000"),"")</f>
        <v/>
      </c>
      <c r="B3958" s="14">
        <f>IF(F3958&lt;&gt;"","错误","")</f>
        <v/>
      </c>
      <c r="C3958" s="14">
        <f>IF('09_连续性验收'!A458&lt;&gt;"","09_连续性验收","")</f>
        <v/>
      </c>
      <c r="D3958" s="14">
        <f>IF('09_连续性验收'!A458&lt;&gt;"",'09_连续性验收'!A458,"")</f>
        <v/>
      </c>
      <c r="E3958" s="14">
        <f>IF(F3958&lt;&gt;"","综合校验","")</f>
        <v/>
      </c>
      <c r="F3958" s="14">
        <f>IF('09_连续性验收'!A458&lt;&gt;"",IF('09_连续性验收'!A458="","缺少验收ID；","")&amp;IF('09_连续性验收'!B458="","缺少对象ID；","")&amp;IF('09_连续性验收'!C458="","缺少检查类型；","")&amp;IF(AND('09_连续性验收'!J458&lt;&gt;"",'09_连续性验收'!K458&lt;&gt;"",'09_连续性验收'!J458&gt;'09_连续性验收'!K458),"坐标偏差超标；","")&amp;IF(AND('09_连续性验收'!B458&lt;&gt;"",COUNTIF('02_固定地理'!$A$2:$A$501,'09_连续性验收'!B458)+COUNTIF('03_地点锚点'!$A$2:$A$501,'09_连续性验收'!B458)+COUNTIF('04_路径网络'!$A$2:$A$501,'09_连续性验收'!B458)+COUNTIF('06_建筑锚点'!$A$2:$A$501,'09_连续性验收'!B458)=0),"验收对象不存在；","")&amp;IF(AND('09_连续性验收'!A458&lt;&gt;"",COUNTIF('09_连续性验收'!$A$2:$A$501,'09_连续性验收'!A458)&gt;1),"ID重复；",""),"")</f>
        <v/>
      </c>
      <c r="G3958" s="14">
        <f>IF(F3958&lt;&gt;"","按字段批注、数据字典和来源记录修正后复核","")</f>
        <v/>
      </c>
      <c r="H3958" s="14">
        <f>IF(F3958&lt;&gt;"","待处理","")</f>
        <v/>
      </c>
    </row>
    <row r="3959">
      <c r="A3959" s="14">
        <f>IF(F3959&lt;&gt;"","ISSUE-"&amp;TEXT(ROW()-1,"00000"),"")</f>
        <v/>
      </c>
      <c r="B3959" s="14">
        <f>IF(F3959&lt;&gt;"","错误","")</f>
        <v/>
      </c>
      <c r="C3959" s="14">
        <f>IF('09_连续性验收'!A459&lt;&gt;"","09_连续性验收","")</f>
        <v/>
      </c>
      <c r="D3959" s="14">
        <f>IF('09_连续性验收'!A459&lt;&gt;"",'09_连续性验收'!A459,"")</f>
        <v/>
      </c>
      <c r="E3959" s="14">
        <f>IF(F3959&lt;&gt;"","综合校验","")</f>
        <v/>
      </c>
      <c r="F3959" s="14">
        <f>IF('09_连续性验收'!A459&lt;&gt;"",IF('09_连续性验收'!A459="","缺少验收ID；","")&amp;IF('09_连续性验收'!B459="","缺少对象ID；","")&amp;IF('09_连续性验收'!C459="","缺少检查类型；","")&amp;IF(AND('09_连续性验收'!J459&lt;&gt;"",'09_连续性验收'!K459&lt;&gt;"",'09_连续性验收'!J459&gt;'09_连续性验收'!K459),"坐标偏差超标；","")&amp;IF(AND('09_连续性验收'!B459&lt;&gt;"",COUNTIF('02_固定地理'!$A$2:$A$501,'09_连续性验收'!B459)+COUNTIF('03_地点锚点'!$A$2:$A$501,'09_连续性验收'!B459)+COUNTIF('04_路径网络'!$A$2:$A$501,'09_连续性验收'!B459)+COUNTIF('06_建筑锚点'!$A$2:$A$501,'09_连续性验收'!B459)=0),"验收对象不存在；","")&amp;IF(AND('09_连续性验收'!A459&lt;&gt;"",COUNTIF('09_连续性验收'!$A$2:$A$501,'09_连续性验收'!A459)&gt;1),"ID重复；",""),"")</f>
        <v/>
      </c>
      <c r="G3959" s="14">
        <f>IF(F3959&lt;&gt;"","按字段批注、数据字典和来源记录修正后复核","")</f>
        <v/>
      </c>
      <c r="H3959" s="14">
        <f>IF(F3959&lt;&gt;"","待处理","")</f>
        <v/>
      </c>
    </row>
    <row r="3960">
      <c r="A3960" s="14">
        <f>IF(F3960&lt;&gt;"","ISSUE-"&amp;TEXT(ROW()-1,"00000"),"")</f>
        <v/>
      </c>
      <c r="B3960" s="14">
        <f>IF(F3960&lt;&gt;"","错误","")</f>
        <v/>
      </c>
      <c r="C3960" s="14">
        <f>IF('09_连续性验收'!A460&lt;&gt;"","09_连续性验收","")</f>
        <v/>
      </c>
      <c r="D3960" s="14">
        <f>IF('09_连续性验收'!A460&lt;&gt;"",'09_连续性验收'!A460,"")</f>
        <v/>
      </c>
      <c r="E3960" s="14">
        <f>IF(F3960&lt;&gt;"","综合校验","")</f>
        <v/>
      </c>
      <c r="F3960" s="14">
        <f>IF('09_连续性验收'!A460&lt;&gt;"",IF('09_连续性验收'!A460="","缺少验收ID；","")&amp;IF('09_连续性验收'!B460="","缺少对象ID；","")&amp;IF('09_连续性验收'!C460="","缺少检查类型；","")&amp;IF(AND('09_连续性验收'!J460&lt;&gt;"",'09_连续性验收'!K460&lt;&gt;"",'09_连续性验收'!J460&gt;'09_连续性验收'!K460),"坐标偏差超标；","")&amp;IF(AND('09_连续性验收'!B460&lt;&gt;"",COUNTIF('02_固定地理'!$A$2:$A$501,'09_连续性验收'!B460)+COUNTIF('03_地点锚点'!$A$2:$A$501,'09_连续性验收'!B460)+COUNTIF('04_路径网络'!$A$2:$A$501,'09_连续性验收'!B460)+COUNTIF('06_建筑锚点'!$A$2:$A$501,'09_连续性验收'!B460)=0),"验收对象不存在；","")&amp;IF(AND('09_连续性验收'!A460&lt;&gt;"",COUNTIF('09_连续性验收'!$A$2:$A$501,'09_连续性验收'!A460)&gt;1),"ID重复；",""),"")</f>
        <v/>
      </c>
      <c r="G3960" s="14">
        <f>IF(F3960&lt;&gt;"","按字段批注、数据字典和来源记录修正后复核","")</f>
        <v/>
      </c>
      <c r="H3960" s="14">
        <f>IF(F3960&lt;&gt;"","待处理","")</f>
        <v/>
      </c>
    </row>
    <row r="3961">
      <c r="A3961" s="14">
        <f>IF(F3961&lt;&gt;"","ISSUE-"&amp;TEXT(ROW()-1,"00000"),"")</f>
        <v/>
      </c>
      <c r="B3961" s="14">
        <f>IF(F3961&lt;&gt;"","错误","")</f>
        <v/>
      </c>
      <c r="C3961" s="14">
        <f>IF('09_连续性验收'!A461&lt;&gt;"","09_连续性验收","")</f>
        <v/>
      </c>
      <c r="D3961" s="14">
        <f>IF('09_连续性验收'!A461&lt;&gt;"",'09_连续性验收'!A461,"")</f>
        <v/>
      </c>
      <c r="E3961" s="14">
        <f>IF(F3961&lt;&gt;"","综合校验","")</f>
        <v/>
      </c>
      <c r="F3961" s="14">
        <f>IF('09_连续性验收'!A461&lt;&gt;"",IF('09_连续性验收'!A461="","缺少验收ID；","")&amp;IF('09_连续性验收'!B461="","缺少对象ID；","")&amp;IF('09_连续性验收'!C461="","缺少检查类型；","")&amp;IF(AND('09_连续性验收'!J461&lt;&gt;"",'09_连续性验收'!K461&lt;&gt;"",'09_连续性验收'!J461&gt;'09_连续性验收'!K461),"坐标偏差超标；","")&amp;IF(AND('09_连续性验收'!B461&lt;&gt;"",COUNTIF('02_固定地理'!$A$2:$A$501,'09_连续性验收'!B461)+COUNTIF('03_地点锚点'!$A$2:$A$501,'09_连续性验收'!B461)+COUNTIF('04_路径网络'!$A$2:$A$501,'09_连续性验收'!B461)+COUNTIF('06_建筑锚点'!$A$2:$A$501,'09_连续性验收'!B461)=0),"验收对象不存在；","")&amp;IF(AND('09_连续性验收'!A461&lt;&gt;"",COUNTIF('09_连续性验收'!$A$2:$A$501,'09_连续性验收'!A461)&gt;1),"ID重复；",""),"")</f>
        <v/>
      </c>
      <c r="G3961" s="14">
        <f>IF(F3961&lt;&gt;"","按字段批注、数据字典和来源记录修正后复核","")</f>
        <v/>
      </c>
      <c r="H3961" s="14">
        <f>IF(F3961&lt;&gt;"","待处理","")</f>
        <v/>
      </c>
    </row>
    <row r="3962">
      <c r="A3962" s="14">
        <f>IF(F3962&lt;&gt;"","ISSUE-"&amp;TEXT(ROW()-1,"00000"),"")</f>
        <v/>
      </c>
      <c r="B3962" s="14">
        <f>IF(F3962&lt;&gt;"","错误","")</f>
        <v/>
      </c>
      <c r="C3962" s="14">
        <f>IF('09_连续性验收'!A462&lt;&gt;"","09_连续性验收","")</f>
        <v/>
      </c>
      <c r="D3962" s="14">
        <f>IF('09_连续性验收'!A462&lt;&gt;"",'09_连续性验收'!A462,"")</f>
        <v/>
      </c>
      <c r="E3962" s="14">
        <f>IF(F3962&lt;&gt;"","综合校验","")</f>
        <v/>
      </c>
      <c r="F3962" s="14">
        <f>IF('09_连续性验收'!A462&lt;&gt;"",IF('09_连续性验收'!A462="","缺少验收ID；","")&amp;IF('09_连续性验收'!B462="","缺少对象ID；","")&amp;IF('09_连续性验收'!C462="","缺少检查类型；","")&amp;IF(AND('09_连续性验收'!J462&lt;&gt;"",'09_连续性验收'!K462&lt;&gt;"",'09_连续性验收'!J462&gt;'09_连续性验收'!K462),"坐标偏差超标；","")&amp;IF(AND('09_连续性验收'!B462&lt;&gt;"",COUNTIF('02_固定地理'!$A$2:$A$501,'09_连续性验收'!B462)+COUNTIF('03_地点锚点'!$A$2:$A$501,'09_连续性验收'!B462)+COUNTIF('04_路径网络'!$A$2:$A$501,'09_连续性验收'!B462)+COUNTIF('06_建筑锚点'!$A$2:$A$501,'09_连续性验收'!B462)=0),"验收对象不存在；","")&amp;IF(AND('09_连续性验收'!A462&lt;&gt;"",COUNTIF('09_连续性验收'!$A$2:$A$501,'09_连续性验收'!A462)&gt;1),"ID重复；",""),"")</f>
        <v/>
      </c>
      <c r="G3962" s="14">
        <f>IF(F3962&lt;&gt;"","按字段批注、数据字典和来源记录修正后复核","")</f>
        <v/>
      </c>
      <c r="H3962" s="14">
        <f>IF(F3962&lt;&gt;"","待处理","")</f>
        <v/>
      </c>
    </row>
    <row r="3963">
      <c r="A3963" s="14">
        <f>IF(F3963&lt;&gt;"","ISSUE-"&amp;TEXT(ROW()-1,"00000"),"")</f>
        <v/>
      </c>
      <c r="B3963" s="14">
        <f>IF(F3963&lt;&gt;"","错误","")</f>
        <v/>
      </c>
      <c r="C3963" s="14">
        <f>IF('09_连续性验收'!A463&lt;&gt;"","09_连续性验收","")</f>
        <v/>
      </c>
      <c r="D3963" s="14">
        <f>IF('09_连续性验收'!A463&lt;&gt;"",'09_连续性验收'!A463,"")</f>
        <v/>
      </c>
      <c r="E3963" s="14">
        <f>IF(F3963&lt;&gt;"","综合校验","")</f>
        <v/>
      </c>
      <c r="F3963" s="14">
        <f>IF('09_连续性验收'!A463&lt;&gt;"",IF('09_连续性验收'!A463="","缺少验收ID；","")&amp;IF('09_连续性验收'!B463="","缺少对象ID；","")&amp;IF('09_连续性验收'!C463="","缺少检查类型；","")&amp;IF(AND('09_连续性验收'!J463&lt;&gt;"",'09_连续性验收'!K463&lt;&gt;"",'09_连续性验收'!J463&gt;'09_连续性验收'!K463),"坐标偏差超标；","")&amp;IF(AND('09_连续性验收'!B463&lt;&gt;"",COUNTIF('02_固定地理'!$A$2:$A$501,'09_连续性验收'!B463)+COUNTIF('03_地点锚点'!$A$2:$A$501,'09_连续性验收'!B463)+COUNTIF('04_路径网络'!$A$2:$A$501,'09_连续性验收'!B463)+COUNTIF('06_建筑锚点'!$A$2:$A$501,'09_连续性验收'!B463)=0),"验收对象不存在；","")&amp;IF(AND('09_连续性验收'!A463&lt;&gt;"",COUNTIF('09_连续性验收'!$A$2:$A$501,'09_连续性验收'!A463)&gt;1),"ID重复；",""),"")</f>
        <v/>
      </c>
      <c r="G3963" s="14">
        <f>IF(F3963&lt;&gt;"","按字段批注、数据字典和来源记录修正后复核","")</f>
        <v/>
      </c>
      <c r="H3963" s="14">
        <f>IF(F3963&lt;&gt;"","待处理","")</f>
        <v/>
      </c>
    </row>
    <row r="3964">
      <c r="A3964" s="14">
        <f>IF(F3964&lt;&gt;"","ISSUE-"&amp;TEXT(ROW()-1,"00000"),"")</f>
        <v/>
      </c>
      <c r="B3964" s="14">
        <f>IF(F3964&lt;&gt;"","错误","")</f>
        <v/>
      </c>
      <c r="C3964" s="14">
        <f>IF('09_连续性验收'!A464&lt;&gt;"","09_连续性验收","")</f>
        <v/>
      </c>
      <c r="D3964" s="14">
        <f>IF('09_连续性验收'!A464&lt;&gt;"",'09_连续性验收'!A464,"")</f>
        <v/>
      </c>
      <c r="E3964" s="14">
        <f>IF(F3964&lt;&gt;"","综合校验","")</f>
        <v/>
      </c>
      <c r="F3964" s="14">
        <f>IF('09_连续性验收'!A464&lt;&gt;"",IF('09_连续性验收'!A464="","缺少验收ID；","")&amp;IF('09_连续性验收'!B464="","缺少对象ID；","")&amp;IF('09_连续性验收'!C464="","缺少检查类型；","")&amp;IF(AND('09_连续性验收'!J464&lt;&gt;"",'09_连续性验收'!K464&lt;&gt;"",'09_连续性验收'!J464&gt;'09_连续性验收'!K464),"坐标偏差超标；","")&amp;IF(AND('09_连续性验收'!B464&lt;&gt;"",COUNTIF('02_固定地理'!$A$2:$A$501,'09_连续性验收'!B464)+COUNTIF('03_地点锚点'!$A$2:$A$501,'09_连续性验收'!B464)+COUNTIF('04_路径网络'!$A$2:$A$501,'09_连续性验收'!B464)+COUNTIF('06_建筑锚点'!$A$2:$A$501,'09_连续性验收'!B464)=0),"验收对象不存在；","")&amp;IF(AND('09_连续性验收'!A464&lt;&gt;"",COUNTIF('09_连续性验收'!$A$2:$A$501,'09_连续性验收'!A464)&gt;1),"ID重复；",""),"")</f>
        <v/>
      </c>
      <c r="G3964" s="14">
        <f>IF(F3964&lt;&gt;"","按字段批注、数据字典和来源记录修正后复核","")</f>
        <v/>
      </c>
      <c r="H3964" s="14">
        <f>IF(F3964&lt;&gt;"","待处理","")</f>
        <v/>
      </c>
    </row>
    <row r="3965">
      <c r="A3965" s="14">
        <f>IF(F3965&lt;&gt;"","ISSUE-"&amp;TEXT(ROW()-1,"00000"),"")</f>
        <v/>
      </c>
      <c r="B3965" s="14">
        <f>IF(F3965&lt;&gt;"","错误","")</f>
        <v/>
      </c>
      <c r="C3965" s="14">
        <f>IF('09_连续性验收'!A465&lt;&gt;"","09_连续性验收","")</f>
        <v/>
      </c>
      <c r="D3965" s="14">
        <f>IF('09_连续性验收'!A465&lt;&gt;"",'09_连续性验收'!A465,"")</f>
        <v/>
      </c>
      <c r="E3965" s="14">
        <f>IF(F3965&lt;&gt;"","综合校验","")</f>
        <v/>
      </c>
      <c r="F3965" s="14">
        <f>IF('09_连续性验收'!A465&lt;&gt;"",IF('09_连续性验收'!A465="","缺少验收ID；","")&amp;IF('09_连续性验收'!B465="","缺少对象ID；","")&amp;IF('09_连续性验收'!C465="","缺少检查类型；","")&amp;IF(AND('09_连续性验收'!J465&lt;&gt;"",'09_连续性验收'!K465&lt;&gt;"",'09_连续性验收'!J465&gt;'09_连续性验收'!K465),"坐标偏差超标；","")&amp;IF(AND('09_连续性验收'!B465&lt;&gt;"",COUNTIF('02_固定地理'!$A$2:$A$501,'09_连续性验收'!B465)+COUNTIF('03_地点锚点'!$A$2:$A$501,'09_连续性验收'!B465)+COUNTIF('04_路径网络'!$A$2:$A$501,'09_连续性验收'!B465)+COUNTIF('06_建筑锚点'!$A$2:$A$501,'09_连续性验收'!B465)=0),"验收对象不存在；","")&amp;IF(AND('09_连续性验收'!A465&lt;&gt;"",COUNTIF('09_连续性验收'!$A$2:$A$501,'09_连续性验收'!A465)&gt;1),"ID重复；",""),"")</f>
        <v/>
      </c>
      <c r="G3965" s="14">
        <f>IF(F3965&lt;&gt;"","按字段批注、数据字典和来源记录修正后复核","")</f>
        <v/>
      </c>
      <c r="H3965" s="14">
        <f>IF(F3965&lt;&gt;"","待处理","")</f>
        <v/>
      </c>
    </row>
    <row r="3966">
      <c r="A3966" s="14">
        <f>IF(F3966&lt;&gt;"","ISSUE-"&amp;TEXT(ROW()-1,"00000"),"")</f>
        <v/>
      </c>
      <c r="B3966" s="14">
        <f>IF(F3966&lt;&gt;"","错误","")</f>
        <v/>
      </c>
      <c r="C3966" s="14">
        <f>IF('09_连续性验收'!A466&lt;&gt;"","09_连续性验收","")</f>
        <v/>
      </c>
      <c r="D3966" s="14">
        <f>IF('09_连续性验收'!A466&lt;&gt;"",'09_连续性验收'!A466,"")</f>
        <v/>
      </c>
      <c r="E3966" s="14">
        <f>IF(F3966&lt;&gt;"","综合校验","")</f>
        <v/>
      </c>
      <c r="F3966" s="14">
        <f>IF('09_连续性验收'!A466&lt;&gt;"",IF('09_连续性验收'!A466="","缺少验收ID；","")&amp;IF('09_连续性验收'!B466="","缺少对象ID；","")&amp;IF('09_连续性验收'!C466="","缺少检查类型；","")&amp;IF(AND('09_连续性验收'!J466&lt;&gt;"",'09_连续性验收'!K466&lt;&gt;"",'09_连续性验收'!J466&gt;'09_连续性验收'!K466),"坐标偏差超标；","")&amp;IF(AND('09_连续性验收'!B466&lt;&gt;"",COUNTIF('02_固定地理'!$A$2:$A$501,'09_连续性验收'!B466)+COUNTIF('03_地点锚点'!$A$2:$A$501,'09_连续性验收'!B466)+COUNTIF('04_路径网络'!$A$2:$A$501,'09_连续性验收'!B466)+COUNTIF('06_建筑锚点'!$A$2:$A$501,'09_连续性验收'!B466)=0),"验收对象不存在；","")&amp;IF(AND('09_连续性验收'!A466&lt;&gt;"",COUNTIF('09_连续性验收'!$A$2:$A$501,'09_连续性验收'!A466)&gt;1),"ID重复；",""),"")</f>
        <v/>
      </c>
      <c r="G3966" s="14">
        <f>IF(F3966&lt;&gt;"","按字段批注、数据字典和来源记录修正后复核","")</f>
        <v/>
      </c>
      <c r="H3966" s="14">
        <f>IF(F3966&lt;&gt;"","待处理","")</f>
        <v/>
      </c>
    </row>
    <row r="3967">
      <c r="A3967" s="14">
        <f>IF(F3967&lt;&gt;"","ISSUE-"&amp;TEXT(ROW()-1,"00000"),"")</f>
        <v/>
      </c>
      <c r="B3967" s="14">
        <f>IF(F3967&lt;&gt;"","错误","")</f>
        <v/>
      </c>
      <c r="C3967" s="14">
        <f>IF('09_连续性验收'!A467&lt;&gt;"","09_连续性验收","")</f>
        <v/>
      </c>
      <c r="D3967" s="14">
        <f>IF('09_连续性验收'!A467&lt;&gt;"",'09_连续性验收'!A467,"")</f>
        <v/>
      </c>
      <c r="E3967" s="14">
        <f>IF(F3967&lt;&gt;"","综合校验","")</f>
        <v/>
      </c>
      <c r="F3967" s="14">
        <f>IF('09_连续性验收'!A467&lt;&gt;"",IF('09_连续性验收'!A467="","缺少验收ID；","")&amp;IF('09_连续性验收'!B467="","缺少对象ID；","")&amp;IF('09_连续性验收'!C467="","缺少检查类型；","")&amp;IF(AND('09_连续性验收'!J467&lt;&gt;"",'09_连续性验收'!K467&lt;&gt;"",'09_连续性验收'!J467&gt;'09_连续性验收'!K467),"坐标偏差超标；","")&amp;IF(AND('09_连续性验收'!B467&lt;&gt;"",COUNTIF('02_固定地理'!$A$2:$A$501,'09_连续性验收'!B467)+COUNTIF('03_地点锚点'!$A$2:$A$501,'09_连续性验收'!B467)+COUNTIF('04_路径网络'!$A$2:$A$501,'09_连续性验收'!B467)+COUNTIF('06_建筑锚点'!$A$2:$A$501,'09_连续性验收'!B467)=0),"验收对象不存在；","")&amp;IF(AND('09_连续性验收'!A467&lt;&gt;"",COUNTIF('09_连续性验收'!$A$2:$A$501,'09_连续性验收'!A467)&gt;1),"ID重复；",""),"")</f>
        <v/>
      </c>
      <c r="G3967" s="14">
        <f>IF(F3967&lt;&gt;"","按字段批注、数据字典和来源记录修正后复核","")</f>
        <v/>
      </c>
      <c r="H3967" s="14">
        <f>IF(F3967&lt;&gt;"","待处理","")</f>
        <v/>
      </c>
    </row>
    <row r="3968">
      <c r="A3968" s="14">
        <f>IF(F3968&lt;&gt;"","ISSUE-"&amp;TEXT(ROW()-1,"00000"),"")</f>
        <v/>
      </c>
      <c r="B3968" s="14">
        <f>IF(F3968&lt;&gt;"","错误","")</f>
        <v/>
      </c>
      <c r="C3968" s="14">
        <f>IF('09_连续性验收'!A468&lt;&gt;"","09_连续性验收","")</f>
        <v/>
      </c>
      <c r="D3968" s="14">
        <f>IF('09_连续性验收'!A468&lt;&gt;"",'09_连续性验收'!A468,"")</f>
        <v/>
      </c>
      <c r="E3968" s="14">
        <f>IF(F3968&lt;&gt;"","综合校验","")</f>
        <v/>
      </c>
      <c r="F3968" s="14">
        <f>IF('09_连续性验收'!A468&lt;&gt;"",IF('09_连续性验收'!A468="","缺少验收ID；","")&amp;IF('09_连续性验收'!B468="","缺少对象ID；","")&amp;IF('09_连续性验收'!C468="","缺少检查类型；","")&amp;IF(AND('09_连续性验收'!J468&lt;&gt;"",'09_连续性验收'!K468&lt;&gt;"",'09_连续性验收'!J468&gt;'09_连续性验收'!K468),"坐标偏差超标；","")&amp;IF(AND('09_连续性验收'!B468&lt;&gt;"",COUNTIF('02_固定地理'!$A$2:$A$501,'09_连续性验收'!B468)+COUNTIF('03_地点锚点'!$A$2:$A$501,'09_连续性验收'!B468)+COUNTIF('04_路径网络'!$A$2:$A$501,'09_连续性验收'!B468)+COUNTIF('06_建筑锚点'!$A$2:$A$501,'09_连续性验收'!B468)=0),"验收对象不存在；","")&amp;IF(AND('09_连续性验收'!A468&lt;&gt;"",COUNTIF('09_连续性验收'!$A$2:$A$501,'09_连续性验收'!A468)&gt;1),"ID重复；",""),"")</f>
        <v/>
      </c>
      <c r="G3968" s="14">
        <f>IF(F3968&lt;&gt;"","按字段批注、数据字典和来源记录修正后复核","")</f>
        <v/>
      </c>
      <c r="H3968" s="14">
        <f>IF(F3968&lt;&gt;"","待处理","")</f>
        <v/>
      </c>
    </row>
    <row r="3969">
      <c r="A3969" s="14">
        <f>IF(F3969&lt;&gt;"","ISSUE-"&amp;TEXT(ROW()-1,"00000"),"")</f>
        <v/>
      </c>
      <c r="B3969" s="14">
        <f>IF(F3969&lt;&gt;"","错误","")</f>
        <v/>
      </c>
      <c r="C3969" s="14">
        <f>IF('09_连续性验收'!A469&lt;&gt;"","09_连续性验收","")</f>
        <v/>
      </c>
      <c r="D3969" s="14">
        <f>IF('09_连续性验收'!A469&lt;&gt;"",'09_连续性验收'!A469,"")</f>
        <v/>
      </c>
      <c r="E3969" s="14">
        <f>IF(F3969&lt;&gt;"","综合校验","")</f>
        <v/>
      </c>
      <c r="F3969" s="14">
        <f>IF('09_连续性验收'!A469&lt;&gt;"",IF('09_连续性验收'!A469="","缺少验收ID；","")&amp;IF('09_连续性验收'!B469="","缺少对象ID；","")&amp;IF('09_连续性验收'!C469="","缺少检查类型；","")&amp;IF(AND('09_连续性验收'!J469&lt;&gt;"",'09_连续性验收'!K469&lt;&gt;"",'09_连续性验收'!J469&gt;'09_连续性验收'!K469),"坐标偏差超标；","")&amp;IF(AND('09_连续性验收'!B469&lt;&gt;"",COUNTIF('02_固定地理'!$A$2:$A$501,'09_连续性验收'!B469)+COUNTIF('03_地点锚点'!$A$2:$A$501,'09_连续性验收'!B469)+COUNTIF('04_路径网络'!$A$2:$A$501,'09_连续性验收'!B469)+COUNTIF('06_建筑锚点'!$A$2:$A$501,'09_连续性验收'!B469)=0),"验收对象不存在；","")&amp;IF(AND('09_连续性验收'!A469&lt;&gt;"",COUNTIF('09_连续性验收'!$A$2:$A$501,'09_连续性验收'!A469)&gt;1),"ID重复；",""),"")</f>
        <v/>
      </c>
      <c r="G3969" s="14">
        <f>IF(F3969&lt;&gt;"","按字段批注、数据字典和来源记录修正后复核","")</f>
        <v/>
      </c>
      <c r="H3969" s="14">
        <f>IF(F3969&lt;&gt;"","待处理","")</f>
        <v/>
      </c>
    </row>
    <row r="3970">
      <c r="A3970" s="14">
        <f>IF(F3970&lt;&gt;"","ISSUE-"&amp;TEXT(ROW()-1,"00000"),"")</f>
        <v/>
      </c>
      <c r="B3970" s="14">
        <f>IF(F3970&lt;&gt;"","错误","")</f>
        <v/>
      </c>
      <c r="C3970" s="14">
        <f>IF('09_连续性验收'!A470&lt;&gt;"","09_连续性验收","")</f>
        <v/>
      </c>
      <c r="D3970" s="14">
        <f>IF('09_连续性验收'!A470&lt;&gt;"",'09_连续性验收'!A470,"")</f>
        <v/>
      </c>
      <c r="E3970" s="14">
        <f>IF(F3970&lt;&gt;"","综合校验","")</f>
        <v/>
      </c>
      <c r="F3970" s="14">
        <f>IF('09_连续性验收'!A470&lt;&gt;"",IF('09_连续性验收'!A470="","缺少验收ID；","")&amp;IF('09_连续性验收'!B470="","缺少对象ID；","")&amp;IF('09_连续性验收'!C470="","缺少检查类型；","")&amp;IF(AND('09_连续性验收'!J470&lt;&gt;"",'09_连续性验收'!K470&lt;&gt;"",'09_连续性验收'!J470&gt;'09_连续性验收'!K470),"坐标偏差超标；","")&amp;IF(AND('09_连续性验收'!B470&lt;&gt;"",COUNTIF('02_固定地理'!$A$2:$A$501,'09_连续性验收'!B470)+COUNTIF('03_地点锚点'!$A$2:$A$501,'09_连续性验收'!B470)+COUNTIF('04_路径网络'!$A$2:$A$501,'09_连续性验收'!B470)+COUNTIF('06_建筑锚点'!$A$2:$A$501,'09_连续性验收'!B470)=0),"验收对象不存在；","")&amp;IF(AND('09_连续性验收'!A470&lt;&gt;"",COUNTIF('09_连续性验收'!$A$2:$A$501,'09_连续性验收'!A470)&gt;1),"ID重复；",""),"")</f>
        <v/>
      </c>
      <c r="G3970" s="14">
        <f>IF(F3970&lt;&gt;"","按字段批注、数据字典和来源记录修正后复核","")</f>
        <v/>
      </c>
      <c r="H3970" s="14">
        <f>IF(F3970&lt;&gt;"","待处理","")</f>
        <v/>
      </c>
    </row>
    <row r="3971">
      <c r="A3971" s="14">
        <f>IF(F3971&lt;&gt;"","ISSUE-"&amp;TEXT(ROW()-1,"00000"),"")</f>
        <v/>
      </c>
      <c r="B3971" s="14">
        <f>IF(F3971&lt;&gt;"","错误","")</f>
        <v/>
      </c>
      <c r="C3971" s="14">
        <f>IF('09_连续性验收'!A471&lt;&gt;"","09_连续性验收","")</f>
        <v/>
      </c>
      <c r="D3971" s="14">
        <f>IF('09_连续性验收'!A471&lt;&gt;"",'09_连续性验收'!A471,"")</f>
        <v/>
      </c>
      <c r="E3971" s="14">
        <f>IF(F3971&lt;&gt;"","综合校验","")</f>
        <v/>
      </c>
      <c r="F3971" s="14">
        <f>IF('09_连续性验收'!A471&lt;&gt;"",IF('09_连续性验收'!A471="","缺少验收ID；","")&amp;IF('09_连续性验收'!B471="","缺少对象ID；","")&amp;IF('09_连续性验收'!C471="","缺少检查类型；","")&amp;IF(AND('09_连续性验收'!J471&lt;&gt;"",'09_连续性验收'!K471&lt;&gt;"",'09_连续性验收'!J471&gt;'09_连续性验收'!K471),"坐标偏差超标；","")&amp;IF(AND('09_连续性验收'!B471&lt;&gt;"",COUNTIF('02_固定地理'!$A$2:$A$501,'09_连续性验收'!B471)+COUNTIF('03_地点锚点'!$A$2:$A$501,'09_连续性验收'!B471)+COUNTIF('04_路径网络'!$A$2:$A$501,'09_连续性验收'!B471)+COUNTIF('06_建筑锚点'!$A$2:$A$501,'09_连续性验收'!B471)=0),"验收对象不存在；","")&amp;IF(AND('09_连续性验收'!A471&lt;&gt;"",COUNTIF('09_连续性验收'!$A$2:$A$501,'09_连续性验收'!A471)&gt;1),"ID重复；",""),"")</f>
        <v/>
      </c>
      <c r="G3971" s="14">
        <f>IF(F3971&lt;&gt;"","按字段批注、数据字典和来源记录修正后复核","")</f>
        <v/>
      </c>
      <c r="H3971" s="14">
        <f>IF(F3971&lt;&gt;"","待处理","")</f>
        <v/>
      </c>
    </row>
    <row r="3972">
      <c r="A3972" s="14">
        <f>IF(F3972&lt;&gt;"","ISSUE-"&amp;TEXT(ROW()-1,"00000"),"")</f>
        <v/>
      </c>
      <c r="B3972" s="14">
        <f>IF(F3972&lt;&gt;"","错误","")</f>
        <v/>
      </c>
      <c r="C3972" s="14">
        <f>IF('09_连续性验收'!A472&lt;&gt;"","09_连续性验收","")</f>
        <v/>
      </c>
      <c r="D3972" s="14">
        <f>IF('09_连续性验收'!A472&lt;&gt;"",'09_连续性验收'!A472,"")</f>
        <v/>
      </c>
      <c r="E3972" s="14">
        <f>IF(F3972&lt;&gt;"","综合校验","")</f>
        <v/>
      </c>
      <c r="F3972" s="14">
        <f>IF('09_连续性验收'!A472&lt;&gt;"",IF('09_连续性验收'!A472="","缺少验收ID；","")&amp;IF('09_连续性验收'!B472="","缺少对象ID；","")&amp;IF('09_连续性验收'!C472="","缺少检查类型；","")&amp;IF(AND('09_连续性验收'!J472&lt;&gt;"",'09_连续性验收'!K472&lt;&gt;"",'09_连续性验收'!J472&gt;'09_连续性验收'!K472),"坐标偏差超标；","")&amp;IF(AND('09_连续性验收'!B472&lt;&gt;"",COUNTIF('02_固定地理'!$A$2:$A$501,'09_连续性验收'!B472)+COUNTIF('03_地点锚点'!$A$2:$A$501,'09_连续性验收'!B472)+COUNTIF('04_路径网络'!$A$2:$A$501,'09_连续性验收'!B472)+COUNTIF('06_建筑锚点'!$A$2:$A$501,'09_连续性验收'!B472)=0),"验收对象不存在；","")&amp;IF(AND('09_连续性验收'!A472&lt;&gt;"",COUNTIF('09_连续性验收'!$A$2:$A$501,'09_连续性验收'!A472)&gt;1),"ID重复；",""),"")</f>
        <v/>
      </c>
      <c r="G3972" s="14">
        <f>IF(F3972&lt;&gt;"","按字段批注、数据字典和来源记录修正后复核","")</f>
        <v/>
      </c>
      <c r="H3972" s="14">
        <f>IF(F3972&lt;&gt;"","待处理","")</f>
        <v/>
      </c>
    </row>
    <row r="3973">
      <c r="A3973" s="14">
        <f>IF(F3973&lt;&gt;"","ISSUE-"&amp;TEXT(ROW()-1,"00000"),"")</f>
        <v/>
      </c>
      <c r="B3973" s="14">
        <f>IF(F3973&lt;&gt;"","错误","")</f>
        <v/>
      </c>
      <c r="C3973" s="14">
        <f>IF('09_连续性验收'!A473&lt;&gt;"","09_连续性验收","")</f>
        <v/>
      </c>
      <c r="D3973" s="14">
        <f>IF('09_连续性验收'!A473&lt;&gt;"",'09_连续性验收'!A473,"")</f>
        <v/>
      </c>
      <c r="E3973" s="14">
        <f>IF(F3973&lt;&gt;"","综合校验","")</f>
        <v/>
      </c>
      <c r="F3973" s="14">
        <f>IF('09_连续性验收'!A473&lt;&gt;"",IF('09_连续性验收'!A473="","缺少验收ID；","")&amp;IF('09_连续性验收'!B473="","缺少对象ID；","")&amp;IF('09_连续性验收'!C473="","缺少检查类型；","")&amp;IF(AND('09_连续性验收'!J473&lt;&gt;"",'09_连续性验收'!K473&lt;&gt;"",'09_连续性验收'!J473&gt;'09_连续性验收'!K473),"坐标偏差超标；","")&amp;IF(AND('09_连续性验收'!B473&lt;&gt;"",COUNTIF('02_固定地理'!$A$2:$A$501,'09_连续性验收'!B473)+COUNTIF('03_地点锚点'!$A$2:$A$501,'09_连续性验收'!B473)+COUNTIF('04_路径网络'!$A$2:$A$501,'09_连续性验收'!B473)+COUNTIF('06_建筑锚点'!$A$2:$A$501,'09_连续性验收'!B473)=0),"验收对象不存在；","")&amp;IF(AND('09_连续性验收'!A473&lt;&gt;"",COUNTIF('09_连续性验收'!$A$2:$A$501,'09_连续性验收'!A473)&gt;1),"ID重复；",""),"")</f>
        <v/>
      </c>
      <c r="G3973" s="14">
        <f>IF(F3973&lt;&gt;"","按字段批注、数据字典和来源记录修正后复核","")</f>
        <v/>
      </c>
      <c r="H3973" s="14">
        <f>IF(F3973&lt;&gt;"","待处理","")</f>
        <v/>
      </c>
    </row>
    <row r="3974">
      <c r="A3974" s="14">
        <f>IF(F3974&lt;&gt;"","ISSUE-"&amp;TEXT(ROW()-1,"00000"),"")</f>
        <v/>
      </c>
      <c r="B3974" s="14">
        <f>IF(F3974&lt;&gt;"","错误","")</f>
        <v/>
      </c>
      <c r="C3974" s="14">
        <f>IF('09_连续性验收'!A474&lt;&gt;"","09_连续性验收","")</f>
        <v/>
      </c>
      <c r="D3974" s="14">
        <f>IF('09_连续性验收'!A474&lt;&gt;"",'09_连续性验收'!A474,"")</f>
        <v/>
      </c>
      <c r="E3974" s="14">
        <f>IF(F3974&lt;&gt;"","综合校验","")</f>
        <v/>
      </c>
      <c r="F3974" s="14">
        <f>IF('09_连续性验收'!A474&lt;&gt;"",IF('09_连续性验收'!A474="","缺少验收ID；","")&amp;IF('09_连续性验收'!B474="","缺少对象ID；","")&amp;IF('09_连续性验收'!C474="","缺少检查类型；","")&amp;IF(AND('09_连续性验收'!J474&lt;&gt;"",'09_连续性验收'!K474&lt;&gt;"",'09_连续性验收'!J474&gt;'09_连续性验收'!K474),"坐标偏差超标；","")&amp;IF(AND('09_连续性验收'!B474&lt;&gt;"",COUNTIF('02_固定地理'!$A$2:$A$501,'09_连续性验收'!B474)+COUNTIF('03_地点锚点'!$A$2:$A$501,'09_连续性验收'!B474)+COUNTIF('04_路径网络'!$A$2:$A$501,'09_连续性验收'!B474)+COUNTIF('06_建筑锚点'!$A$2:$A$501,'09_连续性验收'!B474)=0),"验收对象不存在；","")&amp;IF(AND('09_连续性验收'!A474&lt;&gt;"",COUNTIF('09_连续性验收'!$A$2:$A$501,'09_连续性验收'!A474)&gt;1),"ID重复；",""),"")</f>
        <v/>
      </c>
      <c r="G3974" s="14">
        <f>IF(F3974&lt;&gt;"","按字段批注、数据字典和来源记录修正后复核","")</f>
        <v/>
      </c>
      <c r="H3974" s="14">
        <f>IF(F3974&lt;&gt;"","待处理","")</f>
        <v/>
      </c>
    </row>
    <row r="3975">
      <c r="A3975" s="14">
        <f>IF(F3975&lt;&gt;"","ISSUE-"&amp;TEXT(ROW()-1,"00000"),"")</f>
        <v/>
      </c>
      <c r="B3975" s="14">
        <f>IF(F3975&lt;&gt;"","错误","")</f>
        <v/>
      </c>
      <c r="C3975" s="14">
        <f>IF('09_连续性验收'!A475&lt;&gt;"","09_连续性验收","")</f>
        <v/>
      </c>
      <c r="D3975" s="14">
        <f>IF('09_连续性验收'!A475&lt;&gt;"",'09_连续性验收'!A475,"")</f>
        <v/>
      </c>
      <c r="E3975" s="14">
        <f>IF(F3975&lt;&gt;"","综合校验","")</f>
        <v/>
      </c>
      <c r="F3975" s="14">
        <f>IF('09_连续性验收'!A475&lt;&gt;"",IF('09_连续性验收'!A475="","缺少验收ID；","")&amp;IF('09_连续性验收'!B475="","缺少对象ID；","")&amp;IF('09_连续性验收'!C475="","缺少检查类型；","")&amp;IF(AND('09_连续性验收'!J475&lt;&gt;"",'09_连续性验收'!K475&lt;&gt;"",'09_连续性验收'!J475&gt;'09_连续性验收'!K475),"坐标偏差超标；","")&amp;IF(AND('09_连续性验收'!B475&lt;&gt;"",COUNTIF('02_固定地理'!$A$2:$A$501,'09_连续性验收'!B475)+COUNTIF('03_地点锚点'!$A$2:$A$501,'09_连续性验收'!B475)+COUNTIF('04_路径网络'!$A$2:$A$501,'09_连续性验收'!B475)+COUNTIF('06_建筑锚点'!$A$2:$A$501,'09_连续性验收'!B475)=0),"验收对象不存在；","")&amp;IF(AND('09_连续性验收'!A475&lt;&gt;"",COUNTIF('09_连续性验收'!$A$2:$A$501,'09_连续性验收'!A475)&gt;1),"ID重复；",""),"")</f>
        <v/>
      </c>
      <c r="G3975" s="14">
        <f>IF(F3975&lt;&gt;"","按字段批注、数据字典和来源记录修正后复核","")</f>
        <v/>
      </c>
      <c r="H3975" s="14">
        <f>IF(F3975&lt;&gt;"","待处理","")</f>
        <v/>
      </c>
    </row>
    <row r="3976">
      <c r="A3976" s="14">
        <f>IF(F3976&lt;&gt;"","ISSUE-"&amp;TEXT(ROW()-1,"00000"),"")</f>
        <v/>
      </c>
      <c r="B3976" s="14">
        <f>IF(F3976&lt;&gt;"","错误","")</f>
        <v/>
      </c>
      <c r="C3976" s="14">
        <f>IF('09_连续性验收'!A476&lt;&gt;"","09_连续性验收","")</f>
        <v/>
      </c>
      <c r="D3976" s="14">
        <f>IF('09_连续性验收'!A476&lt;&gt;"",'09_连续性验收'!A476,"")</f>
        <v/>
      </c>
      <c r="E3976" s="14">
        <f>IF(F3976&lt;&gt;"","综合校验","")</f>
        <v/>
      </c>
      <c r="F3976" s="14">
        <f>IF('09_连续性验收'!A476&lt;&gt;"",IF('09_连续性验收'!A476="","缺少验收ID；","")&amp;IF('09_连续性验收'!B476="","缺少对象ID；","")&amp;IF('09_连续性验收'!C476="","缺少检查类型；","")&amp;IF(AND('09_连续性验收'!J476&lt;&gt;"",'09_连续性验收'!K476&lt;&gt;"",'09_连续性验收'!J476&gt;'09_连续性验收'!K476),"坐标偏差超标；","")&amp;IF(AND('09_连续性验收'!B476&lt;&gt;"",COUNTIF('02_固定地理'!$A$2:$A$501,'09_连续性验收'!B476)+COUNTIF('03_地点锚点'!$A$2:$A$501,'09_连续性验收'!B476)+COUNTIF('04_路径网络'!$A$2:$A$501,'09_连续性验收'!B476)+COUNTIF('06_建筑锚点'!$A$2:$A$501,'09_连续性验收'!B476)=0),"验收对象不存在；","")&amp;IF(AND('09_连续性验收'!A476&lt;&gt;"",COUNTIF('09_连续性验收'!$A$2:$A$501,'09_连续性验收'!A476)&gt;1),"ID重复；",""),"")</f>
        <v/>
      </c>
      <c r="G3976" s="14">
        <f>IF(F3976&lt;&gt;"","按字段批注、数据字典和来源记录修正后复核","")</f>
        <v/>
      </c>
      <c r="H3976" s="14">
        <f>IF(F3976&lt;&gt;"","待处理","")</f>
        <v/>
      </c>
    </row>
    <row r="3977">
      <c r="A3977" s="14">
        <f>IF(F3977&lt;&gt;"","ISSUE-"&amp;TEXT(ROW()-1,"00000"),"")</f>
        <v/>
      </c>
      <c r="B3977" s="14">
        <f>IF(F3977&lt;&gt;"","错误","")</f>
        <v/>
      </c>
      <c r="C3977" s="14">
        <f>IF('09_连续性验收'!A477&lt;&gt;"","09_连续性验收","")</f>
        <v/>
      </c>
      <c r="D3977" s="14">
        <f>IF('09_连续性验收'!A477&lt;&gt;"",'09_连续性验收'!A477,"")</f>
        <v/>
      </c>
      <c r="E3977" s="14">
        <f>IF(F3977&lt;&gt;"","综合校验","")</f>
        <v/>
      </c>
      <c r="F3977" s="14">
        <f>IF('09_连续性验收'!A477&lt;&gt;"",IF('09_连续性验收'!A477="","缺少验收ID；","")&amp;IF('09_连续性验收'!B477="","缺少对象ID；","")&amp;IF('09_连续性验收'!C477="","缺少检查类型；","")&amp;IF(AND('09_连续性验收'!J477&lt;&gt;"",'09_连续性验收'!K477&lt;&gt;"",'09_连续性验收'!J477&gt;'09_连续性验收'!K477),"坐标偏差超标；","")&amp;IF(AND('09_连续性验收'!B477&lt;&gt;"",COUNTIF('02_固定地理'!$A$2:$A$501,'09_连续性验收'!B477)+COUNTIF('03_地点锚点'!$A$2:$A$501,'09_连续性验收'!B477)+COUNTIF('04_路径网络'!$A$2:$A$501,'09_连续性验收'!B477)+COUNTIF('06_建筑锚点'!$A$2:$A$501,'09_连续性验收'!B477)=0),"验收对象不存在；","")&amp;IF(AND('09_连续性验收'!A477&lt;&gt;"",COUNTIF('09_连续性验收'!$A$2:$A$501,'09_连续性验收'!A477)&gt;1),"ID重复；",""),"")</f>
        <v/>
      </c>
      <c r="G3977" s="14">
        <f>IF(F3977&lt;&gt;"","按字段批注、数据字典和来源记录修正后复核","")</f>
        <v/>
      </c>
      <c r="H3977" s="14">
        <f>IF(F3977&lt;&gt;"","待处理","")</f>
        <v/>
      </c>
    </row>
    <row r="3978">
      <c r="A3978" s="14">
        <f>IF(F3978&lt;&gt;"","ISSUE-"&amp;TEXT(ROW()-1,"00000"),"")</f>
        <v/>
      </c>
      <c r="B3978" s="14">
        <f>IF(F3978&lt;&gt;"","错误","")</f>
        <v/>
      </c>
      <c r="C3978" s="14">
        <f>IF('09_连续性验收'!A478&lt;&gt;"","09_连续性验收","")</f>
        <v/>
      </c>
      <c r="D3978" s="14">
        <f>IF('09_连续性验收'!A478&lt;&gt;"",'09_连续性验收'!A478,"")</f>
        <v/>
      </c>
      <c r="E3978" s="14">
        <f>IF(F3978&lt;&gt;"","综合校验","")</f>
        <v/>
      </c>
      <c r="F3978" s="14">
        <f>IF('09_连续性验收'!A478&lt;&gt;"",IF('09_连续性验收'!A478="","缺少验收ID；","")&amp;IF('09_连续性验收'!B478="","缺少对象ID；","")&amp;IF('09_连续性验收'!C478="","缺少检查类型；","")&amp;IF(AND('09_连续性验收'!J478&lt;&gt;"",'09_连续性验收'!K478&lt;&gt;"",'09_连续性验收'!J478&gt;'09_连续性验收'!K478),"坐标偏差超标；","")&amp;IF(AND('09_连续性验收'!B478&lt;&gt;"",COUNTIF('02_固定地理'!$A$2:$A$501,'09_连续性验收'!B478)+COUNTIF('03_地点锚点'!$A$2:$A$501,'09_连续性验收'!B478)+COUNTIF('04_路径网络'!$A$2:$A$501,'09_连续性验收'!B478)+COUNTIF('06_建筑锚点'!$A$2:$A$501,'09_连续性验收'!B478)=0),"验收对象不存在；","")&amp;IF(AND('09_连续性验收'!A478&lt;&gt;"",COUNTIF('09_连续性验收'!$A$2:$A$501,'09_连续性验收'!A478)&gt;1),"ID重复；",""),"")</f>
        <v/>
      </c>
      <c r="G3978" s="14">
        <f>IF(F3978&lt;&gt;"","按字段批注、数据字典和来源记录修正后复核","")</f>
        <v/>
      </c>
      <c r="H3978" s="14">
        <f>IF(F3978&lt;&gt;"","待处理","")</f>
        <v/>
      </c>
    </row>
    <row r="3979">
      <c r="A3979" s="14">
        <f>IF(F3979&lt;&gt;"","ISSUE-"&amp;TEXT(ROW()-1,"00000"),"")</f>
        <v/>
      </c>
      <c r="B3979" s="14">
        <f>IF(F3979&lt;&gt;"","错误","")</f>
        <v/>
      </c>
      <c r="C3979" s="14">
        <f>IF('09_连续性验收'!A479&lt;&gt;"","09_连续性验收","")</f>
        <v/>
      </c>
      <c r="D3979" s="14">
        <f>IF('09_连续性验收'!A479&lt;&gt;"",'09_连续性验收'!A479,"")</f>
        <v/>
      </c>
      <c r="E3979" s="14">
        <f>IF(F3979&lt;&gt;"","综合校验","")</f>
        <v/>
      </c>
      <c r="F3979" s="14">
        <f>IF('09_连续性验收'!A479&lt;&gt;"",IF('09_连续性验收'!A479="","缺少验收ID；","")&amp;IF('09_连续性验收'!B479="","缺少对象ID；","")&amp;IF('09_连续性验收'!C479="","缺少检查类型；","")&amp;IF(AND('09_连续性验收'!J479&lt;&gt;"",'09_连续性验收'!K479&lt;&gt;"",'09_连续性验收'!J479&gt;'09_连续性验收'!K479),"坐标偏差超标；","")&amp;IF(AND('09_连续性验收'!B479&lt;&gt;"",COUNTIF('02_固定地理'!$A$2:$A$501,'09_连续性验收'!B479)+COUNTIF('03_地点锚点'!$A$2:$A$501,'09_连续性验收'!B479)+COUNTIF('04_路径网络'!$A$2:$A$501,'09_连续性验收'!B479)+COUNTIF('06_建筑锚点'!$A$2:$A$501,'09_连续性验收'!B479)=0),"验收对象不存在；","")&amp;IF(AND('09_连续性验收'!A479&lt;&gt;"",COUNTIF('09_连续性验收'!$A$2:$A$501,'09_连续性验收'!A479)&gt;1),"ID重复；",""),"")</f>
        <v/>
      </c>
      <c r="G3979" s="14">
        <f>IF(F3979&lt;&gt;"","按字段批注、数据字典和来源记录修正后复核","")</f>
        <v/>
      </c>
      <c r="H3979" s="14">
        <f>IF(F3979&lt;&gt;"","待处理","")</f>
        <v/>
      </c>
    </row>
    <row r="3980">
      <c r="A3980" s="14">
        <f>IF(F3980&lt;&gt;"","ISSUE-"&amp;TEXT(ROW()-1,"00000"),"")</f>
        <v/>
      </c>
      <c r="B3980" s="14">
        <f>IF(F3980&lt;&gt;"","错误","")</f>
        <v/>
      </c>
      <c r="C3980" s="14">
        <f>IF('09_连续性验收'!A480&lt;&gt;"","09_连续性验收","")</f>
        <v/>
      </c>
      <c r="D3980" s="14">
        <f>IF('09_连续性验收'!A480&lt;&gt;"",'09_连续性验收'!A480,"")</f>
        <v/>
      </c>
      <c r="E3980" s="14">
        <f>IF(F3980&lt;&gt;"","综合校验","")</f>
        <v/>
      </c>
      <c r="F3980" s="14">
        <f>IF('09_连续性验收'!A480&lt;&gt;"",IF('09_连续性验收'!A480="","缺少验收ID；","")&amp;IF('09_连续性验收'!B480="","缺少对象ID；","")&amp;IF('09_连续性验收'!C480="","缺少检查类型；","")&amp;IF(AND('09_连续性验收'!J480&lt;&gt;"",'09_连续性验收'!K480&lt;&gt;"",'09_连续性验收'!J480&gt;'09_连续性验收'!K480),"坐标偏差超标；","")&amp;IF(AND('09_连续性验收'!B480&lt;&gt;"",COUNTIF('02_固定地理'!$A$2:$A$501,'09_连续性验收'!B480)+COUNTIF('03_地点锚点'!$A$2:$A$501,'09_连续性验收'!B480)+COUNTIF('04_路径网络'!$A$2:$A$501,'09_连续性验收'!B480)+COUNTIF('06_建筑锚点'!$A$2:$A$501,'09_连续性验收'!B480)=0),"验收对象不存在；","")&amp;IF(AND('09_连续性验收'!A480&lt;&gt;"",COUNTIF('09_连续性验收'!$A$2:$A$501,'09_连续性验收'!A480)&gt;1),"ID重复；",""),"")</f>
        <v/>
      </c>
      <c r="G3980" s="14">
        <f>IF(F3980&lt;&gt;"","按字段批注、数据字典和来源记录修正后复核","")</f>
        <v/>
      </c>
      <c r="H3980" s="14">
        <f>IF(F3980&lt;&gt;"","待处理","")</f>
        <v/>
      </c>
    </row>
    <row r="3981">
      <c r="A3981" s="14">
        <f>IF(F3981&lt;&gt;"","ISSUE-"&amp;TEXT(ROW()-1,"00000"),"")</f>
        <v/>
      </c>
      <c r="B3981" s="14">
        <f>IF(F3981&lt;&gt;"","错误","")</f>
        <v/>
      </c>
      <c r="C3981" s="14">
        <f>IF('09_连续性验收'!A481&lt;&gt;"","09_连续性验收","")</f>
        <v/>
      </c>
      <c r="D3981" s="14">
        <f>IF('09_连续性验收'!A481&lt;&gt;"",'09_连续性验收'!A481,"")</f>
        <v/>
      </c>
      <c r="E3981" s="14">
        <f>IF(F3981&lt;&gt;"","综合校验","")</f>
        <v/>
      </c>
      <c r="F3981" s="14">
        <f>IF('09_连续性验收'!A481&lt;&gt;"",IF('09_连续性验收'!A481="","缺少验收ID；","")&amp;IF('09_连续性验收'!B481="","缺少对象ID；","")&amp;IF('09_连续性验收'!C481="","缺少检查类型；","")&amp;IF(AND('09_连续性验收'!J481&lt;&gt;"",'09_连续性验收'!K481&lt;&gt;"",'09_连续性验收'!J481&gt;'09_连续性验收'!K481),"坐标偏差超标；","")&amp;IF(AND('09_连续性验收'!B481&lt;&gt;"",COUNTIF('02_固定地理'!$A$2:$A$501,'09_连续性验收'!B481)+COUNTIF('03_地点锚点'!$A$2:$A$501,'09_连续性验收'!B481)+COUNTIF('04_路径网络'!$A$2:$A$501,'09_连续性验收'!B481)+COUNTIF('06_建筑锚点'!$A$2:$A$501,'09_连续性验收'!B481)=0),"验收对象不存在；","")&amp;IF(AND('09_连续性验收'!A481&lt;&gt;"",COUNTIF('09_连续性验收'!$A$2:$A$501,'09_连续性验收'!A481)&gt;1),"ID重复；",""),"")</f>
        <v/>
      </c>
      <c r="G3981" s="14">
        <f>IF(F3981&lt;&gt;"","按字段批注、数据字典和来源记录修正后复核","")</f>
        <v/>
      </c>
      <c r="H3981" s="14">
        <f>IF(F3981&lt;&gt;"","待处理","")</f>
        <v/>
      </c>
    </row>
    <row r="3982">
      <c r="A3982" s="14">
        <f>IF(F3982&lt;&gt;"","ISSUE-"&amp;TEXT(ROW()-1,"00000"),"")</f>
        <v/>
      </c>
      <c r="B3982" s="14">
        <f>IF(F3982&lt;&gt;"","错误","")</f>
        <v/>
      </c>
      <c r="C3982" s="14">
        <f>IF('09_连续性验收'!A482&lt;&gt;"","09_连续性验收","")</f>
        <v/>
      </c>
      <c r="D3982" s="14">
        <f>IF('09_连续性验收'!A482&lt;&gt;"",'09_连续性验收'!A482,"")</f>
        <v/>
      </c>
      <c r="E3982" s="14">
        <f>IF(F3982&lt;&gt;"","综合校验","")</f>
        <v/>
      </c>
      <c r="F3982" s="14">
        <f>IF('09_连续性验收'!A482&lt;&gt;"",IF('09_连续性验收'!A482="","缺少验收ID；","")&amp;IF('09_连续性验收'!B482="","缺少对象ID；","")&amp;IF('09_连续性验收'!C482="","缺少检查类型；","")&amp;IF(AND('09_连续性验收'!J482&lt;&gt;"",'09_连续性验收'!K482&lt;&gt;"",'09_连续性验收'!J482&gt;'09_连续性验收'!K482),"坐标偏差超标；","")&amp;IF(AND('09_连续性验收'!B482&lt;&gt;"",COUNTIF('02_固定地理'!$A$2:$A$501,'09_连续性验收'!B482)+COUNTIF('03_地点锚点'!$A$2:$A$501,'09_连续性验收'!B482)+COUNTIF('04_路径网络'!$A$2:$A$501,'09_连续性验收'!B482)+COUNTIF('06_建筑锚点'!$A$2:$A$501,'09_连续性验收'!B482)=0),"验收对象不存在；","")&amp;IF(AND('09_连续性验收'!A482&lt;&gt;"",COUNTIF('09_连续性验收'!$A$2:$A$501,'09_连续性验收'!A482)&gt;1),"ID重复；",""),"")</f>
        <v/>
      </c>
      <c r="G3982" s="14">
        <f>IF(F3982&lt;&gt;"","按字段批注、数据字典和来源记录修正后复核","")</f>
        <v/>
      </c>
      <c r="H3982" s="14">
        <f>IF(F3982&lt;&gt;"","待处理","")</f>
        <v/>
      </c>
    </row>
    <row r="3983">
      <c r="A3983" s="14">
        <f>IF(F3983&lt;&gt;"","ISSUE-"&amp;TEXT(ROW()-1,"00000"),"")</f>
        <v/>
      </c>
      <c r="B3983" s="14">
        <f>IF(F3983&lt;&gt;"","错误","")</f>
        <v/>
      </c>
      <c r="C3983" s="14">
        <f>IF('09_连续性验收'!A483&lt;&gt;"","09_连续性验收","")</f>
        <v/>
      </c>
      <c r="D3983" s="14">
        <f>IF('09_连续性验收'!A483&lt;&gt;"",'09_连续性验收'!A483,"")</f>
        <v/>
      </c>
      <c r="E3983" s="14">
        <f>IF(F3983&lt;&gt;"","综合校验","")</f>
        <v/>
      </c>
      <c r="F3983" s="14">
        <f>IF('09_连续性验收'!A483&lt;&gt;"",IF('09_连续性验收'!A483="","缺少验收ID；","")&amp;IF('09_连续性验收'!B483="","缺少对象ID；","")&amp;IF('09_连续性验收'!C483="","缺少检查类型；","")&amp;IF(AND('09_连续性验收'!J483&lt;&gt;"",'09_连续性验收'!K483&lt;&gt;"",'09_连续性验收'!J483&gt;'09_连续性验收'!K483),"坐标偏差超标；","")&amp;IF(AND('09_连续性验收'!B483&lt;&gt;"",COUNTIF('02_固定地理'!$A$2:$A$501,'09_连续性验收'!B483)+COUNTIF('03_地点锚点'!$A$2:$A$501,'09_连续性验收'!B483)+COUNTIF('04_路径网络'!$A$2:$A$501,'09_连续性验收'!B483)+COUNTIF('06_建筑锚点'!$A$2:$A$501,'09_连续性验收'!B483)=0),"验收对象不存在；","")&amp;IF(AND('09_连续性验收'!A483&lt;&gt;"",COUNTIF('09_连续性验收'!$A$2:$A$501,'09_连续性验收'!A483)&gt;1),"ID重复；",""),"")</f>
        <v/>
      </c>
      <c r="G3983" s="14">
        <f>IF(F3983&lt;&gt;"","按字段批注、数据字典和来源记录修正后复核","")</f>
        <v/>
      </c>
      <c r="H3983" s="14">
        <f>IF(F3983&lt;&gt;"","待处理","")</f>
        <v/>
      </c>
    </row>
    <row r="3984">
      <c r="A3984" s="14">
        <f>IF(F3984&lt;&gt;"","ISSUE-"&amp;TEXT(ROW()-1,"00000"),"")</f>
        <v/>
      </c>
      <c r="B3984" s="14">
        <f>IF(F3984&lt;&gt;"","错误","")</f>
        <v/>
      </c>
      <c r="C3984" s="14">
        <f>IF('09_连续性验收'!A484&lt;&gt;"","09_连续性验收","")</f>
        <v/>
      </c>
      <c r="D3984" s="14">
        <f>IF('09_连续性验收'!A484&lt;&gt;"",'09_连续性验收'!A484,"")</f>
        <v/>
      </c>
      <c r="E3984" s="14">
        <f>IF(F3984&lt;&gt;"","综合校验","")</f>
        <v/>
      </c>
      <c r="F3984" s="14">
        <f>IF('09_连续性验收'!A484&lt;&gt;"",IF('09_连续性验收'!A484="","缺少验收ID；","")&amp;IF('09_连续性验收'!B484="","缺少对象ID；","")&amp;IF('09_连续性验收'!C484="","缺少检查类型；","")&amp;IF(AND('09_连续性验收'!J484&lt;&gt;"",'09_连续性验收'!K484&lt;&gt;"",'09_连续性验收'!J484&gt;'09_连续性验收'!K484),"坐标偏差超标；","")&amp;IF(AND('09_连续性验收'!B484&lt;&gt;"",COUNTIF('02_固定地理'!$A$2:$A$501,'09_连续性验收'!B484)+COUNTIF('03_地点锚点'!$A$2:$A$501,'09_连续性验收'!B484)+COUNTIF('04_路径网络'!$A$2:$A$501,'09_连续性验收'!B484)+COUNTIF('06_建筑锚点'!$A$2:$A$501,'09_连续性验收'!B484)=0),"验收对象不存在；","")&amp;IF(AND('09_连续性验收'!A484&lt;&gt;"",COUNTIF('09_连续性验收'!$A$2:$A$501,'09_连续性验收'!A484)&gt;1),"ID重复；",""),"")</f>
        <v/>
      </c>
      <c r="G3984" s="14">
        <f>IF(F3984&lt;&gt;"","按字段批注、数据字典和来源记录修正后复核","")</f>
        <v/>
      </c>
      <c r="H3984" s="14">
        <f>IF(F3984&lt;&gt;"","待处理","")</f>
        <v/>
      </c>
    </row>
    <row r="3985">
      <c r="A3985" s="14">
        <f>IF(F3985&lt;&gt;"","ISSUE-"&amp;TEXT(ROW()-1,"00000"),"")</f>
        <v/>
      </c>
      <c r="B3985" s="14">
        <f>IF(F3985&lt;&gt;"","错误","")</f>
        <v/>
      </c>
      <c r="C3985" s="14">
        <f>IF('09_连续性验收'!A485&lt;&gt;"","09_连续性验收","")</f>
        <v/>
      </c>
      <c r="D3985" s="14">
        <f>IF('09_连续性验收'!A485&lt;&gt;"",'09_连续性验收'!A485,"")</f>
        <v/>
      </c>
      <c r="E3985" s="14">
        <f>IF(F3985&lt;&gt;"","综合校验","")</f>
        <v/>
      </c>
      <c r="F3985" s="14">
        <f>IF('09_连续性验收'!A485&lt;&gt;"",IF('09_连续性验收'!A485="","缺少验收ID；","")&amp;IF('09_连续性验收'!B485="","缺少对象ID；","")&amp;IF('09_连续性验收'!C485="","缺少检查类型；","")&amp;IF(AND('09_连续性验收'!J485&lt;&gt;"",'09_连续性验收'!K485&lt;&gt;"",'09_连续性验收'!J485&gt;'09_连续性验收'!K485),"坐标偏差超标；","")&amp;IF(AND('09_连续性验收'!B485&lt;&gt;"",COUNTIF('02_固定地理'!$A$2:$A$501,'09_连续性验收'!B485)+COUNTIF('03_地点锚点'!$A$2:$A$501,'09_连续性验收'!B485)+COUNTIF('04_路径网络'!$A$2:$A$501,'09_连续性验收'!B485)+COUNTIF('06_建筑锚点'!$A$2:$A$501,'09_连续性验收'!B485)=0),"验收对象不存在；","")&amp;IF(AND('09_连续性验收'!A485&lt;&gt;"",COUNTIF('09_连续性验收'!$A$2:$A$501,'09_连续性验收'!A485)&gt;1),"ID重复；",""),"")</f>
        <v/>
      </c>
      <c r="G3985" s="14">
        <f>IF(F3985&lt;&gt;"","按字段批注、数据字典和来源记录修正后复核","")</f>
        <v/>
      </c>
      <c r="H3985" s="14">
        <f>IF(F3985&lt;&gt;"","待处理","")</f>
        <v/>
      </c>
    </row>
    <row r="3986">
      <c r="A3986" s="14">
        <f>IF(F3986&lt;&gt;"","ISSUE-"&amp;TEXT(ROW()-1,"00000"),"")</f>
        <v/>
      </c>
      <c r="B3986" s="14">
        <f>IF(F3986&lt;&gt;"","错误","")</f>
        <v/>
      </c>
      <c r="C3986" s="14">
        <f>IF('09_连续性验收'!A486&lt;&gt;"","09_连续性验收","")</f>
        <v/>
      </c>
      <c r="D3986" s="14">
        <f>IF('09_连续性验收'!A486&lt;&gt;"",'09_连续性验收'!A486,"")</f>
        <v/>
      </c>
      <c r="E3986" s="14">
        <f>IF(F3986&lt;&gt;"","综合校验","")</f>
        <v/>
      </c>
      <c r="F3986" s="14">
        <f>IF('09_连续性验收'!A486&lt;&gt;"",IF('09_连续性验收'!A486="","缺少验收ID；","")&amp;IF('09_连续性验收'!B486="","缺少对象ID；","")&amp;IF('09_连续性验收'!C486="","缺少检查类型；","")&amp;IF(AND('09_连续性验收'!J486&lt;&gt;"",'09_连续性验收'!K486&lt;&gt;"",'09_连续性验收'!J486&gt;'09_连续性验收'!K486),"坐标偏差超标；","")&amp;IF(AND('09_连续性验收'!B486&lt;&gt;"",COUNTIF('02_固定地理'!$A$2:$A$501,'09_连续性验收'!B486)+COUNTIF('03_地点锚点'!$A$2:$A$501,'09_连续性验收'!B486)+COUNTIF('04_路径网络'!$A$2:$A$501,'09_连续性验收'!B486)+COUNTIF('06_建筑锚点'!$A$2:$A$501,'09_连续性验收'!B486)=0),"验收对象不存在；","")&amp;IF(AND('09_连续性验收'!A486&lt;&gt;"",COUNTIF('09_连续性验收'!$A$2:$A$501,'09_连续性验收'!A486)&gt;1),"ID重复；",""),"")</f>
        <v/>
      </c>
      <c r="G3986" s="14">
        <f>IF(F3986&lt;&gt;"","按字段批注、数据字典和来源记录修正后复核","")</f>
        <v/>
      </c>
      <c r="H3986" s="14">
        <f>IF(F3986&lt;&gt;"","待处理","")</f>
        <v/>
      </c>
    </row>
    <row r="3987">
      <c r="A3987" s="14">
        <f>IF(F3987&lt;&gt;"","ISSUE-"&amp;TEXT(ROW()-1,"00000"),"")</f>
        <v/>
      </c>
      <c r="B3987" s="14">
        <f>IF(F3987&lt;&gt;"","错误","")</f>
        <v/>
      </c>
      <c r="C3987" s="14">
        <f>IF('09_连续性验收'!A487&lt;&gt;"","09_连续性验收","")</f>
        <v/>
      </c>
      <c r="D3987" s="14">
        <f>IF('09_连续性验收'!A487&lt;&gt;"",'09_连续性验收'!A487,"")</f>
        <v/>
      </c>
      <c r="E3987" s="14">
        <f>IF(F3987&lt;&gt;"","综合校验","")</f>
        <v/>
      </c>
      <c r="F3987" s="14">
        <f>IF('09_连续性验收'!A487&lt;&gt;"",IF('09_连续性验收'!A487="","缺少验收ID；","")&amp;IF('09_连续性验收'!B487="","缺少对象ID；","")&amp;IF('09_连续性验收'!C487="","缺少检查类型；","")&amp;IF(AND('09_连续性验收'!J487&lt;&gt;"",'09_连续性验收'!K487&lt;&gt;"",'09_连续性验收'!J487&gt;'09_连续性验收'!K487),"坐标偏差超标；","")&amp;IF(AND('09_连续性验收'!B487&lt;&gt;"",COUNTIF('02_固定地理'!$A$2:$A$501,'09_连续性验收'!B487)+COUNTIF('03_地点锚点'!$A$2:$A$501,'09_连续性验收'!B487)+COUNTIF('04_路径网络'!$A$2:$A$501,'09_连续性验收'!B487)+COUNTIF('06_建筑锚点'!$A$2:$A$501,'09_连续性验收'!B487)=0),"验收对象不存在；","")&amp;IF(AND('09_连续性验收'!A487&lt;&gt;"",COUNTIF('09_连续性验收'!$A$2:$A$501,'09_连续性验收'!A487)&gt;1),"ID重复；",""),"")</f>
        <v/>
      </c>
      <c r="G3987" s="14">
        <f>IF(F3987&lt;&gt;"","按字段批注、数据字典和来源记录修正后复核","")</f>
        <v/>
      </c>
      <c r="H3987" s="14">
        <f>IF(F3987&lt;&gt;"","待处理","")</f>
        <v/>
      </c>
    </row>
    <row r="3988">
      <c r="A3988" s="14">
        <f>IF(F3988&lt;&gt;"","ISSUE-"&amp;TEXT(ROW()-1,"00000"),"")</f>
        <v/>
      </c>
      <c r="B3988" s="14">
        <f>IF(F3988&lt;&gt;"","错误","")</f>
        <v/>
      </c>
      <c r="C3988" s="14">
        <f>IF('09_连续性验收'!A488&lt;&gt;"","09_连续性验收","")</f>
        <v/>
      </c>
      <c r="D3988" s="14">
        <f>IF('09_连续性验收'!A488&lt;&gt;"",'09_连续性验收'!A488,"")</f>
        <v/>
      </c>
      <c r="E3988" s="14">
        <f>IF(F3988&lt;&gt;"","综合校验","")</f>
        <v/>
      </c>
      <c r="F3988" s="14">
        <f>IF('09_连续性验收'!A488&lt;&gt;"",IF('09_连续性验收'!A488="","缺少验收ID；","")&amp;IF('09_连续性验收'!B488="","缺少对象ID；","")&amp;IF('09_连续性验收'!C488="","缺少检查类型；","")&amp;IF(AND('09_连续性验收'!J488&lt;&gt;"",'09_连续性验收'!K488&lt;&gt;"",'09_连续性验收'!J488&gt;'09_连续性验收'!K488),"坐标偏差超标；","")&amp;IF(AND('09_连续性验收'!B488&lt;&gt;"",COUNTIF('02_固定地理'!$A$2:$A$501,'09_连续性验收'!B488)+COUNTIF('03_地点锚点'!$A$2:$A$501,'09_连续性验收'!B488)+COUNTIF('04_路径网络'!$A$2:$A$501,'09_连续性验收'!B488)+COUNTIF('06_建筑锚点'!$A$2:$A$501,'09_连续性验收'!B488)=0),"验收对象不存在；","")&amp;IF(AND('09_连续性验收'!A488&lt;&gt;"",COUNTIF('09_连续性验收'!$A$2:$A$501,'09_连续性验收'!A488)&gt;1),"ID重复；",""),"")</f>
        <v/>
      </c>
      <c r="G3988" s="14">
        <f>IF(F3988&lt;&gt;"","按字段批注、数据字典和来源记录修正后复核","")</f>
        <v/>
      </c>
      <c r="H3988" s="14">
        <f>IF(F3988&lt;&gt;"","待处理","")</f>
        <v/>
      </c>
    </row>
    <row r="3989">
      <c r="A3989" s="14">
        <f>IF(F3989&lt;&gt;"","ISSUE-"&amp;TEXT(ROW()-1,"00000"),"")</f>
        <v/>
      </c>
      <c r="B3989" s="14">
        <f>IF(F3989&lt;&gt;"","错误","")</f>
        <v/>
      </c>
      <c r="C3989" s="14">
        <f>IF('09_连续性验收'!A489&lt;&gt;"","09_连续性验收","")</f>
        <v/>
      </c>
      <c r="D3989" s="14">
        <f>IF('09_连续性验收'!A489&lt;&gt;"",'09_连续性验收'!A489,"")</f>
        <v/>
      </c>
      <c r="E3989" s="14">
        <f>IF(F3989&lt;&gt;"","综合校验","")</f>
        <v/>
      </c>
      <c r="F3989" s="14">
        <f>IF('09_连续性验收'!A489&lt;&gt;"",IF('09_连续性验收'!A489="","缺少验收ID；","")&amp;IF('09_连续性验收'!B489="","缺少对象ID；","")&amp;IF('09_连续性验收'!C489="","缺少检查类型；","")&amp;IF(AND('09_连续性验收'!J489&lt;&gt;"",'09_连续性验收'!K489&lt;&gt;"",'09_连续性验收'!J489&gt;'09_连续性验收'!K489),"坐标偏差超标；","")&amp;IF(AND('09_连续性验收'!B489&lt;&gt;"",COUNTIF('02_固定地理'!$A$2:$A$501,'09_连续性验收'!B489)+COUNTIF('03_地点锚点'!$A$2:$A$501,'09_连续性验收'!B489)+COUNTIF('04_路径网络'!$A$2:$A$501,'09_连续性验收'!B489)+COUNTIF('06_建筑锚点'!$A$2:$A$501,'09_连续性验收'!B489)=0),"验收对象不存在；","")&amp;IF(AND('09_连续性验收'!A489&lt;&gt;"",COUNTIF('09_连续性验收'!$A$2:$A$501,'09_连续性验收'!A489)&gt;1),"ID重复；",""),"")</f>
        <v/>
      </c>
      <c r="G3989" s="14">
        <f>IF(F3989&lt;&gt;"","按字段批注、数据字典和来源记录修正后复核","")</f>
        <v/>
      </c>
      <c r="H3989" s="14">
        <f>IF(F3989&lt;&gt;"","待处理","")</f>
        <v/>
      </c>
    </row>
    <row r="3990">
      <c r="A3990" s="14">
        <f>IF(F3990&lt;&gt;"","ISSUE-"&amp;TEXT(ROW()-1,"00000"),"")</f>
        <v/>
      </c>
      <c r="B3990" s="14">
        <f>IF(F3990&lt;&gt;"","错误","")</f>
        <v/>
      </c>
      <c r="C3990" s="14">
        <f>IF('09_连续性验收'!A490&lt;&gt;"","09_连续性验收","")</f>
        <v/>
      </c>
      <c r="D3990" s="14">
        <f>IF('09_连续性验收'!A490&lt;&gt;"",'09_连续性验收'!A490,"")</f>
        <v/>
      </c>
      <c r="E3990" s="14">
        <f>IF(F3990&lt;&gt;"","综合校验","")</f>
        <v/>
      </c>
      <c r="F3990" s="14">
        <f>IF('09_连续性验收'!A490&lt;&gt;"",IF('09_连续性验收'!A490="","缺少验收ID；","")&amp;IF('09_连续性验收'!B490="","缺少对象ID；","")&amp;IF('09_连续性验收'!C490="","缺少检查类型；","")&amp;IF(AND('09_连续性验收'!J490&lt;&gt;"",'09_连续性验收'!K490&lt;&gt;"",'09_连续性验收'!J490&gt;'09_连续性验收'!K490),"坐标偏差超标；","")&amp;IF(AND('09_连续性验收'!B490&lt;&gt;"",COUNTIF('02_固定地理'!$A$2:$A$501,'09_连续性验收'!B490)+COUNTIF('03_地点锚点'!$A$2:$A$501,'09_连续性验收'!B490)+COUNTIF('04_路径网络'!$A$2:$A$501,'09_连续性验收'!B490)+COUNTIF('06_建筑锚点'!$A$2:$A$501,'09_连续性验收'!B490)=0),"验收对象不存在；","")&amp;IF(AND('09_连续性验收'!A490&lt;&gt;"",COUNTIF('09_连续性验收'!$A$2:$A$501,'09_连续性验收'!A490)&gt;1),"ID重复；",""),"")</f>
        <v/>
      </c>
      <c r="G3990" s="14">
        <f>IF(F3990&lt;&gt;"","按字段批注、数据字典和来源记录修正后复核","")</f>
        <v/>
      </c>
      <c r="H3990" s="14">
        <f>IF(F3990&lt;&gt;"","待处理","")</f>
        <v/>
      </c>
    </row>
    <row r="3991">
      <c r="A3991" s="14">
        <f>IF(F3991&lt;&gt;"","ISSUE-"&amp;TEXT(ROW()-1,"00000"),"")</f>
        <v/>
      </c>
      <c r="B3991" s="14">
        <f>IF(F3991&lt;&gt;"","错误","")</f>
        <v/>
      </c>
      <c r="C3991" s="14">
        <f>IF('09_连续性验收'!A491&lt;&gt;"","09_连续性验收","")</f>
        <v/>
      </c>
      <c r="D3991" s="14">
        <f>IF('09_连续性验收'!A491&lt;&gt;"",'09_连续性验收'!A491,"")</f>
        <v/>
      </c>
      <c r="E3991" s="14">
        <f>IF(F3991&lt;&gt;"","综合校验","")</f>
        <v/>
      </c>
      <c r="F3991" s="14">
        <f>IF('09_连续性验收'!A491&lt;&gt;"",IF('09_连续性验收'!A491="","缺少验收ID；","")&amp;IF('09_连续性验收'!B491="","缺少对象ID；","")&amp;IF('09_连续性验收'!C491="","缺少检查类型；","")&amp;IF(AND('09_连续性验收'!J491&lt;&gt;"",'09_连续性验收'!K491&lt;&gt;"",'09_连续性验收'!J491&gt;'09_连续性验收'!K491),"坐标偏差超标；","")&amp;IF(AND('09_连续性验收'!B491&lt;&gt;"",COUNTIF('02_固定地理'!$A$2:$A$501,'09_连续性验收'!B491)+COUNTIF('03_地点锚点'!$A$2:$A$501,'09_连续性验收'!B491)+COUNTIF('04_路径网络'!$A$2:$A$501,'09_连续性验收'!B491)+COUNTIF('06_建筑锚点'!$A$2:$A$501,'09_连续性验收'!B491)=0),"验收对象不存在；","")&amp;IF(AND('09_连续性验收'!A491&lt;&gt;"",COUNTIF('09_连续性验收'!$A$2:$A$501,'09_连续性验收'!A491)&gt;1),"ID重复；",""),"")</f>
        <v/>
      </c>
      <c r="G3991" s="14">
        <f>IF(F3991&lt;&gt;"","按字段批注、数据字典和来源记录修正后复核","")</f>
        <v/>
      </c>
      <c r="H3991" s="14">
        <f>IF(F3991&lt;&gt;"","待处理","")</f>
        <v/>
      </c>
    </row>
    <row r="3992">
      <c r="A3992" s="14">
        <f>IF(F3992&lt;&gt;"","ISSUE-"&amp;TEXT(ROW()-1,"00000"),"")</f>
        <v/>
      </c>
      <c r="B3992" s="14">
        <f>IF(F3992&lt;&gt;"","错误","")</f>
        <v/>
      </c>
      <c r="C3992" s="14">
        <f>IF('09_连续性验收'!A492&lt;&gt;"","09_连续性验收","")</f>
        <v/>
      </c>
      <c r="D3992" s="14">
        <f>IF('09_连续性验收'!A492&lt;&gt;"",'09_连续性验收'!A492,"")</f>
        <v/>
      </c>
      <c r="E3992" s="14">
        <f>IF(F3992&lt;&gt;"","综合校验","")</f>
        <v/>
      </c>
      <c r="F3992" s="14">
        <f>IF('09_连续性验收'!A492&lt;&gt;"",IF('09_连续性验收'!A492="","缺少验收ID；","")&amp;IF('09_连续性验收'!B492="","缺少对象ID；","")&amp;IF('09_连续性验收'!C492="","缺少检查类型；","")&amp;IF(AND('09_连续性验收'!J492&lt;&gt;"",'09_连续性验收'!K492&lt;&gt;"",'09_连续性验收'!J492&gt;'09_连续性验收'!K492),"坐标偏差超标；","")&amp;IF(AND('09_连续性验收'!B492&lt;&gt;"",COUNTIF('02_固定地理'!$A$2:$A$501,'09_连续性验收'!B492)+COUNTIF('03_地点锚点'!$A$2:$A$501,'09_连续性验收'!B492)+COUNTIF('04_路径网络'!$A$2:$A$501,'09_连续性验收'!B492)+COUNTIF('06_建筑锚点'!$A$2:$A$501,'09_连续性验收'!B492)=0),"验收对象不存在；","")&amp;IF(AND('09_连续性验收'!A492&lt;&gt;"",COUNTIF('09_连续性验收'!$A$2:$A$501,'09_连续性验收'!A492)&gt;1),"ID重复；",""),"")</f>
        <v/>
      </c>
      <c r="G3992" s="14">
        <f>IF(F3992&lt;&gt;"","按字段批注、数据字典和来源记录修正后复核","")</f>
        <v/>
      </c>
      <c r="H3992" s="14">
        <f>IF(F3992&lt;&gt;"","待处理","")</f>
        <v/>
      </c>
    </row>
    <row r="3993">
      <c r="A3993" s="14">
        <f>IF(F3993&lt;&gt;"","ISSUE-"&amp;TEXT(ROW()-1,"00000"),"")</f>
        <v/>
      </c>
      <c r="B3993" s="14">
        <f>IF(F3993&lt;&gt;"","错误","")</f>
        <v/>
      </c>
      <c r="C3993" s="14">
        <f>IF('09_连续性验收'!A493&lt;&gt;"","09_连续性验收","")</f>
        <v/>
      </c>
      <c r="D3993" s="14">
        <f>IF('09_连续性验收'!A493&lt;&gt;"",'09_连续性验收'!A493,"")</f>
        <v/>
      </c>
      <c r="E3993" s="14">
        <f>IF(F3993&lt;&gt;"","综合校验","")</f>
        <v/>
      </c>
      <c r="F3993" s="14">
        <f>IF('09_连续性验收'!A493&lt;&gt;"",IF('09_连续性验收'!A493="","缺少验收ID；","")&amp;IF('09_连续性验收'!B493="","缺少对象ID；","")&amp;IF('09_连续性验收'!C493="","缺少检查类型；","")&amp;IF(AND('09_连续性验收'!J493&lt;&gt;"",'09_连续性验收'!K493&lt;&gt;"",'09_连续性验收'!J493&gt;'09_连续性验收'!K493),"坐标偏差超标；","")&amp;IF(AND('09_连续性验收'!B493&lt;&gt;"",COUNTIF('02_固定地理'!$A$2:$A$501,'09_连续性验收'!B493)+COUNTIF('03_地点锚点'!$A$2:$A$501,'09_连续性验收'!B493)+COUNTIF('04_路径网络'!$A$2:$A$501,'09_连续性验收'!B493)+COUNTIF('06_建筑锚点'!$A$2:$A$501,'09_连续性验收'!B493)=0),"验收对象不存在；","")&amp;IF(AND('09_连续性验收'!A493&lt;&gt;"",COUNTIF('09_连续性验收'!$A$2:$A$501,'09_连续性验收'!A493)&gt;1),"ID重复；",""),"")</f>
        <v/>
      </c>
      <c r="G3993" s="14">
        <f>IF(F3993&lt;&gt;"","按字段批注、数据字典和来源记录修正后复核","")</f>
        <v/>
      </c>
      <c r="H3993" s="14">
        <f>IF(F3993&lt;&gt;"","待处理","")</f>
        <v/>
      </c>
    </row>
    <row r="3994">
      <c r="A3994" s="14">
        <f>IF(F3994&lt;&gt;"","ISSUE-"&amp;TEXT(ROW()-1,"00000"),"")</f>
        <v/>
      </c>
      <c r="B3994" s="14">
        <f>IF(F3994&lt;&gt;"","错误","")</f>
        <v/>
      </c>
      <c r="C3994" s="14">
        <f>IF('09_连续性验收'!A494&lt;&gt;"","09_连续性验收","")</f>
        <v/>
      </c>
      <c r="D3994" s="14">
        <f>IF('09_连续性验收'!A494&lt;&gt;"",'09_连续性验收'!A494,"")</f>
        <v/>
      </c>
      <c r="E3994" s="14">
        <f>IF(F3994&lt;&gt;"","综合校验","")</f>
        <v/>
      </c>
      <c r="F3994" s="14">
        <f>IF('09_连续性验收'!A494&lt;&gt;"",IF('09_连续性验收'!A494="","缺少验收ID；","")&amp;IF('09_连续性验收'!B494="","缺少对象ID；","")&amp;IF('09_连续性验收'!C494="","缺少检查类型；","")&amp;IF(AND('09_连续性验收'!J494&lt;&gt;"",'09_连续性验收'!K494&lt;&gt;"",'09_连续性验收'!J494&gt;'09_连续性验收'!K494),"坐标偏差超标；","")&amp;IF(AND('09_连续性验收'!B494&lt;&gt;"",COUNTIF('02_固定地理'!$A$2:$A$501,'09_连续性验收'!B494)+COUNTIF('03_地点锚点'!$A$2:$A$501,'09_连续性验收'!B494)+COUNTIF('04_路径网络'!$A$2:$A$501,'09_连续性验收'!B494)+COUNTIF('06_建筑锚点'!$A$2:$A$501,'09_连续性验收'!B494)=0),"验收对象不存在；","")&amp;IF(AND('09_连续性验收'!A494&lt;&gt;"",COUNTIF('09_连续性验收'!$A$2:$A$501,'09_连续性验收'!A494)&gt;1),"ID重复；",""),"")</f>
        <v/>
      </c>
      <c r="G3994" s="14">
        <f>IF(F3994&lt;&gt;"","按字段批注、数据字典和来源记录修正后复核","")</f>
        <v/>
      </c>
      <c r="H3994" s="14">
        <f>IF(F3994&lt;&gt;"","待处理","")</f>
        <v/>
      </c>
    </row>
    <row r="3995">
      <c r="A3995" s="14">
        <f>IF(F3995&lt;&gt;"","ISSUE-"&amp;TEXT(ROW()-1,"00000"),"")</f>
        <v/>
      </c>
      <c r="B3995" s="14">
        <f>IF(F3995&lt;&gt;"","错误","")</f>
        <v/>
      </c>
      <c r="C3995" s="14">
        <f>IF('09_连续性验收'!A495&lt;&gt;"","09_连续性验收","")</f>
        <v/>
      </c>
      <c r="D3995" s="14">
        <f>IF('09_连续性验收'!A495&lt;&gt;"",'09_连续性验收'!A495,"")</f>
        <v/>
      </c>
      <c r="E3995" s="14">
        <f>IF(F3995&lt;&gt;"","综合校验","")</f>
        <v/>
      </c>
      <c r="F3995" s="14">
        <f>IF('09_连续性验收'!A495&lt;&gt;"",IF('09_连续性验收'!A495="","缺少验收ID；","")&amp;IF('09_连续性验收'!B495="","缺少对象ID；","")&amp;IF('09_连续性验收'!C495="","缺少检查类型；","")&amp;IF(AND('09_连续性验收'!J495&lt;&gt;"",'09_连续性验收'!K495&lt;&gt;"",'09_连续性验收'!J495&gt;'09_连续性验收'!K495),"坐标偏差超标；","")&amp;IF(AND('09_连续性验收'!B495&lt;&gt;"",COUNTIF('02_固定地理'!$A$2:$A$501,'09_连续性验收'!B495)+COUNTIF('03_地点锚点'!$A$2:$A$501,'09_连续性验收'!B495)+COUNTIF('04_路径网络'!$A$2:$A$501,'09_连续性验收'!B495)+COUNTIF('06_建筑锚点'!$A$2:$A$501,'09_连续性验收'!B495)=0),"验收对象不存在；","")&amp;IF(AND('09_连续性验收'!A495&lt;&gt;"",COUNTIF('09_连续性验收'!$A$2:$A$501,'09_连续性验收'!A495)&gt;1),"ID重复；",""),"")</f>
        <v/>
      </c>
      <c r="G3995" s="14">
        <f>IF(F3995&lt;&gt;"","按字段批注、数据字典和来源记录修正后复核","")</f>
        <v/>
      </c>
      <c r="H3995" s="14">
        <f>IF(F3995&lt;&gt;"","待处理","")</f>
        <v/>
      </c>
    </row>
    <row r="3996">
      <c r="A3996" s="14">
        <f>IF(F3996&lt;&gt;"","ISSUE-"&amp;TEXT(ROW()-1,"00000"),"")</f>
        <v/>
      </c>
      <c r="B3996" s="14">
        <f>IF(F3996&lt;&gt;"","错误","")</f>
        <v/>
      </c>
      <c r="C3996" s="14">
        <f>IF('09_连续性验收'!A496&lt;&gt;"","09_连续性验收","")</f>
        <v/>
      </c>
      <c r="D3996" s="14">
        <f>IF('09_连续性验收'!A496&lt;&gt;"",'09_连续性验收'!A496,"")</f>
        <v/>
      </c>
      <c r="E3996" s="14">
        <f>IF(F3996&lt;&gt;"","综合校验","")</f>
        <v/>
      </c>
      <c r="F3996" s="14">
        <f>IF('09_连续性验收'!A496&lt;&gt;"",IF('09_连续性验收'!A496="","缺少验收ID；","")&amp;IF('09_连续性验收'!B496="","缺少对象ID；","")&amp;IF('09_连续性验收'!C496="","缺少检查类型；","")&amp;IF(AND('09_连续性验收'!J496&lt;&gt;"",'09_连续性验收'!K496&lt;&gt;"",'09_连续性验收'!J496&gt;'09_连续性验收'!K496),"坐标偏差超标；","")&amp;IF(AND('09_连续性验收'!B496&lt;&gt;"",COUNTIF('02_固定地理'!$A$2:$A$501,'09_连续性验收'!B496)+COUNTIF('03_地点锚点'!$A$2:$A$501,'09_连续性验收'!B496)+COUNTIF('04_路径网络'!$A$2:$A$501,'09_连续性验收'!B496)+COUNTIF('06_建筑锚点'!$A$2:$A$501,'09_连续性验收'!B496)=0),"验收对象不存在；","")&amp;IF(AND('09_连续性验收'!A496&lt;&gt;"",COUNTIF('09_连续性验收'!$A$2:$A$501,'09_连续性验收'!A496)&gt;1),"ID重复；",""),"")</f>
        <v/>
      </c>
      <c r="G3996" s="14">
        <f>IF(F3996&lt;&gt;"","按字段批注、数据字典和来源记录修正后复核","")</f>
        <v/>
      </c>
      <c r="H3996" s="14">
        <f>IF(F3996&lt;&gt;"","待处理","")</f>
        <v/>
      </c>
    </row>
    <row r="3997">
      <c r="A3997" s="14">
        <f>IF(F3997&lt;&gt;"","ISSUE-"&amp;TEXT(ROW()-1,"00000"),"")</f>
        <v/>
      </c>
      <c r="B3997" s="14">
        <f>IF(F3997&lt;&gt;"","错误","")</f>
        <v/>
      </c>
      <c r="C3997" s="14">
        <f>IF('09_连续性验收'!A497&lt;&gt;"","09_连续性验收","")</f>
        <v/>
      </c>
      <c r="D3997" s="14">
        <f>IF('09_连续性验收'!A497&lt;&gt;"",'09_连续性验收'!A497,"")</f>
        <v/>
      </c>
      <c r="E3997" s="14">
        <f>IF(F3997&lt;&gt;"","综合校验","")</f>
        <v/>
      </c>
      <c r="F3997" s="14">
        <f>IF('09_连续性验收'!A497&lt;&gt;"",IF('09_连续性验收'!A497="","缺少验收ID；","")&amp;IF('09_连续性验收'!B497="","缺少对象ID；","")&amp;IF('09_连续性验收'!C497="","缺少检查类型；","")&amp;IF(AND('09_连续性验收'!J497&lt;&gt;"",'09_连续性验收'!K497&lt;&gt;"",'09_连续性验收'!J497&gt;'09_连续性验收'!K497),"坐标偏差超标；","")&amp;IF(AND('09_连续性验收'!B497&lt;&gt;"",COUNTIF('02_固定地理'!$A$2:$A$501,'09_连续性验收'!B497)+COUNTIF('03_地点锚点'!$A$2:$A$501,'09_连续性验收'!B497)+COUNTIF('04_路径网络'!$A$2:$A$501,'09_连续性验收'!B497)+COUNTIF('06_建筑锚点'!$A$2:$A$501,'09_连续性验收'!B497)=0),"验收对象不存在；","")&amp;IF(AND('09_连续性验收'!A497&lt;&gt;"",COUNTIF('09_连续性验收'!$A$2:$A$501,'09_连续性验收'!A497)&gt;1),"ID重复；",""),"")</f>
        <v/>
      </c>
      <c r="G3997" s="14">
        <f>IF(F3997&lt;&gt;"","按字段批注、数据字典和来源记录修正后复核","")</f>
        <v/>
      </c>
      <c r="H3997" s="14">
        <f>IF(F3997&lt;&gt;"","待处理","")</f>
        <v/>
      </c>
    </row>
    <row r="3998">
      <c r="A3998" s="14">
        <f>IF(F3998&lt;&gt;"","ISSUE-"&amp;TEXT(ROW()-1,"00000"),"")</f>
        <v/>
      </c>
      <c r="B3998" s="14">
        <f>IF(F3998&lt;&gt;"","错误","")</f>
        <v/>
      </c>
      <c r="C3998" s="14">
        <f>IF('09_连续性验收'!A498&lt;&gt;"","09_连续性验收","")</f>
        <v/>
      </c>
      <c r="D3998" s="14">
        <f>IF('09_连续性验收'!A498&lt;&gt;"",'09_连续性验收'!A498,"")</f>
        <v/>
      </c>
      <c r="E3998" s="14">
        <f>IF(F3998&lt;&gt;"","综合校验","")</f>
        <v/>
      </c>
      <c r="F3998" s="14">
        <f>IF('09_连续性验收'!A498&lt;&gt;"",IF('09_连续性验收'!A498="","缺少验收ID；","")&amp;IF('09_连续性验收'!B498="","缺少对象ID；","")&amp;IF('09_连续性验收'!C498="","缺少检查类型；","")&amp;IF(AND('09_连续性验收'!J498&lt;&gt;"",'09_连续性验收'!K498&lt;&gt;"",'09_连续性验收'!J498&gt;'09_连续性验收'!K498),"坐标偏差超标；","")&amp;IF(AND('09_连续性验收'!B498&lt;&gt;"",COUNTIF('02_固定地理'!$A$2:$A$501,'09_连续性验收'!B498)+COUNTIF('03_地点锚点'!$A$2:$A$501,'09_连续性验收'!B498)+COUNTIF('04_路径网络'!$A$2:$A$501,'09_连续性验收'!B498)+COUNTIF('06_建筑锚点'!$A$2:$A$501,'09_连续性验收'!B498)=0),"验收对象不存在；","")&amp;IF(AND('09_连续性验收'!A498&lt;&gt;"",COUNTIF('09_连续性验收'!$A$2:$A$501,'09_连续性验收'!A498)&gt;1),"ID重复；",""),"")</f>
        <v/>
      </c>
      <c r="G3998" s="14">
        <f>IF(F3998&lt;&gt;"","按字段批注、数据字典和来源记录修正后复核","")</f>
        <v/>
      </c>
      <c r="H3998" s="14">
        <f>IF(F3998&lt;&gt;"","待处理","")</f>
        <v/>
      </c>
    </row>
    <row r="3999">
      <c r="A3999" s="14">
        <f>IF(F3999&lt;&gt;"","ISSUE-"&amp;TEXT(ROW()-1,"00000"),"")</f>
        <v/>
      </c>
      <c r="B3999" s="14">
        <f>IF(F3999&lt;&gt;"","错误","")</f>
        <v/>
      </c>
      <c r="C3999" s="14">
        <f>IF('09_连续性验收'!A499&lt;&gt;"","09_连续性验收","")</f>
        <v/>
      </c>
      <c r="D3999" s="14">
        <f>IF('09_连续性验收'!A499&lt;&gt;"",'09_连续性验收'!A499,"")</f>
        <v/>
      </c>
      <c r="E3999" s="14">
        <f>IF(F3999&lt;&gt;"","综合校验","")</f>
        <v/>
      </c>
      <c r="F3999" s="14">
        <f>IF('09_连续性验收'!A499&lt;&gt;"",IF('09_连续性验收'!A499="","缺少验收ID；","")&amp;IF('09_连续性验收'!B499="","缺少对象ID；","")&amp;IF('09_连续性验收'!C499="","缺少检查类型；","")&amp;IF(AND('09_连续性验收'!J499&lt;&gt;"",'09_连续性验收'!K499&lt;&gt;"",'09_连续性验收'!J499&gt;'09_连续性验收'!K499),"坐标偏差超标；","")&amp;IF(AND('09_连续性验收'!B499&lt;&gt;"",COUNTIF('02_固定地理'!$A$2:$A$501,'09_连续性验收'!B499)+COUNTIF('03_地点锚点'!$A$2:$A$501,'09_连续性验收'!B499)+COUNTIF('04_路径网络'!$A$2:$A$501,'09_连续性验收'!B499)+COUNTIF('06_建筑锚点'!$A$2:$A$501,'09_连续性验收'!B499)=0),"验收对象不存在；","")&amp;IF(AND('09_连续性验收'!A499&lt;&gt;"",COUNTIF('09_连续性验收'!$A$2:$A$501,'09_连续性验收'!A499)&gt;1),"ID重复；",""),"")</f>
        <v/>
      </c>
      <c r="G3999" s="14">
        <f>IF(F3999&lt;&gt;"","按字段批注、数据字典和来源记录修正后复核","")</f>
        <v/>
      </c>
      <c r="H3999" s="14">
        <f>IF(F3999&lt;&gt;"","待处理","")</f>
        <v/>
      </c>
    </row>
    <row r="4000">
      <c r="A4000" s="14">
        <f>IF(F4000&lt;&gt;"","ISSUE-"&amp;TEXT(ROW()-1,"00000"),"")</f>
        <v/>
      </c>
      <c r="B4000" s="14">
        <f>IF(F4000&lt;&gt;"","错误","")</f>
        <v/>
      </c>
      <c r="C4000" s="14">
        <f>IF('09_连续性验收'!A500&lt;&gt;"","09_连续性验收","")</f>
        <v/>
      </c>
      <c r="D4000" s="14">
        <f>IF('09_连续性验收'!A500&lt;&gt;"",'09_连续性验收'!A500,"")</f>
        <v/>
      </c>
      <c r="E4000" s="14">
        <f>IF(F4000&lt;&gt;"","综合校验","")</f>
        <v/>
      </c>
      <c r="F4000" s="14">
        <f>IF('09_连续性验收'!A500&lt;&gt;"",IF('09_连续性验收'!A500="","缺少验收ID；","")&amp;IF('09_连续性验收'!B500="","缺少对象ID；","")&amp;IF('09_连续性验收'!C500="","缺少检查类型；","")&amp;IF(AND('09_连续性验收'!J500&lt;&gt;"",'09_连续性验收'!K500&lt;&gt;"",'09_连续性验收'!J500&gt;'09_连续性验收'!K500),"坐标偏差超标；","")&amp;IF(AND('09_连续性验收'!B500&lt;&gt;"",COUNTIF('02_固定地理'!$A$2:$A$501,'09_连续性验收'!B500)+COUNTIF('03_地点锚点'!$A$2:$A$501,'09_连续性验收'!B500)+COUNTIF('04_路径网络'!$A$2:$A$501,'09_连续性验收'!B500)+COUNTIF('06_建筑锚点'!$A$2:$A$501,'09_连续性验收'!B500)=0),"验收对象不存在；","")&amp;IF(AND('09_连续性验收'!A500&lt;&gt;"",COUNTIF('09_连续性验收'!$A$2:$A$501,'09_连续性验收'!A500)&gt;1),"ID重复；",""),"")</f>
        <v/>
      </c>
      <c r="G4000" s="14">
        <f>IF(F4000&lt;&gt;"","按字段批注、数据字典和来源记录修正后复核","")</f>
        <v/>
      </c>
      <c r="H4000" s="14">
        <f>IF(F4000&lt;&gt;"","待处理","")</f>
        <v/>
      </c>
    </row>
    <row r="4001">
      <c r="A4001" s="14">
        <f>IF(F4001&lt;&gt;"","ISSUE-"&amp;TEXT(ROW()-1,"00000"),"")</f>
        <v/>
      </c>
      <c r="B4001" s="14">
        <f>IF(F4001&lt;&gt;"","错误","")</f>
        <v/>
      </c>
      <c r="C4001" s="14">
        <f>IF('09_连续性验收'!A501&lt;&gt;"","09_连续性验收","")</f>
        <v/>
      </c>
      <c r="D4001" s="14">
        <f>IF('09_连续性验收'!A501&lt;&gt;"",'09_连续性验收'!A501,"")</f>
        <v/>
      </c>
      <c r="E4001" s="14">
        <f>IF(F4001&lt;&gt;"","综合校验","")</f>
        <v/>
      </c>
      <c r="F4001" s="14">
        <f>IF('09_连续性验收'!A501&lt;&gt;"",IF('09_连续性验收'!A501="","缺少验收ID；","")&amp;IF('09_连续性验收'!B501="","缺少对象ID；","")&amp;IF('09_连续性验收'!C501="","缺少检查类型；","")&amp;IF(AND('09_连续性验收'!J501&lt;&gt;"",'09_连续性验收'!K501&lt;&gt;"",'09_连续性验收'!J501&gt;'09_连续性验收'!K501),"坐标偏差超标；","")&amp;IF(AND('09_连续性验收'!B501&lt;&gt;"",COUNTIF('02_固定地理'!$A$2:$A$501,'09_连续性验收'!B501)+COUNTIF('03_地点锚点'!$A$2:$A$501,'09_连续性验收'!B501)+COUNTIF('04_路径网络'!$A$2:$A$501,'09_连续性验收'!B501)+COUNTIF('06_建筑锚点'!$A$2:$A$501,'09_连续性验收'!B501)=0),"验收对象不存在；","")&amp;IF(AND('09_连续性验收'!A501&lt;&gt;"",COUNTIF('09_连续性验收'!$A$2:$A$501,'09_连续性验收'!A501)&gt;1),"ID重复；",""),"")</f>
        <v/>
      </c>
      <c r="G4001" s="14">
        <f>IF(F4001&lt;&gt;"","按字段批注、数据字典和来源记录修正后复核","")</f>
        <v/>
      </c>
      <c r="H4001" s="14">
        <f>IF(F4001&lt;&gt;"","待处理","")</f>
        <v/>
      </c>
    </row>
  </sheetData>
  <autoFilter ref="A1:H4001"/>
  <conditionalFormatting sqref="F2:F4001">
    <cfRule type="expression" priority="1" dxfId="0">
      <formula>F2&lt;&gt;""</formula>
    </cfRule>
  </conditionalFormatting>
  <pageMargins left="0.75" right="0.75" top="1" bottom="1" header="0.5" footer="0.5"/>
  <pageSetup orientation="landscape" fitToHeight="0" fitToWidth="1"/>
  <headerFooter>
    <oddHeader>&amp;C&amp;9 02_地图坐标与对象锚点表.xlsx</oddHeader>
    <oddFooter>&amp;C第 &amp;P 页 / 共 &amp;N 页&amp;RV0.1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2026-08-06T16:36:56Z</dcterms:created>
  <dcterms:modified xmlns:dcterms="http://purl.org/dc/terms/" xmlns:xsi="http://www.w3.org/2001/XMLSchema-instance" xsi:type="dcterms:W3CDTF">2026-08-06T16:37:01Z</dcterms:modified>
</cp:coreProperties>
</file>