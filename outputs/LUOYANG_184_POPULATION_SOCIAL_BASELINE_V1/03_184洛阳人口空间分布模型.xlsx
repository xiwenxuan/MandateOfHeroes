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ce8bf0ddd243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57fb6931864a4f6b"/>
    <x:sheet xmlns:r="http://schemas.openxmlformats.org/officeDocument/2006/relationships" name="SpatialDistribution" sheetId="2" r:id="R63980162200149fa"/>
    <x:sheet xmlns:r="http://schemas.openxmlformats.org/officeDocument/2006/relationships" name="ScopeSummary" sheetId="3" r:id="R3e34963d3a544f2a"/>
    <x:sheet xmlns:r="http://schemas.openxmlformats.org/officeDocument/2006/relationships" name="AreaAndDensity" sheetId="4" r:id="R44a87ffee87c4aa9"/>
    <x:sheet xmlns:r="http://schemas.openxmlformats.org/officeDocument/2006/relationships" name="DemandModel" sheetId="5" r:id="Refcf026704744f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0"/>
      <x:color rgb="FF2A211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42617"/>
      </x:patternFill>
    </x:fill>
    <x:fill>
      <x:patternFill patternType="solid">
        <x:fgColor rgb="FF765A3A"/>
      </x:patternFill>
    </x:fill>
    <x:fill>
      <x:patternFill patternType="solid">
        <x:fgColor rgb="FFFFF4D6"/>
      </x:patternFill>
    </x:fill>
    <x:fill>
      <x:patternFill patternType="solid">
        <x:fgColor rgb="FFE8F0E3"/>
      </x:patternFill>
    </x:fill>
  </x:fills>
  <x:borders count="7">
    <x:border/>
    <x:border>
      <x:left style="thin">
        <x:color rgb="FFC9BBA4"/>
      </x:left>
      <x:top style="thin">
        <x:color rgb="FFC9BBA4"/>
      </x:top>
      <x:bottom style="thin">
        <x:color rgb="FFC9BBA4"/>
      </x:bottom>
    </x:border>
    <x:border>
      <x:top style="thin">
        <x:color rgb="FFC9BBA4"/>
      </x:top>
      <x:bottom style="thin">
        <x:color rgb="FFC9BBA4"/>
      </x:bottom>
    </x:border>
    <x:border>
      <x:right style="thin">
        <x:color rgb="FFC9BBA4"/>
      </x:right>
      <x:top style="thin">
        <x:color rgb="FFC9BBA4"/>
      </x:top>
      <x:bottom style="thin">
        <x:color rgb="FFC9BBA4"/>
      </x:bottom>
    </x:border>
    <x:border>
      <x:bottom style="thin">
        <x:color rgb="FFE7DED0"/>
      </x:bottom>
    </x:border>
    <x:border>
      <x:top style="thin">
        <x:color rgb="FFE7DED0"/>
      </x:top>
      <x:bottom style="thin">
        <x:color rgb="FFE7DED0"/>
      </x:bottom>
    </x:border>
    <x:border>
      <x:top style="thin">
        <x:color rgb="FFE7DED0"/>
      </x:top>
      <x:bottom style="thin">
        <x:color rgb="FFC9BBA4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200" fontId="3" fillId="0" borderId="4" xfId="0" applyNumberFormat="1" applyFont="1" applyFill="1" applyBorder="1" applyAlignment="1">
      <x:alignment vertical="top" wrapText="1"/>
    </x:xf>
    <x:xf numFmtId="200" fontId="3" fillId="0" borderId="5" xfId="0" applyNumberFormat="1" applyFont="1" applyFill="1" applyBorder="1" applyAlignment="1">
      <x:alignment vertical="top" wrapText="1"/>
    </x:xf>
    <x:xf numFmtId="200" fontId="3" fillId="0" borderId="6" xfId="0" applyNumberFormat="1" applyFont="1" applyFill="1" applyBorder="1" applyAlignment="1">
      <x:alignment vertical="top" wrapText="1"/>
    </x:xf>
    <x:xf numFmtId="201" fontId="3" fillId="0" borderId="4" xfId="0" applyNumberFormat="1" applyFont="1" applyFill="1" applyBorder="1" applyAlignment="1">
      <x:alignment vertical="top" wrapText="1"/>
    </x:xf>
    <x:xf numFmtId="201" fontId="3" fillId="0" borderId="5" xfId="0" applyNumberFormat="1" applyFont="1" applyFill="1" applyBorder="1" applyAlignment="1">
      <x:alignment vertical="top" wrapText="1"/>
    </x:xf>
    <x:xf numFmtId="201" fontId="3" fillId="0" borderId="6" xfId="0" applyNumberFormat="1" applyFont="1" applyFill="1" applyBorder="1" applyAlignment="1">
      <x:alignment vertical="top" wrapText="1"/>
    </x:xf>
    <x:xf numFmtId="201" fontId="3" fillId="5" borderId="4" xfId="0" applyNumberFormat="1" applyFont="1" applyFill="1" applyBorder="1" applyAlignment="1">
      <x:alignment vertical="top" wrapText="1"/>
    </x:xf>
    <x:xf numFmtId="201" fontId="3" fillId="5" borderId="5" xfId="0" applyNumberFormat="1" applyFont="1" applyFill="1" applyBorder="1" applyAlignment="1">
      <x:alignment vertical="top" wrapText="1"/>
    </x:xf>
    <x:xf numFmtId="201" fontId="3" fillId="5" borderId="6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64d33c11734b74" /><Relationship Type="http://schemas.openxmlformats.org/officeDocument/2006/relationships/theme" Target="/xl/theme/theme1.xml" Id="Rfe3471e025474c0b" /><Relationship Type="http://schemas.openxmlformats.org/officeDocument/2006/relationships/sharedStrings" Target="/xl/sharedStrings.xml" Id="R6459a00475354a7f" /><Relationship Type="http://schemas.openxmlformats.org/officeDocument/2006/relationships/worksheet" Target="/xl/worksheets/sheet1.xml" Id="R57fb6931864a4f6b" /><Relationship Type="http://schemas.openxmlformats.org/officeDocument/2006/relationships/worksheet" Target="/xl/worksheets/sheet2.xml" Id="R63980162200149fa" /><Relationship Type="http://schemas.openxmlformats.org/officeDocument/2006/relationships/worksheet" Target="/xl/worksheets/sheet3.xml" Id="R3e34963d3a544f2a" /><Relationship Type="http://schemas.openxmlformats.org/officeDocument/2006/relationships/worksheet" Target="/xl/worksheets/sheet4.xml" Id="R44a87ffee87c4aa9" /><Relationship Type="http://schemas.openxmlformats.org/officeDocument/2006/relationships/worksheet" Target="/xl/worksheets/sheet5.xml" Id="Refcf026704744fc7" /></Relationships>
</file>

<file path=xl/tables/table1.xml><?xml version="1.0" encoding="utf-8"?>
<x:table xmlns:x="http://schemas.openxmlformats.org/spreadsheetml/2006/main" id="1" name="SpatialAssumptionsTable" displayName="SpatialAssumptionsTable" ref="A2:H8" headerRowCount="1" totalsRowCount="0" totalsRowShown="0">
  <x:tableColumns count="8">
    <x:tableColumn id="1" name="AssumptionId"/>
    <x:tableColumn id="2" name="Parameter"/>
    <x:tableColumn id="3" name="Low"/>
    <x:tableColumn id="4" name="Recommended"/>
    <x:tableColumn id="5" name="High"/>
    <x:tableColumn id="6" name="Unit"/>
    <x:tableColumn id="7" name="Confidence"/>
    <x:tableColumn id="8" name="Evidence/Rea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patialDistributionTable" displayName="SpatialDistributionTable" ref="A2:J8" headerRowCount="1" totalsRowCount="0" totalsRowShown="0">
  <x:tableColumns count="10">
    <x:tableColumn id="1" name="AreaType"/>
    <x:tableColumn id="2" name="AreaDefinition"/>
    <x:tableColumn id="3" name="AreaEstimate"/>
    <x:tableColumn id="4" name="PopulationLow"/>
    <x:tableColumn id="5" name="PopulationRecommended"/>
    <x:tableColumn id="6" name="PopulationHigh"/>
    <x:tableColumn id="7" name="PopulationShare"/>
    <x:tableColumn id="8" name="Confidence"/>
    <x:tableColumn id="9" name="Evidence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acc795ea9845a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7b894b6d19e4c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16" hidden="0" customWidth="1"/>
    <x:col min="5" max="5" width="14" hidden="0" customWidth="1"/>
    <x:col min="6" max="6" width="22" hidden="0" customWidth="1"/>
    <x:col min="7" max="7" width="12" hidden="0" customWidth="1"/>
    <x:col min="8" max="8" width="50" hidden="0" customWidth="1"/>
  </x:cols>
  <x:sheetData>
    <x:row r="1" ht="30" customHeight="1">
      <x:c r="A1" s="3" t="str">
        <x:v>184洛阳人口空间模型假设</x:v>
      </x:c>
      <x:c r="B1" s="3"/>
      <x:c r="C1" s="3"/>
      <x:c r="D1" s="3"/>
      <x:c r="E1" s="3"/>
      <x:c r="F1" s="3"/>
      <x:c r="G1" s="3"/>
      <x:c r="H1" s="3"/>
    </x:row>
    <x:row r="2" ht="32" customHeight="1">
      <x:c r="A2" s="12" t="str">
        <x:v>AssumptionId</x:v>
      </x:c>
      <x:c r="B2" s="13" t="str">
        <x:v>Parameter</x:v>
      </x:c>
      <x:c r="C2" s="13" t="str">
        <x:v>Low</x:v>
      </x:c>
      <x:c r="D2" s="13" t="str">
        <x:v>Recommended</x:v>
      </x:c>
      <x:c r="E2" s="13" t="str">
        <x:v>High</x:v>
      </x:c>
      <x:c r="F2" s="13" t="str">
        <x:v>Unit</x:v>
      </x:c>
      <x:c r="G2" s="13" t="str">
        <x:v>Confidence</x:v>
      </x:c>
      <x:c r="H2" s="14" t="str">
        <x:v>Evidence/Reason</x:v>
      </x:c>
    </x:row>
    <x:row r="3">
      <x:c r="A3" s="22" t="str">
        <x:v>A001</x:v>
      </x:c>
      <x:c r="B3" s="22" t="str">
        <x:v>WalledCityGrossArea</x:v>
      </x:c>
      <x:c r="C3" s="25" t="n">
        <x:v>9.5</x:v>
      </x:c>
      <x:c r="D3" s="25" t="n">
        <x:v>10</x:v>
      </x:c>
      <x:c r="E3" s="25" t="n">
        <x:v>10.5</x:v>
      </x:c>
      <x:c r="F3" s="22" t="str">
        <x:v>km²</x:v>
      </x:c>
      <x:c r="G3" s="22" t="str">
        <x:v>B</x:v>
      </x:c>
      <x:c r="H3" s="22" t="str">
        <x:v>九里六里与约10平方公里研究</x:v>
      </x:c>
    </x:row>
    <x:row r="4">
      <x:c r="A4" s="23" t="str">
        <x:v>A002</x:v>
      </x:c>
      <x:c r="B4" s="23" t="str">
        <x:v>EffectiveInhabitedArea</x:v>
      </x:c>
      <x:c r="C4" s="26" t="n">
        <x:v>4.3</x:v>
      </x:c>
      <x:c r="D4" s="26" t="n">
        <x:v>5</x:v>
      </x:c>
      <x:c r="E4" s="26" t="n">
        <x:v>5.7</x:v>
      </x:c>
      <x:c r="F4" s="23" t="str">
        <x:v>km²</x:v>
      </x:c>
      <x:c r="G4" s="23" t="str">
        <x:v>C</x:v>
      </x:c>
      <x:c r="H4" s="23" t="str">
        <x:v>纯住宅+宫廷/官署/军营服务居住</x:v>
      </x:c>
    </x:row>
    <x:row r="5">
      <x:c r="A5" s="23" t="str">
        <x:v>A003</x:v>
      </x:c>
      <x:c r="B5" s="23" t="str">
        <x:v>AttachedNearSuburbInUrban</x:v>
      </x:c>
      <x:c r="C5" s="26" t="n">
        <x:v>40</x:v>
      </x:c>
      <x:c r="D5" s="26" t="n">
        <x:v>40</x:v>
      </x:c>
      <x:c r="E5" s="26" t="n">
        <x:v>45</x:v>
      </x:c>
      <x:c r="F5" s="23" t="str">
        <x:v>千人</x:v>
      </x:c>
      <x:c r="G5" s="23" t="str">
        <x:v>C</x:v>
      </x:c>
      <x:c r="H5" s="23" t="str">
        <x:v>连续建成区口径转换</x:v>
      </x:c>
    </x:row>
    <x:row r="6">
      <x:c r="A6" s="23" t="str">
        <x:v>A004</x:v>
      </x:c>
      <x:c r="B6" s="23" t="str">
        <x:v>FoodPerPersonYear</x:v>
      </x:c>
      <x:c r="C6" s="26" t="n">
        <x:v>220</x:v>
      </x:c>
      <x:c r="D6" s="26" t="n">
        <x:v>240</x:v>
      </x:c>
      <x:c r="E6" s="26" t="n">
        <x:v>270</x:v>
      </x:c>
      <x:c r="F6" s="23" t="str">
        <x:v>kg grain-equivalent</x:v>
      </x:c>
      <x:c r="G6" s="23" t="str">
        <x:v>C</x:v>
      </x:c>
      <x:c r="H6" s="23" t="str">
        <x:v>需求模型参数，不是Facility数量</x:v>
      </x:c>
    </x:row>
    <x:row r="7">
      <x:c r="A7" s="23" t="str">
        <x:v>A005</x:v>
      </x:c>
      <x:c r="B7" s="23" t="str">
        <x:v>DomesticWaterPerPersonDay</x:v>
      </x:c>
      <x:c r="C7" s="26" t="n">
        <x:v>6</x:v>
      </x:c>
      <x:c r="D7" s="26" t="n">
        <x:v>8</x:v>
      </x:c>
      <x:c r="E7" s="26" t="n">
        <x:v>12</x:v>
      </x:c>
      <x:c r="F7" s="23" t="str">
        <x:v>L/day minimum</x:v>
      </x:c>
      <x:c r="G7" s="23" t="str">
        <x:v>C</x:v>
      </x:c>
      <x:c r="H7" s="23" t="str">
        <x:v>饮用、炊事和基本清洁；不含工业与消防</x:v>
      </x:c>
    </x:row>
    <x:row r="8">
      <x:c r="A8" s="24" t="str">
        <x:v>A006</x:v>
      </x:c>
      <x:c r="B8" s="24" t="str">
        <x:v>FoodReserveDays</x:v>
      </x:c>
      <x:c r="C8" s="27" t="n">
        <x:v>90</x:v>
      </x:c>
      <x:c r="D8" s="27" t="n">
        <x:v>120</x:v>
      </x:c>
      <x:c r="E8" s="27" t="n">
        <x:v>180</x:v>
      </x:c>
      <x:c r="F8" s="24" t="str">
        <x:v>days</x:v>
      </x:c>
      <x:c r="G8" s="24" t="str">
        <x:v>C</x:v>
      </x:c>
      <x:c r="H8" s="24" t="str">
        <x:v>仓储需求参数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b5acc795ea9845a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8" hidden="0" customWidth="1"/>
    <x:col min="3" max="3" width="15" hidden="0" customWidth="1"/>
    <x:col min="4" max="4" width="16" hidden="0" customWidth="1"/>
    <x:col min="5" max="5" width="21" hidden="0" customWidth="1"/>
    <x:col min="6" max="6" width="16" hidden="0" customWidth="1"/>
    <x:col min="7" max="7" width="16" hidden="0" customWidth="1"/>
    <x:col min="8" max="8" width="12" hidden="0" customWidth="1"/>
    <x:col min="9" max="9" width="20" hidden="0" customWidth="1"/>
    <x:col min="10" max="10" width="42" hidden="0" customWidth="1"/>
  </x:cols>
  <x:sheetData>
    <x:row r="1" ht="30" customHeight="1">
      <x:c r="A1" s="3" t="str">
        <x:v>184洛阳人口空间分布模型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2" customHeight="1">
      <x:c r="A2" s="12" t="str">
        <x:v>AreaType</x:v>
      </x:c>
      <x:c r="B2" s="13" t="str">
        <x:v>AreaDefinition</x:v>
      </x:c>
      <x:c r="C2" s="13" t="str">
        <x:v>AreaEstimate</x:v>
      </x:c>
      <x:c r="D2" s="13" t="str">
        <x:v>PopulationLow</x:v>
      </x:c>
      <x:c r="E2" s="13" t="str">
        <x:v>PopulationRecommended</x:v>
      </x:c>
      <x:c r="F2" s="13" t="str">
        <x:v>PopulationHigh</x:v>
      </x:c>
      <x:c r="G2" s="13" t="str">
        <x:v>PopulationShare</x:v>
      </x:c>
      <x:c r="H2" s="13" t="str">
        <x:v>Confidence</x:v>
      </x:c>
      <x:c r="I2" s="13" t="str">
        <x:v>Evidence</x:v>
      </x:c>
      <x:c r="J2" s="14" t="str">
        <x:v>Notes</x:v>
      </x:c>
    </x:row>
    <x:row r="3">
      <x:c r="A3" s="22" t="str">
        <x:v>WalledCityCivilAndAdministrative</x:v>
      </x:c>
      <x:c r="B3" s="22" t="str">
        <x:v>城墙内非宫廷人口；住宅、官署、市场、工坊、仓储、军营服务区</x:v>
      </x:c>
      <x:c r="C3" s="22"/>
      <x:c r="D3" s="28" t="n">
        <x:v>138000</x:v>
      </x:c>
      <x:c r="E3" s="28" t="n">
        <x:v>182000</x:v>
      </x:c>
      <x:c r="F3" s="28" t="n">
        <x:v>225000</x:v>
      </x:c>
      <x:c r="G3" s="34" t="n">
        <x:f>E3/SUM($E$3:$E$8)</x:f>
        <x:v>0.26</x:v>
      </x:c>
      <x:c r="H3" s="22" t="str">
        <x:v>B/C</x:v>
      </x:c>
      <x:c r="I3" s="22" t="str">
        <x:v>E009-E013</x:v>
      </x:c>
      <x:c r="J3" s="22" t="str">
        <x:v>与PalaceComplex相加为城墙内人口。</x:v>
      </x:c>
    </x:row>
    <x:row r="4">
      <x:c r="A4" s="23" t="str">
        <x:v>PalaceComplex</x:v>
      </x:c>
      <x:c r="B4" s="23" t="str">
        <x:v>南北宫及宫廷核心、服务、禁卫人口</x:v>
      </x:c>
      <x:c r="C4" s="23" t="n">
        <x:v>4</x:v>
      </x:c>
      <x:c r="D4" s="29" t="n">
        <x:v>12000</x:v>
      </x:c>
      <x:c r="E4" s="29" t="n">
        <x:v>18000</x:v>
      </x:c>
      <x:c r="F4" s="29" t="n">
        <x:v>25000</x:v>
      </x:c>
      <x:c r="G4" s="35" t="n">
        <x:f>E4/SUM($E$3:$E$8)</x:f>
        <x:v>0.025714285714285714</x:v>
      </x:c>
      <x:c r="H4" s="23" t="str">
        <x:v>C</x:v>
      </x:c>
      <x:c r="I4" s="23" t="str">
        <x:v>E008,E011,E027</x:v>
      </x:c>
      <x:c r="J4" s="23" t="str">
        <x:v>不包含整个刘氏宗室。</x:v>
      </x:c>
    </x:row>
    <x:row r="5">
      <x:c r="A5" s="23" t="str">
        <x:v>SouthernRitualEducationArea</x:v>
      </x:c>
      <x:c r="B5" s="23" t="str">
        <x:v>太学、明堂、辟雍、灵台及周边服务人口</x:v>
      </x:c>
      <x:c r="C5" s="23"/>
      <x:c r="D5" s="29" t="n">
        <x:v>20000</x:v>
      </x:c>
      <x:c r="E5" s="29" t="n">
        <x:v>30000</x:v>
      </x:c>
      <x:c r="F5" s="29" t="n">
        <x:v>45000</x:v>
      </x:c>
      <x:c r="G5" s="35" t="n">
        <x:f>E5/SUM($E$3:$E$8)</x:f>
        <x:v>0.04285714285714286</x:v>
      </x:c>
      <x:c r="H5" s="23" t="str">
        <x:v>B/C</x:v>
      </x:c>
      <x:c r="I5" s="23" t="str">
        <x:v>E006,E007,E015-E017</x:v>
      </x:c>
      <x:c r="J5" s="23" t="str">
        <x:v>太学生峰值只作容量锚点。</x:v>
      </x:c>
    </x:row>
    <x:row r="6">
      <x:c r="A6" s="23" t="str">
        <x:v>NearSuburb</x:v>
      </x:c>
      <x:c r="B6" s="23" t="str">
        <x:v>城外连续建成区、官道聚落、庄园与近郊就业人口</x:v>
      </x:c>
      <x:c r="C6" s="23"/>
      <x:c r="D6" s="29" t="n">
        <x:v>150000</x:v>
      </x:c>
      <x:c r="E6" s="29" t="n">
        <x:v>170000</x:v>
      </x:c>
      <x:c r="F6" s="29" t="n">
        <x:v>225000</x:v>
      </x:c>
      <x:c r="G6" s="35" t="n">
        <x:f>E6/SUM($E$3:$E$8)</x:f>
        <x:v>0.24285714285714285</x:v>
      </x:c>
      <x:c r="H6" s="23" t="str">
        <x:v>C</x:v>
      </x:c>
      <x:c r="I6" s="23" t="str">
        <x:v>E005,E014</x:v>
      </x:c>
      <x:c r="J6" s="23" t="str">
        <x:v>其中一部分计入UrbanArea。</x:v>
      </x:c>
    </x:row>
    <x:row r="7">
      <x:c r="A7" s="23" t="str">
        <x:v>Village</x:v>
      </x:c>
      <x:c r="B7" s="23" t="str">
        <x:v>生活圈外但稳定服务洛阳的村落人口</x:v>
      </x:c>
      <x:c r="C7" s="23"/>
      <x:c r="D7" s="29" t="n">
        <x:v>80000</x:v>
      </x:c>
      <x:c r="E7" s="29" t="n">
        <x:v>110000</x:v>
      </x:c>
      <x:c r="F7" s="29" t="n">
        <x:v>150000</x:v>
      </x:c>
      <x:c r="G7" s="35" t="n">
        <x:f>E7/SUM($E$3:$E$8)</x:f>
        <x:v>0.15714285714285714</x:v>
      </x:c>
      <x:c r="H7" s="23" t="str">
        <x:v>C</x:v>
      </x:c>
      <x:c r="I7" s="23" t="str">
        <x:v>E001,E002</x:v>
      </x:c>
      <x:c r="J7" s="23" t="str">
        <x:v>独立Permanent Person与Household。</x:v>
      </x:c>
    </x:row>
    <x:row r="8">
      <x:c r="A8" s="24" t="str">
        <x:v>AgriculturalSupplyPopulation</x:v>
      </x:c>
      <x:c r="B8" s="24" t="str">
        <x:v>更外层农业、林牧、水源与运输节点人口</x:v>
      </x:c>
      <x:c r="C8" s="24"/>
      <x:c r="D8" s="30" t="n">
        <x:v>150000</x:v>
      </x:c>
      <x:c r="E8" s="30" t="n">
        <x:v>190000</x:v>
      </x:c>
      <x:c r="F8" s="30" t="n">
        <x:v>230000</x:v>
      </x:c>
      <x:c r="G8" s="36" t="n">
        <x:f>E8/SUM($E$3:$E$8)</x:f>
        <x:v>0.2714285714285714</x:v>
      </x:c>
      <x:c r="H8" s="24" t="str">
        <x:v>C</x:v>
      </x:c>
      <x:c r="I8" s="24" t="str">
        <x:v>E001,E014</x:v>
      </x:c>
      <x:c r="J8" s="24" t="str">
        <x:v>与河南尹其他县保持边界，不覆盖全尹。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b7b894b6d19e4ca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>
      <x:c r="A1" s="2" t="str">
        <x:v>四层空间口径 Low / Recommended / High</x:v>
      </x:c>
      <x:c r="B1" s="2"/>
      <x:c r="C1" s="2"/>
      <x:c r="D1" s="2"/>
      <x:c r="E1" s="2"/>
      <x:c r="F1" s="2"/>
      <x:c r="G1" s="2"/>
      <x:c r="H1" s="2"/>
    </x:row>
    <x:row r="3">
      <x:c r="A3" s="39" t="str">
        <x:v>Scope</x:v>
      </x:c>
      <x:c r="B3" s="39" t="str">
        <x:v>Definition</x:v>
      </x:c>
      <x:c r="C3" s="39" t="str">
        <x:v>Low</x:v>
      </x:c>
      <x:c r="D3" s="39" t="str">
        <x:v>Recommended</x:v>
      </x:c>
      <x:c r="E3" s="39" t="str">
        <x:v>High</x:v>
      </x:c>
      <x:c r="F3" s="39" t="str">
        <x:v>Confidence</x:v>
      </x:c>
      <x:c r="G3" s="39" t="str">
        <x:v>Calculation</x:v>
      </x:c>
      <x:c r="H3" s="39" t="str">
        <x:v>UI Label</x:v>
      </x:c>
    </x:row>
    <x:row r="4">
      <x:c r="A4" s="40" t="str">
        <x:v>LuoyangWalledCity</x:v>
      </x:c>
      <x:c r="B4" s="40" t="str">
        <x:v>外城墙围合范围</x:v>
      </x:c>
      <x:c r="C4" s="41" t="n">
        <x:f>SUM('SpatialDistribution'!D3:D4)</x:f>
        <x:v>150000</x:v>
      </x:c>
      <x:c r="D4" s="41" t="n">
        <x:f>SUM('SpatialDistribution'!E3:E4)</x:f>
        <x:v>200000</x:v>
      </x:c>
      <x:c r="E4" s="41" t="n">
        <x:f>SUM('SpatialDistribution'!F3:F4)</x:f>
        <x:v>250000</x:v>
      </x:c>
      <x:c r="F4" s="40" t="str">
        <x:v>B</x:v>
      </x:c>
      <x:c r="G4" s="40" t="str">
        <x:v>Civil + Palace</x:v>
      </x:c>
      <x:c r="H4" s="40" t="str">
        <x:v>城墙内人口</x:v>
      </x:c>
    </x:row>
    <x:row r="5">
      <x:c r="A5" s="40" t="str">
        <x:v>LuoyangUrbanArea</x:v>
      </x:c>
      <x:c r="B5" s="40" t="str">
        <x:v>城墙内+南郊+连续城外建成区</x:v>
      </x:c>
      <x:c r="C5" s="41" t="n">
        <x:f>C4+'SpatialDistribution'!D5+'Assumptions'!C5*1000</x:f>
        <x:v>210000</x:v>
      </x:c>
      <x:c r="D5" s="41" t="n">
        <x:f>D4+'SpatialDistribution'!E5+'Assumptions'!D5*1000</x:f>
        <x:v>270000</x:v>
      </x:c>
      <x:c r="E5" s="41" t="n">
        <x:f>E4+'SpatialDistribution'!F5+'Assumptions'!E5*1000</x:f>
        <x:v>340000</x:v>
      </x:c>
      <x:c r="F5" s="40" t="str">
        <x:v>C</x:v>
      </x:c>
      <x:c r="G5" s="40" t="str">
        <x:v>Walled + Southern + attached NearSuburb</x:v>
      </x:c>
      <x:c r="H5" s="40" t="str">
        <x:v>洛阳人口（推荐UI主口径）</x:v>
      </x:c>
    </x:row>
    <x:row r="6">
      <x:c r="A6" s="40" t="str">
        <x:v>LuoyangMetropolitanArea</x:v>
      </x:c>
      <x:c r="B6" s="40" t="str">
        <x:v>城墙内+南郊+全部近郊生活圈</x:v>
      </x:c>
      <x:c r="C6" s="41" t="n">
        <x:f>C4+'SpatialDistribution'!D5+'SpatialDistribution'!D6</x:f>
        <x:v>320000</x:v>
      </x:c>
      <x:c r="D6" s="41" t="n">
        <x:f>D4+'SpatialDistribution'!E5+'SpatialDistribution'!E6</x:f>
        <x:v>400000</x:v>
      </x:c>
      <x:c r="E6" s="41" t="n">
        <x:f>E4+'SpatialDistribution'!F5+'SpatialDistribution'!F6</x:f>
        <x:v>520000</x:v>
      </x:c>
      <x:c r="F6" s="40" t="str">
        <x:v>B/C</x:v>
      </x:c>
      <x:c r="G6" s="40" t="str">
        <x:v>Walled + Southern + NearSuburb</x:v>
      </x:c>
      <x:c r="H6" s="40" t="str">
        <x:v>洛阳近郊生活圈</x:v>
      </x:c>
    </x:row>
    <x:row r="7">
      <x:c r="A7" s="40" t="str">
        <x:v>LuoyangSupplyRegion</x:v>
      </x:c>
      <x:c r="B7" s="40" t="str">
        <x:v>都会区+服务村落+农业物资供给区</x:v>
      </x:c>
      <x:c r="C7" s="41" t="n">
        <x:f>SUM('SpatialDistribution'!D3:D8)</x:f>
        <x:v>550000</x:v>
      </x:c>
      <x:c r="D7" s="41" t="n">
        <x:f>SUM('SpatialDistribution'!E3:E8)</x:f>
        <x:v>700000</x:v>
      </x:c>
      <x:c r="E7" s="41" t="n">
        <x:f>SUM('SpatialDistribution'!F3:F8)</x:f>
        <x:v>900000</x:v>
      </x:c>
      <x:c r="F7" s="40" t="str">
        <x:v>C</x:v>
      </x:c>
      <x:c r="G7" s="40" t="str">
        <x:v>sum all spatial areas</x:v>
      </x:c>
      <x:c r="H7" s="40" t="str">
        <x:v>洛阳供给区人口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2" t="str">
        <x:v>面积分解与人口密度校验</x:v>
      </x:c>
      <x:c r="B1" s="2"/>
      <x:c r="C1" s="2"/>
      <x:c r="D1" s="2"/>
      <x:c r="E1" s="2"/>
      <x:c r="F1" s="2"/>
      <x:c r="G1" s="2"/>
    </x:row>
    <x:row r="3">
      <x:c r="A3" s="5" t="str">
        <x:v>Metric</x:v>
      </x:c>
      <x:c r="B3" s="5" t="str">
        <x:v>Low</x:v>
      </x:c>
      <x:c r="C3" s="5" t="str">
        <x:v>Recommended</x:v>
      </x:c>
      <x:c r="D3" s="5" t="str">
        <x:v>High</x:v>
      </x:c>
      <x:c r="E3" s="5" t="str">
        <x:v>Unit</x:v>
      </x:c>
      <x:c r="F3" s="5" t="str">
        <x:v>Confidence</x:v>
      </x:c>
      <x:c r="G3" s="5" t="str">
        <x:v>Interpretation</x:v>
      </x:c>
    </x:row>
    <x:row r="4">
      <x:c r="A4" t="str">
        <x:v>GrossWalledCityArea</x:v>
      </x:c>
      <x:c r="B4" t="n">
        <x:v>9.5</x:v>
      </x:c>
      <x:c r="C4" t="n">
        <x:v>10</x:v>
      </x:c>
      <x:c r="D4" t="n">
        <x:v>10.5</x:v>
      </x:c>
      <x:c r="E4" t="str">
        <x:v>km²</x:v>
      </x:c>
      <x:c r="F4" t="str">
        <x:v>B</x:v>
      </x:c>
      <x:c r="G4" t="str">
        <x:v>城墙内总面积</x:v>
      </x:c>
    </x:row>
    <x:row r="5">
      <x:c r="A5" t="str">
        <x:v>PalaceArea</x:v>
      </x:c>
      <x:c r="B5" t="n">
        <x:v>3.6</x:v>
      </x:c>
      <x:c r="C5" t="n">
        <x:v>4</x:v>
      </x:c>
      <x:c r="D5" t="n">
        <x:v>4.3</x:v>
      </x:c>
      <x:c r="E5" t="str">
        <x:v>km²</x:v>
      </x:c>
      <x:c r="F5" t="str">
        <x:v>B/C</x:v>
      </x:c>
      <x:c r="G5" t="str">
        <x:v>南北宫等</x:v>
      </x:c>
    </x:row>
    <x:row r="6">
      <x:c r="A6" t="str">
        <x:v>GovernmentArea</x:v>
      </x:c>
      <x:c r="B6" t="n">
        <x:v>0.4</x:v>
      </x:c>
      <x:c r="C6" t="n">
        <x:v>0.55</x:v>
      </x:c>
      <x:c r="D6" t="n">
        <x:v>0.7</x:v>
      </x:c>
      <x:c r="E6" t="str">
        <x:v>km²</x:v>
      </x:c>
      <x:c r="F6" t="str">
        <x:v>C</x:v>
      </x:c>
      <x:c r="G6" t="str">
        <x:v>中央官署</x:v>
      </x:c>
    </x:row>
    <x:row r="7">
      <x:c r="A7" t="str">
        <x:v>MarketArea</x:v>
      </x:c>
      <x:c r="B7" t="n">
        <x:v>0.2</x:v>
      </x:c>
      <x:c r="C7" t="n">
        <x:v>0.3</x:v>
      </x:c>
      <x:c r="D7" t="n">
        <x:v>0.4</x:v>
      </x:c>
      <x:c r="E7" t="str">
        <x:v>km²</x:v>
      </x:c>
      <x:c r="F7" t="str">
        <x:v>C</x:v>
      </x:c>
      <x:c r="G7" t="str">
        <x:v>城内市场</x:v>
      </x:c>
    </x:row>
    <x:row r="8">
      <x:c r="A8" t="str">
        <x:v>RoadArea</x:v>
      </x:c>
      <x:c r="B8" t="n">
        <x:v>0.9</x:v>
      </x:c>
      <x:c r="C8" t="n">
        <x:v>1.1</x:v>
      </x:c>
      <x:c r="D8" t="n">
        <x:v>1.3</x:v>
      </x:c>
      <x:c r="E8" t="str">
        <x:v>km²</x:v>
      </x:c>
      <x:c r="F8" t="str">
        <x:v>C</x:v>
      </x:c>
      <x:c r="G8" t="str">
        <x:v>大道与支路</x:v>
      </x:c>
    </x:row>
    <x:row r="9">
      <x:c r="A9" t="str">
        <x:v>OpenStorageMilitaryArea</x:v>
      </x:c>
      <x:c r="B9" t="n">
        <x:v>0.9</x:v>
      </x:c>
      <x:c r="C9" t="n">
        <x:v>1.05</x:v>
      </x:c>
      <x:c r="D9" t="n">
        <x:v>1.3</x:v>
      </x:c>
      <x:c r="E9" t="str">
        <x:v>km²</x:v>
      </x:c>
      <x:c r="F9" t="str">
        <x:v>C</x:v>
      </x:c>
      <x:c r="G9" t="str">
        <x:v>苑囿、仓储、军营及开放空间</x:v>
      </x:c>
    </x:row>
    <x:row r="10">
      <x:c r="A10" t="str">
        <x:v>PureCivilResidentialArea</x:v>
      </x:c>
      <x:c r="B10" t="n">
        <x:v>3.5</x:v>
      </x:c>
      <x:c r="C10" t="n">
        <x:v>3</x:v>
      </x:c>
      <x:c r="D10" t="n">
        <x:v>2.5</x:v>
      </x:c>
      <x:c r="E10" t="str">
        <x:v>km²</x:v>
      </x:c>
      <x:c r="F10" t="str">
        <x:v>C</x:v>
      </x:c>
      <x:c r="G10" t="str">
        <x:v>与高人口情景反向压力测试</x:v>
      </x:c>
    </x:row>
    <x:row r="11">
      <x:c r="A11" t="str">
        <x:v>EffectiveInhabitedArea</x:v>
      </x:c>
      <x:c r="B11" t="n">
        <x:v>4.3</x:v>
      </x:c>
      <x:c r="C11" t="n">
        <x:v>5</x:v>
      </x:c>
      <x:c r="D11" t="n">
        <x:v>5.7</x:v>
      </x:c>
      <x:c r="E11" t="str">
        <x:v>km²</x:v>
      </x:c>
      <x:c r="F11" t="str">
        <x:v>C</x:v>
      </x:c>
      <x:c r="G11" t="str">
        <x:v>含机构内服务居住空间</x:v>
      </x:c>
    </x:row>
    <x:row r="13">
      <x:c r="A13" s="5" t="str">
        <x:v>DensityMetric</x:v>
      </x:c>
      <x:c r="B13" s="5" t="str">
        <x:v>Low</x:v>
      </x:c>
      <x:c r="C13" s="5" t="str">
        <x:v>Recommended</x:v>
      </x:c>
      <x:c r="D13" s="5" t="str">
        <x:v>High</x:v>
      </x:c>
      <x:c r="E13" s="5" t="str">
        <x:v>Unit</x:v>
      </x:c>
    </x:row>
    <x:row r="14">
      <x:c r="A14" t="str">
        <x:v>GrossUrbanDensity</x:v>
      </x:c>
      <x:c r="B14" s="38" t="n">
        <x:f>'ScopeSummary'!C4/B4</x:f>
        <x:v>15789.473684210527</x:v>
      </x:c>
      <x:c r="C14" s="38" t="n">
        <x:f>'ScopeSummary'!D4/C4</x:f>
        <x:v>20000</x:v>
      </x:c>
      <x:c r="D14" s="38" t="n">
        <x:f>'ScopeSummary'!E4/D4</x:f>
        <x:v>23809.52380952381</x:v>
      </x:c>
      <x:c r="E14" t="str">
        <x:v>persons/km²</x:v>
      </x:c>
    </x:row>
    <x:row r="15">
      <x:c r="A15" t="str">
        <x:v>NetInhabitedDensity</x:v>
      </x:c>
      <x:c r="B15" s="38" t="n">
        <x:f>'ScopeSummary'!C4/B11</x:f>
        <x:v>34883.72093023256</x:v>
      </x:c>
      <x:c r="C15" s="38" t="n">
        <x:f>'ScopeSummary'!D4/C11</x:f>
        <x:v>40000</x:v>
      </x:c>
      <x:c r="D15" s="38" t="n">
        <x:f>'ScopeSummary'!E4/D11</x:f>
        <x:v>43859.649122807015</x:v>
      </x:c>
      <x:c r="E15" t="str">
        <x:v>persons/km²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2" t="str">
        <x:v>下一阶段需求模型（不预先写死Facility数量）</x:v>
      </x:c>
      <x:c r="B1" s="2"/>
      <x:c r="C1" s="2"/>
      <x:c r="D1" s="2"/>
      <x:c r="E1" s="2"/>
      <x:c r="F1" s="2"/>
      <x:c r="G1" s="2"/>
      <x:c r="H1" s="2"/>
    </x:row>
    <x:row r="3">
      <x:c r="A3" s="39" t="str">
        <x:v>DemandType</x:v>
      </x:c>
      <x:c r="B3" s="39" t="str">
        <x:v>Scope</x:v>
      </x:c>
      <x:c r="C3" s="39" t="str">
        <x:v>Driver</x:v>
      </x:c>
      <x:c r="D3" s="39" t="str">
        <x:v>Low</x:v>
      </x:c>
      <x:c r="E3" s="39" t="str">
        <x:v>Recommended</x:v>
      </x:c>
      <x:c r="F3" s="39" t="str">
        <x:v>High</x:v>
      </x:c>
      <x:c r="G3" s="39" t="str">
        <x:v>Unit</x:v>
      </x:c>
      <x:c r="H3" s="39" t="str">
        <x:v>Notes</x:v>
      </x:c>
    </x:row>
    <x:row r="4">
      <x:c r="A4" s="40" t="str">
        <x:v>HousingDemand</x:v>
      </x:c>
      <x:c r="B4" s="40" t="str">
        <x:v>SupplyRegion</x:v>
      </x:c>
      <x:c r="C4" s="40" t="str">
        <x:v>Population</x:v>
      </x:c>
      <x:c r="D4" s="41" t="n">
        <x:f>'ScopeSummary'!C7</x:f>
        <x:v>550000</x:v>
      </x:c>
      <x:c r="E4" s="41" t="n">
        <x:f>'ScopeSummary'!D7</x:f>
        <x:v>700000</x:v>
      </x:c>
      <x:c r="F4" s="41" t="n">
        <x:f>'ScopeSummary'!E7</x:f>
        <x:v>900000</x:v>
      </x:c>
      <x:c r="G4" s="40" t="str">
        <x:v>Person capacity</x:v>
      </x:c>
      <x:c r="H4" s="40" t="str">
        <x:v>1 Person = 1 capacity</x:v>
      </x:c>
    </x:row>
    <x:row r="5">
      <x:c r="A5" s="40" t="str">
        <x:v>EmploymentDemand</x:v>
      </x:c>
      <x:c r="B5" s="40" t="str">
        <x:v>SupplyRegion</x:v>
      </x:c>
      <x:c r="C5" s="40" t="str">
        <x:v>Active labor</x:v>
      </x:c>
      <x:c r="D5" s="41" t="n">
        <x:v>265000</x:v>
      </x:c>
      <x:c r="E5" s="41" t="n">
        <x:v>346000</x:v>
      </x:c>
      <x:c r="F5" s="41" t="n">
        <x:v>445000</x:v>
      </x:c>
      <x:c r="G5" s="40" t="str">
        <x:v>Job assignments</x:v>
      </x:c>
      <x:c r="H5" s="40" t="str">
        <x:v>岗位与Person分离</x:v>
      </x:c>
    </x:row>
    <x:row r="6">
      <x:c r="A6" s="40" t="str">
        <x:v>FoodDemand</x:v>
      </x:c>
      <x:c r="B6" s="40" t="str">
        <x:v>SupplyRegion</x:v>
      </x:c>
      <x:c r="C6" s="40" t="str">
        <x:v>Population × kg/person-year</x:v>
      </x:c>
      <x:c r="D6" s="41" t="n">
        <x:f>'ScopeSummary'!C7*'Assumptions'!C6</x:f>
        <x:v>121000000</x:v>
      </x:c>
      <x:c r="E6" s="41" t="n">
        <x:f>'ScopeSummary'!D7*'Assumptions'!D6</x:f>
        <x:v>168000000</x:v>
      </x:c>
      <x:c r="F6" s="41" t="n">
        <x:f>'ScopeSummary'!E7*'Assumptions'!E6</x:f>
        <x:v>243000000</x:v>
      </x:c>
      <x:c r="G6" s="40" t="str">
        <x:v>kg grain-equivalent/year</x:v>
      </x:c>
      <x:c r="H6" s="40" t="str">
        <x:v>含口粮等价，不是单一作物</x:v>
      </x:c>
    </x:row>
    <x:row r="7">
      <x:c r="A7" s="40" t="str">
        <x:v>WaterDemand</x:v>
      </x:c>
      <x:c r="B7" s="40" t="str">
        <x:v>SupplyRegion</x:v>
      </x:c>
      <x:c r="C7" s="40" t="str">
        <x:v>Population × L/person-day</x:v>
      </x:c>
      <x:c r="D7" s="41" t="n">
        <x:f>'ScopeSummary'!C7*'Assumptions'!C7*365</x:f>
        <x:v>1204500000</x:v>
      </x:c>
      <x:c r="E7" s="41" t="n">
        <x:f>'ScopeSummary'!D7*'Assumptions'!D7*365</x:f>
        <x:v>2044000000</x:v>
      </x:c>
      <x:c r="F7" s="41" t="n">
        <x:f>'ScopeSummary'!E7*'Assumptions'!E7*365</x:f>
        <x:v>3942000000</x:v>
      </x:c>
      <x:c r="G7" s="40" t="str">
        <x:v>L/year minimum</x:v>
      </x:c>
      <x:c r="H7" s="40" t="str">
        <x:v>不含工业、园林和消防</x:v>
      </x:c>
    </x:row>
    <x:row r="8">
      <x:c r="A8" s="40" t="str">
        <x:v>StorageDemand</x:v>
      </x:c>
      <x:c r="B8" s="40" t="str">
        <x:v>SupplyRegion</x:v>
      </x:c>
      <x:c r="C8" s="40" t="str">
        <x:v>Food × reserve days / 365</x:v>
      </x:c>
      <x:c r="D8" s="41" t="n">
        <x:f>D6/365*'Assumptions'!C8</x:f>
        <x:v>29835616.438356165</x:v>
      </x:c>
      <x:c r="E8" s="41" t="n">
        <x:f>E6/365*'Assumptions'!D8</x:f>
        <x:v>55232876.71232876</x:v>
      </x:c>
      <x:c r="F8" s="41" t="n">
        <x:f>F6/365*'Assumptions'!E8</x:f>
        <x:v>119835616.43835616</x:v>
      </x:c>
      <x:c r="G8" s="40" t="str">
        <x:v>kg food capacity</x:v>
      </x:c>
      <x:c r="H8" s="40" t="str">
        <x:v>只给总需求</x:v>
      </x:c>
    </x:row>
    <x:row r="9">
      <x:c r="A9" s="40" t="str">
        <x:v>TradeDemand</x:v>
      </x:c>
      <x:c r="B9" s="40" t="str">
        <x:v>Urban/Metro</x:v>
      </x:c>
      <x:c r="C9" s="40" t="str">
        <x:v>真实库存与缺口</x:v>
      </x:c>
      <x:c r="D9" s="43"/>
      <x:c r="E9" s="43"/>
      <x:c r="F9" s="43"/>
      <x:c r="G9" s="40" t="str">
        <x:v>flow-driven</x:v>
      </x:c>
      <x:c r="H9" s="40" t="str">
        <x:v>由市场订单、运输与价格形成</x:v>
      </x:c>
    </x:row>
    <x:row r="10">
      <x:c r="A10" s="40" t="str">
        <x:v>EducationDemand</x:v>
      </x:c>
      <x:c r="B10" s="40" t="str">
        <x:v>UrbanArea</x:v>
      </x:c>
      <x:c r="C10" s="40" t="str">
        <x:v>太学及私学</x:v>
      </x:c>
      <x:c r="D10" s="43" t="n">
        <x:v>15000</x:v>
      </x:c>
      <x:c r="E10" s="43" t="n">
        <x:v>24000</x:v>
      </x:c>
      <x:c r="F10" s="43" t="n">
        <x:v>35000</x:v>
      </x:c>
      <x:c r="G10" s="40" t="str">
        <x:v>learner places</x:v>
      </x:c>
      <x:c r="H10" s="40" t="str">
        <x:v>不把峰值三万直接固定为184人数</x:v>
      </x:c>
    </x:row>
    <x:row r="11">
      <x:c r="A11" s="40" t="str">
        <x:v>GovernmentDemand</x:v>
      </x:c>
      <x:c r="B11" s="40" t="str">
        <x:v>WalledCity</x:v>
      </x:c>
      <x:c r="C11" s="40" t="str">
        <x:v>中央/河南尹官署</x:v>
      </x:c>
      <x:c r="D11" s="43" t="n">
        <x:v>9000</x:v>
      </x:c>
      <x:c r="E11" s="43" t="n">
        <x:v>12000</x:v>
      </x:c>
      <x:c r="F11" s="43" t="n">
        <x:v>16000</x:v>
      </x:c>
      <x:c r="G11" s="40" t="str">
        <x:v>jobs</x:v>
      </x:c>
      <x:c r="H11" s="40" t="str">
        <x:v>含属官、吏、服务人员</x:v>
      </x:c>
    </x:row>
    <x:row r="12">
      <x:c r="A12" s="40" t="str">
        <x:v>MilitaryDemand</x:v>
      </x:c>
      <x:c r="B12" s="40" t="str">
        <x:v>CapitalRegion</x:v>
      </x:c>
      <x:c r="C12" s="40" t="str">
        <x:v>常备+184应急</x:v>
      </x:c>
      <x:c r="D12" s="43" t="n">
        <x:v>18000</x:v>
      </x:c>
      <x:c r="E12" s="43" t="n">
        <x:v>30000</x:v>
      </x:c>
      <x:c r="F12" s="43" t="n">
        <x:v>45000</x:v>
      </x:c>
      <x:c r="G12" s="40" t="str">
        <x:v>active persons</x:v>
      </x:c>
      <x:c r="H12" s="40" t="str">
        <x:v>时点变化，不与离京野战军重复</x:v>
      </x:c>
    </x:row>
    <x:row r="13">
      <x:c r="A13" s="40" t="str">
        <x:v>PalaceServiceDemand</x:v>
      </x:c>
      <x:c r="B13" s="40" t="str">
        <x:v>PalaceComplex</x:v>
      </x:c>
      <x:c r="C13" s="40" t="str">
        <x:v>核心+服务+禁卫</x:v>
      </x:c>
      <x:c r="D13" s="43" t="n">
        <x:v>12000</x:v>
      </x:c>
      <x:c r="E13" s="43" t="n">
        <x:v>18000</x:v>
      </x:c>
      <x:c r="F13" s="43" t="n">
        <x:v>25000</x:v>
      </x:c>
      <x:c r="G13" s="40" t="str">
        <x:v>persons</x:v>
      </x:c>
      <x:c r="H13" s="40" t="str">
        <x:v>皇室核心只占极小部分</x:v>
      </x:c>
    </x:row>
  </x:sheetData>
  <x:mergeCells>
    <x:mergeCell ref="A1:H1"/>
  </x:mergeCells>
  <x:pageMargins left="0.7" right="0.7" top="0.75" bottom="0.75" header="0.3" footer="0.3"/>
</x:worksheet>
</file>