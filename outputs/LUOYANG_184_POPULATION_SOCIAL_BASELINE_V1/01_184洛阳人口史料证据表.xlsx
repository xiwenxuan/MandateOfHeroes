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4aa59a2465d749f8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HistoricalPopulationEvidence" sheetId="1" r:id="R44e9532c5dfa4b6b"/>
    <x:sheet xmlns:r="http://schemas.openxmlformats.org/officeDocument/2006/relationships" name="EvidenceSummary" sheetId="2" r:id="R856715c9409a4bed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2">
    <x:numFmt numFmtId="200" formatCode="#,##0"/>
    <x:numFmt numFmtId="201" formatCode="0"/>
  </x:numFmts>
  <x:fonts count="5">
    <x:font>
      <x:sz val="11"/>
      <x:name val="Carlito"/>
    </x:font>
    <x:font>
      <x:b/>
      <x:sz val="15"/>
      <x:color rgb="FFFFFFFF"/>
      <x:name val="Carlito"/>
    </x:font>
    <x:font>
      <x:b/>
      <x:sz val="11"/>
      <x:color rgb="FFFFFFFF"/>
      <x:name val="Carlito"/>
    </x:font>
    <x:font>
      <x:sz val="10"/>
      <x:color rgb="FF2A2118"/>
      <x:name val="Carlito"/>
    </x:font>
    <x:font>
      <x:b/>
      <x:sz val="11"/>
      <x:name val="Carlito"/>
    </x:font>
  </x:fonts>
  <x:fills count="6">
    <x:fill>
      <x:patternFill patternType="none"/>
    </x:fill>
    <x:fill>
      <x:patternFill patternType="gray125"/>
    </x:fill>
    <x:fill>
      <x:patternFill patternType="solid">
        <x:fgColor rgb="FF342617"/>
      </x:patternFill>
    </x:fill>
    <x:fill>
      <x:patternFill patternType="solid">
        <x:fgColor rgb="FF765A3A"/>
      </x:patternFill>
    </x:fill>
    <x:fill>
      <x:patternFill patternType="solid">
        <x:fgColor rgb="FFE8F0E3"/>
      </x:patternFill>
    </x:fill>
    <x:fill>
      <x:patternFill patternType="solid">
        <x:fgColor rgb="FFD8C29D"/>
      </x:patternFill>
    </x:fill>
  </x:fills>
  <x:borders count="7">
    <x:border/>
    <x:border>
      <x:left style="thin">
        <x:color rgb="FFC9BBA4"/>
      </x:left>
      <x:top style="thin">
        <x:color rgb="FFC9BBA4"/>
      </x:top>
      <x:bottom style="thin">
        <x:color rgb="FFC9BBA4"/>
      </x:bottom>
    </x:border>
    <x:border>
      <x:top style="thin">
        <x:color rgb="FFC9BBA4"/>
      </x:top>
      <x:bottom style="thin">
        <x:color rgb="FFC9BBA4"/>
      </x:bottom>
    </x:border>
    <x:border>
      <x:right style="thin">
        <x:color rgb="FFC9BBA4"/>
      </x:right>
      <x:top style="thin">
        <x:color rgb="FFC9BBA4"/>
      </x:top>
      <x:bottom style="thin">
        <x:color rgb="FFC9BBA4"/>
      </x:bottom>
    </x:border>
    <x:border>
      <x:bottom style="thin">
        <x:color rgb="FFE7DED0"/>
      </x:bottom>
    </x:border>
    <x:border>
      <x:top style="thin">
        <x:color rgb="FFE7DED0"/>
      </x:top>
      <x:bottom style="thin">
        <x:color rgb="FFE7DED0"/>
      </x:bottom>
    </x:border>
    <x:border>
      <x:top style="thin">
        <x:color rgb="FFE7DED0"/>
      </x:top>
      <x:bottom style="thin">
        <x:color rgb="FFC9BBA4"/>
      </x:bottom>
    </x:border>
  </x:borders>
  <x:cellStyleXfs count="1">
    <x:xf numFmtId="0" fontId="0" fillId="0" borderId="0"/>
  </x:cellStyleXfs>
  <x:cellXfs count="51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1" xfId="0" applyNumberFormat="1" applyFont="1" applyFill="1" applyBorder="1"/>
    <x:xf numFmtId="0" fontId="2" fillId="3" borderId="2" xfId="0" applyNumberFormat="1" applyFont="1" applyFill="1" applyBorder="1"/>
    <x:xf numFmtId="0" fontId="2" fillId="3" borderId="3" xfId="0" applyNumberFormat="1" applyFont="1" applyFill="1" applyBorder="1"/>
    <x:xf numFmtId="0" fontId="2" fillId="3" borderId="1" xfId="0" applyNumberFormat="1" applyFont="1" applyFill="1" applyBorder="1" applyAlignment="1">
      <x:alignment wrapText="1"/>
    </x:xf>
    <x:xf numFmtId="0" fontId="2" fillId="3" borderId="2" xfId="0" applyNumberFormat="1" applyFont="1" applyFill="1" applyBorder="1" applyAlignment="1">
      <x:alignment wrapText="1"/>
    </x:xf>
    <x:xf numFmtId="0" fontId="2" fillId="3" borderId="3" xfId="0" applyNumberFormat="1" applyFont="1" applyFill="1" applyBorder="1" applyAlignment="1">
      <x:alignment wrapText="1"/>
    </x:xf>
    <x:xf numFmtId="0" fontId="2" fillId="3" borderId="1" xfId="0" applyNumberFormat="1" applyFont="1" applyFill="1" applyBorder="1" applyAlignment="1">
      <x:alignment vertical="center" wrapText="1"/>
    </x:xf>
    <x:xf numFmtId="0" fontId="2" fillId="3" borderId="2" xfId="0" applyNumberFormat="1" applyFont="1" applyFill="1" applyBorder="1" applyAlignment="1">
      <x:alignment vertical="center" wrapText="1"/>
    </x:xf>
    <x:xf numFmtId="0" fontId="2" fillId="3" borderId="3" xfId="0" applyNumberFormat="1" applyFont="1" applyFill="1" applyBorder="1" applyAlignment="1">
      <x:alignment vertical="center" wrapText="1"/>
    </x:xf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3" fillId="0" borderId="0" xfId="0" applyNumberFormat="1" applyFont="1" applyFill="1" applyBorder="1"/>
    <x:xf numFmtId="0" fontId="3" fillId="0" borderId="0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3" fillId="0" borderId="4" xfId="0" applyNumberFormat="1" applyFont="1" applyFill="1" applyBorder="1"/>
    <x:xf numFmtId="0" fontId="3" fillId="0" borderId="4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3" fillId="0" borderId="5" xfId="0" applyNumberFormat="1" applyFont="1" applyFill="1" applyBorder="1"/>
    <x:xf numFmtId="0" fontId="3" fillId="0" borderId="5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3" fillId="0" borderId="6" xfId="0" applyNumberFormat="1" applyFont="1" applyFill="1" applyBorder="1"/>
    <x:xf numFmtId="0" fontId="3" fillId="0" borderId="6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3" fillId="0" borderId="4" xfId="0" applyNumberFormat="1" applyFont="1" applyFill="1" applyBorder="1" applyAlignment="1">
      <x:alignment wrapText="1"/>
    </x:xf>
    <x:xf numFmtId="0" fontId="3" fillId="0" borderId="4" xfId="0" applyNumberFormat="1" applyFont="1" applyFill="1" applyBorder="1" applyAlignment="1">
      <x:alignment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3" fillId="0" borderId="5" xfId="0" applyNumberFormat="1" applyFont="1" applyFill="1" applyBorder="1" applyAlignment="1">
      <x:alignment wrapText="1"/>
    </x:xf>
    <x:xf numFmtId="0" fontId="3" fillId="0" borderId="5" xfId="0" applyNumberFormat="1" applyFont="1" applyFill="1" applyBorder="1" applyAlignment="1">
      <x:alignment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3" fillId="0" borderId="6" xfId="0" applyNumberFormat="1" applyFont="1" applyFill="1" applyBorder="1" applyAlignment="1">
      <x:alignment wrapText="1"/>
    </x:xf>
    <x:xf numFmtId="0" fontId="3" fillId="0" borderId="6" xfId="0" applyNumberFormat="1" applyFont="1" applyFill="1" applyBorder="1" applyAlignment="1">
      <x:alignment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3" fillId="0" borderId="4" xfId="0" applyNumberFormat="1" applyFont="1" applyFill="1" applyBorder="1" applyAlignment="1">
      <x:alignment vertical="top" wrapText="1"/>
    </x:xf>
    <x:xf numFmtId="0" fontId="3" fillId="0" borderId="4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3" fillId="0" borderId="5" xfId="0" applyNumberFormat="1" applyFont="1" applyFill="1" applyBorder="1" applyAlignment="1">
      <x:alignment vertical="top" wrapText="1"/>
    </x:xf>
    <x:xf numFmtId="0" fontId="3" fillId="0" borderId="5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3" fillId="0" borderId="6" xfId="0" applyNumberFormat="1" applyFont="1" applyFill="1" applyBorder="1" applyAlignment="1">
      <x:alignment vertical="top" wrapText="1"/>
    </x:xf>
    <x:xf numFmtId="0" fontId="3" fillId="0" borderId="6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200" fontId="3" fillId="0" borderId="4" xfId="0" applyNumberFormat="1" applyFont="1" applyFill="1" applyBorder="1" applyAlignment="1">
      <x:alignment vertical="top" wrapText="1"/>
    </x:xf>
    <x:xf numFmtId="200" fontId="3" fillId="0" borderId="5" xfId="0" applyNumberFormat="1" applyFont="1" applyFill="1" applyBorder="1" applyAlignment="1">
      <x:alignment vertical="top" wrapText="1"/>
    </x:xf>
    <x:xf numFmtId="200" fontId="3" fillId="0" borderId="6" xfId="0" applyNumberFormat="1" applyFont="1" applyFill="1" applyBorder="1" applyAlignment="1">
      <x:alignment vertical="top" wrapText="1"/>
    </x:xf>
    <x:xf numFmtId="201" fontId="3" fillId="0" borderId="4" xfId="0" applyNumberFormat="1" applyFont="1" applyFill="1" applyBorder="1" applyAlignment="1">
      <x:alignment vertical="top" wrapText="1"/>
    </x:xf>
    <x:xf numFmtId="201" fontId="3" fillId="0" borderId="5" xfId="0" applyNumberFormat="1" applyFont="1" applyFill="1" applyBorder="1" applyAlignment="1">
      <x:alignment vertical="top" wrapText="1"/>
    </x:xf>
    <x:xf numFmtId="201" fontId="3" fillId="0" borderId="6" xfId="0" applyNumberFormat="1" applyFont="1" applyFill="1" applyBorder="1" applyAlignment="1">
      <x:alignment vertical="top" wrapText="1"/>
    </x:xf>
    <x:xf numFmtId="0" fontId="0" fillId="4" borderId="0" xfId="0" applyNumberFormat="1" applyFont="1" applyFill="1" applyBorder="1"/>
    <x:xf numFmtId="200" fontId="0" fillId="4" borderId="0" xfId="0" applyNumberFormat="1" applyFont="1" applyFill="1" applyBorder="1"/>
    <x:xf numFmtId="0" fontId="0" fillId="5" borderId="0" xfId="0" applyNumberFormat="1" applyFont="1" applyFill="1" applyBorder="1"/>
    <x:xf numFmtId="0" fontId="4" fillId="5" borderId="0" xfId="0" applyNumberFormat="1" applyFont="1" applyFill="1" applyBorder="1"/>
    <x:xf numFmtId="0" fontId="1" fillId="2" borderId="0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wrapText="1"/>
    </x:xf>
    <x:xf numFmtId="0" fontId="2" fillId="3" borderId="0" xfId="0" applyNumberFormat="1" applyFont="1" applyFill="1" applyBorder="1" applyAlignment="1">
      <x:alignment wrapText="1"/>
    </x:xf>
    <x:xf numFmtId="200" fontId="0" fillId="4" borderId="0" xfId="0" applyNumberFormat="1" applyFont="1" applyFill="1" applyBorder="1" applyAlignment="1">
      <x:alignment wrapText="1"/>
    </x:xf>
    <x:xf numFmtId="0" fontId="4" fillId="5" borderId="0" xfId="0" applyNumberFormat="1" applyFont="1" applyFill="1" applyBorder="1" applyAlignment="1">
      <x:alignment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74916b57b2dd4f84" /><Relationship Type="http://schemas.openxmlformats.org/officeDocument/2006/relationships/theme" Target="/xl/theme/theme1.xml" Id="R83f7a63eefa74c52" /><Relationship Type="http://schemas.microsoft.com/office/2022/11/relationships/FeaturePropertyBag" Target="/xl/featurePropertyBag/featurePropertyBag.xml" Id="R22c28fd6f7a84057" /><Relationship Type="http://schemas.openxmlformats.org/officeDocument/2006/relationships/sharedStrings" Target="/xl/sharedStrings.xml" Id="R79b742452b49428d" /><Relationship Type="http://schemas.openxmlformats.org/officeDocument/2006/relationships/worksheet" Target="/xl/worksheets/sheet1.xml" Id="R44e9532c5dfa4b6b" /><Relationship Type="http://schemas.openxmlformats.org/officeDocument/2006/relationships/worksheet" Target="/xl/worksheets/sheet2.xml" Id="R856715c9409a4bed" 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ables/table1.xml><?xml version="1.0" encoding="utf-8"?>
<x:table xmlns:x="http://schemas.openxmlformats.org/spreadsheetml/2006/main" id="1" name="HistoricalPopulationEvidenceTable" displayName="HistoricalPopulationEvidenceTable" ref="A2:Q36" headerRowCount="1" totalsRowCount="0" totalsRowShown="0">
  <x:tableColumns count="17">
    <x:tableColumn id="1" name="EvidenceId"/>
    <x:tableColumn id="2" name="TargetYear"/>
    <x:tableColumn id="3" name="YearRange"/>
    <x:tableColumn id="4" name="GeographicScope"/>
    <x:tableColumn id="5" name="ScopeType"/>
    <x:tableColumn id="6" name="HouseholdCount"/>
    <x:tableColumn id="7" name="PopulationCount"/>
    <x:tableColumn id="8" name="SourceTitle"/>
    <x:tableColumn id="9" name="SourceAuthor"/>
    <x:tableColumn id="10" name="SourceType"/>
    <x:tableColumn id="11" name="SourceURL"/>
    <x:tableColumn id="12" name="OriginalStatement"/>
    <x:tableColumn id="13" name="Reliability"/>
    <x:tableColumn id="14" name="RelevanceTo184"/>
    <x:tableColumn id="15" name="ConversionRequired"/>
    <x:tableColumn id="16" name="ConversionMethod"/>
    <x:tableColumn id="17" name="Notes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4ef5bbbf10b54b8f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3" hidden="0" customWidth="1"/>
    <x:col min="2" max="2" width="10" hidden="0" customWidth="1"/>
    <x:col min="3" max="3" width="13" hidden="0" customWidth="1"/>
    <x:col min="4" max="4" width="20" hidden="0" customWidth="1"/>
    <x:col min="5" max="5" width="16" hidden="0" customWidth="1"/>
    <x:col min="6" max="6" width="14" hidden="0" customWidth="1"/>
    <x:col min="7" max="7" width="15" hidden="0" customWidth="1"/>
    <x:col min="8" max="8" width="30" hidden="0" customWidth="1"/>
    <x:col min="9" max="9" width="22" hidden="0" customWidth="1"/>
    <x:col min="10" max="10" width="21" hidden="0" customWidth="1"/>
    <x:col min="11" max="11" width="42" hidden="0" customWidth="1"/>
    <x:col min="12" max="12" width="38" hidden="0" customWidth="1"/>
    <x:col min="13" max="13" width="11" hidden="0" customWidth="1"/>
    <x:col min="14" max="14" width="15" hidden="0" customWidth="1"/>
    <x:col min="15" max="15" width="18" hidden="0" customWidth="1"/>
    <x:col min="16" max="16" width="35" hidden="0" customWidth="1"/>
    <x:col min="17" max="17" width="34" hidden="0" customWidth="1"/>
  </x:cols>
  <x:sheetData>
    <x:row r="1" ht="30" customHeight="1">
      <x:c r="A1" s="3" t="str">
        <x:v>184洛阳人口史料证据表</x:v>
      </x:c>
      <x:c r="B1" s="3"/>
      <x:c r="C1" s="3"/>
      <x:c r="D1" s="3"/>
      <x:c r="E1" s="3"/>
      <x:c r="F1" s="3"/>
      <x:c r="G1" s="3"/>
      <x:c r="H1" s="3"/>
      <x:c r="I1" s="3"/>
      <x:c r="J1" s="3"/>
      <x:c r="K1" s="3"/>
      <x:c r="L1" s="3"/>
      <x:c r="M1" s="3"/>
      <x:c r="N1" s="3"/>
      <x:c r="O1" s="3"/>
      <x:c r="P1" s="3"/>
      <x:c r="Q1" s="3"/>
    </x:row>
    <x:row r="2" ht="32" customHeight="1">
      <x:c r="A2" s="12" t="str">
        <x:v>EvidenceId</x:v>
      </x:c>
      <x:c r="B2" s="13" t="str">
        <x:v>TargetYear</x:v>
      </x:c>
      <x:c r="C2" s="13" t="str">
        <x:v>YearRange</x:v>
      </x:c>
      <x:c r="D2" s="13" t="str">
        <x:v>GeographicScope</x:v>
      </x:c>
      <x:c r="E2" s="13" t="str">
        <x:v>ScopeType</x:v>
      </x:c>
      <x:c r="F2" s="13" t="str">
        <x:v>HouseholdCount</x:v>
      </x:c>
      <x:c r="G2" s="13" t="str">
        <x:v>PopulationCount</x:v>
      </x:c>
      <x:c r="H2" s="13" t="str">
        <x:v>SourceTitle</x:v>
      </x:c>
      <x:c r="I2" s="13" t="str">
        <x:v>SourceAuthor</x:v>
      </x:c>
      <x:c r="J2" s="13" t="str">
        <x:v>SourceType</x:v>
      </x:c>
      <x:c r="K2" s="13" t="str">
        <x:v>SourceURL</x:v>
      </x:c>
      <x:c r="L2" s="13" t="str">
        <x:v>OriginalStatement</x:v>
      </x:c>
      <x:c r="M2" s="13" t="str">
        <x:v>Reliability</x:v>
      </x:c>
      <x:c r="N2" s="13" t="str">
        <x:v>RelevanceTo184</x:v>
      </x:c>
      <x:c r="O2" s="13" t="str">
        <x:v>ConversionRequired</x:v>
      </x:c>
      <x:c r="P2" s="13" t="str">
        <x:v>ConversionMethod</x:v>
      </x:c>
      <x:c r="Q2" s="14" t="str">
        <x:v>Notes</x:v>
      </x:c>
    </x:row>
    <x:row r="3">
      <x:c r="A3" s="30" t="str">
        <x:v>E001</x:v>
      </x:c>
      <x:c r="B3" s="39" t="n">
        <x:v>184</x:v>
      </x:c>
      <x:c r="C3" s="30" t="str">
        <x:v>140</x:v>
      </x:c>
      <x:c r="D3" s="30" t="str">
        <x:v>河南尹二十一城</x:v>
      </x:c>
      <x:c r="E3" s="30" t="str">
        <x:v>Commandery</x:v>
      </x:c>
      <x:c r="F3" s="36" t="n">
        <x:v>208486</x:v>
      </x:c>
      <x:c r="G3" s="36" t="n">
        <x:v>1010827</x:v>
      </x:c>
      <x:c r="H3" s="30" t="str">
        <x:v>《后汉书·郡国志一》</x:v>
      </x:c>
      <x:c r="I3" s="30" t="str">
        <x:v>司马彪（志）/刘昭（注）</x:v>
      </x:c>
      <x:c r="J3" s="30" t="str">
        <x:v>PrimaryText</x:v>
      </x:c>
      <x:c r="K3" s="30" t="str">
        <x:v>https://m.gushiwen.cn/guwen/bookv_e0a4b52175e4.aspx</x:v>
      </x:c>
      <x:c r="L3" s="30" t="str">
        <x:v>永和五年户二十万八千四百八十六，口百一万八百二十七。</x:v>
      </x:c>
      <x:c r="M3" s="30" t="str">
        <x:v>A</x:v>
      </x:c>
      <x:c r="N3" s="30" t="str">
        <x:v>High</x:v>
      </x:c>
      <x:c r="O3" s="31" t="b">
        <x:v>1</x:v>
      </x:c>
      <x:c r="P3" s="30" t="str">
        <x:v>作为184供给区上限锚点；不等同洛阳城人口。</x:v>
      </x:c>
      <x:c r="Q3" s="30" t="str">
        <x:v>河南尹含21城。</x:v>
      </x:c>
    </x:row>
    <x:row r="4">
      <x:c r="A4" s="32" t="str">
        <x:v>E002</x:v>
      </x:c>
      <x:c r="B4" s="40" t="n">
        <x:v>184</x:v>
      </x:c>
      <x:c r="C4" s="32" t="str">
        <x:v>140</x:v>
      </x:c>
      <x:c r="D4" s="32" t="str">
        <x:v>雒阳县及所属聚落</x:v>
      </x:c>
      <x:c r="E4" s="32" t="str">
        <x:v>County</x:v>
      </x:c>
      <x:c r="F4" s="37"/>
      <x:c r="G4" s="37"/>
      <x:c r="H4" s="32" t="str">
        <x:v>《后汉书·郡国志一》</x:v>
      </x:c>
      <x:c r="I4" s="32" t="str">
        <x:v>司马彪（志）/刘昭（注）</x:v>
      </x:c>
      <x:c r="J4" s="32" t="str">
        <x:v>PrimaryText</x:v>
      </x:c>
      <x:c r="K4" s="32" t="str">
        <x:v>https://m.gushiwen.cn/guwen/bookv_e0a4b52175e4.aspx</x:v>
      </x:c>
      <x:c r="L4" s="32" t="str">
        <x:v>雒阳为河南尹首县，并列多处聚、亭、乡。</x:v>
      </x:c>
      <x:c r="M4" s="32" t="str">
        <x:v>A</x:v>
      </x:c>
      <x:c r="N4" s="32" t="str">
        <x:v>High</x:v>
      </x:c>
      <x:c r="O4" s="33" t="b">
        <x:v>1</x:v>
      </x:c>
      <x:c r="P4" s="32" t="str">
        <x:v>证明县域与城墙内不是同一空间。</x:v>
      </x:c>
      <x:c r="Q4" s="32" t="str">
        <x:v>没有保存雒阳县单独户口。</x:v>
      </x:c>
    </x:row>
    <x:row r="5">
      <x:c r="A5" s="32" t="str">
        <x:v>E003</x:v>
      </x:c>
      <x:c r="B5" s="40" t="n">
        <x:v>184</x:v>
      </x:c>
      <x:c r="C5" s="32" t="str">
        <x:v>东汉</x:v>
      </x:c>
      <x:c r="D5" s="32" t="str">
        <x:v>洛阳城郭</x:v>
      </x:c>
      <x:c r="E5" s="32" t="str">
        <x:v>WalledCity</x:v>
      </x:c>
      <x:c r="F5" s="37"/>
      <x:c r="G5" s="37"/>
      <x:c r="H5" s="32" t="str">
        <x:v>汉魏两晋南北朝都城模式及其演变</x:v>
      </x:c>
      <x:c r="I5" s="32" t="str">
        <x:v>中国社会科学院考古研究所</x:v>
      </x:c>
      <x:c r="J5" s="32" t="str">
        <x:v>ArchaeologySynthesis</x:v>
      </x:c>
      <x:c r="K5" s="32" t="str">
        <x:v>https://www.cssn.cn/lsx/lsx_kgx/202210/t20221024_5552600.shtml</x:v>
      </x:c>
      <x:c r="L5" s="32" t="str">
        <x:v>东汉洛阳呈南北长方形。</x:v>
      </x:c>
      <x:c r="M5" s="32" t="str">
        <x:v>A</x:v>
      </x:c>
      <x:c r="N5" s="32" t="str">
        <x:v>High</x:v>
      </x:c>
      <x:c r="O5" s="33" t="b">
        <x:v>0</x:v>
      </x:c>
      <x:c r="P5" s="32" t="str">
        <x:v>直接用于城墙内口径。</x:v>
      </x:c>
      <x:c r="Q5" s="32" t="str">
        <x:v>与现有历史空间骨架一致。</x:v>
      </x:c>
    </x:row>
    <x:row r="6">
      <x:c r="A6" s="32" t="str">
        <x:v>E004</x:v>
      </x:c>
      <x:c r="B6" s="40" t="n">
        <x:v>184</x:v>
      </x:c>
      <x:c r="C6" s="32" t="str">
        <x:v>东汉</x:v>
      </x:c>
      <x:c r="D6" s="32" t="str">
        <x:v>洛阳十二门</x:v>
      </x:c>
      <x:c r="E6" s="32" t="str">
        <x:v>WalledCity</x:v>
      </x:c>
      <x:c r="F6" s="37"/>
      <x:c r="G6" s="37"/>
      <x:c r="H6" s="32" t="str">
        <x:v>汉魏两晋南北朝都城模式及其演变</x:v>
      </x:c>
      <x:c r="I6" s="32" t="str">
        <x:v>中国社会科学院考古研究所</x:v>
      </x:c>
      <x:c r="J6" s="32" t="str">
        <x:v>ArchaeologySynthesis</x:v>
      </x:c>
      <x:c r="K6" s="32" t="str">
        <x:v>https://www.cssn.cn/lsx/lsx_kgx/202210/t20221024_5552600.shtml</x:v>
      </x:c>
      <x:c r="L6" s="32" t="str">
        <x:v>东、西各三门，北二门，南四门。</x:v>
      </x:c>
      <x:c r="M6" s="32" t="str">
        <x:v>A</x:v>
      </x:c>
      <x:c r="N6" s="32" t="str">
        <x:v>Medium</x:v>
      </x:c>
      <x:c r="O6" s="33" t="b">
        <x:v>0</x:v>
      </x:c>
      <x:c r="P6" s="32" t="str">
        <x:v>约束城郭与通勤方向。</x:v>
      </x:c>
      <x:c r="Q6" s="32" t="str">
        <x:v>不直接给人口。</x:v>
      </x:c>
    </x:row>
    <x:row r="7">
      <x:c r="A7" s="32" t="str">
        <x:v>E005</x:v>
      </x:c>
      <x:c r="B7" s="40" t="n">
        <x:v>184</x:v>
      </x:c>
      <x:c r="C7" s="32" t="str">
        <x:v>东汉</x:v>
      </x:c>
      <x:c r="D7" s="32" t="str">
        <x:v>金市、南市、马市</x:v>
      </x:c>
      <x:c r="E7" s="32" t="str">
        <x:v>UrbanArea</x:v>
      </x:c>
      <x:c r="F7" s="37"/>
      <x:c r="G7" s="37"/>
      <x:c r="H7" s="32" t="str">
        <x:v>汉魏两晋南北朝都城模式及其演变</x:v>
      </x:c>
      <x:c r="I7" s="32" t="str">
        <x:v>中国社会科学院考古研究所</x:v>
      </x:c>
      <x:c r="J7" s="32" t="str">
        <x:v>ArchaeologySynthesis</x:v>
      </x:c>
      <x:c r="K7" s="32" t="str">
        <x:v>https://www.cssn.cn/lsx/lsx_kgx/202210/t20221024_5552600.shtml</x:v>
      </x:c>
      <x:c r="L7" s="32" t="str">
        <x:v>金市在城内，南市在南郊，马市在东郊。</x:v>
      </x:c>
      <x:c r="M7" s="32" t="str">
        <x:v>A</x:v>
      </x:c>
      <x:c r="N7" s="32" t="str">
        <x:v>High</x:v>
      </x:c>
      <x:c r="O7" s="33" t="b">
        <x:v>1</x:v>
      </x:c>
      <x:c r="P7" s="32" t="str">
        <x:v>支持连续城市功能超出城墙。</x:v>
      </x:c>
      <x:c r="Q7" s="32" t="str">
        <x:v>市场位置不能推成固定设施数量。</x:v>
      </x:c>
    </x:row>
    <x:row r="8">
      <x:c r="A8" s="32" t="str">
        <x:v>E006</x:v>
      </x:c>
      <x:c r="B8" s="40" t="n">
        <x:v>184</x:v>
      </x:c>
      <x:c r="C8" s="32" t="str">
        <x:v>东汉</x:v>
      </x:c>
      <x:c r="D8" s="32" t="str">
        <x:v>南郊礼制教育区</x:v>
      </x:c>
      <x:c r="E8" s="32" t="str">
        <x:v>UrbanArea</x:v>
      </x:c>
      <x:c r="F8" s="37"/>
      <x:c r="G8" s="37"/>
      <x:c r="H8" s="32" t="str">
        <x:v>汉魏两晋南北朝都城模式及其演变</x:v>
      </x:c>
      <x:c r="I8" s="32" t="str">
        <x:v>中国社会科学院考古研究所</x:v>
      </x:c>
      <x:c r="J8" s="32" t="str">
        <x:v>ArchaeologySynthesis</x:v>
      </x:c>
      <x:c r="K8" s="32" t="str">
        <x:v>https://www.cssn.cn/lsx/lsx_kgx/202210/t20221024_5552600.shtml</x:v>
      </x:c>
      <x:c r="L8" s="32" t="str">
        <x:v>明堂、辟雍、灵台、太学位于城南。</x:v>
      </x:c>
      <x:c r="M8" s="32" t="str">
        <x:v>A</x:v>
      </x:c>
      <x:c r="N8" s="32" t="str">
        <x:v>High</x:v>
      </x:c>
      <x:c r="O8" s="33" t="b">
        <x:v>0</x:v>
      </x:c>
      <x:c r="P8" s="32" t="str">
        <x:v>直接定义SouthernRitualEducationArea。</x:v>
      </x:c>
      <x:c r="Q8" s="32" t="str">
        <x:v>四者功能分立。</x:v>
      </x:c>
    </x:row>
    <x:row r="9">
      <x:c r="A9" s="32" t="str">
        <x:v>E007</x:v>
      </x:c>
      <x:c r="B9" s="40" t="n">
        <x:v>184</x:v>
      </x:c>
      <x:c r="C9" s="32" t="str">
        <x:v>东汉</x:v>
      </x:c>
      <x:c r="D9" s="32" t="str">
        <x:v>南郊四组建筑</x:v>
      </x:c>
      <x:c r="E9" s="32" t="str">
        <x:v>UrbanArea</x:v>
      </x:c>
      <x:c r="F9" s="37"/>
      <x:c r="G9" s="37"/>
      <x:c r="H9" s="32" t="str">
        <x:v>汉魏洛阳故城南郊礼制建筑考古成果简介</x:v>
      </x:c>
      <x:c r="I9" s="32" t="str">
        <x:v>钱国祥等</x:v>
      </x:c>
      <x:c r="J9" s="32" t="str">
        <x:v>FormalArchaeologyReport</x:v>
      </x:c>
      <x:c r="K9" s="32" t="str">
        <x:v>https://www.pishu.com.cn/skwx_ps/ps/literature?ID=8644335&amp;SiteID=14</x:v>
      </x:c>
      <x:c r="L9" s="32" t="str">
        <x:v>四组遗址同时存在且各自分立。</x:v>
      </x:c>
      <x:c r="M9" s="32" t="str">
        <x:v>A</x:v>
      </x:c>
      <x:c r="N9" s="32" t="str">
        <x:v>High</x:v>
      </x:c>
      <x:c r="O9" s="33" t="b">
        <x:v>0</x:v>
      </x:c>
      <x:c r="P9" s="32" t="str">
        <x:v>支持南郊独立人口与服务区。</x:v>
      </x:c>
      <x:c r="Q9" s="32" t="str">
        <x:v>不把魏晋重修回填184。</x:v>
      </x:c>
    </x:row>
    <x:row r="10">
      <x:c r="A10" s="32" t="str">
        <x:v>E008</x:v>
      </x:c>
      <x:c r="B10" s="40" t="n">
        <x:v>184</x:v>
      </x:c>
      <x:c r="C10" s="32" t="str">
        <x:v>东汉</x:v>
      </x:c>
      <x:c r="D10" s="32" t="str">
        <x:v>北宫</x:v>
      </x:c>
      <x:c r="E10" s="32" t="str">
        <x:v>WalledCity</x:v>
      </x:c>
      <x:c r="F10" s="37"/>
      <x:c r="G10" s="37"/>
      <x:c r="H10" s="32" t="str">
        <x:v>2023年度田野考古工作汇报会纪要（三）</x:v>
      </x:c>
      <x:c r="I10" s="32" t="str">
        <x:v>中国社会科学院考古研究所</x:v>
      </x:c>
      <x:c r="J10" s="32" t="str">
        <x:v>FieldArchaeology</x:v>
      </x:c>
      <x:c r="K10" s="32" t="str">
        <x:v>https://kaogu.cssn.cn/xwzx/bszx/bsdt/202402/t20240221_5948865.shtml</x:v>
      </x:c>
      <x:c r="L10" s="32" t="str">
        <x:v>东汉北宫宫墙范围已由新发掘进一步确认。</x:v>
      </x:c>
      <x:c r="M10" s="32" t="str">
        <x:v>A</x:v>
      </x:c>
      <x:c r="N10" s="32" t="str">
        <x:v>High</x:v>
      </x:c>
      <x:c r="O10" s="33" t="b">
        <x:v>0</x:v>
      </x:c>
      <x:c r="P10" s="32" t="str">
        <x:v>支持宫廷人口单独建模。</x:v>
      </x:c>
      <x:c r="Q10" s="32" t="str">
        <x:v>后世宫城沿用不可倒推全部184单体。</x:v>
      </x:c>
    </x:row>
    <x:row r="11">
      <x:c r="A11" s="32" t="str">
        <x:v>E009</x:v>
      </x:c>
      <x:c r="B11" s="40" t="n">
        <x:v>184</x:v>
      </x:c>
      <x:c r="C11" s="32" t="str">
        <x:v>东汉</x:v>
      </x:c>
      <x:c r="D11" s="32" t="str">
        <x:v>洛阳城圈</x:v>
      </x:c>
      <x:c r="E11" s="32" t="str">
        <x:v>WalledCity</x:v>
      </x:c>
      <x:c r="F11" s="37"/>
      <x:c r="G11" s="37"/>
      <x:c r="H11" s="32" t="str">
        <x:v>汉魏洛阳城建有异域人员通商市场</x:v>
      </x:c>
      <x:c r="I11" s="32" t="str">
        <x:v>中新网转引考古研究</x:v>
      </x:c>
      <x:c r="J11" s="32" t="str">
        <x:v>ArchaeologyNews</x:v>
      </x:c>
      <x:c r="K11" s="32" t="str">
        <x:v>https://www.chinanews.com.cn/cul/2014/06-26/6324498.shtml</x:v>
      </x:c>
      <x:c r="L11" s="32" t="str">
        <x:v>城圈近14公里，符合九里六里记载。</x:v>
      </x:c>
      <x:c r="M11" s="32" t="str">
        <x:v>B</x:v>
      </x:c>
      <x:c r="N11" s="32" t="str">
        <x:v>High</x:v>
      </x:c>
      <x:c r="O11" s="33" t="b">
        <x:v>1</x:v>
      </x:c>
      <x:c r="P11" s="32" t="str">
        <x:v>折算墙内总面积约9.5—10.5平方公里。</x:v>
      </x:c>
      <x:c r="Q11" s="32" t="str">
        <x:v>长度与古里折算存在误差。</x:v>
      </x:c>
    </x:row>
    <x:row r="12">
      <x:c r="A12" s="32" t="str">
        <x:v>E010</x:v>
      </x:c>
      <x:c r="B12" s="40" t="n">
        <x:v>184</x:v>
      </x:c>
      <x:c r="C12" s="32" t="str">
        <x:v>东汉</x:v>
      </x:c>
      <x:c r="D12" s="32" t="str">
        <x:v>洛阳城墙内</x:v>
      </x:c>
      <x:c r="E12" s="32" t="str">
        <x:v>WalledCity</x:v>
      </x:c>
      <x:c r="F12" s="37"/>
      <x:c r="G12" s="37"/>
      <x:c r="H12" s="32" t="str">
        <x:v>西汉长安城主要部分是宫殿 百姓居住面积仅占三成</x:v>
      </x:c>
      <x:c r="I12" s="32" t="str">
        <x:v>人民网转引考古研究</x:v>
      </x:c>
      <x:c r="J12" s="32" t="str">
        <x:v>ResearchNews</x:v>
      </x:c>
      <x:c r="K12" s="32" t="str">
        <x:v>https://culture.people.com.cn/n/2014/1229/c22219-26291831.html</x:v>
      </x:c>
      <x:c r="L12" s="32" t="str">
        <x:v>东汉洛阳城面积约10平方公里。</x:v>
      </x:c>
      <x:c r="M12" s="32" t="str">
        <x:v>B</x:v>
      </x:c>
      <x:c r="N12" s="32" t="str">
        <x:v>High</x:v>
      </x:c>
      <x:c r="O12" s="33" t="b">
        <x:v>0</x:v>
      </x:c>
      <x:c r="P12" s="32" t="str">
        <x:v>采用10.0平方公里推荐值。</x:v>
      </x:c>
      <x:c r="Q12" s="32" t="str">
        <x:v>用于宏观面积，不是精确地籍。</x:v>
      </x:c>
    </x:row>
    <x:row r="13">
      <x:c r="A13" s="32" t="str">
        <x:v>E011</x:v>
      </x:c>
      <x:c r="B13" s="40" t="n">
        <x:v>184</x:v>
      </x:c>
      <x:c r="C13" s="32" t="str">
        <x:v>东汉</x:v>
      </x:c>
      <x:c r="D13" s="32" t="str">
        <x:v>南北宫</x:v>
      </x:c>
      <x:c r="E13" s="32" t="str">
        <x:v>WalledCity</x:v>
      </x:c>
      <x:c r="F13" s="37"/>
      <x:c r="G13" s="37"/>
      <x:c r="H13" s="32" t="str">
        <x:v>西汉长安城主要部分是宫殿 百姓居住面积仅占三成</x:v>
      </x:c>
      <x:c r="I13" s="32" t="str">
        <x:v>人民网转引考古研究</x:v>
      </x:c>
      <x:c r="J13" s="32" t="str">
        <x:v>ResearchNews</x:v>
      </x:c>
      <x:c r="K13" s="32" t="str">
        <x:v>https://culture.people.com.cn/n/2014/1229/c22219-26291831.html</x:v>
      </x:c>
      <x:c r="L13" s="32" t="str">
        <x:v>南宫、北宫等约占4平方公里。</x:v>
      </x:c>
      <x:c r="M13" s="32" t="str">
        <x:v>B</x:v>
      </x:c>
      <x:c r="N13" s="32" t="str">
        <x:v>High</x:v>
      </x:c>
      <x:c r="O13" s="33" t="b">
        <x:v>1</x:v>
      </x:c>
      <x:c r="P13" s="32" t="str">
        <x:v>从总面积扣除宫殿与官署，另计宫廷居住。</x:v>
      </x:c>
      <x:c r="Q13" s="32" t="str">
        <x:v>宫殿内部仍有服务人员居住。</x:v>
      </x:c>
    </x:row>
    <x:row r="14">
      <x:c r="A14" s="32" t="str">
        <x:v>E012</x:v>
      </x:c>
      <x:c r="B14" s="40" t="n">
        <x:v>184</x:v>
      </x:c>
      <x:c r="C14" s="32" t="str">
        <x:v>东汉</x:v>
      </x:c>
      <x:c r="D14" s="32" t="str">
        <x:v>城内民用住宅</x:v>
      </x:c>
      <x:c r="E14" s="32" t="str">
        <x:v>WalledCity</x:v>
      </x:c>
      <x:c r="F14" s="37"/>
      <x:c r="G14" s="37"/>
      <x:c r="H14" s="32" t="str">
        <x:v>西汉长安城主要部分是宫殿 百姓居住面积仅占三成</x:v>
      </x:c>
      <x:c r="I14" s="32" t="str">
        <x:v>人民网转引考古研究</x:v>
      </x:c>
      <x:c r="J14" s="32" t="str">
        <x:v>ResearchNews</x:v>
      </x:c>
      <x:c r="K14" s="32" t="str">
        <x:v>https://culture.people.com.cn/n/2014/1229/c22219-26291831.html</x:v>
      </x:c>
      <x:c r="L14" s="32" t="str">
        <x:v>纯民用居住用地约占城内三分之一。</x:v>
      </x:c>
      <x:c r="M14" s="32" t="str">
        <x:v>B</x:v>
      </x:c>
      <x:c r="N14" s="32" t="str">
        <x:v>High</x:v>
      </x:c>
      <x:c r="O14" s="33" t="b">
        <x:v>1</x:v>
      </x:c>
      <x:c r="P14" s="32" t="str">
        <x:v>与宫廷、官署、军营服务住房合并计算有效居住面积。</x:v>
      </x:c>
      <x:c r="Q14" s="32" t="str">
        <x:v>不能把总面积全部作为住宅。</x:v>
      </x:c>
    </x:row>
    <x:row r="15">
      <x:c r="A15" s="32" t="str">
        <x:v>E013</x:v>
      </x:c>
      <x:c r="B15" s="40" t="n">
        <x:v>184</x:v>
      </x:c>
      <x:c r="C15" s="32" t="str">
        <x:v>东汉后期</x:v>
      </x:c>
      <x:c r="D15" s="32" t="str">
        <x:v>洛阳城内</x:v>
      </x:c>
      <x:c r="E15" s="32" t="str">
        <x:v>WalledCity</x:v>
      </x:c>
      <x:c r="F15" s="37"/>
      <x:c r="G15" s="37" t="n">
        <x:v>200000</x:v>
      </x:c>
      <x:c r="H15" s="32" t="str">
        <x:v>东汉人的文化生活</x:v>
      </x:c>
      <x:c r="I15" s="32" t="str">
        <x:v>王子今/中新网</x:v>
      </x:c>
      <x:c r="J15" s="32" t="str">
        <x:v>ModernHistoricalStudy</x:v>
      </x:c>
      <x:c r="K15" s="32" t="str">
        <x:v>https://www.chinanews.com.cn/cul/news/2010/02-04/2110023.shtml</x:v>
      </x:c>
      <x:c r="L15" s="32" t="str">
        <x:v>研究意见：城内人口约二十万。</x:v>
      </x:c>
      <x:c r="M15" s="32" t="str">
        <x:v>B</x:v>
      </x:c>
      <x:c r="N15" s="32" t="str">
        <x:v>High</x:v>
      </x:c>
      <x:c r="O15" s="33" t="b">
        <x:v>0</x:v>
      </x:c>
      <x:c r="P15" s="32" t="str">
        <x:v>直接作为Recommended城墙内人口锚点。</x:v>
      </x:c>
      <x:c r="Q15" s="32" t="str">
        <x:v>文章同时说明学界有不同看法。</x:v>
      </x:c>
    </x:row>
    <x:row r="16">
      <x:c r="A16" s="32" t="str">
        <x:v>E014</x:v>
      </x:c>
      <x:c r="B16" s="40" t="n">
        <x:v>184</x:v>
      </x:c>
      <x:c r="C16" s="32" t="str">
        <x:v>东汉后期</x:v>
      </x:c>
      <x:c r="D16" s="32" t="str">
        <x:v>洛阳地区</x:v>
      </x:c>
      <x:c r="E16" s="32" t="str">
        <x:v>Metropolitan</x:v>
      </x:c>
      <x:c r="F16" s="37"/>
      <x:c r="G16" s="37" t="n">
        <x:v>400000</x:v>
      </x:c>
      <x:c r="H16" s="32" t="str">
        <x:v>东汉人的文化生活</x:v>
      </x:c>
      <x:c r="I16" s="32" t="str">
        <x:v>王子今/中新网</x:v>
      </x:c>
      <x:c r="J16" s="32" t="str">
        <x:v>ModernHistoricalStudy</x:v>
      </x:c>
      <x:c r="K16" s="32" t="str">
        <x:v>https://www.chinanews.com.cn/cul/news/2010/02-04/2110023.shtml</x:v>
      </x:c>
      <x:c r="L16" s="32" t="str">
        <x:v>研究意见：洛阳地区约四十万。</x:v>
      </x:c>
      <x:c r="M16" s="32" t="str">
        <x:v>B</x:v>
      </x:c>
      <x:c r="N16" s="32" t="str">
        <x:v>High</x:v>
      </x:c>
      <x:c r="O16" s="33" t="b">
        <x:v>0</x:v>
      </x:c>
      <x:c r="P16" s="32" t="str">
        <x:v>直接作为Recommended近郊生活圈锚点。</x:v>
      </x:c>
      <x:c r="Q16" s="32" t="str">
        <x:v>地区范围需由本任务重新定义。</x:v>
      </x:c>
    </x:row>
    <x:row r="17">
      <x:c r="A17" s="32" t="str">
        <x:v>E015</x:v>
      </x:c>
      <x:c r="B17" s="40" t="n">
        <x:v>184</x:v>
      </x:c>
      <x:c r="C17" s="32" t="str">
        <x:v>146及东汉后期</x:v>
      </x:c>
      <x:c r="D17" s="32" t="str">
        <x:v>洛阳太学</x:v>
      </x:c>
      <x:c r="E17" s="32" t="str">
        <x:v>UrbanArea</x:v>
      </x:c>
      <x:c r="F17" s="37"/>
      <x:c r="G17" s="37" t="n">
        <x:v>30000</x:v>
      </x:c>
      <x:c r="H17" s="32" t="str">
        <x:v>东汉人的文化生活</x:v>
      </x:c>
      <x:c r="I17" s="32" t="str">
        <x:v>王子今/中新网</x:v>
      </x:c>
      <x:c r="J17" s="32" t="str">
        <x:v>ModernHistoricalStudy</x:v>
      </x:c>
      <x:c r="K17" s="32" t="str">
        <x:v>https://www.chinanews.com.cn/cul/news/2010/02-04/2110023.shtml</x:v>
      </x:c>
      <x:c r="L17" s="32" t="str">
        <x:v>太学生曾增至三万多人。</x:v>
      </x:c>
      <x:c r="M17" s="32" t="str">
        <x:v>B</x:v>
      </x:c>
      <x:c r="N17" s="32" t="str">
        <x:v>Medium</x:v>
      </x:c>
      <x:c r="O17" s="33" t="b">
        <x:v>1</x:v>
      </x:c>
      <x:c r="P17" s="32" t="str">
        <x:v>只作教育区高位容量锚点，184取区间而非照抄峰值。</x:v>
      </x:c>
      <x:c r="Q17" s="32" t="str">
        <x:v>学生并非全部永久定居。</x:v>
      </x:c>
    </x:row>
    <x:row r="18">
      <x:c r="A18" s="32" t="str">
        <x:v>E016</x:v>
      </x:c>
      <x:c r="B18" s="40" t="n">
        <x:v>184</x:v>
      </x:c>
      <x:c r="C18" s="32" t="str">
        <x:v>131</x:v>
      </x:c>
      <x:c r="D18" s="32" t="str">
        <x:v>洛阳太学</x:v>
      </x:c>
      <x:c r="E18" s="32" t="str">
        <x:v>UrbanArea</x:v>
      </x:c>
      <x:c r="F18" s="37"/>
      <x:c r="G18" s="37"/>
      <x:c r="H18" s="32" t="str">
        <x:v>东汉人的文化生活</x:v>
      </x:c>
      <x:c r="I18" s="32" t="str">
        <x:v>王子今/中新网</x:v>
      </x:c>
      <x:c r="J18" s="32" t="str">
        <x:v>ModernHistoricalStudy</x:v>
      </x:c>
      <x:c r="K18" s="32" t="str">
        <x:v>https://www.chinanews.com.cn/cul/news/2010/02-04/2110023.shtml</x:v>
      </x:c>
      <x:c r="L18" s="32" t="str">
        <x:v>重修太学，扩建二百四十房、一千八百五十室。</x:v>
      </x:c>
      <x:c r="M18" s="32" t="str">
        <x:v>B</x:v>
      </x:c>
      <x:c r="N18" s="32" t="str">
        <x:v>Medium</x:v>
      </x:c>
      <x:c r="O18" s="33" t="b">
        <x:v>1</x:v>
      </x:c>
      <x:c r="P18" s="32" t="str">
        <x:v>说明太学是大型常设教育设施。</x:v>
      </x:c>
      <x:c r="Q18" s="32" t="str">
        <x:v>不能从房数直接换算184学生数。</x:v>
      </x:c>
    </x:row>
    <x:row r="19">
      <x:c r="A19" s="32" t="str">
        <x:v>E017</x:v>
      </x:c>
      <x:c r="B19" s="40" t="n">
        <x:v>184</x:v>
      </x:c>
      <x:c r="C19" s="32" t="str">
        <x:v>175</x:v>
      </x:c>
      <x:c r="D19" s="32" t="str">
        <x:v>洛阳太学门外</x:v>
      </x:c>
      <x:c r="E19" s="32" t="str">
        <x:v>UrbanArea</x:v>
      </x:c>
      <x:c r="F19" s="37"/>
      <x:c r="G19" s="37"/>
      <x:c r="H19" s="32" t="str">
        <x:v>东汉人的文化生活</x:v>
      </x:c>
      <x:c r="I19" s="32" t="str">
        <x:v>王子今/中新网</x:v>
      </x:c>
      <x:c r="J19" s="32" t="str">
        <x:v>ModernHistoricalStudy</x:v>
      </x:c>
      <x:c r="K19" s="32" t="str">
        <x:v>https://www.chinanews.com.cn/cul/news/2010/02-04/2110023.shtml</x:v>
      </x:c>
      <x:c r="L19" s="32" t="str">
        <x:v>熹平石经立于太学门外。</x:v>
      </x:c>
      <x:c r="M19" s="32" t="str">
        <x:v>A</x:v>
      </x:c>
      <x:c r="N19" s="32" t="str">
        <x:v>Medium</x:v>
      </x:c>
      <x:c r="O19" s="33" t="b">
        <x:v>0</x:v>
      </x:c>
      <x:c r="P19" s="32" t="str">
        <x:v>证明184前南郊教育文化吸引力仍在。</x:v>
      </x:c>
      <x:c r="Q19" s="32" t="str">
        <x:v>不直接给人口。</x:v>
      </x:c>
    </x:row>
    <x:row r="20">
      <x:c r="A20" s="32" t="str">
        <x:v>E018</x:v>
      </x:c>
      <x:c r="B20" s="40" t="n">
        <x:v>184</x:v>
      </x:c>
      <x:c r="C20" s="32" t="str">
        <x:v>东汉</x:v>
      </x:c>
      <x:c r="D20" s="32" t="str">
        <x:v>洛阳十二门</x:v>
      </x:c>
      <x:c r="E20" s="32" t="str">
        <x:v>WalledCity</x:v>
      </x:c>
      <x:c r="F20" s="37"/>
      <x:c r="G20" s="37"/>
      <x:c r="H20" s="32" t="str">
        <x:v>《后汉书·百官志四》</x:v>
      </x:c>
      <x:c r="I20" s="32" t="str">
        <x:v>司马彪</x:v>
      </x:c>
      <x:c r="J20" s="32" t="str">
        <x:v>PrimaryText</x:v>
      </x:c>
      <x:c r="K20" s="32" t="str">
        <x:v>https://ctext.org/hou-han-shu/bai-guan-si/zhs</x:v>
      </x:c>
      <x:c r="L20" s="32" t="str">
        <x:v>城门校尉掌雒阳城门十二所。</x:v>
      </x:c>
      <x:c r="M20" s="32" t="str">
        <x:v>A</x:v>
      </x:c>
      <x:c r="N20" s="32" t="str">
        <x:v>Medium</x:v>
      </x:c>
      <x:c r="O20" s="33" t="b">
        <x:v>0</x:v>
      </x:c>
      <x:c r="P20" s="32" t="str">
        <x:v>支持城门守卫岗位类别。</x:v>
      </x:c>
      <x:c r="Q20" s="32" t="str">
        <x:v>不提供守军总数。</x:v>
      </x:c>
    </x:row>
    <x:row r="21">
      <x:c r="A21" s="32" t="str">
        <x:v>E019</x:v>
      </x:c>
      <x:c r="B21" s="40" t="n">
        <x:v>184</x:v>
      </x:c>
      <x:c r="C21" s="32" t="str">
        <x:v>东汉</x:v>
      </x:c>
      <x:c r="D21" s="32" t="str">
        <x:v>五营</x:v>
      </x:c>
      <x:c r="E21" s="32" t="str">
        <x:v>CapitalRegion</x:v>
      </x:c>
      <x:c r="F21" s="37"/>
      <x:c r="G21" s="37"/>
      <x:c r="H21" s="32" t="str">
        <x:v>《后汉书·百官志四》</x:v>
      </x:c>
      <x:c r="I21" s="32" t="str">
        <x:v>司马彪</x:v>
      </x:c>
      <x:c r="J21" s="32" t="str">
        <x:v>PrimaryText</x:v>
      </x:c>
      <x:c r="K21" s="32" t="str">
        <x:v>https://ctext.org/hou-han-shu/bai-guan-si/zhs</x:v>
      </x:c>
      <x:c r="L21" s="32" t="str">
        <x:v>相关官署掌监五营。</x:v>
      </x:c>
      <x:c r="M21" s="32" t="str">
        <x:v>A</x:v>
      </x:c>
      <x:c r="N21" s="32" t="str">
        <x:v>High</x:v>
      </x:c>
      <x:c r="O21" s="33" t="b">
        <x:v>1</x:v>
      </x:c>
      <x:c r="P21" s="32" t="str">
        <x:v>支持常备京师军分类。</x:v>
      </x:c>
      <x:c r="Q21" s="32" t="str">
        <x:v>不可由官名反推人数。</x:v>
      </x:c>
    </x:row>
    <x:row r="22">
      <x:c r="A22" s="32" t="str">
        <x:v>E020</x:v>
      </x:c>
      <x:c r="B22" s="40" t="n">
        <x:v>184</x:v>
      </x:c>
      <x:c r="C22" s="32" t="str">
        <x:v>184-02</x:v>
      </x:c>
      <x:c r="D22" s="32" t="str">
        <x:v>天下/京师响应</x:v>
      </x:c>
      <x:c r="E22" s="32" t="str">
        <x:v>CapitalRegion</x:v>
      </x:c>
      <x:c r="F22" s="37"/>
      <x:c r="G22" s="37"/>
      <x:c r="H22" s="32" t="str">
        <x:v>《后汉书·孝灵帝纪》</x:v>
      </x:c>
      <x:c r="I22" s="32" t="str">
        <x:v>范晔</x:v>
      </x:c>
      <x:c r="J22" s="32" t="str">
        <x:v>PrimaryText</x:v>
      </x:c>
      <x:c r="K22" s="32" t="str">
        <x:v>https://zh.wikisource.org/wiki/後漢書/卷8</x:v>
      </x:c>
      <x:c r="L22" s="32" t="str">
        <x:v>中平元年二月黄巾同日起事。</x:v>
      </x:c>
      <x:c r="M22" s="32" t="str">
        <x:v>A</x:v>
      </x:c>
      <x:c r="N22" s="32" t="str">
        <x:v>High</x:v>
      </x:c>
      <x:c r="O22" s="33" t="b">
        <x:v>0</x:v>
      </x:c>
      <x:c r="P22" s="32" t="str">
        <x:v>建立184应急军事时间点。</x:v>
      </x:c>
      <x:c r="Q22" s="32" t="str">
        <x:v>不是洛阳人口数。</x:v>
      </x:c>
    </x:row>
    <x:row r="23">
      <x:c r="A23" s="32" t="str">
        <x:v>E021</x:v>
      </x:c>
      <x:c r="B23" s="40" t="n">
        <x:v>184</x:v>
      </x:c>
      <x:c r="C23" s="32" t="str">
        <x:v>184-03</x:v>
      </x:c>
      <x:c r="D23" s="32" t="str">
        <x:v>洛阳都亭</x:v>
      </x:c>
      <x:c r="E23" s="32" t="str">
        <x:v>WalledCity</x:v>
      </x:c>
      <x:c r="F23" s="37"/>
      <x:c r="G23" s="37"/>
      <x:c r="H23" s="32" t="str">
        <x:v>《后汉书·孝灵帝纪》</x:v>
      </x:c>
      <x:c r="I23" s="32" t="str">
        <x:v>范晔</x:v>
      </x:c>
      <x:c r="J23" s="32" t="str">
        <x:v>PrimaryText</x:v>
      </x:c>
      <x:c r="K23" s="32" t="str">
        <x:v>https://zh.wikisource.org/wiki/後漢書/卷8</x:v>
      </x:c>
      <x:c r="L23" s="32" t="str">
        <x:v>何进为大将军，将兵屯都亭。</x:v>
      </x:c>
      <x:c r="M23" s="32" t="str">
        <x:v>A</x:v>
      </x:c>
      <x:c r="N23" s="32" t="str">
        <x:v>High</x:v>
      </x:c>
      <x:c r="O23" s="33" t="b">
        <x:v>1</x:v>
      </x:c>
      <x:c r="P23" s="32" t="str">
        <x:v>区分常备驻军与事件期应急部署。</x:v>
      </x:c>
      <x:c r="Q23" s="32" t="str">
        <x:v>部队规模未载。</x:v>
      </x:c>
    </x:row>
    <x:row r="24">
      <x:c r="A24" s="32" t="str">
        <x:v>E022</x:v>
      </x:c>
      <x:c r="B24" s="40" t="n">
        <x:v>184</x:v>
      </x:c>
      <x:c r="C24" s="32" t="str">
        <x:v>184-03</x:v>
      </x:c>
      <x:c r="D24" s="32" t="str">
        <x:v>洛阳至冀州/颍川</x:v>
      </x:c>
      <x:c r="E24" s="32" t="str">
        <x:v>CapitalRegion</x:v>
      </x:c>
      <x:c r="F24" s="37"/>
      <x:c r="G24" s="37"/>
      <x:c r="H24" s="32" t="str">
        <x:v>《后汉书·孝灵帝纪》</x:v>
      </x:c>
      <x:c r="I24" s="32" t="str">
        <x:v>范晔</x:v>
      </x:c>
      <x:c r="J24" s="32" t="str">
        <x:v>PrimaryText</x:v>
      </x:c>
      <x:c r="K24" s="32" t="str">
        <x:v>https://zh.wikisource.org/wiki/後漢書/卷8</x:v>
      </x:c>
      <x:c r="L24" s="32" t="str">
        <x:v>卢植、皇甫嵩、朱儁奉诏出征。</x:v>
      </x:c>
      <x:c r="M24" s="32" t="str">
        <x:v>A</x:v>
      </x:c>
      <x:c r="N24" s="32" t="str">
        <x:v>High</x:v>
      </x:c>
      <x:c r="O24" s="33" t="b">
        <x:v>0</x:v>
      </x:c>
      <x:c r="P24" s="32" t="str">
        <x:v>人物与军队离京必须按时间轴迁移。</x:v>
      </x:c>
      <x:c r="Q24" s="32" t="str">
        <x:v>不得同时驻京与在前线。</x:v>
      </x:c>
    </x:row>
    <x:row r="25">
      <x:c r="A25" s="32" t="str">
        <x:v>E023</x:v>
      </x:c>
      <x:c r="B25" s="40" t="n">
        <x:v>184</x:v>
      </x:c>
      <x:c r="C25" s="32" t="str">
        <x:v>184-04</x:v>
      </x:c>
      <x:c r="D25" s="32" t="str">
        <x:v>中央朝廷</x:v>
      </x:c>
      <x:c r="E25" s="32" t="str">
        <x:v>WalledCity</x:v>
      </x:c>
      <x:c r="F25" s="37"/>
      <x:c r="G25" s="37"/>
      <x:c r="H25" s="32" t="str">
        <x:v>《后汉书·孝灵帝纪》</x:v>
      </x:c>
      <x:c r="I25" s="32" t="str">
        <x:v>范晔</x:v>
      </x:c>
      <x:c r="J25" s="32" t="str">
        <x:v>PrimaryText</x:v>
      </x:c>
      <x:c r="K25" s="32" t="str">
        <x:v>https://zh.wikisource.org/wiki/後漢書/卷8</x:v>
      </x:c>
      <x:c r="L25" s="32" t="str">
        <x:v>四月杨赐免太尉。</x:v>
      </x:c>
      <x:c r="M25" s="32" t="str">
        <x:v>A</x:v>
      </x:c>
      <x:c r="N25" s="32" t="str">
        <x:v>High</x:v>
      </x:c>
      <x:c r="O25" s="33" t="b">
        <x:v>0</x:v>
      </x:c>
      <x:c r="P25" s="32" t="str">
        <x:v>确认杨赐年内中央官位与变动。</x:v>
      </x:c>
      <x:c r="Q25" s="32" t="str">
        <x:v>月度状态不可固定全年。</x:v>
      </x:c>
    </x:row>
    <x:row r="26">
      <x:c r="A26" s="32" t="str">
        <x:v>E024</x:v>
      </x:c>
      <x:c r="B26" s="40" t="n">
        <x:v>184</x:v>
      </x:c>
      <x:c r="C26" s="32" t="str">
        <x:v>184-04</x:v>
      </x:c>
      <x:c r="D26" s="32" t="str">
        <x:v>中央朝廷</x:v>
      </x:c>
      <x:c r="E26" s="32" t="str">
        <x:v>WalledCity</x:v>
      </x:c>
      <x:c r="F26" s="37"/>
      <x:c r="G26" s="37"/>
      <x:c r="H26" s="32" t="str">
        <x:v>《后汉书·孝灵帝纪》</x:v>
      </x:c>
      <x:c r="I26" s="32" t="str">
        <x:v>范晔</x:v>
      </x:c>
      <x:c r="J26" s="32" t="str">
        <x:v>PrimaryText</x:v>
      </x:c>
      <x:c r="K26" s="32" t="str">
        <x:v>https://zh.wikisource.org/wiki/後漢書/卷8</x:v>
      </x:c>
      <x:c r="L26" s="32" t="str">
        <x:v>四月张温为司空。</x:v>
      </x:c>
      <x:c r="M26" s="32" t="str">
        <x:v>A</x:v>
      </x:c>
      <x:c r="N26" s="32" t="str">
        <x:v>High</x:v>
      </x:c>
      <x:c r="O26" s="33" t="b">
        <x:v>0</x:v>
      </x:c>
      <x:c r="P26" s="32" t="str">
        <x:v>确认张温年内中央任职。</x:v>
      </x:c>
      <x:c r="Q26" s="32" t="str">
        <x:v>人物母库需复用现有PersonId。</x:v>
      </x:c>
    </x:row>
    <x:row r="27">
      <x:c r="A27" s="32" t="str">
        <x:v>E025</x:v>
      </x:c>
      <x:c r="B27" s="40" t="n">
        <x:v>184</x:v>
      </x:c>
      <x:c r="C27" s="32" t="str">
        <x:v>184</x:v>
      </x:c>
      <x:c r="D27" s="32" t="str">
        <x:v>洛阳秘密活动</x:v>
      </x:c>
      <x:c r="E27" s="32" t="str">
        <x:v>WalledCity</x:v>
      </x:c>
      <x:c r="F27" s="37"/>
      <x:c r="G27" s="37"/>
      <x:c r="H27" s="32" t="str">
        <x:v>《后汉书·皇甫嵩朱儁列传》</x:v>
      </x:c>
      <x:c r="I27" s="32" t="str">
        <x:v>范晔</x:v>
      </x:c>
      <x:c r="J27" s="32" t="str">
        <x:v>PrimaryText</x:v>
      </x:c>
      <x:c r="K27" s="32" t="str">
        <x:v>https://zh.wikisource.org/wiki/後漢書/卷71</x:v>
      </x:c>
      <x:c r="L27" s="32" t="str">
        <x:v>马元义往来京师，事泄后在洛阳被诛。</x:v>
      </x:c>
      <x:c r="M27" s="32" t="str">
        <x:v>A</x:v>
      </x:c>
      <x:c r="N27" s="32" t="str">
        <x:v>High</x:v>
      </x:c>
      <x:c r="O27" s="33" t="b">
        <x:v>0</x:v>
      </x:c>
      <x:c r="P27" s="32" t="str">
        <x:v>确认TemporaryInLuoyang。</x:v>
      </x:c>
      <x:c r="Q27" s="32" t="str">
        <x:v>只在事件期存在。</x:v>
      </x:c>
    </x:row>
    <x:row r="28">
      <x:c r="A28" s="32" t="str">
        <x:v>E026</x:v>
      </x:c>
      <x:c r="B28" s="40" t="n">
        <x:v>184</x:v>
      </x:c>
      <x:c r="C28" s="32" t="str">
        <x:v>184</x:v>
      </x:c>
      <x:c r="D28" s="32" t="str">
        <x:v>洛阳宫廷</x:v>
      </x:c>
      <x:c r="E28" s="32" t="str">
        <x:v>WalledCity</x:v>
      </x:c>
      <x:c r="F28" s="37"/>
      <x:c r="G28" s="37"/>
      <x:c r="H28" s="32" t="str">
        <x:v>《后汉书·皇甫嵩朱儁列传》</x:v>
      </x:c>
      <x:c r="I28" s="32" t="str">
        <x:v>范晔</x:v>
      </x:c>
      <x:c r="J28" s="32" t="str">
        <x:v>PrimaryText</x:v>
      </x:c>
      <x:c r="K28" s="32" t="str">
        <x:v>https://zh.wikisource.org/wiki/後漢書/卷71</x:v>
      </x:c>
      <x:c r="L28" s="32" t="str">
        <x:v>封谞、徐奉被联络为京师内应。</x:v>
      </x:c>
      <x:c r="M28" s="32" t="str">
        <x:v>A</x:v>
      </x:c>
      <x:c r="N28" s="32" t="str">
        <x:v>High</x:v>
      </x:c>
      <x:c r="O28" s="33" t="b">
        <x:v>0</x:v>
      </x:c>
      <x:c r="P28" s="32" t="str">
        <x:v>确认宫廷政治网络与地点。</x:v>
      </x:c>
      <x:c r="Q28" s="32" t="str">
        <x:v>不等同家族组织。</x:v>
      </x:c>
    </x:row>
    <x:row r="29">
      <x:c r="A29" s="32" t="str">
        <x:v>E027</x:v>
      </x:c>
      <x:c r="B29" s="40" t="n">
        <x:v>184</x:v>
      </x:c>
      <x:c r="C29" s="32" t="str">
        <x:v>东汉</x:v>
      </x:c>
      <x:c r="D29" s="32" t="str">
        <x:v>宫廷宦官官署</x:v>
      </x:c>
      <x:c r="E29" s="32" t="str">
        <x:v>WalledCity</x:v>
      </x:c>
      <x:c r="F29" s="37"/>
      <x:c r="G29" s="37"/>
      <x:c r="H29" s="32" t="str">
        <x:v>《后汉书·宦者列传》</x:v>
      </x:c>
      <x:c r="I29" s="32" t="str">
        <x:v>范晔</x:v>
      </x:c>
      <x:c r="J29" s="32" t="str">
        <x:v>PrimaryText</x:v>
      </x:c>
      <x:c r="K29" s="32" t="str">
        <x:v>https://zh.wikisource.org/wiki/後漢書/卷78</x:v>
      </x:c>
      <x:c r="L29" s="32" t="str">
        <x:v>中常侍、小黄门有定员并长期扩张。</x:v>
      </x:c>
      <x:c r="M29" s="32" t="str">
        <x:v>A</x:v>
      </x:c>
      <x:c r="N29" s="32" t="str">
        <x:v>Medium</x:v>
      </x:c>
      <x:c r="O29" s="33" t="b">
        <x:v>1</x:v>
      </x:c>
      <x:c r="P29" s="32" t="str">
        <x:v>只约束官员层，宫廷服务人口另作C级推算。</x:v>
      </x:c>
      <x:c r="Q29" s="32" t="str">
        <x:v>不能把官员定员等同全部宫人。</x:v>
      </x:c>
    </x:row>
    <x:row r="30">
      <x:c r="A30" s="32" t="str">
        <x:v>E028</x:v>
      </x:c>
      <x:c r="B30" s="40" t="n">
        <x:v>184</x:v>
      </x:c>
      <x:c r="C30" s="32" t="str">
        <x:v>东汉</x:v>
      </x:c>
      <x:c r="D30" s="32" t="str">
        <x:v>中央与地方官署</x:v>
      </x:c>
      <x:c r="E30" s="32" t="str">
        <x:v>CapitalRegion</x:v>
      </x:c>
      <x:c r="F30" s="37"/>
      <x:c r="G30" s="37"/>
      <x:c r="H30" s="32" t="str">
        <x:v>《后汉书·百官志三、五》</x:v>
      </x:c>
      <x:c r="I30" s="32" t="str">
        <x:v>司马彪</x:v>
      </x:c>
      <x:c r="J30" s="32" t="str">
        <x:v>PrimaryText</x:v>
      </x:c>
      <x:c r="K30" s="32" t="str">
        <x:v>https://m.gushiwen.cn/guwen/bookv_76db8c6bb94d.aspx</x:v>
      </x:c>
      <x:c r="L30" s="32" t="str">
        <x:v>官署包含长官、丞、属官与吏员层级。</x:v>
      </x:c>
      <x:c r="M30" s="32" t="str">
        <x:v>A</x:v>
      </x:c>
      <x:c r="N30" s="32" t="str">
        <x:v>High</x:v>
      </x:c>
      <x:c r="O30" s="33" t="b">
        <x:v>1</x:v>
      </x:c>
      <x:c r="P30" s="32" t="str">
        <x:v>建立OfficeHolder、SubordinateOfficials、Clerks、ServiceWorkers四层。</x:v>
      </x:c>
      <x:c r="Q30" s="32" t="str">
        <x:v>具体184总数仍为模型推算。</x:v>
      </x:c>
    </x:row>
    <x:row r="31">
      <x:c r="A31" s="32" t="str">
        <x:v>E029</x:v>
      </x:c>
      <x:c r="B31" s="40" t="n">
        <x:v>184</x:v>
      </x:c>
      <x:c r="C31" s="32" t="str">
        <x:v>东汉</x:v>
      </x:c>
      <x:c r="D31" s="32" t="str">
        <x:v>雒阳市政与仓储</x:v>
      </x:c>
      <x:c r="E31" s="32" t="str">
        <x:v>UrbanArea</x:v>
      </x:c>
      <x:c r="F31" s="37"/>
      <x:c r="G31" s="37"/>
      <x:c r="H31" s="32" t="str">
        <x:v>《后汉书·百官志三》</x:v>
      </x:c>
      <x:c r="I31" s="32" t="str">
        <x:v>司马彪</x:v>
      </x:c>
      <x:c r="J31" s="32" t="str">
        <x:v>PrimaryText</x:v>
      </x:c>
      <x:c r="K31" s="32" t="str">
        <x:v>https://www.gushiwen.cn/guwen/bookv_2b4e2c518bf1.aspx</x:v>
      </x:c>
      <x:c r="L31" s="32" t="str">
        <x:v>雒阳市长、敖仓官属河南尹。</x:v>
      </x:c>
      <x:c r="M31" s="32" t="str">
        <x:v>A</x:v>
      </x:c>
      <x:c r="N31" s="32" t="str">
        <x:v>Medium</x:v>
      </x:c>
      <x:c r="O31" s="33" t="b">
        <x:v>0</x:v>
      </x:c>
      <x:c r="P31" s="32" t="str">
        <x:v>支持市场与仓储公共岗位。</x:v>
      </x:c>
      <x:c r="Q31" s="32" t="str">
        <x:v>敖仓不等同城内仓库。</x:v>
      </x:c>
    </x:row>
    <x:row r="32">
      <x:c r="A32" s="32" t="str">
        <x:v>E030</x:v>
      </x:c>
      <x:c r="B32" s="40" t="n">
        <x:v>184</x:v>
      </x:c>
      <x:c r="C32" s="32" t="str">
        <x:v>西汉</x:v>
      </x:c>
      <x:c r="D32" s="32" t="str">
        <x:v>汉长安城</x:v>
      </x:c>
      <x:c r="E32" s="32" t="str">
        <x:v>WalledCity</x:v>
      </x:c>
      <x:c r="F32" s="37"/>
      <x:c r="G32" s="37"/>
      <x:c r="H32" s="32" t="str">
        <x:v>汉长安城遗址</x:v>
      </x:c>
      <x:c r="I32" s="32" t="str">
        <x:v>陕西省地方志办公室</x:v>
      </x:c>
      <x:c r="J32" s="32" t="str">
        <x:v>OfficialArchaeologySummary</x:v>
      </x:c>
      <x:c r="K32" s="32" t="str">
        <x:v>https://dfz.shaanxi.gov.cn/zslm/sxsq/msgj/200611/t20061110_2620037.html</x:v>
      </x:c>
      <x:c r="L32" s="32" t="str">
        <x:v>汉长安城面积约36平方公里。</x:v>
      </x:c>
      <x:c r="M32" s="32" t="str">
        <x:v>B</x:v>
      </x:c>
      <x:c r="N32" s="32" t="str">
        <x:v>Low</x:v>
      </x:c>
      <x:c r="O32" s="33" t="b">
        <x:v>1</x:v>
      </x:c>
      <x:c r="P32" s="32" t="str">
        <x:v>仅作为首都土地结构横向校验。</x:v>
      </x:c>
      <x:c r="Q32" s="32" t="str">
        <x:v>不能替代184洛阳。</x:v>
      </x:c>
    </x:row>
    <x:row r="33">
      <x:c r="A33" s="32" t="str">
        <x:v>E031</x:v>
      </x:c>
      <x:c r="B33" s="40" t="n">
        <x:v>184</x:v>
      </x:c>
      <x:c r="C33" s="32" t="str">
        <x:v>西汉</x:v>
      </x:c>
      <x:c r="D33" s="32" t="str">
        <x:v>汉长安城</x:v>
      </x:c>
      <x:c r="E33" s="32" t="str">
        <x:v>WalledCity</x:v>
      </x:c>
      <x:c r="F33" s="37"/>
      <x:c r="G33" s="37"/>
      <x:c r="H33" s="32" t="str">
        <x:v>西汉长安城主要部分是宫殿 百姓居住面积仅占三成</x:v>
      </x:c>
      <x:c r="I33" s="32" t="str">
        <x:v>人民网转引考古研究</x:v>
      </x:c>
      <x:c r="J33" s="32" t="str">
        <x:v>ResearchNews</x:v>
      </x:c>
      <x:c r="K33" s="32" t="str">
        <x:v>https://culture.people.com.cn/n/2014/1229/c22219-26291831.html</x:v>
      </x:c>
      <x:c r="L33" s="32" t="str">
        <x:v>宫殿、官署等占据大部分城内土地。</x:v>
      </x:c>
      <x:c r="M33" s="32" t="str">
        <x:v>B</x:v>
      </x:c>
      <x:c r="N33" s="32" t="str">
        <x:v>Low</x:v>
      </x:c>
      <x:c r="O33" s="33" t="b">
        <x:v>1</x:v>
      </x:c>
      <x:c r="P33" s="32" t="str">
        <x:v>校验首都不能按总面积直接乘住宅密度。</x:v>
      </x:c>
      <x:c r="Q33" s="32" t="str">
        <x:v>跨城市仅作合理性检查。</x:v>
      </x:c>
    </x:row>
    <x:row r="34">
      <x:c r="A34" s="32" t="str">
        <x:v>E032</x:v>
      </x:c>
      <x:c r="B34" s="40" t="n">
        <x:v>184</x:v>
      </x:c>
      <x:c r="C34" s="32" t="str">
        <x:v>古代城市比较</x:v>
      </x:c>
      <x:c r="D34" s="32" t="str">
        <x:v>其他古代城市</x:v>
      </x:c>
      <x:c r="E34" s="32" t="str">
        <x:v>Unknown</x:v>
      </x:c>
      <x:c r="F34" s="37"/>
      <x:c r="G34" s="37"/>
      <x:c r="H34" s="32" t="str">
        <x:v>中国古代城市居住密度特征</x:v>
      </x:c>
      <x:c r="I34" s="32" t="str">
        <x:v>学术论文</x:v>
      </x:c>
      <x:c r="J34" s="32" t="str">
        <x:v>AcademicStudy</x:v>
      </x:c>
      <x:c r="K34" s="32" t="str">
        <x:v>https://files.in5.cn/202002/中国古代城市居住密度特征_城市密度.pdf</x:v>
      </x:c>
      <x:c r="L34" s="32" t="str">
        <x:v>古代建成区密度案例约一万七千人/平方公里。</x:v>
      </x:c>
      <x:c r="M34" s="32" t="str">
        <x:v>C</x:v>
      </x:c>
      <x:c r="N34" s="32" t="str">
        <x:v>Low</x:v>
      </x:c>
      <x:c r="O34" s="33" t="b">
        <x:v>1</x:v>
      </x:c>
      <x:c r="P34" s="32" t="str">
        <x:v>只设宽密度包络，不直接套用首都。</x:v>
      </x:c>
      <x:c r="Q34" s="32" t="str">
        <x:v>样本时期与洛阳不同。</x:v>
      </x:c>
    </x:row>
    <x:row r="35">
      <x:c r="A35" s="32" t="str">
        <x:v>E033</x:v>
      </x:c>
      <x:c r="B35" s="40" t="n">
        <x:v>184</x:v>
      </x:c>
      <x:c r="C35" s="32" t="str">
        <x:v>140</x:v>
      </x:c>
      <x:c r="D35" s="32" t="str">
        <x:v>东汉全国</x:v>
      </x:c>
      <x:c r="E35" s="32" t="str">
        <x:v>Unknown</x:v>
      </x:c>
      <x:c r="F35" s="37" t="n">
        <x:v>9698630</x:v>
      </x:c>
      <x:c r="G35" s="37" t="n">
        <x:v>49150220</x:v>
      </x:c>
      <x:c r="H35" s="32" t="str">
        <x:v>《后汉书·郡国志》汇总</x:v>
      </x:c>
      <x:c r="I35" s="32" t="str">
        <x:v>司马彪（志）/刘昭（注）</x:v>
      </x:c>
      <x:c r="J35" s="32" t="str">
        <x:v>PrimaryText</x:v>
      </x:c>
      <x:c r="K35" s="32" t="str">
        <x:v>https://m.gushiwen.cn/guwen/bookv_e0a4b52175e4.aspx</x:v>
      </x:c>
      <x:c r="L35" s="32" t="str">
        <x:v>永和五年全国户口汇总。</x:v>
      </x:c>
      <x:c r="M35" s="32" t="str">
        <x:v>A</x:v>
      </x:c>
      <x:c r="N35" s="32" t="str">
        <x:v>Medium</x:v>
      </x:c>
      <x:c r="O35" s="33" t="b">
        <x:v>1</x:v>
      </x:c>
      <x:c r="P35" s="32" t="str">
        <x:v>校验河南尹约占全国2.06%。</x:v>
      </x:c>
      <x:c r="Q35" s="32" t="str">
        <x:v>汇总口径仍有漏籍问题。</x:v>
      </x:c>
    </x:row>
    <x:row r="36">
      <x:c r="A36" s="34" t="str">
        <x:v>E034</x:v>
      </x:c>
      <x:c r="B36" s="41" t="n">
        <x:v>184</x:v>
      </x:c>
      <x:c r="C36" s="34" t="str">
        <x:v>157</x:v>
      </x:c>
      <x:c r="D36" s="34" t="str">
        <x:v>东汉全国</x:v>
      </x:c>
      <x:c r="E36" s="34" t="str">
        <x:v>Unknown</x:v>
      </x:c>
      <x:c r="F36" s="38" t="n">
        <x:v>10677401</x:v>
      </x:c>
      <x:c r="G36" s="38" t="n">
        <x:v>56366856</x:v>
      </x:c>
      <x:c r="H36" s="34" t="str">
        <x:v>《帝王世纪》引东汉户口</x:v>
      </x:c>
      <x:c r="I36" s="34" t="str">
        <x:v>皇甫谧（传世引文）</x:v>
      </x:c>
      <x:c r="J36" s="34" t="str">
        <x:v>HistoricalCompilation</x:v>
      </x:c>
      <x:c r="K36" s="34" t="str">
        <x:v>https://www.gushiwen.cn/guwen/bookv_e0a4b52175e4.aspx</x:v>
      </x:c>
      <x:c r="L36" s="34" t="str">
        <x:v>永寿二年户口高于140年汇总。</x:v>
      </x:c>
      <x:c r="M36" s="34" t="str">
        <x:v>B</x:v>
      </x:c>
      <x:c r="N36" s="34" t="str">
        <x:v>Low</x:v>
      </x:c>
      <x:c r="O36" s="35" t="b">
        <x:v>1</x:v>
      </x:c>
      <x:c r="P36" s="34" t="str">
        <x:v>说明184前总量并非静止；不据此外推洛阳。</x:v>
      </x:c>
      <x:c r="Q36" s="34" t="str">
        <x:v>传世数字与版本需持续校核。</x:v>
      </x:c>
    </x:row>
  </x:sheetData>
  <x:mergeCells>
    <x:mergeCell ref="A1:Q1"/>
  </x:mergeCells>
  <x:dataValidations count="1">
    <x:dataValidation type="list" sqref="M3:M36">
      <x:formula1>"A,B,C,D"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4ef5bbbf10b54b8f"/>
  </x:tableParts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2" hidden="0" customWidth="1"/>
    <x:col min="2" max="2" width="22" hidden="0" customWidth="1"/>
    <x:col min="3" max="3" width="22" hidden="0" customWidth="1"/>
    <x:col min="4" max="4" width="22" hidden="0" customWidth="1"/>
    <x:col min="5" max="5" width="22" hidden="0" customWidth="1"/>
    <x:col min="6" max="6" width="22" hidden="0" customWidth="1"/>
  </x:cols>
  <x:sheetData>
    <x:row r="1">
      <x:c r="A1" s="46" t="str">
        <x:v>证据覆盖与审计摘要</x:v>
      </x:c>
      <x:c r="B1" s="46"/>
      <x:c r="C1" s="46"/>
      <x:c r="D1" s="46"/>
      <x:c r="E1" s="46"/>
      <x:c r="F1" s="46"/>
    </x:row>
    <x:row r="2">
      <x:c r="A2" s="47"/>
      <x:c r="B2" s="47"/>
      <x:c r="C2" s="47"/>
      <x:c r="D2" s="47"/>
      <x:c r="E2" s="47"/>
      <x:c r="F2" s="47"/>
    </x:row>
    <x:row r="3">
      <x:c r="A3" s="48" t="str">
        <x:v>指标</x:v>
      </x:c>
      <x:c r="B3" s="48" t="str">
        <x:v>结果</x:v>
      </x:c>
      <x:c r="C3" s="47"/>
      <x:c r="D3" s="48" t="str">
        <x:v>关键边界</x:v>
      </x:c>
      <x:c r="E3" s="48" t="str">
        <x:v>结论</x:v>
      </x:c>
      <x:c r="F3" s="48" t="str">
        <x:v>可信度</x:v>
      </x:c>
    </x:row>
    <x:row r="4">
      <x:c r="A4" s="47" t="str">
        <x:v>有效证据条目</x:v>
      </x:c>
      <x:c r="B4" s="49" t="n">
        <x:f>COUNTA('HistoricalPopulationEvidence'!A3:A36)</x:f>
        <x:v>34</x:v>
      </x:c>
      <x:c r="C4" s="47"/>
      <x:c r="D4" s="47" t="str">
        <x:v>河南尹140户口</x:v>
      </x:c>
      <x:c r="E4" s="47" t="str">
        <x:v>1,010,827口；不是洛阳城人口</x:v>
      </x:c>
      <x:c r="F4" s="47" t="str">
        <x:v>A</x:v>
      </x:c>
    </x:row>
    <x:row r="5">
      <x:c r="A5" s="47" t="str">
        <x:v>A级证据</x:v>
      </x:c>
      <x:c r="B5" s="49" t="n">
        <x:f>COUNTIF('HistoricalPopulationEvidence'!M3:M36,"A")</x:f>
        <x:v>22</x:v>
      </x:c>
      <x:c r="C5" s="47"/>
      <x:c r="D5" s="47" t="str">
        <x:v>城墙内面积</x:v>
      </x:c>
      <x:c r="E5" s="47" t="str">
        <x:v>约10平方公里</x:v>
      </x:c>
      <x:c r="F5" s="47" t="str">
        <x:v>B</x:v>
      </x:c>
    </x:row>
    <x:row r="6">
      <x:c r="A6" s="47" t="str">
        <x:v>B级证据</x:v>
      </x:c>
      <x:c r="B6" s="49" t="n">
        <x:f>COUNTIF('HistoricalPopulationEvidence'!M3:M36,"B")</x:f>
        <x:v>11</x:v>
      </x:c>
      <x:c r="C6" s="47"/>
      <x:c r="D6" s="47" t="str">
        <x:v>城墙内人口</x:v>
      </x:c>
      <x:c r="E6" s="47" t="str">
        <x:v>200,000推荐</x:v>
      </x:c>
      <x:c r="F6" s="47" t="str">
        <x:v>B</x:v>
      </x:c>
    </x:row>
    <x:row r="7">
      <x:c r="A7" s="47" t="str">
        <x:v>C级证据</x:v>
      </x:c>
      <x:c r="B7" s="49" t="n">
        <x:f>COUNTIF('HistoricalPopulationEvidence'!M3:M36,"C")</x:f>
        <x:v>1</x:v>
      </x:c>
      <x:c r="C7" s="47"/>
      <x:c r="D7" s="47" t="str">
        <x:v>洛阳地区人口</x:v>
      </x:c>
      <x:c r="E7" s="47" t="str">
        <x:v>400,000推荐</x:v>
      </x:c>
      <x:c r="F7" s="47" t="str">
        <x:v>B</x:v>
      </x:c>
    </x:row>
    <x:row r="8">
      <x:c r="A8" s="47" t="str">
        <x:v>D级证据</x:v>
      </x:c>
      <x:c r="B8" s="49" t="n">
        <x:f>COUNTIF('HistoricalPopulationEvidence'!M3:M36,"D")</x:f>
        <x:v>0</x:v>
      </x:c>
      <x:c r="C8" s="47"/>
      <x:c r="D8" s="47" t="str">
        <x:v>供给区人口</x:v>
      </x:c>
      <x:c r="E8" s="47" t="str">
        <x:v>700,000模型推荐</x:v>
      </x:c>
      <x:c r="F8" s="47" t="str">
        <x:v>C</x:v>
      </x:c>
    </x:row>
    <x:row r="9">
      <x:c r="A9" s="47"/>
      <x:c r="B9" s="47"/>
      <x:c r="C9" s="47"/>
      <x:c r="D9" s="47"/>
      <x:c r="E9" s="47"/>
      <x:c r="F9" s="47"/>
    </x:row>
    <x:row r="10">
      <x:c r="A10" s="50" t="str">
        <x:v>使用规则</x:v>
      </x:c>
      <x:c r="B10" s="50"/>
      <x:c r="C10" s="50"/>
      <x:c r="D10" s="50"/>
      <x:c r="E10" s="50"/>
      <x:c r="F10" s="50"/>
    </x:row>
    <x:row r="11">
      <x:c r="A11" s="47" t="str">
        <x:v>1. 河南尹、雒阳县、京师、城墙内、连续城区、近郊和供给区不得混用。</x:v>
      </x:c>
      <x:c r="B11" s="47"/>
      <x:c r="C11" s="47"/>
      <x:c r="D11" s="47"/>
      <x:c r="E11" s="47"/>
      <x:c r="F11" s="47"/>
    </x:row>
    <x:row r="12">
      <x:c r="A12" s="47" t="str">
        <x:v>2. Recommended不是Low与High的平均数，而是证据锚点与独立模型的收敛值。</x:v>
      </x:c>
      <x:c r="B12" s="47"/>
      <x:c r="C12" s="47"/>
      <x:c r="D12" s="47"/>
      <x:c r="E12" s="47"/>
      <x:c r="F12" s="47"/>
    </x:row>
    <x:row r="13">
      <x:c r="A13" s="47" t="str">
        <x:v>3. B/C级数据只作初始化约束或区间，后续发现更高等级证据时必须可替换。</x:v>
      </x:c>
      <x:c r="B13" s="47"/>
      <x:c r="C13" s="47"/>
      <x:c r="D13" s="47"/>
      <x:c r="E13" s="47"/>
      <x:c r="F13" s="47"/>
    </x:row>
  </x:sheetData>
  <x:mergeCells>
    <x:mergeCell ref="A1:F1"/>
    <x:mergeCell ref="A10:F10"/>
    <x:mergeCell ref="A11:F11"/>
    <x:mergeCell ref="A12:F12"/>
    <x:mergeCell ref="A13:F13"/>
  </x:mergeCells>
  <x:pageMargins left="0.7" right="0.7" top="0.75" bottom="0.75" header="0.3" footer="0.3"/>
</x:worksheet>
</file>