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0295dedee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alModel" sheetId="1" r:id="R771e4bcd6df54ebf"/>
    <x:sheet xmlns:r="http://schemas.openxmlformats.org/officeDocument/2006/relationships" name="ActiveLabor" sheetId="2" r:id="R3bb96a8b1669443a"/>
    <x:sheet xmlns:r="http://schemas.openxmlformats.org/officeDocument/2006/relationships" name="PalaceGovernmentMilitary" sheetId="3" r:id="Rca59aba2db7246ef"/>
    <x:sheet xmlns:r="http://schemas.openxmlformats.org/officeDocument/2006/relationships" name="SocialSummary" sheetId="4" r:id="Rcf922a36ea17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2A21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E8F0E3"/>
      </x:patternFill>
    </x:fill>
  </x:fills>
  <x:borders count="7">
    <x:border/>
    <x:border>
      <x:left style="thin">
        <x:color rgb="FFC9BBA4"/>
      </x:left>
      <x:top style="thin">
        <x:color rgb="FFC9BBA4"/>
      </x:top>
      <x:bottom style="thin">
        <x:color rgb="FFC9BBA4"/>
      </x:bottom>
    </x:border>
    <x:border>
      <x:top style="thin">
        <x:color rgb="FFC9BBA4"/>
      </x:top>
      <x:bottom style="thin">
        <x:color rgb="FFC9BBA4"/>
      </x:bottom>
    </x:border>
    <x:border>
      <x:right style="thin">
        <x:color rgb="FFC9BBA4"/>
      </x:right>
      <x:top style="thin">
        <x:color rgb="FFC9BBA4"/>
      </x:top>
      <x:bottom style="thin">
        <x:color rgb="FFC9BBA4"/>
      </x:bottom>
    </x:border>
    <x:border>
      <x:bottom style="thin">
        <x:color rgb="FFE7DED0"/>
      </x:bottom>
    </x:border>
    <x:border>
      <x:top style="thin">
        <x:color rgb="FFE7DED0"/>
      </x:top>
      <x:bottom style="thin">
        <x:color rgb="FFE7DED0"/>
      </x:bottom>
    </x:border>
    <x:border>
      <x:top style="thin">
        <x:color rgb="FFE7DED0"/>
      </x:top>
      <x:bottom style="thin">
        <x:color rgb="FFC9BBA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b2840b4614de0" /><Relationship Type="http://schemas.openxmlformats.org/officeDocument/2006/relationships/theme" Target="/xl/theme/theme1.xml" Id="R518a04fa6a1a4f4b" /><Relationship Type="http://schemas.openxmlformats.org/officeDocument/2006/relationships/sharedStrings" Target="/xl/sharedStrings.xml" Id="R742889e1b9db4540" /><Relationship Type="http://schemas.openxmlformats.org/officeDocument/2006/relationships/worksheet" Target="/xl/worksheets/sheet1.xml" Id="R771e4bcd6df54ebf" /><Relationship Type="http://schemas.openxmlformats.org/officeDocument/2006/relationships/worksheet" Target="/xl/worksheets/sheet2.xml" Id="R3bb96a8b1669443a" /><Relationship Type="http://schemas.openxmlformats.org/officeDocument/2006/relationships/worksheet" Target="/xl/worksheets/sheet3.xml" Id="Rca59aba2db7246ef" /><Relationship Type="http://schemas.openxmlformats.org/officeDocument/2006/relationships/worksheet" Target="/xl/worksheets/sheet4.xml" Id="Rcf922a36ea17473b" /></Relationships>
</file>

<file path=xl/tables/table1.xml><?xml version="1.0" encoding="utf-8"?>
<x:table xmlns:x="http://schemas.openxmlformats.org/spreadsheetml/2006/main" id="1" name="SocialModelTable" displayName="SocialModelTable" ref="A2:L19" headerRowCount="1" totalsRowCount="0" totalsRowShown="0">
  <x:tableColumns count="12">
    <x:tableColumn id="1" name="Category"/>
    <x:tableColumn id="2" name="SubCategory"/>
    <x:tableColumn id="3" name="PopulationLow"/>
    <x:tableColumn id="4" name="PopulationRecommended"/>
    <x:tableColumn id="5" name="PopulationHigh"/>
    <x:tableColumn id="6" name="Share"/>
    <x:tableColumn id="7" name="LaborStatus"/>
    <x:tableColumn id="8" name="LikelyResidence"/>
    <x:tableColumn id="9" name="LikelyWorkFacility"/>
    <x:tableColumn id="10" name="Evidence"/>
    <x:tableColumn id="11" name="Confidenc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LaborTable" displayName="ActiveLaborTable" ref="A2:H15" headerRowCount="1" totalsRowCount="0" totalsRowShown="0">
  <x:tableColumns count="8">
    <x:tableColumn id="1" name="Sector"/>
    <x:tableColumn id="2" name="Low"/>
    <x:tableColumn id="3" name="Recommended"/>
    <x:tableColumn id="4" name="High"/>
    <x:tableColumn id="5" name="LikelyResidence"/>
    <x:tableColumn id="6" name="LikelyWorkFacility"/>
    <x:tableColumn id="7" name="Confidence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alPopulationTable" displayName="SpecialPopulationTable" ref="A2:I14" headerRowCount="1" totalsRowCount="0" totalsRowShown="0">
  <x:tableColumns count="9">
    <x:tableColumn id="1" name="System"/>
    <x:tableColumn id="2" name="SubCategory"/>
    <x:tableColumn id="3" name="Low"/>
    <x:tableColumn id="4" name="Recommended"/>
    <x:tableColumn id="5" name="High"/>
    <x:tableColumn id="6" name="LikelyResidence"/>
    <x:tableColumn id="7" name="RoleLayer"/>
    <x:tableColumn id="8" name="Confidenc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8abf21dc4943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9ee2f97f934f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a2463c87024f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6" hidden="0" customWidth="1"/>
    <x:col min="4" max="4" width="21" hidden="0" customWidth="1"/>
    <x:col min="5" max="5" width="16" hidden="0" customWidth="1"/>
    <x:col min="6" max="6" width="13" hidden="0" customWidth="1"/>
    <x:col min="7" max="7" width="18" hidden="0" customWidth="1"/>
    <x:col min="8" max="8" width="22" hidden="0" customWidth="1"/>
    <x:col min="9" max="9" width="28" hidden="0" customWidth="1"/>
    <x:col min="10" max="10" width="28" hidden="0" customWidth="1"/>
    <x:col min="11" max="11" width="12" hidden="0" customWidth="1"/>
    <x:col min="12" max="12" width="45" hidden="0" customWidth="1"/>
  </x:cols>
  <x:sheetData>
    <x:row r="1" ht="30" customHeight="1">
      <x:c r="A1" s="3" t="str">
        <x:v>184洛阳社会结构与职业模型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12" t="str">
        <x:v>Category</x:v>
      </x:c>
      <x:c r="B2" s="13" t="str">
        <x:v>SubCategory</x:v>
      </x:c>
      <x:c r="C2" s="13" t="str">
        <x:v>PopulationLow</x:v>
      </x:c>
      <x:c r="D2" s="13" t="str">
        <x:v>PopulationRecommended</x:v>
      </x:c>
      <x:c r="E2" s="13" t="str">
        <x:v>PopulationHigh</x:v>
      </x:c>
      <x:c r="F2" s="13" t="str">
        <x:v>Share</x:v>
      </x:c>
      <x:c r="G2" s="13" t="str">
        <x:v>LaborStatus</x:v>
      </x:c>
      <x:c r="H2" s="13" t="str">
        <x:v>LikelyResidence</x:v>
      </x:c>
      <x:c r="I2" s="13" t="str">
        <x:v>LikelyWorkFacility</x:v>
      </x:c>
      <x:c r="J2" s="13" t="str">
        <x:v>Evidence</x:v>
      </x:c>
      <x:c r="K2" s="13" t="str">
        <x:v>Confidence</x:v>
      </x:c>
      <x:c r="L2" s="14" t="str">
        <x:v>Notes</x:v>
      </x:c>
    </x:row>
    <x:row r="3">
      <x:c r="A3" s="22" t="str">
        <x:v>AgeStructure</x:v>
      </x:c>
      <x:c r="B3" s="22" t="str">
        <x:v>Children_0_14</x:v>
      </x:c>
      <x:c r="C3" s="25" t="n">
        <x:v>175000</x:v>
      </x:c>
      <x:c r="D3" s="25" t="n">
        <x:v>210000</x:v>
      </x:c>
      <x:c r="E3" s="25" t="n">
        <x:v>270000</x:v>
      </x:c>
      <x:c r="F3" s="28" t="n">
        <x:v>0.3</x:v>
      </x:c>
      <x:c r="G3" s="22" t="str">
        <x:v>Dependent</x:v>
      </x:c>
      <x:c r="H3" s="22" t="str">
        <x:v>All scopes</x:v>
      </x:c>
      <x:c r="I3" s="22" t="str">
        <x:v>Household/School</x:v>
      </x:c>
      <x:c r="J3" s="22" t="str">
        <x:v>HistoricalInference</x:v>
      </x:c>
      <x:c r="K3" s="22" t="str">
        <x:v>C</x:v>
      </x:c>
      <x:c r="L3" s="22" t="str">
        <x:v>高生育高死亡人口模型；不套现代城市。</x:v>
      </x:c>
    </x:row>
    <x:row r="4">
      <x:c r="A4" s="23" t="str">
        <x:v>AgeStructure</x:v>
      </x:c>
      <x:c r="B4" s="23" t="str">
        <x:v>Youth_15_19</x:v>
      </x:c>
      <x:c r="C4" s="26" t="n">
        <x:v>55000</x:v>
      </x:c>
      <x:c r="D4" s="26" t="n">
        <x:v>70000</x:v>
      </x:c>
      <x:c r="E4" s="26" t="n">
        <x:v>90000</x:v>
      </x:c>
      <x:c r="F4" s="29" t="n">
        <x:v>0.1</x:v>
      </x:c>
      <x:c r="G4" s="23" t="str">
        <x:v>Mixed</x:v>
      </x:c>
      <x:c r="H4" s="23" t="str">
        <x:v>All scopes</x:v>
      </x:c>
      <x:c r="I4" s="23" t="str">
        <x:v>Household/Apprenticeship</x:v>
      </x:c>
      <x:c r="J4" s="23" t="str">
        <x:v>HistoricalInference</x:v>
      </x:c>
      <x:c r="K4" s="23" t="str">
        <x:v>C</x:v>
      </x:c>
      <x:c r="L4" s="23" t="str">
        <x:v>部分进入劳动、教育或服役。</x:v>
      </x:c>
    </x:row>
    <x:row r="5">
      <x:c r="A5" s="23" t="str">
        <x:v>AgeStructure</x:v>
      </x:c>
      <x:c r="B5" s="23" t="str">
        <x:v>Adult_20_59</x:v>
      </x:c>
      <x:c r="C5" s="26" t="n">
        <x:v>280000</x:v>
      </x:c>
      <x:c r="D5" s="26" t="n">
        <x:v>364000</x:v>
      </x:c>
      <x:c r="E5" s="26" t="n">
        <x:v>468000</x:v>
      </x:c>
      <x:c r="F5" s="29" t="n">
        <x:v>0.52</x:v>
      </x:c>
      <x:c r="G5" s="23" t="str">
        <x:v>LaborMajority</x:v>
      </x:c>
      <x:c r="H5" s="23" t="str">
        <x:v>All scopes</x:v>
      </x:c>
      <x:c r="I5" s="23" t="str">
        <x:v>All</x:v>
      </x:c>
      <x:c r="J5" s="23" t="str">
        <x:v>HistoricalInference</x:v>
      </x:c>
      <x:c r="K5" s="23" t="str">
        <x:v>C</x:v>
      </x:c>
      <x:c r="L5" s="23" t="str">
        <x:v>主要劳动力与家户责任人口。</x:v>
      </x:c>
    </x:row>
    <x:row r="6">
      <x:c r="A6" s="23" t="str">
        <x:v>AgeStructure</x:v>
      </x:c>
      <x:c r="B6" s="23" t="str">
        <x:v>Elderly_60_plus</x:v>
      </x:c>
      <x:c r="C6" s="26" t="n">
        <x:v>40000</x:v>
      </x:c>
      <x:c r="D6" s="26" t="n">
        <x:v>56000</x:v>
      </x:c>
      <x:c r="E6" s="26" t="n">
        <x:v>72000</x:v>
      </x:c>
      <x:c r="F6" s="29" t="n">
        <x:v>0.08</x:v>
      </x:c>
      <x:c r="G6" s="23" t="str">
        <x:v>Dependent/Mixed</x:v>
      </x:c>
      <x:c r="H6" s="23" t="str">
        <x:v>All scopes</x:v>
      </x:c>
      <x:c r="I6" s="23" t="str">
        <x:v>Household/Elite/Religious</x:v>
      </x:c>
      <x:c r="J6" s="23" t="str">
        <x:v>HistoricalInference</x:v>
      </x:c>
      <x:c r="K6" s="23" t="str">
        <x:v>C</x:v>
      </x:c>
      <x:c r="L6" s="23" t="str">
        <x:v>寿命与灾害敏感参数。</x:v>
      </x:c>
    </x:row>
    <x:row r="7">
      <x:c r="A7" s="23" t="str">
        <x:v>LivelihoodAffiliation</x:v>
      </x:c>
      <x:c r="B7" s="23" t="str">
        <x:v>Agriculture</x:v>
      </x:c>
      <x:c r="C7" s="26" t="n">
        <x:v>190000</x:v>
      </x:c>
      <x:c r="D7" s="26" t="n">
        <x:v>260000</x:v>
      </x:c>
      <x:c r="E7" s="26" t="n">
        <x:v>350000</x:v>
      </x:c>
      <x:c r="F7" s="29" t="n">
        <x:v>0.37142857142857144</x:v>
      </x:c>
      <x:c r="G7" s="23" t="str">
        <x:v>Mixed household</x:v>
      </x:c>
      <x:c r="H7" s="23" t="str">
        <x:v>Village/Supply</x:v>
      </x:c>
      <x:c r="I7" s="23" t="str">
        <x:v>Farm/Granary/Transport</x:v>
      </x:c>
      <x:c r="J7" s="23" t="str">
        <x:v>HistoricalInference</x:v>
      </x:c>
      <x:c r="K7" s="23" t="str">
        <x:v>C</x:v>
      </x:c>
      <x:c r="L7" s="23" t="str">
        <x:v>主要在供给区，不塞入城墙内。</x:v>
      </x:c>
    </x:row>
    <x:row r="8">
      <x:c r="A8" s="23" t="str">
        <x:v>LivelihoodAffiliation</x:v>
      </x:c>
      <x:c r="B8" s="23" t="str">
        <x:v>Crafts</x:v>
      </x:c>
      <x:c r="C8" s="26" t="n">
        <x:v>50000</x:v>
      </x:c>
      <x:c r="D8" s="26" t="n">
        <x:v>70000</x:v>
      </x:c>
      <x:c r="E8" s="26" t="n">
        <x:v>90000</x:v>
      </x:c>
      <x:c r="F8" s="29" t="n">
        <x:v>0.1</x:v>
      </x:c>
      <x:c r="G8" s="23" t="str">
        <x:v>Mixed household</x:v>
      </x:c>
      <x:c r="H8" s="23" t="str">
        <x:v>Urban/Metro</x:v>
      </x:c>
      <x:c r="I8" s="23" t="str">
        <x:v>Workshop/Market</x:v>
      </x:c>
      <x:c r="J8" s="23" t="str">
        <x:v>HistoricalInference</x:v>
      </x:c>
      <x:c r="K8" s="23" t="str">
        <x:v>C</x:v>
      </x:c>
      <x:c r="L8" s="23" t="str">
        <x:v>含工匠家庭成员。</x:v>
      </x:c>
    </x:row>
    <x:row r="9">
      <x:c r="A9" s="23" t="str">
        <x:v>LivelihoodAffiliation</x:v>
      </x:c>
      <x:c r="B9" s="23" t="str">
        <x:v>Trade</x:v>
      </x:c>
      <x:c r="C9" s="26" t="n">
        <x:v>40000</x:v>
      </x:c>
      <x:c r="D9" s="26" t="n">
        <x:v>55000</x:v>
      </x:c>
      <x:c r="E9" s="26" t="n">
        <x:v>70000</x:v>
      </x:c>
      <x:c r="F9" s="29" t="n">
        <x:v>0.07857142857142857</x:v>
      </x:c>
      <x:c r="G9" s="23" t="str">
        <x:v>Mixed household</x:v>
      </x:c>
      <x:c r="H9" s="23" t="str">
        <x:v>Urban/Metro</x:v>
      </x:c>
      <x:c r="I9" s="23" t="str">
        <x:v>Market/Shop/Warehouse</x:v>
      </x:c>
      <x:c r="J9" s="23" t="str">
        <x:v>HistoricalEvidence+Inference</x:v>
      </x:c>
      <x:c r="K9" s="23" t="str">
        <x:v>C</x:v>
      </x:c>
      <x:c r="L9" s="23" t="str">
        <x:v>三市及京师汇聚效应。</x:v>
      </x:c>
    </x:row>
    <x:row r="10">
      <x:c r="A10" s="23" t="str">
        <x:v>LivelihoodAffiliation</x:v>
      </x:c>
      <x:c r="B10" s="23" t="str">
        <x:v>Transport</x:v>
      </x:c>
      <x:c r="C10" s="26" t="n">
        <x:v>25000</x:v>
      </x:c>
      <x:c r="D10" s="26" t="n">
        <x:v>35000</x:v>
      </x:c>
      <x:c r="E10" s="26" t="n">
        <x:v>50000</x:v>
      </x:c>
      <x:c r="F10" s="29" t="n">
        <x:v>0.05</x:v>
      </x:c>
      <x:c r="G10" s="23" t="str">
        <x:v>Mixed household</x:v>
      </x:c>
      <x:c r="H10" s="23" t="str">
        <x:v>Road/Suburb/Supply</x:v>
      </x:c>
      <x:c r="I10" s="23" t="str">
        <x:v>Stable/Port/Caravan</x:v>
      </x:c>
      <x:c r="J10" s="23" t="str">
        <x:v>HistoricalInference</x:v>
      </x:c>
      <x:c r="K10" s="23" t="str">
        <x:v>C</x:v>
      </x:c>
      <x:c r="L10" s="23" t="str">
        <x:v>陆路、水运、驿传与短驳。</x:v>
      </x:c>
    </x:row>
    <x:row r="11">
      <x:c r="A11" s="23" t="str">
        <x:v>LivelihoodAffiliation</x:v>
      </x:c>
      <x:c r="B11" s="23" t="str">
        <x:v>Government</x:v>
      </x:c>
      <x:c r="C11" s="26" t="n">
        <x:v>20000</x:v>
      </x:c>
      <x:c r="D11" s="26" t="n">
        <x:v>28000</x:v>
      </x:c>
      <x:c r="E11" s="26" t="n">
        <x:v>36000</x:v>
      </x:c>
      <x:c r="F11" s="29" t="n">
        <x:v>0.04</x:v>
      </x:c>
      <x:c r="G11" s="23" t="str">
        <x:v>Mixed household</x:v>
      </x:c>
      <x:c r="H11" s="23" t="str">
        <x:v>Walled/Metro</x:v>
      </x:c>
      <x:c r="I11" s="23" t="str">
        <x:v>GovernmentOffice</x:v>
      </x:c>
      <x:c r="J11" s="23" t="str">
        <x:v>HistoricalEvidence+Inference</x:v>
      </x:c>
      <x:c r="K11" s="23" t="str">
        <x:v>C</x:v>
      </x:c>
      <x:c r="L11" s="23" t="str">
        <x:v>含官员、属官、吏、役与家庭依附。</x:v>
      </x:c>
    </x:row>
    <x:row r="12">
      <x:c r="A12" s="23" t="str">
        <x:v>LivelihoodAffiliation</x:v>
      </x:c>
      <x:c r="B12" s="23" t="str">
        <x:v>Military</x:v>
      </x:c>
      <x:c r="C12" s="26" t="n">
        <x:v>22000</x:v>
      </x:c>
      <x:c r="D12" s="26" t="n">
        <x:v>32000</x:v>
      </x:c>
      <x:c r="E12" s="26" t="n">
        <x:v>45000</x:v>
      </x:c>
      <x:c r="F12" s="29" t="n">
        <x:v>0.045714285714285714</x:v>
      </x:c>
      <x:c r="G12" s="23" t="str">
        <x:v>Mixed household</x:v>
      </x:c>
      <x:c r="H12" s="23" t="str">
        <x:v>Walled/CapitalRegion</x:v>
      </x:c>
      <x:c r="I12" s="23" t="str">
        <x:v>Barracks/Gate/Force</x:v>
      </x:c>
      <x:c r="J12" s="23" t="str">
        <x:v>HistoricalEvidence+Inference</x:v>
      </x:c>
      <x:c r="K12" s="23" t="str">
        <x:v>C</x:v>
      </x:c>
      <x:c r="L12" s="23" t="str">
        <x:v>184应急时点上浮。</x:v>
      </x:c>
    </x:row>
    <x:row r="13">
      <x:c r="A13" s="23" t="str">
        <x:v>LivelihoodAffiliation</x:v>
      </x:c>
      <x:c r="B13" s="23" t="str">
        <x:v>PalaceService</x:v>
      </x:c>
      <x:c r="C13" s="26" t="n">
        <x:v>8000</x:v>
      </x:c>
      <x:c r="D13" s="26" t="n">
        <x:v>12000</x:v>
      </x:c>
      <x:c r="E13" s="26" t="n">
        <x:v>18000</x:v>
      </x:c>
      <x:c r="F13" s="29" t="n">
        <x:v>0.017142857142857144</x:v>
      </x:c>
      <x:c r="G13" s="23" t="str">
        <x:v>Active/Mixed</x:v>
      </x:c>
      <x:c r="H13" s="23" t="str">
        <x:v>Palace</x:v>
      </x:c>
      <x:c r="I13" s="23" t="str">
        <x:v>PalaceComplex</x:v>
      </x:c>
      <x:c r="J13" s="23" t="str">
        <x:v>HistoricalInference</x:v>
      </x:c>
      <x:c r="K13" s="23" t="str">
        <x:v>C</x:v>
      </x:c>
      <x:c r="L13" s="23" t="str">
        <x:v>不含六千禁卫与核心皇室。</x:v>
      </x:c>
    </x:row>
    <x:row r="14">
      <x:c r="A14" s="23" t="str">
        <x:v>LivelihoodAffiliation</x:v>
      </x:c>
      <x:c r="B14" s="23" t="str">
        <x:v>Education</x:v>
      </x:c>
      <x:c r="C14" s="26" t="n">
        <x:v>20000</x:v>
      </x:c>
      <x:c r="D14" s="26" t="n">
        <x:v>30000</x:v>
      </x:c>
      <x:c r="E14" s="26" t="n">
        <x:v>45000</x:v>
      </x:c>
      <x:c r="F14" s="29" t="n">
        <x:v>0.04285714285714286</x:v>
      </x:c>
      <x:c r="G14" s="23" t="str">
        <x:v>Students/Mixed</x:v>
      </x:c>
      <x:c r="H14" s="23" t="str">
        <x:v>SouthernUrban</x:v>
      </x:c>
      <x:c r="I14" s="23" t="str">
        <x:v>Academy/Library</x:v>
      </x:c>
      <x:c r="J14" s="23" t="str">
        <x:v>HistoricalEvidence+Inference</x:v>
      </x:c>
      <x:c r="K14" s="23" t="str">
        <x:v>C</x:v>
      </x:c>
      <x:c r="L14" s="23" t="str">
        <x:v>学生、教师和服务家庭。</x:v>
      </x:c>
    </x:row>
    <x:row r="15">
      <x:c r="A15" s="23" t="str">
        <x:v>LivelihoodAffiliation</x:v>
      </x:c>
      <x:c r="B15" s="23" t="str">
        <x:v>Medical</x:v>
      </x:c>
      <x:c r="C15" s="26" t="n">
        <x:v>3000</x:v>
      </x:c>
      <x:c r="D15" s="26" t="n">
        <x:v>5000</x:v>
      </x:c>
      <x:c r="E15" s="26" t="n">
        <x:v>8000</x:v>
      </x:c>
      <x:c r="F15" s="29" t="n">
        <x:v>0.007142857142857143</x:v>
      </x:c>
      <x:c r="G15" s="23" t="str">
        <x:v>Mixed household</x:v>
      </x:c>
      <x:c r="H15" s="23" t="str">
        <x:v>All</x:v>
      </x:c>
      <x:c r="I15" s="23" t="str">
        <x:v>Clinic/Household/Army</x:v>
      </x:c>
      <x:c r="J15" s="23" t="str">
        <x:v>GameModelInference</x:v>
      </x:c>
      <x:c r="K15" s="23" t="str">
        <x:v>C</x:v>
      </x:c>
      <x:c r="L15" s="23" t="str">
        <x:v>医生、药工及家庭依附。</x:v>
      </x:c>
    </x:row>
    <x:row r="16">
      <x:c r="A16" s="23" t="str">
        <x:v>LivelihoodAffiliation</x:v>
      </x:c>
      <x:c r="B16" s="23" t="str">
        <x:v>Religious</x:v>
      </x:c>
      <x:c r="C16" s="26" t="n">
        <x:v>4000</x:v>
      </x:c>
      <x:c r="D16" s="26" t="n">
        <x:v>7000</x:v>
      </x:c>
      <x:c r="E16" s="26" t="n">
        <x:v>10000</x:v>
      </x:c>
      <x:c r="F16" s="29" t="n">
        <x:v>0.01</x:v>
      </x:c>
      <x:c r="G16" s="23" t="str">
        <x:v>Mixed household</x:v>
      </x:c>
      <x:c r="H16" s="23" t="str">
        <x:v>Urban/Metro/Village</x:v>
      </x:c>
      <x:c r="I16" s="23" t="str">
        <x:v>Shrine/Temple/Household</x:v>
      </x:c>
      <x:c r="J16" s="23" t="str">
        <x:v>HistoricalInference</x:v>
      </x:c>
      <x:c r="K16" s="23" t="str">
        <x:v>C</x:v>
      </x:c>
      <x:c r="L16" s="23" t="str">
        <x:v>不把后世佛寺体系回填184。</x:v>
      </x:c>
    </x:row>
    <x:row r="17">
      <x:c r="A17" s="23" t="str">
        <x:v>LivelihoodAffiliation</x:v>
      </x:c>
      <x:c r="B17" s="23" t="str">
        <x:v>HouseholdService</x:v>
      </x:c>
      <x:c r="C17" s="26" t="n">
        <x:v>30000</x:v>
      </x:c>
      <x:c r="D17" s="26" t="n">
        <x:v>45000</x:v>
      </x:c>
      <x:c r="E17" s="26" t="n">
        <x:v>60000</x:v>
      </x:c>
      <x:c r="F17" s="29" t="n">
        <x:v>0.06428571428571428</x:v>
      </x:c>
      <x:c r="G17" s="23" t="str">
        <x:v>Mixed household</x:v>
      </x:c>
      <x:c r="H17" s="23" t="str">
        <x:v>Walled/EliteEstate</x:v>
      </x:c>
      <x:c r="I17" s="23" t="str">
        <x:v>Residence/Palace/Estate</x:v>
      </x:c>
      <x:c r="J17" s="23" t="str">
        <x:v>HistoricalInference</x:v>
      </x:c>
      <x:c r="K17" s="23" t="str">
        <x:v>C</x:v>
      </x:c>
      <x:c r="L17" s="23" t="str">
        <x:v>仆役、门客、依附人口。</x:v>
      </x:c>
    </x:row>
    <x:row r="18">
      <x:c r="A18" s="23" t="str">
        <x:v>LivelihoodAffiliation</x:v>
      </x:c>
      <x:c r="B18" s="23" t="str">
        <x:v>EliteFamilyManagement</x:v>
      </x:c>
      <x:c r="C18" s="26" t="n">
        <x:v>9000</x:v>
      </x:c>
      <x:c r="D18" s="26" t="n">
        <x:v>14000</x:v>
      </x:c>
      <x:c r="E18" s="26" t="n">
        <x:v>20000</x:v>
      </x:c>
      <x:c r="F18" s="29" t="n">
        <x:v>0.02</x:v>
      </x:c>
      <x:c r="G18" s="23" t="str">
        <x:v>Mixed household</x:v>
      </x:c>
      <x:c r="H18" s="23" t="str">
        <x:v>Walled/Suburb</x:v>
      </x:c>
      <x:c r="I18" s="23" t="str">
        <x:v>Estate/Residence/Office</x:v>
      </x:c>
      <x:c r="J18" s="23" t="str">
        <x:v>HistoricalInference</x:v>
      </x:c>
      <x:c r="K18" s="23" t="str">
        <x:v>C</x:v>
      </x:c>
      <x:c r="L18" s="23" t="str">
        <x:v>家产、庄园与文书管理。</x:v>
      </x:c>
    </x:row>
    <x:row r="19">
      <x:c r="A19" s="24" t="str">
        <x:v>LivelihoodAffiliation</x:v>
      </x:c>
      <x:c r="B19" s="24" t="str">
        <x:v>UnfixedOccupation</x:v>
      </x:c>
      <x:c r="C19" s="27" t="n">
        <x:v>129000</x:v>
      </x:c>
      <x:c r="D19" s="27" t="n">
        <x:v>107000</x:v>
      </x:c>
      <x:c r="E19" s="27" t="n">
        <x:v>98000</x:v>
      </x:c>
      <x:c r="F19" s="30" t="n">
        <x:v>0.15285714285714286</x:v>
      </x:c>
      <x:c r="G19" s="24" t="str">
        <x:v>Mixed</x:v>
      </x:c>
      <x:c r="H19" s="24" t="str">
        <x:v>All</x:v>
      </x:c>
      <x:c r="I19" s="24" t="str">
        <x:v>Casual/Household</x:v>
      </x:c>
      <x:c r="J19" s="24" t="str">
        <x:v>GameModelInference</x:v>
      </x:c>
      <x:c r="K19" s="24" t="str">
        <x:v>C</x:v>
      </x:c>
      <x:c r="L19" s="24" t="str">
        <x:v>儿童、失业、季节工与尚未定业者；各情景独立归一。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f8abf21dc4943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8" hidden="0" customWidth="1"/>
    <x:col min="4" max="4" width="15" hidden="0" customWidth="1"/>
    <x:col min="5" max="5" width="22" hidden="0" customWidth="1"/>
    <x:col min="6" max="6" width="28" hidden="0" customWidth="1"/>
    <x:col min="7" max="7" width="12" hidden="0" customWidth="1"/>
    <x:col min="8" max="8" width="42" hidden="0" customWidth="1"/>
  </x:cols>
  <x:sheetData>
    <x:row r="1" ht="30" customHeight="1">
      <x:c r="A1" s="3" t="str">
        <x:v>有效劳动力与岗位需求（供给区口径）</x:v>
      </x:c>
      <x:c r="B1" s="3"/>
      <x:c r="C1" s="3"/>
      <x:c r="D1" s="3"/>
      <x:c r="E1" s="3"/>
      <x:c r="F1" s="3"/>
      <x:c r="G1" s="3"/>
      <x:c r="H1" s="3"/>
    </x:row>
    <x:row r="2" ht="32" customHeight="1">
      <x:c r="A2" s="12" t="str">
        <x:v>Sector</x:v>
      </x:c>
      <x:c r="B2" s="13" t="str">
        <x:v>Low</x:v>
      </x:c>
      <x:c r="C2" s="13" t="str">
        <x:v>Recommended</x:v>
      </x:c>
      <x:c r="D2" s="13" t="str">
        <x:v>High</x:v>
      </x:c>
      <x:c r="E2" s="13" t="str">
        <x:v>LikelyResidence</x:v>
      </x:c>
      <x:c r="F2" s="13" t="str">
        <x:v>LikelyWorkFacility</x:v>
      </x:c>
      <x:c r="G2" s="13" t="str">
        <x:v>Confidence</x:v>
      </x:c>
      <x:c r="H2" s="14" t="str">
        <x:v>Notes</x:v>
      </x:c>
    </x:row>
    <x:row r="3">
      <x:c r="A3" s="22" t="str">
        <x:v>Agriculture</x:v>
      </x:c>
      <x:c r="B3" s="25" t="n">
        <x:v>120000</x:v>
      </x:c>
      <x:c r="C3" s="25" t="n">
        <x:v>150000</x:v>
      </x:c>
      <x:c r="D3" s="25" t="n">
        <x:v>180000</x:v>
      </x:c>
      <x:c r="E3" s="22" t="str">
        <x:v>Village/Supply</x:v>
      </x:c>
      <x:c r="F3" s="22" t="str">
        <x:v>Farm/Water/Granary</x:v>
      </x:c>
      <x:c r="G3" s="22" t="str">
        <x:v>C</x:v>
      </x:c>
      <x:c r="H3" s="22" t="str">
        <x:v>具体Person进入季节工单</x:v>
      </x:c>
    </x:row>
    <x:row r="4">
      <x:c r="A4" s="23" t="str">
        <x:v>Crafts</x:v>
      </x:c>
      <x:c r="B4" s="26" t="n">
        <x:v>30000</x:v>
      </x:c>
      <x:c r="C4" s="26" t="n">
        <x:v>40000</x:v>
      </x:c>
      <x:c r="D4" s="26" t="n">
        <x:v>52000</x:v>
      </x:c>
      <x:c r="E4" s="23" t="str">
        <x:v>Urban/Metro</x:v>
      </x:c>
      <x:c r="F4" s="23" t="str">
        <x:v>Workshop</x:v>
      </x:c>
      <x:c r="G4" s="23" t="str">
        <x:v>C</x:v>
      </x:c>
      <x:c r="H4" s="23" t="str">
        <x:v>按技艺和设施岗位</x:v>
      </x:c>
    </x:row>
    <x:row r="5">
      <x:c r="A5" s="23" t="str">
        <x:v>Trade</x:v>
      </x:c>
      <x:c r="B5" s="26" t="n">
        <x:v>22000</x:v>
      </x:c>
      <x:c r="C5" s="26" t="n">
        <x:v>30000</x:v>
      </x:c>
      <x:c r="D5" s="26" t="n">
        <x:v>40000</x:v>
      </x:c>
      <x:c r="E5" s="23" t="str">
        <x:v>Urban/Metro</x:v>
      </x:c>
      <x:c r="F5" s="23" t="str">
        <x:v>Market/Shop/Warehouse</x:v>
      </x:c>
      <x:c r="G5" s="23" t="str">
        <x:v>C</x:v>
      </x:c>
      <x:c r="H5" s="23" t="str">
        <x:v>商人、账房、店员</x:v>
      </x:c>
    </x:row>
    <x:row r="6">
      <x:c r="A6" s="23" t="str">
        <x:v>Transport</x:v>
      </x:c>
      <x:c r="B6" s="26" t="n">
        <x:v>13000</x:v>
      </x:c>
      <x:c r="C6" s="26" t="n">
        <x:v>18000</x:v>
      </x:c>
      <x:c r="D6" s="26" t="n">
        <x:v>26000</x:v>
      </x:c>
      <x:c r="E6" s="23" t="str">
        <x:v>Road/Suburb</x:v>
      </x:c>
      <x:c r="F6" s="23" t="str">
        <x:v>Stable/Caravan/Port</x:v>
      </x:c>
      <x:c r="G6" s="23" t="str">
        <x:v>C</x:v>
      </x:c>
      <x:c r="H6" s="23" t="str">
        <x:v>车夫、船工、脚夫</x:v>
      </x:c>
    </x:row>
    <x:row r="7">
      <x:c r="A7" s="23" t="str">
        <x:v>Government</x:v>
      </x:c>
      <x:c r="B7" s="26" t="n">
        <x:v>9000</x:v>
      </x:c>
      <x:c r="C7" s="26" t="n">
        <x:v>12000</x:v>
      </x:c>
      <x:c r="D7" s="26" t="n">
        <x:v>16000</x:v>
      </x:c>
      <x:c r="E7" s="23" t="str">
        <x:v>Walled</x:v>
      </x:c>
      <x:c r="F7" s="23" t="str">
        <x:v>GovernmentOffice</x:v>
      </x:c>
      <x:c r="G7" s="23" t="str">
        <x:v>C</x:v>
      </x:c>
      <x:c r="H7" s="23" t="str">
        <x:v>官员、属官、吏、役</x:v>
      </x:c>
    </x:row>
    <x:row r="8">
      <x:c r="A8" s="23" t="str">
        <x:v>Military</x:v>
      </x:c>
      <x:c r="B8" s="26" t="n">
        <x:v>18000</x:v>
      </x:c>
      <x:c r="C8" s="26" t="n">
        <x:v>22000</x:v>
      </x:c>
      <x:c r="D8" s="26" t="n">
        <x:v>30000</x:v>
      </x:c>
      <x:c r="E8" s="23" t="str">
        <x:v>CapitalRegion</x:v>
      </x:c>
      <x:c r="F8" s="23" t="str">
        <x:v>Barracks/Gate/Force</x:v>
      </x:c>
      <x:c r="G8" s="23" t="str">
        <x:v>C</x:v>
      </x:c>
      <x:c r="H8" s="23" t="str">
        <x:v>常备时点；事件另增</x:v>
      </x:c>
    </x:row>
    <x:row r="9">
      <x:c r="A9" s="23" t="str">
        <x:v>PalaceService</x:v>
      </x:c>
      <x:c r="B9" s="26" t="n">
        <x:v>8000</x:v>
      </x:c>
      <x:c r="C9" s="26" t="n">
        <x:v>12000</x:v>
      </x:c>
      <x:c r="D9" s="26" t="n">
        <x:v>18000</x:v>
      </x:c>
      <x:c r="E9" s="23" t="str">
        <x:v>Palace</x:v>
      </x:c>
      <x:c r="F9" s="23" t="str">
        <x:v>PalaceComplex</x:v>
      </x:c>
      <x:c r="G9" s="23" t="str">
        <x:v>C</x:v>
      </x:c>
      <x:c r="H9" s="23" t="str">
        <x:v>宫廷服务，不含禁卫</x:v>
      </x:c>
    </x:row>
    <x:row r="10">
      <x:c r="A10" s="23" t="str">
        <x:v>Education</x:v>
      </x:c>
      <x:c r="B10" s="26" t="n">
        <x:v>6000</x:v>
      </x:c>
      <x:c r="C10" s="26" t="n">
        <x:v>8000</x:v>
      </x:c>
      <x:c r="D10" s="26" t="n">
        <x:v>11000</x:v>
      </x:c>
      <x:c r="E10" s="23" t="str">
        <x:v>SouthernUrban</x:v>
      </x:c>
      <x:c r="F10" s="23" t="str">
        <x:v>Academy/Library</x:v>
      </x:c>
      <x:c r="G10" s="23" t="str">
        <x:v>C</x:v>
      </x:c>
      <x:c r="H10" s="23" t="str">
        <x:v>教师、助教、文书与服务</x:v>
      </x:c>
    </x:row>
    <x:row r="11">
      <x:c r="A11" s="23" t="str">
        <x:v>Medical</x:v>
      </x:c>
      <x:c r="B11" s="26" t="n">
        <x:v>2000</x:v>
      </x:c>
      <x:c r="C11" s="26" t="n">
        <x:v>3000</x:v>
      </x:c>
      <x:c r="D11" s="26" t="n">
        <x:v>4500</x:v>
      </x:c>
      <x:c r="E11" s="23" t="str">
        <x:v>All</x:v>
      </x:c>
      <x:c r="F11" s="23" t="str">
        <x:v>Clinic/Army/Household</x:v>
      </x:c>
      <x:c r="G11" s="23" t="str">
        <x:v>C</x:v>
      </x:c>
      <x:c r="H11" s="23" t="str">
        <x:v>医疗与药材岗位</x:v>
      </x:c>
    </x:row>
    <x:row r="12">
      <x:c r="A12" s="23" t="str">
        <x:v>Religious</x:v>
      </x:c>
      <x:c r="B12" s="26" t="n">
        <x:v>2500</x:v>
      </x:c>
      <x:c r="C12" s="26" t="n">
        <x:v>4000</x:v>
      </x:c>
      <x:c r="D12" s="26" t="n">
        <x:v>6000</x:v>
      </x:c>
      <x:c r="E12" s="23" t="str">
        <x:v>All</x:v>
      </x:c>
      <x:c r="F12" s="23" t="str">
        <x:v>Shrine/Temple</x:v>
      </x:c>
      <x:c r="G12" s="23" t="str">
        <x:v>C</x:v>
      </x:c>
      <x:c r="H12" s="23" t="str">
        <x:v>祭祀、方术与宗教服务</x:v>
      </x:c>
    </x:row>
    <x:row r="13">
      <x:c r="A13" s="23" t="str">
        <x:v>HouseholdService</x:v>
      </x:c>
      <x:c r="B13" s="26" t="n">
        <x:v>16000</x:v>
      </x:c>
      <x:c r="C13" s="26" t="n">
        <x:v>22000</x:v>
      </x:c>
      <x:c r="D13" s="26" t="n">
        <x:v>30000</x:v>
      </x:c>
      <x:c r="E13" s="23" t="str">
        <x:v>Walled/EliteEstate</x:v>
      </x:c>
      <x:c r="F13" s="23" t="str">
        <x:v>Residence/Estate</x:v>
      </x:c>
      <x:c r="G13" s="23" t="str">
        <x:v>C</x:v>
      </x:c>
      <x:c r="H13" s="23" t="str">
        <x:v>仆役、门客、照护</x:v>
      </x:c>
    </x:row>
    <x:row r="14">
      <x:c r="A14" s="23" t="str">
        <x:v>EliteFamilyManagement</x:v>
      </x:c>
      <x:c r="B14" s="26" t="n">
        <x:v>3500</x:v>
      </x:c>
      <x:c r="C14" s="26" t="n">
        <x:v>5000</x:v>
      </x:c>
      <x:c r="D14" s="26" t="n">
        <x:v>7500</x:v>
      </x:c>
      <x:c r="E14" s="23" t="str">
        <x:v>Walled/Suburb</x:v>
      </x:c>
      <x:c r="F14" s="23" t="str">
        <x:v>Estate/Office</x:v>
      </x:c>
      <x:c r="G14" s="23" t="str">
        <x:v>C</x:v>
      </x:c>
      <x:c r="H14" s="23" t="str">
        <x:v>家产和庄园管理</x:v>
      </x:c>
    </x:row>
    <x:row r="15">
      <x:c r="A15" s="24" t="str">
        <x:v>Unfixed/Casual</x:v>
      </x:c>
      <x:c r="B15" s="27" t="n">
        <x:v>15000</x:v>
      </x:c>
      <x:c r="C15" s="27" t="n">
        <x:v>20000</x:v>
      </x:c>
      <x:c r="D15" s="27" t="n">
        <x:v>24000</x:v>
      </x:c>
      <x:c r="E15" s="24" t="str">
        <x:v>All</x:v>
      </x:c>
      <x:c r="F15" s="24" t="str">
        <x:v>Casual</x:v>
      </x:c>
      <x:c r="G15" s="24" t="str">
        <x:v>C</x:v>
      </x:c>
      <x:c r="H15" s="24" t="str">
        <x:v>短工、失业与季节空档</x:v>
      </x:c>
    </x:row>
    <x:row r="17">
      <x:c r="A17" s="5" t="str">
        <x:v>Check</x:v>
      </x:c>
      <x:c r="B17" s="5" t="str">
        <x:v>Low</x:v>
      </x:c>
      <x:c r="C17" s="5" t="str">
        <x:v>Recommended</x:v>
      </x:c>
      <x:c r="D17" s="5" t="str">
        <x:v>High</x:v>
      </x:c>
    </x:row>
    <x:row r="18">
      <x:c r="A18" t="str">
        <x:v>TotalActiveLabor</x:v>
      </x:c>
      <x:c r="B18" s="32" t="n">
        <x:f>SUM(B3:B15)</x:f>
        <x:v>265000</x:v>
      </x:c>
      <x:c r="C18" s="32" t="n">
        <x:f>SUM(C3:C15)</x:f>
        <x:v>346000</x:v>
      </x:c>
      <x:c r="D18" s="32" t="n">
        <x:f>SUM(D3:D15)</x:f>
        <x:v>445000</x:v>
      </x:c>
    </x:row>
    <x:row r="19">
      <x:c r="A19" t="str">
        <x:v>ShareOfPopulation</x:v>
      </x:c>
      <x:c r="B19" s="33" t="n">
        <x:f>B18/550000</x:f>
        <x:v>0.4818181818181818</x:v>
      </x:c>
      <x:c r="C19" s="33" t="n">
        <x:f>C18/700000</x:f>
        <x:v>0.4942857142857143</x:v>
      </x:c>
      <x:c r="D19" s="33" t="n">
        <x:f>D18/900000</x:f>
        <x:v>0.49444444444444446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29ee2f97f934f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14" hidden="0" customWidth="1"/>
    <x:col min="4" max="4" width="18" hidden="0" customWidth="1"/>
    <x:col min="5" max="5" width="14" hidden="0" customWidth="1"/>
    <x:col min="6" max="6" width="23" hidden="0" customWidth="1"/>
    <x:col min="7" max="7" width="25" hidden="0" customWidth="1"/>
    <x:col min="8" max="8" width="12" hidden="0" customWidth="1"/>
    <x:col min="9" max="9" width="48" hidden="0" customWidth="1"/>
  </x:cols>
  <x:sheetData>
    <x:row r="1" ht="30" customHeight="1">
      <x:c r="A1" s="3" t="str">
        <x:v>宫廷、中央行政与军事人口分解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12" t="str">
        <x:v>System</x:v>
      </x:c>
      <x:c r="B2" s="13" t="str">
        <x:v>SubCategory</x:v>
      </x:c>
      <x:c r="C2" s="13" t="str">
        <x:v>Low</x:v>
      </x:c>
      <x:c r="D2" s="13" t="str">
        <x:v>Recommended</x:v>
      </x:c>
      <x:c r="E2" s="13" t="str">
        <x:v>High</x:v>
      </x:c>
      <x:c r="F2" s="13" t="str">
        <x:v>LikelyResidence</x:v>
      </x:c>
      <x:c r="G2" s="13" t="str">
        <x:v>RoleLayer</x:v>
      </x:c>
      <x:c r="H2" s="13" t="str">
        <x:v>Confidence</x:v>
      </x:c>
      <x:c r="I2" s="14" t="str">
        <x:v>Notes</x:v>
      </x:c>
    </x:row>
    <x:row r="3">
      <x:c r="A3" s="22" t="str">
        <x:v>Palace</x:v>
      </x:c>
      <x:c r="B3" s="22" t="str">
        <x:v>ImperialCoreFamily</x:v>
      </x:c>
      <x:c r="C3" s="25" t="n">
        <x:v>12</x:v>
      </x:c>
      <x:c r="D3" s="25" t="n">
        <x:v>20</x:v>
      </x:c>
      <x:c r="E3" s="25" t="n">
        <x:v>30</x:v>
      </x:c>
      <x:c r="F3" s="22" t="str">
        <x:v>Palace</x:v>
      </x:c>
      <x:c r="G3" s="22" t="str">
        <x:v>HistoricalPersons</x:v>
      </x:c>
      <x:c r="H3" s="22" t="str">
        <x:v>B/C</x:v>
      </x:c>
      <x:c r="I3" s="22" t="str">
        <x:v>皇帝、皇后、皇子女及必要核心成员；不是整个刘氏宗室。</x:v>
      </x:c>
    </x:row>
    <x:row r="4">
      <x:c r="A4" s="23" t="str">
        <x:v>Palace</x:v>
      </x:c>
      <x:c r="B4" s="23" t="str">
        <x:v>PalaceServicePopulation</x:v>
      </x:c>
      <x:c r="C4" s="26" t="n">
        <x:v>8000</x:v>
      </x:c>
      <x:c r="D4" s="26" t="n">
        <x:v>12000</x:v>
      </x:c>
      <x:c r="E4" s="26" t="n">
        <x:v>18000</x:v>
      </x:c>
      <x:c r="F4" s="23" t="str">
        <x:v>Palace</x:v>
      </x:c>
      <x:c r="G4" s="23" t="str">
        <x:v>PalaceService</x:v>
      </x:c>
      <x:c r="H4" s="23" t="str">
        <x:v>C</x:v>
      </x:c>
      <x:c r="I4" s="23" t="str">
        <x:v>宦官、宫女、侍从、厨房、仓储、礼仪与行政服务。</x:v>
      </x:c>
    </x:row>
    <x:row r="5">
      <x:c r="A5" s="23" t="str">
        <x:v>Palace</x:v>
      </x:c>
      <x:c r="B5" s="23" t="str">
        <x:v>PalaceMilitaryPopulation</x:v>
      </x:c>
      <x:c r="C5" s="26" t="n">
        <x:v>4000</x:v>
      </x:c>
      <x:c r="D5" s="26" t="n">
        <x:v>6000</x:v>
      </x:c>
      <x:c r="E5" s="26" t="n">
        <x:v>7000</x:v>
      </x:c>
      <x:c r="F5" s="23" t="str">
        <x:v>Palace/Gates</x:v>
      </x:c>
      <x:c r="G5" s="23" t="str">
        <x:v>PalaceGuard</x:v>
      </x:c>
      <x:c r="H5" s="23" t="str">
        <x:v>C</x:v>
      </x:c>
      <x:c r="I5" s="23" t="str">
        <x:v>宫门、宫墙与禁卫；与城防分开。</x:v>
      </x:c>
    </x:row>
    <x:row r="6">
      <x:c r="A6" s="23" t="str">
        <x:v>CentralGovernment</x:v>
      </x:c>
      <x:c r="B6" s="23" t="str">
        <x:v>OfficeHolders</x:v>
      </x:c>
      <x:c r="C6" s="26" t="n">
        <x:v>900</x:v>
      </x:c>
      <x:c r="D6" s="26" t="n">
        <x:v>1200</x:v>
      </x:c>
      <x:c r="E6" s="26" t="n">
        <x:v>1600</x:v>
      </x:c>
      <x:c r="F6" s="23" t="str">
        <x:v>GovernmentOffice</x:v>
      </x:c>
      <x:c r="G6" s="23" t="str">
        <x:v>OfficeHolder</x:v>
      </x:c>
      <x:c r="H6" s="23" t="str">
        <x:v>C</x:v>
      </x:c>
      <x:c r="I6" s="23" t="str">
        <x:v>中央高低官员与河南尹核心长官。</x:v>
      </x:c>
    </x:row>
    <x:row r="7">
      <x:c r="A7" s="23" t="str">
        <x:v>CentralGovernment</x:v>
      </x:c>
      <x:c r="B7" s="23" t="str">
        <x:v>SubordinateOfficials</x:v>
      </x:c>
      <x:c r="C7" s="26" t="n">
        <x:v>1800</x:v>
      </x:c>
      <x:c r="D7" s="26" t="n">
        <x:v>2600</x:v>
      </x:c>
      <x:c r="E7" s="26" t="n">
        <x:v>3800</x:v>
      </x:c>
      <x:c r="F7" s="23" t="str">
        <x:v>GovernmentOffice</x:v>
      </x:c>
      <x:c r="G7" s="23" t="str">
        <x:v>SubordinateOfficials</x:v>
      </x:c>
      <x:c r="H7" s="23" t="str">
        <x:v>C</x:v>
      </x:c>
      <x:c r="I7" s="23" t="str">
        <x:v>各署属官。</x:v>
      </x:c>
    </x:row>
    <x:row r="8">
      <x:c r="A8" s="23" t="str">
        <x:v>CentralGovernment</x:v>
      </x:c>
      <x:c r="B8" s="23" t="str">
        <x:v>Clerks</x:v>
      </x:c>
      <x:c r="C8" s="26" t="n">
        <x:v>3000</x:v>
      </x:c>
      <x:c r="D8" s="26" t="n">
        <x:v>4500</x:v>
      </x:c>
      <x:c r="E8" s="26" t="n">
        <x:v>6000</x:v>
      </x:c>
      <x:c r="F8" s="23" t="str">
        <x:v>GovernmentOffice</x:v>
      </x:c>
      <x:c r="G8" s="23" t="str">
        <x:v>Clerks</x:v>
      </x:c>
      <x:c r="H8" s="23" t="str">
        <x:v>C</x:v>
      </x:c>
      <x:c r="I8" s="23" t="str">
        <x:v>书佐、文书与档案。</x:v>
      </x:c>
    </x:row>
    <x:row r="9">
      <x:c r="A9" s="23" t="str">
        <x:v>CentralGovernment</x:v>
      </x:c>
      <x:c r="B9" s="23" t="str">
        <x:v>ServiceWorkers</x:v>
      </x:c>
      <x:c r="C9" s="26" t="n">
        <x:v>2500</x:v>
      </x:c>
      <x:c r="D9" s="26" t="n">
        <x:v>3700</x:v>
      </x:c>
      <x:c r="E9" s="26" t="n">
        <x:v>4600</x:v>
      </x:c>
      <x:c r="F9" s="23" t="str">
        <x:v>GovernmentOffice</x:v>
      </x:c>
      <x:c r="G9" s="23" t="str">
        <x:v>ServiceWorkers</x:v>
      </x:c>
      <x:c r="H9" s="23" t="str">
        <x:v>C</x:v>
      </x:c>
      <x:c r="I9" s="23" t="str">
        <x:v>差役、传递、守卫、清洁与后勤。</x:v>
      </x:c>
    </x:row>
    <x:row r="10">
      <x:c r="A10" s="23" t="str">
        <x:v>Military</x:v>
      </x:c>
      <x:c r="B10" s="23" t="str">
        <x:v>PermanentGarrison</x:v>
      </x:c>
      <x:c r="C10" s="26" t="n">
        <x:v>9000</x:v>
      </x:c>
      <x:c r="D10" s="26" t="n">
        <x:v>12000</x:v>
      </x:c>
      <x:c r="E10" s="26" t="n">
        <x:v>18000</x:v>
      </x:c>
      <x:c r="F10" s="23" t="str">
        <x:v>Barracks</x:v>
      </x:c>
      <x:c r="G10" s="23" t="str">
        <x:v>MilitaryJob</x:v>
      </x:c>
      <x:c r="H10" s="23" t="str">
        <x:v>C</x:v>
      </x:c>
      <x:c r="I10" s="23" t="str">
        <x:v>五营等京师常备力量。</x:v>
      </x:c>
    </x:row>
    <x:row r="11">
      <x:c r="A11" s="23" t="str">
        <x:v>Military</x:v>
      </x:c>
      <x:c r="B11" s="23" t="str">
        <x:v>PalaceGuard</x:v>
      </x:c>
      <x:c r="C11" s="26" t="n">
        <x:v>4000</x:v>
      </x:c>
      <x:c r="D11" s="26" t="n">
        <x:v>6000</x:v>
      </x:c>
      <x:c r="E11" s="26" t="n">
        <x:v>7000</x:v>
      </x:c>
      <x:c r="F11" s="23" t="str">
        <x:v>Palace/Gates</x:v>
      </x:c>
      <x:c r="G11" s="23" t="str">
        <x:v>MilitaryJob</x:v>
      </x:c>
      <x:c r="H11" s="23" t="str">
        <x:v>C</x:v>
      </x:c>
      <x:c r="I11" s="23" t="str">
        <x:v>与宫廷军事人口同一组，不重复相加到总军力。</x:v>
      </x:c>
    </x:row>
    <x:row r="12">
      <x:c r="A12" s="23" t="str">
        <x:v>Military</x:v>
      </x:c>
      <x:c r="B12" s="23" t="str">
        <x:v>CityDefense</x:v>
      </x:c>
      <x:c r="C12" s="26" t="n">
        <x:v>2500</x:v>
      </x:c>
      <x:c r="D12" s="26" t="n">
        <x:v>4000</x:v>
      </x:c>
      <x:c r="E12" s="26" t="n">
        <x:v>6000</x:v>
      </x:c>
      <x:c r="F12" s="23" t="str">
        <x:v>Wall/Gates</x:v>
      </x:c>
      <x:c r="G12" s="23" t="str">
        <x:v>MilitaryJob</x:v>
      </x:c>
      <x:c r="H12" s="23" t="str">
        <x:v>C</x:v>
      </x:c>
      <x:c r="I12" s="23" t="str">
        <x:v>城门、城墙、巡逻与关隘联络。</x:v>
      </x:c>
    </x:row>
    <x:row r="13">
      <x:c r="A13" s="23" t="str">
        <x:v>Military</x:v>
      </x:c>
      <x:c r="B13" s="23" t="str">
        <x:v>EmergencyMobilization</x:v>
      </x:c>
      <x:c r="C13" s="26" t="n">
        <x:v>3000</x:v>
      </x:c>
      <x:c r="D13" s="26" t="n">
        <x:v>8000</x:v>
      </x:c>
      <x:c r="E13" s="26" t="n">
        <x:v>14000</x:v>
      </x:c>
      <x:c r="F13" s="23" t="str">
        <x:v>Duting/CapitalRegion</x:v>
      </x:c>
      <x:c r="G13" s="23" t="str">
        <x:v>TemporaryMilitaryJob</x:v>
      </x:c>
      <x:c r="H13" s="23" t="str">
        <x:v>C</x:v>
      </x:c>
      <x:c r="I13" s="23" t="str">
        <x:v>184-03后应急部署，可由常备与新征人员组成。</x:v>
      </x:c>
    </x:row>
    <x:row r="14">
      <x:c r="A14" s="24" t="str">
        <x:v>Military</x:v>
      </x:c>
      <x:c r="B14" s="24" t="str">
        <x:v>FieldArmyDeparting</x:v>
      </x:c>
      <x:c r="C14" s="27" t="n">
        <x:v>12000</x:v>
      </x:c>
      <x:c r="D14" s="27" t="n">
        <x:v>22000</x:v>
      </x:c>
      <x:c r="E14" s="27" t="n">
        <x:v>35000</x:v>
      </x:c>
      <x:c r="F14" s="24" t="str">
        <x:v>Road/Front</x:v>
      </x:c>
      <x:c r="G14" s="24" t="str">
        <x:v>Force</x:v>
      </x:c>
      <x:c r="H14" s="24" t="str">
        <x:v>C</x:v>
      </x:c>
      <x:c r="I14" s="24" t="str">
        <x:v>离京后不再计入当前洛阳驻军。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aa2463c87024f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2" t="str">
        <x:v>184洛阳社会模型摘要</x:v>
      </x:c>
      <x:c r="B1" s="2"/>
      <x:c r="C1" s="2"/>
      <x:c r="D1" s="2"/>
      <x:c r="E1" s="2"/>
      <x:c r="F1" s="2"/>
    </x:row>
    <x:row r="3">
      <x:c r="A3" s="35" t="str">
        <x:v>Metric</x:v>
      </x:c>
      <x:c r="B3" s="35" t="str">
        <x:v>Low</x:v>
      </x:c>
      <x:c r="C3" s="35" t="str">
        <x:v>Recommended</x:v>
      </x:c>
      <x:c r="D3" s="35" t="str">
        <x:v>High</x:v>
      </x:c>
      <x:c r="E3" s="35" t="str">
        <x:v>Scope</x:v>
      </x:c>
      <x:c r="F3" s="35" t="str">
        <x:v>Rule</x:v>
      </x:c>
    </x:row>
    <x:row r="4">
      <x:c r="A4" s="36" t="str">
        <x:v>Population</x:v>
      </x:c>
      <x:c r="B4" s="37" t="n">
        <x:v>550000</x:v>
      </x:c>
      <x:c r="C4" s="37" t="n">
        <x:v>700000</x:v>
      </x:c>
      <x:c r="D4" s="37" t="n">
        <x:v>900000</x:v>
      </x:c>
      <x:c r="E4" s="36" t="str">
        <x:v>SupplyRegion</x:v>
      </x:c>
      <x:c r="F4" s="36" t="str">
        <x:v>所有人最终生成Permanent Person</x:v>
      </x:c>
    </x:row>
    <x:row r="5">
      <x:c r="A5" s="36" t="str">
        <x:v>ActiveLabor</x:v>
      </x:c>
      <x:c r="B5" s="38" t="n">
        <x:f>'ActiveLabor'!B18</x:f>
        <x:v>265000</x:v>
      </x:c>
      <x:c r="C5" s="38" t="n">
        <x:f>'ActiveLabor'!C18</x:f>
        <x:v>346000</x:v>
      </x:c>
      <x:c r="D5" s="38" t="n">
        <x:f>'ActiveLabor'!D18</x:f>
        <x:v>445000</x:v>
      </x:c>
      <x:c r="E5" s="36" t="str">
        <x:v>SupplyRegion</x:v>
      </x:c>
      <x:c r="F5" s="36" t="str">
        <x:v>岗位与住房分离</x:v>
      </x:c>
    </x:row>
    <x:row r="6">
      <x:c r="A6" s="36" t="str">
        <x:v>PalaceComplex</x:v>
      </x:c>
      <x:c r="B6" s="37" t="n">
        <x:v>12000</x:v>
      </x:c>
      <x:c r="C6" s="37" t="n">
        <x:v>18000</x:v>
      </x:c>
      <x:c r="D6" s="37" t="n">
        <x:v>25000</x:v>
      </x:c>
      <x:c r="E6" s="36" t="str">
        <x:v>WalledCity</x:v>
      </x:c>
      <x:c r="F6" s="36" t="str">
        <x:v>核心/服务/禁卫分离</x:v>
      </x:c>
    </x:row>
    <x:row r="7">
      <x:c r="A7" s="36" t="str">
        <x:v>CentralGovernmentEmployment</x:v>
      </x:c>
      <x:c r="B7" s="37" t="n">
        <x:v>8200</x:v>
      </x:c>
      <x:c r="C7" s="37" t="n">
        <x:v>12000</x:v>
      </x:c>
      <x:c r="D7" s="37" t="n">
        <x:v>16000</x:v>
      </x:c>
      <x:c r="E7" s="36" t="str">
        <x:v>WalledCity</x:v>
      </x:c>
      <x:c r="F7" s="36" t="str">
        <x:v>官员/属官/吏/服务分层</x:v>
      </x:c>
    </x:row>
    <x:row r="8">
      <x:c r="A8" s="36" t="str">
        <x:v>Permanent+CityDefense</x:v>
      </x:c>
      <x:c r="B8" s="37" t="n">
        <x:v>11500</x:v>
      </x:c>
      <x:c r="C8" s="37" t="n">
        <x:v>16000</x:v>
      </x:c>
      <x:c r="D8" s="37" t="n">
        <x:v>24000</x:v>
      </x:c>
      <x:c r="E8" s="36" t="str">
        <x:v>CapitalRegion</x:v>
      </x:c>
      <x:c r="F8" s="36" t="str">
        <x:v>不含离京FieldArmy</x:v>
      </x:c>
    </x:row>
    <x:row r="9">
      <x:c r="A9" s="36" t="str">
        <x:v>EducationAffiliation</x:v>
      </x:c>
      <x:c r="B9" s="37" t="n">
        <x:v>20000</x:v>
      </x:c>
      <x:c r="C9" s="37" t="n">
        <x:v>30000</x:v>
      </x:c>
      <x:c r="D9" s="37" t="n">
        <x:v>45000</x:v>
      </x:c>
      <x:c r="E9" s="36" t="str">
        <x:v>UrbanArea</x:v>
      </x:c>
      <x:c r="F9" s="36" t="str">
        <x:v>峰值不是184确定值</x:v>
      </x:c>
    </x:row>
  </x:sheetData>
  <x:mergeCells>
    <x:mergeCell ref="A1:F1"/>
  </x:mergeCells>
  <x:pageMargins left="0.7" right="0.7" top="0.75" bottom="0.75" header="0.3" footer="0.3"/>
</x:worksheet>
</file>