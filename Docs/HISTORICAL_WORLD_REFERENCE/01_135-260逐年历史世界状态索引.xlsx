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6517f491c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464864ef81e472a"/>
    <x:sheet xmlns:r="http://schemas.openxmlformats.org/officeDocument/2006/relationships" name="数据" sheetId="2" r:id="R25e3d4bf320a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3F"/>
      </x:patternFill>
    </x:fill>
    <x:fill>
      <x:patternFill patternType="solid">
        <x:fgColor rgb="FFD8E1D5"/>
      </x:patternFill>
    </x:fill>
    <x:fill>
      <x:patternFill patternType="solid">
        <x:fgColor rgb="FFF5F1E6"/>
      </x:patternFill>
    </x:fill>
    <x:fill>
      <x:patternFill patternType="solid">
        <x:fgColor rgb="FF445E4D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e84455c9b4831" /><Relationship Type="http://schemas.openxmlformats.org/officeDocument/2006/relationships/theme" Target="/xl/theme/theme1.xml" Id="R63a24a979406469e" /><Relationship Type="http://schemas.openxmlformats.org/officeDocument/2006/relationships/sharedStrings" Target="/xl/sharedStrings.xml" Id="Ra332ea80c1744507" /><Relationship Type="http://schemas.openxmlformats.org/officeDocument/2006/relationships/worksheet" Target="/xl/worksheets/sheet1.xml" Id="Ra464864ef81e472a" /><Relationship Type="http://schemas.openxmlformats.org/officeDocument/2006/relationships/worksheet" Target="/xl/worksheets/sheet2.xml" Id="R25e3d4bf320a4df6" /></Relationships>
</file>

<file path=xl/tables/table1.xml><?xml version="1.0" encoding="utf-8"?>
<x:table xmlns:x="http://schemas.openxmlformats.org/spreadsheetml/2006/main" id="1" name="AnnualTable" displayName="AnnualTable" ref="A1:W127" headerRowCount="1" totalsRowCount="0" totalsRowShown="0">
  <x:tableColumns count="23">
    <x:tableColumn id="1" name="year"/>
    <x:tableColumn id="2" name="inherits_from_year"/>
    <x:tableColumn id="3" name="scenario"/>
    <x:tableColumn id="4" name="registered_population_start"/>
    <x:tableColumn id="5" name="registered_population_end"/>
    <x:tableColumn id="6" name="modeled_actual_population_start"/>
    <x:tableColumn id="7" name="modeled_actual_population_end"/>
    <x:tableColumn id="8" name="births"/>
    <x:tableColumn id="9" name="natural_deaths"/>
    <x:tableColumn id="10" name="war_deaths"/>
    <x:tableColumn id="11" name="epidemic_deaths"/>
    <x:tableColumn id="12" name="disaster_deaths"/>
    <x:tableColumn id="13" name="net_migration"/>
    <x:tableColumn id="14" name="registration_loss"/>
    <x:tableColumn id="15" name="registration_recovery"/>
    <x:tableColumn id="16" name="annual_change"/>
    <x:tableColumn id="17" name="annual_change_rate"/>
    <x:tableColumn id="18" name="change_event_ids"/>
    <x:tableColumn id="19" name="change_event_names"/>
    <x:tableColumn id="20" name="historical_anchors"/>
    <x:tableColumn id="21" name="evidence_level"/>
    <x:tableColumn id="22" name="evidence_type"/>
    <x:tableColumn id="2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5b35ef92d048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135—260逐年历史世界状态索引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126年连续人口状态、年度事件与Scenario入口；年度记录继承前一年，不复制世界。</x:v>
      </x:c>
      <x:c r="C3" s="12"/>
      <x:c r="D3" s="12"/>
      <x:c r="E3" s="12"/>
      <x:c r="F3" s="12"/>
      <x:c r="G3" s="12"/>
      <x:c r="H3" s="12"/>
    </x:row>
    <x:row r="4">
      <x:c r="A4" s="11"/>
      <x:c r="B4" s="12"/>
      <x:c r="C4" s="12"/>
      <x:c r="D4" s="12"/>
      <x:c r="E4" s="12"/>
      <x:c r="F4" s="12"/>
      <x:c r="G4" s="12"/>
      <x:c r="H4" s="12"/>
    </x:row>
    <x:row r="5">
      <x:c r="A5" s="11" t="str">
        <x:v>记录数</x:v>
      </x:c>
      <x:c r="B5" s="12" t="n">
        <x:f>COUNTA('数据'!A2:A127)</x:f>
        <x:v>126</x:v>
      </x:c>
      <x:c r="C5" s="12"/>
      <x:c r="D5" s="12"/>
      <x:c r="E5" s="12"/>
      <x:c r="F5" s="12"/>
      <x:c r="G5" s="12"/>
      <x:c r="H5" s="12"/>
    </x:row>
    <x:row r="6">
      <x:c r="A6" s="11" t="str">
        <x:v>证据标签</x:v>
      </x:c>
      <x:c r="B6" s="12" t="str">
        <x:v>HISTORICAL=史料/考古；RECONSTRUCTED=保守复原；MODELED=项目模型；UNKNOWN=待研究</x:v>
      </x:c>
      <x:c r="C6" s="12"/>
      <x:c r="D6" s="12"/>
      <x:c r="E6" s="12"/>
      <x:c r="F6" s="12"/>
      <x:c r="G6" s="12"/>
      <x:c r="H6" s="12"/>
    </x:row>
    <x:row r="7">
      <x:c r="A7" s="11" t="str">
        <x:v>统一边界</x:v>
      </x:c>
      <x:c r="B7" s="12" t="str">
        <x:v>稳定ID不得静默改指；140行政截面不是全时段不变；代理几何与模型人口不冒充史实；260年不是世界终点。</x:v>
      </x:c>
      <x:c r="C7" s="12"/>
      <x:c r="D7" s="12"/>
      <x:c r="E7" s="12"/>
      <x:c r="F7" s="12"/>
      <x:c r="G7" s="12"/>
      <x:c r="H7" s="12"/>
    </x:row>
    <x:row r="8">
      <x:c r="A8" s="13"/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B3:H4"/>
    <x:mergeCell ref="B6:H6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8" hidden="0" customWidth="1"/>
    <x:col min="19" max="19" width="22" hidden="0" customWidth="1"/>
    <x:col min="20" max="20" width="16" hidden="0" customWidth="1"/>
    <x:col min="21" max="21" width="28" hidden="0" customWidth="1"/>
    <x:col min="22" max="22" width="22" hidden="0" customWidth="1"/>
    <x:col min="23" max="23" width="42" hidden="0" customWidth="1"/>
  </x:cols>
  <x:sheetData>
    <x:row r="1" ht="32" customHeight="1">
      <x:c r="A1" s="21" t="str">
        <x:v>year</x:v>
      </x:c>
      <x:c r="B1" s="21" t="str">
        <x:v>inherits_from_year</x:v>
      </x:c>
      <x:c r="C1" s="21" t="str">
        <x:v>scenario</x:v>
      </x:c>
      <x:c r="D1" s="21" t="str">
        <x:v>registered_population_start</x:v>
      </x:c>
      <x:c r="E1" s="21" t="str">
        <x:v>registered_population_end</x:v>
      </x:c>
      <x:c r="F1" s="21" t="str">
        <x:v>modeled_actual_population_start</x:v>
      </x:c>
      <x:c r="G1" s="21" t="str">
        <x:v>modeled_actual_population_end</x:v>
      </x:c>
      <x:c r="H1" s="21" t="str">
        <x:v>births</x:v>
      </x:c>
      <x:c r="I1" s="21" t="str">
        <x:v>natural_deaths</x:v>
      </x:c>
      <x:c r="J1" s="21" t="str">
        <x:v>war_deaths</x:v>
      </x:c>
      <x:c r="K1" s="21" t="str">
        <x:v>epidemic_deaths</x:v>
      </x:c>
      <x:c r="L1" s="21" t="str">
        <x:v>disaster_deaths</x:v>
      </x:c>
      <x:c r="M1" s="21" t="str">
        <x:v>net_migration</x:v>
      </x:c>
      <x:c r="N1" s="21" t="str">
        <x:v>registration_loss</x:v>
      </x:c>
      <x:c r="O1" s="21" t="str">
        <x:v>registration_recovery</x:v>
      </x:c>
      <x:c r="P1" s="21" t="str">
        <x:v>annual_change</x:v>
      </x:c>
      <x:c r="Q1" s="21" t="str">
        <x:v>annual_change_rate</x:v>
      </x:c>
      <x:c r="R1" s="21" t="str">
        <x:v>change_event_ids</x:v>
      </x:c>
      <x:c r="S1" s="21" t="str">
        <x:v>change_event_names</x:v>
      </x:c>
      <x:c r="T1" s="21" t="str">
        <x:v>historical_anchors</x:v>
      </x:c>
      <x:c r="U1" s="21" t="str">
        <x:v>evidence_level</x:v>
      </x:c>
      <x:c r="V1" s="21" t="str">
        <x:v>evidence_type</x:v>
      </x:c>
      <x:c r="W1" s="21" t="str">
        <x:v>notes</x:v>
      </x:c>
    </x:row>
    <x:row r="2">
      <x:c r="A2" s="22" t="n">
        <x:v>135</x:v>
      </x:c>
      <x:c r="B2" s="22" t="str">
        <x:v>MASTER</x:v>
      </x:c>
      <x:c r="C2" s="22" t="str">
        <x:v>NO</x:v>
      </x:c>
      <x:c r="D2" s="22" t="n">
        <x:v>47083000</x:v>
      </x:c>
      <x:c r="E2" s="22" t="n">
        <x:v>47493203</x:v>
      </x:c>
      <x:c r="F2" s="22" t="n">
        <x:v>47800000</x:v>
      </x:c>
      <x:c r="G2" s="22" t="n">
        <x:v>48070044</x:v>
      </x:c>
      <x:c r="H2" s="22" t="n">
        <x:v>1625200</x:v>
      </x:c>
      <x:c r="I2" s="22" t="n">
        <x:v>1355156</x:v>
      </x:c>
      <x:c r="J2" s="22" t="n">
        <x:v>0</x:v>
      </x:c>
      <x:c r="K2" s="22" t="n">
        <x:v>0</x:v>
      </x:c>
      <x:c r="L2" s="22" t="n">
        <x:v>0</x:v>
      </x:c>
      <x:c r="M2" s="22" t="n">
        <x:v>0</x:v>
      </x:c>
      <x:c r="N2" s="22" t="n">
        <x:v>0</x:v>
      </x:c>
      <x:c r="O2" s="22" t="n">
        <x:v>143927</x:v>
      </x:c>
      <x:c r="P2" s="22" t="n">
        <x:v>270044</x:v>
      </x:c>
      <x:c r="Q2" s="23" t="n">
        <x:v>0.00564946</x:v>
      </x:c>
      <x:c r="R2" s="22" t="str"/>
      <x:c r="S2" s="22" t="str"/>
      <x:c r="T2" s="22" t="str"/>
      <x:c r="U2" s="22" t="str">
        <x:v>B</x:v>
      </x:c>
      <x:c r="V2" s="22" t="str">
        <x:v>MODELED</x:v>
      </x:c>
      <x:c r="W2" s="22" t="str">
        <x:v>同一连续时间线；模型人口不冒充史籍普查。</x:v>
      </x:c>
    </x:row>
    <x:row r="3">
      <x:c r="A3" s="22" t="n">
        <x:v>136</x:v>
      </x:c>
      <x:c r="B3" s="22" t="n">
        <x:v>135</x:v>
      </x:c>
      <x:c r="C3" s="22" t="str">
        <x:v>NO</x:v>
      </x:c>
      <x:c r="D3" s="22" t="n">
        <x:v>47493203</x:v>
      </x:c>
      <x:c r="E3" s="22" t="n">
        <x:v>47905027</x:v>
      </x:c>
      <x:c r="F3" s="22" t="n">
        <x:v>48070044</x:v>
      </x:c>
      <x:c r="G3" s="22" t="n">
        <x:v>48340088</x:v>
      </x:c>
      <x:c r="H3" s="22" t="n">
        <x:v>1638752</x:v>
      </x:c>
      <x:c r="I3" s="22" t="n">
        <x:v>1368708</x:v>
      </x:c>
      <x:c r="J3" s="22" t="n">
        <x:v>0</x:v>
      </x:c>
      <x:c r="K3" s="22" t="n">
        <x:v>0</x:v>
      </x:c>
      <x:c r="L3" s="22" t="n">
        <x:v>0</x:v>
      </x:c>
      <x:c r="M3" s="22" t="n">
        <x:v>0</x:v>
      </x:c>
      <x:c r="N3" s="22" t="n">
        <x:v>0</x:v>
      </x:c>
      <x:c r="O3" s="22" t="n">
        <x:v>144738</x:v>
      </x:c>
      <x:c r="P3" s="22" t="n">
        <x:v>270044</x:v>
      </x:c>
      <x:c r="Q3" s="23" t="n">
        <x:v>0.00561772</x:v>
      </x:c>
      <x:c r="R3" s="22" t="str"/>
      <x:c r="S3" s="22" t="str"/>
      <x:c r="T3" s="22" t="str"/>
      <x:c r="U3" s="22" t="str">
        <x:v>C</x:v>
      </x:c>
      <x:c r="V3" s="22" t="str">
        <x:v>MODELED</x:v>
      </x:c>
      <x:c r="W3" s="22" t="str">
        <x:v>同一连续时间线；模型人口不冒充史籍普查。</x:v>
      </x:c>
    </x:row>
    <x:row r="4">
      <x:c r="A4" s="22" t="n">
        <x:v>137</x:v>
      </x:c>
      <x:c r="B4" s="22" t="n">
        <x:v>136</x:v>
      </x:c>
      <x:c r="C4" s="22" t="str">
        <x:v>NO</x:v>
      </x:c>
      <x:c r="D4" s="22" t="n">
        <x:v>47905027</x:v>
      </x:c>
      <x:c r="E4" s="22" t="n">
        <x:v>48318471</x:v>
      </x:c>
      <x:c r="F4" s="22" t="n">
        <x:v>48340088</x:v>
      </x:c>
      <x:c r="G4" s="22" t="n">
        <x:v>48610132</x:v>
      </x:c>
      <x:c r="H4" s="22" t="n">
        <x:v>1652352</x:v>
      </x:c>
      <x:c r="I4" s="22" t="n">
        <x:v>1382308</x:v>
      </x:c>
      <x:c r="J4" s="22" t="n">
        <x:v>0</x:v>
      </x:c>
      <x:c r="K4" s="22" t="n">
        <x:v>0</x:v>
      </x:c>
      <x:c r="L4" s="22" t="n">
        <x:v>0</x:v>
      </x:c>
      <x:c r="M4" s="22" t="n">
        <x:v>0</x:v>
      </x:c>
      <x:c r="N4" s="22" t="n">
        <x:v>0</x:v>
      </x:c>
      <x:c r="O4" s="22" t="n">
        <x:v>145542</x:v>
      </x:c>
      <x:c r="P4" s="22" t="n">
        <x:v>270044</x:v>
      </x:c>
      <x:c r="Q4" s="23" t="n">
        <x:v>0.00558634</x:v>
      </x:c>
      <x:c r="R4" s="22" t="str"/>
      <x:c r="S4" s="22" t="str"/>
      <x:c r="T4" s="22" t="str"/>
      <x:c r="U4" s="22" t="str">
        <x:v>C</x:v>
      </x:c>
      <x:c r="V4" s="22" t="str">
        <x:v>MODELED</x:v>
      </x:c>
      <x:c r="W4" s="22" t="str">
        <x:v>同一连续时间线；模型人口不冒充史籍普查。</x:v>
      </x:c>
    </x:row>
    <x:row r="5">
      <x:c r="A5" s="22" t="n">
        <x:v>138</x:v>
      </x:c>
      <x:c r="B5" s="22" t="n">
        <x:v>137</x:v>
      </x:c>
      <x:c r="C5" s="22" t="str">
        <x:v>NO</x:v>
      </x:c>
      <x:c r="D5" s="22" t="n">
        <x:v>48318471</x:v>
      </x:c>
      <x:c r="E5" s="22" t="n">
        <x:v>48733535</x:v>
      </x:c>
      <x:c r="F5" s="22" t="n">
        <x:v>48610132</x:v>
      </x:c>
      <x:c r="G5" s="22" t="n">
        <x:v>48880176</x:v>
      </x:c>
      <x:c r="H5" s="22" t="n">
        <x:v>1666002</x:v>
      </x:c>
      <x:c r="I5" s="22" t="n">
        <x:v>1395958</x:v>
      </x:c>
      <x:c r="J5" s="22" t="n">
        <x:v>0</x:v>
      </x:c>
      <x:c r="K5" s="22" t="n">
        <x:v>0</x:v>
      </x:c>
      <x:c r="L5" s="22" t="n">
        <x:v>0</x:v>
      </x:c>
      <x:c r="M5" s="22" t="n">
        <x:v>0</x:v>
      </x:c>
      <x:c r="N5" s="22" t="n">
        <x:v>0</x:v>
      </x:c>
      <x:c r="O5" s="22" t="n">
        <x:v>146346</x:v>
      </x:c>
      <x:c r="P5" s="22" t="n">
        <x:v>270044</x:v>
      </x:c>
      <x:c r="Q5" s="23" t="n">
        <x:v>0.0055553</x:v>
      </x:c>
      <x:c r="R5" s="22" t="str"/>
      <x:c r="S5" s="22" t="str"/>
      <x:c r="T5" s="22" t="str"/>
      <x:c r="U5" s="22" t="str">
        <x:v>C</x:v>
      </x:c>
      <x:c r="V5" s="22" t="str">
        <x:v>MODELED</x:v>
      </x:c>
      <x:c r="W5" s="22" t="str">
        <x:v>同一连续时间线；模型人口不冒充史籍普查。</x:v>
      </x:c>
    </x:row>
    <x:row r="6">
      <x:c r="A6" s="22" t="n">
        <x:v>139</x:v>
      </x:c>
      <x:c r="B6" s="22" t="n">
        <x:v>138</x:v>
      </x:c>
      <x:c r="C6" s="22" t="str">
        <x:v>NO</x:v>
      </x:c>
      <x:c r="D6" s="22" t="n">
        <x:v>48733535</x:v>
      </x:c>
      <x:c r="E6" s="22" t="n">
        <x:v>49150220</x:v>
      </x:c>
      <x:c r="F6" s="22" t="n">
        <x:v>48880176</x:v>
      </x:c>
      <x:c r="G6" s="22" t="n">
        <x:v>49150220</x:v>
      </x:c>
      <x:c r="H6" s="22" t="n">
        <x:v>1679701</x:v>
      </x:c>
      <x:c r="I6" s="22" t="n">
        <x:v>1409657</x:v>
      </x:c>
      <x:c r="J6" s="22" t="n">
        <x:v>0</x:v>
      </x:c>
      <x:c r="K6" s="22" t="n">
        <x:v>0</x:v>
      </x:c>
      <x:c r="L6" s="22" t="n">
        <x:v>0</x:v>
      </x:c>
      <x:c r="M6" s="22" t="n">
        <x:v>0</x:v>
      </x:c>
      <x:c r="N6" s="22" t="n">
        <x:v>0</x:v>
      </x:c>
      <x:c r="O6" s="22" t="n">
        <x:v>147155</x:v>
      </x:c>
      <x:c r="P6" s="22" t="n">
        <x:v>270044</x:v>
      </x:c>
      <x:c r="Q6" s="23" t="n">
        <x:v>0.00552461</x:v>
      </x:c>
      <x:c r="R6" s="22" t="str"/>
      <x:c r="S6" s="22" t="str"/>
      <x:c r="T6" s="22" t="str"/>
      <x:c r="U6" s="22" t="str">
        <x:v>C</x:v>
      </x:c>
      <x:c r="V6" s="22" t="str">
        <x:v>MODELED</x:v>
      </x:c>
      <x:c r="W6" s="22" t="str">
        <x:v>同一连续时间线；模型人口不冒充史籍普查。</x:v>
      </x:c>
    </x:row>
    <x:row r="7">
      <x:c r="A7" s="22" t="n">
        <x:v>140</x:v>
      </x:c>
      <x:c r="B7" s="22" t="n">
        <x:v>139</x:v>
      </x:c>
      <x:c r="C7" s="22" t="str">
        <x:v>YES</x:v>
      </x:c>
      <x:c r="D7" s="22" t="n">
        <x:v>49150220</x:v>
      </x:c>
      <x:c r="E7" s="22" t="n">
        <x:v>49581787</x:v>
      </x:c>
      <x:c r="F7" s="22" t="n">
        <x:v>49150220</x:v>
      </x:c>
      <x:c r="G7" s="22" t="n">
        <x:v>49581787</x:v>
      </x:c>
      <x:c r="H7" s="22" t="n">
        <x:v>1693448</x:v>
      </x:c>
      <x:c r="I7" s="22" t="n">
        <x:v>1261881</x:v>
      </x:c>
      <x:c r="J7" s="22" t="n">
        <x:v>0</x:v>
      </x:c>
      <x:c r="K7" s="22" t="n">
        <x:v>0</x:v>
      </x:c>
      <x:c r="L7" s="22" t="n">
        <x:v>0</x:v>
      </x:c>
      <x:c r="M7" s="22" t="n">
        <x:v>0</x:v>
      </x:c>
      <x:c r="N7" s="22" t="n">
        <x:v>0</x:v>
      </x:c>
      <x:c r="O7" s="22" t="n">
        <x:v>2883</x:v>
      </x:c>
      <x:c r="P7" s="22" t="n">
        <x:v>431567</x:v>
      </x:c>
      <x:c r="Q7" s="23" t="n">
        <x:v>0.00878057</x:v>
      </x:c>
      <x:c r="R7" s="22" t="str"/>
      <x:c r="S7" s="22" t="str"/>
      <x:c r="T7" s="22" t="str">
        <x:v>140_HOU_HAN_SHU</x:v>
      </x:c>
      <x:c r="U7" s="22" t="str">
        <x:v>H</x:v>
      </x:c>
      <x:c r="V7" s="22" t="str">
        <x:v>MODELED</x:v>
      </x:c>
      <x:c r="W7" s="22" t="str">
        <x:v>同一连续时间线；模型人口不冒充史籍普查。</x:v>
      </x:c>
    </x:row>
    <x:row r="8">
      <x:c r="A8" s="22" t="n">
        <x:v>141</x:v>
      </x:c>
      <x:c r="B8" s="22" t="n">
        <x:v>140</x:v>
      </x:c>
      <x:c r="C8" s="22" t="str">
        <x:v>NO</x:v>
      </x:c>
      <x:c r="D8" s="22" t="n">
        <x:v>49581787</x:v>
      </x:c>
      <x:c r="E8" s="22" t="n">
        <x:v>50013354</x:v>
      </x:c>
      <x:c r="F8" s="22" t="n">
        <x:v>49581787</x:v>
      </x:c>
      <x:c r="G8" s="22" t="n">
        <x:v>50013354</x:v>
      </x:c>
      <x:c r="H8" s="22" t="n">
        <x:v>1712825</x:v>
      </x:c>
      <x:c r="I8" s="22" t="n">
        <x:v>1281258</x:v>
      </x:c>
      <x:c r="J8" s="22" t="n">
        <x:v>0</x:v>
      </x:c>
      <x:c r="K8" s="22" t="n">
        <x:v>0</x:v>
      </x:c>
      <x:c r="L8" s="22" t="n">
        <x:v>0</x:v>
      </x:c>
      <x:c r="M8" s="22" t="n">
        <x:v>0</x:v>
      </x:c>
      <x:c r="N8" s="22" t="n">
        <x:v>0</x:v>
      </x:c>
      <x:c r="O8" s="22" t="n">
        <x:v>2910</x:v>
      </x:c>
      <x:c r="P8" s="22" t="n">
        <x:v>431567</x:v>
      </x:c>
      <x:c r="Q8" s="23" t="n">
        <x:v>0.00870414</x:v>
      </x:c>
      <x:c r="R8" s="22" t="str"/>
      <x:c r="S8" s="22" t="str"/>
      <x:c r="T8" s="22" t="str"/>
      <x:c r="U8" s="22" t="str">
        <x:v>C</x:v>
      </x:c>
      <x:c r="V8" s="22" t="str">
        <x:v>MODELED</x:v>
      </x:c>
      <x:c r="W8" s="22" t="str">
        <x:v>同一连续时间线；模型人口不冒充史籍普查。</x:v>
      </x:c>
    </x:row>
    <x:row r="9">
      <x:c r="A9" s="22" t="n">
        <x:v>142</x:v>
      </x:c>
      <x:c r="B9" s="22" t="n">
        <x:v>141</x:v>
      </x:c>
      <x:c r="C9" s="22" t="str">
        <x:v>NO</x:v>
      </x:c>
      <x:c r="D9" s="22" t="n">
        <x:v>50013354</x:v>
      </x:c>
      <x:c r="E9" s="22" t="n">
        <x:v>50444920</x:v>
      </x:c>
      <x:c r="F9" s="22" t="n">
        <x:v>50013354</x:v>
      </x:c>
      <x:c r="G9" s="22" t="n">
        <x:v>50444920</x:v>
      </x:c>
      <x:c r="H9" s="22" t="n">
        <x:v>1732281</x:v>
      </x:c>
      <x:c r="I9" s="22" t="n">
        <x:v>1300715</x:v>
      </x:c>
      <x:c r="J9" s="22" t="n">
        <x:v>0</x:v>
      </x:c>
      <x:c r="K9" s="22" t="n">
        <x:v>0</x:v>
      </x:c>
      <x:c r="L9" s="22" t="n">
        <x:v>0</x:v>
      </x:c>
      <x:c r="M9" s="22" t="n">
        <x:v>0</x:v>
      </x:c>
      <x:c r="N9" s="22" t="n">
        <x:v>0</x:v>
      </x:c>
      <x:c r="O9" s="22" t="n">
        <x:v>2936</x:v>
      </x:c>
      <x:c r="P9" s="22" t="n">
        <x:v>431566</x:v>
      </x:c>
      <x:c r="Q9" s="23" t="n">
        <x:v>0.00862902</x:v>
      </x:c>
      <x:c r="R9" s="22" t="str"/>
      <x:c r="S9" s="22" t="str"/>
      <x:c r="T9" s="22" t="str"/>
      <x:c r="U9" s="22" t="str">
        <x:v>C</x:v>
      </x:c>
      <x:c r="V9" s="22" t="str">
        <x:v>MODELED</x:v>
      </x:c>
      <x:c r="W9" s="22" t="str">
        <x:v>同一连续时间线；模型人口不冒充史籍普查。</x:v>
      </x:c>
    </x:row>
    <x:row r="10">
      <x:c r="A10" s="22" t="n">
        <x:v>143</x:v>
      </x:c>
      <x:c r="B10" s="22" t="n">
        <x:v>142</x:v>
      </x:c>
      <x:c r="C10" s="22" t="str">
        <x:v>NO</x:v>
      </x:c>
      <x:c r="D10" s="22" t="n">
        <x:v>50444920</x:v>
      </x:c>
      <x:c r="E10" s="22" t="n">
        <x:v>50876487</x:v>
      </x:c>
      <x:c r="F10" s="22" t="n">
        <x:v>50444920</x:v>
      </x:c>
      <x:c r="G10" s="22" t="n">
        <x:v>50876487</x:v>
      </x:c>
      <x:c r="H10" s="22" t="n">
        <x:v>1751814</x:v>
      </x:c>
      <x:c r="I10" s="22" t="n">
        <x:v>1320247</x:v>
      </x:c>
      <x:c r="J10" s="22" t="n">
        <x:v>0</x:v>
      </x:c>
      <x:c r="K10" s="22" t="n">
        <x:v>0</x:v>
      </x:c>
      <x:c r="L10" s="22" t="n">
        <x:v>0</x:v>
      </x:c>
      <x:c r="M10" s="22" t="n">
        <x:v>0</x:v>
      </x:c>
      <x:c r="N10" s="22" t="n">
        <x:v>0</x:v>
      </x:c>
      <x:c r="O10" s="22" t="n">
        <x:v>2960</x:v>
      </x:c>
      <x:c r="P10" s="22" t="n">
        <x:v>431567</x:v>
      </x:c>
      <x:c r="Q10" s="23" t="n">
        <x:v>0.00855521</x:v>
      </x:c>
      <x:c r="R10" s="22" t="str"/>
      <x:c r="S10" s="22" t="str"/>
      <x:c r="T10" s="22" t="str"/>
      <x:c r="U10" s="22" t="str">
        <x:v>C</x:v>
      </x:c>
      <x:c r="V10" s="22" t="str">
        <x:v>MODELED</x:v>
      </x:c>
      <x:c r="W10" s="22" t="str">
        <x:v>同一连续时间线；模型人口不冒充史籍普查。</x:v>
      </x:c>
    </x:row>
    <x:row r="11">
      <x:c r="A11" s="22" t="n">
        <x:v>144</x:v>
      </x:c>
      <x:c r="B11" s="22" t="n">
        <x:v>143</x:v>
      </x:c>
      <x:c r="C11" s="22" t="str">
        <x:v>NO</x:v>
      </x:c>
      <x:c r="D11" s="22" t="n">
        <x:v>50876487</x:v>
      </x:c>
      <x:c r="E11" s="22" t="n">
        <x:v>51308054</x:v>
      </x:c>
      <x:c r="F11" s="22" t="n">
        <x:v>50876487</x:v>
      </x:c>
      <x:c r="G11" s="22" t="n">
        <x:v>51308054</x:v>
      </x:c>
      <x:c r="H11" s="22" t="n">
        <x:v>1771427</x:v>
      </x:c>
      <x:c r="I11" s="22" t="n">
        <x:v>1339860</x:v>
      </x:c>
      <x:c r="J11" s="22" t="n">
        <x:v>0</x:v>
      </x:c>
      <x:c r="K11" s="22" t="n">
        <x:v>0</x:v>
      </x:c>
      <x:c r="L11" s="22" t="n">
        <x:v>0</x:v>
      </x:c>
      <x:c r="M11" s="22" t="n">
        <x:v>0</x:v>
      </x:c>
      <x:c r="N11" s="22" t="n">
        <x:v>1</x:v>
      </x:c>
      <x:c r="O11" s="22" t="n">
        <x:v>2990</x:v>
      </x:c>
      <x:c r="P11" s="22" t="n">
        <x:v>431567</x:v>
      </x:c>
      <x:c r="Q11" s="23" t="n">
        <x:v>0.00848264</x:v>
      </x:c>
      <x:c r="R11" s="22" t="str"/>
      <x:c r="S11" s="22" t="str"/>
      <x:c r="T11" s="22" t="str"/>
      <x:c r="U11" s="22" t="str">
        <x:v>C</x:v>
      </x:c>
      <x:c r="V11" s="22" t="str">
        <x:v>MODELED</x:v>
      </x:c>
      <x:c r="W11" s="22" t="str">
        <x:v>同一连续时间线；模型人口不冒充史籍普查。</x:v>
      </x:c>
    </x:row>
    <x:row r="12">
      <x:c r="A12" s="22" t="n">
        <x:v>145</x:v>
      </x:c>
      <x:c r="B12" s="22" t="n">
        <x:v>144</x:v>
      </x:c>
      <x:c r="C12" s="22" t="str">
        <x:v>NO</x:v>
      </x:c>
      <x:c r="D12" s="22" t="n">
        <x:v>51308054</x:v>
      </x:c>
      <x:c r="E12" s="22" t="n">
        <x:v>51739621</x:v>
      </x:c>
      <x:c r="F12" s="22" t="n">
        <x:v>51308054</x:v>
      </x:c>
      <x:c r="G12" s="22" t="n">
        <x:v>51739621</x:v>
      </x:c>
      <x:c r="H12" s="22" t="n">
        <x:v>1791118</x:v>
      </x:c>
      <x:c r="I12" s="22" t="n">
        <x:v>1359551</x:v>
      </x:c>
      <x:c r="J12" s="22" t="n">
        <x:v>0</x:v>
      </x:c>
      <x:c r="K12" s="22" t="n">
        <x:v>0</x:v>
      </x:c>
      <x:c r="L12" s="22" t="n">
        <x:v>0</x:v>
      </x:c>
      <x:c r="M12" s="22" t="n">
        <x:v>0</x:v>
      </x:c>
      <x:c r="N12" s="22" t="n">
        <x:v>0</x:v>
      </x:c>
      <x:c r="O12" s="22" t="n">
        <x:v>3013</x:v>
      </x:c>
      <x:c r="P12" s="22" t="n">
        <x:v>431567</x:v>
      </x:c>
      <x:c r="Q12" s="23" t="n">
        <x:v>0.00841129</x:v>
      </x:c>
      <x:c r="R12" s="22" t="str"/>
      <x:c r="S12" s="22" t="str"/>
      <x:c r="T12" s="22" t="str"/>
      <x:c r="U12" s="22" t="str">
        <x:v>C</x:v>
      </x:c>
      <x:c r="V12" s="22" t="str">
        <x:v>MODELED</x:v>
      </x:c>
      <x:c r="W12" s="22" t="str">
        <x:v>同一连续时间线；模型人口不冒充史籍普查。</x:v>
      </x:c>
    </x:row>
    <x:row r="13">
      <x:c r="A13" s="22" t="n">
        <x:v>146</x:v>
      </x:c>
      <x:c r="B13" s="22" t="n">
        <x:v>145</x:v>
      </x:c>
      <x:c r="C13" s="22" t="str">
        <x:v>NO</x:v>
      </x:c>
      <x:c r="D13" s="22" t="n">
        <x:v>51739621</x:v>
      </x:c>
      <x:c r="E13" s="22" t="n">
        <x:v>52171188</x:v>
      </x:c>
      <x:c r="F13" s="22" t="n">
        <x:v>51739621</x:v>
      </x:c>
      <x:c r="G13" s="22" t="n">
        <x:v>52171188</x:v>
      </x:c>
      <x:c r="H13" s="22" t="n">
        <x:v>1810887</x:v>
      </x:c>
      <x:c r="I13" s="22" t="n">
        <x:v>1379320</x:v>
      </x:c>
      <x:c r="J13" s="22" t="n">
        <x:v>0</x:v>
      </x:c>
      <x:c r="K13" s="22" t="n">
        <x:v>0</x:v>
      </x:c>
      <x:c r="L13" s="22" t="n">
        <x:v>0</x:v>
      </x:c>
      <x:c r="M13" s="22" t="n">
        <x:v>0</x:v>
      </x:c>
      <x:c r="N13" s="22" t="n">
        <x:v>0</x:v>
      </x:c>
      <x:c r="O13" s="22" t="n">
        <x:v>3040</x:v>
      </x:c>
      <x:c r="P13" s="22" t="n">
        <x:v>431567</x:v>
      </x:c>
      <x:c r="Q13" s="23" t="n">
        <x:v>0.00834113</x:v>
      </x:c>
      <x:c r="R13" s="22" t="str"/>
      <x:c r="S13" s="22" t="str"/>
      <x:c r="T13" s="22" t="str"/>
      <x:c r="U13" s="22" t="str">
        <x:v>C</x:v>
      </x:c>
      <x:c r="V13" s="22" t="str">
        <x:v>MODELED</x:v>
      </x:c>
      <x:c r="W13" s="22" t="str">
        <x:v>同一连续时间线；模型人口不冒充史籍普查。</x:v>
      </x:c>
    </x:row>
    <x:row r="14">
      <x:c r="A14" s="22" t="n">
        <x:v>147</x:v>
      </x:c>
      <x:c r="B14" s="22" t="n">
        <x:v>146</x:v>
      </x:c>
      <x:c r="C14" s="22" t="str">
        <x:v>NO</x:v>
      </x:c>
      <x:c r="D14" s="22" t="n">
        <x:v>52171188</x:v>
      </x:c>
      <x:c r="E14" s="22" t="n">
        <x:v>52602755</x:v>
      </x:c>
      <x:c r="F14" s="22" t="n">
        <x:v>52171188</x:v>
      </x:c>
      <x:c r="G14" s="22" t="n">
        <x:v>52602755</x:v>
      </x:c>
      <x:c r="H14" s="22" t="n">
        <x:v>1830734</x:v>
      </x:c>
      <x:c r="I14" s="22" t="n">
        <x:v>1399167</x:v>
      </x:c>
      <x:c r="J14" s="22" t="n">
        <x:v>0</x:v>
      </x:c>
      <x:c r="K14" s="22" t="n">
        <x:v>0</x:v>
      </x:c>
      <x:c r="L14" s="22" t="n">
        <x:v>0</x:v>
      </x:c>
      <x:c r="M14" s="22" t="n">
        <x:v>0</x:v>
      </x:c>
      <x:c r="N14" s="22" t="n">
        <x:v>0</x:v>
      </x:c>
      <x:c r="O14" s="22" t="n">
        <x:v>3066</x:v>
      </x:c>
      <x:c r="P14" s="22" t="n">
        <x:v>431567</x:v>
      </x:c>
      <x:c r="Q14" s="23" t="n">
        <x:v>0.00827213</x:v>
      </x:c>
      <x:c r="R14" s="22" t="str"/>
      <x:c r="S14" s="22" t="str"/>
      <x:c r="T14" s="22" t="str"/>
      <x:c r="U14" s="22" t="str">
        <x:v>C</x:v>
      </x:c>
      <x:c r="V14" s="22" t="str">
        <x:v>MODELED</x:v>
      </x:c>
      <x:c r="W14" s="22" t="str">
        <x:v>同一连续时间线；模型人口不冒充史籍普查。</x:v>
      </x:c>
    </x:row>
    <x:row r="15">
      <x:c r="A15" s="22" t="n">
        <x:v>148</x:v>
      </x:c>
      <x:c r="B15" s="22" t="n">
        <x:v>147</x:v>
      </x:c>
      <x:c r="C15" s="22" t="str">
        <x:v>NO</x:v>
      </x:c>
      <x:c r="D15" s="22" t="n">
        <x:v>52602755</x:v>
      </x:c>
      <x:c r="E15" s="22" t="n">
        <x:v>53034321</x:v>
      </x:c>
      <x:c r="F15" s="22" t="n">
        <x:v>52602755</x:v>
      </x:c>
      <x:c r="G15" s="22" t="n">
        <x:v>53034321</x:v>
      </x:c>
      <x:c r="H15" s="22" t="n">
        <x:v>1850661</x:v>
      </x:c>
      <x:c r="I15" s="22" t="n">
        <x:v>1419095</x:v>
      </x:c>
      <x:c r="J15" s="22" t="n">
        <x:v>0</x:v>
      </x:c>
      <x:c r="K15" s="22" t="n">
        <x:v>0</x:v>
      </x:c>
      <x:c r="L15" s="22" t="n">
        <x:v>0</x:v>
      </x:c>
      <x:c r="M15" s="22" t="n">
        <x:v>0</x:v>
      </x:c>
      <x:c r="N15" s="22" t="n">
        <x:v>1</x:v>
      </x:c>
      <x:c r="O15" s="22" t="n">
        <x:v>3091</x:v>
      </x:c>
      <x:c r="P15" s="22" t="n">
        <x:v>431566</x:v>
      </x:c>
      <x:c r="Q15" s="23" t="n">
        <x:v>0.00820425</x:v>
      </x:c>
      <x:c r="R15" s="22" t="str"/>
      <x:c r="S15" s="22" t="str"/>
      <x:c r="T15" s="22" t="str"/>
      <x:c r="U15" s="22" t="str">
        <x:v>C</x:v>
      </x:c>
      <x:c r="V15" s="22" t="str">
        <x:v>MODELED</x:v>
      </x:c>
      <x:c r="W15" s="22" t="str">
        <x:v>同一连续时间线；模型人口不冒充史籍普查。</x:v>
      </x:c>
    </x:row>
    <x:row r="16">
      <x:c r="A16" s="22" t="n">
        <x:v>149</x:v>
      </x:c>
      <x:c r="B16" s="22" t="n">
        <x:v>148</x:v>
      </x:c>
      <x:c r="C16" s="22" t="str">
        <x:v>NO</x:v>
      </x:c>
      <x:c r="D16" s="22" t="n">
        <x:v>53034321</x:v>
      </x:c>
      <x:c r="E16" s="22" t="n">
        <x:v>53465888</x:v>
      </x:c>
      <x:c r="F16" s="22" t="n">
        <x:v>53034321</x:v>
      </x:c>
      <x:c r="G16" s="22" t="n">
        <x:v>53465888</x:v>
      </x:c>
      <x:c r="H16" s="22" t="n">
        <x:v>1870665</x:v>
      </x:c>
      <x:c r="I16" s="22" t="n">
        <x:v>1439098</x:v>
      </x:c>
      <x:c r="J16" s="22" t="n">
        <x:v>0</x:v>
      </x:c>
      <x:c r="K16" s="22" t="n">
        <x:v>0</x:v>
      </x:c>
      <x:c r="L16" s="22" t="n">
        <x:v>0</x:v>
      </x:c>
      <x:c r="M16" s="22" t="n">
        <x:v>0</x:v>
      </x:c>
      <x:c r="N16" s="22" t="n">
        <x:v>0</x:v>
      </x:c>
      <x:c r="O16" s="22" t="n">
        <x:v>3122</x:v>
      </x:c>
      <x:c r="P16" s="22" t="n">
        <x:v>431567</x:v>
      </x:c>
      <x:c r="Q16" s="23" t="n">
        <x:v>0.0081375</x:v>
      </x:c>
      <x:c r="R16" s="22" t="str"/>
      <x:c r="S16" s="22" t="str"/>
      <x:c r="T16" s="22" t="str"/>
      <x:c r="U16" s="22" t="str">
        <x:v>C</x:v>
      </x:c>
      <x:c r="V16" s="22" t="str">
        <x:v>MODELED</x:v>
      </x:c>
      <x:c r="W16" s="22" t="str">
        <x:v>同一连续时间线；模型人口不冒充史籍普查。</x:v>
      </x:c>
    </x:row>
    <x:row r="17">
      <x:c r="A17" s="22" t="n">
        <x:v>150</x:v>
      </x:c>
      <x:c r="B17" s="22" t="n">
        <x:v>149</x:v>
      </x:c>
      <x:c r="C17" s="22" t="str">
        <x:v>NO</x:v>
      </x:c>
      <x:c r="D17" s="22" t="n">
        <x:v>53465888</x:v>
      </x:c>
      <x:c r="E17" s="22" t="n">
        <x:v>53897455</x:v>
      </x:c>
      <x:c r="F17" s="22" t="n">
        <x:v>53465888</x:v>
      </x:c>
      <x:c r="G17" s="22" t="n">
        <x:v>53897455</x:v>
      </x:c>
      <x:c r="H17" s="22" t="n">
        <x:v>1890748</x:v>
      </x:c>
      <x:c r="I17" s="22" t="n">
        <x:v>1459181</x:v>
      </x:c>
      <x:c r="J17" s="22" t="n">
        <x:v>0</x:v>
      </x:c>
      <x:c r="K17" s="22" t="n">
        <x:v>0</x:v>
      </x:c>
      <x:c r="L17" s="22" t="n">
        <x:v>0</x:v>
      </x:c>
      <x:c r="M17" s="22" t="n">
        <x:v>0</x:v>
      </x:c>
      <x:c r="N17" s="22" t="n">
        <x:v>0</x:v>
      </x:c>
      <x:c r="O17" s="22" t="n">
        <x:v>4517</x:v>
      </x:c>
      <x:c r="P17" s="22" t="n">
        <x:v>431567</x:v>
      </x:c>
      <x:c r="Q17" s="23" t="n">
        <x:v>0.00807182</x:v>
      </x:c>
      <x:c r="R17" s="22" t="str"/>
      <x:c r="S17" s="22" t="str"/>
      <x:c r="T17" s="22" t="str"/>
      <x:c r="U17" s="22" t="str">
        <x:v>C</x:v>
      </x:c>
      <x:c r="V17" s="22" t="str">
        <x:v>MODELED</x:v>
      </x:c>
      <x:c r="W17" s="22" t="str">
        <x:v>同一连续时间线；模型人口不冒充史籍普查。</x:v>
      </x:c>
    </x:row>
    <x:row r="18">
      <x:c r="A18" s="22" t="n">
        <x:v>151</x:v>
      </x:c>
      <x:c r="B18" s="22" t="n">
        <x:v>150</x:v>
      </x:c>
      <x:c r="C18" s="22" t="str">
        <x:v>NO</x:v>
      </x:c>
      <x:c r="D18" s="22" t="n">
        <x:v>53897455</x:v>
      </x:c>
      <x:c r="E18" s="22" t="n">
        <x:v>54329022</x:v>
      </x:c>
      <x:c r="F18" s="22" t="n">
        <x:v>53897455</x:v>
      </x:c>
      <x:c r="G18" s="22" t="n">
        <x:v>54329022</x:v>
      </x:c>
      <x:c r="H18" s="22" t="n">
        <x:v>1910910</x:v>
      </x:c>
      <x:c r="I18" s="22" t="n">
        <x:v>1441794</x:v>
      </x:c>
      <x:c r="J18" s="22" t="n">
        <x:v>0</x:v>
      </x:c>
      <x:c r="K18" s="22" t="n">
        <x:v>37549</x:v>
      </x:c>
      <x:c r="L18" s="22" t="n">
        <x:v>0</x:v>
      </x:c>
      <x:c r="M18" s="22" t="n">
        <x:v>0</x:v>
      </x:c>
      <x:c r="N18" s="22" t="n">
        <x:v>0</x:v>
      </x:c>
      <x:c r="O18" s="22" t="n">
        <x:v>1803</x:v>
      </x:c>
      <x:c r="P18" s="22" t="n">
        <x:v>431567</x:v>
      </x:c>
      <x:c r="Q18" s="23" t="n">
        <x:v>0.00800719</x:v>
      </x:c>
      <x:c r="R18" s="22" t="str">
        <x:v>pop.event.epidemic.151</x:v>
      </x:c>
      <x:c r="S18" s="22" t="str">
        <x:v>元嘉疫病模型事件</x:v>
      </x:c>
      <x:c r="T18" s="22" t="str"/>
      <x:c r="U18" s="22" t="str">
        <x:v>C</x:v>
      </x:c>
      <x:c r="V18" s="22" t="str">
        <x:v>MODELED</x:v>
      </x:c>
      <x:c r="W18" s="22" t="str">
        <x:v>同一连续时间线；模型人口不冒充史籍普查。</x:v>
      </x:c>
    </x:row>
    <x:row r="19">
      <x:c r="A19" s="22" t="n">
        <x:v>152</x:v>
      </x:c>
      <x:c r="B19" s="22" t="n">
        <x:v>151</x:v>
      </x:c>
      <x:c r="C19" s="22" t="str">
        <x:v>NO</x:v>
      </x:c>
      <x:c r="D19" s="22" t="n">
        <x:v>54329022</x:v>
      </x:c>
      <x:c r="E19" s="22" t="n">
        <x:v>54760589</x:v>
      </x:c>
      <x:c r="F19" s="22" t="n">
        <x:v>54329022</x:v>
      </x:c>
      <x:c r="G19" s="22" t="n">
        <x:v>54760589</x:v>
      </x:c>
      <x:c r="H19" s="22" t="n">
        <x:v>1931150</x:v>
      </x:c>
      <x:c r="I19" s="22" t="n">
        <x:v>1499583</x:v>
      </x:c>
      <x:c r="J19" s="22" t="n">
        <x:v>0</x:v>
      </x:c>
      <x:c r="K19" s="22" t="n">
        <x:v>0</x:v>
      </x:c>
      <x:c r="L19" s="22" t="n">
        <x:v>0</x:v>
      </x:c>
      <x:c r="M19" s="22" t="n">
        <x:v>0</x:v>
      </x:c>
      <x:c r="N19" s="22" t="n">
        <x:v>0</x:v>
      </x:c>
      <x:c r="O19" s="22" t="n">
        <x:v>3207</x:v>
      </x:c>
      <x:c r="P19" s="22" t="n">
        <x:v>431567</x:v>
      </x:c>
      <x:c r="Q19" s="23" t="n">
        <x:v>0.00794358</x:v>
      </x:c>
      <x:c r="R19" s="22" t="str"/>
      <x:c r="S19" s="22" t="str"/>
      <x:c r="T19" s="22" t="str"/>
      <x:c r="U19" s="22" t="str">
        <x:v>C</x:v>
      </x:c>
      <x:c r="V19" s="22" t="str">
        <x:v>MODELED</x:v>
      </x:c>
      <x:c r="W19" s="22" t="str">
        <x:v>同一连续时间线；模型人口不冒充史籍普查。</x:v>
      </x:c>
    </x:row>
    <x:row r="20">
      <x:c r="A20" s="22" t="n">
        <x:v>153</x:v>
      </x:c>
      <x:c r="B20" s="22" t="n">
        <x:v>152</x:v>
      </x:c>
      <x:c r="C20" s="22" t="str">
        <x:v>NO</x:v>
      </x:c>
      <x:c r="D20" s="22" t="n">
        <x:v>54760589</x:v>
      </x:c>
      <x:c r="E20" s="22" t="n">
        <x:v>55192156</x:v>
      </x:c>
      <x:c r="F20" s="22" t="n">
        <x:v>54760589</x:v>
      </x:c>
      <x:c r="G20" s="22" t="n">
        <x:v>55192156</x:v>
      </x:c>
      <x:c r="H20" s="22" t="n">
        <x:v>1951468</x:v>
      </x:c>
      <x:c r="I20" s="22" t="n">
        <x:v>1519901</x:v>
      </x:c>
      <x:c r="J20" s="22" t="n">
        <x:v>0</x:v>
      </x:c>
      <x:c r="K20" s="22" t="n">
        <x:v>0</x:v>
      </x:c>
      <x:c r="L20" s="22" t="n">
        <x:v>0</x:v>
      </x:c>
      <x:c r="M20" s="22" t="n">
        <x:v>0</x:v>
      </x:c>
      <x:c r="N20" s="22" t="n">
        <x:v>0</x:v>
      </x:c>
      <x:c r="O20" s="22" t="n">
        <x:v>3234</x:v>
      </x:c>
      <x:c r="P20" s="22" t="n">
        <x:v>431567</x:v>
      </x:c>
      <x:c r="Q20" s="23" t="n">
        <x:v>0.00788098</x:v>
      </x:c>
      <x:c r="R20" s="22" t="str"/>
      <x:c r="S20" s="22" t="str"/>
      <x:c r="T20" s="22" t="str"/>
      <x:c r="U20" s="22" t="str">
        <x:v>C</x:v>
      </x:c>
      <x:c r="V20" s="22" t="str">
        <x:v>MODELED</x:v>
      </x:c>
      <x:c r="W20" s="22" t="str">
        <x:v>同一连续时间线；模型人口不冒充史籍普查。</x:v>
      </x:c>
    </x:row>
    <x:row r="21">
      <x:c r="A21" s="22" t="n">
        <x:v>154</x:v>
      </x:c>
      <x:c r="B21" s="22" t="n">
        <x:v>153</x:v>
      </x:c>
      <x:c r="C21" s="22" t="str">
        <x:v>NO</x:v>
      </x:c>
      <x:c r="D21" s="22" t="n">
        <x:v>55192156</x:v>
      </x:c>
      <x:c r="E21" s="22" t="n">
        <x:v>55623722</x:v>
      </x:c>
      <x:c r="F21" s="22" t="n">
        <x:v>55192156</x:v>
      </x:c>
      <x:c r="G21" s="22" t="n">
        <x:v>55623722</x:v>
      </x:c>
      <x:c r="H21" s="22" t="n">
        <x:v>1971865</x:v>
      </x:c>
      <x:c r="I21" s="22" t="n">
        <x:v>1540299</x:v>
      </x:c>
      <x:c r="J21" s="22" t="n">
        <x:v>0</x:v>
      </x:c>
      <x:c r="K21" s="22" t="n">
        <x:v>0</x:v>
      </x:c>
      <x:c r="L21" s="22" t="n">
        <x:v>0</x:v>
      </x:c>
      <x:c r="M21" s="22" t="n">
        <x:v>0</x:v>
      </x:c>
      <x:c r="N21" s="22" t="n">
        <x:v>0</x:v>
      </x:c>
      <x:c r="O21" s="22" t="n">
        <x:v>3260</x:v>
      </x:c>
      <x:c r="P21" s="22" t="n">
        <x:v>431566</x:v>
      </x:c>
      <x:c r="Q21" s="23" t="n">
        <x:v>0.00781934</x:v>
      </x:c>
      <x:c r="R21" s="22" t="str"/>
      <x:c r="S21" s="22" t="str"/>
      <x:c r="T21" s="22" t="str"/>
      <x:c r="U21" s="22" t="str">
        <x:v>C</x:v>
      </x:c>
      <x:c r="V21" s="22" t="str">
        <x:v>MODELED</x:v>
      </x:c>
      <x:c r="W21" s="22" t="str">
        <x:v>同一连续时间线；模型人口不冒充史籍普查。</x:v>
      </x:c>
    </x:row>
    <x:row r="22">
      <x:c r="A22" s="22" t="n">
        <x:v>155</x:v>
      </x:c>
      <x:c r="B22" s="22" t="n">
        <x:v>154</x:v>
      </x:c>
      <x:c r="C22" s="22" t="str">
        <x:v>NO</x:v>
      </x:c>
      <x:c r="D22" s="22" t="n">
        <x:v>55623722</x:v>
      </x:c>
      <x:c r="E22" s="22" t="n">
        <x:v>56055289</x:v>
      </x:c>
      <x:c r="F22" s="22" t="n">
        <x:v>55623722</x:v>
      </x:c>
      <x:c r="G22" s="22" t="n">
        <x:v>56055289</x:v>
      </x:c>
      <x:c r="H22" s="22" t="n">
        <x:v>1992341</x:v>
      </x:c>
      <x:c r="I22" s="22" t="n">
        <x:v>1560774</x:v>
      </x:c>
      <x:c r="J22" s="22" t="n">
        <x:v>0</x:v>
      </x:c>
      <x:c r="K22" s="22" t="n">
        <x:v>0</x:v>
      </x:c>
      <x:c r="L22" s="22" t="n">
        <x:v>0</x:v>
      </x:c>
      <x:c r="M22" s="22" t="n">
        <x:v>0</x:v>
      </x:c>
      <x:c r="N22" s="22" t="n">
        <x:v>0</x:v>
      </x:c>
      <x:c r="O22" s="22" t="n">
        <x:v>3287</x:v>
      </x:c>
      <x:c r="P22" s="22" t="n">
        <x:v>431567</x:v>
      </x:c>
      <x:c r="Q22" s="23" t="n">
        <x:v>0.00775869</x:v>
      </x:c>
      <x:c r="R22" s="22" t="str"/>
      <x:c r="S22" s="22" t="str"/>
      <x:c r="T22" s="22" t="str"/>
      <x:c r="U22" s="22" t="str">
        <x:v>C</x:v>
      </x:c>
      <x:c r="V22" s="22" t="str">
        <x:v>MODELED</x:v>
      </x:c>
      <x:c r="W22" s="22" t="str">
        <x:v>同一连续时间线；模型人口不冒充史籍普查。</x:v>
      </x:c>
    </x:row>
    <x:row r="23">
      <x:c r="A23" s="22" t="n">
        <x:v>156</x:v>
      </x:c>
      <x:c r="B23" s="22" t="n">
        <x:v>155</x:v>
      </x:c>
      <x:c r="C23" s="22" t="str">
        <x:v>NO</x:v>
      </x:c>
      <x:c r="D23" s="22" t="n">
        <x:v>56055289</x:v>
      </x:c>
      <x:c r="E23" s="22" t="n">
        <x:v>56486856</x:v>
      </x:c>
      <x:c r="F23" s="22" t="n">
        <x:v>56055289</x:v>
      </x:c>
      <x:c r="G23" s="22" t="n">
        <x:v>56486856</x:v>
      </x:c>
      <x:c r="H23" s="22" t="n">
        <x:v>2012894</x:v>
      </x:c>
      <x:c r="I23" s="22" t="n">
        <x:v>1581327</x:v>
      </x:c>
      <x:c r="J23" s="22" t="n">
        <x:v>0</x:v>
      </x:c>
      <x:c r="K23" s="22" t="n">
        <x:v>0</x:v>
      </x:c>
      <x:c r="L23" s="22" t="n">
        <x:v>0</x:v>
      </x:c>
      <x:c r="M23" s="22" t="n">
        <x:v>0</x:v>
      </x:c>
      <x:c r="N23" s="22" t="n">
        <x:v>0</x:v>
      </x:c>
      <x:c r="O23" s="22" t="n">
        <x:v>3319</x:v>
      </x:c>
      <x:c r="P23" s="22" t="n">
        <x:v>431567</x:v>
      </x:c>
      <x:c r="Q23" s="23" t="n">
        <x:v>0.00769895</x:v>
      </x:c>
      <x:c r="R23" s="22" t="str"/>
      <x:c r="S23" s="22" t="str"/>
      <x:c r="T23" s="22" t="str"/>
      <x:c r="U23" s="22" t="str">
        <x:v>C</x:v>
      </x:c>
      <x:c r="V23" s="22" t="str">
        <x:v>MODELED</x:v>
      </x:c>
      <x:c r="W23" s="22" t="str">
        <x:v>同一连续时间线；模型人口不冒充史籍普查。</x:v>
      </x:c>
    </x:row>
    <x:row r="24">
      <x:c r="A24" s="22" t="n">
        <x:v>157</x:v>
      </x:c>
      <x:c r="B24" s="22" t="n">
        <x:v>156</x:v>
      </x:c>
      <x:c r="C24" s="22" t="str">
        <x:v>NO</x:v>
      </x:c>
      <x:c r="D24" s="22" t="n">
        <x:v>56486856</x:v>
      </x:c>
      <x:c r="E24" s="22" t="n">
        <x:v>56302567</x:v>
      </x:c>
      <x:c r="F24" s="22" t="n">
        <x:v>56486856</x:v>
      </x:c>
      <x:c r="G24" s="22" t="n">
        <x:v>56425999</x:v>
      </x:c>
      <x:c r="H24" s="22" t="n">
        <x:v>2033527</x:v>
      </x:c>
      <x:c r="I24" s="22" t="n">
        <x:v>2094384</x:v>
      </x:c>
      <x:c r="J24" s="22" t="n">
        <x:v>0</x:v>
      </x:c>
      <x:c r="K24" s="22" t="n">
        <x:v>0</x:v>
      </x:c>
      <x:c r="L24" s="22" t="n">
        <x:v>0</x:v>
      </x:c>
      <x:c r="M24" s="22" t="n">
        <x:v>0</x:v>
      </x:c>
      <x:c r="N24" s="22" t="n">
        <x:v>120119</x:v>
      </x:c>
      <x:c r="O24" s="22" t="n">
        <x:v>0</x:v>
      </x:c>
      <x:c r="P24" s="22" t="n">
        <x:v>-60857</x:v>
      </x:c>
      <x:c r="Q24" s="23" t="n">
        <x:v>-0.00107737</x:v>
      </x:c>
      <x:c r="R24" s="22" t="str"/>
      <x:c r="S24" s="22" t="str"/>
      <x:c r="T24" s="22" t="str">
        <x:v>157_JIN_SHU</x:v>
      </x:c>
      <x:c r="U24" s="22" t="str">
        <x:v>H</x:v>
      </x:c>
      <x:c r="V24" s="22" t="str">
        <x:v>MODELED</x:v>
      </x:c>
      <x:c r="W24" s="22" t="str">
        <x:v>同一连续时间线；模型人口不冒充史籍普查。</x:v>
      </x:c>
    </x:row>
    <x:row r="25">
      <x:c r="A25" s="22" t="n">
        <x:v>158</x:v>
      </x:c>
      <x:c r="B25" s="22" t="n">
        <x:v>157</x:v>
      </x:c>
      <x:c r="C25" s="22" t="str">
        <x:v>NO</x:v>
      </x:c>
      <x:c r="D25" s="22" t="n">
        <x:v>56302567</x:v>
      </x:c>
      <x:c r="E25" s="22" t="n">
        <x:v>56118545</x:v>
      </x:c>
      <x:c r="F25" s="22" t="n">
        <x:v>56425999</x:v>
      </x:c>
      <x:c r="G25" s="22" t="n">
        <x:v>56365142</x:v>
      </x:c>
      <x:c r="H25" s="22" t="n">
        <x:v>2017229</x:v>
      </x:c>
      <x:c r="I25" s="22" t="n">
        <x:v>2078086</x:v>
      </x:c>
      <x:c r="J25" s="22" t="n">
        <x:v>0</x:v>
      </x:c>
      <x:c r="K25" s="22" t="n">
        <x:v>0</x:v>
      </x:c>
      <x:c r="L25" s="22" t="n">
        <x:v>0</x:v>
      </x:c>
      <x:c r="M25" s="22" t="n">
        <x:v>0</x:v>
      </x:c>
      <x:c r="N25" s="22" t="n">
        <x:v>119997</x:v>
      </x:c>
      <x:c r="O25" s="22" t="n">
        <x:v>0</x:v>
      </x:c>
      <x:c r="P25" s="22" t="n">
        <x:v>-60857</x:v>
      </x:c>
      <x:c r="Q25" s="23" t="n">
        <x:v>-0.00107853</x:v>
      </x:c>
      <x:c r="R25" s="22" t="str"/>
      <x:c r="S25" s="22" t="str"/>
      <x:c r="T25" s="22" t="str"/>
      <x:c r="U25" s="22" t="str">
        <x:v>C</x:v>
      </x:c>
      <x:c r="V25" s="22" t="str">
        <x:v>MODELED</x:v>
      </x:c>
      <x:c r="W25" s="22" t="str">
        <x:v>同一连续时间线；模型人口不冒充史籍普查。</x:v>
      </x:c>
    </x:row>
    <x:row r="26">
      <x:c r="A26" s="22" t="n">
        <x:v>159</x:v>
      </x:c>
      <x:c r="B26" s="22" t="n">
        <x:v>158</x:v>
      </x:c>
      <x:c r="C26" s="22" t="str">
        <x:v>NO</x:v>
      </x:c>
      <x:c r="D26" s="22" t="n">
        <x:v>56118545</x:v>
      </x:c>
      <x:c r="E26" s="22" t="n">
        <x:v>55934788</x:v>
      </x:c>
      <x:c r="F26" s="22" t="n">
        <x:v>56365142</x:v>
      </x:c>
      <x:c r="G26" s="22" t="n">
        <x:v>56304285</x:v>
      </x:c>
      <x:c r="H26" s="22" t="n">
        <x:v>2000963</x:v>
      </x:c>
      <x:c r="I26" s="22" t="n">
        <x:v>2061820</x:v>
      </x:c>
      <x:c r="J26" s="22" t="n">
        <x:v>0</x:v>
      </x:c>
      <x:c r="K26" s="22" t="n">
        <x:v>0</x:v>
      </x:c>
      <x:c r="L26" s="22" t="n">
        <x:v>0</x:v>
      </x:c>
      <x:c r="M26" s="22" t="n">
        <x:v>0</x:v>
      </x:c>
      <x:c r="N26" s="22" t="n">
        <x:v>119870</x:v>
      </x:c>
      <x:c r="O26" s="22" t="n">
        <x:v>0</x:v>
      </x:c>
      <x:c r="P26" s="22" t="n">
        <x:v>-60857</x:v>
      </x:c>
      <x:c r="Q26" s="23" t="n">
        <x:v>-0.00107969</x:v>
      </x:c>
      <x:c r="R26" s="22" t="str"/>
      <x:c r="S26" s="22" t="str"/>
      <x:c r="T26" s="22" t="str"/>
      <x:c r="U26" s="22" t="str">
        <x:v>C</x:v>
      </x:c>
      <x:c r="V26" s="22" t="str">
        <x:v>MODELED</x:v>
      </x:c>
      <x:c r="W26" s="22" t="str">
        <x:v>同一连续时间线；模型人口不冒充史籍普查。</x:v>
      </x:c>
    </x:row>
    <x:row r="27">
      <x:c r="A27" s="22" t="n">
        <x:v>160</x:v>
      </x:c>
      <x:c r="B27" s="22" t="n">
        <x:v>159</x:v>
      </x:c>
      <x:c r="C27" s="22" t="str">
        <x:v>NO</x:v>
      </x:c>
      <x:c r="D27" s="22" t="n">
        <x:v>55934788</x:v>
      </x:c>
      <x:c r="E27" s="22" t="n">
        <x:v>55751298</x:v>
      </x:c>
      <x:c r="F27" s="22" t="n">
        <x:v>56304285</x:v>
      </x:c>
      <x:c r="G27" s="22" t="n">
        <x:v>56243428</x:v>
      </x:c>
      <x:c r="H27" s="22" t="n">
        <x:v>1984726</x:v>
      </x:c>
      <x:c r="I27" s="22" t="n">
        <x:v>2045583</x:v>
      </x:c>
      <x:c r="J27" s="22" t="n">
        <x:v>0</x:v>
      </x:c>
      <x:c r="K27" s="22" t="n">
        <x:v>0</x:v>
      </x:c>
      <x:c r="L27" s="22" t="n">
        <x:v>0</x:v>
      </x:c>
      <x:c r="M27" s="22" t="n">
        <x:v>0</x:v>
      </x:c>
      <x:c r="N27" s="22" t="n">
        <x:v>119747</x:v>
      </x:c>
      <x:c r="O27" s="22" t="n">
        <x:v>0</x:v>
      </x:c>
      <x:c r="P27" s="22" t="n">
        <x:v>-60857</x:v>
      </x:c>
      <x:c r="Q27" s="23" t="n">
        <x:v>-0.00108086</x:v>
      </x:c>
      <x:c r="R27" s="22" t="str"/>
      <x:c r="S27" s="22" t="str"/>
      <x:c r="T27" s="22" t="str"/>
      <x:c r="U27" s="22" t="str">
        <x:v>C</x:v>
      </x:c>
      <x:c r="V27" s="22" t="str">
        <x:v>MODELED</x:v>
      </x:c>
      <x:c r="W27" s="22" t="str">
        <x:v>同一连续时间线；模型人口不冒充史籍普查。</x:v>
      </x:c>
    </x:row>
    <x:row r="28">
      <x:c r="A28" s="22" t="n">
        <x:v>161</x:v>
      </x:c>
      <x:c r="B28" s="22" t="n">
        <x:v>160</x:v>
      </x:c>
      <x:c r="C28" s="22" t="str">
        <x:v>NO</x:v>
      </x:c>
      <x:c r="D28" s="22" t="n">
        <x:v>55751298</x:v>
      </x:c>
      <x:c r="E28" s="22" t="n">
        <x:v>55568074</x:v>
      </x:c>
      <x:c r="F28" s="22" t="n">
        <x:v>56243428</x:v>
      </x:c>
      <x:c r="G28" s="22" t="n">
        <x:v>56182571</x:v>
      </x:c>
      <x:c r="H28" s="22" t="n">
        <x:v>1968520</x:v>
      </x:c>
      <x:c r="I28" s="22" t="n">
        <x:v>2029377</x:v>
      </x:c>
      <x:c r="J28" s="22" t="n">
        <x:v>0</x:v>
      </x:c>
      <x:c r="K28" s="22" t="n">
        <x:v>0</x:v>
      </x:c>
      <x:c r="L28" s="22" t="n">
        <x:v>0</x:v>
      </x:c>
      <x:c r="M28" s="22" t="n">
        <x:v>0</x:v>
      </x:c>
      <x:c r="N28" s="22" t="n">
        <x:v>119621</x:v>
      </x:c>
      <x:c r="O28" s="22" t="n">
        <x:v>0</x:v>
      </x:c>
      <x:c r="P28" s="22" t="n">
        <x:v>-60857</x:v>
      </x:c>
      <x:c r="Q28" s="23" t="n">
        <x:v>-0.00108203</x:v>
      </x:c>
      <x:c r="R28" s="22" t="str"/>
      <x:c r="S28" s="22" t="str"/>
      <x:c r="T28" s="22" t="str"/>
      <x:c r="U28" s="22" t="str">
        <x:v>C</x:v>
      </x:c>
      <x:c r="V28" s="22" t="str">
        <x:v>MODELED</x:v>
      </x:c>
      <x:c r="W28" s="22" t="str">
        <x:v>同一连续时间线；模型人口不冒充史籍普查。</x:v>
      </x:c>
    </x:row>
    <x:row r="29">
      <x:c r="A29" s="22" t="n">
        <x:v>162</x:v>
      </x:c>
      <x:c r="B29" s="22" t="n">
        <x:v>161</x:v>
      </x:c>
      <x:c r="C29" s="22" t="str">
        <x:v>NO</x:v>
      </x:c>
      <x:c r="D29" s="22" t="n">
        <x:v>55568074</x:v>
      </x:c>
      <x:c r="E29" s="22" t="n">
        <x:v>55385117</x:v>
      </x:c>
      <x:c r="F29" s="22" t="n">
        <x:v>56182571</x:v>
      </x:c>
      <x:c r="G29" s="22" t="n">
        <x:v>56121714</x:v>
      </x:c>
      <x:c r="H29" s="22" t="n">
        <x:v>1952344</x:v>
      </x:c>
      <x:c r="I29" s="22" t="n">
        <x:v>2013201</x:v>
      </x:c>
      <x:c r="J29" s="22" t="n">
        <x:v>0</x:v>
      </x:c>
      <x:c r="K29" s="22" t="n">
        <x:v>0</x:v>
      </x:c>
      <x:c r="L29" s="22" t="n">
        <x:v>0</x:v>
      </x:c>
      <x:c r="M29" s="22" t="n">
        <x:v>0</x:v>
      </x:c>
      <x:c r="N29" s="22" t="n">
        <x:v>119491</x:v>
      </x:c>
      <x:c r="O29" s="22" t="n">
        <x:v>0</x:v>
      </x:c>
      <x:c r="P29" s="22" t="n">
        <x:v>-60857</x:v>
      </x:c>
      <x:c r="Q29" s="23" t="n">
        <x:v>-0.0010832</x:v>
      </x:c>
      <x:c r="R29" s="22" t="str"/>
      <x:c r="S29" s="22" t="str"/>
      <x:c r="T29" s="22" t="str"/>
      <x:c r="U29" s="22" t="str">
        <x:v>C</x:v>
      </x:c>
      <x:c r="V29" s="22" t="str">
        <x:v>MODELED</x:v>
      </x:c>
      <x:c r="W29" s="22" t="str">
        <x:v>同一连续时间线；模型人口不冒充史籍普查。</x:v>
      </x:c>
    </x:row>
    <x:row r="30">
      <x:c r="A30" s="22" t="n">
        <x:v>163</x:v>
      </x:c>
      <x:c r="B30" s="22" t="n">
        <x:v>162</x:v>
      </x:c>
      <x:c r="C30" s="22" t="str">
        <x:v>NO</x:v>
      </x:c>
      <x:c r="D30" s="22" t="n">
        <x:v>55385117</x:v>
      </x:c>
      <x:c r="E30" s="22" t="n">
        <x:v>55202425</x:v>
      </x:c>
      <x:c r="F30" s="22" t="n">
        <x:v>56121714</x:v>
      </x:c>
      <x:c r="G30" s="22" t="n">
        <x:v>56060857</x:v>
      </x:c>
      <x:c r="H30" s="22" t="n">
        <x:v>1936199</x:v>
      </x:c>
      <x:c r="I30" s="22" t="n">
        <x:v>1997056</x:v>
      </x:c>
      <x:c r="J30" s="22" t="n">
        <x:v>0</x:v>
      </x:c>
      <x:c r="K30" s="22" t="n">
        <x:v>0</x:v>
      </x:c>
      <x:c r="L30" s="22" t="n">
        <x:v>0</x:v>
      </x:c>
      <x:c r="M30" s="22" t="n">
        <x:v>0</x:v>
      </x:c>
      <x:c r="N30" s="22" t="n">
        <x:v>119373</x:v>
      </x:c>
      <x:c r="O30" s="22" t="n">
        <x:v>0</x:v>
      </x:c>
      <x:c r="P30" s="22" t="n">
        <x:v>-60857</x:v>
      </x:c>
      <x:c r="Q30" s="23" t="n">
        <x:v>-0.00108438</x:v>
      </x:c>
      <x:c r="R30" s="22" t="str"/>
      <x:c r="S30" s="22" t="str"/>
      <x:c r="T30" s="22" t="str"/>
      <x:c r="U30" s="22" t="str">
        <x:v>C</x:v>
      </x:c>
      <x:c r="V30" s="22" t="str">
        <x:v>MODELED</x:v>
      </x:c>
      <x:c r="W30" s="22" t="str">
        <x:v>同一连续时间线；模型人口不冒充史籍普查。</x:v>
      </x:c>
    </x:row>
    <x:row r="31">
      <x:c r="A31" s="22" t="n">
        <x:v>164</x:v>
      </x:c>
      <x:c r="B31" s="22" t="n">
        <x:v>163</x:v>
      </x:c>
      <x:c r="C31" s="22" t="str">
        <x:v>NO</x:v>
      </x:c>
      <x:c r="D31" s="22" t="n">
        <x:v>55202425</x:v>
      </x:c>
      <x:c r="E31" s="22" t="n">
        <x:v>55020000</x:v>
      </x:c>
      <x:c r="F31" s="22" t="n">
        <x:v>56060857</x:v>
      </x:c>
      <x:c r="G31" s="22" t="n">
        <x:v>56000000</x:v>
      </x:c>
      <x:c r="H31" s="22" t="n">
        <x:v>1920084</x:v>
      </x:c>
      <x:c r="I31" s="22" t="n">
        <x:v>1980941</x:v>
      </x:c>
      <x:c r="J31" s="22" t="n">
        <x:v>0</x:v>
      </x:c>
      <x:c r="K31" s="22" t="n">
        <x:v>0</x:v>
      </x:c>
      <x:c r="L31" s="22" t="n">
        <x:v>0</x:v>
      </x:c>
      <x:c r="M31" s="22" t="n">
        <x:v>0</x:v>
      </x:c>
      <x:c r="N31" s="22" t="n">
        <x:v>119249</x:v>
      </x:c>
      <x:c r="O31" s="22" t="n">
        <x:v>0</x:v>
      </x:c>
      <x:c r="P31" s="22" t="n">
        <x:v>-60857</x:v>
      </x:c>
      <x:c r="Q31" s="23" t="n">
        <x:v>-0.00108555</x:v>
      </x:c>
      <x:c r="R31" s="22" t="str"/>
      <x:c r="S31" s="22" t="str"/>
      <x:c r="T31" s="22" t="str"/>
      <x:c r="U31" s="22" t="str">
        <x:v>C</x:v>
      </x:c>
      <x:c r="V31" s="22" t="str">
        <x:v>MODELED</x:v>
      </x:c>
      <x:c r="W31" s="22" t="str">
        <x:v>同一连续时间线；模型人口不冒充史籍普查。</x:v>
      </x:c>
    </x:row>
    <x:row r="32">
      <x:c r="A32" s="22" t="n">
        <x:v>165</x:v>
      </x:c>
      <x:c r="B32" s="22" t="n">
        <x:v>164</x:v>
      </x:c>
      <x:c r="C32" s="22" t="str">
        <x:v>NO</x:v>
      </x:c>
      <x:c r="D32" s="22" t="n">
        <x:v>55020000</x:v>
      </x:c>
      <x:c r="E32" s="22" t="n">
        <x:v>54750453</x:v>
      </x:c>
      <x:c r="F32" s="22" t="n">
        <x:v>56000000</x:v>
      </x:c>
      <x:c r="G32" s="22" t="n">
        <x:v>55850000</x:v>
      </x:c>
      <x:c r="H32" s="22" t="n">
        <x:v>1904000</x:v>
      </x:c>
      <x:c r="I32" s="22" t="n">
        <x:v>2054000</x:v>
      </x:c>
      <x:c r="J32" s="22" t="n">
        <x:v>0</x:v>
      </x:c>
      <x:c r="K32" s="22" t="n">
        <x:v>0</x:v>
      </x:c>
      <x:c r="L32" s="22" t="n">
        <x:v>0</x:v>
      </x:c>
      <x:c r="M32" s="22" t="n">
        <x:v>0</x:v>
      </x:c>
      <x:c r="N32" s="22" t="n">
        <x:v>118940</x:v>
      </x:c>
      <x:c r="O32" s="22" t="n">
        <x:v>0</x:v>
      </x:c>
      <x:c r="P32" s="22" t="n">
        <x:v>-150000</x:v>
      </x:c>
      <x:c r="Q32" s="23" t="n">
        <x:v>-0.00267857</x:v>
      </x:c>
      <x:c r="R32" s="22" t="str"/>
      <x:c r="S32" s="22" t="str"/>
      <x:c r="T32" s="22" t="str"/>
      <x:c r="U32" s="22" t="str">
        <x:v>C</x:v>
      </x:c>
      <x:c r="V32" s="22" t="str">
        <x:v>MODELED</x:v>
      </x:c>
      <x:c r="W32" s="22" t="str">
        <x:v>同一连续时间线；模型人口不冒充史籍普查。</x:v>
      </x:c>
    </x:row>
    <x:row r="33">
      <x:c r="A33" s="22" t="n">
        <x:v>166</x:v>
      </x:c>
      <x:c r="B33" s="22" t="n">
        <x:v>165</x:v>
      </x:c>
      <x:c r="C33" s="22" t="str">
        <x:v>NO</x:v>
      </x:c>
      <x:c r="D33" s="22" t="n">
        <x:v>54750453</x:v>
      </x:c>
      <x:c r="E33" s="22" t="n">
        <x:v>54481562</x:v>
      </x:c>
      <x:c r="F33" s="22" t="n">
        <x:v>55850000</x:v>
      </x:c>
      <x:c r="G33" s="22" t="n">
        <x:v>55700000</x:v>
      </x:c>
      <x:c r="H33" s="22" t="n">
        <x:v>1884938</x:v>
      </x:c>
      <x:c r="I33" s="22" t="n">
        <x:v>2034938</x:v>
      </x:c>
      <x:c r="J33" s="22" t="n">
        <x:v>0</x:v>
      </x:c>
      <x:c r="K33" s="22" t="n">
        <x:v>0</x:v>
      </x:c>
      <x:c r="L33" s="22" t="n">
        <x:v>0</x:v>
      </x:c>
      <x:c r="M33" s="22" t="n">
        <x:v>0</x:v>
      </x:c>
      <x:c r="N33" s="22" t="n">
        <x:v>118622</x:v>
      </x:c>
      <x:c r="O33" s="22" t="n">
        <x:v>0</x:v>
      </x:c>
      <x:c r="P33" s="22" t="n">
        <x:v>-150000</x:v>
      </x:c>
      <x:c r="Q33" s="23" t="n">
        <x:v>-0.00268577</x:v>
      </x:c>
      <x:c r="R33" s="22" t="str"/>
      <x:c r="S33" s="22" t="str"/>
      <x:c r="T33" s="22" t="str"/>
      <x:c r="U33" s="22" t="str">
        <x:v>C</x:v>
      </x:c>
      <x:c r="V33" s="22" t="str">
        <x:v>MODELED</x:v>
      </x:c>
      <x:c r="W33" s="22" t="str">
        <x:v>同一连续时间线；模型人口不冒充史籍普查。</x:v>
      </x:c>
    </x:row>
    <x:row r="34">
      <x:c r="A34" s="22" t="n">
        <x:v>167</x:v>
      </x:c>
      <x:c r="B34" s="22" t="n">
        <x:v>166</x:v>
      </x:c>
      <x:c r="C34" s="22" t="str">
        <x:v>NO</x:v>
      </x:c>
      <x:c r="D34" s="22" t="n">
        <x:v>54481562</x:v>
      </x:c>
      <x:c r="E34" s="22" t="n">
        <x:v>54213328</x:v>
      </x:c>
      <x:c r="F34" s="22" t="n">
        <x:v>55700000</x:v>
      </x:c>
      <x:c r="G34" s="22" t="n">
        <x:v>55550000</x:v>
      </x:c>
      <x:c r="H34" s="22" t="n">
        <x:v>1865950</x:v>
      </x:c>
      <x:c r="I34" s="22" t="n">
        <x:v>2015950</x:v>
      </x:c>
      <x:c r="J34" s="22" t="n">
        <x:v>0</x:v>
      </x:c>
      <x:c r="K34" s="22" t="n">
        <x:v>0</x:v>
      </x:c>
      <x:c r="L34" s="22" t="n">
        <x:v>0</x:v>
      </x:c>
      <x:c r="M34" s="22" t="n">
        <x:v>0</x:v>
      </x:c>
      <x:c r="N34" s="22" t="n">
        <x:v>118303</x:v>
      </x:c>
      <x:c r="O34" s="22" t="n">
        <x:v>0</x:v>
      </x:c>
      <x:c r="P34" s="22" t="n">
        <x:v>-150000</x:v>
      </x:c>
      <x:c r="Q34" s="23" t="n">
        <x:v>-0.002693</x:v>
      </x:c>
      <x:c r="R34" s="22" t="str"/>
      <x:c r="S34" s="22" t="str"/>
      <x:c r="T34" s="22" t="str"/>
      <x:c r="U34" s="22" t="str">
        <x:v>C</x:v>
      </x:c>
      <x:c r="V34" s="22" t="str">
        <x:v>MODELED</x:v>
      </x:c>
      <x:c r="W34" s="22" t="str">
        <x:v>同一连续时间线；模型人口不冒充史籍普查。</x:v>
      </x:c>
    </x:row>
    <x:row r="35">
      <x:c r="A35" s="22" t="n">
        <x:v>168</x:v>
      </x:c>
      <x:c r="B35" s="22" t="n">
        <x:v>167</x:v>
      </x:c>
      <x:c r="C35" s="22" t="str">
        <x:v>NO</x:v>
      </x:c>
      <x:c r="D35" s="22" t="n">
        <x:v>54213328</x:v>
      </x:c>
      <x:c r="E35" s="22" t="n">
        <x:v>53945750</x:v>
      </x:c>
      <x:c r="F35" s="22" t="n">
        <x:v>55550000</x:v>
      </x:c>
      <x:c r="G35" s="22" t="n">
        <x:v>55400000</x:v>
      </x:c>
      <x:c r="H35" s="22" t="n">
        <x:v>1847038</x:v>
      </x:c>
      <x:c r="I35" s="22" t="n">
        <x:v>1997038</x:v>
      </x:c>
      <x:c r="J35" s="22" t="n">
        <x:v>0</x:v>
      </x:c>
      <x:c r="K35" s="22" t="n">
        <x:v>0</x:v>
      </x:c>
      <x:c r="L35" s="22" t="n">
        <x:v>0</x:v>
      </x:c>
      <x:c r="M35" s="22" t="n">
        <x:v>0</x:v>
      </x:c>
      <x:c r="N35" s="22" t="n">
        <x:v>117992</x:v>
      </x:c>
      <x:c r="O35" s="22" t="n">
        <x:v>0</x:v>
      </x:c>
      <x:c r="P35" s="22" t="n">
        <x:v>-150000</x:v>
      </x:c>
      <x:c r="Q35" s="23" t="n">
        <x:v>-0.00270027</x:v>
      </x:c>
      <x:c r="R35" s="22" t="str"/>
      <x:c r="S35" s="22" t="str"/>
      <x:c r="T35" s="22" t="str"/>
      <x:c r="U35" s="22" t="str">
        <x:v>C</x:v>
      </x:c>
      <x:c r="V35" s="22" t="str">
        <x:v>MODELED</x:v>
      </x:c>
      <x:c r="W35" s="22" t="str">
        <x:v>同一连续时间线；模型人口不冒充史籍普查。</x:v>
      </x:c>
    </x:row>
    <x:row r="36">
      <x:c r="A36" s="22" t="n">
        <x:v>169</x:v>
      </x:c>
      <x:c r="B36" s="22" t="n">
        <x:v>168</x:v>
      </x:c>
      <x:c r="C36" s="22" t="str">
        <x:v>NO</x:v>
      </x:c>
      <x:c r="D36" s="22" t="n">
        <x:v>53945750</x:v>
      </x:c>
      <x:c r="E36" s="22" t="n">
        <x:v>53678828</x:v>
      </x:c>
      <x:c r="F36" s="22" t="n">
        <x:v>55400000</x:v>
      </x:c>
      <x:c r="G36" s="22" t="n">
        <x:v>55250000</x:v>
      </x:c>
      <x:c r="H36" s="22" t="n">
        <x:v>1828200</x:v>
      </x:c>
      <x:c r="I36" s="22" t="n">
        <x:v>1978200</x:v>
      </x:c>
      <x:c r="J36" s="22" t="n">
        <x:v>0</x:v>
      </x:c>
      <x:c r="K36" s="22" t="n">
        <x:v>0</x:v>
      </x:c>
      <x:c r="L36" s="22" t="n">
        <x:v>0</x:v>
      </x:c>
      <x:c r="M36" s="22" t="n">
        <x:v>0</x:v>
      </x:c>
      <x:c r="N36" s="22" t="n">
        <x:v>117678</x:v>
      </x:c>
      <x:c r="O36" s="22" t="n">
        <x:v>0</x:v>
      </x:c>
      <x:c r="P36" s="22" t="n">
        <x:v>-150000</x:v>
      </x:c>
      <x:c r="Q36" s="23" t="n">
        <x:v>-0.00270758</x:v>
      </x:c>
      <x:c r="R36" s="22" t="str"/>
      <x:c r="S36" s="22" t="str"/>
      <x:c r="T36" s="22" t="str"/>
      <x:c r="U36" s="22" t="str">
        <x:v>C</x:v>
      </x:c>
      <x:c r="V36" s="22" t="str">
        <x:v>MODELED</x:v>
      </x:c>
      <x:c r="W36" s="22" t="str">
        <x:v>同一连续时间线；模型人口不冒充史籍普查。</x:v>
      </x:c>
    </x:row>
    <x:row r="37">
      <x:c r="A37" s="22" t="n">
        <x:v>170</x:v>
      </x:c>
      <x:c r="B37" s="22" t="n">
        <x:v>169</x:v>
      </x:c>
      <x:c r="C37" s="22" t="str">
        <x:v>NO</x:v>
      </x:c>
      <x:c r="D37" s="22" t="n">
        <x:v>53678828</x:v>
      </x:c>
      <x:c r="E37" s="22" t="n">
        <x:v>53412562</x:v>
      </x:c>
      <x:c r="F37" s="22" t="n">
        <x:v>55250000</x:v>
      </x:c>
      <x:c r="G37" s="22" t="n">
        <x:v>55100000</x:v>
      </x:c>
      <x:c r="H37" s="22" t="n">
        <x:v>1809438</x:v>
      </x:c>
      <x:c r="I37" s="22" t="n">
        <x:v>1959438</x:v>
      </x:c>
      <x:c r="J37" s="22" t="n">
        <x:v>0</x:v>
      </x:c>
      <x:c r="K37" s="22" t="n">
        <x:v>0</x:v>
      </x:c>
      <x:c r="L37" s="22" t="n">
        <x:v>0</x:v>
      </x:c>
      <x:c r="M37" s="22" t="n">
        <x:v>0</x:v>
      </x:c>
      <x:c r="N37" s="22" t="n">
        <x:v>114207</x:v>
      </x:c>
      <x:c r="O37" s="22" t="n">
        <x:v>0</x:v>
      </x:c>
      <x:c r="P37" s="22" t="n">
        <x:v>-150000</x:v>
      </x:c>
      <x:c r="Q37" s="23" t="n">
        <x:v>-0.00271493</x:v>
      </x:c>
      <x:c r="R37" s="22" t="str"/>
      <x:c r="S37" s="22" t="str"/>
      <x:c r="T37" s="22" t="str"/>
      <x:c r="U37" s="22" t="str">
        <x:v>C</x:v>
      </x:c>
      <x:c r="V37" s="22" t="str">
        <x:v>MODELED</x:v>
      </x:c>
      <x:c r="W37" s="22" t="str">
        <x:v>同一连续时间线；模型人口不冒充史籍普查。</x:v>
      </x:c>
    </x:row>
    <x:row r="38">
      <x:c r="A38" s="22" t="n">
        <x:v>171</x:v>
      </x:c>
      <x:c r="B38" s="22" t="n">
        <x:v>170</x:v>
      </x:c>
      <x:c r="C38" s="22" t="str">
        <x:v>NO</x:v>
      </x:c>
      <x:c r="D38" s="22" t="n">
        <x:v>53412562</x:v>
      </x:c>
      <x:c r="E38" s="22" t="n">
        <x:v>53146953</x:v>
      </x:c>
      <x:c r="F38" s="22" t="n">
        <x:v>55100000</x:v>
      </x:c>
      <x:c r="G38" s="22" t="n">
        <x:v>54950000</x:v>
      </x:c>
      <x:c r="H38" s="22" t="n">
        <x:v>1790750</x:v>
      </x:c>
      <x:c r="I38" s="22" t="n">
        <x:v>1845332</x:v>
      </x:c>
      <x:c r="J38" s="22" t="n">
        <x:v>0</x:v>
      </x:c>
      <x:c r="K38" s="22" t="n">
        <x:v>95418</x:v>
      </x:c>
      <x:c r="L38" s="22" t="n">
        <x:v>0</x:v>
      </x:c>
      <x:c r="M38" s="22" t="n">
        <x:v>0</x:v>
      </x:c>
      <x:c r="N38" s="22" t="n">
        <x:v>120190</x:v>
      </x:c>
      <x:c r="O38" s="22" t="n">
        <x:v>0</x:v>
      </x:c>
      <x:c r="P38" s="22" t="n">
        <x:v>-150000</x:v>
      </x:c>
      <x:c r="Q38" s="23" t="n">
        <x:v>-0.00272232</x:v>
      </x:c>
      <x:c r="R38" s="22" t="str">
        <x:v>pop.event.epidemic.171</x:v>
      </x:c>
      <x:c r="S38" s="22" t="str">
        <x:v>建宁四年大疫</x:v>
      </x:c>
      <x:c r="T38" s="22" t="str"/>
      <x:c r="U38" s="22" t="str">
        <x:v>C</x:v>
      </x:c>
      <x:c r="V38" s="22" t="str">
        <x:v>MODELED</x:v>
      </x:c>
      <x:c r="W38" s="22" t="str">
        <x:v>同一连续时间线；模型人口不冒充史籍普查。</x:v>
      </x:c>
    </x:row>
    <x:row r="39">
      <x:c r="A39" s="22" t="n">
        <x:v>172</x:v>
      </x:c>
      <x:c r="B39" s="22" t="n">
        <x:v>171</x:v>
      </x:c>
      <x:c r="C39" s="22" t="str">
        <x:v>NO</x:v>
      </x:c>
      <x:c r="D39" s="22" t="n">
        <x:v>53146953</x:v>
      </x:c>
      <x:c r="E39" s="22" t="n">
        <x:v>52882000</x:v>
      </x:c>
      <x:c r="F39" s="22" t="n">
        <x:v>54950000</x:v>
      </x:c>
      <x:c r="G39" s="22" t="n">
        <x:v>54800000</x:v>
      </x:c>
      <x:c r="H39" s="22" t="n">
        <x:v>1772138</x:v>
      </x:c>
      <x:c r="I39" s="22" t="n">
        <x:v>1922138</x:v>
      </x:c>
      <x:c r="J39" s="22" t="n">
        <x:v>0</x:v>
      </x:c>
      <x:c r="K39" s="22" t="n">
        <x:v>0</x:v>
      </x:c>
      <x:c r="L39" s="22" t="n">
        <x:v>0</x:v>
      </x:c>
      <x:c r="M39" s="22" t="n">
        <x:v>0</x:v>
      </x:c>
      <x:c r="N39" s="22" t="n">
        <x:v>114592</x:v>
      </x:c>
      <x:c r="O39" s="22" t="n">
        <x:v>0</x:v>
      </x:c>
      <x:c r="P39" s="22" t="n">
        <x:v>-150000</x:v>
      </x:c>
      <x:c r="Q39" s="23" t="n">
        <x:v>-0.00272975</x:v>
      </x:c>
      <x:c r="R39" s="22" t="str"/>
      <x:c r="S39" s="22" t="str"/>
      <x:c r="T39" s="22" t="str"/>
      <x:c r="U39" s="22" t="str">
        <x:v>C</x:v>
      </x:c>
      <x:c r="V39" s="22" t="str">
        <x:v>MODELED</x:v>
      </x:c>
      <x:c r="W39" s="22" t="str">
        <x:v>同一连续时间线；模型人口不冒充史籍普查。</x:v>
      </x:c>
    </x:row>
    <x:row r="40">
      <x:c r="A40" s="22" t="n">
        <x:v>173</x:v>
      </x:c>
      <x:c r="B40" s="22" t="n">
        <x:v>172</x:v>
      </x:c>
      <x:c r="C40" s="22" t="str">
        <x:v>NO</x:v>
      </x:c>
      <x:c r="D40" s="22" t="n">
        <x:v>52882000</x:v>
      </x:c>
      <x:c r="E40" s="22" t="n">
        <x:v>52619875</x:v>
      </x:c>
      <x:c r="F40" s="22" t="n">
        <x:v>54800000</x:v>
      </x:c>
      <x:c r="G40" s="22" t="n">
        <x:v>54670000</x:v>
      </x:c>
      <x:c r="H40" s="22" t="n">
        <x:v>1753600</x:v>
      </x:c>
      <x:c r="I40" s="22" t="n">
        <x:v>1804896</x:v>
      </x:c>
      <x:c r="J40" s="22" t="n">
        <x:v>0</x:v>
      </x:c>
      <x:c r="K40" s="22" t="n">
        <x:v>78704</x:v>
      </x:c>
      <x:c r="L40" s="22" t="n">
        <x:v>0</x:v>
      </x:c>
      <x:c r="M40" s="22" t="n">
        <x:v>0</x:v>
      </x:c>
      <x:c r="N40" s="22" t="n">
        <x:v>135677</x:v>
      </x:c>
      <x:c r="O40" s="22" t="n">
        <x:v>0</x:v>
      </x:c>
      <x:c r="P40" s="22" t="n">
        <x:v>-130000</x:v>
      </x:c>
      <x:c r="Q40" s="23" t="n">
        <x:v>-0.00237226</x:v>
      </x:c>
      <x:c r="R40" s="22" t="str">
        <x:v>pop.event.epidemic.173</x:v>
      </x:c>
      <x:c r="S40" s="22" t="str">
        <x:v>熹平二年疫病</x:v>
      </x:c>
      <x:c r="T40" s="22" t="str"/>
      <x:c r="U40" s="22" t="str">
        <x:v>C</x:v>
      </x:c>
      <x:c r="V40" s="22" t="str">
        <x:v>MODELED</x:v>
      </x:c>
      <x:c r="W40" s="22" t="str">
        <x:v>同一连续时间线；模型人口不冒充史籍普查。</x:v>
      </x:c>
    </x:row>
    <x:row r="41">
      <x:c r="A41" s="22" t="n">
        <x:v>174</x:v>
      </x:c>
      <x:c r="B41" s="22" t="n">
        <x:v>173</x:v>
      </x:c>
      <x:c r="C41" s="22" t="str">
        <x:v>NO</x:v>
      </x:c>
      <x:c r="D41" s="22" t="n">
        <x:v>52619875</x:v>
      </x:c>
      <x:c r="E41" s="22" t="n">
        <x:v>52358400</x:v>
      </x:c>
      <x:c r="F41" s="22" t="n">
        <x:v>54670000</x:v>
      </x:c>
      <x:c r="G41" s="22" t="n">
        <x:v>54540000</x:v>
      </x:c>
      <x:c r="H41" s="22" t="n">
        <x:v>1734530</x:v>
      </x:c>
      <x:c r="I41" s="22" t="n">
        <x:v>1864530</x:v>
      </x:c>
      <x:c r="J41" s="22" t="n">
        <x:v>0</x:v>
      </x:c>
      <x:c r="K41" s="22" t="n">
        <x:v>0</x:v>
      </x:c>
      <x:c r="L41" s="22" t="n">
        <x:v>0</x:v>
      </x:c>
      <x:c r="M41" s="22" t="n">
        <x:v>0</x:v>
      </x:c>
      <x:c r="N41" s="22" t="n">
        <x:v>133239</x:v>
      </x:c>
      <x:c r="O41" s="22" t="n">
        <x:v>0</x:v>
      </x:c>
      <x:c r="P41" s="22" t="n">
        <x:v>-130000</x:v>
      </x:c>
      <x:c r="Q41" s="23" t="n">
        <x:v>-0.0023779</x:v>
      </x:c>
      <x:c r="R41" s="22" t="str"/>
      <x:c r="S41" s="22" t="str"/>
      <x:c r="T41" s="22" t="str"/>
      <x:c r="U41" s="22" t="str">
        <x:v>C</x:v>
      </x:c>
      <x:c r="V41" s="22" t="str">
        <x:v>MODELED</x:v>
      </x:c>
      <x:c r="W41" s="22" t="str">
        <x:v>同一连续时间线；模型人口不冒充史籍普查。</x:v>
      </x:c>
    </x:row>
    <x:row r="42">
      <x:c r="A42" s="22" t="n">
        <x:v>175</x:v>
      </x:c>
      <x:c r="B42" s="22" t="n">
        <x:v>174</x:v>
      </x:c>
      <x:c r="C42" s="22" t="str">
        <x:v>NO</x:v>
      </x:c>
      <x:c r="D42" s="22" t="n">
        <x:v>52358400</x:v>
      </x:c>
      <x:c r="E42" s="22" t="n">
        <x:v>52097575</x:v>
      </x:c>
      <x:c r="F42" s="22" t="n">
        <x:v>54540000</x:v>
      </x:c>
      <x:c r="G42" s="22" t="n">
        <x:v>54410000</x:v>
      </x:c>
      <x:c r="H42" s="22" t="n">
        <x:v>1715531</x:v>
      </x:c>
      <x:c r="I42" s="22" t="n">
        <x:v>1845531</x:v>
      </x:c>
      <x:c r="J42" s="22" t="n">
        <x:v>0</x:v>
      </x:c>
      <x:c r="K42" s="22" t="n">
        <x:v>0</x:v>
      </x:c>
      <x:c r="L42" s="22" t="n">
        <x:v>0</x:v>
      </x:c>
      <x:c r="M42" s="22" t="n">
        <x:v>0</x:v>
      </x:c>
      <x:c r="N42" s="22" t="n">
        <x:v>132925</x:v>
      </x:c>
      <x:c r="O42" s="22" t="n">
        <x:v>0</x:v>
      </x:c>
      <x:c r="P42" s="22" t="n">
        <x:v>-130000</x:v>
      </x:c>
      <x:c r="Q42" s="23" t="n">
        <x:v>-0.00238357</x:v>
      </x:c>
      <x:c r="R42" s="22" t="str"/>
      <x:c r="S42" s="22" t="str"/>
      <x:c r="T42" s="22" t="str"/>
      <x:c r="U42" s="22" t="str">
        <x:v>C</x:v>
      </x:c>
      <x:c r="V42" s="22" t="str">
        <x:v>MODELED</x:v>
      </x:c>
      <x:c r="W42" s="22" t="str">
        <x:v>同一连续时间线；模型人口不冒充史籍普查。</x:v>
      </x:c>
    </x:row>
    <x:row r="43">
      <x:c r="A43" s="22" t="n">
        <x:v>176</x:v>
      </x:c>
      <x:c r="B43" s="22" t="n">
        <x:v>175</x:v>
      </x:c>
      <x:c r="C43" s="22" t="str">
        <x:v>NO</x:v>
      </x:c>
      <x:c r="D43" s="22" t="n">
        <x:v>52097575</x:v>
      </x:c>
      <x:c r="E43" s="22" t="n">
        <x:v>51837400</x:v>
      </x:c>
      <x:c r="F43" s="22" t="n">
        <x:v>54410000</x:v>
      </x:c>
      <x:c r="G43" s="22" t="n">
        <x:v>54280000</x:v>
      </x:c>
      <x:c r="H43" s="22" t="n">
        <x:v>1696603</x:v>
      </x:c>
      <x:c r="I43" s="22" t="n">
        <x:v>1826603</x:v>
      </x:c>
      <x:c r="J43" s="22" t="n">
        <x:v>0</x:v>
      </x:c>
      <x:c r="K43" s="22" t="n">
        <x:v>0</x:v>
      </x:c>
      <x:c r="L43" s="22" t="n">
        <x:v>0</x:v>
      </x:c>
      <x:c r="M43" s="22" t="n">
        <x:v>0</x:v>
      </x:c>
      <x:c r="N43" s="22" t="n">
        <x:v>132611</x:v>
      </x:c>
      <x:c r="O43" s="22" t="n">
        <x:v>0</x:v>
      </x:c>
      <x:c r="P43" s="22" t="n">
        <x:v>-130000</x:v>
      </x:c>
      <x:c r="Q43" s="23" t="n">
        <x:v>-0.00238927</x:v>
      </x:c>
      <x:c r="R43" s="22" t="str"/>
      <x:c r="S43" s="22" t="str"/>
      <x:c r="T43" s="22" t="str"/>
      <x:c r="U43" s="22" t="str">
        <x:v>C</x:v>
      </x:c>
      <x:c r="V43" s="22" t="str">
        <x:v>MODELED</x:v>
      </x:c>
      <x:c r="W43" s="22" t="str">
        <x:v>同一连续时间线；模型人口不冒充史籍普查。</x:v>
      </x:c>
    </x:row>
    <x:row r="44">
      <x:c r="A44" s="22" t="n">
        <x:v>177</x:v>
      </x:c>
      <x:c r="B44" s="22" t="n">
        <x:v>176</x:v>
      </x:c>
      <x:c r="C44" s="22" t="str">
        <x:v>NO</x:v>
      </x:c>
      <x:c r="D44" s="22" t="n">
        <x:v>51837400</x:v>
      </x:c>
      <x:c r="E44" s="22" t="n">
        <x:v>51577875</x:v>
      </x:c>
      <x:c r="F44" s="22" t="n">
        <x:v>54280000</x:v>
      </x:c>
      <x:c r="G44" s="22" t="n">
        <x:v>54150000</x:v>
      </x:c>
      <x:c r="H44" s="22" t="n">
        <x:v>1677745</x:v>
      </x:c>
      <x:c r="I44" s="22" t="n">
        <x:v>1807745</x:v>
      </x:c>
      <x:c r="J44" s="22" t="n">
        <x:v>0</x:v>
      </x:c>
      <x:c r="K44" s="22" t="n">
        <x:v>0</x:v>
      </x:c>
      <x:c r="L44" s="22" t="n">
        <x:v>0</x:v>
      </x:c>
      <x:c r="M44" s="22" t="n">
        <x:v>0</x:v>
      </x:c>
      <x:c r="N44" s="22" t="n">
        <x:v>132303</x:v>
      </x:c>
      <x:c r="O44" s="22" t="n">
        <x:v>0</x:v>
      </x:c>
      <x:c r="P44" s="22" t="n">
        <x:v>-130000</x:v>
      </x:c>
      <x:c r="Q44" s="23" t="n">
        <x:v>-0.00239499</x:v>
      </x:c>
      <x:c r="R44" s="22" t="str"/>
      <x:c r="S44" s="22" t="str"/>
      <x:c r="T44" s="22" t="str"/>
      <x:c r="U44" s="22" t="str">
        <x:v>C</x:v>
      </x:c>
      <x:c r="V44" s="22" t="str">
        <x:v>MODELED</x:v>
      </x:c>
      <x:c r="W44" s="22" t="str">
        <x:v>同一连续时间线；模型人口不冒充史籍普查。</x:v>
      </x:c>
    </x:row>
    <x:row r="45">
      <x:c r="A45" s="22" t="n">
        <x:v>178</x:v>
      </x:c>
      <x:c r="B45" s="22" t="n">
        <x:v>177</x:v>
      </x:c>
      <x:c r="C45" s="22" t="str">
        <x:v>NO</x:v>
      </x:c>
      <x:c r="D45" s="22" t="n">
        <x:v>51577875</x:v>
      </x:c>
      <x:c r="E45" s="22" t="n">
        <x:v>51319000</x:v>
      </x:c>
      <x:c r="F45" s="22" t="n">
        <x:v>54150000</x:v>
      </x:c>
      <x:c r="G45" s="22" t="n">
        <x:v>54020000</x:v>
      </x:c>
      <x:c r="H45" s="22" t="n">
        <x:v>1658959</x:v>
      </x:c>
      <x:c r="I45" s="22" t="n">
        <x:v>1788959</x:v>
      </x:c>
      <x:c r="J45" s="22" t="n">
        <x:v>0</x:v>
      </x:c>
      <x:c r="K45" s="22" t="n">
        <x:v>0</x:v>
      </x:c>
      <x:c r="L45" s="22" t="n">
        <x:v>0</x:v>
      </x:c>
      <x:c r="M45" s="22" t="n">
        <x:v>0</x:v>
      </x:c>
      <x:c r="N45" s="22" t="n">
        <x:v>127707</x:v>
      </x:c>
      <x:c r="O45" s="22" t="n">
        <x:v>0</x:v>
      </x:c>
      <x:c r="P45" s="22" t="n">
        <x:v>-130000</x:v>
      </x:c>
      <x:c r="Q45" s="23" t="n">
        <x:v>-0.00240074</x:v>
      </x:c>
      <x:c r="R45" s="22" t="str"/>
      <x:c r="S45" s="22" t="str"/>
      <x:c r="T45" s="22" t="str"/>
      <x:c r="U45" s="22" t="str">
        <x:v>C</x:v>
      </x:c>
      <x:c r="V45" s="22" t="str">
        <x:v>MODELED</x:v>
      </x:c>
      <x:c r="W45" s="22" t="str">
        <x:v>同一连续时间线；模型人口不冒充史籍普查。</x:v>
      </x:c>
    </x:row>
    <x:row r="46">
      <x:c r="A46" s="22" t="n">
        <x:v>179</x:v>
      </x:c>
      <x:c r="B46" s="22" t="n">
        <x:v>178</x:v>
      </x:c>
      <x:c r="C46" s="22" t="str">
        <x:v>NO</x:v>
      </x:c>
      <x:c r="D46" s="22" t="n">
        <x:v>51319000</x:v>
      </x:c>
      <x:c r="E46" s="22" t="n">
        <x:v>51060775</x:v>
      </x:c>
      <x:c r="F46" s="22" t="n">
        <x:v>54020000</x:v>
      </x:c>
      <x:c r="G46" s="22" t="n">
        <x:v>53890000</x:v>
      </x:c>
      <x:c r="H46" s="22" t="n">
        <x:v>1640244</x:v>
      </x:c>
      <x:c r="I46" s="22" t="n">
        <x:v>1621584</x:v>
      </x:c>
      <x:c r="J46" s="22" t="n">
        <x:v>0</x:v>
      </x:c>
      <x:c r="K46" s="22" t="n">
        <x:v>148660</x:v>
      </x:c>
      <x:c r="L46" s="22" t="n">
        <x:v>0</x:v>
      </x:c>
      <x:c r="M46" s="22" t="n">
        <x:v>0</x:v>
      </x:c>
      <x:c r="N46" s="22" t="n">
        <x:v>135940</x:v>
      </x:c>
      <x:c r="O46" s="22" t="n">
        <x:v>0</x:v>
      </x:c>
      <x:c r="P46" s="22" t="n">
        <x:v>-130000</x:v>
      </x:c>
      <x:c r="Q46" s="23" t="n">
        <x:v>-0.00240652</x:v>
      </x:c>
      <x:c r="R46" s="22" t="str">
        <x:v>pop.event.epidemic.179</x:v>
      </x:c>
      <x:c r="S46" s="22" t="str">
        <x:v>光和二年大疫</x:v>
      </x:c>
      <x:c r="T46" s="22" t="str"/>
      <x:c r="U46" s="22" t="str">
        <x:v>C</x:v>
      </x:c>
      <x:c r="V46" s="22" t="str">
        <x:v>MODELED</x:v>
      </x:c>
      <x:c r="W46" s="22" t="str">
        <x:v>同一连续时间线；模型人口不冒充史籍普查。</x:v>
      </x:c>
    </x:row>
    <x:row r="47">
      <x:c r="A47" s="22" t="n">
        <x:v>180</x:v>
      </x:c>
      <x:c r="B47" s="22" t="n">
        <x:v>179</x:v>
      </x:c>
      <x:c r="C47" s="22" t="str">
        <x:v>NO</x:v>
      </x:c>
      <x:c r="D47" s="22" t="n">
        <x:v>51060775</x:v>
      </x:c>
      <x:c r="E47" s="22" t="n">
        <x:v>50803200</x:v>
      </x:c>
      <x:c r="F47" s="22" t="n">
        <x:v>53890000</x:v>
      </x:c>
      <x:c r="G47" s="22" t="n">
        <x:v>53760000</x:v>
      </x:c>
      <x:c r="H47" s="22" t="n">
        <x:v>1621599</x:v>
      </x:c>
      <x:c r="I47" s="22" t="n">
        <x:v>1751599</x:v>
      </x:c>
      <x:c r="J47" s="22" t="n">
        <x:v>0</x:v>
      </x:c>
      <x:c r="K47" s="22" t="n">
        <x:v>0</x:v>
      </x:c>
      <x:c r="L47" s="22" t="n">
        <x:v>0</x:v>
      </x:c>
      <x:c r="M47" s="22" t="n">
        <x:v>0</x:v>
      </x:c>
      <x:c r="N47" s="22" t="n">
        <x:v>131369</x:v>
      </x:c>
      <x:c r="O47" s="22" t="n">
        <x:v>0</x:v>
      </x:c>
      <x:c r="P47" s="22" t="n">
        <x:v>-130000</x:v>
      </x:c>
      <x:c r="Q47" s="23" t="n">
        <x:v>-0.00241232</x:v>
      </x:c>
      <x:c r="R47" s="22" t="str"/>
      <x:c r="S47" s="22" t="str"/>
      <x:c r="T47" s="22" t="str"/>
      <x:c r="U47" s="22" t="str">
        <x:v>C</x:v>
      </x:c>
      <x:c r="V47" s="22" t="str">
        <x:v>MODELED</x:v>
      </x:c>
      <x:c r="W47" s="22" t="str">
        <x:v>同一连续时间线；模型人口不冒充史籍普查。</x:v>
      </x:c>
    </x:row>
    <x:row r="48">
      <x:c r="A48" s="22" t="n">
        <x:v>181</x:v>
      </x:c>
      <x:c r="B48" s="22" t="n">
        <x:v>180</x:v>
      </x:c>
      <x:c r="C48" s="22" t="str">
        <x:v>NO</x:v>
      </x:c>
      <x:c r="D48" s="22" t="n">
        <x:v>50803200</x:v>
      </x:c>
      <x:c r="E48" s="22" t="n">
        <x:v>50546275</x:v>
      </x:c>
      <x:c r="F48" s="22" t="n">
        <x:v>53760000</x:v>
      </x:c>
      <x:c r="G48" s="22" t="n">
        <x:v>53630000</x:v>
      </x:c>
      <x:c r="H48" s="22" t="n">
        <x:v>1603025</x:v>
      </x:c>
      <x:c r="I48" s="22" t="n">
        <x:v>1733025</x:v>
      </x:c>
      <x:c r="J48" s="22" t="n">
        <x:v>0</x:v>
      </x:c>
      <x:c r="K48" s="22" t="n">
        <x:v>0</x:v>
      </x:c>
      <x:c r="L48" s="22" t="n">
        <x:v>0</x:v>
      </x:c>
      <x:c r="M48" s="22" t="n">
        <x:v>0</x:v>
      </x:c>
      <x:c r="N48" s="22" t="n">
        <x:v>126626</x:v>
      </x:c>
      <x:c r="O48" s="22" t="n">
        <x:v>0</x:v>
      </x:c>
      <x:c r="P48" s="22" t="n">
        <x:v>-130000</x:v>
      </x:c>
      <x:c r="Q48" s="23" t="n">
        <x:v>-0.00241815</x:v>
      </x:c>
      <x:c r="R48" s="22" t="str"/>
      <x:c r="S48" s="22" t="str"/>
      <x:c r="T48" s="22" t="str"/>
      <x:c r="U48" s="22" t="str">
        <x:v>C</x:v>
      </x:c>
      <x:c r="V48" s="22" t="str">
        <x:v>MODELED</x:v>
      </x:c>
      <x:c r="W48" s="22" t="str">
        <x:v>同一连续时间线；模型人口不冒充史籍普查。</x:v>
      </x:c>
    </x:row>
    <x:row r="49">
      <x:c r="A49" s="22" t="n">
        <x:v>182</x:v>
      </x:c>
      <x:c r="B49" s="22" t="n">
        <x:v>181</x:v>
      </x:c>
      <x:c r="C49" s="22" t="str">
        <x:v>NO</x:v>
      </x:c>
      <x:c r="D49" s="22" t="n">
        <x:v>50546275</x:v>
      </x:c>
      <x:c r="E49" s="22" t="n">
        <x:v>50290000</x:v>
      </x:c>
      <x:c r="F49" s="22" t="n">
        <x:v>53630000</x:v>
      </x:c>
      <x:c r="G49" s="22" t="n">
        <x:v>53500000</x:v>
      </x:c>
      <x:c r="H49" s="22" t="n">
        <x:v>1584523</x:v>
      </x:c>
      <x:c r="I49" s="22" t="n">
        <x:v>1494585</x:v>
      </x:c>
      <x:c r="J49" s="22" t="n">
        <x:v>0</x:v>
      </x:c>
      <x:c r="K49" s="22" t="n">
        <x:v>219938</x:v>
      </x:c>
      <x:c r="L49" s="22" t="n">
        <x:v>0</x:v>
      </x:c>
      <x:c r="M49" s="22" t="n">
        <x:v>0</x:v>
      </x:c>
      <x:c r="N49" s="22" t="n">
        <x:v>135155</x:v>
      </x:c>
      <x:c r="O49" s="22" t="n">
        <x:v>0</x:v>
      </x:c>
      <x:c r="P49" s="22" t="n">
        <x:v>-130000</x:v>
      </x:c>
      <x:c r="Q49" s="23" t="n">
        <x:v>-0.00242402</x:v>
      </x:c>
      <x:c r="R49" s="22" t="str">
        <x:v>pop.event.epidemic.182</x:v>
      </x:c>
      <x:c r="S49" s="22" t="str">
        <x:v>光和五年大疫</x:v>
      </x:c>
      <x:c r="T49" s="22" t="str"/>
      <x:c r="U49" s="22" t="str">
        <x:v>C</x:v>
      </x:c>
      <x:c r="V49" s="22" t="str">
        <x:v>MODELED</x:v>
      </x:c>
      <x:c r="W49" s="22" t="str">
        <x:v>同一连续时间线；模型人口不冒充史籍普查。</x:v>
      </x:c>
    </x:row>
    <x:row r="50">
      <x:c r="A50" s="22" t="n">
        <x:v>183</x:v>
      </x:c>
      <x:c r="B50" s="22" t="n">
        <x:v>182</x:v>
      </x:c>
      <x:c r="C50" s="22" t="str">
        <x:v>NO</x:v>
      </x:c>
      <x:c r="D50" s="22" t="n">
        <x:v>50290000</x:v>
      </x:c>
      <x:c r="E50" s="22" t="n">
        <x:v>49220000</x:v>
      </x:c>
      <x:c r="F50" s="22" t="n">
        <x:v>53500000</x:v>
      </x:c>
      <x:c r="G50" s="22" t="n">
        <x:v>53500000</x:v>
      </x:c>
      <x:c r="H50" s="22" t="n">
        <x:v>1566091</x:v>
      </x:c>
      <x:c r="I50" s="22" t="n">
        <x:v>1566091</x:v>
      </x:c>
      <x:c r="J50" s="22" t="n">
        <x:v>0</x:v>
      </x:c>
      <x:c r="K50" s="22" t="n">
        <x:v>0</x:v>
      </x:c>
      <x:c r="L50" s="22" t="n">
        <x:v>0</x:v>
      </x:c>
      <x:c r="M50" s="22" t="n">
        <x:v>0</x:v>
      </x:c>
      <x:c r="N50" s="22" t="n">
        <x:v>1055861</x:v>
      </x:c>
      <x:c r="O50" s="22" t="n">
        <x:v>0</x:v>
      </x:c>
      <x:c r="P50" s="22" t="n">
        <x:v>0</x:v>
      </x:c>
      <x:c r="Q50" s="23" t="n">
        <x:v>0</x:v>
      </x:c>
      <x:c r="R50" s="22" t="str"/>
      <x:c r="S50" s="22" t="str"/>
      <x:c r="T50" s="22" t="str"/>
      <x:c r="U50" s="22" t="str">
        <x:v>C</x:v>
      </x:c>
      <x:c r="V50" s="22" t="str">
        <x:v>MODELED</x:v>
      </x:c>
      <x:c r="W50" s="22" t="str">
        <x:v>同一连续时间线；模型人口不冒充史籍普查。</x:v>
      </x:c>
    </x:row>
    <x:row r="51">
      <x:c r="A51" s="22" t="n">
        <x:v>184</x:v>
      </x:c>
      <x:c r="B51" s="22" t="n">
        <x:v>183</x:v>
      </x:c>
      <x:c r="C51" s="22" t="str">
        <x:v>YES</x:v>
      </x:c>
      <x:c r="D51" s="22" t="n">
        <x:v>49220000</x:v>
      </x:c>
      <x:c r="E51" s="22" t="n">
        <x:v>46350000</x:v>
      </x:c>
      <x:c r="F51" s="22" t="n">
        <x:v>53500000</x:v>
      </x:c>
      <x:c r="G51" s="22" t="n">
        <x:v>51500000</x:v>
      </x:c>
      <x:c r="H51" s="22" t="n">
        <x:v>1551500</x:v>
      </x:c>
      <x:c r="I51" s="22" t="n">
        <x:v>3147039</x:v>
      </x:c>
      <x:c r="J51" s="22" t="n">
        <x:v>404461</x:v>
      </x:c>
      <x:c r="K51" s="22" t="n">
        <x:v>0</x:v>
      </x:c>
      <x:c r="L51" s="22" t="n">
        <x:v>0</x:v>
      </x:c>
      <x:c r="M51" s="22" t="n">
        <x:v>0</x:v>
      </x:c>
      <x:c r="N51" s="22" t="n">
        <x:v>979244</x:v>
      </x:c>
      <x:c r="O51" s="22" t="n">
        <x:v>0</x:v>
      </x:c>
      <x:c r="P51" s="22" t="n">
        <x:v>-2000000</x:v>
      </x:c>
      <x:c r="Q51" s="23" t="n">
        <x:v>-0.03738318</x:v>
      </x:c>
      <x:c r="R51" s="22" t="str">
        <x:v>pop.event.war.184.yellow_turban</x:v>
      </x:c>
      <x:c r="S51" s="22" t="str">
        <x:v>黄巾起义及镇压</x:v>
      </x:c>
      <x:c r="T51" s="22" t="str"/>
      <x:c r="U51" s="22" t="str">
        <x:v>B</x:v>
      </x:c>
      <x:c r="V51" s="22" t="str">
        <x:v>MODELED</x:v>
      </x:c>
      <x:c r="W51" s="22" t="str">
        <x:v>184_START与184_END分离；快照读取年初人口。</x:v>
      </x:c>
    </x:row>
    <x:row r="52">
      <x:c r="A52" s="22" t="n">
        <x:v>185</x:v>
      </x:c>
      <x:c r="B52" s="22" t="n">
        <x:v>184</x:v>
      </x:c>
      <x:c r="C52" s="22" t="str">
        <x:v>NO</x:v>
      </x:c>
      <x:c r="D52" s="22" t="n">
        <x:v>46350000</x:v>
      </x:c>
      <x:c r="E52" s="22" t="n">
        <x:v>44110000</x:v>
      </x:c>
      <x:c r="F52" s="22" t="n">
        <x:v>51500000</x:v>
      </x:c>
      <x:c r="G52" s="22" t="n">
        <x:v>50125000</x:v>
      </x:c>
      <x:c r="H52" s="22" t="n">
        <x:v>1467750</x:v>
      </x:c>
      <x:c r="I52" s="22" t="n">
        <x:v>2457040</x:v>
      </x:c>
      <x:c r="J52" s="22" t="n">
        <x:v>385710</x:v>
      </x:c>
      <x:c r="K52" s="22" t="n">
        <x:v>0</x:v>
      </x:c>
      <x:c r="L52" s="22" t="n">
        <x:v>0</x:v>
      </x:c>
      <x:c r="M52" s="22" t="n">
        <x:v>0</x:v>
      </x:c>
      <x:c r="N52" s="22" t="n">
        <x:v>962980</x:v>
      </x:c>
      <x:c r="O52" s="22" t="n">
        <x:v>0</x:v>
      </x:c>
      <x:c r="P52" s="22" t="n">
        <x:v>-1375000</x:v>
      </x:c>
      <x:c r="Q52" s="23" t="n">
        <x:v>-0.02669903</x:v>
      </x:c>
      <x:c r="R52" s="22" t="str">
        <x:v>pop.event.war.184.yellow_turban</x:v>
      </x:c>
      <x:c r="S52" s="22" t="str">
        <x:v>黄巾起义及镇压</x:v>
      </x:c>
      <x:c r="T52" s="22" t="str"/>
      <x:c r="U52" s="22" t="str">
        <x:v>C</x:v>
      </x:c>
      <x:c r="V52" s="22" t="str">
        <x:v>MODELED</x:v>
      </x:c>
      <x:c r="W52" s="22" t="str">
        <x:v>同一连续时间线；模型人口不冒充史籍普查。</x:v>
      </x:c>
    </x:row>
    <x:row r="53">
      <x:c r="A53" s="22" t="n">
        <x:v>186</x:v>
      </x:c>
      <x:c r="B53" s="22" t="n">
        <x:v>185</x:v>
      </x:c>
      <x:c r="C53" s="22" t="str">
        <x:v>NO</x:v>
      </x:c>
      <x:c r="D53" s="22" t="n">
        <x:v>44110000</x:v>
      </x:c>
      <x:c r="E53" s="22" t="n">
        <x:v>41925000</x:v>
      </x:c>
      <x:c r="F53" s="22" t="n">
        <x:v>50125000</x:v>
      </x:c>
      <x:c r="G53" s="22" t="n">
        <x:v>48750000</x:v>
      </x:c>
      <x:c r="H53" s="22" t="n">
        <x:v>1403500</x:v>
      </x:c>
      <x:c r="I53" s="22" t="n">
        <x:v>2778500</x:v>
      </x:c>
      <x:c r="J53" s="22" t="n">
        <x:v>0</x:v>
      </x:c>
      <x:c r="K53" s="22" t="n">
        <x:v>0</x:v>
      </x:c>
      <x:c r="L53" s="22" t="n">
        <x:v>0</x:v>
      </x:c>
      <x:c r="M53" s="22" t="n">
        <x:v>0</x:v>
      </x:c>
      <x:c r="N53" s="22" t="n">
        <x:v>926578</x:v>
      </x:c>
      <x:c r="O53" s="22" t="n">
        <x:v>0</x:v>
      </x:c>
      <x:c r="P53" s="22" t="n">
        <x:v>-1375000</x:v>
      </x:c>
      <x:c r="Q53" s="23" t="n">
        <x:v>-0.02743142</x:v>
      </x:c>
      <x:c r="R53" s="22" t="str"/>
      <x:c r="S53" s="22" t="str"/>
      <x:c r="T53" s="22" t="str"/>
      <x:c r="U53" s="22" t="str">
        <x:v>C</x:v>
      </x:c>
      <x:c r="V53" s="22" t="str">
        <x:v>MODELED</x:v>
      </x:c>
      <x:c r="W53" s="22" t="str">
        <x:v>同一连续时间线；模型人口不冒充史籍普查。</x:v>
      </x:c>
    </x:row>
    <x:row r="54">
      <x:c r="A54" s="22" t="n">
        <x:v>187</x:v>
      </x:c>
      <x:c r="B54" s="22" t="n">
        <x:v>186</x:v>
      </x:c>
      <x:c r="C54" s="22" t="str">
        <x:v>NO</x:v>
      </x:c>
      <x:c r="D54" s="22" t="n">
        <x:v>41925000</x:v>
      </x:c>
      <x:c r="E54" s="22" t="n">
        <x:v>39795000</x:v>
      </x:c>
      <x:c r="F54" s="22" t="n">
        <x:v>48750000</x:v>
      </x:c>
      <x:c r="G54" s="22" t="n">
        <x:v>47375000</x:v>
      </x:c>
      <x:c r="H54" s="22" t="n">
        <x:v>1340625</x:v>
      </x:c>
      <x:c r="I54" s="22" t="n">
        <x:v>2715625</x:v>
      </x:c>
      <x:c r="J54" s="22" t="n">
        <x:v>0</x:v>
      </x:c>
      <x:c r="K54" s="22" t="n">
        <x:v>0</x:v>
      </x:c>
      <x:c r="L54" s="22" t="n">
        <x:v>0</x:v>
      </x:c>
      <x:c r="M54" s="22" t="n">
        <x:v>0</x:v>
      </x:c>
      <x:c r="N54" s="22" t="n">
        <x:v>900226</x:v>
      </x:c>
      <x:c r="O54" s="22" t="n">
        <x:v>0</x:v>
      </x:c>
      <x:c r="P54" s="22" t="n">
        <x:v>-1375000</x:v>
      </x:c>
      <x:c r="Q54" s="23" t="n">
        <x:v>-0.02820513</x:v>
      </x:c>
      <x:c r="R54" s="22" t="str"/>
      <x:c r="S54" s="22" t="str"/>
      <x:c r="T54" s="22" t="str"/>
      <x:c r="U54" s="22" t="str">
        <x:v>C</x:v>
      </x:c>
      <x:c r="V54" s="22" t="str">
        <x:v>MODELED</x:v>
      </x:c>
      <x:c r="W54" s="22" t="str">
        <x:v>同一连续时间线；模型人口不冒充史籍普查。</x:v>
      </x:c>
    </x:row>
    <x:row r="55">
      <x:c r="A55" s="22" t="n">
        <x:v>188</x:v>
      </x:c>
      <x:c r="B55" s="22" t="n">
        <x:v>187</x:v>
      </x:c>
      <x:c r="C55" s="22" t="str">
        <x:v>NO</x:v>
      </x:c>
      <x:c r="D55" s="22" t="n">
        <x:v>39795000</x:v>
      </x:c>
      <x:c r="E55" s="22" t="n">
        <x:v>37720000</x:v>
      </x:c>
      <x:c r="F55" s="22" t="n">
        <x:v>47375000</x:v>
      </x:c>
      <x:c r="G55" s="22" t="n">
        <x:v>46000000</x:v>
      </x:c>
      <x:c r="H55" s="22" t="n">
        <x:v>1279125</x:v>
      </x:c>
      <x:c r="I55" s="22" t="n">
        <x:v>2654125</x:v>
      </x:c>
      <x:c r="J55" s="22" t="n">
        <x:v>0</x:v>
      </x:c>
      <x:c r="K55" s="22" t="n">
        <x:v>0</x:v>
      </x:c>
      <x:c r="L55" s="22" t="n">
        <x:v>0</x:v>
      </x:c>
      <x:c r="M55" s="22" t="n">
        <x:v>0</x:v>
      </x:c>
      <x:c r="N55" s="22" t="n">
        <x:v>873912</x:v>
      </x:c>
      <x:c r="O55" s="22" t="n">
        <x:v>0</x:v>
      </x:c>
      <x:c r="P55" s="22" t="n">
        <x:v>-1375000</x:v>
      </x:c>
      <x:c r="Q55" s="23" t="n">
        <x:v>-0.02902375</x:v>
      </x:c>
      <x:c r="R55" s="22" t="str"/>
      <x:c r="S55" s="22" t="str"/>
      <x:c r="T55" s="22" t="str"/>
      <x:c r="U55" s="22" t="str">
        <x:v>C</x:v>
      </x:c>
      <x:c r="V55" s="22" t="str">
        <x:v>MODELED</x:v>
      </x:c>
      <x:c r="W55" s="22" t="str">
        <x:v>同一连续时间线；模型人口不冒充史籍普查。</x:v>
      </x:c>
    </x:row>
    <x:row r="56">
      <x:c r="A56" s="22" t="n">
        <x:v>189</x:v>
      </x:c>
      <x:c r="B56" s="22" t="n">
        <x:v>188</x:v>
      </x:c>
      <x:c r="C56" s="22" t="str">
        <x:v>YES</x:v>
      </x:c>
      <x:c r="D56" s="22" t="n">
        <x:v>37720000</x:v>
      </x:c>
      <x:c r="E56" s="22" t="n">
        <x:v>33060000</x:v>
      </x:c>
      <x:c r="F56" s="22" t="n">
        <x:v>46000000</x:v>
      </x:c>
      <x:c r="G56" s="22" t="n">
        <x:v>43500000</x:v>
      </x:c>
      <x:c r="H56" s="22" t="n">
        <x:v>1219000</x:v>
      </x:c>
      <x:c r="I56" s="22" t="n">
        <x:v>3719000</x:v>
      </x:c>
      <x:c r="J56" s="22" t="n">
        <x:v>0</x:v>
      </x:c>
      <x:c r="K56" s="22" t="n">
        <x:v>0</x:v>
      </x:c>
      <x:c r="L56" s="22" t="n">
        <x:v>0</x:v>
      </x:c>
      <x:c r="M56" s="22" t="n">
        <x:v>0</x:v>
      </x:c>
      <x:c r="N56" s="22" t="n">
        <x:v>2561708</x:v>
      </x:c>
      <x:c r="O56" s="22" t="n">
        <x:v>0</x:v>
      </x:c>
      <x:c r="P56" s="22" t="n">
        <x:v>-2500000</x:v>
      </x:c>
      <x:c r="Q56" s="23" t="n">
        <x:v>-0.05434783</x:v>
      </x:c>
      <x:c r="R56" s="22" t="str"/>
      <x:c r="S56" s="22" t="str"/>
      <x:c r="T56" s="22" t="str"/>
      <x:c r="U56" s="22" t="str">
        <x:v>B</x:v>
      </x:c>
      <x:c r="V56" s="22" t="str">
        <x:v>MODELED</x:v>
      </x:c>
      <x:c r="W56" s="22" t="str">
        <x:v>同一连续时间线；模型人口不冒充史籍普查。</x:v>
      </x:c>
    </x:row>
    <x:row r="57">
      <x:c r="A57" s="22" t="n">
        <x:v>190</x:v>
      </x:c>
      <x:c r="B57" s="22" t="n">
        <x:v>189</x:v>
      </x:c>
      <x:c r="C57" s="22" t="str">
        <x:v>NO</x:v>
      </x:c>
      <x:c r="D57" s="22" t="n">
        <x:v>33060000</x:v>
      </x:c>
      <x:c r="E57" s="22" t="n">
        <x:v>31326666</x:v>
      </x:c>
      <x:c r="F57" s="22" t="n">
        <x:v>43500000</x:v>
      </x:c>
      <x:c r="G57" s="22" t="n">
        <x:v>42333333</x:v>
      </x:c>
      <x:c r="H57" s="22" t="n">
        <x:v>1131000</x:v>
      </x:c>
      <x:c r="I57" s="22" t="n">
        <x:v>2159887</x:v>
      </x:c>
      <x:c r="J57" s="22" t="n">
        <x:v>137780</x:v>
      </x:c>
      <x:c r="K57" s="22" t="n">
        <x:v>0</x:v>
      </x:c>
      <x:c r="L57" s="22" t="n">
        <x:v>0</x:v>
      </x:c>
      <x:c r="M57" s="22" t="n">
        <x:v>0</x:v>
      </x:c>
      <x:c r="N57" s="22" t="n">
        <x:v>822691</x:v>
      </x:c>
      <x:c r="O57" s="22" t="n">
        <x:v>0</x:v>
      </x:c>
      <x:c r="P57" s="22" t="n">
        <x:v>-1166667</x:v>
      </x:c>
      <x:c r="Q57" s="23" t="n">
        <x:v>-0.02681993</x:v>
      </x:c>
      <x:c r="R57" s="22" t="str">
        <x:v>pop.event.migration.190.luoyang_changan|pop.event.war.190_196.central_plains|pop.event.migration.190_207.southward</x:v>
      </x:c>
      <x:c r="S57" s="22" t="str">
        <x:v>董卓迁都与洛阳人口西迁|关东与中原连年战争|中原人口向荆益江南迁徙</x:v>
      </x:c>
      <x:c r="T57" s="22" t="str"/>
      <x:c r="U57" s="22" t="str">
        <x:v>B</x:v>
      </x:c>
      <x:c r="V57" s="22" t="str">
        <x:v>MODELED</x:v>
      </x:c>
      <x:c r="W57" s="22" t="str">
        <x:v>同一连续时间线；模型人口不冒充史籍普查。</x:v>
      </x:c>
    </x:row>
    <x:row r="58">
      <x:c r="A58" s="22" t="n">
        <x:v>191</x:v>
      </x:c>
      <x:c r="B58" s="22" t="n">
        <x:v>190</x:v>
      </x:c>
      <x:c r="C58" s="22" t="str">
        <x:v>NO</x:v>
      </x:c>
      <x:c r="D58" s="22" t="n">
        <x:v>31326666</x:v>
      </x:c>
      <x:c r="E58" s="22" t="n">
        <x:v>29640000</x:v>
      </x:c>
      <x:c r="F58" s="22" t="n">
        <x:v>42333333</x:v>
      </x:c>
      <x:c r="G58" s="22" t="n">
        <x:v>41166667</x:v>
      </x:c>
      <x:c r="H58" s="22" t="n">
        <x:v>1104900</x:v>
      </x:c>
      <x:c r="I58" s="22" t="n">
        <x:v>2138154</x:v>
      </x:c>
      <x:c r="J58" s="22" t="n">
        <x:v>133412</x:v>
      </x:c>
      <x:c r="K58" s="22" t="n">
        <x:v>0</x:v>
      </x:c>
      <x:c r="L58" s="22" t="n">
        <x:v>0</x:v>
      </x:c>
      <x:c r="M58" s="22" t="n">
        <x:v>0</x:v>
      </x:c>
      <x:c r="N58" s="22" t="n">
        <x:v>801184</x:v>
      </x:c>
      <x:c r="O58" s="22" t="n">
        <x:v>0</x:v>
      </x:c>
      <x:c r="P58" s="22" t="n">
        <x:v>-1166666</x:v>
      </x:c>
      <x:c r="Q58" s="23" t="n">
        <x:v>-0.02755904</x:v>
      </x:c>
      <x:c r="R58" s="22" t="str">
        <x:v>pop.event.migration.190.luoyang_changan|pop.event.war.190_196.central_plains|pop.event.migration.190_207.southward</x:v>
      </x:c>
      <x:c r="S58" s="22" t="str">
        <x:v>董卓迁都与洛阳人口西迁|关东与中原连年战争|中原人口向荆益江南迁徙</x:v>
      </x:c>
      <x:c r="T58" s="22" t="str"/>
      <x:c r="U58" s="22" t="str">
        <x:v>C</x:v>
      </x:c>
      <x:c r="V58" s="22" t="str">
        <x:v>MODELED</x:v>
      </x:c>
      <x:c r="W58" s="22" t="str">
        <x:v>同一连续时间线；模型人口不冒充史籍普查。</x:v>
      </x:c>
    </x:row>
    <x:row r="59">
      <x:c r="A59" s="22" t="n">
        <x:v>192</x:v>
      </x:c>
      <x:c r="B59" s="22" t="n">
        <x:v>191</x:v>
      </x:c>
      <x:c r="C59" s="22" t="str">
        <x:v>NO</x:v>
      </x:c>
      <x:c r="D59" s="22" t="n">
        <x:v>29640000</x:v>
      </x:c>
      <x:c r="E59" s="22" t="n">
        <x:v>28000000</x:v>
      </x:c>
      <x:c r="F59" s="22" t="n">
        <x:v>41166667</x:v>
      </x:c>
      <x:c r="G59" s="22" t="n">
        <x:v>40000000</x:v>
      </x:c>
      <x:c r="H59" s="22" t="n">
        <x:v>1078567</x:v>
      </x:c>
      <x:c r="I59" s="22" t="n">
        <x:v>2116106</x:v>
      </x:c>
      <x:c r="J59" s="22" t="n">
        <x:v>129128</x:v>
      </x:c>
      <x:c r="K59" s="22" t="n">
        <x:v>0</x:v>
      </x:c>
      <x:c r="L59" s="22" t="n">
        <x:v>0</x:v>
      </x:c>
      <x:c r="M59" s="22" t="n">
        <x:v>0</x:v>
      </x:c>
      <x:c r="N59" s="22" t="n">
        <x:v>776259</x:v>
      </x:c>
      <x:c r="O59" s="22" t="n">
        <x:v>0</x:v>
      </x:c>
      <x:c r="P59" s="22" t="n">
        <x:v>-1166667</x:v>
      </x:c>
      <x:c r="Q59" s="23" t="n">
        <x:v>-0.02834009</x:v>
      </x:c>
      <x:c r="R59" s="22" t="str">
        <x:v>pop.event.war.190_196.central_plains|pop.event.migration.190_207.southward</x:v>
      </x:c>
      <x:c r="S59" s="22" t="str">
        <x:v>关东与中原连年战争|中原人口向荆益江南迁徙</x:v>
      </x:c>
      <x:c r="T59" s="22" t="str"/>
      <x:c r="U59" s="22" t="str">
        <x:v>C</x:v>
      </x:c>
      <x:c r="V59" s="22" t="str">
        <x:v>MODELED</x:v>
      </x:c>
      <x:c r="W59" s="22" t="str">
        <x:v>同一连续时间线；模型人口不冒充史籍普查。</x:v>
      </x:c>
    </x:row>
    <x:row r="60">
      <x:c r="A60" s="22" t="n">
        <x:v>193</x:v>
      </x:c>
      <x:c r="B60" s="22" t="n">
        <x:v>192</x:v>
      </x:c>
      <x:c r="C60" s="22" t="str">
        <x:v>NO</x:v>
      </x:c>
      <x:c r="D60" s="22" t="n">
        <x:v>28000000</x:v>
      </x:c>
      <x:c r="E60" s="22" t="n">
        <x:v>26406666</x:v>
      </x:c>
      <x:c r="F60" s="22" t="n">
        <x:v>40000000</x:v>
      </x:c>
      <x:c r="G60" s="22" t="n">
        <x:v>38833333</x:v>
      </x:c>
      <x:c r="H60" s="22" t="n">
        <x:v>1052000</x:v>
      </x:c>
      <x:c r="I60" s="22" t="n">
        <x:v>2041647</x:v>
      </x:c>
      <x:c r="J60" s="22" t="n">
        <x:v>177020</x:v>
      </x:c>
      <x:c r="K60" s="22" t="n">
        <x:v>0</x:v>
      </x:c>
      <x:c r="L60" s="22" t="n">
        <x:v>0</x:v>
      </x:c>
      <x:c r="M60" s="22" t="n">
        <x:v>0</x:v>
      </x:c>
      <x:c r="N60" s="22" t="n">
        <x:v>755787</x:v>
      </x:c>
      <x:c r="O60" s="22" t="n">
        <x:v>0</x:v>
      </x:c>
      <x:c r="P60" s="22" t="n">
        <x:v>-1166667</x:v>
      </x:c>
      <x:c r="Q60" s="23" t="n">
        <x:v>-0.02916667</x:v>
      </x:c>
      <x:c r="R60" s="22" t="str">
        <x:v>pop.event.war.190_196.central_plains|pop.event.migration.190_207.southward|pop.event.war.193_194.xuzhou</x:v>
      </x:c>
      <x:c r="S60" s="22" t="str">
        <x:v>关东与中原连年战争|中原人口向荆益江南迁徙|徐州战争人口冲击</x:v>
      </x:c>
      <x:c r="T60" s="22" t="str"/>
      <x:c r="U60" s="22" t="str">
        <x:v>C</x:v>
      </x:c>
      <x:c r="V60" s="22" t="str">
        <x:v>MODELED</x:v>
      </x:c>
      <x:c r="W60" s="22" t="str">
        <x:v>同一连续时间线；模型人口不冒充史籍普查。</x:v>
      </x:c>
    </x:row>
    <x:row r="61">
      <x:c r="A61" s="22" t="n">
        <x:v>194</x:v>
      </x:c>
      <x:c r="B61" s="22" t="n">
        <x:v>193</x:v>
      </x:c>
      <x:c r="C61" s="22" t="str">
        <x:v>YES</x:v>
      </x:c>
      <x:c r="D61" s="22" t="n">
        <x:v>26406666</x:v>
      </x:c>
      <x:c r="E61" s="22" t="n">
        <x:v>24860000</x:v>
      </x:c>
      <x:c r="F61" s="22" t="n">
        <x:v>38833333</x:v>
      </x:c>
      <x:c r="G61" s="22" t="n">
        <x:v>37666667</x:v>
      </x:c>
      <x:c r="H61" s="22" t="n">
        <x:v>1025200</x:v>
      </x:c>
      <x:c r="I61" s="22" t="n">
        <x:v>2021359</x:v>
      </x:c>
      <x:c r="J61" s="22" t="n">
        <x:v>170507</x:v>
      </x:c>
      <x:c r="K61" s="22" t="n">
        <x:v>0</x:v>
      </x:c>
      <x:c r="L61" s="22" t="n">
        <x:v>0</x:v>
      </x:c>
      <x:c r="M61" s="22" t="n">
        <x:v>0</x:v>
      </x:c>
      <x:c r="N61" s="22" t="n">
        <x:v>735074</x:v>
      </x:c>
      <x:c r="O61" s="22" t="n">
        <x:v>0</x:v>
      </x:c>
      <x:c r="P61" s="22" t="n">
        <x:v>-1166666</x:v>
      </x:c>
      <x:c r="Q61" s="23" t="n">
        <x:v>-0.0300429</x:v>
      </x:c>
      <x:c r="R61" s="22" t="str">
        <x:v>pop.event.war.190_196.central_plains|pop.event.migration.190_207.southward|pop.event.war.193_194.xuzhou</x:v>
      </x:c>
      <x:c r="S61" s="22" t="str">
        <x:v>关东与中原连年战争|中原人口向荆益江南迁徙|徐州战争人口冲击</x:v>
      </x:c>
      <x:c r="T61" s="22" t="str"/>
      <x:c r="U61" s="22" t="str">
        <x:v>B</x:v>
      </x:c>
      <x:c r="V61" s="22" t="str">
        <x:v>MODELED</x:v>
      </x:c>
      <x:c r="W61" s="22" t="str">
        <x:v>同一连续时间线；模型人口不冒充史籍普查。</x:v>
      </x:c>
    </x:row>
    <x:row r="62">
      <x:c r="A62" s="22" t="n">
        <x:v>195</x:v>
      </x:c>
      <x:c r="B62" s="22" t="n">
        <x:v>194</x:v>
      </x:c>
      <x:c r="C62" s="22" t="str">
        <x:v>NO</x:v>
      </x:c>
      <x:c r="D62" s="22" t="n">
        <x:v>24860000</x:v>
      </x:c>
      <x:c r="E62" s="22" t="n">
        <x:v>23360000</x:v>
      </x:c>
      <x:c r="F62" s="22" t="n">
        <x:v>37666667</x:v>
      </x:c>
      <x:c r="G62" s="22" t="n">
        <x:v>36500000</x:v>
      </x:c>
      <x:c r="H62" s="22" t="n">
        <x:v>998167</x:v>
      </x:c>
      <x:c r="I62" s="22" t="n">
        <x:v>2048534</x:v>
      </x:c>
      <x:c r="J62" s="22" t="n">
        <x:v>116300</x:v>
      </x:c>
      <x:c r="K62" s="22" t="n">
        <x:v>0</x:v>
      </x:c>
      <x:c r="L62" s="22" t="n">
        <x:v>0</x:v>
      </x:c>
      <x:c r="M62" s="22" t="n">
        <x:v>0</x:v>
      </x:c>
      <x:c r="N62" s="22" t="n">
        <x:v>709947</x:v>
      </x:c>
      <x:c r="O62" s="22" t="n">
        <x:v>0</x:v>
      </x:c>
      <x:c r="P62" s="22" t="n">
        <x:v>-1166667</x:v>
      </x:c>
      <x:c r="Q62" s="23" t="n">
        <x:v>-0.03097346</x:v>
      </x:c>
      <x:c r="R62" s="22" t="str">
        <x:v>pop.event.war.190_196.central_plains|pop.event.migration.190_207.southward</x:v>
      </x:c>
      <x:c r="S62" s="22" t="str">
        <x:v>关东与中原连年战争|中原人口向荆益江南迁徙</x:v>
      </x:c>
      <x:c r="T62" s="22" t="str"/>
      <x:c r="U62" s="22" t="str">
        <x:v>C</x:v>
      </x:c>
      <x:c r="V62" s="22" t="str">
        <x:v>MODELED</x:v>
      </x:c>
      <x:c r="W62" s="22" t="str">
        <x:v>同一连续时间线；模型人口不冒充史籍普查。</x:v>
      </x:c>
    </x:row>
    <x:row r="63">
      <x:c r="A63" s="22" t="n">
        <x:v>196</x:v>
      </x:c>
      <x:c r="B63" s="22" t="n">
        <x:v>195</x:v>
      </x:c>
      <x:c r="C63" s="22" t="str">
        <x:v>NO</x:v>
      </x:c>
      <x:c r="D63" s="22" t="n">
        <x:v>23360000</x:v>
      </x:c>
      <x:c r="E63" s="22" t="n">
        <x:v>22265625</x:v>
      </x:c>
      <x:c r="F63" s="22" t="n">
        <x:v>36500000</x:v>
      </x:c>
      <x:c r="G63" s="22" t="n">
        <x:v>35625000</x:v>
      </x:c>
      <x:c r="H63" s="22" t="n">
        <x:v>970900</x:v>
      </x:c>
      <x:c r="I63" s="22" t="n">
        <x:v>1733856</x:v>
      </x:c>
      <x:c r="J63" s="22" t="n">
        <x:v>112044</x:v>
      </x:c>
      <x:c r="K63" s="22" t="n">
        <x:v>0</x:v>
      </x:c>
      <x:c r="L63" s="22" t="n">
        <x:v>0</x:v>
      </x:c>
      <x:c r="M63" s="22" t="n">
        <x:v>0</x:v>
      </x:c>
      <x:c r="N63" s="22" t="n">
        <x:v>518647</x:v>
      </x:c>
      <x:c r="O63" s="22" t="n">
        <x:v>0</x:v>
      </x:c>
      <x:c r="P63" s="22" t="n">
        <x:v>-875000</x:v>
      </x:c>
      <x:c r="Q63" s="23" t="n">
        <x:v>-0.0239726</x:v>
      </x:c>
      <x:c r="R63" s="22" t="str">
        <x:v>pop.event.war.190_196.central_plains|pop.event.migration.190_207.southward|pop.event.recovery.196_207.tuntian</x:v>
      </x:c>
      <x:c r="S63" s="22" t="str">
        <x:v>关东与中原连年战争|中原人口向荆益江南迁徙|北方屯田与重新编户</x:v>
      </x:c>
      <x:c r="T63" s="22" t="str"/>
      <x:c r="U63" s="22" t="str">
        <x:v>B</x:v>
      </x:c>
      <x:c r="V63" s="22" t="str">
        <x:v>MODELED</x:v>
      </x:c>
      <x:c r="W63" s="22" t="str">
        <x:v>同一连续时间线；模型人口不冒充史籍普查。</x:v>
      </x:c>
    </x:row>
    <x:row r="64">
      <x:c r="A64" s="22" t="n">
        <x:v>197</x:v>
      </x:c>
      <x:c r="B64" s="22" t="n">
        <x:v>196</x:v>
      </x:c>
      <x:c r="C64" s="22" t="str">
        <x:v>NO</x:v>
      </x:c>
      <x:c r="D64" s="22" t="n">
        <x:v>22265625</x:v>
      </x:c>
      <x:c r="E64" s="22" t="n">
        <x:v>21197500</x:v>
      </x:c>
      <x:c r="F64" s="22" t="n">
        <x:v>35625000</x:v>
      </x:c>
      <x:c r="G64" s="22" t="n">
        <x:v>34750000</x:v>
      </x:c>
      <x:c r="H64" s="22" t="n">
        <x:v>951187</x:v>
      </x:c>
      <x:c r="I64" s="22" t="n">
        <x:v>1826187</x:v>
      </x:c>
      <x:c r="J64" s="22" t="n">
        <x:v>0</x:v>
      </x:c>
      <x:c r="K64" s="22" t="n">
        <x:v>0</x:v>
      </x:c>
      <x:c r="L64" s="22" t="n">
        <x:v>0</x:v>
      </x:c>
      <x:c r="M64" s="22" t="n">
        <x:v>0</x:v>
      </x:c>
      <x:c r="N64" s="22" t="n">
        <x:v>503869</x:v>
      </x:c>
      <x:c r="O64" s="22" t="n">
        <x:v>0</x:v>
      </x:c>
      <x:c r="P64" s="22" t="n">
        <x:v>-875000</x:v>
      </x:c>
      <x:c r="Q64" s="23" t="n">
        <x:v>-0.0245614</x:v>
      </x:c>
      <x:c r="R64" s="22" t="str">
        <x:v>pop.event.migration.190_207.southward|pop.event.recovery.196_207.tuntian</x:v>
      </x:c>
      <x:c r="S64" s="22" t="str">
        <x:v>中原人口向荆益江南迁徙|北方屯田与重新编户</x:v>
      </x:c>
      <x:c r="T64" s="22" t="str"/>
      <x:c r="U64" s="22" t="str">
        <x:v>C</x:v>
      </x:c>
      <x:c r="V64" s="22" t="str">
        <x:v>MODELED</x:v>
      </x:c>
      <x:c r="W64" s="22" t="str">
        <x:v>同一连续时间线；模型人口不冒充史籍普查。</x:v>
      </x:c>
    </x:row>
    <x:row r="65">
      <x:c r="A65" s="22" t="n">
        <x:v>198</x:v>
      </x:c>
      <x:c r="B65" s="22" t="n">
        <x:v>197</x:v>
      </x:c>
      <x:c r="C65" s="22" t="str">
        <x:v>NO</x:v>
      </x:c>
      <x:c r="D65" s="22" t="n">
        <x:v>21197500</x:v>
      </x:c>
      <x:c r="E65" s="22" t="n">
        <x:v>20155625</x:v>
      </x:c>
      <x:c r="F65" s="22" t="n">
        <x:v>34750000</x:v>
      </x:c>
      <x:c r="G65" s="22" t="n">
        <x:v>33875000</x:v>
      </x:c>
      <x:c r="H65" s="22" t="n">
        <x:v>931300</x:v>
      </x:c>
      <x:c r="I65" s="22" t="n">
        <x:v>1806300</x:v>
      </x:c>
      <x:c r="J65" s="22" t="n">
        <x:v>0</x:v>
      </x:c>
      <x:c r="K65" s="22" t="n">
        <x:v>0</x:v>
      </x:c>
      <x:c r="L65" s="22" t="n">
        <x:v>0</x:v>
      </x:c>
      <x:c r="M65" s="22" t="n">
        <x:v>0</x:v>
      </x:c>
      <x:c r="N65" s="22" t="n">
        <x:v>491418</x:v>
      </x:c>
      <x:c r="O65" s="22" t="n">
        <x:v>0</x:v>
      </x:c>
      <x:c r="P65" s="22" t="n">
        <x:v>-875000</x:v>
      </x:c>
      <x:c r="Q65" s="23" t="n">
        <x:v>-0.02517986</x:v>
      </x:c>
      <x:c r="R65" s="22" t="str">
        <x:v>pop.event.migration.190_207.southward|pop.event.recovery.196_207.tuntian</x:v>
      </x:c>
      <x:c r="S65" s="22" t="str">
        <x:v>中原人口向荆益江南迁徙|北方屯田与重新编户</x:v>
      </x:c>
      <x:c r="T65" s="22" t="str"/>
      <x:c r="U65" s="22" t="str">
        <x:v>C</x:v>
      </x:c>
      <x:c r="V65" s="22" t="str">
        <x:v>MODELED</x:v>
      </x:c>
      <x:c r="W65" s="22" t="str">
        <x:v>同一连续时间线；模型人口不冒充史籍普查。</x:v>
      </x:c>
    </x:row>
    <x:row r="66">
      <x:c r="A66" s="22" t="n">
        <x:v>199</x:v>
      </x:c>
      <x:c r="B66" s="22" t="n">
        <x:v>198</x:v>
      </x:c>
      <x:c r="C66" s="22" t="str">
        <x:v>NO</x:v>
      </x:c>
      <x:c r="D66" s="22" t="n">
        <x:v>20155625</x:v>
      </x:c>
      <x:c r="E66" s="22" t="n">
        <x:v>19140000</x:v>
      </x:c>
      <x:c r="F66" s="22" t="n">
        <x:v>33875000</x:v>
      </x:c>
      <x:c r="G66" s="22" t="n">
        <x:v>33000000</x:v>
      </x:c>
      <x:c r="H66" s="22" t="n">
        <x:v>911238</x:v>
      </x:c>
      <x:c r="I66" s="22" t="n">
        <x:v>1786238</x:v>
      </x:c>
      <x:c r="J66" s="22" t="n">
        <x:v>0</x:v>
      </x:c>
      <x:c r="K66" s="22" t="n">
        <x:v>0</x:v>
      </x:c>
      <x:c r="L66" s="22" t="n">
        <x:v>0</x:v>
      </x:c>
      <x:c r="M66" s="22" t="n">
        <x:v>0</x:v>
      </x:c>
      <x:c r="N66" s="22" t="n">
        <x:v>478266</x:v>
      </x:c>
      <x:c r="O66" s="22" t="n">
        <x:v>0</x:v>
      </x:c>
      <x:c r="P66" s="22" t="n">
        <x:v>-875000</x:v>
      </x:c>
      <x:c r="Q66" s="23" t="n">
        <x:v>-0.02583026</x:v>
      </x:c>
      <x:c r="R66" s="22" t="str">
        <x:v>pop.event.migration.190_207.southward|pop.event.recovery.196_207.tuntian</x:v>
      </x:c>
      <x:c r="S66" s="22" t="str">
        <x:v>中原人口向荆益江南迁徙|北方屯田与重新编户</x:v>
      </x:c>
      <x:c r="T66" s="22" t="str"/>
      <x:c r="U66" s="22" t="str">
        <x:v>C</x:v>
      </x:c>
      <x:c r="V66" s="22" t="str">
        <x:v>MODELED</x:v>
      </x:c>
      <x:c r="W66" s="22" t="str">
        <x:v>同一连续时间线；模型人口不冒充史籍普查。</x:v>
      </x:c>
    </x:row>
    <x:row r="67">
      <x:c r="A67" s="22" t="n">
        <x:v>200</x:v>
      </x:c>
      <x:c r="B67" s="22" t="n">
        <x:v>199</x:v>
      </x:c>
      <x:c r="C67" s="22" t="str">
        <x:v>YES</x:v>
      </x:c>
      <x:c r="D67" s="22" t="n">
        <x:v>19140000</x:v>
      </x:c>
      <x:c r="E67" s="22" t="n">
        <x:v>18448828</x:v>
      </x:c>
      <x:c r="F67" s="22" t="n">
        <x:v>33000000</x:v>
      </x:c>
      <x:c r="G67" s="22" t="n">
        <x:v>32437500</x:v>
      </x:c>
      <x:c r="H67" s="22" t="n">
        <x:v>891000</x:v>
      </x:c>
      <x:c r="I67" s="22" t="n">
        <x:v>1429337</x:v>
      </x:c>
      <x:c r="J67" s="22" t="n">
        <x:v>24163</x:v>
      </x:c>
      <x:c r="K67" s="22" t="n">
        <x:v>0</x:v>
      </x:c>
      <x:c r="L67" s="22" t="n">
        <x:v>0</x:v>
      </x:c>
      <x:c r="M67" s="22" t="n">
        <x:v>0</x:v>
      </x:c>
      <x:c r="N67" s="22" t="n">
        <x:v>358668</x:v>
      </x:c>
      <x:c r="O67" s="22" t="n">
        <x:v>0</x:v>
      </x:c>
      <x:c r="P67" s="22" t="n">
        <x:v>-562500</x:v>
      </x:c>
      <x:c r="Q67" s="23" t="n">
        <x:v>-0.01704545</x:v>
      </x:c>
      <x:c r="R67" s="22" t="str">
        <x:v>pop.event.migration.190_207.southward|pop.event.recovery.196_207.tuntian|pop.event.war.200.guandu</x:v>
      </x:c>
      <x:c r="S67" s="22" t="str">
        <x:v>中原人口向荆益江南迁徙|北方屯田与重新编户|官渡及河北兼并战争</x:v>
      </x:c>
      <x:c r="T67" s="22" t="str"/>
      <x:c r="U67" s="22" t="str">
        <x:v>B</x:v>
      </x:c>
      <x:c r="V67" s="22" t="str">
        <x:v>MODELED</x:v>
      </x:c>
      <x:c r="W67" s="22" t="str">
        <x:v>同一连续时间线；模型人口不冒充史籍普查。</x:v>
      </x:c>
    </x:row>
    <x:row r="68">
      <x:c r="A68" s="22" t="n">
        <x:v>201</x:v>
      </x:c>
      <x:c r="B68" s="22" t="n">
        <x:v>200</x:v>
      </x:c>
      <x:c r="C68" s="22" t="str">
        <x:v>NO</x:v>
      </x:c>
      <x:c r="D68" s="22" t="n">
        <x:v>18448828</x:v>
      </x:c>
      <x:c r="E68" s="22" t="n">
        <x:v>17770312</x:v>
      </x:c>
      <x:c r="F68" s="22" t="n">
        <x:v>32437500</x:v>
      </x:c>
      <x:c r="G68" s="22" t="n">
        <x:v>31875000</x:v>
      </x:c>
      <x:c r="H68" s="22" t="n">
        <x:v>880678</x:v>
      </x:c>
      <x:c r="I68" s="22" t="n">
        <x:v>1419524</x:v>
      </x:c>
      <x:c r="J68" s="22" t="n">
        <x:v>23654</x:v>
      </x:c>
      <x:c r="K68" s="22" t="n">
        <x:v>0</x:v>
      </x:c>
      <x:c r="L68" s="22" t="n">
        <x:v>0</x:v>
      </x:c>
      <x:c r="M68" s="22" t="n">
        <x:v>0</x:v>
      </x:c>
      <x:c r="N68" s="22" t="n">
        <x:v>352571</x:v>
      </x:c>
      <x:c r="O68" s="22" t="n">
        <x:v>0</x:v>
      </x:c>
      <x:c r="P68" s="22" t="n">
        <x:v>-562500</x:v>
      </x:c>
      <x:c r="Q68" s="23" t="n">
        <x:v>-0.01734104</x:v>
      </x:c>
      <x:c r="R68" s="22" t="str">
        <x:v>pop.event.migration.190_207.southward|pop.event.recovery.196_207.tuntian|pop.event.war.200.guandu</x:v>
      </x:c>
      <x:c r="S68" s="22" t="str">
        <x:v>中原人口向荆益江南迁徙|北方屯田与重新编户|官渡及河北兼并战争</x:v>
      </x:c>
      <x:c r="T68" s="22" t="str"/>
      <x:c r="U68" s="22" t="str">
        <x:v>C</x:v>
      </x:c>
      <x:c r="V68" s="22" t="str">
        <x:v>MODELED</x:v>
      </x:c>
      <x:c r="W68" s="22" t="str">
        <x:v>同一连续时间线；模型人口不冒充史籍普查。</x:v>
      </x:c>
    </x:row>
    <x:row r="69">
      <x:c r="A69" s="22" t="n">
        <x:v>202</x:v>
      </x:c>
      <x:c r="B69" s="22" t="n">
        <x:v>201</x:v>
      </x:c>
      <x:c r="C69" s="22" t="str">
        <x:v>NO</x:v>
      </x:c>
      <x:c r="D69" s="22" t="n">
        <x:v>17770312</x:v>
      </x:c>
      <x:c r="E69" s="22" t="n">
        <x:v>17104453</x:v>
      </x:c>
      <x:c r="F69" s="22" t="n">
        <x:v>31875000</x:v>
      </x:c>
      <x:c r="G69" s="22" t="n">
        <x:v>31312500</x:v>
      </x:c>
      <x:c r="H69" s="22" t="n">
        <x:v>870187</x:v>
      </x:c>
      <x:c r="I69" s="22" t="n">
        <x:v>1409538</x:v>
      </x:c>
      <x:c r="J69" s="22" t="n">
        <x:v>23149</x:v>
      </x:c>
      <x:c r="K69" s="22" t="n">
        <x:v>0</x:v>
      </x:c>
      <x:c r="L69" s="22" t="n">
        <x:v>0</x:v>
      </x:c>
      <x:c r="M69" s="22" t="n">
        <x:v>0</x:v>
      </x:c>
      <x:c r="N69" s="22" t="n">
        <x:v>346476</x:v>
      </x:c>
      <x:c r="O69" s="22" t="n">
        <x:v>0</x:v>
      </x:c>
      <x:c r="P69" s="22" t="n">
        <x:v>-562500</x:v>
      </x:c>
      <x:c r="Q69" s="23" t="n">
        <x:v>-0.01764706</x:v>
      </x:c>
      <x:c r="R69" s="22" t="str">
        <x:v>pop.event.migration.190_207.southward|pop.event.recovery.196_207.tuntian|pop.event.war.200.guandu</x:v>
      </x:c>
      <x:c r="S69" s="22" t="str">
        <x:v>中原人口向荆益江南迁徙|北方屯田与重新编户|官渡及河北兼并战争</x:v>
      </x:c>
      <x:c r="T69" s="22" t="str"/>
      <x:c r="U69" s="22" t="str">
        <x:v>B</x:v>
      </x:c>
      <x:c r="V69" s="22" t="str">
        <x:v>MODELED</x:v>
      </x:c>
      <x:c r="W69" s="22" t="str">
        <x:v>同一连续时间线；模型人口不冒充史籍普查。</x:v>
      </x:c>
    </x:row>
    <x:row r="70">
      <x:c r="A70" s="22" t="n">
        <x:v>203</x:v>
      </x:c>
      <x:c r="B70" s="22" t="n">
        <x:v>202</x:v>
      </x:c>
      <x:c r="C70" s="22" t="str">
        <x:v>NO</x:v>
      </x:c>
      <x:c r="D70" s="22" t="n">
        <x:v>17104453</x:v>
      </x:c>
      <x:c r="E70" s="22" t="n">
        <x:v>16451250</x:v>
      </x:c>
      <x:c r="F70" s="22" t="n">
        <x:v>31312500</x:v>
      </x:c>
      <x:c r="G70" s="22" t="n">
        <x:v>30750000</x:v>
      </x:c>
      <x:c r="H70" s="22" t="n">
        <x:v>859528</x:v>
      </x:c>
      <x:c r="I70" s="22" t="n">
        <x:v>1399381</x:v>
      </x:c>
      <x:c r="J70" s="22" t="n">
        <x:v>22647</x:v>
      </x:c>
      <x:c r="K70" s="22" t="n">
        <x:v>0</x:v>
      </x:c>
      <x:c r="L70" s="22" t="n">
        <x:v>0</x:v>
      </x:c>
      <x:c r="M70" s="22" t="n">
        <x:v>0</x:v>
      </x:c>
      <x:c r="N70" s="22" t="n">
        <x:v>340373</x:v>
      </x:c>
      <x:c r="O70" s="22" t="n">
        <x:v>0</x:v>
      </x:c>
      <x:c r="P70" s="22" t="n">
        <x:v>-562500</x:v>
      </x:c>
      <x:c r="Q70" s="23" t="n">
        <x:v>-0.01796407</x:v>
      </x:c>
      <x:c r="R70" s="22" t="str">
        <x:v>pop.event.migration.190_207.southward|pop.event.recovery.196_207.tuntian|pop.event.war.200.guandu</x:v>
      </x:c>
      <x:c r="S70" s="22" t="str">
        <x:v>中原人口向荆益江南迁徙|北方屯田与重新编户|官渡及河北兼并战争</x:v>
      </x:c>
      <x:c r="T70" s="22" t="str"/>
      <x:c r="U70" s="22" t="str">
        <x:v>C</x:v>
      </x:c>
      <x:c r="V70" s="22" t="str">
        <x:v>MODELED</x:v>
      </x:c>
      <x:c r="W70" s="22" t="str">
        <x:v>同一连续时间线；模型人口不冒充史籍普查。</x:v>
      </x:c>
    </x:row>
    <x:row r="71">
      <x:c r="A71" s="22" t="n">
        <x:v>204</x:v>
      </x:c>
      <x:c r="B71" s="22" t="n">
        <x:v>203</x:v>
      </x:c>
      <x:c r="C71" s="22" t="str">
        <x:v>NO</x:v>
      </x:c>
      <x:c r="D71" s="22" t="n">
        <x:v>16451250</x:v>
      </x:c>
      <x:c r="E71" s="22" t="n">
        <x:v>15810703</x:v>
      </x:c>
      <x:c r="F71" s="22" t="n">
        <x:v>30750000</x:v>
      </x:c>
      <x:c r="G71" s="22" t="n">
        <x:v>30187500</x:v>
      </x:c>
      <x:c r="H71" s="22" t="n">
        <x:v>848700</x:v>
      </x:c>
      <x:c r="I71" s="22" t="n">
        <x:v>1389052</x:v>
      </x:c>
      <x:c r="J71" s="22" t="n">
        <x:v>22148</x:v>
      </x:c>
      <x:c r="K71" s="22" t="n">
        <x:v>0</x:v>
      </x:c>
      <x:c r="L71" s="22" t="n">
        <x:v>0</x:v>
      </x:c>
      <x:c r="M71" s="22" t="n">
        <x:v>0</x:v>
      </x:c>
      <x:c r="N71" s="22" t="n">
        <x:v>334264</x:v>
      </x:c>
      <x:c r="O71" s="22" t="n">
        <x:v>0</x:v>
      </x:c>
      <x:c r="P71" s="22" t="n">
        <x:v>-562500</x:v>
      </x:c>
      <x:c r="Q71" s="23" t="n">
        <x:v>-0.01829268</x:v>
      </x:c>
      <x:c r="R71" s="22" t="str">
        <x:v>pop.event.migration.190_207.southward|pop.event.recovery.196_207.tuntian|pop.event.war.200.guandu</x:v>
      </x:c>
      <x:c r="S71" s="22" t="str">
        <x:v>中原人口向荆益江南迁徙|北方屯田与重新编户|官渡及河北兼并战争</x:v>
      </x:c>
      <x:c r="T71" s="22" t="str"/>
      <x:c r="U71" s="22" t="str">
        <x:v>C</x:v>
      </x:c>
      <x:c r="V71" s="22" t="str">
        <x:v>MODELED</x:v>
      </x:c>
      <x:c r="W71" s="22" t="str">
        <x:v>同一连续时间线；模型人口不冒充史籍普查。</x:v>
      </x:c>
    </x:row>
    <x:row r="72">
      <x:c r="A72" s="22" t="n">
        <x:v>205</x:v>
      </x:c>
      <x:c r="B72" s="22" t="n">
        <x:v>204</x:v>
      </x:c>
      <x:c r="C72" s="22" t="str">
        <x:v>NO</x:v>
      </x:c>
      <x:c r="D72" s="22" t="n">
        <x:v>15810703</x:v>
      </x:c>
      <x:c r="E72" s="22" t="n">
        <x:v>15182812</x:v>
      </x:c>
      <x:c r="F72" s="22" t="n">
        <x:v>30187500</x:v>
      </x:c>
      <x:c r="G72" s="22" t="n">
        <x:v>29625000</x:v>
      </x:c>
      <x:c r="H72" s="22" t="n">
        <x:v>837703</x:v>
      </x:c>
      <x:c r="I72" s="22" t="n">
        <x:v>1378550</x:v>
      </x:c>
      <x:c r="J72" s="22" t="n">
        <x:v>21653</x:v>
      </x:c>
      <x:c r="K72" s="22" t="n">
        <x:v>0</x:v>
      </x:c>
      <x:c r="L72" s="22" t="n">
        <x:v>0</x:v>
      </x:c>
      <x:c r="M72" s="22" t="n">
        <x:v>0</x:v>
      </x:c>
      <x:c r="N72" s="22" t="n">
        <x:v>328150</x:v>
      </x:c>
      <x:c r="O72" s="22" t="n">
        <x:v>0</x:v>
      </x:c>
      <x:c r="P72" s="22" t="n">
        <x:v>-562500</x:v>
      </x:c>
      <x:c r="Q72" s="23" t="n">
        <x:v>-0.01863354</x:v>
      </x:c>
      <x:c r="R72" s="22" t="str">
        <x:v>pop.event.migration.190_207.southward|pop.event.recovery.196_207.tuntian|pop.event.war.200.guandu</x:v>
      </x:c>
      <x:c r="S72" s="22" t="str">
        <x:v>中原人口向荆益江南迁徙|北方屯田与重新编户|官渡及河北兼并战争</x:v>
      </x:c>
      <x:c r="T72" s="22" t="str"/>
      <x:c r="U72" s="22" t="str">
        <x:v>C</x:v>
      </x:c>
      <x:c r="V72" s="22" t="str">
        <x:v>MODELED</x:v>
      </x:c>
      <x:c r="W72" s="22" t="str">
        <x:v>同一连续时间线；模型人口不冒充史籍普查。</x:v>
      </x:c>
    </x:row>
    <x:row r="73">
      <x:c r="A73" s="22" t="n">
        <x:v>206</x:v>
      </x:c>
      <x:c r="B73" s="22" t="n">
        <x:v>205</x:v>
      </x:c>
      <x:c r="C73" s="22" t="str">
        <x:v>NO</x:v>
      </x:c>
      <x:c r="D73" s="22" t="n">
        <x:v>15182812</x:v>
      </x:c>
      <x:c r="E73" s="22" t="n">
        <x:v>14567578</x:v>
      </x:c>
      <x:c r="F73" s="22" t="n">
        <x:v>29625000</x:v>
      </x:c>
      <x:c r="G73" s="22" t="n">
        <x:v>29062500</x:v>
      </x:c>
      <x:c r="H73" s="22" t="n">
        <x:v>826538</x:v>
      </x:c>
      <x:c r="I73" s="22" t="n">
        <x:v>1367877</x:v>
      </x:c>
      <x:c r="J73" s="22" t="n">
        <x:v>21161</x:v>
      </x:c>
      <x:c r="K73" s="22" t="n">
        <x:v>0</x:v>
      </x:c>
      <x:c r="L73" s="22" t="n">
        <x:v>0</x:v>
      </x:c>
      <x:c r="M73" s="22" t="n">
        <x:v>0</x:v>
      </x:c>
      <x:c r="N73" s="22" t="n">
        <x:v>322032</x:v>
      </x:c>
      <x:c r="O73" s="22" t="n">
        <x:v>0</x:v>
      </x:c>
      <x:c r="P73" s="22" t="n">
        <x:v>-562500</x:v>
      </x:c>
      <x:c r="Q73" s="23" t="n">
        <x:v>-0.01898734</x:v>
      </x:c>
      <x:c r="R73" s="22" t="str">
        <x:v>pop.event.migration.190_207.southward|pop.event.recovery.196_207.tuntian|pop.event.war.200.guandu</x:v>
      </x:c>
      <x:c r="S73" s="22" t="str">
        <x:v>中原人口向荆益江南迁徙|北方屯田与重新编户|官渡及河北兼并战争</x:v>
      </x:c>
      <x:c r="T73" s="22" t="str"/>
      <x:c r="U73" s="22" t="str">
        <x:v>C</x:v>
      </x:c>
      <x:c r="V73" s="22" t="str">
        <x:v>MODELED</x:v>
      </x:c>
      <x:c r="W73" s="22" t="str">
        <x:v>同一连续时间线；模型人口不冒充史籍普查。</x:v>
      </x:c>
    </x:row>
    <x:row r="74">
      <x:c r="A74" s="22" t="n">
        <x:v>207</x:v>
      </x:c>
      <x:c r="B74" s="22" t="n">
        <x:v>206</x:v>
      </x:c>
      <x:c r="C74" s="22" t="str">
        <x:v>YES</x:v>
      </x:c>
      <x:c r="D74" s="22" t="n">
        <x:v>14567578</x:v>
      </x:c>
      <x:c r="E74" s="22" t="n">
        <x:v>13965000</x:v>
      </x:c>
      <x:c r="F74" s="22" t="n">
        <x:v>29062500</x:v>
      </x:c>
      <x:c r="G74" s="22" t="n">
        <x:v>28500000</x:v>
      </x:c>
      <x:c r="H74" s="22" t="n">
        <x:v>815203</x:v>
      </x:c>
      <x:c r="I74" s="22" t="n">
        <x:v>1357030</x:v>
      </x:c>
      <x:c r="J74" s="22" t="n">
        <x:v>20673</x:v>
      </x:c>
      <x:c r="K74" s="22" t="n">
        <x:v>0</x:v>
      </x:c>
      <x:c r="L74" s="22" t="n">
        <x:v>0</x:v>
      </x:c>
      <x:c r="M74" s="22" t="n">
        <x:v>0</x:v>
      </x:c>
      <x:c r="N74" s="22" t="n">
        <x:v>317991</x:v>
      </x:c>
      <x:c r="O74" s="22" t="n">
        <x:v>0</x:v>
      </x:c>
      <x:c r="P74" s="22" t="n">
        <x:v>-562500</x:v>
      </x:c>
      <x:c r="Q74" s="23" t="n">
        <x:v>-0.01935484</x:v>
      </x:c>
      <x:c r="R74" s="22" t="str">
        <x:v>pop.event.migration.190_207.southward|pop.event.recovery.196_207.tuntian|pop.event.war.200.guandu</x:v>
      </x:c>
      <x:c r="S74" s="22" t="str">
        <x:v>中原人口向荆益江南迁徙|北方屯田与重新编户|官渡及河北兼并战争</x:v>
      </x:c>
      <x:c r="T74" s="22" t="str"/>
      <x:c r="U74" s="22" t="str">
        <x:v>B</x:v>
      </x:c>
      <x:c r="V74" s="22" t="str">
        <x:v>MODELED</x:v>
      </x:c>
      <x:c r="W74" s="22" t="str">
        <x:v>同一连续时间线；模型人口不冒充史籍普查。</x:v>
      </x:c>
    </x:row>
    <x:row r="75">
      <x:c r="A75" s="22" t="n">
        <x:v>208</x:v>
      </x:c>
      <x:c r="B75" s="22" t="n">
        <x:v>207</x:v>
      </x:c>
      <x:c r="C75" s="22" t="str">
        <x:v>NO</x:v>
      </x:c>
      <x:c r="D75" s="22" t="n">
        <x:v>13965000</x:v>
      </x:c>
      <x:c r="E75" s="22" t="n">
        <x:v>13466667</x:v>
      </x:c>
      <x:c r="F75" s="22" t="n">
        <x:v>28500000</x:v>
      </x:c>
      <x:c r="G75" s="22" t="n">
        <x:v>28055556</x:v>
      </x:c>
      <x:c r="H75" s="22" t="n">
        <x:v>803700</x:v>
      </x:c>
      <x:c r="I75" s="22" t="n">
        <x:v>1248144</x:v>
      </x:c>
      <x:c r="J75" s="22" t="n">
        <x:v>0</x:v>
      </x:c>
      <x:c r="K75" s="22" t="n">
        <x:v>0</x:v>
      </x:c>
      <x:c r="L75" s="22" t="n">
        <x:v>0</x:v>
      </x:c>
      <x:c r="M75" s="22" t="n">
        <x:v>0</x:v>
      </x:c>
      <x:c r="N75" s="22" t="n">
        <x:v>276018</x:v>
      </x:c>
      <x:c r="O75" s="22" t="n">
        <x:v>0</x:v>
      </x:c>
      <x:c r="P75" s="22" t="n">
        <x:v>-444444</x:v>
      </x:c>
      <x:c r="Q75" s="23" t="n">
        <x:v>-0.01559453</x:v>
      </x:c>
      <x:c r="R75" s="22" t="str">
        <x:v>pop.event.migration.208.jingzhou</x:v>
      </x:c>
      <x:c r="S75" s="22" t="str">
        <x:v>赤壁前后荆州人口重分布</x:v>
      </x:c>
      <x:c r="T75" s="22" t="str"/>
      <x:c r="U75" s="22" t="str">
        <x:v>B</x:v>
      </x:c>
      <x:c r="V75" s="22" t="str">
        <x:v>MODELED</x:v>
      </x:c>
      <x:c r="W75" s="22" t="str">
        <x:v>同一连续时间线；模型人口不冒充史籍普查。</x:v>
      </x:c>
    </x:row>
    <x:row r="76">
      <x:c r="A76" s="22" t="n">
        <x:v>209</x:v>
      </x:c>
      <x:c r="B76" s="22" t="n">
        <x:v>208</x:v>
      </x:c>
      <x:c r="C76" s="22" t="str">
        <x:v>NO</x:v>
      </x:c>
      <x:c r="D76" s="22" t="n">
        <x:v>13466667</x:v>
      </x:c>
      <x:c r="E76" s="22" t="n">
        <x:v>12977222</x:v>
      </x:c>
      <x:c r="F76" s="22" t="n">
        <x:v>28055556</x:v>
      </x:c>
      <x:c r="G76" s="22" t="n">
        <x:v>27611111</x:v>
      </x:c>
      <x:c r="H76" s="22" t="n">
        <x:v>795375</x:v>
      </x:c>
      <x:c r="I76" s="22" t="n">
        <x:v>1239820</x:v>
      </x:c>
      <x:c r="J76" s="22" t="n">
        <x:v>0</x:v>
      </x:c>
      <x:c r="K76" s="22" t="n">
        <x:v>0</x:v>
      </x:c>
      <x:c r="L76" s="22" t="n">
        <x:v>0</x:v>
      </x:c>
      <x:c r="M76" s="22" t="n">
        <x:v>0</x:v>
      </x:c>
      <x:c r="N76" s="22" t="n">
        <x:v>271741</x:v>
      </x:c>
      <x:c r="O76" s="22" t="n">
        <x:v>0</x:v>
      </x:c>
      <x:c r="P76" s="22" t="n">
        <x:v>-444445</x:v>
      </x:c>
      <x:c r="Q76" s="23" t="n">
        <x:v>-0.0158416</x:v>
      </x:c>
      <x:c r="R76" s="22" t="str">
        <x:v>pop.event.migration.208.jingzhou</x:v>
      </x:c>
      <x:c r="S76" s="22" t="str">
        <x:v>赤壁前后荆州人口重分布</x:v>
      </x:c>
      <x:c r="T76" s="22" t="str"/>
      <x:c r="U76" s="22" t="str">
        <x:v>C</x:v>
      </x:c>
      <x:c r="V76" s="22" t="str">
        <x:v>MODELED</x:v>
      </x:c>
      <x:c r="W76" s="22" t="str">
        <x:v>同一连续时间线；模型人口不冒充史籍普查。</x:v>
      </x:c>
    </x:row>
    <x:row r="77">
      <x:c r="A77" s="22" t="n">
        <x:v>210</x:v>
      </x:c>
      <x:c r="B77" s="22" t="n">
        <x:v>209</x:v>
      </x:c>
      <x:c r="C77" s="22" t="str">
        <x:v>NO</x:v>
      </x:c>
      <x:c r="D77" s="22" t="n">
        <x:v>12977222</x:v>
      </x:c>
      <x:c r="E77" s="22" t="n">
        <x:v>12496667</x:v>
      </x:c>
      <x:c r="F77" s="22" t="n">
        <x:v>27611111</x:v>
      </x:c>
      <x:c r="G77" s="22" t="n">
        <x:v>27166667</x:v>
      </x:c>
      <x:c r="H77" s="22" t="n">
        <x:v>786917</x:v>
      </x:c>
      <x:c r="I77" s="22" t="n">
        <x:v>1231361</x:v>
      </x:c>
      <x:c r="J77" s="22" t="n">
        <x:v>0</x:v>
      </x:c>
      <x:c r="K77" s="22" t="n">
        <x:v>0</x:v>
      </x:c>
      <x:c r="L77" s="22" t="n">
        <x:v>0</x:v>
      </x:c>
      <x:c r="M77" s="22" t="n">
        <x:v>0</x:v>
      </x:c>
      <x:c r="N77" s="22" t="n">
        <x:v>267725</x:v>
      </x:c>
      <x:c r="O77" s="22" t="n">
        <x:v>0</x:v>
      </x:c>
      <x:c r="P77" s="22" t="n">
        <x:v>-444444</x:v>
      </x:c>
      <x:c r="Q77" s="23" t="n">
        <x:v>-0.01609656</x:v>
      </x:c>
      <x:c r="R77" s="22" t="str">
        <x:v>pop.event.migration.208.jingzhou</x:v>
      </x:c>
      <x:c r="S77" s="22" t="str">
        <x:v>赤壁前后荆州人口重分布</x:v>
      </x:c>
      <x:c r="T77" s="22" t="str"/>
      <x:c r="U77" s="22" t="str">
        <x:v>C</x:v>
      </x:c>
      <x:c r="V77" s="22" t="str">
        <x:v>MODELED</x:v>
      </x:c>
      <x:c r="W77" s="22" t="str">
        <x:v>同一连续时间线；模型人口不冒充史籍普查。</x:v>
      </x:c>
    </x:row>
    <x:row r="78">
      <x:c r="A78" s="22" t="n">
        <x:v>211</x:v>
      </x:c>
      <x:c r="B78" s="22" t="n">
        <x:v>210</x:v>
      </x:c>
      <x:c r="C78" s="22" t="str">
        <x:v>NO</x:v>
      </x:c>
      <x:c r="D78" s="22" t="n">
        <x:v>12496667</x:v>
      </x:c>
      <x:c r="E78" s="22" t="n">
        <x:v>12025000</x:v>
      </x:c>
      <x:c r="F78" s="22" t="n">
        <x:v>27166667</x:v>
      </x:c>
      <x:c r="G78" s="22" t="n">
        <x:v>26722222</x:v>
      </x:c>
      <x:c r="H78" s="22" t="n">
        <x:v>778325</x:v>
      </x:c>
      <x:c r="I78" s="22" t="n">
        <x:v>1201459</x:v>
      </x:c>
      <x:c r="J78" s="22" t="n">
        <x:v>21311</x:v>
      </x:c>
      <x:c r="K78" s="22" t="n">
        <x:v>0</x:v>
      </x:c>
      <x:c r="L78" s="22" t="n">
        <x:v>0</x:v>
      </x:c>
      <x:c r="M78" s="22" t="n">
        <x:v>0</x:v>
      </x:c>
      <x:c r="N78" s="22" t="n">
        <x:v>262450</x:v>
      </x:c>
      <x:c r="O78" s="22" t="n">
        <x:v>0</x:v>
      </x:c>
      <x:c r="P78" s="22" t="n">
        <x:v>-444445</x:v>
      </x:c>
      <x:c r="Q78" s="23" t="n">
        <x:v>-0.01635994</x:v>
      </x:c>
      <x:c r="R78" s="22" t="str">
        <x:v>pop.event.migration.208.jingzhou|pop.event.war.211_219.hanzhong</x:v>
      </x:c>
      <x:c r="S78" s="22" t="str">
        <x:v>赤壁前后荆州人口重分布|关中与汉中战争</x:v>
      </x:c>
      <x:c r="T78" s="22" t="str"/>
      <x:c r="U78" s="22" t="str">
        <x:v>B</x:v>
      </x:c>
      <x:c r="V78" s="22" t="str">
        <x:v>MODELED</x:v>
      </x:c>
      <x:c r="W78" s="22" t="str">
        <x:v>同一连续时间线；模型人口不冒充史籍普查。</x:v>
      </x:c>
    </x:row>
    <x:row r="79">
      <x:c r="A79" s="22" t="n">
        <x:v>212</x:v>
      </x:c>
      <x:c r="B79" s="22" t="n">
        <x:v>211</x:v>
      </x:c>
      <x:c r="C79" s="22" t="str">
        <x:v>NO</x:v>
      </x:c>
      <x:c r="D79" s="22" t="n">
        <x:v>12025000</x:v>
      </x:c>
      <x:c r="E79" s="22" t="n">
        <x:v>11562222</x:v>
      </x:c>
      <x:c r="F79" s="22" t="n">
        <x:v>26722222</x:v>
      </x:c>
      <x:c r="G79" s="22" t="n">
        <x:v>26277778</x:v>
      </x:c>
      <x:c r="H79" s="22" t="n">
        <x:v>769600</x:v>
      </x:c>
      <x:c r="I79" s="22" t="n">
        <x:v>1193020</x:v>
      </x:c>
      <x:c r="J79" s="22" t="n">
        <x:v>21024</x:v>
      </x:c>
      <x:c r="K79" s="22" t="n">
        <x:v>0</x:v>
      </x:c>
      <x:c r="L79" s="22" t="n">
        <x:v>0</x:v>
      </x:c>
      <x:c r="M79" s="22" t="n">
        <x:v>0</x:v>
      </x:c>
      <x:c r="N79" s="22" t="n">
        <x:v>258894</x:v>
      </x:c>
      <x:c r="O79" s="22" t="n">
        <x:v>0</x:v>
      </x:c>
      <x:c r="P79" s="22" t="n">
        <x:v>-444444</x:v>
      </x:c>
      <x:c r="Q79" s="23" t="n">
        <x:v>-0.016632</x:v>
      </x:c>
      <x:c r="R79" s="22" t="str">
        <x:v>pop.event.war.211_219.hanzhong</x:v>
      </x:c>
      <x:c r="S79" s="22" t="str">
        <x:v>关中与汉中战争</x:v>
      </x:c>
      <x:c r="T79" s="22" t="str"/>
      <x:c r="U79" s="22" t="str">
        <x:v>C</x:v>
      </x:c>
      <x:c r="V79" s="22" t="str">
        <x:v>MODELED</x:v>
      </x:c>
      <x:c r="W79" s="22" t="str">
        <x:v>同一连续时间线；模型人口不冒充史籍普查。</x:v>
      </x:c>
    </x:row>
    <x:row r="80">
      <x:c r="A80" s="22" t="n">
        <x:v>213</x:v>
      </x:c>
      <x:c r="B80" s="22" t="n">
        <x:v>212</x:v>
      </x:c>
      <x:c r="C80" s="22" t="str">
        <x:v>NO</x:v>
      </x:c>
      <x:c r="D80" s="22" t="n">
        <x:v>11562222</x:v>
      </x:c>
      <x:c r="E80" s="22" t="n">
        <x:v>11108333</x:v>
      </x:c>
      <x:c r="F80" s="22" t="n">
        <x:v>26277778</x:v>
      </x:c>
      <x:c r="G80" s="22" t="n">
        <x:v>25833333</x:v>
      </x:c>
      <x:c r="H80" s="22" t="n">
        <x:v>760742</x:v>
      </x:c>
      <x:c r="I80" s="22" t="n">
        <x:v>1184478</x:v>
      </x:c>
      <x:c r="J80" s="22" t="n">
        <x:v>20709</x:v>
      </x:c>
      <x:c r="K80" s="22" t="n">
        <x:v>0</x:v>
      </x:c>
      <x:c r="L80" s="22" t="n">
        <x:v>0</x:v>
      </x:c>
      <x:c r="M80" s="22" t="n">
        <x:v>0</x:v>
      </x:c>
      <x:c r="N80" s="22" t="n">
        <x:v>254604</x:v>
      </x:c>
      <x:c r="O80" s="22" t="n">
        <x:v>0</x:v>
      </x:c>
      <x:c r="P80" s="22" t="n">
        <x:v>-444445</x:v>
      </x:c>
      <x:c r="Q80" s="23" t="n">
        <x:v>-0.01691334</x:v>
      </x:c>
      <x:c r="R80" s="22" t="str">
        <x:v>pop.event.war.211_219.hanzhong</x:v>
      </x:c>
      <x:c r="S80" s="22" t="str">
        <x:v>关中与汉中战争</x:v>
      </x:c>
      <x:c r="T80" s="22" t="str"/>
      <x:c r="U80" s="22" t="str">
        <x:v>C</x:v>
      </x:c>
      <x:c r="V80" s="22" t="str">
        <x:v>MODELED</x:v>
      </x:c>
      <x:c r="W80" s="22" t="str">
        <x:v>同一连续时间线；模型人口不冒充史籍普查。</x:v>
      </x:c>
    </x:row>
    <x:row r="81">
      <x:c r="A81" s="22" t="n">
        <x:v>214</x:v>
      </x:c>
      <x:c r="B81" s="22" t="n">
        <x:v>213</x:v>
      </x:c>
      <x:c r="C81" s="22" t="str">
        <x:v>YES</x:v>
      </x:c>
      <x:c r="D81" s="22" t="n">
        <x:v>11108333</x:v>
      </x:c>
      <x:c r="E81" s="22" t="n">
        <x:v>10663333</x:v>
      </x:c>
      <x:c r="F81" s="22" t="n">
        <x:v>25833333</x:v>
      </x:c>
      <x:c r="G81" s="22" t="n">
        <x:v>25388889</x:v>
      </x:c>
      <x:c r="H81" s="22" t="n">
        <x:v>751750</x:v>
      </x:c>
      <x:c r="I81" s="22" t="n">
        <x:v>1175801</x:v>
      </x:c>
      <x:c r="J81" s="22" t="n">
        <x:v>20393</x:v>
      </x:c>
      <x:c r="K81" s="22" t="n">
        <x:v>0</x:v>
      </x:c>
      <x:c r="L81" s="22" t="n">
        <x:v>0</x:v>
      </x:c>
      <x:c r="M81" s="22" t="n">
        <x:v>0</x:v>
      </x:c>
      <x:c r="N81" s="22" t="n">
        <x:v>250309</x:v>
      </x:c>
      <x:c r="O81" s="22" t="n">
        <x:v>0</x:v>
      </x:c>
      <x:c r="P81" s="22" t="n">
        <x:v>-444444</x:v>
      </x:c>
      <x:c r="Q81" s="23" t="n">
        <x:v>-0.01720428</x:v>
      </x:c>
      <x:c r="R81" s="22" t="str">
        <x:v>pop.event.war.211_219.hanzhong</x:v>
      </x:c>
      <x:c r="S81" s="22" t="str">
        <x:v>关中与汉中战争</x:v>
      </x:c>
      <x:c r="T81" s="22" t="str"/>
      <x:c r="U81" s="22" t="str">
        <x:v>B</x:v>
      </x:c>
      <x:c r="V81" s="22" t="str">
        <x:v>MODELED</x:v>
      </x:c>
      <x:c r="W81" s="22" t="str">
        <x:v>同一连续时间线；模型人口不冒充史籍普查。</x:v>
      </x:c>
    </x:row>
    <x:row r="82">
      <x:c r="A82" s="22" t="n">
        <x:v>215</x:v>
      </x:c>
      <x:c r="B82" s="22" t="n">
        <x:v>214</x:v>
      </x:c>
      <x:c r="C82" s="22" t="str">
        <x:v>NO</x:v>
      </x:c>
      <x:c r="D82" s="22" t="n">
        <x:v>10663333</x:v>
      </x:c>
      <x:c r="E82" s="22" t="n">
        <x:v>10227222</x:v>
      </x:c>
      <x:c r="F82" s="22" t="n">
        <x:v>25388889</x:v>
      </x:c>
      <x:c r="G82" s="22" t="n">
        <x:v>24944444</x:v>
      </x:c>
      <x:c r="H82" s="22" t="n">
        <x:v>742625</x:v>
      </x:c>
      <x:c r="I82" s="22" t="n">
        <x:v>1166995</x:v>
      </x:c>
      <x:c r="J82" s="22" t="n">
        <x:v>20075</x:v>
      </x:c>
      <x:c r="K82" s="22" t="n">
        <x:v>0</x:v>
      </x:c>
      <x:c r="L82" s="22" t="n">
        <x:v>0</x:v>
      </x:c>
      <x:c r="M82" s="22" t="n">
        <x:v>0</x:v>
      </x:c>
      <x:c r="N82" s="22" t="n">
        <x:v>246011</x:v>
      </x:c>
      <x:c r="O82" s="22" t="n">
        <x:v>0</x:v>
      </x:c>
      <x:c r="P82" s="22" t="n">
        <x:v>-444445</x:v>
      </x:c>
      <x:c r="Q82" s="23" t="n">
        <x:v>-0.01750549</x:v>
      </x:c>
      <x:c r="R82" s="22" t="str">
        <x:v>pop.event.war.211_219.hanzhong</x:v>
      </x:c>
      <x:c r="S82" s="22" t="str">
        <x:v>关中与汉中战争</x:v>
      </x:c>
      <x:c r="T82" s="22" t="str"/>
      <x:c r="U82" s="22" t="str">
        <x:v>C</x:v>
      </x:c>
      <x:c r="V82" s="22" t="str">
        <x:v>MODELED</x:v>
      </x:c>
      <x:c r="W82" s="22" t="str">
        <x:v>同一连续时间线；模型人口不冒充史籍普查。</x:v>
      </x:c>
    </x:row>
    <x:row r="83">
      <x:c r="A83" s="22" t="n">
        <x:v>216</x:v>
      </x:c>
      <x:c r="B83" s="22" t="n">
        <x:v>215</x:v>
      </x:c>
      <x:c r="C83" s="22" t="str">
        <x:v>NO</x:v>
      </x:c>
      <x:c r="D83" s="22" t="n">
        <x:v>10227222</x:v>
      </x:c>
      <x:c r="E83" s="22" t="n">
        <x:v>9800000</x:v>
      </x:c>
      <x:c r="F83" s="22" t="n">
        <x:v>24944444</x:v>
      </x:c>
      <x:c r="G83" s="22" t="n">
        <x:v>24500000</x:v>
      </x:c>
      <x:c r="H83" s="22" t="n">
        <x:v>733367</x:v>
      </x:c>
      <x:c r="I83" s="22" t="n">
        <x:v>1158054</x:v>
      </x:c>
      <x:c r="J83" s="22" t="n">
        <x:v>19757</x:v>
      </x:c>
      <x:c r="K83" s="22" t="n">
        <x:v>0</x:v>
      </x:c>
      <x:c r="L83" s="22" t="n">
        <x:v>0</x:v>
      </x:c>
      <x:c r="M83" s="22" t="n">
        <x:v>0</x:v>
      </x:c>
      <x:c r="N83" s="22" t="n">
        <x:v>241711</x:v>
      </x:c>
      <x:c r="O83" s="22" t="n">
        <x:v>0</x:v>
      </x:c>
      <x:c r="P83" s="22" t="n">
        <x:v>-444444</x:v>
      </x:c>
      <x:c r="Q83" s="23" t="n">
        <x:v>-0.01781735</x:v>
      </x:c>
      <x:c r="R83" s="22" t="str">
        <x:v>pop.event.war.211_219.hanzhong</x:v>
      </x:c>
      <x:c r="S83" s="22" t="str">
        <x:v>关中与汉中战争</x:v>
      </x:c>
      <x:c r="T83" s="22" t="str"/>
      <x:c r="U83" s="22" t="str">
        <x:v>C</x:v>
      </x:c>
      <x:c r="V83" s="22" t="str">
        <x:v>MODELED</x:v>
      </x:c>
      <x:c r="W83" s="22" t="str">
        <x:v>同一连续时间线；模型人口不冒充史籍普查。</x:v>
      </x:c>
    </x:row>
    <x:row r="84">
      <x:c r="A84" s="22" t="n">
        <x:v>217</x:v>
      </x:c>
      <x:c r="B84" s="22" t="n">
        <x:v>216</x:v>
      </x:c>
      <x:c r="C84" s="22" t="str">
        <x:v>NO</x:v>
      </x:c>
      <x:c r="D84" s="22" t="n">
        <x:v>9800000</x:v>
      </x:c>
      <x:c r="E84" s="22" t="n">
        <x:v>9280000</x:v>
      </x:c>
      <x:c r="F84" s="22" t="n">
        <x:v>24500000</x:v>
      </x:c>
      <x:c r="G84" s="22" t="n">
        <x:v>24000000</x:v>
      </x:c>
      <x:c r="H84" s="22" t="n">
        <x:v>723975</x:v>
      </x:c>
      <x:c r="I84" s="22" t="n">
        <x:v>1204538</x:v>
      </x:c>
      <x:c r="J84" s="22" t="n">
        <x:v>19437</x:v>
      </x:c>
      <x:c r="K84" s="22" t="n">
        <x:v>0</x:v>
      </x:c>
      <x:c r="L84" s="22" t="n">
        <x:v>0</x:v>
      </x:c>
      <x:c r="M84" s="22" t="n">
        <x:v>0</x:v>
      </x:c>
      <x:c r="N84" s="22" t="n">
        <x:v>316863</x:v>
      </x:c>
      <x:c r="O84" s="22" t="n">
        <x:v>0</x:v>
      </x:c>
      <x:c r="P84" s="22" t="n">
        <x:v>-500000</x:v>
      </x:c>
      <x:c r="Q84" s="23" t="n">
        <x:v>-0.02040816</x:v>
      </x:c>
      <x:c r="R84" s="22" t="str">
        <x:v>pop.event.war.211_219.hanzhong</x:v>
      </x:c>
      <x:c r="S84" s="22" t="str">
        <x:v>关中与汉中战争</x:v>
      </x:c>
      <x:c r="T84" s="22" t="str"/>
      <x:c r="U84" s="22" t="str">
        <x:v>B</x:v>
      </x:c>
      <x:c r="V84" s="22" t="str">
        <x:v>MODELED</x:v>
      </x:c>
      <x:c r="W84" s="22" t="str">
        <x:v>同一连续时间线；模型人口不冒充史籍普查。</x:v>
      </x:c>
    </x:row>
    <x:row r="85">
      <x:c r="A85" s="22" t="n">
        <x:v>218</x:v>
      </x:c>
      <x:c r="B85" s="22" t="n">
        <x:v>217</x:v>
      </x:c>
      <x:c r="C85" s="22" t="str">
        <x:v>NO</x:v>
      </x:c>
      <x:c r="D85" s="22" t="n">
        <x:v>9280000</x:v>
      </x:c>
      <x:c r="E85" s="22" t="n">
        <x:v>8773333</x:v>
      </x:c>
      <x:c r="F85" s="22" t="n">
        <x:v>24000000</x:v>
      </x:c>
      <x:c r="G85" s="22" t="n">
        <x:v>23500000</x:v>
      </x:c>
      <x:c r="H85" s="22" t="n">
        <x:v>712800</x:v>
      </x:c>
      <x:c r="I85" s="22" t="n">
        <x:v>1193728</x:v>
      </x:c>
      <x:c r="J85" s="22" t="n">
        <x:v>19072</x:v>
      </x:c>
      <x:c r="K85" s="22" t="n">
        <x:v>0</x:v>
      </x:c>
      <x:c r="L85" s="22" t="n">
        <x:v>0</x:v>
      </x:c>
      <x:c r="M85" s="22" t="n">
        <x:v>0</x:v>
      </x:c>
      <x:c r="N85" s="22" t="n">
        <x:v>310370</x:v>
      </x:c>
      <x:c r="O85" s="22" t="n">
        <x:v>0</x:v>
      </x:c>
      <x:c r="P85" s="22" t="n">
        <x:v>-500000</x:v>
      </x:c>
      <x:c r="Q85" s="23" t="n">
        <x:v>-0.02083333</x:v>
      </x:c>
      <x:c r="R85" s="22" t="str">
        <x:v>pop.event.war.211_219.hanzhong</x:v>
      </x:c>
      <x:c r="S85" s="22" t="str">
        <x:v>关中与汉中战争</x:v>
      </x:c>
      <x:c r="T85" s="22" t="str"/>
      <x:c r="U85" s="22" t="str">
        <x:v>C</x:v>
      </x:c>
      <x:c r="V85" s="22" t="str">
        <x:v>MODELED</x:v>
      </x:c>
      <x:c r="W85" s="22" t="str">
        <x:v>同一连续时间线；模型人口不冒充史籍普查。</x:v>
      </x:c>
    </x:row>
    <x:row r="86">
      <x:c r="A86" s="22" t="n">
        <x:v>219</x:v>
      </x:c>
      <x:c r="B86" s="22" t="n">
        <x:v>218</x:v>
      </x:c>
      <x:c r="C86" s="22" t="str">
        <x:v>YES</x:v>
      </x:c>
      <x:c r="D86" s="22" t="n">
        <x:v>8773333</x:v>
      </x:c>
      <x:c r="E86" s="22" t="n">
        <x:v>8280000</x:v>
      </x:c>
      <x:c r="F86" s="22" t="n">
        <x:v>23500000</x:v>
      </x:c>
      <x:c r="G86" s="22" t="n">
        <x:v>23000000</x:v>
      </x:c>
      <x:c r="H86" s="22" t="n">
        <x:v>701475</x:v>
      </x:c>
      <x:c r="I86" s="22" t="n">
        <x:v>1182769</x:v>
      </x:c>
      <x:c r="J86" s="22" t="n">
        <x:v>18706</x:v>
      </x:c>
      <x:c r="K86" s="22" t="n">
        <x:v>0</x:v>
      </x:c>
      <x:c r="L86" s="22" t="n">
        <x:v>0</x:v>
      </x:c>
      <x:c r="M86" s="22" t="n">
        <x:v>0</x:v>
      </x:c>
      <x:c r="N86" s="22" t="n">
        <x:v>303851</x:v>
      </x:c>
      <x:c r="O86" s="22" t="n">
        <x:v>0</x:v>
      </x:c>
      <x:c r="P86" s="22" t="n">
        <x:v>-500000</x:v>
      </x:c>
      <x:c r="Q86" s="23" t="n">
        <x:v>-0.0212766</x:v>
      </x:c>
      <x:c r="R86" s="22" t="str">
        <x:v>pop.event.war.211_219.hanzhong</x:v>
      </x:c>
      <x:c r="S86" s="22" t="str">
        <x:v>关中与汉中战争</x:v>
      </x:c>
      <x:c r="T86" s="22" t="str"/>
      <x:c r="U86" s="22" t="str">
        <x:v>B</x:v>
      </x:c>
      <x:c r="V86" s="22" t="str">
        <x:v>MODELED</x:v>
      </x:c>
      <x:c r="W86" s="22" t="str">
        <x:v>同一连续时间线；模型人口不冒充史籍普查。</x:v>
      </x:c>
    </x:row>
    <x:row r="87">
      <x:c r="A87" s="22" t="n">
        <x:v>220</x:v>
      </x:c>
      <x:c r="B87" s="22" t="n">
        <x:v>219</x:v>
      </x:c>
      <x:c r="C87" s="22" t="str">
        <x:v>NO</x:v>
      </x:c>
      <x:c r="D87" s="22" t="n">
        <x:v>8280000</x:v>
      </x:c>
      <x:c r="E87" s="22" t="n">
        <x:v>8380300</x:v>
      </x:c>
      <x:c r="F87" s="22" t="n">
        <x:v>23000000</x:v>
      </x:c>
      <x:c r="G87" s="22" t="n">
        <x:v>23150000</x:v>
      </x:c>
      <x:c r="H87" s="22" t="n">
        <x:v>690000</x:v>
      </x:c>
      <x:c r="I87" s="22" t="n">
        <x:v>540000</x:v>
      </x:c>
      <x:c r="J87" s="22" t="n">
        <x:v>0</x:v>
      </x:c>
      <x:c r="K87" s="22" t="n">
        <x:v>0</x:v>
      </x:c>
      <x:c r="L87" s="22" t="n">
        <x:v>0</x:v>
      </x:c>
      <x:c r="M87" s="22" t="n">
        <x:v>0</x:v>
      </x:c>
      <x:c r="N87" s="22" t="n">
        <x:v>0</x:v>
      </x:c>
      <x:c r="O87" s="22" t="n">
        <x:v>46141</x:v>
      </x:c>
      <x:c r="P87" s="22" t="n">
        <x:v>150000</x:v>
      </x:c>
      <x:c r="Q87" s="23" t="n">
        <x:v>0.00652174</x:v>
      </x:c>
      <x:c r="R87" s="22" t="str">
        <x:v>pop.event.recovery.220_260.wei|pop.event.recovery.220_260.wu|pop.event.recovery.220_260.shu</x:v>
      </x:c>
      <x:c r="S87" s="22" t="str">
        <x:v>曹魏北方屯田、恢复与编户|孙吴江南开发与山越整合|蜀汉益州稳定与南中整合</x:v>
      </x:c>
      <x:c r="T87" s="22" t="str"/>
      <x:c r="U87" s="22" t="str">
        <x:v>B</x:v>
      </x:c>
      <x:c r="V87" s="22" t="str">
        <x:v>MODELED</x:v>
      </x:c>
      <x:c r="W87" s="22" t="str">
        <x:v>同一连续时间线；模型人口不冒充史籍普查。</x:v>
      </x:c>
    </x:row>
    <x:row r="88">
      <x:c r="A88" s="22" t="n">
        <x:v>221</x:v>
      </x:c>
      <x:c r="B88" s="22" t="n">
        <x:v>220</x:v>
      </x:c>
      <x:c r="C88" s="22" t="str">
        <x:v>NO</x:v>
      </x:c>
      <x:c r="D88" s="22" t="n">
        <x:v>8380300</x:v>
      </x:c>
      <x:c r="E88" s="22" t="n">
        <x:v>8481200</x:v>
      </x:c>
      <x:c r="F88" s="22" t="n">
        <x:v>23150000</x:v>
      </x:c>
      <x:c r="G88" s="22" t="n">
        <x:v>23300000</x:v>
      </x:c>
      <x:c r="H88" s="22" t="n">
        <x:v>697972</x:v>
      </x:c>
      <x:c r="I88" s="22" t="n">
        <x:v>547972</x:v>
      </x:c>
      <x:c r="J88" s="22" t="n">
        <x:v>0</x:v>
      </x:c>
      <x:c r="K88" s="22" t="n">
        <x:v>0</x:v>
      </x:c>
      <x:c r="L88" s="22" t="n">
        <x:v>0</x:v>
      </x:c>
      <x:c r="M88" s="22" t="n">
        <x:v>0</x:v>
      </x:c>
      <x:c r="N88" s="22" t="n">
        <x:v>0</x:v>
      </x:c>
      <x:c r="O88" s="22" t="n">
        <x:v>46434</x:v>
      </x:c>
      <x:c r="P88" s="22" t="n">
        <x:v>150000</x:v>
      </x:c>
      <x:c r="Q88" s="23" t="n">
        <x:v>0.00647948</x:v>
      </x:c>
      <x:c r="R88" s="22" t="str">
        <x:v>pop.event.recovery.220_260.wei|pop.event.recovery.220_260.wu|pop.event.recovery.220_260.shu</x:v>
      </x:c>
      <x:c r="S88" s="22" t="str">
        <x:v>曹魏北方屯田、恢复与编户|孙吴江南开发与山越整合|蜀汉益州稳定与南中整合</x:v>
      </x:c>
      <x:c r="T88" s="22" t="str"/>
      <x:c r="U88" s="22" t="str">
        <x:v>B</x:v>
      </x:c>
      <x:c r="V88" s="22" t="str">
        <x:v>MODELED</x:v>
      </x:c>
      <x:c r="W88" s="22" t="str">
        <x:v>同一连续时间线；模型人口不冒充史籍普查。</x:v>
      </x:c>
    </x:row>
    <x:row r="89">
      <x:c r="A89" s="22" t="n">
        <x:v>222</x:v>
      </x:c>
      <x:c r="B89" s="22" t="n">
        <x:v>221</x:v>
      </x:c>
      <x:c r="C89" s="22" t="str">
        <x:v>NO</x:v>
      </x:c>
      <x:c r="D89" s="22" t="n">
        <x:v>8481200</x:v>
      </x:c>
      <x:c r="E89" s="22" t="n">
        <x:v>8582700</x:v>
      </x:c>
      <x:c r="F89" s="22" t="n">
        <x:v>23300000</x:v>
      </x:c>
      <x:c r="G89" s="22" t="n">
        <x:v>23450000</x:v>
      </x:c>
      <x:c r="H89" s="22" t="n">
        <x:v>705990</x:v>
      </x:c>
      <x:c r="I89" s="22" t="n">
        <x:v>555990</x:v>
      </x:c>
      <x:c r="J89" s="22" t="n">
        <x:v>0</x:v>
      </x:c>
      <x:c r="K89" s="22" t="n">
        <x:v>0</x:v>
      </x:c>
      <x:c r="L89" s="22" t="n">
        <x:v>0</x:v>
      </x:c>
      <x:c r="M89" s="22" t="n">
        <x:v>0</x:v>
      </x:c>
      <x:c r="N89" s="22" t="n">
        <x:v>0</x:v>
      </x:c>
      <x:c r="O89" s="22" t="n">
        <x:v>46733</x:v>
      </x:c>
      <x:c r="P89" s="22" t="n">
        <x:v>150000</x:v>
      </x:c>
      <x:c r="Q89" s="23" t="n">
        <x:v>0.00643777</x:v>
      </x:c>
      <x:c r="R89" s="22" t="str">
        <x:v>pop.event.recovery.220_260.wei|pop.event.recovery.220_260.wu|pop.event.recovery.220_260.shu</x:v>
      </x:c>
      <x:c r="S89" s="22" t="str">
        <x:v>曹魏北方屯田、恢复与编户|孙吴江南开发与山越整合|蜀汉益州稳定与南中整合</x:v>
      </x:c>
      <x:c r="T89" s="22" t="str"/>
      <x:c r="U89" s="22" t="str">
        <x:v>C</x:v>
      </x:c>
      <x:c r="V89" s="22" t="str">
        <x:v>MODELED</x:v>
      </x:c>
      <x:c r="W89" s="22" t="str">
        <x:v>同一连续时间线；模型人口不冒充史籍普查。</x:v>
      </x:c>
    </x:row>
    <x:row r="90">
      <x:c r="A90" s="22" t="n">
        <x:v>223</x:v>
      </x:c>
      <x:c r="B90" s="22" t="n">
        <x:v>222</x:v>
      </x:c>
      <x:c r="C90" s="22" t="str">
        <x:v>YES</x:v>
      </x:c>
      <x:c r="D90" s="22" t="n">
        <x:v>8582700</x:v>
      </x:c>
      <x:c r="E90" s="22" t="n">
        <x:v>8684800</x:v>
      </x:c>
      <x:c r="F90" s="22" t="n">
        <x:v>23450000</x:v>
      </x:c>
      <x:c r="G90" s="22" t="n">
        <x:v>23600000</x:v>
      </x:c>
      <x:c r="H90" s="22" t="n">
        <x:v>714052</x:v>
      </x:c>
      <x:c r="I90" s="22" t="n">
        <x:v>564052</x:v>
      </x:c>
      <x:c r="J90" s="22" t="n">
        <x:v>0</x:v>
      </x:c>
      <x:c r="K90" s="22" t="n">
        <x:v>0</x:v>
      </x:c>
      <x:c r="L90" s="22" t="n">
        <x:v>0</x:v>
      </x:c>
      <x:c r="M90" s="22" t="n">
        <x:v>0</x:v>
      </x:c>
      <x:c r="N90" s="22" t="n">
        <x:v>0</x:v>
      </x:c>
      <x:c r="O90" s="22" t="n">
        <x:v>47037</x:v>
      </x:c>
      <x:c r="P90" s="22" t="n">
        <x:v>150000</x:v>
      </x:c>
      <x:c r="Q90" s="23" t="n">
        <x:v>0.00639659</x:v>
      </x:c>
      <x:c r="R90" s="22" t="str">
        <x:v>pop.event.recovery.220_260.wei|pop.event.recovery.220_260.wu|pop.event.recovery.220_260.shu</x:v>
      </x:c>
      <x:c r="S90" s="22" t="str">
        <x:v>曹魏北方屯田、恢复与编户|孙吴江南开发与山越整合|蜀汉益州稳定与南中整合</x:v>
      </x:c>
      <x:c r="T90" s="22" t="str"/>
      <x:c r="U90" s="22" t="str">
        <x:v>B</x:v>
      </x:c>
      <x:c r="V90" s="22" t="str">
        <x:v>MODELED</x:v>
      </x:c>
      <x:c r="W90" s="22" t="str">
        <x:v>同一连续时间线；模型人口不冒充史籍普查。</x:v>
      </x:c>
    </x:row>
    <x:row r="91">
      <x:c r="A91" s="22" t="n">
        <x:v>224</x:v>
      </x:c>
      <x:c r="B91" s="22" t="n">
        <x:v>223</x:v>
      </x:c>
      <x:c r="C91" s="22" t="str">
        <x:v>NO</x:v>
      </x:c>
      <x:c r="D91" s="22" t="n">
        <x:v>8684800</x:v>
      </x:c>
      <x:c r="E91" s="22" t="n">
        <x:v>8787500</x:v>
      </x:c>
      <x:c r="F91" s="22" t="n">
        <x:v>23600000</x:v>
      </x:c>
      <x:c r="G91" s="22" t="n">
        <x:v>23750000</x:v>
      </x:c>
      <x:c r="H91" s="22" t="n">
        <x:v>722160</x:v>
      </x:c>
      <x:c r="I91" s="22" t="n">
        <x:v>572160</x:v>
      </x:c>
      <x:c r="J91" s="22" t="n">
        <x:v>0</x:v>
      </x:c>
      <x:c r="K91" s="22" t="n">
        <x:v>0</x:v>
      </x:c>
      <x:c r="L91" s="22" t="n">
        <x:v>0</x:v>
      </x:c>
      <x:c r="M91" s="22" t="n">
        <x:v>0</x:v>
      </x:c>
      <x:c r="N91" s="22" t="n">
        <x:v>0</x:v>
      </x:c>
      <x:c r="O91" s="22" t="n">
        <x:v>47333</x:v>
      </x:c>
      <x:c r="P91" s="22" t="n">
        <x:v>150000</x:v>
      </x:c>
      <x:c r="Q91" s="23" t="n">
        <x:v>0.00635593</x:v>
      </x:c>
      <x:c r="R91" s="22" t="str">
        <x:v>pop.event.recovery.220_260.wei|pop.event.recovery.220_260.wu|pop.event.recovery.220_260.shu</x:v>
      </x:c>
      <x:c r="S91" s="22" t="str">
        <x:v>曹魏北方屯田、恢复与编户|孙吴江南开发与山越整合|蜀汉益州稳定与南中整合</x:v>
      </x:c>
      <x:c r="T91" s="22" t="str"/>
      <x:c r="U91" s="22" t="str">
        <x:v>C</x:v>
      </x:c>
      <x:c r="V91" s="22" t="str">
        <x:v>MODELED</x:v>
      </x:c>
      <x:c r="W91" s="22" t="str">
        <x:v>同一连续时间线；模型人口不冒充史籍普查。</x:v>
      </x:c>
    </x:row>
    <x:row r="92">
      <x:c r="A92" s="22" t="n">
        <x:v>225</x:v>
      </x:c>
      <x:c r="B92" s="22" t="n">
        <x:v>224</x:v>
      </x:c>
      <x:c r="C92" s="22" t="str">
        <x:v>NO</x:v>
      </x:c>
      <x:c r="D92" s="22" t="n">
        <x:v>8787500</x:v>
      </x:c>
      <x:c r="E92" s="22" t="n">
        <x:v>8890800</x:v>
      </x:c>
      <x:c r="F92" s="22" t="n">
        <x:v>23750000</x:v>
      </x:c>
      <x:c r="G92" s="22" t="n">
        <x:v>23900000</x:v>
      </x:c>
      <x:c r="H92" s="22" t="n">
        <x:v>730312</x:v>
      </x:c>
      <x:c r="I92" s="22" t="n">
        <x:v>580312</x:v>
      </x:c>
      <x:c r="J92" s="22" t="n">
        <x:v>0</x:v>
      </x:c>
      <x:c r="K92" s="22" t="n">
        <x:v>0</x:v>
      </x:c>
      <x:c r="L92" s="22" t="n">
        <x:v>0</x:v>
      </x:c>
      <x:c r="M92" s="22" t="n">
        <x:v>0</x:v>
      </x:c>
      <x:c r="N92" s="22" t="n">
        <x:v>0</x:v>
      </x:c>
      <x:c r="O92" s="22" t="n">
        <x:v>47642</x:v>
      </x:c>
      <x:c r="P92" s="22" t="n">
        <x:v>150000</x:v>
      </x:c>
      <x:c r="Q92" s="23" t="n">
        <x:v>0.00631579</x:v>
      </x:c>
      <x:c r="R92" s="22" t="str">
        <x:v>pop.event.recovery.220_260.wei|pop.event.recovery.220_260.wu|pop.event.recovery.220_260.shu</x:v>
      </x:c>
      <x:c r="S92" s="22" t="str">
        <x:v>曹魏北方屯田、恢复与编户|孙吴江南开发与山越整合|蜀汉益州稳定与南中整合</x:v>
      </x:c>
      <x:c r="T92" s="22" t="str"/>
      <x:c r="U92" s="22" t="str">
        <x:v>C</x:v>
      </x:c>
      <x:c r="V92" s="22" t="str">
        <x:v>MODELED</x:v>
      </x:c>
      <x:c r="W92" s="22" t="str">
        <x:v>同一连续时间线；模型人口不冒充史籍普查。</x:v>
      </x:c>
    </x:row>
    <x:row r="93">
      <x:c r="A93" s="22" t="n">
        <x:v>226</x:v>
      </x:c>
      <x:c r="B93" s="22" t="n">
        <x:v>225</x:v>
      </x:c>
      <x:c r="C93" s="22" t="str">
        <x:v>NO</x:v>
      </x:c>
      <x:c r="D93" s="22" t="n">
        <x:v>8890800</x:v>
      </x:c>
      <x:c r="E93" s="22" t="n">
        <x:v>8994700</x:v>
      </x:c>
      <x:c r="F93" s="22" t="n">
        <x:v>23900000</x:v>
      </x:c>
      <x:c r="G93" s="22" t="n">
        <x:v>24050000</x:v>
      </x:c>
      <x:c r="H93" s="22" t="n">
        <x:v>738510</x:v>
      </x:c>
      <x:c r="I93" s="22" t="n">
        <x:v>588510</x:v>
      </x:c>
      <x:c r="J93" s="22" t="n">
        <x:v>0</x:v>
      </x:c>
      <x:c r="K93" s="22" t="n">
        <x:v>0</x:v>
      </x:c>
      <x:c r="L93" s="22" t="n">
        <x:v>0</x:v>
      </x:c>
      <x:c r="M93" s="22" t="n">
        <x:v>0</x:v>
      </x:c>
      <x:c r="N93" s="22" t="n">
        <x:v>0</x:v>
      </x:c>
      <x:c r="O93" s="22" t="n">
        <x:v>47934</x:v>
      </x:c>
      <x:c r="P93" s="22" t="n">
        <x:v>150000</x:v>
      </x:c>
      <x:c r="Q93" s="23" t="n">
        <x:v>0.00627615</x:v>
      </x:c>
      <x:c r="R93" s="22" t="str">
        <x:v>pop.event.recovery.220_260.wei|pop.event.recovery.220_260.wu|pop.event.recovery.220_260.shu</x:v>
      </x:c>
      <x:c r="S93" s="22" t="str">
        <x:v>曹魏北方屯田、恢复与编户|孙吴江南开发与山越整合|蜀汉益州稳定与南中整合</x:v>
      </x:c>
      <x:c r="T93" s="22" t="str"/>
      <x:c r="U93" s="22" t="str">
        <x:v>C</x:v>
      </x:c>
      <x:c r="V93" s="22" t="str">
        <x:v>MODELED</x:v>
      </x:c>
      <x:c r="W93" s="22" t="str">
        <x:v>同一连续时间线；模型人口不冒充史籍普查。</x:v>
      </x:c>
    </x:row>
    <x:row r="94">
      <x:c r="A94" s="22" t="n">
        <x:v>227</x:v>
      </x:c>
      <x:c r="B94" s="22" t="n">
        <x:v>226</x:v>
      </x:c>
      <x:c r="C94" s="22" t="str">
        <x:v>YES</x:v>
      </x:c>
      <x:c r="D94" s="22" t="n">
        <x:v>8994700</x:v>
      </x:c>
      <x:c r="E94" s="22" t="n">
        <x:v>9099200</x:v>
      </x:c>
      <x:c r="F94" s="22" t="n">
        <x:v>24050000</x:v>
      </x:c>
      <x:c r="G94" s="22" t="n">
        <x:v>24200000</x:v>
      </x:c>
      <x:c r="H94" s="22" t="n">
        <x:v>746752</x:v>
      </x:c>
      <x:c r="I94" s="22" t="n">
        <x:v>596752</x:v>
      </x:c>
      <x:c r="J94" s="22" t="n">
        <x:v>0</x:v>
      </x:c>
      <x:c r="K94" s="22" t="n">
        <x:v>0</x:v>
      </x:c>
      <x:c r="L94" s="22" t="n">
        <x:v>0</x:v>
      </x:c>
      <x:c r="M94" s="22" t="n">
        <x:v>0</x:v>
      </x:c>
      <x:c r="N94" s="22" t="n">
        <x:v>0</x:v>
      </x:c>
      <x:c r="O94" s="22" t="n">
        <x:v>48234</x:v>
      </x:c>
      <x:c r="P94" s="22" t="n">
        <x:v>150000</x:v>
      </x:c>
      <x:c r="Q94" s="23" t="n">
        <x:v>0.00623701</x:v>
      </x:c>
      <x:c r="R94" s="22" t="str">
        <x:v>pop.event.recovery.220_260.wei|pop.event.recovery.220_260.wu|pop.event.recovery.220_260.shu</x:v>
      </x:c>
      <x:c r="S94" s="22" t="str">
        <x:v>曹魏北方屯田、恢复与编户|孙吴江南开发与山越整合|蜀汉益州稳定与南中整合</x:v>
      </x:c>
      <x:c r="T94" s="22" t="str"/>
      <x:c r="U94" s="22" t="str">
        <x:v>B</x:v>
      </x:c>
      <x:c r="V94" s="22" t="str">
        <x:v>MODELED</x:v>
      </x:c>
      <x:c r="W94" s="22" t="str">
        <x:v>同一连续时间线；模型人口不冒充史籍普查。</x:v>
      </x:c>
    </x:row>
    <x:row r="95">
      <x:c r="A95" s="22" t="n">
        <x:v>228</x:v>
      </x:c>
      <x:c r="B95" s="22" t="n">
        <x:v>227</x:v>
      </x:c>
      <x:c r="C95" s="22" t="str">
        <x:v>NO</x:v>
      </x:c>
      <x:c r="D95" s="22" t="n">
        <x:v>9099200</x:v>
      </x:c>
      <x:c r="E95" s="22" t="n">
        <x:v>9204300</x:v>
      </x:c>
      <x:c r="F95" s="22" t="n">
        <x:v>24200000</x:v>
      </x:c>
      <x:c r="G95" s="22" t="n">
        <x:v>24350000</x:v>
      </x:c>
      <x:c r="H95" s="22" t="n">
        <x:v>755040</x:v>
      </x:c>
      <x:c r="I95" s="22" t="n">
        <x:v>605040</x:v>
      </x:c>
      <x:c r="J95" s="22" t="n">
        <x:v>0</x:v>
      </x:c>
      <x:c r="K95" s="22" t="n">
        <x:v>0</x:v>
      </x:c>
      <x:c r="L95" s="22" t="n">
        <x:v>0</x:v>
      </x:c>
      <x:c r="M95" s="22" t="n">
        <x:v>0</x:v>
      </x:c>
      <x:c r="N95" s="22" t="n">
        <x:v>0</x:v>
      </x:c>
      <x:c r="O95" s="22" t="n">
        <x:v>48538</x:v>
      </x:c>
      <x:c r="P95" s="22" t="n">
        <x:v>150000</x:v>
      </x:c>
      <x:c r="Q95" s="23" t="n">
        <x:v>0.00619835</x:v>
      </x:c>
      <x:c r="R95" s="22" t="str">
        <x:v>pop.event.recovery.220_260.wei|pop.event.recovery.220_260.wu|pop.event.recovery.220_260.shu</x:v>
      </x:c>
      <x:c r="S95" s="22" t="str">
        <x:v>曹魏北方屯田、恢复与编户|孙吴江南开发与山越整合|蜀汉益州稳定与南中整合</x:v>
      </x:c>
      <x:c r="T95" s="22" t="str"/>
      <x:c r="U95" s="22" t="str">
        <x:v>B</x:v>
      </x:c>
      <x:c r="V95" s="22" t="str">
        <x:v>MODELED</x:v>
      </x:c>
      <x:c r="W95" s="22" t="str">
        <x:v>同一连续时间线；模型人口不冒充史籍普查。</x:v>
      </x:c>
    </x:row>
    <x:row r="96">
      <x:c r="A96" s="22" t="n">
        <x:v>229</x:v>
      </x:c>
      <x:c r="B96" s="22" t="n">
        <x:v>228</x:v>
      </x:c>
      <x:c r="C96" s="22" t="str">
        <x:v>NO</x:v>
      </x:c>
      <x:c r="D96" s="22" t="n">
        <x:v>9204300</x:v>
      </x:c>
      <x:c r="E96" s="22" t="n">
        <x:v>9310000</x:v>
      </x:c>
      <x:c r="F96" s="22" t="n">
        <x:v>24350000</x:v>
      </x:c>
      <x:c r="G96" s="22" t="n">
        <x:v>24500000</x:v>
      </x:c>
      <x:c r="H96" s="22" t="n">
        <x:v>763373</x:v>
      </x:c>
      <x:c r="I96" s="22" t="n">
        <x:v>613373</x:v>
      </x:c>
      <x:c r="J96" s="22" t="n">
        <x:v>0</x:v>
      </x:c>
      <x:c r="K96" s="22" t="n">
        <x:v>0</x:v>
      </x:c>
      <x:c r="L96" s="22" t="n">
        <x:v>0</x:v>
      </x:c>
      <x:c r="M96" s="22" t="n">
        <x:v>0</x:v>
      </x:c>
      <x:c r="N96" s="22" t="n">
        <x:v>0</x:v>
      </x:c>
      <x:c r="O96" s="22" t="n">
        <x:v>48831</x:v>
      </x:c>
      <x:c r="P96" s="22" t="n">
        <x:v>150000</x:v>
      </x:c>
      <x:c r="Q96" s="23" t="n">
        <x:v>0.00616016</x:v>
      </x:c>
      <x:c r="R96" s="22" t="str">
        <x:v>pop.event.recovery.220_260.wei|pop.event.recovery.220_260.wu|pop.event.recovery.220_260.shu</x:v>
      </x:c>
      <x:c r="S96" s="22" t="str">
        <x:v>曹魏北方屯田、恢复与编户|孙吴江南开发与山越整合|蜀汉益州稳定与南中整合</x:v>
      </x:c>
      <x:c r="T96" s="22" t="str"/>
      <x:c r="U96" s="22" t="str">
        <x:v>B</x:v>
      </x:c>
      <x:c r="V96" s="22" t="str">
        <x:v>MODELED</x:v>
      </x:c>
      <x:c r="W96" s="22" t="str">
        <x:v>同一连续时间线；模型人口不冒充史籍普查。</x:v>
      </x:c>
    </x:row>
    <x:row r="97">
      <x:c r="A97" s="22" t="n">
        <x:v>230</x:v>
      </x:c>
      <x:c r="B97" s="22" t="n">
        <x:v>229</x:v>
      </x:c>
      <x:c r="C97" s="22" t="str">
        <x:v>NO</x:v>
      </x:c>
      <x:c r="D97" s="22" t="n">
        <x:v>9310000</x:v>
      </x:c>
      <x:c r="E97" s="22" t="n">
        <x:v>9460100</x:v>
      </x:c>
      <x:c r="F97" s="22" t="n">
        <x:v>24500000</x:v>
      </x:c>
      <x:c r="G97" s="22" t="n">
        <x:v>24700000</x:v>
      </x:c>
      <x:c r="H97" s="22" t="n">
        <x:v>771750</x:v>
      </x:c>
      <x:c r="I97" s="22" t="n">
        <x:v>571750</x:v>
      </x:c>
      <x:c r="J97" s="22" t="n">
        <x:v>0</x:v>
      </x:c>
      <x:c r="K97" s="22" t="n">
        <x:v>0</x:v>
      </x:c>
      <x:c r="L97" s="22" t="n">
        <x:v>0</x:v>
      </x:c>
      <x:c r="M97" s="22" t="n">
        <x:v>0</x:v>
      </x:c>
      <x:c r="N97" s="22" t="n">
        <x:v>0</x:v>
      </x:c>
      <x:c r="O97" s="22" t="n">
        <x:v>73934</x:v>
      </x:c>
      <x:c r="P97" s="22" t="n">
        <x:v>200000</x:v>
      </x:c>
      <x:c r="Q97" s="23" t="n">
        <x:v>0.00816327</x:v>
      </x:c>
      <x:c r="R97" s="22" t="str">
        <x:v>pop.event.recovery.220_260.wei|pop.event.recovery.220_260.wu|pop.event.recovery.220_260.shu</x:v>
      </x:c>
      <x:c r="S97" s="22" t="str">
        <x:v>曹魏北方屯田、恢复与编户|孙吴江南开发与山越整合|蜀汉益州稳定与南中整合</x:v>
      </x:c>
      <x:c r="T97" s="22" t="str"/>
      <x:c r="U97" s="22" t="str">
        <x:v>C</x:v>
      </x:c>
      <x:c r="V97" s="22" t="str">
        <x:v>MODELED</x:v>
      </x:c>
      <x:c r="W97" s="22" t="str">
        <x:v>同一连续时间线；模型人口不冒充史籍普查。</x:v>
      </x:c>
    </x:row>
    <x:row r="98">
      <x:c r="A98" s="22" t="n">
        <x:v>231</x:v>
      </x:c>
      <x:c r="B98" s="22" t="n">
        <x:v>230</x:v>
      </x:c>
      <x:c r="C98" s="22" t="str">
        <x:v>NO</x:v>
      </x:c>
      <x:c r="D98" s="22" t="n">
        <x:v>9460100</x:v>
      </x:c>
      <x:c r="E98" s="22" t="n">
        <x:v>9611400</x:v>
      </x:c>
      <x:c r="F98" s="22" t="n">
        <x:v>24700000</x:v>
      </x:c>
      <x:c r="G98" s="22" t="n">
        <x:v>24900000</x:v>
      </x:c>
      <x:c r="H98" s="22" t="n">
        <x:v>781755</x:v>
      </x:c>
      <x:c r="I98" s="22" t="n">
        <x:v>581755</x:v>
      </x:c>
      <x:c r="J98" s="22" t="n">
        <x:v>0</x:v>
      </x:c>
      <x:c r="K98" s="22" t="n">
        <x:v>0</x:v>
      </x:c>
      <x:c r="L98" s="22" t="n">
        <x:v>0</x:v>
      </x:c>
      <x:c r="M98" s="22" t="n">
        <x:v>0</x:v>
      </x:c>
      <x:c r="N98" s="22" t="n">
        <x:v>0</x:v>
      </x:c>
      <x:c r="O98" s="22" t="n">
        <x:v>74533</x:v>
      </x:c>
      <x:c r="P98" s="22" t="n">
        <x:v>200000</x:v>
      </x:c>
      <x:c r="Q98" s="23" t="n">
        <x:v>0.00809717</x:v>
      </x:c>
      <x:c r="R98" s="22" t="str">
        <x:v>pop.event.recovery.220_260.wei|pop.event.recovery.220_260.wu|pop.event.recovery.220_260.shu</x:v>
      </x:c>
      <x:c r="S98" s="22" t="str">
        <x:v>曹魏北方屯田、恢复与编户|孙吴江南开发与山越整合|蜀汉益州稳定与南中整合</x:v>
      </x:c>
      <x:c r="T98" s="22" t="str"/>
      <x:c r="U98" s="22" t="str">
        <x:v>C</x:v>
      </x:c>
      <x:c r="V98" s="22" t="str">
        <x:v>MODELED</x:v>
      </x:c>
      <x:c r="W98" s="22" t="str">
        <x:v>同一连续时间线；模型人口不冒充史籍普查。</x:v>
      </x:c>
    </x:row>
    <x:row r="99">
      <x:c r="A99" s="22" t="n">
        <x:v>232</x:v>
      </x:c>
      <x:c r="B99" s="22" t="n">
        <x:v>231</x:v>
      </x:c>
      <x:c r="C99" s="22" t="str">
        <x:v>NO</x:v>
      </x:c>
      <x:c r="D99" s="22" t="n">
        <x:v>9611400</x:v>
      </x:c>
      <x:c r="E99" s="22" t="n">
        <x:v>9763900</x:v>
      </x:c>
      <x:c r="F99" s="22" t="n">
        <x:v>24900000</x:v>
      </x:c>
      <x:c r="G99" s="22" t="n">
        <x:v>25100000</x:v>
      </x:c>
      <x:c r="H99" s="22" t="n">
        <x:v>791820</x:v>
      </x:c>
      <x:c r="I99" s="22" t="n">
        <x:v>591820</x:v>
      </x:c>
      <x:c r="J99" s="22" t="n">
        <x:v>0</x:v>
      </x:c>
      <x:c r="K99" s="22" t="n">
        <x:v>0</x:v>
      </x:c>
      <x:c r="L99" s="22" t="n">
        <x:v>0</x:v>
      </x:c>
      <x:c r="M99" s="22" t="n">
        <x:v>0</x:v>
      </x:c>
      <x:c r="N99" s="22" t="n">
        <x:v>0</x:v>
      </x:c>
      <x:c r="O99" s="22" t="n">
        <x:v>75132</x:v>
      </x:c>
      <x:c r="P99" s="22" t="n">
        <x:v>200000</x:v>
      </x:c>
      <x:c r="Q99" s="23" t="n">
        <x:v>0.00803213</x:v>
      </x:c>
      <x:c r="R99" s="22" t="str">
        <x:v>pop.event.recovery.220_260.wei|pop.event.recovery.220_260.wu|pop.event.recovery.220_260.shu</x:v>
      </x:c>
      <x:c r="S99" s="22" t="str">
        <x:v>曹魏北方屯田、恢复与编户|孙吴江南开发与山越整合|蜀汉益州稳定与南中整合</x:v>
      </x:c>
      <x:c r="T99" s="22" t="str"/>
      <x:c r="U99" s="22" t="str">
        <x:v>C</x:v>
      </x:c>
      <x:c r="V99" s="22" t="str">
        <x:v>MODELED</x:v>
      </x:c>
      <x:c r="W99" s="22" t="str">
        <x:v>同一连续时间线；模型人口不冒充史籍普查。</x:v>
      </x:c>
    </x:row>
    <x:row r="100">
      <x:c r="A100" s="22" t="n">
        <x:v>233</x:v>
      </x:c>
      <x:c r="B100" s="22" t="n">
        <x:v>232</x:v>
      </x:c>
      <x:c r="C100" s="22" t="str">
        <x:v>NO</x:v>
      </x:c>
      <x:c r="D100" s="22" t="n">
        <x:v>9763900</x:v>
      </x:c>
      <x:c r="E100" s="22" t="n">
        <x:v>9917600</x:v>
      </x:c>
      <x:c r="F100" s="22" t="n">
        <x:v>25100000</x:v>
      </x:c>
      <x:c r="G100" s="22" t="n">
        <x:v>25300000</x:v>
      </x:c>
      <x:c r="H100" s="22" t="n">
        <x:v>801945</x:v>
      </x:c>
      <x:c r="I100" s="22" t="n">
        <x:v>601945</x:v>
      </x:c>
      <x:c r="J100" s="22" t="n">
        <x:v>0</x:v>
      </x:c>
      <x:c r="K100" s="22" t="n">
        <x:v>0</x:v>
      </x:c>
      <x:c r="L100" s="22" t="n">
        <x:v>0</x:v>
      </x:c>
      <x:c r="M100" s="22" t="n">
        <x:v>0</x:v>
      </x:c>
      <x:c r="N100" s="22" t="n">
        <x:v>0</x:v>
      </x:c>
      <x:c r="O100" s="22" t="n">
        <x:v>75728</x:v>
      </x:c>
      <x:c r="P100" s="22" t="n">
        <x:v>200000</x:v>
      </x:c>
      <x:c r="Q100" s="23" t="n">
        <x:v>0.00796813</x:v>
      </x:c>
      <x:c r="R100" s="22" t="str">
        <x:v>pop.event.recovery.220_260.wei|pop.event.recovery.220_260.wu|pop.event.recovery.220_260.shu</x:v>
      </x:c>
      <x:c r="S100" s="22" t="str">
        <x:v>曹魏北方屯田、恢复与编户|孙吴江南开发与山越整合|蜀汉益州稳定与南中整合</x:v>
      </x:c>
      <x:c r="T100" s="22" t="str"/>
      <x:c r="U100" s="22" t="str">
        <x:v>C</x:v>
      </x:c>
      <x:c r="V100" s="22" t="str">
        <x:v>MODELED</x:v>
      </x:c>
      <x:c r="W100" s="22" t="str">
        <x:v>同一连续时间线；模型人口不冒充史籍普查。</x:v>
      </x:c>
    </x:row>
    <x:row r="101">
      <x:c r="A101" s="22" t="n">
        <x:v>234</x:v>
      </x:c>
      <x:c r="B101" s="22" t="n">
        <x:v>233</x:v>
      </x:c>
      <x:c r="C101" s="22" t="str">
        <x:v>YES</x:v>
      </x:c>
      <x:c r="D101" s="22" t="n">
        <x:v>9917600</x:v>
      </x:c>
      <x:c r="E101" s="22" t="n">
        <x:v>10072500</x:v>
      </x:c>
      <x:c r="F101" s="22" t="n">
        <x:v>25300000</x:v>
      </x:c>
      <x:c r="G101" s="22" t="n">
        <x:v>25500000</x:v>
      </x:c>
      <x:c r="H101" s="22" t="n">
        <x:v>812130</x:v>
      </x:c>
      <x:c r="I101" s="22" t="n">
        <x:v>612130</x:v>
      </x:c>
      <x:c r="J101" s="22" t="n">
        <x:v>0</x:v>
      </x:c>
      <x:c r="K101" s="22" t="n">
        <x:v>0</x:v>
      </x:c>
      <x:c r="L101" s="22" t="n">
        <x:v>0</x:v>
      </x:c>
      <x:c r="M101" s="22" t="n">
        <x:v>0</x:v>
      </x:c>
      <x:c r="N101" s="22" t="n">
        <x:v>0</x:v>
      </x:c>
      <x:c r="O101" s="22" t="n">
        <x:v>76326</x:v>
      </x:c>
      <x:c r="P101" s="22" t="n">
        <x:v>200000</x:v>
      </x:c>
      <x:c r="Q101" s="23" t="n">
        <x:v>0.00790514</x:v>
      </x:c>
      <x:c r="R101" s="22" t="str">
        <x:v>pop.event.recovery.220_260.wei|pop.event.recovery.220_260.wu|pop.event.recovery.220_260.shu</x:v>
      </x:c>
      <x:c r="S101" s="22" t="str">
        <x:v>曹魏北方屯田、恢复与编户|孙吴江南开发与山越整合|蜀汉益州稳定与南中整合</x:v>
      </x:c>
      <x:c r="T101" s="22" t="str"/>
      <x:c r="U101" s="22" t="str">
        <x:v>B</x:v>
      </x:c>
      <x:c r="V101" s="22" t="str">
        <x:v>MODELED</x:v>
      </x:c>
      <x:c r="W101" s="22" t="str">
        <x:v>同一连续时间线；模型人口不冒充史籍普查。</x:v>
      </x:c>
    </x:row>
    <x:row r="102">
      <x:c r="A102" s="22" t="n">
        <x:v>235</x:v>
      </x:c>
      <x:c r="B102" s="22" t="n">
        <x:v>234</x:v>
      </x:c>
      <x:c r="C102" s="22" t="str">
        <x:v>NO</x:v>
      </x:c>
      <x:c r="D102" s="22" t="n">
        <x:v>10072500</x:v>
      </x:c>
      <x:c r="E102" s="22" t="n">
        <x:v>10228600</x:v>
      </x:c>
      <x:c r="F102" s="22" t="n">
        <x:v>25500000</x:v>
      </x:c>
      <x:c r="G102" s="22" t="n">
        <x:v>25700000</x:v>
      </x:c>
      <x:c r="H102" s="22" t="n">
        <x:v>822375</x:v>
      </x:c>
      <x:c r="I102" s="22" t="n">
        <x:v>622375</x:v>
      </x:c>
      <x:c r="J102" s="22" t="n">
        <x:v>0</x:v>
      </x:c>
      <x:c r="K102" s="22" t="n">
        <x:v>0</x:v>
      </x:c>
      <x:c r="L102" s="22" t="n">
        <x:v>0</x:v>
      </x:c>
      <x:c r="M102" s="22" t="n">
        <x:v>0</x:v>
      </x:c>
      <x:c r="N102" s="22" t="n">
        <x:v>0</x:v>
      </x:c>
      <x:c r="O102" s="22" t="n">
        <x:v>76926</x:v>
      </x:c>
      <x:c r="P102" s="22" t="n">
        <x:v>200000</x:v>
      </x:c>
      <x:c r="Q102" s="23" t="n">
        <x:v>0.00784314</x:v>
      </x:c>
      <x:c r="R102" s="22" t="str">
        <x:v>pop.event.recovery.220_260.wei|pop.event.recovery.220_260.wu|pop.event.recovery.220_260.shu</x:v>
      </x:c>
      <x:c r="S102" s="22" t="str">
        <x:v>曹魏北方屯田、恢复与编户|孙吴江南开发与山越整合|蜀汉益州稳定与南中整合</x:v>
      </x:c>
      <x:c r="T102" s="22" t="str"/>
      <x:c r="U102" s="22" t="str">
        <x:v>C</x:v>
      </x:c>
      <x:c r="V102" s="22" t="str">
        <x:v>MODELED</x:v>
      </x:c>
      <x:c r="W102" s="22" t="str">
        <x:v>同一连续时间线；模型人口不冒充史籍普查。</x:v>
      </x:c>
    </x:row>
    <x:row r="103">
      <x:c r="A103" s="22" t="n">
        <x:v>236</x:v>
      </x:c>
      <x:c r="B103" s="22" t="n">
        <x:v>235</x:v>
      </x:c>
      <x:c r="C103" s="22" t="str">
        <x:v>NO</x:v>
      </x:c>
      <x:c r="D103" s="22" t="n">
        <x:v>10228600</x:v>
      </x:c>
      <x:c r="E103" s="22" t="n">
        <x:v>10385900</x:v>
      </x:c>
      <x:c r="F103" s="22" t="n">
        <x:v>25700000</x:v>
      </x:c>
      <x:c r="G103" s="22" t="n">
        <x:v>25900000</x:v>
      </x:c>
      <x:c r="H103" s="22" t="n">
        <x:v>832680</x:v>
      </x:c>
      <x:c r="I103" s="22" t="n">
        <x:v>632680</x:v>
      </x:c>
      <x:c r="J103" s="22" t="n">
        <x:v>0</x:v>
      </x:c>
      <x:c r="K103" s="22" t="n">
        <x:v>0</x:v>
      </x:c>
      <x:c r="L103" s="22" t="n">
        <x:v>0</x:v>
      </x:c>
      <x:c r="M103" s="22" t="n">
        <x:v>0</x:v>
      </x:c>
      <x:c r="N103" s="22" t="n">
        <x:v>0</x:v>
      </x:c>
      <x:c r="O103" s="22" t="n">
        <x:v>77526</x:v>
      </x:c>
      <x:c r="P103" s="22" t="n">
        <x:v>200000</x:v>
      </x:c>
      <x:c r="Q103" s="23" t="n">
        <x:v>0.0077821</x:v>
      </x:c>
      <x:c r="R103" s="22" t="str">
        <x:v>pop.event.recovery.220_260.wei|pop.event.recovery.220_260.wu|pop.event.recovery.220_260.shu</x:v>
      </x:c>
      <x:c r="S103" s="22" t="str">
        <x:v>曹魏北方屯田、恢复与编户|孙吴江南开发与山越整合|蜀汉益州稳定与南中整合</x:v>
      </x:c>
      <x:c r="T103" s="22" t="str"/>
      <x:c r="U103" s="22" t="str">
        <x:v>C</x:v>
      </x:c>
      <x:c r="V103" s="22" t="str">
        <x:v>MODELED</x:v>
      </x:c>
      <x:c r="W103" s="22" t="str">
        <x:v>同一连续时间线；模型人口不冒充史籍普查。</x:v>
      </x:c>
    </x:row>
    <x:row r="104">
      <x:c r="A104" s="22" t="n">
        <x:v>237</x:v>
      </x:c>
      <x:c r="B104" s="22" t="n">
        <x:v>236</x:v>
      </x:c>
      <x:c r="C104" s="22" t="str">
        <x:v>NO</x:v>
      </x:c>
      <x:c r="D104" s="22" t="n">
        <x:v>10385900</x:v>
      </x:c>
      <x:c r="E104" s="22" t="n">
        <x:v>10544400</x:v>
      </x:c>
      <x:c r="F104" s="22" t="n">
        <x:v>25900000</x:v>
      </x:c>
      <x:c r="G104" s="22" t="n">
        <x:v>26100000</x:v>
      </x:c>
      <x:c r="H104" s="22" t="n">
        <x:v>843045</x:v>
      </x:c>
      <x:c r="I104" s="22" t="n">
        <x:v>643045</x:v>
      </x:c>
      <x:c r="J104" s="22" t="n">
        <x:v>0</x:v>
      </x:c>
      <x:c r="K104" s="22" t="n">
        <x:v>0</x:v>
      </x:c>
      <x:c r="L104" s="22" t="n">
        <x:v>0</x:v>
      </x:c>
      <x:c r="M104" s="22" t="n">
        <x:v>0</x:v>
      </x:c>
      <x:c r="N104" s="22" t="n">
        <x:v>0</x:v>
      </x:c>
      <x:c r="O104" s="22" t="n">
        <x:v>78127</x:v>
      </x:c>
      <x:c r="P104" s="22" t="n">
        <x:v>200000</x:v>
      </x:c>
      <x:c r="Q104" s="23" t="n">
        <x:v>0.00772201</x:v>
      </x:c>
      <x:c r="R104" s="22" t="str">
        <x:v>pop.event.recovery.220_260.wei|pop.event.recovery.220_260.wu|pop.event.recovery.220_260.shu</x:v>
      </x:c>
      <x:c r="S104" s="22" t="str">
        <x:v>曹魏北方屯田、恢复与编户|孙吴江南开发与山越整合|蜀汉益州稳定与南中整合</x:v>
      </x:c>
      <x:c r="T104" s="22" t="str"/>
      <x:c r="U104" s="22" t="str">
        <x:v>C</x:v>
      </x:c>
      <x:c r="V104" s="22" t="str">
        <x:v>MODELED</x:v>
      </x:c>
      <x:c r="W104" s="22" t="str">
        <x:v>同一连续时间线；模型人口不冒充史籍普查。</x:v>
      </x:c>
    </x:row>
    <x:row r="105">
      <x:c r="A105" s="22" t="n">
        <x:v>238</x:v>
      </x:c>
      <x:c r="B105" s="22" t="n">
        <x:v>237</x:v>
      </x:c>
      <x:c r="C105" s="22" t="str">
        <x:v>NO</x:v>
      </x:c>
      <x:c r="D105" s="22" t="n">
        <x:v>10544400</x:v>
      </x:c>
      <x:c r="E105" s="22" t="n">
        <x:v>10704100</x:v>
      </x:c>
      <x:c r="F105" s="22" t="n">
        <x:v>26100000</x:v>
      </x:c>
      <x:c r="G105" s="22" t="n">
        <x:v>26300000</x:v>
      </x:c>
      <x:c r="H105" s="22" t="n">
        <x:v>853470</x:v>
      </x:c>
      <x:c r="I105" s="22" t="n">
        <x:v>653470</x:v>
      </x:c>
      <x:c r="J105" s="22" t="n">
        <x:v>0</x:v>
      </x:c>
      <x:c r="K105" s="22" t="n">
        <x:v>0</x:v>
      </x:c>
      <x:c r="L105" s="22" t="n">
        <x:v>0</x:v>
      </x:c>
      <x:c r="M105" s="22" t="n">
        <x:v>0</x:v>
      </x:c>
      <x:c r="N105" s="22" t="n">
        <x:v>0</x:v>
      </x:c>
      <x:c r="O105" s="22" t="n">
        <x:v>78725</x:v>
      </x:c>
      <x:c r="P105" s="22" t="n">
        <x:v>200000</x:v>
      </x:c>
      <x:c r="Q105" s="23" t="n">
        <x:v>0.00766284</x:v>
      </x:c>
      <x:c r="R105" s="22" t="str">
        <x:v>pop.event.recovery.220_260.wei|pop.event.recovery.220_260.wu|pop.event.recovery.220_260.shu</x:v>
      </x:c>
      <x:c r="S105" s="22" t="str">
        <x:v>曹魏北方屯田、恢复与编户|孙吴江南开发与山越整合|蜀汉益州稳定与南中整合</x:v>
      </x:c>
      <x:c r="T105" s="22" t="str"/>
      <x:c r="U105" s="22" t="str">
        <x:v>C</x:v>
      </x:c>
      <x:c r="V105" s="22" t="str">
        <x:v>MODELED</x:v>
      </x:c>
      <x:c r="W105" s="22" t="str">
        <x:v>同一连续时间线；模型人口不冒充史籍普查。</x:v>
      </x:c>
    </x:row>
    <x:row r="106">
      <x:c r="A106" s="22" t="n">
        <x:v>239</x:v>
      </x:c>
      <x:c r="B106" s="22" t="n">
        <x:v>238</x:v>
      </x:c>
      <x:c r="C106" s="22" t="str">
        <x:v>NO</x:v>
      </x:c>
      <x:c r="D106" s="22" t="n">
        <x:v>10704100</x:v>
      </x:c>
      <x:c r="E106" s="22" t="n">
        <x:v>10865000</x:v>
      </x:c>
      <x:c r="F106" s="22" t="n">
        <x:v>26300000</x:v>
      </x:c>
      <x:c r="G106" s="22" t="n">
        <x:v>26500000</x:v>
      </x:c>
      <x:c r="H106" s="22" t="n">
        <x:v>863955</x:v>
      </x:c>
      <x:c r="I106" s="22" t="n">
        <x:v>663955</x:v>
      </x:c>
      <x:c r="J106" s="22" t="n">
        <x:v>0</x:v>
      </x:c>
      <x:c r="K106" s="22" t="n">
        <x:v>0</x:v>
      </x:c>
      <x:c r="L106" s="22" t="n">
        <x:v>0</x:v>
      </x:c>
      <x:c r="M106" s="22" t="n">
        <x:v>0</x:v>
      </x:c>
      <x:c r="N106" s="22" t="n">
        <x:v>0</x:v>
      </x:c>
      <x:c r="O106" s="22" t="n">
        <x:v>79323</x:v>
      </x:c>
      <x:c r="P106" s="22" t="n">
        <x:v>200000</x:v>
      </x:c>
      <x:c r="Q106" s="23" t="n">
        <x:v>0.00760456</x:v>
      </x:c>
      <x:c r="R106" s="22" t="str">
        <x:v>pop.event.recovery.220_260.wei|pop.event.recovery.220_260.wu|pop.event.recovery.220_260.shu</x:v>
      </x:c>
      <x:c r="S106" s="22" t="str">
        <x:v>曹魏北方屯田、恢复与编户|孙吴江南开发与山越整合|蜀汉益州稳定与南中整合</x:v>
      </x:c>
      <x:c r="T106" s="22" t="str"/>
      <x:c r="U106" s="22" t="str">
        <x:v>C</x:v>
      </x:c>
      <x:c r="V106" s="22" t="str">
        <x:v>MODELED</x:v>
      </x:c>
      <x:c r="W106" s="22" t="str">
        <x:v>同一连续时间线；模型人口不冒充史籍普查。</x:v>
      </x:c>
    </x:row>
    <x:row r="107">
      <x:c r="A107" s="22" t="n">
        <x:v>240</x:v>
      </x:c>
      <x:c r="B107" s="22" t="n">
        <x:v>239</x:v>
      </x:c>
      <x:c r="C107" s="22" t="str">
        <x:v>NO</x:v>
      </x:c>
      <x:c r="D107" s="22" t="n">
        <x:v>10865000</x:v>
      </x:c>
      <x:c r="E107" s="22" t="n">
        <x:v>11074500</x:v>
      </x:c>
      <x:c r="F107" s="22" t="n">
        <x:v>26500000</x:v>
      </x:c>
      <x:c r="G107" s="22" t="n">
        <x:v>26750000</x:v>
      </x:c>
      <x:c r="H107" s="22" t="n">
        <x:v>874500</x:v>
      </x:c>
      <x:c r="I107" s="22" t="n">
        <x:v>624500</x:v>
      </x:c>
      <x:c r="J107" s="22" t="n">
        <x:v>0</x:v>
      </x:c>
      <x:c r="K107" s="22" t="n">
        <x:v>0</x:v>
      </x:c>
      <x:c r="L107" s="22" t="n">
        <x:v>0</x:v>
      </x:c>
      <x:c r="M107" s="22" t="n">
        <x:v>0</x:v>
      </x:c>
      <x:c r="N107" s="22" t="n">
        <x:v>0</x:v>
      </x:c>
      <x:c r="O107" s="22" t="n">
        <x:v>106384</x:v>
      </x:c>
      <x:c r="P107" s="22" t="n">
        <x:v>250000</x:v>
      </x:c>
      <x:c r="Q107" s="23" t="n">
        <x:v>0.00943396</x:v>
      </x:c>
      <x:c r="R107" s="22" t="str">
        <x:v>pop.event.recovery.220_260.wei|pop.event.recovery.220_260.wu|pop.event.recovery.220_260.shu</x:v>
      </x:c>
      <x:c r="S107" s="22" t="str">
        <x:v>曹魏北方屯田、恢复与编户|孙吴江南开发与山越整合|蜀汉益州稳定与南中整合</x:v>
      </x:c>
      <x:c r="T107" s="22" t="str"/>
      <x:c r="U107" s="22" t="str">
        <x:v>C</x:v>
      </x:c>
      <x:c r="V107" s="22" t="str">
        <x:v>MODELED</x:v>
      </x:c>
      <x:c r="W107" s="22" t="str">
        <x:v>同一连续时间线；模型人口不冒充史籍普查。</x:v>
      </x:c>
    </x:row>
    <x:row r="108">
      <x:c r="A108" s="22" t="n">
        <x:v>241</x:v>
      </x:c>
      <x:c r="B108" s="22" t="n">
        <x:v>240</x:v>
      </x:c>
      <x:c r="C108" s="22" t="str">
        <x:v>NO</x:v>
      </x:c>
      <x:c r="D108" s="22" t="n">
        <x:v>11074500</x:v>
      </x:c>
      <x:c r="E108" s="22" t="n">
        <x:v>11286000</x:v>
      </x:c>
      <x:c r="F108" s="22" t="n">
        <x:v>26750000</x:v>
      </x:c>
      <x:c r="G108" s="22" t="n">
        <x:v>27000000</x:v>
      </x:c>
      <x:c r="H108" s="22" t="n">
        <x:v>884088</x:v>
      </x:c>
      <x:c r="I108" s="22" t="n">
        <x:v>625627</x:v>
      </x:c>
      <x:c r="J108" s="22" t="n">
        <x:v>8461</x:v>
      </x:c>
      <x:c r="K108" s="22" t="n">
        <x:v>0</x:v>
      </x:c>
      <x:c r="L108" s="22" t="n">
        <x:v>0</x:v>
      </x:c>
      <x:c r="M108" s="22" t="n">
        <x:v>0</x:v>
      </x:c>
      <x:c r="N108" s="22" t="n">
        <x:v>0</x:v>
      </x:c>
      <x:c r="O108" s="22" t="n">
        <x:v>107335</x:v>
      </x:c>
      <x:c r="P108" s="22" t="n">
        <x:v>250000</x:v>
      </x:c>
      <x:c r="Q108" s="23" t="n">
        <x:v>0.00934579</x:v>
      </x:c>
      <x:c r="R108" s="22" t="str">
        <x:v>pop.event.recovery.220_260.wei|pop.event.recovery.220_260.wu|pop.event.recovery.220_260.shu|pop.event.war.241_257.huainan</x:v>
      </x:c>
      <x:c r="S108" s="22" t="str">
        <x:v>曹魏北方屯田、恢复与编户|孙吴江南开发与山越整合|蜀汉益州稳定与南中整合|淮南军事冲突与三叛</x:v>
      </x:c>
      <x:c r="T108" s="22" t="str"/>
      <x:c r="U108" s="22" t="str">
        <x:v>C</x:v>
      </x:c>
      <x:c r="V108" s="22" t="str">
        <x:v>MODELED</x:v>
      </x:c>
      <x:c r="W108" s="22" t="str">
        <x:v>同一连续时间线；模型人口不冒充史籍普查。</x:v>
      </x:c>
    </x:row>
    <x:row r="109">
      <x:c r="A109" s="22" t="n">
        <x:v>242</x:v>
      </x:c>
      <x:c r="B109" s="22" t="n">
        <x:v>241</x:v>
      </x:c>
      <x:c r="C109" s="22" t="str">
        <x:v>NO</x:v>
      </x:c>
      <x:c r="D109" s="22" t="n">
        <x:v>11286000</x:v>
      </x:c>
      <x:c r="E109" s="22" t="n">
        <x:v>11499500</x:v>
      </x:c>
      <x:c r="F109" s="22" t="n">
        <x:v>27000000</x:v>
      </x:c>
      <x:c r="G109" s="22" t="n">
        <x:v>27250000</x:v>
      </x:c>
      <x:c r="H109" s="22" t="n">
        <x:v>893700</x:v>
      </x:c>
      <x:c r="I109" s="22" t="n">
        <x:v>635151</x:v>
      </x:c>
      <x:c r="J109" s="22" t="n">
        <x:v>8549</x:v>
      </x:c>
      <x:c r="K109" s="22" t="n">
        <x:v>0</x:v>
      </x:c>
      <x:c r="L109" s="22" t="n">
        <x:v>0</x:v>
      </x:c>
      <x:c r="M109" s="22" t="n">
        <x:v>0</x:v>
      </x:c>
      <x:c r="N109" s="22" t="n">
        <x:v>0</x:v>
      </x:c>
      <x:c r="O109" s="22" t="n">
        <x:v>108329</x:v>
      </x:c>
      <x:c r="P109" s="22" t="n">
        <x:v>250000</x:v>
      </x:c>
      <x:c r="Q109" s="23" t="n">
        <x:v>0.00925926</x:v>
      </x:c>
      <x:c r="R109" s="22" t="str">
        <x:v>pop.event.recovery.220_260.wei|pop.event.recovery.220_260.wu|pop.event.recovery.220_260.shu|pop.event.war.241_257.huainan</x:v>
      </x:c>
      <x:c r="S109" s="22" t="str">
        <x:v>曹魏北方屯田、恢复与编户|孙吴江南开发与山越整合|蜀汉益州稳定与南中整合|淮南军事冲突与三叛</x:v>
      </x:c>
      <x:c r="T109" s="22" t="str"/>
      <x:c r="U109" s="22" t="str">
        <x:v>C</x:v>
      </x:c>
      <x:c r="V109" s="22" t="str">
        <x:v>MODELED</x:v>
      </x:c>
      <x:c r="W109" s="22" t="str">
        <x:v>同一连续时间线；模型人口不冒充史籍普查。</x:v>
      </x:c>
    </x:row>
    <x:row r="110">
      <x:c r="A110" s="22" t="n">
        <x:v>243</x:v>
      </x:c>
      <x:c r="B110" s="22" t="n">
        <x:v>242</x:v>
      </x:c>
      <x:c r="C110" s="22" t="str">
        <x:v>NO</x:v>
      </x:c>
      <x:c r="D110" s="22" t="n">
        <x:v>11499500</x:v>
      </x:c>
      <x:c r="E110" s="22" t="n">
        <x:v>11715000</x:v>
      </x:c>
      <x:c r="F110" s="22" t="n">
        <x:v>27250000</x:v>
      </x:c>
      <x:c r="G110" s="22" t="n">
        <x:v>27500000</x:v>
      </x:c>
      <x:c r="H110" s="22" t="n">
        <x:v>903338</x:v>
      </x:c>
      <x:c r="I110" s="22" t="n">
        <x:v>644701</x:v>
      </x:c>
      <x:c r="J110" s="22" t="n">
        <x:v>8637</x:v>
      </x:c>
      <x:c r="K110" s="22" t="n">
        <x:v>0</x:v>
      </x:c>
      <x:c r="L110" s="22" t="n">
        <x:v>0</x:v>
      </x:c>
      <x:c r="M110" s="22" t="n">
        <x:v>0</x:v>
      </x:c>
      <x:c r="N110" s="22" t="n">
        <x:v>0</x:v>
      </x:c>
      <x:c r="O110" s="22" t="n">
        <x:v>109325</x:v>
      </x:c>
      <x:c r="P110" s="22" t="n">
        <x:v>250000</x:v>
      </x:c>
      <x:c r="Q110" s="23" t="n">
        <x:v>0.00917431</x:v>
      </x:c>
      <x:c r="R110" s="22" t="str">
        <x:v>pop.event.recovery.220_260.wei|pop.event.recovery.220_260.wu|pop.event.recovery.220_260.shu|pop.event.war.241_257.huainan</x:v>
      </x:c>
      <x:c r="S110" s="22" t="str">
        <x:v>曹魏北方屯田、恢复与编户|孙吴江南开发与山越整合|蜀汉益州稳定与南中整合|淮南军事冲突与三叛</x:v>
      </x:c>
      <x:c r="T110" s="22" t="str"/>
      <x:c r="U110" s="22" t="str">
        <x:v>C</x:v>
      </x:c>
      <x:c r="V110" s="22" t="str">
        <x:v>MODELED</x:v>
      </x:c>
      <x:c r="W110" s="22" t="str">
        <x:v>同一连续时间线；模型人口不冒充史籍普查。</x:v>
      </x:c>
    </x:row>
    <x:row r="111">
      <x:c r="A111" s="22" t="n">
        <x:v>244</x:v>
      </x:c>
      <x:c r="B111" s="22" t="n">
        <x:v>243</x:v>
      </x:c>
      <x:c r="C111" s="22" t="str">
        <x:v>NO</x:v>
      </x:c>
      <x:c r="D111" s="22" t="n">
        <x:v>11715000</x:v>
      </x:c>
      <x:c r="E111" s="22" t="n">
        <x:v>11932500</x:v>
      </x:c>
      <x:c r="F111" s="22" t="n">
        <x:v>27500000</x:v>
      </x:c>
      <x:c r="G111" s="22" t="n">
        <x:v>27750000</x:v>
      </x:c>
      <x:c r="H111" s="22" t="n">
        <x:v>913000</x:v>
      </x:c>
      <x:c r="I111" s="22" t="n">
        <x:v>654274</x:v>
      </x:c>
      <x:c r="J111" s="22" t="n">
        <x:v>8726</x:v>
      </x:c>
      <x:c r="K111" s="22" t="n">
        <x:v>0</x:v>
      </x:c>
      <x:c r="L111" s="22" t="n">
        <x:v>0</x:v>
      </x:c>
      <x:c r="M111" s="22" t="n">
        <x:v>0</x:v>
      </x:c>
      <x:c r="N111" s="22" t="n">
        <x:v>0</x:v>
      </x:c>
      <x:c r="O111" s="22" t="n">
        <x:v>110322</x:v>
      </x:c>
      <x:c r="P111" s="22" t="n">
        <x:v>250000</x:v>
      </x:c>
      <x:c r="Q111" s="23" t="n">
        <x:v>0.00909091</x:v>
      </x:c>
      <x:c r="R111" s="22" t="str">
        <x:v>pop.event.recovery.220_260.wei|pop.event.recovery.220_260.wu|pop.event.recovery.220_260.shu|pop.event.war.241_257.huainan</x:v>
      </x:c>
      <x:c r="S111" s="22" t="str">
        <x:v>曹魏北方屯田、恢复与编户|孙吴江南开发与山越整合|蜀汉益州稳定与南中整合|淮南军事冲突与三叛</x:v>
      </x:c>
      <x:c r="T111" s="22" t="str"/>
      <x:c r="U111" s="22" t="str">
        <x:v>C</x:v>
      </x:c>
      <x:c r="V111" s="22" t="str">
        <x:v>MODELED</x:v>
      </x:c>
      <x:c r="W111" s="22" t="str">
        <x:v>同一连续时间线；模型人口不冒充史籍普查。</x:v>
      </x:c>
    </x:row>
    <x:row r="112">
      <x:c r="A112" s="22" t="n">
        <x:v>245</x:v>
      </x:c>
      <x:c r="B112" s="22" t="n">
        <x:v>244</x:v>
      </x:c>
      <x:c r="C112" s="22" t="str">
        <x:v>NO</x:v>
      </x:c>
      <x:c r="D112" s="22" t="n">
        <x:v>11932500</x:v>
      </x:c>
      <x:c r="E112" s="22" t="n">
        <x:v>12152000</x:v>
      </x:c>
      <x:c r="F112" s="22" t="n">
        <x:v>27750000</x:v>
      </x:c>
      <x:c r="G112" s="22" t="n">
        <x:v>28000000</x:v>
      </x:c>
      <x:c r="H112" s="22" t="n">
        <x:v>922688</x:v>
      </x:c>
      <x:c r="I112" s="22" t="n">
        <x:v>663873</x:v>
      </x:c>
      <x:c r="J112" s="22" t="n">
        <x:v>8815</x:v>
      </x:c>
      <x:c r="K112" s="22" t="n">
        <x:v>0</x:v>
      </x:c>
      <x:c r="L112" s="22" t="n">
        <x:v>0</x:v>
      </x:c>
      <x:c r="M112" s="22" t="n">
        <x:v>0</x:v>
      </x:c>
      <x:c r="N112" s="22" t="n">
        <x:v>0</x:v>
      </x:c>
      <x:c r="O112" s="22" t="n">
        <x:v>111317</x:v>
      </x:c>
      <x:c r="P112" s="22" t="n">
        <x:v>250000</x:v>
      </x:c>
      <x:c r="Q112" s="23" t="n">
        <x:v>0.00900901</x:v>
      </x:c>
      <x:c r="R112" s="22" t="str">
        <x:v>pop.event.recovery.220_260.wei|pop.event.recovery.220_260.wu|pop.event.recovery.220_260.shu|pop.event.war.241_257.huainan</x:v>
      </x:c>
      <x:c r="S112" s="22" t="str">
        <x:v>曹魏北方屯田、恢复与编户|孙吴江南开发与山越整合|蜀汉益州稳定与南中整合|淮南军事冲突与三叛</x:v>
      </x:c>
      <x:c r="T112" s="22" t="str"/>
      <x:c r="U112" s="22" t="str">
        <x:v>C</x:v>
      </x:c>
      <x:c r="V112" s="22" t="str">
        <x:v>MODELED</x:v>
      </x:c>
      <x:c r="W112" s="22" t="str">
        <x:v>同一连续时间线；模型人口不冒充史籍普查。</x:v>
      </x:c>
    </x:row>
    <x:row r="113">
      <x:c r="A113" s="22" t="n">
        <x:v>246</x:v>
      </x:c>
      <x:c r="B113" s="22" t="n">
        <x:v>245</x:v>
      </x:c>
      <x:c r="C113" s="22" t="str">
        <x:v>NO</x:v>
      </x:c>
      <x:c r="D113" s="22" t="n">
        <x:v>12152000</x:v>
      </x:c>
      <x:c r="E113" s="22" t="n">
        <x:v>12373500</x:v>
      </x:c>
      <x:c r="F113" s="22" t="n">
        <x:v>28000000</x:v>
      </x:c>
      <x:c r="G113" s="22" t="n">
        <x:v>28250000</x:v>
      </x:c>
      <x:c r="H113" s="22" t="n">
        <x:v>932400</x:v>
      </x:c>
      <x:c r="I113" s="22" t="n">
        <x:v>673497</x:v>
      </x:c>
      <x:c r="J113" s="22" t="n">
        <x:v>8903</x:v>
      </x:c>
      <x:c r="K113" s="22" t="n">
        <x:v>0</x:v>
      </x:c>
      <x:c r="L113" s="22" t="n">
        <x:v>0</x:v>
      </x:c>
      <x:c r="M113" s="22" t="n">
        <x:v>0</x:v>
      </x:c>
      <x:c r="N113" s="22" t="n">
        <x:v>0</x:v>
      </x:c>
      <x:c r="O113" s="22" t="n">
        <x:v>112310</x:v>
      </x:c>
      <x:c r="P113" s="22" t="n">
        <x:v>250000</x:v>
      </x:c>
      <x:c r="Q113" s="23" t="n">
        <x:v>0.00892857</x:v>
      </x:c>
      <x:c r="R113" s="22" t="str">
        <x:v>pop.event.recovery.220_260.wei|pop.event.recovery.220_260.wu|pop.event.recovery.220_260.shu|pop.event.war.241_257.huainan</x:v>
      </x:c>
      <x:c r="S113" s="22" t="str">
        <x:v>曹魏北方屯田、恢复与编户|孙吴江南开发与山越整合|蜀汉益州稳定与南中整合|淮南军事冲突与三叛</x:v>
      </x:c>
      <x:c r="T113" s="22" t="str"/>
      <x:c r="U113" s="22" t="str">
        <x:v>C</x:v>
      </x:c>
      <x:c r="V113" s="22" t="str">
        <x:v>MODELED</x:v>
      </x:c>
      <x:c r="W113" s="22" t="str">
        <x:v>同一连续时间线；模型人口不冒充史籍普查。</x:v>
      </x:c>
    </x:row>
    <x:row r="114">
      <x:c r="A114" s="22" t="n">
        <x:v>247</x:v>
      </x:c>
      <x:c r="B114" s="22" t="n">
        <x:v>246</x:v>
      </x:c>
      <x:c r="C114" s="22" t="str">
        <x:v>NO</x:v>
      </x:c>
      <x:c r="D114" s="22" t="n">
        <x:v>12373500</x:v>
      </x:c>
      <x:c r="E114" s="22" t="n">
        <x:v>12597000</x:v>
      </x:c>
      <x:c r="F114" s="22" t="n">
        <x:v>28250000</x:v>
      </x:c>
      <x:c r="G114" s="22" t="n">
        <x:v>28500000</x:v>
      </x:c>
      <x:c r="H114" s="22" t="n">
        <x:v>942138</x:v>
      </x:c>
      <x:c r="I114" s="22" t="n">
        <x:v>683146</x:v>
      </x:c>
      <x:c r="J114" s="22" t="n">
        <x:v>8992</x:v>
      </x:c>
      <x:c r="K114" s="22" t="n">
        <x:v>0</x:v>
      </x:c>
      <x:c r="L114" s="22" t="n">
        <x:v>0</x:v>
      </x:c>
      <x:c r="M114" s="22" t="n">
        <x:v>0</x:v>
      </x:c>
      <x:c r="N114" s="22" t="n">
        <x:v>0</x:v>
      </x:c>
      <x:c r="O114" s="22" t="n">
        <x:v>113307</x:v>
      </x:c>
      <x:c r="P114" s="22" t="n">
        <x:v>250000</x:v>
      </x:c>
      <x:c r="Q114" s="23" t="n">
        <x:v>0.00884956</x:v>
      </x:c>
      <x:c r="R114" s="22" t="str">
        <x:v>pop.event.recovery.220_260.wei|pop.event.recovery.220_260.wu|pop.event.recovery.220_260.shu|pop.event.war.241_257.huainan</x:v>
      </x:c>
      <x:c r="S114" s="22" t="str">
        <x:v>曹魏北方屯田、恢复与编户|孙吴江南开发与山越整合|蜀汉益州稳定与南中整合|淮南军事冲突与三叛</x:v>
      </x:c>
      <x:c r="T114" s="22" t="str"/>
      <x:c r="U114" s="22" t="str">
        <x:v>C</x:v>
      </x:c>
      <x:c r="V114" s="22" t="str">
        <x:v>MODELED</x:v>
      </x:c>
      <x:c r="W114" s="22" t="str">
        <x:v>同一连续时间线；模型人口不冒充史籍普查。</x:v>
      </x:c>
    </x:row>
    <x:row r="115">
      <x:c r="A115" s="22" t="n">
        <x:v>248</x:v>
      </x:c>
      <x:c r="B115" s="22" t="n">
        <x:v>247</x:v>
      </x:c>
      <x:c r="C115" s="22" t="str">
        <x:v>NO</x:v>
      </x:c>
      <x:c r="D115" s="22" t="n">
        <x:v>12597000</x:v>
      </x:c>
      <x:c r="E115" s="22" t="n">
        <x:v>12822500</x:v>
      </x:c>
      <x:c r="F115" s="22" t="n">
        <x:v>28500000</x:v>
      </x:c>
      <x:c r="G115" s="22" t="n">
        <x:v>28750000</x:v>
      </x:c>
      <x:c r="H115" s="22" t="n">
        <x:v>951900</x:v>
      </x:c>
      <x:c r="I115" s="22" t="n">
        <x:v>692819</x:v>
      </x:c>
      <x:c r="J115" s="22" t="n">
        <x:v>9081</x:v>
      </x:c>
      <x:c r="K115" s="22" t="n">
        <x:v>0</x:v>
      </x:c>
      <x:c r="L115" s="22" t="n">
        <x:v>0</x:v>
      </x:c>
      <x:c r="M115" s="22" t="n">
        <x:v>0</x:v>
      </x:c>
      <x:c r="N115" s="22" t="n">
        <x:v>0</x:v>
      </x:c>
      <x:c r="O115" s="22" t="n">
        <x:v>114306</x:v>
      </x:c>
      <x:c r="P115" s="22" t="n">
        <x:v>250000</x:v>
      </x:c>
      <x:c r="Q115" s="23" t="n">
        <x:v>0.00877193</x:v>
      </x:c>
      <x:c r="R115" s="22" t="str">
        <x:v>pop.event.recovery.220_260.wei|pop.event.recovery.220_260.wu|pop.event.recovery.220_260.shu|pop.event.war.241_257.huainan</x:v>
      </x:c>
      <x:c r="S115" s="22" t="str">
        <x:v>曹魏北方屯田、恢复与编户|孙吴江南开发与山越整合|蜀汉益州稳定与南中整合|淮南军事冲突与三叛</x:v>
      </x:c>
      <x:c r="T115" s="22" t="str"/>
      <x:c r="U115" s="22" t="str">
        <x:v>C</x:v>
      </x:c>
      <x:c r="V115" s="22" t="str">
        <x:v>MODELED</x:v>
      </x:c>
      <x:c r="W115" s="22" t="str">
        <x:v>同一连续时间线；模型人口不冒充史籍普查。</x:v>
      </x:c>
    </x:row>
    <x:row r="116">
      <x:c r="A116" s="22" t="n">
        <x:v>249</x:v>
      </x:c>
      <x:c r="B116" s="22" t="n">
        <x:v>248</x:v>
      </x:c>
      <x:c r="C116" s="22" t="str">
        <x:v>YES</x:v>
      </x:c>
      <x:c r="D116" s="22" t="n">
        <x:v>12822500</x:v>
      </x:c>
      <x:c r="E116" s="22" t="n">
        <x:v>13050000</x:v>
      </x:c>
      <x:c r="F116" s="22" t="n">
        <x:v>28750000</x:v>
      </x:c>
      <x:c r="G116" s="22" t="n">
        <x:v>29000000</x:v>
      </x:c>
      <x:c r="H116" s="22" t="n">
        <x:v>961688</x:v>
      </x:c>
      <x:c r="I116" s="22" t="n">
        <x:v>702519</x:v>
      </x:c>
      <x:c r="J116" s="22" t="n">
        <x:v>9169</x:v>
      </x:c>
      <x:c r="K116" s="22" t="n">
        <x:v>0</x:v>
      </x:c>
      <x:c r="L116" s="22" t="n">
        <x:v>0</x:v>
      </x:c>
      <x:c r="M116" s="22" t="n">
        <x:v>0</x:v>
      </x:c>
      <x:c r="N116" s="22" t="n">
        <x:v>0</x:v>
      </x:c>
      <x:c r="O116" s="22" t="n">
        <x:v>115299</x:v>
      </x:c>
      <x:c r="P116" s="22" t="n">
        <x:v>250000</x:v>
      </x:c>
      <x:c r="Q116" s="23" t="n">
        <x:v>0.00869565</x:v>
      </x:c>
      <x:c r="R116" s="22" t="str">
        <x:v>pop.event.recovery.220_260.wei|pop.event.recovery.220_260.wu|pop.event.recovery.220_260.shu|pop.event.war.241_257.huainan</x:v>
      </x:c>
      <x:c r="S116" s="22" t="str">
        <x:v>曹魏北方屯田、恢复与编户|孙吴江南开发与山越整合|蜀汉益州稳定与南中整合|淮南军事冲突与三叛</x:v>
      </x:c>
      <x:c r="T116" s="22" t="str"/>
      <x:c r="U116" s="22" t="str">
        <x:v>B</x:v>
      </x:c>
      <x:c r="V116" s="22" t="str">
        <x:v>MODELED</x:v>
      </x:c>
      <x:c r="W116" s="22" t="str">
        <x:v>同一连续时间线；模型人口不冒充史籍普查。</x:v>
      </x:c>
    </x:row>
    <x:row r="117">
      <x:c r="A117" s="22" t="n">
        <x:v>250</x:v>
      </x:c>
      <x:c r="B117" s="22" t="n">
        <x:v>249</x:v>
      </x:c>
      <x:c r="C117" s="22" t="str">
        <x:v>NO</x:v>
      </x:c>
      <x:c r="D117" s="22" t="n">
        <x:v>13050000</x:v>
      </x:c>
      <x:c r="E117" s="22" t="n">
        <x:v>13302200</x:v>
      </x:c>
      <x:c r="F117" s="22" t="n">
        <x:v>29000000</x:v>
      </x:c>
      <x:c r="G117" s="22" t="n">
        <x:v>29300000</x:v>
      </x:c>
      <x:c r="H117" s="22" t="n">
        <x:v>971500</x:v>
      </x:c>
      <x:c r="I117" s="22" t="n">
        <x:v>662242</x:v>
      </x:c>
      <x:c r="J117" s="22" t="n">
        <x:v>9258</x:v>
      </x:c>
      <x:c r="K117" s="22" t="n">
        <x:v>0</x:v>
      </x:c>
      <x:c r="L117" s="22" t="n">
        <x:v>0</x:v>
      </x:c>
      <x:c r="M117" s="22" t="n">
        <x:v>0</x:v>
      </x:c>
      <x:c r="N117" s="22" t="n">
        <x:v>0</x:v>
      </x:c>
      <x:c r="O117" s="22" t="n">
        <x:v>116491</x:v>
      </x:c>
      <x:c r="P117" s="22" t="n">
        <x:v>300000</x:v>
      </x:c>
      <x:c r="Q117" s="23" t="n">
        <x:v>0.01034483</x:v>
      </x:c>
      <x:c r="R117" s="22" t="str">
        <x:v>pop.event.recovery.220_260.wei|pop.event.recovery.220_260.wu|pop.event.recovery.220_260.shu|pop.event.war.241_257.huainan</x:v>
      </x:c>
      <x:c r="S117" s="22" t="str">
        <x:v>曹魏北方屯田、恢复与编户|孙吴江南开发与山越整合|蜀汉益州稳定与南中整合|淮南军事冲突与三叛</x:v>
      </x:c>
      <x:c r="T117" s="22" t="str"/>
      <x:c r="U117" s="22" t="str">
        <x:v>C</x:v>
      </x:c>
      <x:c r="V117" s="22" t="str">
        <x:v>MODELED</x:v>
      </x:c>
      <x:c r="W117" s="22" t="str">
        <x:v>同一连续时间线；模型人口不冒充史籍普查。</x:v>
      </x:c>
    </x:row>
    <x:row r="118">
      <x:c r="A118" s="22" t="n">
        <x:v>251</x:v>
      </x:c>
      <x:c r="B118" s="22" t="n">
        <x:v>250</x:v>
      </x:c>
      <x:c r="C118" s="22" t="str">
        <x:v>NO</x:v>
      </x:c>
      <x:c r="D118" s="22" t="n">
        <x:v>13302200</x:v>
      </x:c>
      <x:c r="E118" s="22" t="n">
        <x:v>13556800</x:v>
      </x:c>
      <x:c r="F118" s="22" t="n">
        <x:v>29300000</x:v>
      </x:c>
      <x:c r="G118" s="22" t="n">
        <x:v>29600000</x:v>
      </x:c>
      <x:c r="H118" s="22" t="n">
        <x:v>983015</x:v>
      </x:c>
      <x:c r="I118" s="22" t="n">
        <x:v>673652</x:v>
      </x:c>
      <x:c r="J118" s="22" t="n">
        <x:v>9363</x:v>
      </x:c>
      <x:c r="K118" s="22" t="n">
        <x:v>0</x:v>
      </x:c>
      <x:c r="L118" s="22" t="n">
        <x:v>0</x:v>
      </x:c>
      <x:c r="M118" s="22" t="n">
        <x:v>0</x:v>
      </x:c>
      <x:c r="N118" s="22" t="n">
        <x:v>0</x:v>
      </x:c>
      <x:c r="O118" s="22" t="n">
        <x:v>117685</x:v>
      </x:c>
      <x:c r="P118" s="22" t="n">
        <x:v>300000</x:v>
      </x:c>
      <x:c r="Q118" s="23" t="n">
        <x:v>0.01023891</x:v>
      </x:c>
      <x:c r="R118" s="22" t="str">
        <x:v>pop.event.recovery.220_260.wei|pop.event.recovery.220_260.wu|pop.event.recovery.220_260.shu|pop.event.war.241_257.huainan</x:v>
      </x:c>
      <x:c r="S118" s="22" t="str">
        <x:v>曹魏北方屯田、恢复与编户|孙吴江南开发与山越整合|蜀汉益州稳定与南中整合|淮南军事冲突与三叛</x:v>
      </x:c>
      <x:c r="T118" s="22" t="str"/>
      <x:c r="U118" s="22" t="str">
        <x:v>C</x:v>
      </x:c>
      <x:c r="V118" s="22" t="str">
        <x:v>MODELED</x:v>
      </x:c>
      <x:c r="W118" s="22" t="str">
        <x:v>同一连续时间线；模型人口不冒充史籍普查。</x:v>
      </x:c>
    </x:row>
    <x:row r="119">
      <x:c r="A119" s="22" t="n">
        <x:v>252</x:v>
      </x:c>
      <x:c r="B119" s="22" t="n">
        <x:v>251</x:v>
      </x:c>
      <x:c r="C119" s="22" t="str">
        <x:v>NO</x:v>
      </x:c>
      <x:c r="D119" s="22" t="n">
        <x:v>13556800</x:v>
      </x:c>
      <x:c r="E119" s="22" t="n">
        <x:v>13813800</x:v>
      </x:c>
      <x:c r="F119" s="22" t="n">
        <x:v>29600000</x:v>
      </x:c>
      <x:c r="G119" s="22" t="n">
        <x:v>29900000</x:v>
      </x:c>
      <x:c r="H119" s="22" t="n">
        <x:v>994560</x:v>
      </x:c>
      <x:c r="I119" s="22" t="n">
        <x:v>685092</x:v>
      </x:c>
      <x:c r="J119" s="22" t="n">
        <x:v>9468</x:v>
      </x:c>
      <x:c r="K119" s="22" t="n">
        <x:v>0</x:v>
      </x:c>
      <x:c r="L119" s="22" t="n">
        <x:v>0</x:v>
      </x:c>
      <x:c r="M119" s="22" t="n">
        <x:v>0</x:v>
      </x:c>
      <x:c r="N119" s="22" t="n">
        <x:v>0</x:v>
      </x:c>
      <x:c r="O119" s="22" t="n">
        <x:v>118889</x:v>
      </x:c>
      <x:c r="P119" s="22" t="n">
        <x:v>300000</x:v>
      </x:c>
      <x:c r="Q119" s="23" t="n">
        <x:v>0.01013514</x:v>
      </x:c>
      <x:c r="R119" s="22" t="str">
        <x:v>pop.event.recovery.220_260.wei|pop.event.recovery.220_260.wu|pop.event.recovery.220_260.shu|pop.event.war.241_257.huainan</x:v>
      </x:c>
      <x:c r="S119" s="22" t="str">
        <x:v>曹魏北方屯田、恢复与编户|孙吴江南开发与山越整合|蜀汉益州稳定与南中整合|淮南军事冲突与三叛</x:v>
      </x:c>
      <x:c r="T119" s="22" t="str"/>
      <x:c r="U119" s="22" t="str">
        <x:v>C</x:v>
      </x:c>
      <x:c r="V119" s="22" t="str">
        <x:v>MODELED</x:v>
      </x:c>
      <x:c r="W119" s="22" t="str">
        <x:v>同一连续时间线；模型人口不冒充史籍普查。</x:v>
      </x:c>
    </x:row>
    <x:row r="120">
      <x:c r="A120" s="22" t="n">
        <x:v>253</x:v>
      </x:c>
      <x:c r="B120" s="22" t="n">
        <x:v>252</x:v>
      </x:c>
      <x:c r="C120" s="22" t="str">
        <x:v>NO</x:v>
      </x:c>
      <x:c r="D120" s="22" t="n">
        <x:v>13813800</x:v>
      </x:c>
      <x:c r="E120" s="22" t="n">
        <x:v>14073200</x:v>
      </x:c>
      <x:c r="F120" s="22" t="n">
        <x:v>29900000</x:v>
      </x:c>
      <x:c r="G120" s="22" t="n">
        <x:v>30200000</x:v>
      </x:c>
      <x:c r="H120" s="22" t="n">
        <x:v>1006135</x:v>
      </x:c>
      <x:c r="I120" s="22" t="n">
        <x:v>696562</x:v>
      </x:c>
      <x:c r="J120" s="22" t="n">
        <x:v>9573</x:v>
      </x:c>
      <x:c r="K120" s="22" t="n">
        <x:v>0</x:v>
      </x:c>
      <x:c r="L120" s="22" t="n">
        <x:v>0</x:v>
      </x:c>
      <x:c r="M120" s="22" t="n">
        <x:v>0</x:v>
      </x:c>
      <x:c r="N120" s="22" t="n">
        <x:v>0</x:v>
      </x:c>
      <x:c r="O120" s="22" t="n">
        <x:v>120073</x:v>
      </x:c>
      <x:c r="P120" s="22" t="n">
        <x:v>300000</x:v>
      </x:c>
      <x:c r="Q120" s="23" t="n">
        <x:v>0.01003344</x:v>
      </x:c>
      <x:c r="R120" s="22" t="str">
        <x:v>pop.event.recovery.220_260.wei|pop.event.recovery.220_260.wu|pop.event.recovery.220_260.shu|pop.event.war.241_257.huainan</x:v>
      </x:c>
      <x:c r="S120" s="22" t="str">
        <x:v>曹魏北方屯田、恢复与编户|孙吴江南开发与山越整合|蜀汉益州稳定与南中整合|淮南军事冲突与三叛</x:v>
      </x:c>
      <x:c r="T120" s="22" t="str"/>
      <x:c r="U120" s="22" t="str">
        <x:v>C</x:v>
      </x:c>
      <x:c r="V120" s="22" t="str">
        <x:v>MODELED</x:v>
      </x:c>
      <x:c r="W120" s="22" t="str">
        <x:v>同一连续时间线；模型人口不冒充史籍普查。</x:v>
      </x:c>
    </x:row>
    <x:row r="121">
      <x:c r="A121" s="22" t="n">
        <x:v>254</x:v>
      </x:c>
      <x:c r="B121" s="22" t="n">
        <x:v>253</x:v>
      </x:c>
      <x:c r="C121" s="22" t="str">
        <x:v>NO</x:v>
      </x:c>
      <x:c r="D121" s="22" t="n">
        <x:v>14073200</x:v>
      </x:c>
      <x:c r="E121" s="22" t="n">
        <x:v>14335000</x:v>
      </x:c>
      <x:c r="F121" s="22" t="n">
        <x:v>30200000</x:v>
      </x:c>
      <x:c r="G121" s="22" t="n">
        <x:v>30500000</x:v>
      </x:c>
      <x:c r="H121" s="22" t="n">
        <x:v>1017740</x:v>
      </x:c>
      <x:c r="I121" s="22" t="n">
        <x:v>708062</x:v>
      </x:c>
      <x:c r="J121" s="22" t="n">
        <x:v>9678</x:v>
      </x:c>
      <x:c r="K121" s="22" t="n">
        <x:v>0</x:v>
      </x:c>
      <x:c r="L121" s="22" t="n">
        <x:v>0</x:v>
      </x:c>
      <x:c r="M121" s="22" t="n">
        <x:v>0</x:v>
      </x:c>
      <x:c r="N121" s="22" t="n">
        <x:v>0</x:v>
      </x:c>
      <x:c r="O121" s="22" t="n">
        <x:v>120938</x:v>
      </x:c>
      <x:c r="P121" s="22" t="n">
        <x:v>300000</x:v>
      </x:c>
      <x:c r="Q121" s="23" t="n">
        <x:v>0.00993377</x:v>
      </x:c>
      <x:c r="R121" s="22" t="str">
        <x:v>pop.event.recovery.220_260.wei|pop.event.recovery.220_260.wu|pop.event.recovery.220_260.shu|pop.event.war.241_257.huainan</x:v>
      </x:c>
      <x:c r="S121" s="22" t="str">
        <x:v>曹魏北方屯田、恢复与编户|孙吴江南开发与山越整合|蜀汉益州稳定与南中整合|淮南军事冲突与三叛</x:v>
      </x:c>
      <x:c r="T121" s="22" t="str"/>
      <x:c r="U121" s="22" t="str">
        <x:v>C</x:v>
      </x:c>
      <x:c r="V121" s="22" t="str">
        <x:v>MODELED</x:v>
      </x:c>
      <x:c r="W121" s="22" t="str">
        <x:v>同一连续时间线；模型人口不冒充史籍普查。</x:v>
      </x:c>
    </x:row>
    <x:row r="122">
      <x:c r="A122" s="22" t="n">
        <x:v>255</x:v>
      </x:c>
      <x:c r="B122" s="22" t="n">
        <x:v>254</x:v>
      </x:c>
      <x:c r="C122" s="22" t="str">
        <x:v>NO</x:v>
      </x:c>
      <x:c r="D122" s="22" t="n">
        <x:v>14335000</x:v>
      </x:c>
      <x:c r="E122" s="22" t="n">
        <x:v>14599200</x:v>
      </x:c>
      <x:c r="F122" s="22" t="n">
        <x:v>30500000</x:v>
      </x:c>
      <x:c r="G122" s="22" t="n">
        <x:v>30800000</x:v>
      </x:c>
      <x:c r="H122" s="22" t="n">
        <x:v>1029375</x:v>
      </x:c>
      <x:c r="I122" s="22" t="n">
        <x:v>704986</x:v>
      </x:c>
      <x:c r="J122" s="22" t="n">
        <x:v>24389</x:v>
      </x:c>
      <x:c r="K122" s="22" t="n">
        <x:v>0</x:v>
      </x:c>
      <x:c r="L122" s="22" t="n">
        <x:v>0</x:v>
      </x:c>
      <x:c r="M122" s="22" t="n">
        <x:v>0</x:v>
      </x:c>
      <x:c r="N122" s="22" t="n">
        <x:v>0</x:v>
      </x:c>
      <x:c r="O122" s="22" t="n">
        <x:v>122800</x:v>
      </x:c>
      <x:c r="P122" s="22" t="n">
        <x:v>300000</x:v>
      </x:c>
      <x:c r="Q122" s="23" t="n">
        <x:v>0.00983607</x:v>
      </x:c>
      <x:c r="R122" s="22" t="str">
        <x:v>pop.event.recovery.220_260.wei|pop.event.recovery.220_260.wu|pop.event.recovery.220_260.shu|pop.event.war.241_257.huainan|pop.event.war.255.taoxi</x:v>
      </x:c>
      <x:c r="S122" s="22" t="str">
        <x:v>曹魏北方屯田、恢复与编户|孙吴江南开发与山越整合|蜀汉益州稳定与南中整合|淮南军事冲突与三叛|洮西战争</x:v>
      </x:c>
      <x:c r="T122" s="22" t="str"/>
      <x:c r="U122" s="22" t="str">
        <x:v>B</x:v>
      </x:c>
      <x:c r="V122" s="22" t="str">
        <x:v>MODELED</x:v>
      </x:c>
      <x:c r="W122" s="22" t="str">
        <x:v>同一连续时间线；模型人口不冒充史籍普查。</x:v>
      </x:c>
    </x:row>
    <x:row r="123">
      <x:c r="A123" s="22" t="n">
        <x:v>256</x:v>
      </x:c>
      <x:c r="B123" s="22" t="n">
        <x:v>255</x:v>
      </x:c>
      <x:c r="C123" s="22" t="str">
        <x:v>NO</x:v>
      </x:c>
      <x:c r="D123" s="22" t="n">
        <x:v>14599200</x:v>
      </x:c>
      <x:c r="E123" s="22" t="n">
        <x:v>14865800</x:v>
      </x:c>
      <x:c r="F123" s="22" t="n">
        <x:v>30800000</x:v>
      </x:c>
      <x:c r="G123" s="22" t="n">
        <x:v>31100000</x:v>
      </x:c>
      <x:c r="H123" s="22" t="n">
        <x:v>1041040</x:v>
      </x:c>
      <x:c r="I123" s="22" t="n">
        <x:v>731151</x:v>
      </x:c>
      <x:c r="J123" s="22" t="n">
        <x:v>9889</x:v>
      </x:c>
      <x:c r="K123" s="22" t="n">
        <x:v>0</x:v>
      </x:c>
      <x:c r="L123" s="22" t="n">
        <x:v>0</x:v>
      </x:c>
      <x:c r="M123" s="22" t="n">
        <x:v>0</x:v>
      </x:c>
      <x:c r="N123" s="22" t="n">
        <x:v>0</x:v>
      </x:c>
      <x:c r="O123" s="22" t="n">
        <x:v>123659</x:v>
      </x:c>
      <x:c r="P123" s="22" t="n">
        <x:v>300000</x:v>
      </x:c>
      <x:c r="Q123" s="23" t="n">
        <x:v>0.00974026</x:v>
      </x:c>
      <x:c r="R123" s="22" t="str">
        <x:v>pop.event.recovery.220_260.wei|pop.event.recovery.220_260.wu|pop.event.recovery.220_260.shu|pop.event.war.241_257.huainan</x:v>
      </x:c>
      <x:c r="S123" s="22" t="str">
        <x:v>曹魏北方屯田、恢复与编户|孙吴江南开发与山越整合|蜀汉益州稳定与南中整合|淮南军事冲突与三叛</x:v>
      </x:c>
      <x:c r="T123" s="22" t="str"/>
      <x:c r="U123" s="22" t="str">
        <x:v>C</x:v>
      </x:c>
      <x:c r="V123" s="22" t="str">
        <x:v>MODELED</x:v>
      </x:c>
      <x:c r="W123" s="22" t="str">
        <x:v>同一连续时间线；模型人口不冒充史籍普查。</x:v>
      </x:c>
    </x:row>
    <x:row r="124">
      <x:c r="A124" s="22" t="n">
        <x:v>257</x:v>
      </x:c>
      <x:c r="B124" s="22" t="n">
        <x:v>256</x:v>
      </x:c>
      <x:c r="C124" s="22" t="str">
        <x:v>NO</x:v>
      </x:c>
      <x:c r="D124" s="22" t="n">
        <x:v>14865800</x:v>
      </x:c>
      <x:c r="E124" s="22" t="n">
        <x:v>15134800</x:v>
      </x:c>
      <x:c r="F124" s="22" t="n">
        <x:v>31100000</x:v>
      </x:c>
      <x:c r="G124" s="22" t="n">
        <x:v>31400000</x:v>
      </x:c>
      <x:c r="H124" s="22" t="n">
        <x:v>1052735</x:v>
      </x:c>
      <x:c r="I124" s="22" t="n">
        <x:v>742741</x:v>
      </x:c>
      <x:c r="J124" s="22" t="n">
        <x:v>9994</x:v>
      </x:c>
      <x:c r="K124" s="22" t="n">
        <x:v>0</x:v>
      </x:c>
      <x:c r="L124" s="22" t="n">
        <x:v>0</x:v>
      </x:c>
      <x:c r="M124" s="22" t="n">
        <x:v>0</x:v>
      </x:c>
      <x:c r="N124" s="22" t="n">
        <x:v>0</x:v>
      </x:c>
      <x:c r="O124" s="22" t="n">
        <x:v>124787</x:v>
      </x:c>
      <x:c r="P124" s="22" t="n">
        <x:v>300000</x:v>
      </x:c>
      <x:c r="Q124" s="23" t="n">
        <x:v>0.0096463</x:v>
      </x:c>
      <x:c r="R124" s="22" t="str">
        <x:v>pop.event.recovery.220_260.wei|pop.event.recovery.220_260.wu|pop.event.recovery.220_260.shu|pop.event.war.241_257.huainan</x:v>
      </x:c>
      <x:c r="S124" s="22" t="str">
        <x:v>曹魏北方屯田、恢复与编户|孙吴江南开发与山越整合|蜀汉益州稳定与南中整合|淮南军事冲突与三叛</x:v>
      </x:c>
      <x:c r="T124" s="22" t="str"/>
      <x:c r="U124" s="22" t="str">
        <x:v>B</x:v>
      </x:c>
      <x:c r="V124" s="22" t="str">
        <x:v>MODELED</x:v>
      </x:c>
      <x:c r="W124" s="22" t="str">
        <x:v>同一连续时间线；模型人口不冒充史籍普查。</x:v>
      </x:c>
    </x:row>
    <x:row r="125">
      <x:c r="A125" s="22" t="n">
        <x:v>258</x:v>
      </x:c>
      <x:c r="B125" s="22" t="n">
        <x:v>257</x:v>
      </x:c>
      <x:c r="C125" s="22" t="str">
        <x:v>NO</x:v>
      </x:c>
      <x:c r="D125" s="22" t="n">
        <x:v>15134800</x:v>
      </x:c>
      <x:c r="E125" s="22" t="n">
        <x:v>15406200</x:v>
      </x:c>
      <x:c r="F125" s="22" t="n">
        <x:v>31400000</x:v>
      </x:c>
      <x:c r="G125" s="22" t="n">
        <x:v>31700000</x:v>
      </x:c>
      <x:c r="H125" s="22" t="n">
        <x:v>1064460</x:v>
      </x:c>
      <x:c r="I125" s="22" t="n">
        <x:v>764460</x:v>
      </x:c>
      <x:c r="J125" s="22" t="n">
        <x:v>0</x:v>
      </x:c>
      <x:c r="K125" s="22" t="n">
        <x:v>0</x:v>
      </x:c>
      <x:c r="L125" s="22" t="n">
        <x:v>0</x:v>
      </x:c>
      <x:c r="M125" s="22" t="n">
        <x:v>0</x:v>
      </x:c>
      <x:c r="N125" s="22" t="n">
        <x:v>0</x:v>
      </x:c>
      <x:c r="O125" s="22" t="n">
        <x:v>126048</x:v>
      </x:c>
      <x:c r="P125" s="22" t="n">
        <x:v>300000</x:v>
      </x:c>
      <x:c r="Q125" s="23" t="n">
        <x:v>0.00955414</x:v>
      </x:c>
      <x:c r="R125" s="22" t="str">
        <x:v>pop.event.recovery.220_260.wei|pop.event.recovery.220_260.wu|pop.event.recovery.220_260.shu</x:v>
      </x:c>
      <x:c r="S125" s="22" t="str">
        <x:v>曹魏北方屯田、恢复与编户|孙吴江南开发与山越整合|蜀汉益州稳定与南中整合</x:v>
      </x:c>
      <x:c r="T125" s="22" t="str"/>
      <x:c r="U125" s="22" t="str">
        <x:v>C</x:v>
      </x:c>
      <x:c r="V125" s="22" t="str">
        <x:v>MODELED</x:v>
      </x:c>
      <x:c r="W125" s="22" t="str">
        <x:v>同一连续时间线；模型人口不冒充史籍普查。</x:v>
      </x:c>
    </x:row>
    <x:row r="126">
      <x:c r="A126" s="22" t="n">
        <x:v>259</x:v>
      </x:c>
      <x:c r="B126" s="22" t="n">
        <x:v>258</x:v>
      </x:c>
      <x:c r="C126" s="22" t="str">
        <x:v>NO</x:v>
      </x:c>
      <x:c r="D126" s="22" t="n">
        <x:v>15406200</x:v>
      </x:c>
      <x:c r="E126" s="22" t="n">
        <x:v>15680000</x:v>
      </x:c>
      <x:c r="F126" s="22" t="n">
        <x:v>31700000</x:v>
      </x:c>
      <x:c r="G126" s="22" t="n">
        <x:v>32000000</x:v>
      </x:c>
      <x:c r="H126" s="22" t="n">
        <x:v>1076215</x:v>
      </x:c>
      <x:c r="I126" s="22" t="n">
        <x:v>776215</x:v>
      </x:c>
      <x:c r="J126" s="22" t="n">
        <x:v>0</x:v>
      </x:c>
      <x:c r="K126" s="22" t="n">
        <x:v>0</x:v>
      </x:c>
      <x:c r="L126" s="22" t="n">
        <x:v>0</x:v>
      </x:c>
      <x:c r="M126" s="22" t="n">
        <x:v>0</x:v>
      </x:c>
      <x:c r="N126" s="22" t="n">
        <x:v>0</x:v>
      </x:c>
      <x:c r="O126" s="22" t="n">
        <x:v>127240</x:v>
      </x:c>
      <x:c r="P126" s="22" t="n">
        <x:v>300000</x:v>
      </x:c>
      <x:c r="Q126" s="23" t="n">
        <x:v>0.00946372</x:v>
      </x:c>
      <x:c r="R126" s="22" t="str">
        <x:v>pop.event.recovery.220_260.wei|pop.event.recovery.220_260.wu|pop.event.recovery.220_260.shu</x:v>
      </x:c>
      <x:c r="S126" s="22" t="str">
        <x:v>曹魏北方屯田、恢复与编户|孙吴江南开发与山越整合|蜀汉益州稳定与南中整合</x:v>
      </x:c>
      <x:c r="T126" s="22" t="str"/>
      <x:c r="U126" s="22" t="str">
        <x:v>C</x:v>
      </x:c>
      <x:c r="V126" s="22" t="str">
        <x:v>MODELED</x:v>
      </x:c>
      <x:c r="W126" s="22" t="str">
        <x:v>同一连续时间线；模型人口不冒充史籍普查。</x:v>
      </x:c>
    </x:row>
    <x:row r="127">
      <x:c r="A127" s="22" t="n">
        <x:v>260</x:v>
      </x:c>
      <x:c r="B127" s="22" t="n">
        <x:v>259</x:v>
      </x:c>
      <x:c r="C127" s="22" t="str">
        <x:v>YES</x:v>
      </x:c>
      <x:c r="D127" s="22" t="n">
        <x:v>15680000</x:v>
      </x:c>
      <x:c r="E127" s="22" t="n">
        <x:v>15988500</x:v>
      </x:c>
      <x:c r="F127" s="22" t="n">
        <x:v>32000000</x:v>
      </x:c>
      <x:c r="G127" s="22" t="n">
        <x:v>32300000</x:v>
      </x:c>
      <x:c r="H127" s="22" t="n">
        <x:v>1088000</x:v>
      </x:c>
      <x:c r="I127" s="22" t="n">
        <x:v>788000</x:v>
      </x:c>
      <x:c r="J127" s="22" t="n">
        <x:v>0</x:v>
      </x:c>
      <x:c r="K127" s="22" t="n">
        <x:v>0</x:v>
      </x:c>
      <x:c r="L127" s="22" t="n">
        <x:v>0</x:v>
      </x:c>
      <x:c r="M127" s="22" t="n">
        <x:v>0</x:v>
      </x:c>
      <x:c r="N127" s="22" t="n">
        <x:v>0</x:v>
      </x:c>
      <x:c r="O127" s="22" t="n">
        <x:v>161816</x:v>
      </x:c>
      <x:c r="P127" s="22" t="n">
        <x:v>300000</x:v>
      </x:c>
      <x:c r="Q127" s="23" t="n">
        <x:v>0.009375</x:v>
      </x:c>
      <x:c r="R127" s="22" t="str">
        <x:v>pop.event.recovery.220_260.wei|pop.event.recovery.220_260.wu|pop.event.recovery.220_260.shu</x:v>
      </x:c>
      <x:c r="S127" s="22" t="str">
        <x:v>曹魏北方屯田、恢复与编户|孙吴江南开发与山越整合|蜀汉益州稳定与南中整合</x:v>
      </x:c>
      <x:c r="T127" s="22" t="str"/>
      <x:c r="U127" s="22" t="str">
        <x:v>B</x:v>
      </x:c>
      <x:c r="V127" s="22" t="str">
        <x:v>MODELED</x:v>
      </x:c>
      <x:c r="W127" s="22" t="str">
        <x:v>同一连续时间线；模型人口不冒充史籍普查。</x:v>
      </x:c>
    </x:row>
  </x:sheetData>
  <x:pageMargins left="0.7" right="0.7" top="0.75" bottom="0.75" header="0.3" footer="0.3"/>
  <x:tableParts count="1">
    <x:tablePart xmlns:r="http://schemas.openxmlformats.org/officeDocument/2006/relationships" r:id="R795b35ef92d048a3"/>
  </x:tableParts>
</x:worksheet>
</file>