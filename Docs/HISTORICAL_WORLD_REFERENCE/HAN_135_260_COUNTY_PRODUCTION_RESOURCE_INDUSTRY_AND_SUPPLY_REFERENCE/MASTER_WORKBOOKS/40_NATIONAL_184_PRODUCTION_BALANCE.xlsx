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9940b3daeb84652" /></Relationships>
</file>

<file path=xl/workbook.xml><?xml version="1.0" encoding="utf-8"?>
<x:workbook xmlns:x="http://schemas.openxmlformats.org/spreadsheetml/2006/main">
  <x:sheets>
    <x:sheet xmlns:r="http://schemas.openxmlformats.org/officeDocument/2006/relationships" name="README" sheetId="1" r:id="R9002d0d377884f63"/>
    <x:sheet xmlns:r="http://schemas.openxmlformats.org/officeDocument/2006/relationships" name="Data" sheetId="2" r:id="Rc6a1e5e180e840a5"/>
    <x:sheet xmlns:r="http://schemas.openxmlformats.org/officeDocument/2006/relationships" name="Validation" sheetId="3" r:id="Rc9b6400829bb4097"/>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20"/>
      <x:color rgb="FFFFFFFF"/>
      <x:name val="Carlito"/>
    </x:font>
    <x:font>
      <x:b/>
      <x:sz val="11"/>
      <x:color rgb="FFFFFFFF"/>
      <x:name val="Carlito"/>
    </x:font>
    <x:font>
      <x:b/>
      <x:sz val="11"/>
      <x:color rgb="FF153B50"/>
      <x:name val="Carlito"/>
    </x:font>
    <x:font>
      <x:i/>
      <x:sz val="11"/>
      <x:color rgb="FF7F6000"/>
      <x:name val="Carlito"/>
    </x:font>
  </x:fonts>
  <x:fills count="7">
    <x:fill>
      <x:patternFill patternType="none"/>
    </x:fill>
    <x:fill>
      <x:patternFill patternType="gray125"/>
    </x:fill>
    <x:fill>
      <x:patternFill patternType="solid">
        <x:fgColor rgb="FF153B50"/>
      </x:patternFill>
    </x:fill>
    <x:fill>
      <x:patternFill patternType="solid">
        <x:fgColor rgb="FF2E6E7E"/>
      </x:patternFill>
    </x:fill>
    <x:fill>
      <x:patternFill patternType="solid">
        <x:fgColor rgb="FFDCEBF0"/>
      </x:patternFill>
    </x:fill>
    <x:fill>
      <x:patternFill patternType="solid">
        <x:fgColor rgb="FFFFF2CC"/>
      </x:patternFill>
    </x:fill>
    <x:fill>
      <x:patternFill patternType="solid">
        <x:fgColor rgb="FF214E63"/>
      </x:patternFill>
    </x:fill>
  </x:fills>
  <x:borders count="2">
    <x:border/>
    <x:border>
      <x:left style="thin">
        <x:color rgb="FFB8CDD5"/>
      </x:left>
      <x:right style="thin">
        <x:color rgb="FFB8CDD5"/>
      </x:right>
      <x:top style="thin">
        <x:color rgb="FFB8CDD5"/>
      </x:top>
      <x:bottom style="thin">
        <x:color rgb="FFB8CDD5"/>
      </x:bottom>
    </x:border>
  </x:borders>
  <x:cellStyleXfs count="1">
    <x:xf numFmtId="0" fontId="0" fillId="0" borderId="0"/>
  </x:cellStyleXfs>
  <x:cellXfs count="2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2" fillId="3" borderId="1" xfId="0" applyNumberFormat="1" applyFont="1" applyFill="1" applyBorder="1"/>
    <x:xf numFmtId="0" fontId="3" fillId="4" borderId="1" xfId="0" applyNumberFormat="1" applyFont="1" applyFill="1" applyBorder="1"/>
    <x:xf numFmtId="0" fontId="0" fillId="0" borderId="1" xfId="0" applyNumberFormat="1" applyFont="1" applyFill="1" applyBorder="1"/>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vertical="center" wrapText="1"/>
    </x:xf>
    <x:xf numFmtId="0" fontId="2" fillId="6"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03aae7c408a4e60" /><Relationship Type="http://schemas.openxmlformats.org/officeDocument/2006/relationships/theme" Target="/xl/theme/theme1.xml" Id="Re0d99278825d4573" /><Relationship Type="http://schemas.openxmlformats.org/officeDocument/2006/relationships/sharedStrings" Target="/xl/sharedStrings.xml" Id="R94227c29fa954795" /><Relationship Type="http://schemas.openxmlformats.org/officeDocument/2006/relationships/worksheet" Target="/xl/worksheets/sheet1.xml" Id="R9002d0d377884f63" /><Relationship Type="http://schemas.openxmlformats.org/officeDocument/2006/relationships/worksheet" Target="/xl/worksheets/sheet2.xml" Id="Rc6a1e5e180e840a5" /><Relationship Type="http://schemas.openxmlformats.org/officeDocument/2006/relationships/worksheet" Target="/xl/worksheets/sheet3.xml" Id="Rc9b6400829bb4097" /></Relationships>
</file>

<file path=xl/tables/table1.xml><?xml version="1.0" encoding="utf-8"?>
<x:table xmlns:x="http://schemas.openxmlformats.org/spreadsheetml/2006/main" id="1" name="T40" displayName="T40" ref="A1:M20" headerRowCount="1" totalsRowCount="0" totalsRowShown="0">
  <x:tableColumns count="13">
    <x:tableColumn id="1" name="product_category"/>
    <x:tableColumn id="2" name="normalized_unit"/>
    <x:tableColumn id="3" name="opening_stock"/>
    <x:tableColumn id="4" name="production"/>
    <x:tableColumn id="5" name="internal_imports"/>
    <x:tableColumn id="6" name="demand"/>
    <x:tableColumn id="7" name="loss"/>
    <x:tableColumn id="8" name="internal_exports"/>
    <x:tableColumn id="9" name="closing_stock"/>
    <x:tableColumn id="10" name="net_before_trade"/>
    <x:tableColumn id="11" name="production_coverage_ratio"/>
    <x:tableColumn id="12" name="internal_trade_conservation_error"/>
    <x:tableColumn id="13" name="evidence_grad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a7ce69a3ec3472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82" hidden="0" customWidth="1"/>
  </x:cols>
  <x:sheetData>
    <x:row r="1">
      <x:c r="A1" s="3" t="str">
        <x:v>National 184 production balance</x:v>
      </x:c>
      <x:c r="B1" s="3"/>
      <x:c r="C1" s="3"/>
      <x:c r="D1" s="3"/>
      <x:c r="E1" s="3"/>
      <x:c r="F1" s="3"/>
      <x:c r="G1" s="3"/>
      <x:c r="H1" s="3"/>
    </x:row>
    <x:row r="2">
      <x:c r="A2" s="3"/>
      <x:c r="B2" s="3"/>
      <x:c r="C2" s="3"/>
      <x:c r="D2" s="3"/>
      <x:c r="E2" s="3"/>
      <x:c r="F2" s="3"/>
      <x:c r="G2" s="3"/>
      <x:c r="H2" s="3"/>
    </x:row>
    <x:row r="4">
      <x:c r="A4" s="8" t="str">
        <x:v>Field</x:v>
      </x:c>
      <x:c r="B4" s="11" t="str">
        <x:v>Value</x:v>
      </x:c>
    </x:row>
    <x:row r="5">
      <x:c r="A5" s="9" t="str">
        <x:v>Task</x:v>
      </x:c>
      <x:c r="B5" s="12" t="str">
        <x:v>HAN_135_260_COUNTY_PRODUCTION_RESOURCE_INDUSTRY_AND_SUPPLY_NETWORK_V1</x:v>
      </x:c>
    </x:row>
    <x:row r="6">
      <x:c r="A6" s="9" t="str">
        <x:v>Workbook</x:v>
      </x:c>
      <x:c r="B6" s="12" t="str">
        <x:v>40_NATIONAL_184_PRODUCTION_BALANCE.xlsx</x:v>
      </x:c>
    </x:row>
    <x:row r="7">
      <x:c r="A7" s="9" t="str">
        <x:v>Role</x:v>
      </x:c>
      <x:c r="B7" s="12" t="str">
        <x:v>Development reference; not runtime authority</x:v>
      </x:c>
    </x:row>
    <x:row r="8">
      <x:c r="A8" s="9" t="str">
        <x:v>Expected rows</x:v>
      </x:c>
      <x:c r="B8" s="12" t="n">
        <x:v>19</x:v>
      </x:c>
    </x:row>
    <x:row r="9">
      <x:c r="A9" s="9" t="str">
        <x:v>Data rows (formula)</x:v>
      </x:c>
      <x:c r="B9" s="12" t="n">
        <x:f>COUNTA(Data!A:A)-1</x:f>
        <x:v>19</x:v>
      </x:c>
    </x:row>
    <x:row r="10">
      <x:c r="A10" s="9" t="str">
        <x:v>Evidence policy</x:v>
      </x:c>
      <x:c r="B10" s="12" t="str">
        <x:v>HISTORICAL / ARCHAEOLOGICAL / RECONSTRUCTED / MODELED / UNKNOWN</x:v>
      </x:c>
    </x:row>
    <x:row r="11">
      <x:c r="A11" s="9" t="str">
        <x:v>Runtime authority</x:v>
      </x:c>
      <x:c r="B11" s="12" t="str">
        <x:v>Cell + Resource + Facility + Worker + Recipe + Inventory + Transport</x:v>
      </x:c>
    </x:row>
    <x:row r="12">
      <x:c r="A12" s="9" t="str">
        <x:v>Generated from</x:v>
      </x:c>
      <x:c r="B12" s="12" t="str">
        <x:v>county_economy_master_v1.json</x:v>
      </x:c>
    </x:row>
    <x:row r="14">
      <x:c r="A14" s="16" t="str">
        <x:v>Interpretation guard: modeled county points, areas and capacities are analytical references. They must not be presented as historical county boundaries, exact ancient routes, or already materialized facilities and inventories. Deficits and unknowns are retained rather than filled by hidden multipliers.</x:v>
      </x:c>
      <x:c r="B14" s="16"/>
      <x:c r="C14" s="16"/>
      <x:c r="D14" s="16"/>
      <x:c r="E14" s="16"/>
      <x:c r="F14" s="16"/>
      <x:c r="G14" s="16"/>
      <x:c r="H14" s="16"/>
    </x:row>
    <x:row r="15">
      <x:c r="A15" s="16"/>
      <x:c r="B15" s="16"/>
      <x:c r="C15" s="16"/>
      <x:c r="D15" s="16"/>
      <x:c r="E15" s="16"/>
      <x:c r="F15" s="16"/>
      <x:c r="G15" s="16"/>
      <x:c r="H15" s="16"/>
    </x:row>
    <x:row r="16">
      <x:c r="A16" s="16"/>
      <x:c r="B16" s="16"/>
      <x:c r="C16" s="16"/>
      <x:c r="D16" s="16"/>
      <x:c r="E16" s="16"/>
      <x:c r="F16" s="16"/>
      <x:c r="G16" s="16"/>
      <x:c r="H16" s="16"/>
    </x:row>
    <x:row r="17">
      <x:c r="A17" s="16"/>
      <x:c r="B17" s="16"/>
      <x:c r="C17" s="16"/>
      <x:c r="D17" s="16"/>
      <x:c r="E17" s="16"/>
      <x:c r="F17" s="16"/>
      <x:c r="G17" s="16"/>
      <x:c r="H17" s="16"/>
    </x:row>
  </x:sheetData>
  <x:mergeCells>
    <x:mergeCell ref="A1:H2"/>
    <x:mergeCell ref="A14:H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34" hidden="0" customWidth="1"/>
  </x:cols>
  <x:sheetData>
    <x:row r="1" ht="34" customHeight="1">
      <x:c r="A1" s="20" t="str">
        <x:v>product_category</x:v>
      </x:c>
      <x:c r="B1" s="20" t="str">
        <x:v>normalized_unit</x:v>
      </x:c>
      <x:c r="C1" s="20" t="str">
        <x:v>opening_stock</x:v>
      </x:c>
      <x:c r="D1" s="20" t="str">
        <x:v>production</x:v>
      </x:c>
      <x:c r="E1" s="20" t="str">
        <x:v>internal_imports</x:v>
      </x:c>
      <x:c r="F1" s="20" t="str">
        <x:v>demand</x:v>
      </x:c>
      <x:c r="G1" s="20" t="str">
        <x:v>loss</x:v>
      </x:c>
      <x:c r="H1" s="20" t="str">
        <x:v>internal_exports</x:v>
      </x:c>
      <x:c r="I1" s="20" t="str">
        <x:v>closing_stock</x:v>
      </x:c>
      <x:c r="J1" s="20" t="str">
        <x:v>net_before_trade</x:v>
      </x:c>
      <x:c r="K1" s="20" t="str">
        <x:v>production_coverage_ratio</x:v>
      </x:c>
      <x:c r="L1" s="20" t="str">
        <x:v>internal_trade_conservation_error</x:v>
      </x:c>
      <x:c r="M1" s="20" t="str">
        <x:v>evidence_grade</x:v>
      </x:c>
    </x:row>
    <x:row r="2">
      <x:c r="A2" t="str">
        <x:v>GRAIN</x:v>
      </x:c>
      <x:c r="B2" t="str">
        <x:v>kg</x:v>
      </x:c>
      <x:c r="C2" t="n">
        <x:v>462773562</x:v>
      </x:c>
      <x:c r="D2" t="n">
        <x:v>9041092681</x:v>
      </x:c>
      <x:c r="E2" t="n">
        <x:v>3129185</x:v>
      </x:c>
      <x:c r="F2" t="n">
        <x:v>11786215195</x:v>
      </x:c>
      <x:c r="G2" t="n">
        <x:v>542465558</x:v>
      </x:c>
      <x:c r="H2" t="n">
        <x:v>3158560</x:v>
      </x:c>
      <x:c r="I2" t="n">
        <x:v>86625232</x:v>
      </x:c>
      <x:c r="J2" t="n">
        <x:v>-3287588072</x:v>
      </x:c>
      <x:c r="K2" t="n">
        <x:v>0.7671</x:v>
      </x:c>
      <x:c r="L2" t="n">
        <x:v>0</x:v>
      </x:c>
      <x:c r="M2" t="str">
        <x:v>MODELED</x:v>
      </x:c>
    </x:row>
    <x:row r="3">
      <x:c r="A3" t="str">
        <x:v>OTHER_FOOD</x:v>
      </x:c>
      <x:c r="B3" t="str">
        <x:v>kg_food_equivalent</x:v>
      </x:c>
      <x:c r="C3" t="n">
        <x:v>130418010</x:v>
      </x:c>
      <x:c r="D3" t="n">
        <x:v>5889589818</x:v>
      </x:c>
      <x:c r="E3" t="n">
        <x:v>14761</x:v>
      </x:c>
      <x:c r="F3" t="n">
        <x:v>3321569780</x:v>
      </x:c>
      <x:c r="G3" t="n">
        <x:v>353375416</x:v>
      </x:c>
      <x:c r="H3" t="n">
        <x:v>14900</x:v>
      </x:c>
      <x:c r="I3" t="n">
        <x:v>2452892582</x:v>
      </x:c>
      <x:c r="J3" t="n">
        <x:v>2214644622</x:v>
      </x:c>
      <x:c r="K3" t="n">
        <x:v>1.7731</x:v>
      </x:c>
      <x:c r="L3" t="n">
        <x:v>0</x:v>
      </x:c>
      <x:c r="M3" t="str">
        <x:v>MODELED</x:v>
      </x:c>
    </x:row>
    <x:row r="4">
      <x:c r="A4" t="str">
        <x:v>SALT</x:v>
      </x:c>
      <x:c r="B4" t="str">
        <x:v>kg</x:v>
      </x:c>
      <x:c r="C4" t="n">
        <x:v>6731256</x:v>
      </x:c>
      <x:c r="D4" t="n">
        <x:v>104801680</x:v>
      </x:c>
      <x:c r="E4" t="n">
        <x:v>516415</x:v>
      </x:c>
      <x:c r="F4" t="n">
        <x:v>154315841</x:v>
      </x:c>
      <x:c r="G4" t="n">
        <x:v>1257617</x:v>
      </x:c>
      <x:c r="H4" t="n">
        <x:v>548928</x:v>
      </x:c>
      <x:c r="I4" t="n">
        <x:v>42548289</x:v>
      </x:c>
      <x:c r="J4" t="n">
        <x:v>-50771778</x:v>
      </x:c>
      <x:c r="K4" t="n">
        <x:v>0.6791</x:v>
      </x:c>
      <x:c r="L4" t="n">
        <x:v>0</x:v>
      </x:c>
      <x:c r="M4" t="str">
        <x:v>MODELED</x:v>
      </x:c>
    </x:row>
    <x:row r="5">
      <x:c r="A5" t="str">
        <x:v>FUEL</x:v>
      </x:c>
      <x:c r="B5" t="str">
        <x:v>kg_charcoal_equivalent</x:v>
      </x:c>
      <x:c r="C5" t="n">
        <x:v>820371353</x:v>
      </x:c>
      <x:c r="D5" t="n">
        <x:v>27231529669</x:v>
      </x:c>
      <x:c r="E5" t="n">
        <x:v>0</x:v>
      </x:c>
      <x:c r="F5" t="n">
        <x:v>27570545056</x:v>
      </x:c>
      <x:c r="G5" t="n">
        <x:v>680788226</x:v>
      </x:c>
      <x:c r="H5" t="n">
        <x:v>0</x:v>
      </x:c>
      <x:c r="I5" t="n">
        <x:v>8836832352</x:v>
      </x:c>
      <x:c r="J5" t="n">
        <x:v>-1019803613</x:v>
      </x:c>
      <x:c r="K5" t="n">
        <x:v>0.9877</x:v>
      </x:c>
      <x:c r="L5" t="n">
        <x:v>0</x:v>
      </x:c>
      <x:c r="M5" t="str">
        <x:v>MODELED</x:v>
      </x:c>
    </x:row>
    <x:row r="6">
      <x:c r="A6" t="str">
        <x:v>TIMBER</x:v>
      </x:c>
      <x:c r="B6" t="str">
        <x:v>kg</x:v>
      </x:c>
      <x:c r="C6" t="n">
        <x:v>109382843</x:v>
      </x:c>
      <x:c r="D6" t="n">
        <x:v>10116207771</x:v>
      </x:c>
      <x:c r="E6" t="n">
        <x:v>4229957</x:v>
      </x:c>
      <x:c r="F6" t="n">
        <x:v>3397872704</x:v>
      </x:c>
      <x:c r="G6" t="n">
        <x:v>252905189</x:v>
      </x:c>
      <x:c r="H6" t="n">
        <x:v>4269323</x:v>
      </x:c>
      <x:c r="I6" t="n">
        <x:v>6893545322</x:v>
      </x:c>
      <x:c r="J6" t="n">
        <x:v>6465429878</x:v>
      </x:c>
      <x:c r="K6" t="n">
        <x:v>2.9772</x:v>
      </x:c>
      <x:c r="L6" t="n">
        <x:v>0</x:v>
      </x:c>
      <x:c r="M6" t="str">
        <x:v>MODELED</x:v>
      </x:c>
    </x:row>
    <x:row r="7">
      <x:c r="A7" t="str">
        <x:v>HORSE</x:v>
      </x:c>
      <x:c r="B7" t="str">
        <x:v>head</x:v>
      </x:c>
      <x:c r="C7" t="n">
        <x:v>12578</x:v>
      </x:c>
      <x:c r="D7" t="n">
        <x:v>33374</x:v>
      </x:c>
      <x:c r="E7" t="n">
        <x:v>0</x:v>
      </x:c>
      <x:c r="F7" t="n">
        <x:v>321396</x:v>
      </x:c>
      <x:c r="G7" t="n">
        <x:v>277</x:v>
      </x:c>
      <x:c r="H7" t="n">
        <x:v>0</x:v>
      </x:c>
      <x:c r="I7" t="n">
        <x:v>25</x:v>
      </x:c>
      <x:c r="J7" t="n">
        <x:v>-288299</x:v>
      </x:c>
      <x:c r="K7" t="n">
        <x:v>0.1038</x:v>
      </x:c>
      <x:c r="L7" t="n">
        <x:v>0</x:v>
      </x:c>
      <x:c r="M7" t="str">
        <x:v>MODELED</x:v>
      </x:c>
    </x:row>
    <x:row r="8">
      <x:c r="A8" t="str">
        <x:v>LIVESTOCK</x:v>
      </x:c>
      <x:c r="B8" t="str">
        <x:v>head</x:v>
      </x:c>
      <x:c r="C8" t="n">
        <x:v>136726</x:v>
      </x:c>
      <x:c r="D8" t="n">
        <x:v>2026837</x:v>
      </x:c>
      <x:c r="E8" t="n">
        <x:v>0</x:v>
      </x:c>
      <x:c r="F8" t="n">
        <x:v>3134528</x:v>
      </x:c>
      <x:c r="G8" t="n">
        <x:v>24318</x:v>
      </x:c>
      <x:c r="H8" t="n">
        <x:v>0</x:v>
      </x:c>
      <x:c r="I8" t="n">
        <x:v>62384</x:v>
      </x:c>
      <x:c r="J8" t="n">
        <x:v>-1132009</x:v>
      </x:c>
      <x:c r="K8" t="n">
        <x:v>0.6466</x:v>
      </x:c>
      <x:c r="L8" t="n">
        <x:v>0</x:v>
      </x:c>
      <x:c r="M8" t="str">
        <x:v>MODELED</x:v>
      </x:c>
    </x:row>
    <x:row r="9">
      <x:c r="A9" t="str">
        <x:v>LEATHER</x:v>
      </x:c>
      <x:c r="B9" t="str">
        <x:v>kg</x:v>
      </x:c>
      <x:c r="C9" t="n">
        <x:v>2734567</x:v>
      </x:c>
      <x:c r="D9" t="n">
        <x:v>4256404</x:v>
      </x:c>
      <x:c r="E9" t="n">
        <x:v>0</x:v>
      </x:c>
      <x:c r="F9" t="n">
        <x:v>84946803</x:v>
      </x:c>
      <x:c r="G9" t="n">
        <x:v>51076</x:v>
      </x:c>
      <x:c r="H9" t="n">
        <x:v>0</x:v>
      </x:c>
      <x:c r="I9" t="n">
        <x:v>0</x:v>
      </x:c>
      <x:c r="J9" t="n">
        <x:v>-80741475</x:v>
      </x:c>
      <x:c r="K9" t="n">
        <x:v>0.0501</x:v>
      </x:c>
      <x:c r="L9" t="n">
        <x:v>0</x:v>
      </x:c>
      <x:c r="M9" t="str">
        <x:v>MODELED</x:v>
      </x:c>
    </x:row>
    <x:row r="10">
      <x:c r="A10" t="str">
        <x:v>FIBER</x:v>
      </x:c>
      <x:c r="B10" t="str">
        <x:v>kg</x:v>
      </x:c>
      <x:c r="C10" t="n">
        <x:v>5048431</x:v>
      </x:c>
      <x:c r="D10" t="n">
        <x:v>209138748</x:v>
      </x:c>
      <x:c r="E10" t="n">
        <x:v>473230</x:v>
      </x:c>
      <x:c r="F10" t="n">
        <x:v>156824905</x:v>
      </x:c>
      <x:c r="G10" t="n">
        <x:v>2509655</x:v>
      </x:c>
      <x:c r="H10" t="n">
        <x:v>477485</x:v>
      </x:c>
      <x:c r="I10" t="n">
        <x:v>58164794</x:v>
      </x:c>
      <x:c r="J10" t="n">
        <x:v>49804188</x:v>
      </x:c>
      <x:c r="K10" t="n">
        <x:v>1.3336</x:v>
      </x:c>
      <x:c r="L10" t="n">
        <x:v>0</x:v>
      </x:c>
      <x:c r="M10" t="str">
        <x:v>MODELED</x:v>
      </x:c>
    </x:row>
    <x:row r="11">
      <x:c r="A11" t="str">
        <x:v>RAW_SILK</x:v>
      </x:c>
      <x:c r="B11" t="str">
        <x:v>kg</x:v>
      </x:c>
      <x:c r="C11" t="n">
        <x:v>94658</x:v>
      </x:c>
      <x:c r="D11" t="n">
        <x:v>2011583</x:v>
      </x:c>
      <x:c r="E11" t="n">
        <x:v>0</x:v>
      </x:c>
      <x:c r="F11" t="n">
        <x:v>2170060</x:v>
      </x:c>
      <x:c r="G11" t="n">
        <x:v>24127</x:v>
      </x:c>
      <x:c r="H11" t="n">
        <x:v>0</x:v>
      </x:c>
      <x:c r="I11" t="n">
        <x:v>173155</x:v>
      </x:c>
      <x:c r="J11" t="n">
        <x:v>-182604</x:v>
      </x:c>
      <x:c r="K11" t="n">
        <x:v>0.927</x:v>
      </x:c>
      <x:c r="L11" t="n">
        <x:v>0</x:v>
      </x:c>
      <x:c r="M11" t="str">
        <x:v>MODELED</x:v>
      </x:c>
    </x:row>
    <x:row r="12">
      <x:c r="A12" t="str">
        <x:v>TEXTILE</x:v>
      </x:c>
      <x:c r="B12" t="str">
        <x:v>bolt</x:v>
      </x:c>
      <x:c r="C12" t="n">
        <x:v>1514533</x:v>
      </x:c>
      <x:c r="D12" t="n">
        <x:v>2462034</x:v>
      </x:c>
      <x:c r="E12" t="n">
        <x:v>0</x:v>
      </x:c>
      <x:c r="F12" t="n">
        <x:v>38573062</x:v>
      </x:c>
      <x:c r="G12" t="n">
        <x:v>29559</x:v>
      </x:c>
      <x:c r="H12" t="n">
        <x:v>0</x:v>
      </x:c>
      <x:c r="I12" t="n">
        <x:v>0</x:v>
      </x:c>
      <x:c r="J12" t="n">
        <x:v>-36140587</x:v>
      </x:c>
      <x:c r="K12" t="n">
        <x:v>0.0638</x:v>
      </x:c>
      <x:c r="L12" t="n">
        <x:v>0</x:v>
      </x:c>
      <x:c r="M12" t="str">
        <x:v>MODELED</x:v>
      </x:c>
    </x:row>
    <x:row r="13">
      <x:c r="A13" t="str">
        <x:v>IRON_ORE</x:v>
      </x:c>
      <x:c r="B13" t="str">
        <x:v>kg</x:v>
      </x:c>
      <x:c r="C13" t="n">
        <x:v>33264</x:v>
      </x:c>
      <x:c r="D13" t="n">
        <x:v>18524054</x:v>
      </x:c>
      <x:c r="E13" t="n">
        <x:v>23262</x:v>
      </x:c>
      <x:c r="F13" t="n">
        <x:v>425269</x:v>
      </x:c>
      <x:c r="G13" t="n">
        <x:v>222291</x:v>
      </x:c>
      <x:c r="H13" t="n">
        <x:v>23504</x:v>
      </x:c>
      <x:c r="I13" t="n">
        <x:v>18239848</x:v>
      </x:c>
      <x:c r="J13" t="n">
        <x:v>17876494</x:v>
      </x:c>
      <x:c r="K13" t="n">
        <x:v>43.5584</x:v>
      </x:c>
      <x:c r="L13" t="n">
        <x:v>0</x:v>
      </x:c>
      <x:c r="M13" t="str">
        <x:v>MODELED</x:v>
      </x:c>
    </x:row>
    <x:row r="14">
      <x:c r="A14" t="str">
        <x:v>METAL</x:v>
      </x:c>
      <x:c r="B14" t="str">
        <x:v>kg</x:v>
      </x:c>
      <x:c r="C14" t="n">
        <x:v>11611895</x:v>
      </x:c>
      <x:c r="D14" t="n">
        <x:v>401103</x:v>
      </x:c>
      <x:c r="E14" t="n">
        <x:v>0</x:v>
      </x:c>
      <x:c r="F14" t="n">
        <x:v>360711646</x:v>
      </x:c>
      <x:c r="G14" t="n">
        <x:v>4772</x:v>
      </x:c>
      <x:c r="H14" t="n">
        <x:v>0</x:v>
      </x:c>
      <x:c r="I14" t="n">
        <x:v>0</x:v>
      </x:c>
      <x:c r="J14" t="n">
        <x:v>-360315315</x:v>
      </x:c>
      <x:c r="K14" t="n">
        <x:v>0.0011</x:v>
      </x:c>
      <x:c r="L14" t="n">
        <x:v>0</x:v>
      </x:c>
      <x:c r="M14" t="str">
        <x:v>MODELED</x:v>
      </x:c>
    </x:row>
    <x:row r="15">
      <x:c r="A15" t="str">
        <x:v>TOOLS</x:v>
      </x:c>
      <x:c r="B15" t="str">
        <x:v>piece</x:v>
      </x:c>
      <x:c r="C15" t="n">
        <x:v>378615</x:v>
      </x:c>
      <x:c r="D15" t="n">
        <x:v>459854</x:v>
      </x:c>
      <x:c r="E15" t="n">
        <x:v>0</x:v>
      </x:c>
      <x:c r="F15" t="n">
        <x:v>8680262</x:v>
      </x:c>
      <x:c r="G15" t="n">
        <x:v>5504</x:v>
      </x:c>
      <x:c r="H15" t="n">
        <x:v>0</x:v>
      </x:c>
      <x:c r="I15" t="n">
        <x:v>0</x:v>
      </x:c>
      <x:c r="J15" t="n">
        <x:v>-8225912</x:v>
      </x:c>
      <x:c r="K15" t="n">
        <x:v>0.053</x:v>
      </x:c>
      <x:c r="L15" t="n">
        <x:v>0</x:v>
      </x:c>
      <x:c r="M15" t="str">
        <x:v>MODELED</x:v>
      </x:c>
    </x:row>
    <x:row r="16">
      <x:c r="A16" t="str">
        <x:v>WEAPONS</x:v>
      </x:c>
      <x:c r="B16" t="str">
        <x:v>piece</x:v>
      </x:c>
      <x:c r="C16" t="n">
        <x:v>4952</x:v>
      </x:c>
      <x:c r="D16" t="n">
        <x:v>51120</x:v>
      </x:c>
      <x:c r="E16" t="n">
        <x:v>380</x:v>
      </x:c>
      <x:c r="F16" t="n">
        <x:v>35634</x:v>
      </x:c>
      <x:c r="G16" t="n">
        <x:v>529</x:v>
      </x:c>
      <x:c r="H16" t="n">
        <x:v>381</x:v>
      </x:c>
      <x:c r="I16" t="n">
        <x:v>20062</x:v>
      </x:c>
      <x:c r="J16" t="n">
        <x:v>14957</x:v>
      </x:c>
      <x:c r="K16" t="n">
        <x:v>1.4346</x:v>
      </x:c>
      <x:c r="L16" t="n">
        <x:v>0</x:v>
      </x:c>
      <x:c r="M16" t="str">
        <x:v>MODELED</x:v>
      </x:c>
    </x:row>
    <x:row r="17">
      <x:c r="A17" t="str">
        <x:v>BUILDING_MATERIAL</x:v>
      </x:c>
      <x:c r="B17" t="str">
        <x:v>kg</x:v>
      </x:c>
      <x:c r="C17" t="n">
        <x:v>199834059</x:v>
      </x:c>
      <x:c r="D17" t="n">
        <x:v>1910456576</x:v>
      </x:c>
      <x:c r="E17" t="n">
        <x:v>0</x:v>
      </x:c>
      <x:c r="F17" t="n">
        <x:v>4581252408</x:v>
      </x:c>
      <x:c r="G17" t="n">
        <x:v>22925480</x:v>
      </x:c>
      <x:c r="H17" t="n">
        <x:v>0</x:v>
      </x:c>
      <x:c r="I17" t="n">
        <x:v>0</x:v>
      </x:c>
      <x:c r="J17" t="n">
        <x:v>-2693721312</x:v>
      </x:c>
      <x:c r="K17" t="n">
        <x:v>0.417</x:v>
      </x:c>
      <x:c r="L17" t="n">
        <x:v>0</x:v>
      </x:c>
      <x:c r="M17" t="str">
        <x:v>MODELED</x:v>
      </x:c>
    </x:row>
    <x:row r="18">
      <x:c r="A18" t="str">
        <x:v>POTTERY</x:v>
      </x:c>
      <x:c r="B18" t="str">
        <x:v>piece</x:v>
      </x:c>
      <x:c r="C18" t="n">
        <x:v>883467</x:v>
      </x:c>
      <x:c r="D18" t="n">
        <x:v>1081184</x:v>
      </x:c>
      <x:c r="E18" t="n">
        <x:v>0</x:v>
      </x:c>
      <x:c r="F18" t="n">
        <x:v>20253918</x:v>
      </x:c>
      <x:c r="G18" t="n">
        <x:v>12930</x:v>
      </x:c>
      <x:c r="H18" t="n">
        <x:v>0</x:v>
      </x:c>
      <x:c r="I18" t="n">
        <x:v>0</x:v>
      </x:c>
      <x:c r="J18" t="n">
        <x:v>-19185664</x:v>
      </x:c>
      <x:c r="K18" t="n">
        <x:v>0.0534</x:v>
      </x:c>
      <x:c r="L18" t="n">
        <x:v>0</x:v>
      </x:c>
      <x:c r="M18" t="str">
        <x:v>MODELED</x:v>
      </x:c>
    </x:row>
    <x:row r="19">
      <x:c r="A19" t="str">
        <x:v>MEDICINE</x:v>
      </x:c>
      <x:c r="B19" t="str">
        <x:v>kg</x:v>
      </x:c>
      <x:c r="C19" t="n">
        <x:v>673147</x:v>
      </x:c>
      <x:c r="D19" t="n">
        <x:v>150237</x:v>
      </x:c>
      <x:c r="E19" t="n">
        <x:v>0</x:v>
      </x:c>
      <x:c r="F19" t="n">
        <x:v>15431591</x:v>
      </x:c>
      <x:c r="G19" t="n">
        <x:v>1790</x:v>
      </x:c>
      <x:c r="H19" t="n">
        <x:v>0</x:v>
      </x:c>
      <x:c r="I19" t="n">
        <x:v>0</x:v>
      </x:c>
      <x:c r="J19" t="n">
        <x:v>-15283144</x:v>
      </x:c>
      <x:c r="K19" t="n">
        <x:v>0.0097</x:v>
      </x:c>
      <x:c r="L19" t="n">
        <x:v>0</x:v>
      </x:c>
      <x:c r="M19" t="str">
        <x:v>MODELED</x:v>
      </x:c>
    </x:row>
    <x:row r="20">
      <x:c r="A20" t="str">
        <x:v>TRANSPORT_EQUIPMENT</x:v>
      </x:c>
      <x:c r="B20" t="str">
        <x:v>unit</x:v>
      </x:c>
      <x:c r="C20" t="n">
        <x:v>5262</x:v>
      </x:c>
      <x:c r="D20" t="n">
        <x:v>23999</x:v>
      </x:c>
      <x:c r="E20" t="n">
        <x:v>0</x:v>
      </x:c>
      <x:c r="F20" t="n">
        <x:v>120548</x:v>
      </x:c>
      <x:c r="G20" t="n">
        <x:v>129</x:v>
      </x:c>
      <x:c r="H20" t="n">
        <x:v>0</x:v>
      </x:c>
      <x:c r="I20" t="n">
        <x:v>0</x:v>
      </x:c>
      <x:c r="J20" t="n">
        <x:v>-96678</x:v>
      </x:c>
      <x:c r="K20" t="n">
        <x:v>0.1991</x:v>
      </x:c>
      <x:c r="L20" t="n">
        <x:v>0</x:v>
      </x:c>
      <x:c r="M20" t="str">
        <x:v>MODELED</x:v>
      </x:c>
    </x:row>
  </x:sheetData>
  <x:pageMargins left="0.7" right="0.7" top="0.75" bottom="0.75" header="0.3" footer="0.3"/>
  <x:tableParts count="1">
    <x:tablePart xmlns:r="http://schemas.openxmlformats.org/officeDocument/2006/relationships" r:id="R7a7ce69a3ec3472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18" hidden="0" customWidth="1"/>
    <x:col min="3" max="3" width="18" hidden="0" customWidth="1"/>
    <x:col min="4" max="4" width="18" hidden="0" customWidth="1"/>
  </x:cols>
  <x:sheetData>
    <x:row r="1">
      <x:c r="A1" s="21" t="str">
        <x:v>Check</x:v>
      </x:c>
      <x:c r="B1" s="21" t="str">
        <x:v>Expected</x:v>
      </x:c>
      <x:c r="C1" s="21" t="str">
        <x:v>Actual</x:v>
      </x:c>
      <x:c r="D1" s="21" t="str">
        <x:v>Status</x:v>
      </x:c>
    </x:row>
    <x:row r="2">
      <x:c r="A2" s="9" t="str">
        <x:v>Data row count</x:v>
      </x:c>
      <x:c r="B2" s="10" t="n">
        <x:v>19</x:v>
      </x:c>
      <x:c r="C2" s="10" t="n">
        <x:f>COUNTA(Data!A:A)-1</x:f>
        <x:v>19</x:v>
      </x:c>
      <x:c r="D2" s="10" t="str">
        <x:f>IF(B2=C2,"PASS","FAIL")</x:f>
        <x:v>PASS</x:v>
      </x:c>
    </x:row>
    <x:row r="3">
      <x:c r="A3" s="9" t="str">
        <x:v>Header exists</x:v>
      </x:c>
      <x:c r="B3" s="10" t="n">
        <x:v>1</x:v>
      </x:c>
      <x:c r="C3" s="10" t="n">
        <x:f>COUNTA(Data!1:1)</x:f>
        <x:v>13</x:v>
      </x:c>
      <x:c r="D3" s="10" t="str">
        <x:f>IF(C3&gt;=B3,"PASS","FAIL")</x:f>
        <x:v>PASS</x:v>
      </x:c>
    </x:row>
    <x:row r="4">
      <x:c r="A4" s="9" t="str">
        <x:v>Reference-only guard</x:v>
      </x:c>
      <x:c r="B4" s="10" t="n">
        <x:v>0</x:v>
      </x:c>
      <x:c r="C4" s="10" t="n">
        <x:v>0</x:v>
      </x:c>
      <x:c r="D4" s="10" t="str">
        <x:f>IF(B4=C4,"PASS","FAIL")</x:f>
        <x:v>PASS</x:v>
      </x:c>
    </x:row>
  </x:sheetData>
  <x:pageMargins left="0.7" right="0.7" top="0.75" bottom="0.75" header="0.3" footer="0.3"/>
</x:worksheet>
</file>