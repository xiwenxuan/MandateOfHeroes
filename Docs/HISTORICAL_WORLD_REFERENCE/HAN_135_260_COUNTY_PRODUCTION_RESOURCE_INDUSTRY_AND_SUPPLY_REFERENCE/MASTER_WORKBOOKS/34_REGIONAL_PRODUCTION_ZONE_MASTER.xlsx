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3de2fec9850401e" /></Relationships>
</file>

<file path=xl/workbook.xml><?xml version="1.0" encoding="utf-8"?>
<x:workbook xmlns:x="http://schemas.openxmlformats.org/spreadsheetml/2006/main">
  <x:sheets>
    <x:sheet xmlns:r="http://schemas.openxmlformats.org/officeDocument/2006/relationships" name="README" sheetId="1" r:id="Rac84058236b74d59"/>
    <x:sheet xmlns:r="http://schemas.openxmlformats.org/officeDocument/2006/relationships" name="Data" sheetId="2" r:id="R9ef540503a514e88"/>
    <x:sheet xmlns:r="http://schemas.openxmlformats.org/officeDocument/2006/relationships" name="Validation" sheetId="3" r:id="R42b88081d5434bc1"/>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20"/>
      <x:color rgb="FFFFFFFF"/>
      <x:name val="Carlito"/>
    </x:font>
    <x:font>
      <x:b/>
      <x:sz val="11"/>
      <x:color rgb="FFFFFFFF"/>
      <x:name val="Carlito"/>
    </x:font>
    <x:font>
      <x:b/>
      <x:sz val="11"/>
      <x:color rgb="FF153B50"/>
      <x:name val="Carlito"/>
    </x:font>
    <x:font>
      <x:i/>
      <x:sz val="11"/>
      <x:color rgb="FF7F6000"/>
      <x:name val="Carlito"/>
    </x:font>
  </x:fonts>
  <x:fills count="7">
    <x:fill>
      <x:patternFill patternType="none"/>
    </x:fill>
    <x:fill>
      <x:patternFill patternType="gray125"/>
    </x:fill>
    <x:fill>
      <x:patternFill patternType="solid">
        <x:fgColor rgb="FF153B50"/>
      </x:patternFill>
    </x:fill>
    <x:fill>
      <x:patternFill patternType="solid">
        <x:fgColor rgb="FF2E6E7E"/>
      </x:patternFill>
    </x:fill>
    <x:fill>
      <x:patternFill patternType="solid">
        <x:fgColor rgb="FFDCEBF0"/>
      </x:patternFill>
    </x:fill>
    <x:fill>
      <x:patternFill patternType="solid">
        <x:fgColor rgb="FFFFF2CC"/>
      </x:patternFill>
    </x:fill>
    <x:fill>
      <x:patternFill patternType="solid">
        <x:fgColor rgb="FF214E63"/>
      </x:patternFill>
    </x:fill>
  </x:fills>
  <x:borders count="2">
    <x:border/>
    <x:border>
      <x:left style="thin">
        <x:color rgb="FFB8CDD5"/>
      </x:left>
      <x:right style="thin">
        <x:color rgb="FFB8CDD5"/>
      </x:right>
      <x:top style="thin">
        <x:color rgb="FFB8CDD5"/>
      </x:top>
      <x:bottom style="thin">
        <x:color rgb="FFB8CDD5"/>
      </x:bottom>
    </x:border>
  </x:borders>
  <x:cellStyleXfs count="1">
    <x:xf numFmtId="0" fontId="0" fillId="0" borderId="0"/>
  </x:cellStyleXfs>
  <x:cellXfs count="23">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2" fillId="3" borderId="1" xfId="0" applyNumberFormat="1" applyFont="1" applyFill="1" applyBorder="1"/>
    <x:xf numFmtId="0" fontId="3" fillId="4" borderId="1" xfId="0" applyNumberFormat="1" applyFont="1" applyFill="1" applyBorder="1"/>
    <x:xf numFmtId="0" fontId="0" fillId="0" borderId="1" xfId="0" applyNumberFormat="1" applyFont="1" applyFill="1" applyBorder="1"/>
    <x:xf numFmtId="0" fontId="2" fillId="3" borderId="1" xfId="0" applyNumberFormat="1" applyFont="1" applyFill="1" applyBorder="1" applyAlignment="1">
      <x:alignment wrapText="1"/>
    </x:xf>
    <x:xf numFmtId="0" fontId="0" fillId="0" borderId="1" xfId="0" applyNumberFormat="1" applyFont="1" applyFill="1" applyBorder="1" applyAlignment="1">
      <x:alignment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vertical="center" wrapText="1"/>
    </x:xf>
    <x:xf numFmtId="0" fontId="0" fillId="0" borderId="0" xfId="0">
      <x:extLst>
        <x:ext uri="{C7286773-470A-42A8-94C5-96B5CB345126}">
          <xfpb:xfComplement xmlns:xfpb="http://schemas.microsoft.com/office/spreadsheetml/2022/featurepropertybag" i="0"/>
        </x:ext>
      </x:extLst>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vertical="center" wrapText="1"/>
    </x:xf>
    <x:xf numFmtId="0" fontId="2" fillId="6" borderId="1"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b22f20d783c422f" /><Relationship Type="http://schemas.openxmlformats.org/officeDocument/2006/relationships/theme" Target="/xl/theme/theme1.xml" Id="R4cb335fe89314da6" /><Relationship Type="http://schemas.microsoft.com/office/2022/11/relationships/FeaturePropertyBag" Target="/xl/featurePropertyBag/featurePropertyBag.xml" Id="R7ed4f5049e164f10" /><Relationship Type="http://schemas.openxmlformats.org/officeDocument/2006/relationships/sharedStrings" Target="/xl/sharedStrings.xml" Id="R0dca0cbb06aa4455" /><Relationship Type="http://schemas.openxmlformats.org/officeDocument/2006/relationships/worksheet" Target="/xl/worksheets/sheet1.xml" Id="Rac84058236b74d59" /><Relationship Type="http://schemas.openxmlformats.org/officeDocument/2006/relationships/worksheet" Target="/xl/worksheets/sheet2.xml" Id="R9ef540503a514e88" /><Relationship Type="http://schemas.openxmlformats.org/officeDocument/2006/relationships/worksheet" Target="/xl/worksheets/sheet3.xml" Id="R42b88081d5434bc1"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34" displayName="T34" ref="A1:J248" headerRowCount="1" totalsRowCount="0" totalsRowShown="0">
  <x:tableColumns count="10">
    <x:tableColumn id="1" name="zone_id"/>
    <x:tableColumn id="2" name="zone_name"/>
    <x:tableColumn id="3" name="province_id"/>
    <x:tableColumn id="4" name="product_category"/>
    <x:tableColumn id="5" name="county_count"/>
    <x:tableColumn id="6" name="production"/>
    <x:tableColumn id="7" name="demand"/>
    <x:tableColumn id="8" name="net_balance_before_trade"/>
    <x:tableColumn id="9" name="evidence_grade"/>
    <x:tableColumn id="10" name="administrative_region_claim"/>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05a94e422c44c63"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82" hidden="0" customWidth="1"/>
  </x:cols>
  <x:sheetData>
    <x:row r="1">
      <x:c r="A1" s="3" t="str">
        <x:v>Regional production zone master</x:v>
      </x:c>
      <x:c r="B1" s="3"/>
      <x:c r="C1" s="3"/>
      <x:c r="D1" s="3"/>
      <x:c r="E1" s="3"/>
      <x:c r="F1" s="3"/>
      <x:c r="G1" s="3"/>
      <x:c r="H1" s="3"/>
    </x:row>
    <x:row r="2">
      <x:c r="A2" s="3"/>
      <x:c r="B2" s="3"/>
      <x:c r="C2" s="3"/>
      <x:c r="D2" s="3"/>
      <x:c r="E2" s="3"/>
      <x:c r="F2" s="3"/>
      <x:c r="G2" s="3"/>
      <x:c r="H2" s="3"/>
    </x:row>
    <x:row r="4">
      <x:c r="A4" s="8" t="str">
        <x:v>Field</x:v>
      </x:c>
      <x:c r="B4" s="11" t="str">
        <x:v>Value</x:v>
      </x:c>
    </x:row>
    <x:row r="5">
      <x:c r="A5" s="9" t="str">
        <x:v>Task</x:v>
      </x:c>
      <x:c r="B5" s="12" t="str">
        <x:v>HAN_135_260_COUNTY_PRODUCTION_RESOURCE_INDUSTRY_AND_SUPPLY_NETWORK_V1</x:v>
      </x:c>
    </x:row>
    <x:row r="6">
      <x:c r="A6" s="9" t="str">
        <x:v>Workbook</x:v>
      </x:c>
      <x:c r="B6" s="12" t="str">
        <x:v>34_REGIONAL_PRODUCTION_ZONE_MASTER.xlsx</x:v>
      </x:c>
    </x:row>
    <x:row r="7">
      <x:c r="A7" s="9" t="str">
        <x:v>Role</x:v>
      </x:c>
      <x:c r="B7" s="12" t="str">
        <x:v>Development reference; not runtime authority</x:v>
      </x:c>
    </x:row>
    <x:row r="8">
      <x:c r="A8" s="9" t="str">
        <x:v>Expected rows</x:v>
      </x:c>
      <x:c r="B8" s="12" t="n">
        <x:v>247</x:v>
      </x:c>
    </x:row>
    <x:row r="9">
      <x:c r="A9" s="9" t="str">
        <x:v>Data rows (formula)</x:v>
      </x:c>
      <x:c r="B9" s="12" t="n">
        <x:f>COUNTA(Data!A:A)-1</x:f>
        <x:v>247</x:v>
      </x:c>
    </x:row>
    <x:row r="10">
      <x:c r="A10" s="9" t="str">
        <x:v>Evidence policy</x:v>
      </x:c>
      <x:c r="B10" s="12" t="str">
        <x:v>HISTORICAL / ARCHAEOLOGICAL / RECONSTRUCTED / MODELED / UNKNOWN</x:v>
      </x:c>
    </x:row>
    <x:row r="11">
      <x:c r="A11" s="9" t="str">
        <x:v>Runtime authority</x:v>
      </x:c>
      <x:c r="B11" s="12" t="str">
        <x:v>Cell + Resource + Facility + Worker + Recipe + Inventory + Transport</x:v>
      </x:c>
    </x:row>
    <x:row r="12">
      <x:c r="A12" s="9" t="str">
        <x:v>Generated from</x:v>
      </x:c>
      <x:c r="B12" s="12" t="str">
        <x:v>county_economy_master_v1.json</x:v>
      </x:c>
    </x:row>
    <x:row r="14">
      <x:c r="A14" s="16" t="str">
        <x:v>Interpretation guard: modeled county points, areas and capacities are analytical references. They must not be presented as historical county boundaries, exact ancient routes, or already materialized facilities and inventories. Deficits and unknowns are retained rather than filled by hidden multipliers.</x:v>
      </x:c>
      <x:c r="B14" s="16"/>
      <x:c r="C14" s="16"/>
      <x:c r="D14" s="16"/>
      <x:c r="E14" s="16"/>
      <x:c r="F14" s="16"/>
      <x:c r="G14" s="16"/>
      <x:c r="H14" s="16"/>
    </x:row>
    <x:row r="15">
      <x:c r="A15" s="16"/>
      <x:c r="B15" s="16"/>
      <x:c r="C15" s="16"/>
      <x:c r="D15" s="16"/>
      <x:c r="E15" s="16"/>
      <x:c r="F15" s="16"/>
      <x:c r="G15" s="16"/>
      <x:c r="H15" s="16"/>
    </x:row>
    <x:row r="16">
      <x:c r="A16" s="16"/>
      <x:c r="B16" s="16"/>
      <x:c r="C16" s="16"/>
      <x:c r="D16" s="16"/>
      <x:c r="E16" s="16"/>
      <x:c r="F16" s="16"/>
      <x:c r="G16" s="16"/>
      <x:c r="H16" s="16"/>
    </x:row>
    <x:row r="17">
      <x:c r="A17" s="16"/>
      <x:c r="B17" s="16"/>
      <x:c r="C17" s="16"/>
      <x:c r="D17" s="16"/>
      <x:c r="E17" s="16"/>
      <x:c r="F17" s="16"/>
      <x:c r="G17" s="16"/>
      <x:c r="H17" s="16"/>
    </x:row>
  </x:sheetData>
  <x:mergeCells>
    <x:mergeCell ref="A1:H2"/>
    <x:mergeCell ref="A14:H17"/>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34" hidden="0" customWidth="1"/>
    <x:col min="2" max="2" width="24" hidden="0" customWidth="1"/>
    <x:col min="3" max="3" width="34" hidden="0" customWidth="1"/>
    <x:col min="4" max="4" width="17" hidden="0" customWidth="1"/>
    <x:col min="5" max="5" width="17" hidden="0" customWidth="1"/>
    <x:col min="6" max="6" width="17" hidden="0" customWidth="1"/>
    <x:col min="7" max="7" width="17" hidden="0" customWidth="1"/>
    <x:col min="8" max="8" width="17" hidden="0" customWidth="1"/>
    <x:col min="9" max="9" width="34" hidden="0" customWidth="1"/>
    <x:col min="10" max="10" width="17" hidden="0" customWidth="1"/>
  </x:cols>
  <x:sheetData>
    <x:row r="1" ht="34" customHeight="1">
      <x:c r="A1" s="21" t="str">
        <x:v>zone_id</x:v>
      </x:c>
      <x:c r="B1" s="21" t="str">
        <x:v>zone_name</x:v>
      </x:c>
      <x:c r="C1" s="21" t="str">
        <x:v>province_id</x:v>
      </x:c>
      <x:c r="D1" s="21" t="str">
        <x:v>product_category</x:v>
      </x:c>
      <x:c r="E1" s="21" t="str">
        <x:v>county_count</x:v>
      </x:c>
      <x:c r="F1" s="21" t="str">
        <x:v>production</x:v>
      </x:c>
      <x:c r="G1" s="21" t="str">
        <x:v>demand</x:v>
      </x:c>
      <x:c r="H1" s="21" t="str">
        <x:v>net_balance_before_trade</x:v>
      </x:c>
      <x:c r="I1" s="21" t="str">
        <x:v>evidence_grade</x:v>
      </x:c>
      <x:c r="J1" s="21" t="str">
        <x:v>administrative_region_claim</x:v>
      </x:c>
    </x:row>
    <x:row r="2">
      <x:c r="A2" t="str">
        <x:v>zone.heluo_guanzhong.grain</x:v>
      </x:c>
      <x:c r="B2" t="str">
        <x:v>HELUO_GUANZHONG</x:v>
      </x:c>
      <x:c r="C2" t="str">
        <x:v>admin.han140.sili</x:v>
      </x:c>
      <x:c r="D2" t="str">
        <x:v>GRAIN</x:v>
      </x:c>
      <x:c r="E2" t="n">
        <x:v>106</x:v>
      </x:c>
      <x:c r="F2" t="n">
        <x:v>469275099</x:v>
      </x:c>
      <x:c r="G2" t="n">
        <x:v>709092363</x:v>
      </x:c>
      <x:c r="H2" t="n">
        <x:v>-267973747</x:v>
      </x:c>
      <x:c r="I2" t="str">
        <x:v>MODELED</x:v>
      </x:c>
      <x:c r="J2" s="17" t="b">
        <x:v>0</x:v>
      </x:c>
    </x:row>
    <x:row r="3">
      <x:c r="A3" t="str">
        <x:v>zone.heluo_guanzhong.other_food</x:v>
      </x:c>
      <x:c r="B3" t="str">
        <x:v>HELUO_GUANZHONG</x:v>
      </x:c>
      <x:c r="C3" t="str">
        <x:v>admin.han140.sili</x:v>
      </x:c>
      <x:c r="D3" t="str">
        <x:v>OTHER_FOOD</x:v>
      </x:c>
      <x:c r="E3" t="n">
        <x:v>106</x:v>
      </x:c>
      <x:c r="F3" t="n">
        <x:v>168930055</x:v>
      </x:c>
      <x:c r="G3" t="n">
        <x:v>199835116</x:v>
      </x:c>
      <x:c r="H3" t="n">
        <x:v>-41040851</x:v>
      </x:c>
      <x:c r="I3" t="str">
        <x:v>MODELED</x:v>
      </x:c>
      <x:c r="J3" s="17" t="b">
        <x:v>0</x:v>
      </x:c>
    </x:row>
    <x:row r="4">
      <x:c r="A4" t="str">
        <x:v>zone.heluo_guanzhong.salt</x:v>
      </x:c>
      <x:c r="B4" t="str">
        <x:v>HELUO_GUANZHONG</x:v>
      </x:c>
      <x:c r="C4" t="str">
        <x:v>admin.han140.sili</x:v>
      </x:c>
      <x:c r="D4" t="str">
        <x:v>SALT</x:v>
      </x:c>
      <x:c r="E4" t="n">
        <x:v>106</x:v>
      </x:c>
      <x:c r="F4" t="n">
        <x:v>0</x:v>
      </x:c>
      <x:c r="G4" t="n">
        <x:v>9283210</x:v>
      </x:c>
      <x:c r="H4" t="n">
        <x:v>-9283212</x:v>
      </x:c>
      <x:c r="I4" t="str">
        <x:v>MODELED</x:v>
      </x:c>
      <x:c r="J4" s="17" t="b">
        <x:v>0</x:v>
      </x:c>
    </x:row>
    <x:row r="5">
      <x:c r="A5" t="str">
        <x:v>zone.heluo_guanzhong.fuel</x:v>
      </x:c>
      <x:c r="B5" t="str">
        <x:v>HELUO_GUANZHONG</x:v>
      </x:c>
      <x:c r="C5" t="str">
        <x:v>admin.han140.sili</x:v>
      </x:c>
      <x:c r="D5" t="str">
        <x:v>FUEL</x:v>
      </x:c>
      <x:c r="E5" t="n">
        <x:v>106</x:v>
      </x:c>
      <x:c r="F5" t="n">
        <x:v>1922261955</x:v>
      </x:c>
      <x:c r="G5" t="n">
        <x:v>1659064324</x:v>
      </x:c>
      <x:c r="H5" t="n">
        <x:v>215141112</x:v>
      </x:c>
      <x:c r="I5" t="str">
        <x:v>MODELED</x:v>
      </x:c>
      <x:c r="J5" s="17" t="b">
        <x:v>0</x:v>
      </x:c>
    </x:row>
    <x:row r="6">
      <x:c r="A6" t="str">
        <x:v>zone.heluo_guanzhong.timber</x:v>
      </x:c>
      <x:c r="B6" t="str">
        <x:v>HELUO_GUANZHONG</x:v>
      </x:c>
      <x:c r="C6" t="str">
        <x:v>admin.han140.sili</x:v>
      </x:c>
      <x:c r="D6" t="str">
        <x:v>TIMBER</x:v>
      </x:c>
      <x:c r="E6" t="n">
        <x:v>106</x:v>
      </x:c>
      <x:c r="F6" t="n">
        <x:v>741906063</x:v>
      </x:c>
      <x:c r="G6" t="n">
        <x:v>204457034</x:v>
      </x:c>
      <x:c r="H6" t="n">
        <x:v>518901384</x:v>
      </x:c>
      <x:c r="I6" t="str">
        <x:v>MODELED</x:v>
      </x:c>
      <x:c r="J6" s="17" t="b">
        <x:v>0</x:v>
      </x:c>
    </x:row>
    <x:row r="7">
      <x:c r="A7" t="str">
        <x:v>zone.heluo_guanzhong.horse</x:v>
      </x:c>
      <x:c r="B7" t="str">
        <x:v>HELUO_GUANZHONG</x:v>
      </x:c>
      <x:c r="C7" t="str">
        <x:v>admin.han140.sili</x:v>
      </x:c>
      <x:c r="D7" t="str">
        <x:v>HORSE</x:v>
      </x:c>
      <x:c r="E7" t="n">
        <x:v>106</x:v>
      </x:c>
      <x:c r="F7" t="n">
        <x:v>1948</x:v>
      </x:c>
      <x:c r="G7" t="n">
        <x:v>19342</x:v>
      </x:c>
      <x:c r="H7" t="n">
        <x:v>-17412</x:v>
      </x:c>
      <x:c r="I7" t="str">
        <x:v>MODELED</x:v>
      </x:c>
      <x:c r="J7" s="17" t="b">
        <x:v>0</x:v>
      </x:c>
    </x:row>
    <x:row r="8">
      <x:c r="A8" t="str">
        <x:v>zone.heluo_guanzhong.livestock</x:v>
      </x:c>
      <x:c r="B8" t="str">
        <x:v>HELUO_GUANZHONG</x:v>
      </x:c>
      <x:c r="C8" t="str">
        <x:v>admin.han140.sili</x:v>
      </x:c>
      <x:c r="D8" t="str">
        <x:v>LIVESTOCK</x:v>
      </x:c>
      <x:c r="E8" t="n">
        <x:v>106</x:v>
      </x:c>
      <x:c r="F8" t="n">
        <x:v>119577</x:v>
      </x:c>
      <x:c r="G8" t="n">
        <x:v>188563</x:v>
      </x:c>
      <x:c r="H8" t="n">
        <x:v>-70420</x:v>
      </x:c>
      <x:c r="I8" t="str">
        <x:v>MODELED</x:v>
      </x:c>
      <x:c r="J8" s="17" t="b">
        <x:v>0</x:v>
      </x:c>
    </x:row>
    <x:row r="9">
      <x:c r="A9" t="str">
        <x:v>zone.heluo_guanzhong.leather</x:v>
      </x:c>
      <x:c r="B9" t="str">
        <x:v>HELUO_GUANZHONG</x:v>
      </x:c>
      <x:c r="C9" t="str">
        <x:v>admin.han140.sili</x:v>
      </x:c>
      <x:c r="D9" t="str">
        <x:v>LEATHER</x:v>
      </x:c>
      <x:c r="E9" t="n">
        <x:v>106</x:v>
      </x:c>
      <x:c r="F9" t="n">
        <x:v>251116</x:v>
      </x:c>
      <x:c r="G9" t="n">
        <x:v>5111431</x:v>
      </x:c>
      <x:c r="H9" t="n">
        <x:v>-4863329</x:v>
      </x:c>
      <x:c r="I9" t="str">
        <x:v>MODELED</x:v>
      </x:c>
      <x:c r="J9" s="17" t="b">
        <x:v>0</x:v>
      </x:c>
    </x:row>
    <x:row r="10">
      <x:c r="A10" t="str">
        <x:v>zone.heluo_guanzhong.fiber</x:v>
      </x:c>
      <x:c r="B10" t="str">
        <x:v>HELUO_GUANZHONG</x:v>
      </x:c>
      <x:c r="C10" t="str">
        <x:v>admin.han140.sili</x:v>
      </x:c>
      <x:c r="D10" t="str">
        <x:v>FIBER</x:v>
      </x:c>
      <x:c r="E10" t="n">
        <x:v>106</x:v>
      </x:c>
      <x:c r="F10" t="n">
        <x:v>11629963</x:v>
      </x:c>
      <x:c r="G10" t="n">
        <x:v>9436480</x:v>
      </x:c>
      <x:c r="H10" t="n">
        <x:v>2053922</x:v>
      </x:c>
      <x:c r="I10" t="str">
        <x:v>MODELED</x:v>
      </x:c>
      <x:c r="J10" s="17" t="b">
        <x:v>0</x:v>
      </x:c>
    </x:row>
    <x:row r="11">
      <x:c r="A11" t="str">
        <x:v>zone.heluo_guanzhong.raw_silk</x:v>
      </x:c>
      <x:c r="B11" t="str">
        <x:v>HELUO_GUANZHONG</x:v>
      </x:c>
      <x:c r="C11" t="str">
        <x:v>admin.han140.sili</x:v>
      </x:c>
      <x:c r="D11" t="str">
        <x:v>RAW_SILK</x:v>
      </x:c>
      <x:c r="E11" t="n">
        <x:v>106</x:v>
      </x:c>
      <x:c r="F11" t="n">
        <x:v>103671</x:v>
      </x:c>
      <x:c r="G11" t="n">
        <x:v>130542</x:v>
      </x:c>
      <x:c r="H11" t="n">
        <x:v>-28116</x:v>
      </x:c>
      <x:c r="I11" t="str">
        <x:v>MODELED</x:v>
      </x:c>
      <x:c r="J11" s="17" t="b">
        <x:v>0</x:v>
      </x:c>
    </x:row>
    <x:row r="12">
      <x:c r="A12" t="str">
        <x:v>zone.heluo_guanzhong.textile</x:v>
      </x:c>
      <x:c r="B12" t="str">
        <x:v>HELUO_GUANZHONG</x:v>
      </x:c>
      <x:c r="C12" t="str">
        <x:v>admin.han140.sili</x:v>
      </x:c>
      <x:c r="D12" t="str">
        <x:v>TEXTILE</x:v>
      </x:c>
      <x:c r="E12" t="n">
        <x:v>106</x:v>
      </x:c>
      <x:c r="F12" t="n">
        <x:v>144403</x:v>
      </x:c>
      <x:c r="G12" t="n">
        <x:v>2320663</x:v>
      </x:c>
      <x:c r="H12" t="n">
        <x:v>-2177994</x:v>
      </x:c>
      <x:c r="I12" t="str">
        <x:v>MODELED</x:v>
      </x:c>
      <x:c r="J12" s="17" t="b">
        <x:v>0</x:v>
      </x:c>
    </x:row>
    <x:row r="13">
      <x:c r="A13" t="str">
        <x:v>zone.heluo_guanzhong.iron_ore</x:v>
      </x:c>
      <x:c r="B13" t="str">
        <x:v>HELUO_GUANZHONG</x:v>
      </x:c>
      <x:c r="C13" t="str">
        <x:v>admin.han140.sili</x:v>
      </x:c>
      <x:c r="D13" t="str">
        <x:v>IRON_ORE</x:v>
      </x:c>
      <x:c r="E13" t="n">
        <x:v>106</x:v>
      </x:c>
      <x:c r="F13" t="n">
        <x:v>0</x:v>
      </x:c>
      <x:c r="G13" t="n">
        <x:v>33409</x:v>
      </x:c>
      <x:c r="H13" t="n">
        <x:v>-33406</x:v>
      </x:c>
      <x:c r="I13" t="str">
        <x:v>MODELED</x:v>
      </x:c>
      <x:c r="J13" s="17" t="b">
        <x:v>0</x:v>
      </x:c>
    </x:row>
    <x:row r="14">
      <x:c r="A14" t="str">
        <x:v>zone.heluo_guanzhong.metal</x:v>
      </x:c>
      <x:c r="B14" t="str">
        <x:v>HELUO_GUANZHONG</x:v>
      </x:c>
      <x:c r="C14" t="str">
        <x:v>admin.han140.sili</x:v>
      </x:c>
      <x:c r="D14" t="str">
        <x:v>METAL</x:v>
      </x:c>
      <x:c r="E14" t="n">
        <x:v>106</x:v>
      </x:c>
      <x:c r="F14" t="n">
        <x:v>31557</x:v>
      </x:c>
      <x:c r="G14" t="n">
        <x:v>21736784</x:v>
      </x:c>
      <x:c r="H14" t="n">
        <x:v>-21705590</x:v>
      </x:c>
      <x:c r="I14" t="str">
        <x:v>MODELED</x:v>
      </x:c>
      <x:c r="J14" s="17" t="b">
        <x:v>0</x:v>
      </x:c>
    </x:row>
    <x:row r="15">
      <x:c r="A15" t="str">
        <x:v>zone.heluo_guanzhong.tools</x:v>
      </x:c>
      <x:c r="B15" t="str">
        <x:v>HELUO_GUANZHONG</x:v>
      </x:c>
      <x:c r="C15" t="str">
        <x:v>admin.han140.sili</x:v>
      </x:c>
      <x:c r="D15" t="str">
        <x:v>TOOLS</x:v>
      </x:c>
      <x:c r="E15" t="n">
        <x:v>106</x:v>
      </x:c>
      <x:c r="F15" t="n">
        <x:v>38830</x:v>
      </x:c>
      <x:c r="G15" t="n">
        <x:v>522177</x:v>
      </x:c>
      <x:c r="H15" t="n">
        <x:v>-483826</x:v>
      </x:c>
      <x:c r="I15" t="str">
        <x:v>MODELED</x:v>
      </x:c>
      <x:c r="J15" s="17" t="b">
        <x:v>0</x:v>
      </x:c>
    </x:row>
    <x:row r="16">
      <x:c r="A16" t="str">
        <x:v>zone.heluo_guanzhong.weapons</x:v>
      </x:c>
      <x:c r="B16" t="str">
        <x:v>HELUO_GUANZHONG</x:v>
      </x:c>
      <x:c r="C16" t="str">
        <x:v>admin.han140.sili</x:v>
      </x:c>
      <x:c r="D16" t="str">
        <x:v>WEAPONS</x:v>
      </x:c>
      <x:c r="E16" t="n">
        <x:v>106</x:v>
      </x:c>
      <x:c r="F16" t="n">
        <x:v>3456</x:v>
      </x:c>
      <x:c r="G16" t="n">
        <x:v>2183</x:v>
      </x:c>
      <x:c r="H16" t="n">
        <x:v>1223</x:v>
      </x:c>
      <x:c r="I16" t="str">
        <x:v>MODELED</x:v>
      </x:c>
      <x:c r="J16" s="17" t="b">
        <x:v>0</x:v>
      </x:c>
    </x:row>
    <x:row r="17">
      <x:c r="A17" t="str">
        <x:v>zone.heluo_guanzhong.building_material</x:v>
      </x:c>
      <x:c r="B17" t="str">
        <x:v>HELUO_GUANZHONG</x:v>
      </x:c>
      <x:c r="C17" t="str">
        <x:v>admin.han140.sili</x:v>
      </x:c>
      <x:c r="D17" t="str">
        <x:v>BUILDING_MATERIAL</x:v>
      </x:c>
      <x:c r="E17" t="n">
        <x:v>106</x:v>
      </x:c>
      <x:c r="F17" t="n">
        <x:v>121469297</x:v>
      </x:c>
      <x:c r="G17" t="n">
        <x:v>275595235</x:v>
      </x:c>
      <x:c r="H17" t="n">
        <x:v>-155583531</x:v>
      </x:c>
      <x:c r="I17" t="str">
        <x:v>MODELED</x:v>
      </x:c>
      <x:c r="J17" s="17" t="b">
        <x:v>0</x:v>
      </x:c>
    </x:row>
    <x:row r="18">
      <x:c r="A18" t="str">
        <x:v>zone.heluo_guanzhong.pottery</x:v>
      </x:c>
      <x:c r="B18" t="str">
        <x:v>HELUO_GUANZHONG</x:v>
      </x:c>
      <x:c r="C18" t="str">
        <x:v>admin.han140.sili</x:v>
      </x:c>
      <x:c r="D18" t="str">
        <x:v>POTTERY</x:v>
      </x:c>
      <x:c r="E18" t="n">
        <x:v>106</x:v>
      </x:c>
      <x:c r="F18" t="n">
        <x:v>72073</x:v>
      </x:c>
      <x:c r="G18" t="n">
        <x:v>1218427</x:v>
      </x:c>
      <x:c r="H18" t="n">
        <x:v>-1147213</x:v>
      </x:c>
      <x:c r="I18" t="str">
        <x:v>MODELED</x:v>
      </x:c>
      <x:c r="J18" s="17" t="b">
        <x:v>0</x:v>
      </x:c>
    </x:row>
    <x:row r="19">
      <x:c r="A19" t="str">
        <x:v>zone.heluo_guanzhong.medicine</x:v>
      </x:c>
      <x:c r="B19" t="str">
        <x:v>HELUO_GUANZHONG</x:v>
      </x:c>
      <x:c r="C19" t="str">
        <x:v>admin.han140.sili</x:v>
      </x:c>
      <x:c r="D19" t="str">
        <x:v>MEDICINE</x:v>
      </x:c>
      <x:c r="E19" t="n">
        <x:v>106</x:v>
      </x:c>
      <x:c r="F19" t="n">
        <x:v>6912</x:v>
      </x:c>
      <x:c r="G19" t="n">
        <x:v>928317</x:v>
      </x:c>
      <x:c r="H19" t="n">
        <x:v>-921491</x:v>
      </x:c>
      <x:c r="I19" t="str">
        <x:v>MODELED</x:v>
      </x:c>
      <x:c r="J19" s="17" t="b">
        <x:v>0</x:v>
      </x:c>
    </x:row>
    <x:row r="20">
      <x:c r="A20" t="str">
        <x:v>zone.heluo_guanzhong.transport_equipment</x:v>
      </x:c>
      <x:c r="B20" t="str">
        <x:v>HELUO_GUANZHONG</x:v>
      </x:c>
      <x:c r="C20" t="str">
        <x:v>admin.han140.sili</x:v>
      </x:c>
      <x:c r="D20" t="str">
        <x:v>TRANSPORT_EQUIPMENT</x:v>
      </x:c>
      <x:c r="E20" t="n">
        <x:v>106</x:v>
      </x:c>
      <x:c r="F20" t="n">
        <x:v>1369</x:v>
      </x:c>
      <x:c r="G20" t="n">
        <x:v>7263</x:v>
      </x:c>
      <x:c r="H20" t="n">
        <x:v>-5898</x:v>
      </x:c>
      <x:c r="I20" t="str">
        <x:v>MODELED</x:v>
      </x:c>
      <x:c r="J20" s="17" t="b">
        <x:v>0</x:v>
      </x:c>
    </x:row>
    <x:row r="21">
      <x:c r="A21" t="str">
        <x:v>zone.hebei_plain.grain</x:v>
      </x:c>
      <x:c r="B21" t="str">
        <x:v>HEBEI_PLAIN</x:v>
      </x:c>
      <x:c r="C21" t="str">
        <x:v>admin.han140.jizhou</x:v>
      </x:c>
      <x:c r="D21" t="str">
        <x:v>GRAIN</x:v>
      </x:c>
      <x:c r="E21" t="n">
        <x:v>100</x:v>
      </x:c>
      <x:c r="F21" t="n">
        <x:v>994992847</x:v>
      </x:c>
      <x:c r="G21" t="n">
        <x:v>1387970347</x:v>
      </x:c>
      <x:c r="H21" t="n">
        <x:v>-452677053</x:v>
      </x:c>
      <x:c r="I21" t="str">
        <x:v>MODELED</x:v>
      </x:c>
      <x:c r="J21" s="17" t="b">
        <x:v>0</x:v>
      </x:c>
    </x:row>
    <x:row r="22">
      <x:c r="A22" t="str">
        <x:v>zone.hebei_plain.other_food</x:v>
      </x:c>
      <x:c r="B22" t="str">
        <x:v>HEBEI_PLAIN</x:v>
      </x:c>
      <x:c r="C22" t="str">
        <x:v>admin.han140.jizhou</x:v>
      </x:c>
      <x:c r="D22" t="str">
        <x:v>OTHER_FOOD</x:v>
      </x:c>
      <x:c r="E22" t="n">
        <x:v>100</x:v>
      </x:c>
      <x:c r="F22" t="n">
        <x:v>377417838</x:v>
      </x:c>
      <x:c r="G22" t="n">
        <x:v>391155295</x:v>
      </x:c>
      <x:c r="H22" t="n">
        <x:v>-36382508</x:v>
      </x:c>
      <x:c r="I22" t="str">
        <x:v>MODELED</x:v>
      </x:c>
      <x:c r="J22" s="17" t="b">
        <x:v>0</x:v>
      </x:c>
    </x:row>
    <x:row r="23">
      <x:c r="A23" t="str">
        <x:v>zone.hebei_plain.salt</x:v>
      </x:c>
      <x:c r="B23" t="str">
        <x:v>HEBEI_PLAIN</x:v>
      </x:c>
      <x:c r="C23" t="str">
        <x:v>admin.han140.jizhou</x:v>
      </x:c>
      <x:c r="D23" t="str">
        <x:v>SALT</x:v>
      </x:c>
      <x:c r="E23" t="n">
        <x:v>100</x:v>
      </x:c>
      <x:c r="F23" t="n">
        <x:v>0</x:v>
      </x:c>
      <x:c r="G23" t="n">
        <x:v>18172228</x:v>
      </x:c>
      <x:c r="H23" t="n">
        <x:v>-18172233</x:v>
      </x:c>
      <x:c r="I23" t="str">
        <x:v>MODELED</x:v>
      </x:c>
      <x:c r="J23" s="17" t="b">
        <x:v>0</x:v>
      </x:c>
    </x:row>
    <x:row r="24">
      <x:c r="A24" t="str">
        <x:v>zone.hebei_plain.fuel</x:v>
      </x:c>
      <x:c r="B24" t="str">
        <x:v>HEBEI_PLAIN</x:v>
      </x:c>
      <x:c r="C24" t="str">
        <x:v>admin.han140.jizhou</x:v>
      </x:c>
      <x:c r="D24" t="str">
        <x:v>FUEL</x:v>
      </x:c>
      <x:c r="E24" t="n">
        <x:v>100</x:v>
      </x:c>
      <x:c r="F24" t="n">
        <x:v>1544738045</x:v>
      </x:c>
      <x:c r="G24" t="n">
        <x:v>3246898612</x:v>
      </x:c>
      <x:c r="H24" t="n">
        <x:v>-1740778985</x:v>
      </x:c>
      <x:c r="I24" t="str">
        <x:v>MODELED</x:v>
      </x:c>
      <x:c r="J24" s="17" t="b">
        <x:v>0</x:v>
      </x:c>
    </x:row>
    <x:row r="25">
      <x:c r="A25" t="str">
        <x:v>zone.hebei_plain.timber</x:v>
      </x:c>
      <x:c r="B25" t="str">
        <x:v>HEBEI_PLAIN</x:v>
      </x:c>
      <x:c r="C25" t="str">
        <x:v>admin.han140.jizhou</x:v>
      </x:c>
      <x:c r="D25" t="str">
        <x:v>TIMBER</x:v>
      </x:c>
      <x:c r="E25" t="n">
        <x:v>100</x:v>
      </x:c>
      <x:c r="F25" t="n">
        <x:v>482853217</x:v>
      </x:c>
      <x:c r="G25" t="n">
        <x:v>400152912</x:v>
      </x:c>
      <x:c r="H25" t="n">
        <x:v>70628981</x:v>
      </x:c>
      <x:c r="I25" t="str">
        <x:v>MODELED</x:v>
      </x:c>
      <x:c r="J25" s="17" t="b">
        <x:v>0</x:v>
      </x:c>
    </x:row>
    <x:row r="26">
      <x:c r="A26" t="str">
        <x:v>zone.hebei_plain.horse</x:v>
      </x:c>
      <x:c r="B26" t="str">
        <x:v>HEBEI_PLAIN</x:v>
      </x:c>
      <x:c r="C26" t="str">
        <x:v>admin.han140.jizhou</x:v>
      </x:c>
      <x:c r="D26" t="str">
        <x:v>HORSE</x:v>
      </x:c>
      <x:c r="E26" t="n">
        <x:v>100</x:v>
      </x:c>
      <x:c r="F26" t="n">
        <x:v>7328</x:v>
      </x:c>
      <x:c r="G26" t="n">
        <x:v>37855</x:v>
      </x:c>
      <x:c r="H26" t="n">
        <x:v>-30616</x:v>
      </x:c>
      <x:c r="I26" t="str">
        <x:v>MODELED</x:v>
      </x:c>
      <x:c r="J26" s="17" t="b">
        <x:v>0</x:v>
      </x:c>
    </x:row>
    <x:row r="27">
      <x:c r="A27" t="str">
        <x:v>zone.hebei_plain.livestock</x:v>
      </x:c>
      <x:c r="B27" t="str">
        <x:v>HEBEI_PLAIN</x:v>
      </x:c>
      <x:c r="C27" t="str">
        <x:v>admin.han140.jizhou</x:v>
      </x:c>
      <x:c r="D27" t="str">
        <x:v>LIVESTOCK</x:v>
      </x:c>
      <x:c r="E27" t="n">
        <x:v>100</x:v>
      </x:c>
      <x:c r="F27" t="n">
        <x:v>300584</x:v>
      </x:c>
      <x:c r="G27" t="n">
        <x:v>369117</x:v>
      </x:c>
      <x:c r="H27" t="n">
        <x:v>-72146</x:v>
      </x:c>
      <x:c r="I27" t="str">
        <x:v>MODELED</x:v>
      </x:c>
      <x:c r="J27" s="17" t="b">
        <x:v>0</x:v>
      </x:c>
    </x:row>
    <x:row r="28">
      <x:c r="A28" t="str">
        <x:v>zone.hebei_plain.leather</x:v>
      </x:c>
      <x:c r="B28" t="str">
        <x:v>HEBEI_PLAIN</x:v>
      </x:c>
      <x:c r="C28" t="str">
        <x:v>admin.han140.jizhou</x:v>
      </x:c>
      <x:c r="D28" t="str">
        <x:v>LEATHER</x:v>
      </x:c>
      <x:c r="E28" t="n">
        <x:v>100</x:v>
      </x:c>
      <x:c r="F28" t="n">
        <x:v>631226</x:v>
      </x:c>
      <x:c r="G28" t="n">
        <x:v>10003822</x:v>
      </x:c>
      <x:c r="H28" t="n">
        <x:v>-9380175</x:v>
      </x:c>
      <x:c r="I28" t="str">
        <x:v>MODELED</x:v>
      </x:c>
      <x:c r="J28" s="17" t="b">
        <x:v>0</x:v>
      </x:c>
    </x:row>
    <x:row r="29">
      <x:c r="A29" t="str">
        <x:v>zone.hebei_plain.fiber</x:v>
      </x:c>
      <x:c r="B29" t="str">
        <x:v>HEBEI_PLAIN</x:v>
      </x:c>
      <x:c r="C29" t="str">
        <x:v>admin.han140.jizhou</x:v>
      </x:c>
      <x:c r="D29" t="str">
        <x:v>FIBER</x:v>
      </x:c>
      <x:c r="E29" t="n">
        <x:v>100</x:v>
      </x:c>
      <x:c r="F29" t="n">
        <x:v>29449803</x:v>
      </x:c>
      <x:c r="G29" t="n">
        <x:v>18468590</x:v>
      </x:c>
      <x:c r="H29" t="n">
        <x:v>10627811</x:v>
      </x:c>
      <x:c r="I29" t="str">
        <x:v>MODELED</x:v>
      </x:c>
      <x:c r="J29" s="17" t="b">
        <x:v>0</x:v>
      </x:c>
    </x:row>
    <x:row r="30">
      <x:c r="A30" t="str">
        <x:v>zone.hebei_plain.raw_silk</x:v>
      </x:c>
      <x:c r="B30" t="str">
        <x:v>HEBEI_PLAIN</x:v>
      </x:c>
      <x:c r="C30" t="str">
        <x:v>admin.han140.jizhou</x:v>
      </x:c>
      <x:c r="D30" t="str">
        <x:v>RAW_SILK</x:v>
      </x:c>
      <x:c r="E30" t="n">
        <x:v>100</x:v>
      </x:c>
      <x:c r="F30" t="n">
        <x:v>227025</x:v>
      </x:c>
      <x:c r="G30" t="n">
        <x:v>255550</x:v>
      </x:c>
      <x:c r="H30" t="n">
        <x:v>-31250</x:v>
      </x:c>
      <x:c r="I30" t="str">
        <x:v>MODELED</x:v>
      </x:c>
      <x:c r="J30" s="17" t="b">
        <x:v>0</x:v>
      </x:c>
    </x:row>
    <x:row r="31">
      <x:c r="A31" t="str">
        <x:v>zone.hebei_plain.textile</x:v>
      </x:c>
      <x:c r="B31" t="str">
        <x:v>HEBEI_PLAIN</x:v>
      </x:c>
      <x:c r="C31" t="str">
        <x:v>admin.han140.jizhou</x:v>
      </x:c>
      <x:c r="D31" t="str">
        <x:v>TEXTILE</x:v>
      </x:c>
      <x:c r="E31" t="n">
        <x:v>100</x:v>
      </x:c>
      <x:c r="F31" t="n">
        <x:v>290108</x:v>
      </x:c>
      <x:c r="G31" t="n">
        <x:v>4542442</x:v>
      </x:c>
      <x:c r="H31" t="n">
        <x:v>-4255815</x:v>
      </x:c>
      <x:c r="I31" t="str">
        <x:v>MODELED</x:v>
      </x:c>
      <x:c r="J31" s="17" t="b">
        <x:v>0</x:v>
      </x:c>
    </x:row>
    <x:row r="32">
      <x:c r="A32" t="str">
        <x:v>zone.hebei_plain.iron_ore</x:v>
      </x:c>
      <x:c r="B32" t="str">
        <x:v>HEBEI_PLAIN</x:v>
      </x:c>
      <x:c r="C32" t="str">
        <x:v>admin.han140.jizhou</x:v>
      </x:c>
      <x:c r="D32" t="str">
        <x:v>IRON_ORE</x:v>
      </x:c>
      <x:c r="E32" t="n">
        <x:v>100</x:v>
      </x:c>
      <x:c r="F32" t="n">
        <x:v>0</x:v>
      </x:c>
      <x:c r="G32" t="n">
        <x:v>45841</x:v>
      </x:c>
      <x:c r="H32" t="n">
        <x:v>-45834</x:v>
      </x:c>
      <x:c r="I32" t="str">
        <x:v>MODELED</x:v>
      </x:c>
      <x:c r="J32" s="17" t="b">
        <x:v>0</x:v>
      </x:c>
    </x:row>
    <x:row r="33">
      <x:c r="A33" t="str">
        <x:v>zone.hebei_plain.metal</x:v>
      </x:c>
      <x:c r="B33" t="str">
        <x:v>HEBEI_PLAIN</x:v>
      </x:c>
      <x:c r="C33" t="str">
        <x:v>admin.han140.jizhou</x:v>
      </x:c>
      <x:c r="D33" t="str">
        <x:v>METAL</x:v>
      </x:c>
      <x:c r="E33" t="n">
        <x:v>100</x:v>
      </x:c>
      <x:c r="F33" t="n">
        <x:v>43236</x:v>
      </x:c>
      <x:c r="G33" t="n">
        <x:v>42477501</x:v>
      </x:c>
      <x:c r="H33" t="n">
        <x:v>-42434780</x:v>
      </x:c>
      <x:c r="I33" t="str">
        <x:v>MODELED</x:v>
      </x:c>
      <x:c r="J33" s="17" t="b">
        <x:v>0</x:v>
      </x:c>
    </x:row>
    <x:row r="34">
      <x:c r="A34" t="str">
        <x:v>zone.hebei_plain.tools</x:v>
      </x:c>
      <x:c r="B34" t="str">
        <x:v>HEBEI_PLAIN</x:v>
      </x:c>
      <x:c r="C34" t="str">
        <x:v>admin.han140.jizhou</x:v>
      </x:c>
      <x:c r="D34" t="str">
        <x:v>TOOLS</x:v>
      </x:c>
      <x:c r="E34" t="n">
        <x:v>100</x:v>
      </x:c>
      <x:c r="F34" t="n">
        <x:v>53498</x:v>
      </x:c>
      <x:c r="G34" t="n">
        <x:v>1022186</x:v>
      </x:c>
      <x:c r="H34" t="n">
        <x:v>-969341</x:v>
      </x:c>
      <x:c r="I34" t="str">
        <x:v>MODELED</x:v>
      </x:c>
      <x:c r="J34" s="17" t="b">
        <x:v>0</x:v>
      </x:c>
    </x:row>
    <x:row r="35">
      <x:c r="A35" t="str">
        <x:v>zone.hebei_plain.weapons</x:v>
      </x:c>
      <x:c r="B35" t="str">
        <x:v>HEBEI_PLAIN</x:v>
      </x:c>
      <x:c r="C35" t="str">
        <x:v>admin.han140.jizhou</x:v>
      </x:c>
      <x:c r="D35" t="str">
        <x:v>WEAPONS</x:v>
      </x:c>
      <x:c r="E35" t="n">
        <x:v>100</x:v>
      </x:c>
      <x:c r="F35" t="n">
        <x:v>4742</x:v>
      </x:c>
      <x:c r="G35" t="n">
        <x:v>4249</x:v>
      </x:c>
      <x:c r="H35" t="n">
        <x:v>442</x:v>
      </x:c>
      <x:c r="I35" t="str">
        <x:v>MODELED</x:v>
      </x:c>
      <x:c r="J35" s="17" t="b">
        <x:v>0</x:v>
      </x:c>
    </x:row>
    <x:row r="36">
      <x:c r="A36" t="str">
        <x:v>zone.hebei_plain.building_material</x:v>
      </x:c>
      <x:c r="B36" t="str">
        <x:v>HEBEI_PLAIN</x:v>
      </x:c>
      <x:c r="C36" t="str">
        <x:v>admin.han140.jizhou</x:v>
      </x:c>
      <x:c r="D36" t="str">
        <x:v>BUILDING_MATERIAL</x:v>
      </x:c>
      <x:c r="E36" t="n">
        <x:v>100</x:v>
      </x:c>
      <x:c r="F36" t="n">
        <x:v>257013466</x:v>
      </x:c>
      <x:c r="G36" t="n">
        <x:v>539488249</x:v>
      </x:c>
      <x:c r="H36" t="n">
        <x:v>-285558899</x:v>
      </x:c>
      <x:c r="I36" t="str">
        <x:v>MODELED</x:v>
      </x:c>
      <x:c r="J36" s="17" t="b">
        <x:v>0</x:v>
      </x:c>
    </x:row>
    <x:row r="37">
      <x:c r="A37" t="str">
        <x:v>zone.hebei_plain.pottery</x:v>
      </x:c>
      <x:c r="B37" t="str">
        <x:v>HEBEI_PLAIN</x:v>
      </x:c>
      <x:c r="C37" t="str">
        <x:v>admin.han140.jizhou</x:v>
      </x:c>
      <x:c r="D37" t="str">
        <x:v>POTTERY</x:v>
      </x:c>
      <x:c r="E37" t="n">
        <x:v>100</x:v>
      </x:c>
      <x:c r="F37" t="n">
        <x:v>152047</x:v>
      </x:c>
      <x:c r="G37" t="n">
        <x:v>2385101</x:v>
      </x:c>
      <x:c r="H37" t="n">
        <x:v>-2234877</x:v>
      </x:c>
      <x:c r="I37" t="str">
        <x:v>MODELED</x:v>
      </x:c>
      <x:c r="J37" s="17" t="b">
        <x:v>0</x:v>
      </x:c>
    </x:row>
    <x:row r="38">
      <x:c r="A38" t="str">
        <x:v>zone.hebei_plain.medicine</x:v>
      </x:c>
      <x:c r="B38" t="str">
        <x:v>HEBEI_PLAIN</x:v>
      </x:c>
      <x:c r="C38" t="str">
        <x:v>admin.han140.jizhou</x:v>
      </x:c>
      <x:c r="D38" t="str">
        <x:v>MEDICINE</x:v>
      </x:c>
      <x:c r="E38" t="n">
        <x:v>100</x:v>
      </x:c>
      <x:c r="F38" t="n">
        <x:v>9249</x:v>
      </x:c>
      <x:c r="G38" t="n">
        <x:v>1817218</x:v>
      </x:c>
      <x:c r="H38" t="n">
        <x:v>-1808083</x:v>
      </x:c>
      <x:c r="I38" t="str">
        <x:v>MODELED</x:v>
      </x:c>
      <x:c r="J38" s="17" t="b">
        <x:v>0</x:v>
      </x:c>
    </x:row>
    <x:row r="39">
      <x:c r="A39" t="str">
        <x:v>zone.hebei_plain.transport_equipment</x:v>
      </x:c>
      <x:c r="B39" t="str">
        <x:v>HEBEI_PLAIN</x:v>
      </x:c>
      <x:c r="C39" t="str">
        <x:v>admin.han140.jizhou</x:v>
      </x:c>
      <x:c r="D39" t="str">
        <x:v>TRANSPORT_EQUIPMENT</x:v>
      </x:c>
      <x:c r="E39" t="n">
        <x:v>100</x:v>
      </x:c>
      <x:c r="F39" t="n">
        <x:v>2539</x:v>
      </x:c>
      <x:c r="G39" t="n">
        <x:v>14205</x:v>
      </x:c>
      <x:c r="H39" t="n">
        <x:v>-11687</x:v>
      </x:c>
      <x:c r="I39" t="str">
        <x:v>MODELED</x:v>
      </x:c>
      <x:c r="J39" s="17" t="b">
        <x:v>0</x:v>
      </x:c>
    </x:row>
    <x:row r="40">
      <x:c r="A40" t="str">
        <x:v>zone.huanghuai.grain</x:v>
      </x:c>
      <x:c r="B40" t="str">
        <x:v>HUANGHUAI</x:v>
      </x:c>
      <x:c r="C40" t="str">
        <x:v>admin.han140.yuzhou</x:v>
      </x:c>
      <x:c r="D40" t="str">
        <x:v>GRAIN</x:v>
      </x:c>
      <x:c r="E40" t="n">
        <x:v>99</x:v>
      </x:c>
      <x:c r="F40" t="n">
        <x:v>1186138147</x:v>
      </x:c>
      <x:c r="G40" t="n">
        <x:v>1401095959</x:v>
      </x:c>
      <x:c r="H40" t="n">
        <x:v>-286126082</x:v>
      </x:c>
      <x:c r="I40" t="str">
        <x:v>MODELED</x:v>
      </x:c>
      <x:c r="J40" s="17" t="b">
        <x:v>0</x:v>
      </x:c>
    </x:row>
    <x:row r="41">
      <x:c r="A41" t="str">
        <x:v>zone.huanghuai.other_food</x:v>
      </x:c>
      <x:c r="B41" t="str">
        <x:v>HUANGHUAI</x:v>
      </x:c>
      <x:c r="C41" t="str">
        <x:v>admin.han140.yuzhou</x:v>
      </x:c>
      <x:c r="D41" t="str">
        <x:v>OTHER_FOOD</x:v>
      </x:c>
      <x:c r="E41" t="n">
        <x:v>99</x:v>
      </x:c>
      <x:c r="F41" t="n">
        <x:v>567857220</x:v>
      </x:c>
      <x:c r="G41" t="n">
        <x:v>394854321</x:v>
      </x:c>
      <x:c r="H41" t="n">
        <x:v>138931476</x:v>
      </x:c>
      <x:c r="I41" t="str">
        <x:v>MODELED</x:v>
      </x:c>
      <x:c r="J41" s="17" t="b">
        <x:v>0</x:v>
      </x:c>
    </x:row>
    <x:row r="42">
      <x:c r="A42" t="str">
        <x:v>zone.huanghuai.salt</x:v>
      </x:c>
      <x:c r="B42" t="str">
        <x:v>HUANGHUAI</x:v>
      </x:c>
      <x:c r="C42" t="str">
        <x:v>admin.han140.yuzhou</x:v>
      </x:c>
      <x:c r="D42" t="str">
        <x:v>SALT</x:v>
      </x:c>
      <x:c r="E42" t="n">
        <x:v>99</x:v>
      </x:c>
      <x:c r="F42" t="n">
        <x:v>0</x:v>
      </x:c>
      <x:c r="G42" t="n">
        <x:v>18340494</x:v>
      </x:c>
      <x:c r="H42" t="n">
        <x:v>-18340491</x:v>
      </x:c>
      <x:c r="I42" t="str">
        <x:v>MODELED</x:v>
      </x:c>
      <x:c r="J42" s="17" t="b">
        <x:v>0</x:v>
      </x:c>
    </x:row>
    <x:row r="43">
      <x:c r="A43" t="str">
        <x:v>zone.huanghuai.fuel</x:v>
      </x:c>
      <x:c r="B43" t="str">
        <x:v>HUANGHUAI</x:v>
      </x:c>
      <x:c r="C43" t="str">
        <x:v>admin.han140.yuzhou</x:v>
      </x:c>
      <x:c r="D43" t="str">
        <x:v>FUEL</x:v>
      </x:c>
      <x:c r="E43" t="n">
        <x:v>99</x:v>
      </x:c>
      <x:c r="F43" t="n">
        <x:v>1505653917</x:v>
      </x:c>
      <x:c r="G43" t="n">
        <x:v>3279002337</x:v>
      </x:c>
      <x:c r="H43" t="n">
        <x:v>-1810989727</x:v>
      </x:c>
      <x:c r="I43" t="str">
        <x:v>MODELED</x:v>
      </x:c>
      <x:c r="J43" s="17" t="b">
        <x:v>0</x:v>
      </x:c>
    </x:row>
    <x:row r="44">
      <x:c r="A44" t="str">
        <x:v>zone.huanghuai.timber</x:v>
      </x:c>
      <x:c r="B44" t="str">
        <x:v>HUANGHUAI</x:v>
      </x:c>
      <x:c r="C44" t="str">
        <x:v>admin.han140.yuzhou</x:v>
      </x:c>
      <x:c r="D44" t="str">
        <x:v>TIMBER</x:v>
      </x:c>
      <x:c r="E44" t="n">
        <x:v>99</x:v>
      </x:c>
      <x:c r="F44" t="n">
        <x:v>438516988</x:v>
      </x:c>
      <x:c r="G44" t="n">
        <x:v>404065256</x:v>
      </x:c>
      <x:c r="H44" t="n">
        <x:v>23488812</x:v>
      </x:c>
      <x:c r="I44" t="str">
        <x:v>MODELED</x:v>
      </x:c>
      <x:c r="J44" s="17" t="b">
        <x:v>0</x:v>
      </x:c>
    </x:row>
    <x:row r="45">
      <x:c r="A45" t="str">
        <x:v>zone.huanghuai.horse</x:v>
      </x:c>
      <x:c r="B45" t="str">
        <x:v>HUANGHUAI</x:v>
      </x:c>
      <x:c r="C45" t="str">
        <x:v>admin.han140.yuzhou</x:v>
      </x:c>
      <x:c r="D45" t="str">
        <x:v>HORSE</x:v>
      </x:c>
      <x:c r="E45" t="n">
        <x:v>99</x:v>
      </x:c>
      <x:c r="F45" t="n">
        <x:v>2822</x:v>
      </x:c>
      <x:c r="G45" t="n">
        <x:v>38212</x:v>
      </x:c>
      <x:c r="H45" t="n">
        <x:v>-35427</x:v>
      </x:c>
      <x:c r="I45" t="str">
        <x:v>MODELED</x:v>
      </x:c>
      <x:c r="J45" s="17" t="b">
        <x:v>0</x:v>
      </x:c>
    </x:row>
    <x:row r="46">
      <x:c r="A46" t="str">
        <x:v>zone.huanghuai.livestock</x:v>
      </x:c>
      <x:c r="B46" t="str">
        <x:v>HUANGHUAI</x:v>
      </x:c>
      <x:c r="C46" t="str">
        <x:v>admin.han140.yuzhou</x:v>
      </x:c>
      <x:c r="D46" t="str">
        <x:v>LIVESTOCK</x:v>
      </x:c>
      <x:c r="E46" t="n">
        <x:v>99</x:v>
      </x:c>
      <x:c r="F46" t="n">
        <x:v>217517</x:v>
      </x:c>
      <x:c r="G46" t="n">
        <x:v>372543</x:v>
      </x:c>
      <x:c r="H46" t="n">
        <x:v>-157634</x:v>
      </x:c>
      <x:c r="I46" t="str">
        <x:v>MODELED</x:v>
      </x:c>
      <x:c r="J46" s="17" t="b">
        <x:v>0</x:v>
      </x:c>
    </x:row>
    <x:row r="47">
      <x:c r="A47" t="str">
        <x:v>zone.huanghuai.leather</x:v>
      </x:c>
      <x:c r="B47" t="str">
        <x:v>HUANGHUAI</x:v>
      </x:c>
      <x:c r="C47" t="str">
        <x:v>admin.han140.yuzhou</x:v>
      </x:c>
      <x:c r="D47" t="str">
        <x:v>LEATHER</x:v>
      </x:c>
      <x:c r="E47" t="n">
        <x:v>99</x:v>
      </x:c>
      <x:c r="F47" t="n">
        <x:v>456795</x:v>
      </x:c>
      <x:c r="G47" t="n">
        <x:v>10101628</x:v>
      </x:c>
      <x:c r="H47" t="n">
        <x:v>-9650324</x:v>
      </x:c>
      <x:c r="I47" t="str">
        <x:v>MODELED</x:v>
      </x:c>
      <x:c r="J47" s="17" t="b">
        <x:v>0</x:v>
      </x:c>
    </x:row>
    <x:row r="48">
      <x:c r="A48" t="str">
        <x:v>zone.huanghuai.fiber</x:v>
      </x:c>
      <x:c r="B48" t="str">
        <x:v>HUANGHUAI</x:v>
      </x:c>
      <x:c r="C48" t="str">
        <x:v>admin.han140.yuzhou</x:v>
      </x:c>
      <x:c r="D48" t="str">
        <x:v>FIBER</x:v>
      </x:c>
      <x:c r="E48" t="n">
        <x:v>99</x:v>
      </x:c>
      <x:c r="F48" t="n">
        <x:v>29863954</x:v>
      </x:c>
      <x:c r="G48" t="n">
        <x:v>18649172</x:v>
      </x:c>
      <x:c r="H48" t="n">
        <x:v>10856420</x:v>
      </x:c>
      <x:c r="I48" t="str">
        <x:v>MODELED</x:v>
      </x:c>
      <x:c r="J48" s="17" t="b">
        <x:v>0</x:v>
      </x:c>
    </x:row>
    <x:row r="49">
      <x:c r="A49" t="str">
        <x:v>zone.huanghuai.raw_silk</x:v>
      </x:c>
      <x:c r="B49" t="str">
        <x:v>HUANGHUAI</x:v>
      </x:c>
      <x:c r="C49" t="str">
        <x:v>admin.han140.yuzhou</x:v>
      </x:c>
      <x:c r="D49" t="str">
        <x:v>RAW_SILK</x:v>
      </x:c>
      <x:c r="E49" t="n">
        <x:v>99</x:v>
      </x:c>
      <x:c r="F49" t="n">
        <x:v>257588</x:v>
      </x:c>
      <x:c r="G49" t="n">
        <x:v>257915</x:v>
      </x:c>
      <x:c r="H49" t="n">
        <x:v>-3421</x:v>
      </x:c>
      <x:c r="I49" t="str">
        <x:v>MODELED</x:v>
      </x:c>
      <x:c r="J49" s="17" t="b">
        <x:v>0</x:v>
      </x:c>
    </x:row>
    <x:row r="50">
      <x:c r="A50" t="str">
        <x:v>zone.huanghuai.textile</x:v>
      </x:c>
      <x:c r="B50" t="str">
        <x:v>HUANGHUAI</x:v>
      </x:c>
      <x:c r="C50" t="str">
        <x:v>admin.han140.yuzhou</x:v>
      </x:c>
      <x:c r="D50" t="str">
        <x:v>TEXTILE</x:v>
      </x:c>
      <x:c r="E50" t="n">
        <x:v>99</x:v>
      </x:c>
      <x:c r="F50" t="n">
        <x:v>326151</x:v>
      </x:c>
      <x:c r="G50" t="n">
        <x:v>4585400</x:v>
      </x:c>
      <x:c r="H50" t="n">
        <x:v>-4263170</x:v>
      </x:c>
      <x:c r="I50" t="str">
        <x:v>MODELED</x:v>
      </x:c>
      <x:c r="J50" s="17" t="b">
        <x:v>0</x:v>
      </x:c>
    </x:row>
    <x:row r="51">
      <x:c r="A51" t="str">
        <x:v>zone.huanghuai.iron_ore</x:v>
      </x:c>
      <x:c r="B51" t="str">
        <x:v>HUANGHUAI</x:v>
      </x:c>
      <x:c r="C51" t="str">
        <x:v>admin.han140.yuzhou</x:v>
      </x:c>
      <x:c r="D51" t="str">
        <x:v>IRON_ORE</x:v>
      </x:c>
      <x:c r="E51" t="n">
        <x:v>99</x:v>
      </x:c>
      <x:c r="F51" t="n">
        <x:v>0</x:v>
      </x:c>
      <x:c r="G51" t="n">
        <x:v>43285</x:v>
      </x:c>
      <x:c r="H51" t="n">
        <x:v>-43280</x:v>
      </x:c>
      <x:c r="I51" t="str">
        <x:v>MODELED</x:v>
      </x:c>
      <x:c r="J51" s="17" t="b">
        <x:v>0</x:v>
      </x:c>
    </x:row>
    <x:row r="52">
      <x:c r="A52" t="str">
        <x:v>zone.huanghuai.metal</x:v>
      </x:c>
      <x:c r="B52" t="str">
        <x:v>HUANGHUAI</x:v>
      </x:c>
      <x:c r="C52" t="str">
        <x:v>admin.han140.yuzhou</x:v>
      </x:c>
      <x:c r="D52" t="str">
        <x:v>METAL</x:v>
      </x:c>
      <x:c r="E52" t="n">
        <x:v>99</x:v>
      </x:c>
      <x:c r="F52" t="n">
        <x:v>40977</x:v>
      </x:c>
      <x:c r="G52" t="n">
        <x:v>42886904</x:v>
      </x:c>
      <x:c r="H52" t="n">
        <x:v>-42846424</x:v>
      </x:c>
      <x:c r="I52" t="str">
        <x:v>MODELED</x:v>
      </x:c>
      <x:c r="J52" s="17" t="b">
        <x:v>0</x:v>
      </x:c>
    </x:row>
    <x:row r="53">
      <x:c r="A53" t="str">
        <x:v>zone.huanghuai.tools</x:v>
      </x:c>
      <x:c r="B53" t="str">
        <x:v>HUANGHUAI</x:v>
      </x:c>
      <x:c r="C53" t="str">
        <x:v>admin.han140.yuzhou</x:v>
      </x:c>
      <x:c r="D53" t="str">
        <x:v>TOOLS</x:v>
      </x:c>
      <x:c r="E53" t="n">
        <x:v>99</x:v>
      </x:c>
      <x:c r="F53" t="n">
        <x:v>52016</x:v>
      </x:c>
      <x:c r="G53" t="n">
        <x:v>1031644</x:v>
      </x:c>
      <x:c r="H53" t="n">
        <x:v>-980270</x:v>
      </x:c>
      <x:c r="I53" t="str">
        <x:v>MODELED</x:v>
      </x:c>
      <x:c r="J53" s="17" t="b">
        <x:v>0</x:v>
      </x:c>
    </x:row>
    <x:row r="54">
      <x:c r="A54" t="str">
        <x:v>zone.huanghuai.weapons</x:v>
      </x:c>
      <x:c r="B54" t="str">
        <x:v>HUANGHUAI</x:v>
      </x:c>
      <x:c r="C54" t="str">
        <x:v>admin.han140.yuzhou</x:v>
      </x:c>
      <x:c r="D54" t="str">
        <x:v>WEAPONS</x:v>
      </x:c>
      <x:c r="E54" t="n">
        <x:v>99</x:v>
      </x:c>
      <x:c r="F54" t="n">
        <x:v>4864</x:v>
      </x:c>
      <x:c r="G54" t="n">
        <x:v>4310</x:v>
      </x:c>
      <x:c r="H54" t="n">
        <x:v>493</x:v>
      </x:c>
      <x:c r="I54" t="str">
        <x:v>MODELED</x:v>
      </x:c>
      <x:c r="J54" s="17" t="b">
        <x:v>0</x:v>
      </x:c>
    </x:row>
    <x:row r="55">
      <x:c r="A55" t="str">
        <x:v>zone.huanghuai.building_material</x:v>
      </x:c>
      <x:c r="B55" t="str">
        <x:v>HUANGHUAI</x:v>
      </x:c>
      <x:c r="C55" t="str">
        <x:v>admin.han140.yuzhou</x:v>
      </x:c>
      <x:c r="D55" t="str">
        <x:v>BUILDING_MATERIAL</x:v>
      </x:c>
      <x:c r="E55" t="n">
        <x:v>99</x:v>
      </x:c>
      <x:c r="F55" t="n">
        <x:v>266014890</x:v>
      </x:c>
      <x:c r="G55" t="n">
        <x:v>544483548</x:v>
      </x:c>
      <x:c r="H55" t="n">
        <x:v>-281660787</x:v>
      </x:c>
      <x:c r="I55" t="str">
        <x:v>MODELED</x:v>
      </x:c>
      <x:c r="J55" s="17" t="b">
        <x:v>0</x:v>
      </x:c>
    </x:row>
    <x:row r="56">
      <x:c r="A56" t="str">
        <x:v>zone.huanghuai.pottery</x:v>
      </x:c>
      <x:c r="B56" t="str">
        <x:v>HUANGHUAI</x:v>
      </x:c>
      <x:c r="C56" t="str">
        <x:v>admin.han140.yuzhou</x:v>
      </x:c>
      <x:c r="D56" t="str">
        <x:v>POTTERY</x:v>
      </x:c>
      <x:c r="E56" t="n">
        <x:v>99</x:v>
      </x:c>
      <x:c r="F56" t="n">
        <x:v>169094</x:v>
      </x:c>
      <x:c r="G56" t="n">
        <x:v>2407186</x:v>
      </x:c>
      <x:c r="H56" t="n">
        <x:v>-2240125</x:v>
      </x:c>
      <x:c r="I56" t="str">
        <x:v>MODELED</x:v>
      </x:c>
      <x:c r="J56" s="17" t="b">
        <x:v>0</x:v>
      </x:c>
    </x:row>
    <x:row r="57">
      <x:c r="A57" t="str">
        <x:v>zone.huanghuai.medicine</x:v>
      </x:c>
      <x:c r="B57" t="str">
        <x:v>HUANGHUAI</x:v>
      </x:c>
      <x:c r="C57" t="str">
        <x:v>admin.han140.yuzhou</x:v>
      </x:c>
      <x:c r="D57" t="str">
        <x:v>MEDICINE</x:v>
      </x:c>
      <x:c r="E57" t="n">
        <x:v>99</x:v>
      </x:c>
      <x:c r="F57" t="n">
        <x:v>9816</x:v>
      </x:c>
      <x:c r="G57" t="n">
        <x:v>1834055</x:v>
      </x:c>
      <x:c r="H57" t="n">
        <x:v>-1824351</x:v>
      </x:c>
      <x:c r="I57" t="str">
        <x:v>MODELED</x:v>
      </x:c>
      <x:c r="J57" s="17" t="b">
        <x:v>0</x:v>
      </x:c>
    </x:row>
    <x:row r="58">
      <x:c r="A58" t="str">
        <x:v>zone.huanghuai.transport_equipment</x:v>
      </x:c>
      <x:c r="B58" t="str">
        <x:v>HUANGHUAI</x:v>
      </x:c>
      <x:c r="C58" t="str">
        <x:v>admin.han140.yuzhou</x:v>
      </x:c>
      <x:c r="D58" t="str">
        <x:v>TRANSPORT_EQUIPMENT</x:v>
      </x:c>
      <x:c r="E58" t="n">
        <x:v>99</x:v>
      </x:c>
      <x:c r="F58" t="n">
        <x:v>2706</x:v>
      </x:c>
      <x:c r="G58" t="n">
        <x:v>14321</x:v>
      </x:c>
      <x:c r="H58" t="n">
        <x:v>-11660</x:v>
      </x:c>
      <x:c r="I58" t="str">
        <x:v>MODELED</x:v>
      </x:c>
      <x:c r="J58" s="17" t="b">
        <x:v>0</x:v>
      </x:c>
    </x:row>
    <x:row r="59">
      <x:c r="A59" t="str">
        <x:v>zone.yanzhou_plain.grain</x:v>
      </x:c>
      <x:c r="B59" t="str">
        <x:v>YANZHOU_PLAIN</x:v>
      </x:c>
      <x:c r="C59" t="str">
        <x:v>admin.han140.yanzhou</x:v>
      </x:c>
      <x:c r="D59" t="str">
        <x:v>GRAIN</x:v>
      </x:c>
      <x:c r="E59" t="n">
        <x:v>80</x:v>
      </x:c>
      <x:c r="F59" t="n">
        <x:v>783788846</x:v>
      </x:c>
      <x:c r="G59" t="n">
        <x:v>923507824</x:v>
      </x:c>
      <x:c r="H59" t="n">
        <x:v>-186746287</x:v>
      </x:c>
      <x:c r="I59" t="str">
        <x:v>MODELED</x:v>
      </x:c>
      <x:c r="J59" s="17" t="b">
        <x:v>0</x:v>
      </x:c>
    </x:row>
    <x:row r="60">
      <x:c r="A60" t="str">
        <x:v>zone.yanzhou_plain.other_food</x:v>
      </x:c>
      <x:c r="B60" t="str">
        <x:v>YANZHOU_PLAIN</x:v>
      </x:c>
      <x:c r="C60" t="str">
        <x:v>admin.han140.yanzhou</x:v>
      </x:c>
      <x:c r="D60" t="str">
        <x:v>OTHER_FOOD</x:v>
      </x:c>
      <x:c r="E60" t="n">
        <x:v>80</x:v>
      </x:c>
      <x:c r="F60" t="n">
        <x:v>343597252</x:v>
      </x:c>
      <x:c r="G60" t="n">
        <x:v>260261296</x:v>
      </x:c>
      <x:c r="H60" t="n">
        <x:v>62720124</x:v>
      </x:c>
      <x:c r="I60" t="str">
        <x:v>MODELED</x:v>
      </x:c>
      <x:c r="J60" s="17" t="b">
        <x:v>0</x:v>
      </x:c>
    </x:row>
    <x:row r="61">
      <x:c r="A61" t="str">
        <x:v>zone.yanzhou_plain.salt</x:v>
      </x:c>
      <x:c r="B61" t="str">
        <x:v>YANZHOU_PLAIN</x:v>
      </x:c>
      <x:c r="C61" t="str">
        <x:v>admin.han140.yanzhou</x:v>
      </x:c>
      <x:c r="D61" t="str">
        <x:v>SALT</x:v>
      </x:c>
      <x:c r="E61" t="n">
        <x:v>80</x:v>
      </x:c>
      <x:c r="F61" t="n">
        <x:v>0</x:v>
      </x:c>
      <x:c r="G61" t="n">
        <x:v>12092979</x:v>
      </x:c>
      <x:c r="H61" t="n">
        <x:v>-12092983</x:v>
      </x:c>
      <x:c r="I61" t="str">
        <x:v>MODELED</x:v>
      </x:c>
      <x:c r="J61" s="17" t="b">
        <x:v>0</x:v>
      </x:c>
    </x:row>
    <x:row r="62">
      <x:c r="A62" t="str">
        <x:v>zone.yanzhou_plain.fuel</x:v>
      </x:c>
      <x:c r="B62" t="str">
        <x:v>YANZHOU_PLAIN</x:v>
      </x:c>
      <x:c r="C62" t="str">
        <x:v>admin.han140.yanzhou</x:v>
      </x:c>
      <x:c r="D62" t="str">
        <x:v>FUEL</x:v>
      </x:c>
      <x:c r="E62" t="n">
        <x:v>80</x:v>
      </x:c>
      <x:c r="F62" t="n">
        <x:v>1091189166</x:v>
      </x:c>
      <x:c r="G62" t="n">
        <x:v>2159672079</x:v>
      </x:c>
      <x:c r="H62" t="n">
        <x:v>-1095762621</x:v>
      </x:c>
      <x:c r="I62" t="str">
        <x:v>MODELED</x:v>
      </x:c>
      <x:c r="J62" s="17" t="b">
        <x:v>0</x:v>
      </x:c>
    </x:row>
    <x:row r="63">
      <x:c r="A63" t="str">
        <x:v>zone.yanzhou_plain.timber</x:v>
      </x:c>
      <x:c r="B63" t="str">
        <x:v>YANZHOU_PLAIN</x:v>
      </x:c>
      <x:c r="C63" t="str">
        <x:v>admin.han140.yanzhou</x:v>
      </x:c>
      <x:c r="D63" t="str">
        <x:v>TIMBER</x:v>
      </x:c>
      <x:c r="E63" t="n">
        <x:v>80</x:v>
      </x:c>
      <x:c r="F63" t="n">
        <x:v>344922209</x:v>
      </x:c>
      <x:c r="G63" t="n">
        <x:v>266183590</x:v>
      </x:c>
      <x:c r="H63" t="n">
        <x:v>70115576</x:v>
      </x:c>
      <x:c r="I63" t="str">
        <x:v>MODELED</x:v>
      </x:c>
      <x:c r="J63" s="17" t="b">
        <x:v>0</x:v>
      </x:c>
    </x:row>
    <x:row r="64">
      <x:c r="A64" t="str">
        <x:v>zone.yanzhou_plain.horse</x:v>
      </x:c>
      <x:c r="B64" t="str">
        <x:v>YANZHOU_PLAIN</x:v>
      </x:c>
      <x:c r="C64" t="str">
        <x:v>admin.han140.yanzhou</x:v>
      </x:c>
      <x:c r="D64" t="str">
        <x:v>HORSE</x:v>
      </x:c>
      <x:c r="E64" t="n">
        <x:v>80</x:v>
      </x:c>
      <x:c r="F64" t="n">
        <x:v>2255</x:v>
      </x:c>
      <x:c r="G64" t="n">
        <x:v>25187</x:v>
      </x:c>
      <x:c r="H64" t="n">
        <x:v>-22956</x:v>
      </x:c>
      <x:c r="I64" t="str">
        <x:v>MODELED</x:v>
      </x:c>
      <x:c r="J64" s="17" t="b">
        <x:v>0</x:v>
      </x:c>
    </x:row>
    <x:row r="65">
      <x:c r="A65" t="str">
        <x:v>zone.yanzhou_plain.livestock</x:v>
      </x:c>
      <x:c r="B65" t="str">
        <x:v>YANZHOU_PLAIN</x:v>
      </x:c>
      <x:c r="C65" t="str">
        <x:v>admin.han140.yanzhou</x:v>
      </x:c>
      <x:c r="D65" t="str">
        <x:v>LIVESTOCK</x:v>
      </x:c>
      <x:c r="E65" t="n">
        <x:v>80</x:v>
      </x:c>
      <x:c r="F65" t="n">
        <x:v>160222</x:v>
      </x:c>
      <x:c r="G65" t="n">
        <x:v>245633</x:v>
      </x:c>
      <x:c r="H65" t="n">
        <x:v>-87340</x:v>
      </x:c>
      <x:c r="I65" t="str">
        <x:v>MODELED</x:v>
      </x:c>
      <x:c r="J65" s="17" t="b">
        <x:v>0</x:v>
      </x:c>
    </x:row>
    <x:row r="66">
      <x:c r="A66" t="str">
        <x:v>zone.yanzhou_plain.leather</x:v>
      </x:c>
      <x:c r="B66" t="str">
        <x:v>YANZHOU_PLAIN</x:v>
      </x:c>
      <x:c r="C66" t="str">
        <x:v>admin.han140.yanzhou</x:v>
      </x:c>
      <x:c r="D66" t="str">
        <x:v>LEATHER</x:v>
      </x:c>
      <x:c r="E66" t="n">
        <x:v>80</x:v>
      </x:c>
      <x:c r="F66" t="n">
        <x:v>336470</x:v>
      </x:c>
      <x:c r="G66" t="n">
        <x:v>6654584</x:v>
      </x:c>
      <x:c r="H66" t="n">
        <x:v>-6322160</x:v>
      </x:c>
      <x:c r="I66" t="str">
        <x:v>MODELED</x:v>
      </x:c>
      <x:c r="J66" s="17" t="b">
        <x:v>0</x:v>
      </x:c>
    </x:row>
    <x:row r="67">
      <x:c r="A67" t="str">
        <x:v>zone.yanzhou_plain.fiber</x:v>
      </x:c>
      <x:c r="B67" t="str">
        <x:v>YANZHOU_PLAIN</x:v>
      </x:c>
      <x:c r="C67" t="str">
        <x:v>admin.han140.yanzhou</x:v>
      </x:c>
      <x:c r="D67" t="str">
        <x:v>FIBER</x:v>
      </x:c>
      <x:c r="E67" t="n">
        <x:v>80</x:v>
      </x:c>
      <x:c r="F67" t="n">
        <x:v>20960506</x:v>
      </x:c>
      <x:c r="G67" t="n">
        <x:v>12285395</x:v>
      </x:c>
      <x:c r="H67" t="n">
        <x:v>8423581</x:v>
      </x:c>
      <x:c r="I67" t="str">
        <x:v>MODELED</x:v>
      </x:c>
      <x:c r="J67" s="17" t="b">
        <x:v>0</x:v>
      </x:c>
    </x:row>
    <x:row r="68">
      <x:c r="A68" t="str">
        <x:v>zone.yanzhou_plain.raw_silk</x:v>
      </x:c>
      <x:c r="B68" t="str">
        <x:v>YANZHOU_PLAIN</x:v>
      </x:c>
      <x:c r="C68" t="str">
        <x:v>admin.han140.yanzhou</x:v>
      </x:c>
      <x:c r="D68" t="str">
        <x:v>RAW_SILK</x:v>
      </x:c>
      <x:c r="E68" t="n">
        <x:v>80</x:v>
      </x:c>
      <x:c r="F68" t="n">
        <x:v>157994</x:v>
      </x:c>
      <x:c r="G68" t="n">
        <x:v>170063</x:v>
      </x:c>
      <x:c r="H68" t="n">
        <x:v>-13953</x:v>
      </x:c>
      <x:c r="I68" t="str">
        <x:v>MODELED</x:v>
      </x:c>
      <x:c r="J68" s="17" t="b">
        <x:v>0</x:v>
      </x:c>
    </x:row>
    <x:row r="69">
      <x:c r="A69" t="str">
        <x:v>zone.yanzhou_plain.textile</x:v>
      </x:c>
      <x:c r="B69" t="str">
        <x:v>YANZHOU_PLAIN</x:v>
      </x:c>
      <x:c r="C69" t="str">
        <x:v>admin.han140.yanzhou</x:v>
      </x:c>
      <x:c r="D69" t="str">
        <x:v>TEXTILE</x:v>
      </x:c>
      <x:c r="E69" t="n">
        <x:v>80</x:v>
      </x:c>
      <x:c r="F69" t="n">
        <x:v>202663</x:v>
      </x:c>
      <x:c r="G69" t="n">
        <x:v>3022394</x:v>
      </x:c>
      <x:c r="H69" t="n">
        <x:v>-2822155</x:v>
      </x:c>
      <x:c r="I69" t="str">
        <x:v>MODELED</x:v>
      </x:c>
      <x:c r="J69" s="17" t="b">
        <x:v>0</x:v>
      </x:c>
    </x:row>
    <x:row r="70">
      <x:c r="A70" t="str">
        <x:v>zone.yanzhou_plain.iron_ore</x:v>
      </x:c>
      <x:c r="B70" t="str">
        <x:v>YANZHOU_PLAIN</x:v>
      </x:c>
      <x:c r="C70" t="str">
        <x:v>admin.han140.yanzhou</x:v>
      </x:c>
      <x:c r="D70" t="str">
        <x:v>IRON_ORE</x:v>
      </x:c>
      <x:c r="E70" t="n">
        <x:v>80</x:v>
      </x:c>
      <x:c r="F70" t="n">
        <x:v>0</x:v>
      </x:c>
      <x:c r="G70" t="n">
        <x:v>27464</x:v>
      </x:c>
      <x:c r="H70" t="n">
        <x:v>-27459</x:v>
      </x:c>
      <x:c r="I70" t="str">
        <x:v>MODELED</x:v>
      </x:c>
      <x:c r="J70" s="17" t="b">
        <x:v>0</x:v>
      </x:c>
    </x:row>
    <x:row r="71">
      <x:c r="A71" t="str">
        <x:v>zone.yanzhou_plain.metal</x:v>
      </x:c>
      <x:c r="B71" t="str">
        <x:v>YANZHOU_PLAIN</x:v>
      </x:c>
      <x:c r="C71" t="str">
        <x:v>admin.han140.yanzhou</x:v>
      </x:c>
      <x:c r="D71" t="str">
        <x:v>METAL</x:v>
      </x:c>
      <x:c r="E71" t="n">
        <x:v>80</x:v>
      </x:c>
      <x:c r="F71" t="n">
        <x:v>25790</x:v>
      </x:c>
      <x:c r="G71" t="n">
        <x:v>28246600</x:v>
      </x:c>
      <x:c r="H71" t="n">
        <x:v>-28221117</x:v>
      </x:c>
      <x:c r="I71" t="str">
        <x:v>MODELED</x:v>
      </x:c>
      <x:c r="J71" s="17" t="b">
        <x:v>0</x:v>
      </x:c>
    </x:row>
    <x:row r="72">
      <x:c r="A72" t="str">
        <x:v>zone.yanzhou_plain.tools</x:v>
      </x:c>
      <x:c r="B72" t="str">
        <x:v>YANZHOU_PLAIN</x:v>
      </x:c>
      <x:c r="C72" t="str">
        <x:v>admin.han140.yanzhou</x:v>
      </x:c>
      <x:c r="D72" t="str">
        <x:v>TOOLS</x:v>
      </x:c>
      <x:c r="E72" t="n">
        <x:v>80</x:v>
      </x:c>
      <x:c r="F72" t="n">
        <x:v>32181</x:v>
      </x:c>
      <x:c r="G72" t="n">
        <x:v>680230</x:v>
      </x:c>
      <x:c r="H72" t="n">
        <x:v>-648440</x:v>
      </x:c>
      <x:c r="I72" t="str">
        <x:v>MODELED</x:v>
      </x:c>
      <x:c r="J72" s="17" t="b">
        <x:v>0</x:v>
      </x:c>
    </x:row>
    <x:row r="73">
      <x:c r="A73" t="str">
        <x:v>zone.yanzhou_plain.weapons</x:v>
      </x:c>
      <x:c r="B73" t="str">
        <x:v>YANZHOU_PLAIN</x:v>
      </x:c>
      <x:c r="C73" t="str">
        <x:v>admin.han140.yanzhou</x:v>
      </x:c>
      <x:c r="D73" t="str">
        <x:v>WEAPONS</x:v>
      </x:c>
      <x:c r="E73" t="n">
        <x:v>80</x:v>
      </x:c>
      <x:c r="F73" t="n">
        <x:v>2836</x:v>
      </x:c>
      <x:c r="G73" t="n">
        <x:v>2795</x:v>
      </x:c>
      <x:c r="H73" t="n">
        <x:v>2</x:v>
      </x:c>
      <x:c r="I73" t="str">
        <x:v>MODELED</x:v>
      </x:c>
      <x:c r="J73" s="17" t="b">
        <x:v>0</x:v>
      </x:c>
    </x:row>
    <x:row r="74">
      <x:c r="A74" t="str">
        <x:v>zone.yanzhou_plain.building_material</x:v>
      </x:c>
      <x:c r="B74" t="str">
        <x:v>YANZHOU_PLAIN</x:v>
      </x:c>
      <x:c r="C74" t="str">
        <x:v>admin.han140.yanzhou</x:v>
      </x:c>
      <x:c r="D74" t="str">
        <x:v>BUILDING_MATERIAL</x:v>
      </x:c>
      <x:c r="E74" t="n">
        <x:v>80</x:v>
      </x:c>
      <x:c r="F74" t="n">
        <x:v>174476206</x:v>
      </x:c>
      <x:c r="G74" t="n">
        <x:v>359010467</x:v>
      </x:c>
      <x:c r="H74" t="n">
        <x:v>-186627926</x:v>
      </x:c>
      <x:c r="I74" t="str">
        <x:v>MODELED</x:v>
      </x:c>
      <x:c r="J74" s="17" t="b">
        <x:v>0</x:v>
      </x:c>
    </x:row>
    <x:row r="75">
      <x:c r="A75" t="str">
        <x:v>zone.yanzhou_plain.pottery</x:v>
      </x:c>
      <x:c r="B75" t="str">
        <x:v>YANZHOU_PLAIN</x:v>
      </x:c>
      <x:c r="C75" t="str">
        <x:v>admin.han140.yanzhou</x:v>
      </x:c>
      <x:c r="D75" t="str">
        <x:v>POTTERY</x:v>
      </x:c>
      <x:c r="E75" t="n">
        <x:v>80</x:v>
      </x:c>
      <x:c r="F75" t="n">
        <x:v>110034</x:v>
      </x:c>
      <x:c r="G75" t="n">
        <x:v>1587201</x:v>
      </x:c>
      <x:c r="H75" t="n">
        <x:v>-1478488</x:v>
      </x:c>
      <x:c r="I75" t="str">
        <x:v>MODELED</x:v>
      </x:c>
      <x:c r="J75" s="17" t="b">
        <x:v>0</x:v>
      </x:c>
    </x:row>
    <x:row r="76">
      <x:c r="A76" t="str">
        <x:v>zone.yanzhou_plain.medicine</x:v>
      </x:c>
      <x:c r="B76" t="str">
        <x:v>YANZHOU_PLAIN</x:v>
      </x:c>
      <x:c r="C76" t="str">
        <x:v>admin.han140.yanzhou</x:v>
      </x:c>
      <x:c r="D76" t="str">
        <x:v>MEDICINE</x:v>
      </x:c>
      <x:c r="E76" t="n">
        <x:v>80</x:v>
      </x:c>
      <x:c r="F76" t="n">
        <x:v>5490</x:v>
      </x:c>
      <x:c r="G76" t="n">
        <x:v>1209292</x:v>
      </x:c>
      <x:c r="H76" t="n">
        <x:v>-1203869</x:v>
      </x:c>
      <x:c r="I76" t="str">
        <x:v>MODELED</x:v>
      </x:c>
      <x:c r="J76" s="17" t="b">
        <x:v>0</x:v>
      </x:c>
    </x:row>
    <x:row r="77">
      <x:c r="A77" t="str">
        <x:v>zone.yanzhou_plain.transport_equipment</x:v>
      </x:c>
      <x:c r="B77" t="str">
        <x:v>YANZHOU_PLAIN</x:v>
      </x:c>
      <x:c r="C77" t="str">
        <x:v>admin.han140.yanzhou</x:v>
      </x:c>
      <x:c r="D77" t="str">
        <x:v>TRANSPORT_EQUIPMENT</x:v>
      </x:c>
      <x:c r="E77" t="n">
        <x:v>80</x:v>
      </x:c>
      <x:c r="F77" t="n">
        <x:v>1738</x:v>
      </x:c>
      <x:c r="G77" t="n">
        <x:v>9446</x:v>
      </x:c>
      <x:c r="H77" t="n">
        <x:v>-7731</x:v>
      </x:c>
      <x:c r="I77" t="str">
        <x:v>MODELED</x:v>
      </x:c>
      <x:c r="J77" s="17" t="b">
        <x:v>0</x:v>
      </x:c>
    </x:row>
    <x:row r="78">
      <x:c r="A78" t="str">
        <x:v>zone.yishu_jianghuai.grain</x:v>
      </x:c>
      <x:c r="B78" t="str">
        <x:v>YISHU_JIANGHUAI</x:v>
      </x:c>
      <x:c r="C78" t="str">
        <x:v>admin.han140.xuzhou</x:v>
      </x:c>
      <x:c r="D78" t="str">
        <x:v>GRAIN</x:v>
      </x:c>
      <x:c r="E78" t="n">
        <x:v>62</x:v>
      </x:c>
      <x:c r="F78" t="n">
        <x:v>497607776</x:v>
      </x:c>
      <x:c r="G78" t="n">
        <x:v>630124722</x:v>
      </x:c>
      <x:c r="H78" t="n">
        <x:v>-162373404</x:v>
      </x:c>
      <x:c r="I78" t="str">
        <x:v>MODELED</x:v>
      </x:c>
      <x:c r="J78" s="17" t="b">
        <x:v>0</x:v>
      </x:c>
    </x:row>
    <x:row r="79">
      <x:c r="A79" t="str">
        <x:v>zone.yishu_jianghuai.other_food</x:v>
      </x:c>
      <x:c r="B79" t="str">
        <x:v>YISHU_JIANGHUAI</x:v>
      </x:c>
      <x:c r="C79" t="str">
        <x:v>admin.han140.xuzhou</x:v>
      </x:c>
      <x:c r="D79" t="str">
        <x:v>OTHER_FOOD</x:v>
      </x:c>
      <x:c r="E79" t="n">
        <x:v>62</x:v>
      </x:c>
      <x:c r="F79" t="n">
        <x:v>329862501</x:v>
      </x:c>
      <x:c r="G79" t="n">
        <x:v>177580605</x:v>
      </x:c>
      <x:c r="H79" t="n">
        <x:v>132490150</x:v>
      </x:c>
      <x:c r="I79" t="str">
        <x:v>MODELED</x:v>
      </x:c>
      <x:c r="J79" s="17" t="b">
        <x:v>0</x:v>
      </x:c>
    </x:row>
    <x:row r="80">
      <x:c r="A80" t="str">
        <x:v>zone.yishu_jianghuai.salt</x:v>
      </x:c>
      <x:c r="B80" t="str">
        <x:v>YISHU_JIANGHUAI</x:v>
      </x:c>
      <x:c r="C80" t="str">
        <x:v>admin.han140.xuzhou</x:v>
      </x:c>
      <x:c r="D80" t="str">
        <x:v>SALT</x:v>
      </x:c>
      <x:c r="E80" t="n">
        <x:v>62</x:v>
      </x:c>
      <x:c r="F80" t="n">
        <x:v>8877302</x:v>
      </x:c>
      <x:c r="G80" t="n">
        <x:v>8250172</x:v>
      </x:c>
      <x:c r="H80" t="n">
        <x:v>520600</x:v>
      </x:c>
      <x:c r="I80" t="str">
        <x:v>MODELED</x:v>
      </x:c>
      <x:c r="J80" s="17" t="b">
        <x:v>0</x:v>
      </x:c>
    </x:row>
    <x:row r="81">
      <x:c r="A81" t="str">
        <x:v>zone.yishu_jianghuai.fuel</x:v>
      </x:c>
      <x:c r="B81" t="str">
        <x:v>YISHU_JIANGHUAI</x:v>
      </x:c>
      <x:c r="C81" t="str">
        <x:v>admin.han140.xuzhou</x:v>
      </x:c>
      <x:c r="D81" t="str">
        <x:v>FUEL</x:v>
      </x:c>
      <x:c r="E81" t="n">
        <x:v>62</x:v>
      </x:c>
      <x:c r="F81" t="n">
        <x:v>1101445253</x:v>
      </x:c>
      <x:c r="G81" t="n">
        <x:v>1473997490</x:v>
      </x:c>
      <x:c r="H81" t="n">
        <x:v>-400088340</x:v>
      </x:c>
      <x:c r="I81" t="str">
        <x:v>MODELED</x:v>
      </x:c>
      <x:c r="J81" s="17" t="b">
        <x:v>0</x:v>
      </x:c>
    </x:row>
    <x:row r="82">
      <x:c r="A82" t="str">
        <x:v>zone.yishu_jianghuai.timber</x:v>
      </x:c>
      <x:c r="B82" t="str">
        <x:v>YISHU_JIANGHUAI</x:v>
      </x:c>
      <x:c r="C82" t="str">
        <x:v>admin.han140.xuzhou</x:v>
      </x:c>
      <x:c r="D82" t="str">
        <x:v>TIMBER</x:v>
      </x:c>
      <x:c r="E82" t="n">
        <x:v>62</x:v>
      </x:c>
      <x:c r="F82" t="n">
        <x:v>391086016</x:v>
      </x:c>
      <x:c r="G82" t="n">
        <x:v>181659740</x:v>
      </x:c>
      <x:c r="H82" t="n">
        <x:v>199649123</x:v>
      </x:c>
      <x:c r="I82" t="str">
        <x:v>MODELED</x:v>
      </x:c>
      <x:c r="J82" s="17" t="b">
        <x:v>0</x:v>
      </x:c>
    </x:row>
    <x:row r="83">
      <x:c r="A83" t="str">
        <x:v>zone.yishu_jianghuai.horse</x:v>
      </x:c>
      <x:c r="B83" t="str">
        <x:v>YISHU_JIANGHUAI</x:v>
      </x:c>
      <x:c r="C83" t="str">
        <x:v>admin.han140.xuzhou</x:v>
      </x:c>
      <x:c r="D83" t="str">
        <x:v>HORSE</x:v>
      </x:c>
      <x:c r="E83" t="n">
        <x:v>62</x:v>
      </x:c>
      <x:c r="F83" t="n">
        <x:v>869</x:v>
      </x:c>
      <x:c r="G83" t="n">
        <x:v>17181</x:v>
      </x:c>
      <x:c r="H83" t="n">
        <x:v>-16325</x:v>
      </x:c>
      <x:c r="I83" t="str">
        <x:v>MODELED</x:v>
      </x:c>
      <x:c r="J83" s="17" t="b">
        <x:v>0</x:v>
      </x:c>
    </x:row>
    <x:row r="84">
      <x:c r="A84" t="str">
        <x:v>zone.yishu_jianghuai.livestock</x:v>
      </x:c>
      <x:c r="B84" t="str">
        <x:v>YISHU_JIANGHUAI</x:v>
      </x:c>
      <x:c r="C84" t="str">
        <x:v>admin.han140.xuzhou</x:v>
      </x:c>
      <x:c r="D84" t="str">
        <x:v>LIVESTOCK</x:v>
      </x:c>
      <x:c r="E84" t="n">
        <x:v>62</x:v>
      </x:c>
      <x:c r="F84" t="n">
        <x:v>88863</x:v>
      </x:c>
      <x:c r="G84" t="n">
        <x:v>167582</x:v>
      </x:c>
      <x:c r="H84" t="n">
        <x:v>-79785</x:v>
      </x:c>
      <x:c r="I84" t="str">
        <x:v>MODELED</x:v>
      </x:c>
      <x:c r="J84" s="17" t="b">
        <x:v>0</x:v>
      </x:c>
    </x:row>
    <x:row r="85">
      <x:c r="A85" t="str">
        <x:v>zone.yishu_jianghuai.leather</x:v>
      </x:c>
      <x:c r="B85" t="str">
        <x:v>YISHU_JIANGHUAI</x:v>
      </x:c>
      <x:c r="C85" t="str">
        <x:v>admin.han140.xuzhou</x:v>
      </x:c>
      <x:c r="D85" t="str">
        <x:v>LEATHER</x:v>
      </x:c>
      <x:c r="E85" t="n">
        <x:v>62</x:v>
      </x:c>
      <x:c r="F85" t="n">
        <x:v>186612</x:v>
      </x:c>
      <x:c r="G85" t="n">
        <x:v>4541482</x:v>
      </x:c>
      <x:c r="H85" t="n">
        <x:v>-4357122</x:v>
      </x:c>
      <x:c r="I85" t="str">
        <x:v>MODELED</x:v>
      </x:c>
      <x:c r="J85" s="17" t="b">
        <x:v>0</x:v>
      </x:c>
    </x:row>
    <x:row r="86">
      <x:c r="A86" t="str">
        <x:v>zone.yishu_jianghuai.fiber</x:v>
      </x:c>
      <x:c r="B86" t="str">
        <x:v>YISHU_JIANGHUAI</x:v>
      </x:c>
      <x:c r="C86" t="str">
        <x:v>admin.han140.xuzhou</x:v>
      </x:c>
      <x:c r="D86" t="str">
        <x:v>FIBER</x:v>
      </x:c>
      <x:c r="E86" t="n">
        <x:v>62</x:v>
      </x:c>
      <x:c r="F86" t="n">
        <x:v>13240776</x:v>
      </x:c>
      <x:c r="G86" t="n">
        <x:v>8384303</x:v>
      </x:c>
      <x:c r="H86" t="n">
        <x:v>4697594</x:v>
      </x:c>
      <x:c r="I86" t="str">
        <x:v>MODELED</x:v>
      </x:c>
      <x:c r="J86" s="17" t="b">
        <x:v>0</x:v>
      </x:c>
    </x:row>
    <x:row r="87">
      <x:c r="A87" t="str">
        <x:v>zone.yishu_jianghuai.raw_silk</x:v>
      </x:c>
      <x:c r="B87" t="str">
        <x:v>YISHU_JIANGHUAI</x:v>
      </x:c>
      <x:c r="C87" t="str">
        <x:v>admin.han140.xuzhou</x:v>
      </x:c>
      <x:c r="D87" t="str">
        <x:v>RAW_SILK</x:v>
      </x:c>
      <x:c r="E87" t="n">
        <x:v>62</x:v>
      </x:c>
      <x:c r="F87" t="n">
        <x:v>96458</x:v>
      </x:c>
      <x:c r="G87" t="n">
        <x:v>116018</x:v>
      </x:c>
      <x:c r="H87" t="n">
        <x:v>-20718</x:v>
      </x:c>
      <x:c r="I87" t="str">
        <x:v>MODELED</x:v>
      </x:c>
      <x:c r="J87" s="17" t="b">
        <x:v>0</x:v>
      </x:c>
    </x:row>
    <x:row r="88">
      <x:c r="A88" t="str">
        <x:v>zone.yishu_jianghuai.textile</x:v>
      </x:c>
      <x:c r="B88" t="str">
        <x:v>YISHU_JIANGHUAI</x:v>
      </x:c>
      <x:c r="C88" t="str">
        <x:v>admin.han140.xuzhou</x:v>
      </x:c>
      <x:c r="D88" t="str">
        <x:v>TEXTILE</x:v>
      </x:c>
      <x:c r="E88" t="n">
        <x:v>62</x:v>
      </x:c>
      <x:c r="F88" t="n">
        <x:v>133009</x:v>
      </x:c>
      <x:c r="G88" t="n">
        <x:v>2062225</x:v>
      </x:c>
      <x:c r="H88" t="n">
        <x:v>-1930814</x:v>
      </x:c>
      <x:c r="I88" t="str">
        <x:v>MODELED</x:v>
      </x:c>
      <x:c r="J88" s="17" t="b">
        <x:v>0</x:v>
      </x:c>
    </x:row>
    <x:row r="89">
      <x:c r="A89" t="str">
        <x:v>zone.yishu_jianghuai.iron_ore</x:v>
      </x:c>
      <x:c r="B89" t="str">
        <x:v>YISHU_JIANGHUAI</x:v>
      </x:c>
      <x:c r="C89" t="str">
        <x:v>admin.han140.xuzhou</x:v>
      </x:c>
      <x:c r="D89" t="str">
        <x:v>IRON_ORE</x:v>
      </x:c>
      <x:c r="E89" t="n">
        <x:v>62</x:v>
      </x:c>
      <x:c r="F89" t="n">
        <x:v>0</x:v>
      </x:c>
      <x:c r="G89" t="n">
        <x:v>16508</x:v>
      </x:c>
      <x:c r="H89" t="n">
        <x:v>-16512</x:v>
      </x:c>
      <x:c r="I89" t="str">
        <x:v>MODELED</x:v>
      </x:c>
      <x:c r="J89" s="17" t="b">
        <x:v>0</x:v>
      </x:c>
    </x:row>
    <x:row r="90">
      <x:c r="A90" t="str">
        <x:v>zone.yishu_jianghuai.metal</x:v>
      </x:c>
      <x:c r="B90" t="str">
        <x:v>YISHU_JIANGHUAI</x:v>
      </x:c>
      <x:c r="C90" t="str">
        <x:v>admin.han140.xuzhou</x:v>
      </x:c>
      <x:c r="D90" t="str">
        <x:v>METAL</x:v>
      </x:c>
      <x:c r="E90" t="n">
        <x:v>62</x:v>
      </x:c>
      <x:c r="F90" t="n">
        <x:v>15563</x:v>
      </x:c>
      <x:c r="G90" t="n">
        <x:v>19267317</x:v>
      </x:c>
      <x:c r="H90" t="n">
        <x:v>-19251945</x:v>
      </x:c>
      <x:c r="I90" t="str">
        <x:v>MODELED</x:v>
      </x:c>
      <x:c r="J90" s="17" t="b">
        <x:v>0</x:v>
      </x:c>
    </x:row>
    <x:row r="91">
      <x:c r="A91" t="str">
        <x:v>zone.yishu_jianghuai.tools</x:v>
      </x:c>
      <x:c r="B91" t="str">
        <x:v>YISHU_JIANGHUAI</x:v>
      </x:c>
      <x:c r="C91" t="str">
        <x:v>admin.han140.xuzhou</x:v>
      </x:c>
      <x:c r="D91" t="str">
        <x:v>TOOLS</x:v>
      </x:c>
      <x:c r="E91" t="n">
        <x:v>62</x:v>
      </x:c>
      <x:c r="F91" t="n">
        <x:v>18559</x:v>
      </x:c>
      <x:c r="G91" t="n">
        <x:v>464074</x:v>
      </x:c>
      <x:c r="H91" t="n">
        <x:v>-445738</x:v>
      </x:c>
      <x:c r="I91" t="str">
        <x:v>MODELED</x:v>
      </x:c>
      <x:c r="J91" s="17" t="b">
        <x:v>0</x:v>
      </x:c>
    </x:row>
    <x:row r="92">
      <x:c r="A92" t="str">
        <x:v>zone.yishu_jianghuai.weapons</x:v>
      </x:c>
      <x:c r="B92" t="str">
        <x:v>YISHU_JIANGHUAI</x:v>
      </x:c>
      <x:c r="C92" t="str">
        <x:v>admin.han140.xuzhou</x:v>
      </x:c>
      <x:c r="D92" t="str">
        <x:v>WEAPONS</x:v>
      </x:c>
      <x:c r="E92" t="n">
        <x:v>62</x:v>
      </x:c>
      <x:c r="F92" t="n">
        <x:v>1951</x:v>
      </x:c>
      <x:c r="G92" t="n">
        <x:v>1919</x:v>
      </x:c>
      <x:c r="H92" t="n">
        <x:v>9</x:v>
      </x:c>
      <x:c r="I92" t="str">
        <x:v>MODELED</x:v>
      </x:c>
      <x:c r="J92" s="17" t="b">
        <x:v>0</x:v>
      </x:c>
    </x:row>
    <x:row r="93">
      <x:c r="A93" t="str">
        <x:v>zone.yishu_jianghuai.building_material</x:v>
      </x:c>
      <x:c r="B93" t="str">
        <x:v>YISHU_JIANGHUAI</x:v>
      </x:c>
      <x:c r="C93" t="str">
        <x:v>admin.han140.xuzhou</x:v>
      </x:c>
      <x:c r="D93" t="str">
        <x:v>BUILDING_MATERIAL</x:v>
      </x:c>
      <x:c r="E93" t="n">
        <x:v>62</x:v>
      </x:c>
      <x:c r="F93" t="n">
        <x:v>111751967</x:v>
      </x:c>
      <x:c r="G93" t="n">
        <x:v>244927029</x:v>
      </x:c>
      <x:c r="H93" t="n">
        <x:v>-134516059</x:v>
      </x:c>
      <x:c r="I93" t="str">
        <x:v>MODELED</x:v>
      </x:c>
      <x:c r="J93" s="17" t="b">
        <x:v>0</x:v>
      </x:c>
    </x:row>
    <x:row r="94">
      <x:c r="A94" t="str">
        <x:v>zone.yishu_jianghuai.pottery</x:v>
      </x:c>
      <x:c r="B94" t="str">
        <x:v>YISHU_JIANGHUAI</x:v>
      </x:c>
      <x:c r="C94" t="str">
        <x:v>admin.han140.xuzhou</x:v>
      </x:c>
      <x:c r="D94" t="str">
        <x:v>POTTERY</x:v>
      </x:c>
      <x:c r="E94" t="n">
        <x:v>62</x:v>
      </x:c>
      <x:c r="F94" t="n">
        <x:v>66406</x:v>
      </x:c>
      <x:c r="G94" t="n">
        <x:v>1082835</x:v>
      </x:c>
      <x:c r="H94" t="n">
        <x:v>-1017224</x:v>
      </x:c>
      <x:c r="I94" t="str">
        <x:v>MODELED</x:v>
      </x:c>
      <x:c r="J94" s="17" t="b">
        <x:v>0</x:v>
      </x:c>
    </x:row>
    <x:row r="95">
      <x:c r="A95" t="str">
        <x:v>zone.yishu_jianghuai.medicine</x:v>
      </x:c>
      <x:c r="B95" t="str">
        <x:v>YISHU_JIANGHUAI</x:v>
      </x:c>
      <x:c r="C95" t="str">
        <x:v>admin.han140.xuzhou</x:v>
      </x:c>
      <x:c r="D95" t="str">
        <x:v>MEDICINE</x:v>
      </x:c>
      <x:c r="E95" t="n">
        <x:v>62</x:v>
      </x:c>
      <x:c r="F95" t="n">
        <x:v>5192</x:v>
      </x:c>
      <x:c r="G95" t="n">
        <x:v>825013</x:v>
      </x:c>
      <x:c r="H95" t="n">
        <x:v>-819888</x:v>
      </x:c>
      <x:c r="I95" t="str">
        <x:v>MODELED</x:v>
      </x:c>
      <x:c r="J95" s="17" t="b">
        <x:v>0</x:v>
      </x:c>
    </x:row>
    <x:row r="96">
      <x:c r="A96" t="str">
        <x:v>zone.yishu_jianghuai.transport_equipment</x:v>
      </x:c>
      <x:c r="B96" t="str">
        <x:v>YISHU_JIANGHUAI</x:v>
      </x:c>
      <x:c r="C96" t="str">
        <x:v>admin.han140.xuzhou</x:v>
      </x:c>
      <x:c r="D96" t="str">
        <x:v>TRANSPORT_EQUIPMENT</x:v>
      </x:c>
      <x:c r="E96" t="n">
        <x:v>62</x:v>
      </x:c>
      <x:c r="F96" t="n">
        <x:v>1315</x:v>
      </x:c>
      <x:c r="G96" t="n">
        <x:v>6449</x:v>
      </x:c>
      <x:c r="H96" t="n">
        <x:v>-5151</x:v>
      </x:c>
      <x:c r="I96" t="str">
        <x:v>MODELED</x:v>
      </x:c>
      <x:c r="J96" s="17" t="b">
        <x:v>0</x:v>
      </x:c>
    </x:row>
    <x:row r="97">
      <x:c r="A97" t="str">
        <x:v>zone.shandong_coast.grain</x:v>
      </x:c>
      <x:c r="B97" t="str">
        <x:v>SHANDONG_COAST</x:v>
      </x:c>
      <x:c r="C97" t="str">
        <x:v>admin.han140.qingzhou</x:v>
      </x:c>
      <x:c r="D97" t="str">
        <x:v>GRAIN</x:v>
      </x:c>
      <x:c r="E97" t="n">
        <x:v>65</x:v>
      </x:c>
      <x:c r="F97" t="n">
        <x:v>523556693</x:v>
      </x:c>
      <x:c r="G97" t="n">
        <x:v>841451004</x:v>
      </x:c>
      <x:c r="H97" t="n">
        <x:v>-349307697</x:v>
      </x:c>
      <x:c r="I97" t="str">
        <x:v>MODELED</x:v>
      </x:c>
      <x:c r="J97" s="17" t="b">
        <x:v>0</x:v>
      </x:c>
    </x:row>
    <x:row r="98">
      <x:c r="A98" t="str">
        <x:v>zone.shandong_coast.other_food</x:v>
      </x:c>
      <x:c r="B98" t="str">
        <x:v>SHANDONG_COAST</x:v>
      </x:c>
      <x:c r="C98" t="str">
        <x:v>admin.han140.qingzhou</x:v>
      </x:c>
      <x:c r="D98" t="str">
        <x:v>OTHER_FOOD</x:v>
      </x:c>
      <x:c r="E98" t="n">
        <x:v>65</x:v>
      </x:c>
      <x:c r="F98" t="n">
        <x:v>363558016</x:v>
      </x:c>
      <x:c r="G98" t="n">
        <x:v>237136187</x:v>
      </x:c>
      <x:c r="H98" t="n">
        <x:v>104608353</x:v>
      </x:c>
      <x:c r="I98" t="str">
        <x:v>MODELED</x:v>
      </x:c>
      <x:c r="J98" s="17" t="b">
        <x:v>0</x:v>
      </x:c>
    </x:row>
    <x:row r="99">
      <x:c r="A99" t="str">
        <x:v>zone.shandong_coast.salt</x:v>
      </x:c>
      <x:c r="B99" t="str">
        <x:v>SHANDONG_COAST</x:v>
      </x:c>
      <x:c r="C99" t="str">
        <x:v>admin.han140.qingzhou</x:v>
      </x:c>
      <x:c r="D99" t="str">
        <x:v>SALT</x:v>
      </x:c>
      <x:c r="E99" t="n">
        <x:v>65</x:v>
      </x:c>
      <x:c r="F99" t="n">
        <x:v>16169047</x:v>
      </x:c>
      <x:c r="G99" t="n">
        <x:v>11017809</x:v>
      </x:c>
      <x:c r="H99" t="n">
        <x:v>4957215</x:v>
      </x:c>
      <x:c r="I99" t="str">
        <x:v>MODELED</x:v>
      </x:c>
      <x:c r="J99" s="17" t="b">
        <x:v>0</x:v>
      </x:c>
    </x:row>
    <x:row r="100">
      <x:c r="A100" t="str">
        <x:v>zone.shandong_coast.fuel</x:v>
      </x:c>
      <x:c r="B100" t="str">
        <x:v>SHANDONG_COAST</x:v>
      </x:c>
      <x:c r="C100" t="str">
        <x:v>admin.han140.qingzhou</x:v>
      </x:c>
      <x:c r="D100" t="str">
        <x:v>FUEL</x:v>
      </x:c>
      <x:c r="E100" t="n">
        <x:v>65</x:v>
      </x:c>
      <x:c r="F100" t="n">
        <x:v>1203607087</x:v>
      </x:c>
      <x:c r="G100" t="n">
        <x:v>1968041964</x:v>
      </x:c>
      <x:c r="H100" t="n">
        <x:v>-794525032</x:v>
      </x:c>
      <x:c r="I100" t="str">
        <x:v>MODELED</x:v>
      </x:c>
      <x:c r="J100" s="17" t="b">
        <x:v>0</x:v>
      </x:c>
    </x:row>
    <x:row r="101">
      <x:c r="A101" t="str">
        <x:v>zone.shandong_coast.timber</x:v>
      </x:c>
      <x:c r="B101" t="str">
        <x:v>SHANDONG_COAST</x:v>
      </x:c>
      <x:c r="C101" t="str">
        <x:v>admin.han140.qingzhou</x:v>
      </x:c>
      <x:c r="D101" t="str">
        <x:v>TIMBER</x:v>
      </x:c>
      <x:c r="E101" t="n">
        <x:v>65</x:v>
      </x:c>
      <x:c r="F101" t="n">
        <x:v>409380277</x:v>
      </x:c>
      <x:c r="G101" t="n">
        <x:v>242556477</x:v>
      </x:c>
      <x:c r="H101" t="n">
        <x:v>156589293</x:v>
      </x:c>
      <x:c r="I101" t="str">
        <x:v>MODELED</x:v>
      </x:c>
      <x:c r="J101" s="17" t="b">
        <x:v>0</x:v>
      </x:c>
    </x:row>
    <x:row r="102">
      <x:c r="A102" t="str">
        <x:v>zone.shandong_coast.horse</x:v>
      </x:c>
      <x:c r="B102" t="str">
        <x:v>SHANDONG_COAST</x:v>
      </x:c>
      <x:c r="C102" t="str">
        <x:v>admin.han140.qingzhou</x:v>
      </x:c>
      <x:c r="D102" t="str">
        <x:v>HORSE</x:v>
      </x:c>
      <x:c r="E102" t="n">
        <x:v>65</x:v>
      </x:c>
      <x:c r="F102" t="n">
        <x:v>1899</x:v>
      </x:c>
      <x:c r="G102" t="n">
        <x:v>22947</x:v>
      </x:c>
      <x:c r="H102" t="n">
        <x:v>-21070</x:v>
      </x:c>
      <x:c r="I102" t="str">
        <x:v>MODELED</x:v>
      </x:c>
      <x:c r="J102" s="17" t="b">
        <x:v>0</x:v>
      </x:c>
    </x:row>
    <x:row r="103">
      <x:c r="A103" t="str">
        <x:v>zone.shandong_coast.livestock</x:v>
      </x:c>
      <x:c r="B103" t="str">
        <x:v>SHANDONG_COAST</x:v>
      </x:c>
      <x:c r="C103" t="str">
        <x:v>admin.han140.qingzhou</x:v>
      </x:c>
      <x:c r="D103" t="str">
        <x:v>LIVESTOCK</x:v>
      </x:c>
      <x:c r="E103" t="n">
        <x:v>65</x:v>
      </x:c>
      <x:c r="F103" t="n">
        <x:v>146178</x:v>
      </x:c>
      <x:c r="G103" t="n">
        <x:v>223803</x:v>
      </x:c>
      <x:c r="H103" t="n">
        <x:v>-79375</x:v>
      </x:c>
      <x:c r="I103" t="str">
        <x:v>MODELED</x:v>
      </x:c>
      <x:c r="J103" s="17" t="b">
        <x:v>0</x:v>
      </x:c>
    </x:row>
    <x:row r="104">
      <x:c r="A104" t="str">
        <x:v>zone.shandong_coast.leather</x:v>
      </x:c>
      <x:c r="B104" t="str">
        <x:v>SHANDONG_COAST</x:v>
      </x:c>
      <x:c r="C104" t="str">
        <x:v>admin.han140.qingzhou</x:v>
      </x:c>
      <x:c r="D104" t="str">
        <x:v>LEATHER</x:v>
      </x:c>
      <x:c r="E104" t="n">
        <x:v>65</x:v>
      </x:c>
      <x:c r="F104" t="n">
        <x:v>306977</x:v>
      </x:c>
      <x:c r="G104" t="n">
        <x:v>6063911</x:v>
      </x:c>
      <x:c r="H104" t="n">
        <x:v>-5760625</x:v>
      </x:c>
      <x:c r="I104" t="str">
        <x:v>MODELED</x:v>
      </x:c>
      <x:c r="J104" s="17" t="b">
        <x:v>0</x:v>
      </x:c>
    </x:row>
    <x:row r="105">
      <x:c r="A105" t="str">
        <x:v>zone.shandong_coast.fiber</x:v>
      </x:c>
      <x:c r="B105" t="str">
        <x:v>SHANDONG_COAST</x:v>
      </x:c>
      <x:c r="C105" t="str">
        <x:v>admin.han140.qingzhou</x:v>
      </x:c>
      <x:c r="D105" t="str">
        <x:v>FIBER</x:v>
      </x:c>
      <x:c r="E105" t="n">
        <x:v>65</x:v>
      </x:c>
      <x:c r="F105" t="n">
        <x:v>16602394</x:v>
      </x:c>
      <x:c r="G105" t="n">
        <x:v>11194917</x:v>
      </x:c>
      <x:c r="H105" t="n">
        <x:v>5208252</x:v>
      </x:c>
      <x:c r="I105" t="str">
        <x:v>MODELED</x:v>
      </x:c>
      <x:c r="J105" s="17" t="b">
        <x:v>0</x:v>
      </x:c>
    </x:row>
    <x:row r="106">
      <x:c r="A106" t="str">
        <x:v>zone.shandong_coast.raw_silk</x:v>
      </x:c>
      <x:c r="B106" t="str">
        <x:v>SHANDONG_COAST</x:v>
      </x:c>
      <x:c r="C106" t="str">
        <x:v>admin.han140.qingzhou</x:v>
      </x:c>
      <x:c r="D106" t="str">
        <x:v>RAW_SILK</x:v>
      </x:c>
      <x:c r="E106" t="n">
        <x:v>65</x:v>
      </x:c>
      <x:c r="F106" t="n">
        <x:v>119634</x:v>
      </x:c>
      <x:c r="G106" t="n">
        <x:v>154932</x:v>
      </x:c>
      <x:c r="H106" t="n">
        <x:v>-36738</x:v>
      </x:c>
      <x:c r="I106" t="str">
        <x:v>MODELED</x:v>
      </x:c>
      <x:c r="J106" s="17" t="b">
        <x:v>0</x:v>
      </x:c>
    </x:row>
    <x:row r="107">
      <x:c r="A107" t="str">
        <x:v>zone.shandong_coast.textile</x:v>
      </x:c>
      <x:c r="B107" t="str">
        <x:v>SHANDONG_COAST</x:v>
      </x:c>
      <x:c r="C107" t="str">
        <x:v>admin.han140.qingzhou</x:v>
      </x:c>
      <x:c r="D107" t="str">
        <x:v>TEXTILE</x:v>
      </x:c>
      <x:c r="E107" t="n">
        <x:v>65</x:v>
      </x:c>
      <x:c r="F107" t="n">
        <x:v>165494</x:v>
      </x:c>
      <x:c r="G107" t="n">
        <x:v>2753841</x:v>
      </x:c>
      <x:c r="H107" t="n">
        <x:v>-2590333</x:v>
      </x:c>
      <x:c r="I107" t="str">
        <x:v>MODELED</x:v>
      </x:c>
      <x:c r="J107" s="17" t="b">
        <x:v>0</x:v>
      </x:c>
    </x:row>
    <x:row r="108">
      <x:c r="A108" t="str">
        <x:v>zone.shandong_coast.iron_ore</x:v>
      </x:c>
      <x:c r="B108" t="str">
        <x:v>SHANDONG_COAST</x:v>
      </x:c>
      <x:c r="C108" t="str">
        <x:v>admin.han140.qingzhou</x:v>
      </x:c>
      <x:c r="D108" t="str">
        <x:v>IRON_ORE</x:v>
      </x:c>
      <x:c r="E108" t="n">
        <x:v>65</x:v>
      </x:c>
      <x:c r="F108" t="n">
        <x:v>0</x:v>
      </x:c>
      <x:c r="G108" t="n">
        <x:v>25918</x:v>
      </x:c>
      <x:c r="H108" t="n">
        <x:v>-25906</x:v>
      </x:c>
      <x:c r="I108" t="str">
        <x:v>MODELED</x:v>
      </x:c>
      <x:c r="J108" s="17" t="b">
        <x:v>0</x:v>
      </x:c>
    </x:row>
    <x:row r="109">
      <x:c r="A109" t="str">
        <x:v>zone.shandong_coast.metal</x:v>
      </x:c>
      <x:c r="B109" t="str">
        <x:v>SHANDONG_COAST</x:v>
      </x:c>
      <x:c r="C109" t="str">
        <x:v>admin.han140.qingzhou</x:v>
      </x:c>
      <x:c r="D109" t="str">
        <x:v>METAL</x:v>
      </x:c>
      <x:c r="E109" t="n">
        <x:v>65</x:v>
      </x:c>
      <x:c r="F109" t="n">
        <x:v>24408</x:v>
      </x:c>
      <x:c r="G109" t="n">
        <x:v>25740935</x:v>
      </x:c>
      <x:c r="H109" t="n">
        <x:v>-25716820</x:v>
      </x:c>
      <x:c r="I109" t="str">
        <x:v>MODELED</x:v>
      </x:c>
      <x:c r="J109" s="17" t="b">
        <x:v>0</x:v>
      </x:c>
    </x:row>
    <x:row r="110">
      <x:c r="A110" t="str">
        <x:v>zone.shandong_coast.tools</x:v>
      </x:c>
      <x:c r="B110" t="str">
        <x:v>SHANDONG_COAST</x:v>
      </x:c>
      <x:c r="C110" t="str">
        <x:v>admin.han140.qingzhou</x:v>
      </x:c>
      <x:c r="D110" t="str">
        <x:v>TOOLS</x:v>
      </x:c>
      <x:c r="E110" t="n">
        <x:v>65</x:v>
      </x:c>
      <x:c r="F110" t="n">
        <x:v>29883</x:v>
      </x:c>
      <x:c r="G110" t="n">
        <x:v>619751</x:v>
      </x:c>
      <x:c r="H110" t="n">
        <x:v>-590227</x:v>
      </x:c>
      <x:c r="I110" t="str">
        <x:v>MODELED</x:v>
      </x:c>
      <x:c r="J110" s="17" t="b">
        <x:v>0</x:v>
      </x:c>
    </x:row>
    <x:row r="111">
      <x:c r="A111" t="str">
        <x:v>zone.shandong_coast.weapons</x:v>
      </x:c>
      <x:c r="B111" t="str">
        <x:v>SHANDONG_COAST</x:v>
      </x:c>
      <x:c r="C111" t="str">
        <x:v>admin.han140.qingzhou</x:v>
      </x:c>
      <x:c r="D111" t="str">
        <x:v>WEAPONS</x:v>
      </x:c>
      <x:c r="E111" t="n">
        <x:v>65</x:v>
      </x:c>
      <x:c r="F111" t="n">
        <x:v>3029</x:v>
      </x:c>
      <x:c r="G111" t="n">
        <x:v>2386</x:v>
      </x:c>
      <x:c r="H111" t="n">
        <x:v>609</x:v>
      </x:c>
      <x:c r="I111" t="str">
        <x:v>MODELED</x:v>
      </x:c>
      <x:c r="J111" s="17" t="b">
        <x:v>0</x:v>
      </x:c>
    </x:row>
    <x:row r="112">
      <x:c r="A112" t="str">
        <x:v>zone.shandong_coast.building_material</x:v>
      </x:c>
      <x:c r="B112" t="str">
        <x:v>SHANDONG_COAST</x:v>
      </x:c>
      <x:c r="C112" t="str">
        <x:v>admin.han140.qingzhou</x:v>
      </x:c>
      <x:c r="D112" t="str">
        <x:v>BUILDING_MATERIAL</x:v>
      </x:c>
      <x:c r="E112" t="n">
        <x:v>65</x:v>
      </x:c>
      <x:c r="F112" t="n">
        <x:v>145412783</x:v>
      </x:c>
      <x:c r="G112" t="n">
        <x:v>327091052</x:v>
      </x:c>
      <x:c r="H112" t="n">
        <x:v>-183423195</x:v>
      </x:c>
      <x:c r="I112" t="str">
        <x:v>MODELED</x:v>
      </x:c>
      <x:c r="J112" s="17" t="b">
        <x:v>0</x:v>
      </x:c>
    </x:row>
    <x:row r="113">
      <x:c r="A113" t="str">
        <x:v>zone.shandong_coast.pottery</x:v>
      </x:c>
      <x:c r="B113" t="str">
        <x:v>SHANDONG_COAST</x:v>
      </x:c>
      <x:c r="C113" t="str">
        <x:v>admin.han140.qingzhou</x:v>
      </x:c>
      <x:c r="D113" t="str">
        <x:v>POTTERY</x:v>
      </x:c>
      <x:c r="E113" t="n">
        <x:v>65</x:v>
      </x:c>
      <x:c r="F113" t="n">
        <x:v>80894</x:v>
      </x:c>
      <x:c r="G113" t="n">
        <x:v>1446084</x:v>
      </x:c>
      <x:c r="H113" t="n">
        <x:v>-1366165</x:v>
      </x:c>
      <x:c r="I113" t="str">
        <x:v>MODELED</x:v>
      </x:c>
      <x:c r="J113" s="17" t="b">
        <x:v>0</x:v>
      </x:c>
    </x:row>
    <x:row r="114">
      <x:c r="A114" t="str">
        <x:v>zone.shandong_coast.medicine</x:v>
      </x:c>
      <x:c r="B114" t="str">
        <x:v>SHANDONG_COAST</x:v>
      </x:c>
      <x:c r="C114" t="str">
        <x:v>admin.han140.qingzhou</x:v>
      </x:c>
      <x:c r="D114" t="str">
        <x:v>MEDICINE</x:v>
      </x:c>
      <x:c r="E114" t="n">
        <x:v>65</x:v>
      </x:c>
      <x:c r="F114" t="n">
        <x:v>7715</x:v>
      </x:c>
      <x:c r="G114" t="n">
        <x:v>1101777</x:v>
      </x:c>
      <x:c r="H114" t="n">
        <x:v>-1094157</x:v>
      </x:c>
      <x:c r="I114" t="str">
        <x:v>MODELED</x:v>
      </x:c>
      <x:c r="J114" s="17" t="b">
        <x:v>0</x:v>
      </x:c>
    </x:row>
    <x:row r="115">
      <x:c r="A115" t="str">
        <x:v>zone.shandong_coast.transport_equipment</x:v>
      </x:c>
      <x:c r="B115" t="str">
        <x:v>SHANDONG_COAST</x:v>
      </x:c>
      <x:c r="C115" t="str">
        <x:v>admin.han140.qingzhou</x:v>
      </x:c>
      <x:c r="D115" t="str">
        <x:v>TRANSPORT_EQUIPMENT</x:v>
      </x:c>
      <x:c r="E115" t="n">
        <x:v>65</x:v>
      </x:c>
      <x:c r="F115" t="n">
        <x:v>1705</x:v>
      </x:c>
      <x:c r="G115" t="n">
        <x:v>8609</x:v>
      </x:c>
      <x:c r="H115" t="n">
        <x:v>-6919</x:v>
      </x:c>
      <x:c r="I115" t="str">
        <x:v>MODELED</x:v>
      </x:c>
      <x:c r="J115" s="17" t="b">
        <x:v>0</x:v>
      </x:c>
    </x:row>
    <x:row r="116">
      <x:c r="A116" t="str">
        <x:v>zone.yanshan_liaodong.grain</x:v>
      </x:c>
      <x:c r="B116" t="str">
        <x:v>YANSHAN_LIAODONG</x:v>
      </x:c>
      <x:c r="C116" t="str">
        <x:v>admin.han140.youzhou</x:v>
      </x:c>
      <x:c r="D116" t="str">
        <x:v>GRAIN</x:v>
      </x:c>
      <x:c r="E116" t="n">
        <x:v>90</x:v>
      </x:c>
      <x:c r="F116" t="n">
        <x:v>239393341</x:v>
      </x:c>
      <x:c r="G116" t="n">
        <x:v>583563010</x:v>
      </x:c>
      <x:c r="H116" t="n">
        <x:v>-358533252</x:v>
      </x:c>
      <x:c r="I116" t="str">
        <x:v>MODELED</x:v>
      </x:c>
      <x:c r="J116" s="17" t="b">
        <x:v>0</x:v>
      </x:c>
    </x:row>
    <x:row r="117">
      <x:c r="A117" t="str">
        <x:v>zone.yanshan_liaodong.other_food</x:v>
      </x:c>
      <x:c r="B117" t="str">
        <x:v>YANSHAN_LIAODONG</x:v>
      </x:c>
      <x:c r="C117" t="str">
        <x:v>admin.han140.youzhou</x:v>
      </x:c>
      <x:c r="D117" t="str">
        <x:v>OTHER_FOOD</x:v>
      </x:c>
      <x:c r="E117" t="n">
        <x:v>90</x:v>
      </x:c>
      <x:c r="F117" t="n">
        <x:v>160986507</x:v>
      </x:c>
      <x:c r="G117" t="n">
        <x:v>164458682</x:v>
      </x:c>
      <x:c r="H117" t="n">
        <x:v>-13131343</x:v>
      </x:c>
      <x:c r="I117" t="str">
        <x:v>MODELED</x:v>
      </x:c>
      <x:c r="J117" s="17" t="b">
        <x:v>0</x:v>
      </x:c>
    </x:row>
    <x:row r="118">
      <x:c r="A118" t="str">
        <x:v>zone.yanshan_liaodong.salt</x:v>
      </x:c>
      <x:c r="B118" t="str">
        <x:v>YANSHAN_LIAODONG</x:v>
      </x:c>
      <x:c r="C118" t="str">
        <x:v>admin.han140.youzhou</x:v>
      </x:c>
      <x:c r="D118" t="str">
        <x:v>SALT</x:v>
      </x:c>
      <x:c r="E118" t="n">
        <x:v>90</x:v>
      </x:c>
      <x:c r="F118" t="n">
        <x:v>325623</x:v>
      </x:c>
      <x:c r="G118" t="n">
        <x:v>7643021</x:v>
      </x:c>
      <x:c r="H118" t="n">
        <x:v>-7321315</x:v>
      </x:c>
      <x:c r="I118" t="str">
        <x:v>MODELED</x:v>
      </x:c>
      <x:c r="J118" s="17" t="b">
        <x:v>0</x:v>
      </x:c>
    </x:row>
    <x:row r="119">
      <x:c r="A119" t="str">
        <x:v>zone.yanshan_liaodong.fuel</x:v>
      </x:c>
      <x:c r="B119" t="str">
        <x:v>YANSHAN_LIAODONG</x:v>
      </x:c>
      <x:c r="C119" t="str">
        <x:v>admin.han140.youzhou</x:v>
      </x:c>
      <x:c r="D119" t="str">
        <x:v>FUEL</x:v>
      </x:c>
      <x:c r="E119" t="n">
        <x:v>90</x:v>
      </x:c>
      <x:c r="F119" t="n">
        <x:v>2412464342</x:v>
      </x:c>
      <x:c r="G119" t="n">
        <x:v>1364110948</x:v>
      </x:c>
      <x:c r="H119" t="n">
        <x:v>988041805</x:v>
      </x:c>
      <x:c r="I119" t="str">
        <x:v>MODELED</x:v>
      </x:c>
      <x:c r="J119" s="17" t="b">
        <x:v>0</x:v>
      </x:c>
    </x:row>
    <x:row r="120">
      <x:c r="A120" t="str">
        <x:v>zone.yanshan_liaodong.timber</x:v>
      </x:c>
      <x:c r="B120" t="str">
        <x:v>YANSHAN_LIAODONG</x:v>
      </x:c>
      <x:c r="C120" t="str">
        <x:v>admin.han140.youzhou</x:v>
      </x:c>
      <x:c r="D120" t="str">
        <x:v>TIMBER</x:v>
      </x:c>
      <x:c r="E120" t="n">
        <x:v>90</x:v>
      </x:c>
      <x:c r="F120" t="n">
        <x:v>970651459</x:v>
      </x:c>
      <x:c r="G120" t="n">
        <x:v>168147598</x:v>
      </x:c>
      <x:c r="H120" t="n">
        <x:v>778237589</x:v>
      </x:c>
      <x:c r="I120" t="str">
        <x:v>MODELED</x:v>
      </x:c>
      <x:c r="J120" s="17" t="b">
        <x:v>0</x:v>
      </x:c>
    </x:row>
    <x:row r="121">
      <x:c r="A121" t="str">
        <x:v>zone.yanshan_liaodong.horse</x:v>
      </x:c>
      <x:c r="B121" t="str">
        <x:v>YANSHAN_LIAODONG</x:v>
      </x:c>
      <x:c r="C121" t="str">
        <x:v>admin.han140.youzhou</x:v>
      </x:c>
      <x:c r="D121" t="str">
        <x:v>HORSE</x:v>
      </x:c>
      <x:c r="E121" t="n">
        <x:v>90</x:v>
      </x:c>
      <x:c r="F121" t="n">
        <x:v>6879</x:v>
      </x:c>
      <x:c r="G121" t="n">
        <x:v>15913</x:v>
      </x:c>
      <x:c r="H121" t="n">
        <x:v>-9115</x:v>
      </x:c>
      <x:c r="I121" t="str">
        <x:v>MODELED</x:v>
      </x:c>
      <x:c r="J121" s="17" t="b">
        <x:v>0</x:v>
      </x:c>
    </x:row>
    <x:row r="122">
      <x:c r="A122" t="str">
        <x:v>zone.yanshan_liaodong.livestock</x:v>
      </x:c>
      <x:c r="B122" t="str">
        <x:v>YANSHAN_LIAODONG</x:v>
      </x:c>
      <x:c r="C122" t="str">
        <x:v>admin.han140.youzhou</x:v>
      </x:c>
      <x:c r="D122" t="str">
        <x:v>LIVESTOCK</x:v>
      </x:c>
      <x:c r="E122" t="n">
        <x:v>90</x:v>
      </x:c>
      <x:c r="F122" t="n">
        <x:v>176504</x:v>
      </x:c>
      <x:c r="G122" t="n">
        <x:v>155254</x:v>
      </x:c>
      <x:c r="H122" t="n">
        <x:v>19133</x:v>
      </x:c>
      <x:c r="I122" t="str">
        <x:v>MODELED</x:v>
      </x:c>
      <x:c r="J122" s="17" t="b">
        <x:v>0</x:v>
      </x:c>
    </x:row>
    <x:row r="123">
      <x:c r="A123" t="str">
        <x:v>zone.yanshan_liaodong.leather</x:v>
      </x:c>
      <x:c r="B123" t="str">
        <x:v>YANSHAN_LIAODONG</x:v>
      </x:c>
      <x:c r="C123" t="str">
        <x:v>admin.han140.youzhou</x:v>
      </x:c>
      <x:c r="D123" t="str">
        <x:v>LEATHER</x:v>
      </x:c>
      <x:c r="E123" t="n">
        <x:v>90</x:v>
      </x:c>
      <x:c r="F123" t="n">
        <x:v>370665</x:v>
      </x:c>
      <x:c r="G123" t="n">
        <x:v>4203673</x:v>
      </x:c>
      <x:c r="H123" t="n">
        <x:v>-3837478</x:v>
      </x:c>
      <x:c r="I123" t="str">
        <x:v>MODELED</x:v>
      </x:c>
      <x:c r="J123" s="17" t="b">
        <x:v>0</x:v>
      </x:c>
    </x:row>
    <x:row r="124">
      <x:c r="A124" t="str">
        <x:v>zone.yanshan_liaodong.fiber</x:v>
      </x:c>
      <x:c r="B124" t="str">
        <x:v>YANSHAN_LIAODONG</x:v>
      </x:c>
      <x:c r="C124" t="str">
        <x:v>admin.han140.youzhou</x:v>
      </x:c>
      <x:c r="D124" t="str">
        <x:v>FIBER</x:v>
      </x:c>
      <x:c r="E124" t="n">
        <x:v>90</x:v>
      </x:c>
      <x:c r="F124" t="n">
        <x:v>11101528</x:v>
      </x:c>
      <x:c r="G124" t="n">
        <x:v>7760657</x:v>
      </x:c>
      <x:c r="H124" t="n">
        <x:v>3207654</x:v>
      </x:c>
      <x:c r="I124" t="str">
        <x:v>MODELED</x:v>
      </x:c>
      <x:c r="J124" s="17" t="b">
        <x:v>0</x:v>
      </x:c>
    </x:row>
    <x:row r="125">
      <x:c r="A125" t="str">
        <x:v>zone.yanshan_liaodong.raw_silk</x:v>
      </x:c>
      <x:c r="B125" t="str">
        <x:v>YANSHAN_LIAODONG</x:v>
      </x:c>
      <x:c r="C125" t="str">
        <x:v>admin.han140.youzhou</x:v>
      </x:c>
      <x:c r="D125" t="str">
        <x:v>RAW_SILK</x:v>
      </x:c>
      <x:c r="E125" t="n">
        <x:v>90</x:v>
      </x:c>
      <x:c r="F125" t="n">
        <x:v>34085</x:v>
      </x:c>
      <x:c r="G125" t="n">
        <x:v>107471</x:v>
      </x:c>
      <x:c r="H125" t="n">
        <x:v>-73803</x:v>
      </x:c>
      <x:c r="I125" t="str">
        <x:v>MODELED</x:v>
      </x:c>
      <x:c r="J125" s="17" t="b">
        <x:v>0</x:v>
      </x:c>
    </x:row>
    <x:row r="126">
      <x:c r="A126" t="str">
        <x:v>zone.yanshan_liaodong.textile</x:v>
      </x:c>
      <x:c r="B126" t="str">
        <x:v>YANSHAN_LIAODONG</x:v>
      </x:c>
      <x:c r="C126" t="str">
        <x:v>admin.han140.youzhou</x:v>
      </x:c>
      <x:c r="D126" t="str">
        <x:v>TEXTILE</x:v>
      </x:c>
      <x:c r="E126" t="n">
        <x:v>90</x:v>
      </x:c>
      <x:c r="F126" t="n">
        <x:v>70625</x:v>
      </x:c>
      <x:c r="G126" t="n">
        <x:v>1909838</x:v>
      </x:c>
      <x:c r="H126" t="n">
        <x:v>-1840068</x:v>
      </x:c>
      <x:c r="I126" t="str">
        <x:v>MODELED</x:v>
      </x:c>
      <x:c r="J126" s="17" t="b">
        <x:v>0</x:v>
      </x:c>
    </x:row>
    <x:row r="127">
      <x:c r="A127" t="str">
        <x:v>zone.yanshan_liaodong.iron_ore</x:v>
      </x:c>
      <x:c r="B127" t="str">
        <x:v>YANSHAN_LIAODONG</x:v>
      </x:c>
      <x:c r="C127" t="str">
        <x:v>admin.han140.youzhou</x:v>
      </x:c>
      <x:c r="D127" t="str">
        <x:v>IRON_ORE</x:v>
      </x:c>
      <x:c r="E127" t="n">
        <x:v>90</x:v>
      </x:c>
      <x:c r="F127" t="n">
        <x:v>0</x:v>
      </x:c>
      <x:c r="G127" t="n">
        <x:v>19516</x:v>
      </x:c>
      <x:c r="H127" t="n">
        <x:v>-19511</x:v>
      </x:c>
      <x:c r="I127" t="str">
        <x:v>MODELED</x:v>
      </x:c>
      <x:c r="J127" s="17" t="b">
        <x:v>0</x:v>
      </x:c>
    </x:row>
    <x:row r="128">
      <x:c r="A128" t="str">
        <x:v>zone.yanshan_liaodong.metal</x:v>
      </x:c>
      <x:c r="B128" t="str">
        <x:v>YANSHAN_LIAODONG</x:v>
      </x:c>
      <x:c r="C128" t="str">
        <x:v>admin.han140.youzhou</x:v>
      </x:c>
      <x:c r="D128" t="str">
        <x:v>METAL</x:v>
      </x:c>
      <x:c r="E128" t="n">
        <x:v>90</x:v>
      </x:c>
      <x:c r="F128" t="n">
        <x:v>18263</x:v>
      </x:c>
      <x:c r="G128" t="n">
        <x:v>17847821</x:v>
      </x:c>
      <x:c r="H128" t="n">
        <x:v>-17829766</x:v>
      </x:c>
      <x:c r="I128" t="str">
        <x:v>MODELED</x:v>
      </x:c>
      <x:c r="J128" s="17" t="b">
        <x:v>0</x:v>
      </x:c>
    </x:row>
    <x:row r="129">
      <x:c r="A129" t="str">
        <x:v>zone.yanshan_liaodong.tools</x:v>
      </x:c>
      <x:c r="B129" t="str">
        <x:v>YANSHAN_LIAODONG</x:v>
      </x:c>
      <x:c r="C129" t="str">
        <x:v>admin.han140.youzhou</x:v>
      </x:c>
      <x:c r="D129" t="str">
        <x:v>TOOLS</x:v>
      </x:c>
      <x:c r="E129" t="n">
        <x:v>90</x:v>
      </x:c>
      <x:c r="F129" t="n">
        <x:v>21873</x:v>
      </x:c>
      <x:c r="G129" t="n">
        <x:v>429917</x:v>
      </x:c>
      <x:c r="H129" t="n">
        <x:v>-408308</x:v>
      </x:c>
      <x:c r="I129" t="str">
        <x:v>MODELED</x:v>
      </x:c>
      <x:c r="J129" s="17" t="b">
        <x:v>0</x:v>
      </x:c>
    </x:row>
    <x:row r="130">
      <x:c r="A130" t="str">
        <x:v>zone.yanshan_liaodong.weapons</x:v>
      </x:c>
      <x:c r="B130" t="str">
        <x:v>YANSHAN_LIAODONG</x:v>
      </x:c>
      <x:c r="C130" t="str">
        <x:v>admin.han140.youzhou</x:v>
      </x:c>
      <x:c r="D130" t="str">
        <x:v>WEAPONS</x:v>
      </x:c>
      <x:c r="E130" t="n">
        <x:v>90</x:v>
      </x:c>
      <x:c r="F130" t="n">
        <x:v>2516</x:v>
      </x:c>
      <x:c r="G130" t="n">
        <x:v>1770</x:v>
      </x:c>
      <x:c r="H130" t="n">
        <x:v>697</x:v>
      </x:c>
      <x:c r="I130" t="str">
        <x:v>MODELED</x:v>
      </x:c>
      <x:c r="J130" s="17" t="b">
        <x:v>0</x:v>
      </x:c>
    </x:row>
    <x:row r="131">
      <x:c r="A131" t="str">
        <x:v>zone.yanshan_liaodong.building_material</x:v>
      </x:c>
      <x:c r="B131" t="str">
        <x:v>YANSHAN_LIAODONG</x:v>
      </x:c>
      <x:c r="C131" t="str">
        <x:v>admin.han140.youzhou</x:v>
      </x:c>
      <x:c r="D131" t="str">
        <x:v>BUILDING_MATERIAL</x:v>
      </x:c>
      <x:c r="E131" t="n">
        <x:v>90</x:v>
      </x:c>
      <x:c r="F131" t="n">
        <x:v>81759456</x:v>
      </x:c>
      <x:c r="G131" t="n">
        <x:v>226902419</x:v>
      </x:c>
      <x:c r="H131" t="n">
        <x:v>-146124047</x:v>
      </x:c>
      <x:c r="I131" t="str">
        <x:v>MODELED</x:v>
      </x:c>
      <x:c r="J131" s="17" t="b">
        <x:v>0</x:v>
      </x:c>
    </x:row>
    <x:row r="132">
      <x:c r="A132" t="str">
        <x:v>zone.yanshan_liaodong.pottery</x:v>
      </x:c>
      <x:c r="B132" t="str">
        <x:v>YANSHAN_LIAODONG</x:v>
      </x:c>
      <x:c r="C132" t="str">
        <x:v>admin.han140.youzhou</x:v>
      </x:c>
      <x:c r="D132" t="str">
        <x:v>POTTERY</x:v>
      </x:c>
      <x:c r="E132" t="n">
        <x:v>90</x:v>
      </x:c>
      <x:c r="F132" t="n">
        <x:v>40106</x:v>
      </x:c>
      <x:c r="G132" t="n">
        <x:v>1003152</x:v>
      </x:c>
      <x:c r="H132" t="n">
        <x:v>-963518</x:v>
      </x:c>
      <x:c r="I132" t="str">
        <x:v>MODELED</x:v>
      </x:c>
      <x:c r="J132" s="17" t="b">
        <x:v>0</x:v>
      </x:c>
    </x:row>
    <x:row r="133">
      <x:c r="A133" t="str">
        <x:v>zone.yanshan_liaodong.medicine</x:v>
      </x:c>
      <x:c r="B133" t="str">
        <x:v>YANSHAN_LIAODONG</x:v>
      </x:c>
      <x:c r="C133" t="str">
        <x:v>admin.han140.youzhou</x:v>
      </x:c>
      <x:c r="D133" t="str">
        <x:v>MEDICINE</x:v>
      </x:c>
      <x:c r="E133" t="n">
        <x:v>90</x:v>
      </x:c>
      <x:c r="F133" t="n">
        <x:v>8503</x:v>
      </x:c>
      <x:c r="G133" t="n">
        <x:v>764304</x:v>
      </x:c>
      <x:c r="H133" t="n">
        <x:v>-755901</x:v>
      </x:c>
      <x:c r="I133" t="str">
        <x:v>MODELED</x:v>
      </x:c>
      <x:c r="J133" s="17" t="b">
        <x:v>0</x:v>
      </x:c>
    </x:row>
    <x:row r="134">
      <x:c r="A134" t="str">
        <x:v>zone.yanshan_liaodong.transport_equipment</x:v>
      </x:c>
      <x:c r="B134" t="str">
        <x:v>YANSHAN_LIAODONG</x:v>
      </x:c>
      <x:c r="C134" t="str">
        <x:v>admin.han140.youzhou</x:v>
      </x:c>
      <x:c r="D134" t="str">
        <x:v>TRANSPORT_EQUIPMENT</x:v>
      </x:c>
      <x:c r="E134" t="n">
        <x:v>90</x:v>
      </x:c>
      <x:c r="F134" t="n">
        <x:v>829</x:v>
      </x:c>
      <x:c r="G134" t="n">
        <x:v>5973</x:v>
      </x:c>
      <x:c r="H134" t="n">
        <x:v>-5152</x:v>
      </x:c>
      <x:c r="I134" t="str">
        <x:v>MODELED</x:v>
      </x:c>
      <x:c r="J134" s="17" t="b">
        <x:v>0</x:v>
      </x:c>
    </x:row>
    <x:row r="135">
      <x:c r="A135" t="str">
        <x:v>zone.shanxi_hetao.grain</x:v>
      </x:c>
      <x:c r="B135" t="str">
        <x:v>SHANXI_HETAO</x:v>
      </x:c>
      <x:c r="C135" t="str">
        <x:v>admin.han140.bingzhou</x:v>
      </x:c>
      <x:c r="D135" t="str">
        <x:v>GRAIN</x:v>
      </x:c>
      <x:c r="E135" t="n">
        <x:v>98</x:v>
      </x:c>
      <x:c r="F135" t="n">
        <x:v>48979909</x:v>
      </x:c>
      <x:c r="G135" t="n">
        <x:v>156516546</x:v>
      </x:c>
      <x:c r="H135" t="n">
        <x:v>-110475406</x:v>
      </x:c>
      <x:c r="I135" t="str">
        <x:v>MODELED</x:v>
      </x:c>
      <x:c r="J135" s="17" t="b">
        <x:v>0</x:v>
      </x:c>
    </x:row>
    <x:row r="136">
      <x:c r="A136" t="str">
        <x:v>zone.shanxi_hetao.other_food</x:v>
      </x:c>
      <x:c r="B136" t="str">
        <x:v>SHANXI_HETAO</x:v>
      </x:c>
      <x:c r="C136" t="str">
        <x:v>admin.han140.bingzhou</x:v>
      </x:c>
      <x:c r="D136" t="str">
        <x:v>OTHER_FOOD</x:v>
      </x:c>
      <x:c r="E136" t="n">
        <x:v>98</x:v>
      </x:c>
      <x:c r="F136" t="n">
        <x:v>28468925</x:v>
      </x:c>
      <x:c r="G136" t="n">
        <x:v>44109215</x:v>
      </x:c>
      <x:c r="H136" t="n">
        <x:v>-17348405</x:v>
      </x:c>
      <x:c r="I136" t="str">
        <x:v>MODELED</x:v>
      </x:c>
      <x:c r="J136" s="17" t="b">
        <x:v>0</x:v>
      </x:c>
    </x:row>
    <x:row r="137">
      <x:c r="A137" t="str">
        <x:v>zone.shanxi_hetao.salt</x:v>
      </x:c>
      <x:c r="B137" t="str">
        <x:v>SHANXI_HETAO</x:v>
      </x:c>
      <x:c r="C137" t="str">
        <x:v>admin.han140.bingzhou</x:v>
      </x:c>
      <x:c r="D137" t="str">
        <x:v>SALT</x:v>
      </x:c>
      <x:c r="E137" t="n">
        <x:v>98</x:v>
      </x:c>
      <x:c r="F137" t="n">
        <x:v>1999774</x:v>
      </x:c>
      <x:c r="G137" t="n">
        <x:v>2049005</x:v>
      </x:c>
      <x:c r="H137" t="n">
        <x:v>-73228</x:v>
      </x:c>
      <x:c r="I137" t="str">
        <x:v>MODELED</x:v>
      </x:c>
      <x:c r="J137" s="17" t="b">
        <x:v>0</x:v>
      </x:c>
    </x:row>
    <x:row r="138">
      <x:c r="A138" t="str">
        <x:v>zone.shanxi_hetao.fuel</x:v>
      </x:c>
      <x:c r="B138" t="str">
        <x:v>SHANXI_HETAO</x:v>
      </x:c>
      <x:c r="C138" t="str">
        <x:v>admin.han140.bingzhou</x:v>
      </x:c>
      <x:c r="D138" t="str">
        <x:v>FUEL</x:v>
      </x:c>
      <x:c r="E138" t="n">
        <x:v>98</x:v>
      </x:c>
      <x:c r="F138" t="n">
        <x:v>1778293764</x:v>
      </x:c>
      <x:c r="G138" t="n">
        <x:v>366227136</x:v>
      </x:c>
      <x:c r="H138" t="n">
        <x:v>1367609318</x:v>
      </x:c>
      <x:c r="I138" t="str">
        <x:v>MODELED</x:v>
      </x:c>
      <x:c r="J138" s="17" t="b">
        <x:v>0</x:v>
      </x:c>
    </x:row>
    <x:row r="139">
      <x:c r="A139" t="str">
        <x:v>zone.shanxi_hetao.timber</x:v>
      </x:c>
      <x:c r="B139" t="str">
        <x:v>SHANXI_HETAO</x:v>
      </x:c>
      <x:c r="C139" t="str">
        <x:v>admin.han140.bingzhou</x:v>
      </x:c>
      <x:c r="D139" t="str">
        <x:v>TIMBER</x:v>
      </x:c>
      <x:c r="E139" t="n">
        <x:v>98</x:v>
      </x:c>
      <x:c r="F139" t="n">
        <x:v>724378211</x:v>
      </x:c>
      <x:c r="G139" t="n">
        <x:v>45131694</x:v>
      </x:c>
      <x:c r="H139" t="n">
        <x:v>661137059</x:v>
      </x:c>
      <x:c r="I139" t="str">
        <x:v>MODELED</x:v>
      </x:c>
      <x:c r="J139" s="17" t="b">
        <x:v>0</x:v>
      </x:c>
    </x:row>
    <x:row r="140">
      <x:c r="A140" t="str">
        <x:v>zone.shanxi_hetao.horse</x:v>
      </x:c>
      <x:c r="B140" t="str">
        <x:v>SHANXI_HETAO</x:v>
      </x:c>
      <x:c r="C140" t="str">
        <x:v>admin.han140.bingzhou</x:v>
      </x:c>
      <x:c r="D140" t="str">
        <x:v>HORSE</x:v>
      </x:c>
      <x:c r="E140" t="n">
        <x:v>98</x:v>
      </x:c>
      <x:c r="F140" t="n">
        <x:v>2814</x:v>
      </x:c>
      <x:c r="G140" t="n">
        <x:v>4248</x:v>
      </x:c>
      <x:c r="H140" t="n">
        <x:v>-1484</x:v>
      </x:c>
      <x:c r="I140" t="str">
        <x:v>MODELED</x:v>
      </x:c>
      <x:c r="J140" s="17" t="b">
        <x:v>0</x:v>
      </x:c>
    </x:row>
    <x:row r="141">
      <x:c r="A141" t="str">
        <x:v>zone.shanxi_hetao.livestock</x:v>
      </x:c>
      <x:c r="B141" t="str">
        <x:v>SHANXI_HETAO</x:v>
      </x:c>
      <x:c r="C141" t="str">
        <x:v>admin.han140.bingzhou</x:v>
      </x:c>
      <x:c r="D141" t="str">
        <x:v>LIVESTOCK</x:v>
      </x:c>
      <x:c r="E141" t="n">
        <x:v>98</x:v>
      </x:c>
      <x:c r="F141" t="n">
        <x:v>59089</x:v>
      </x:c>
      <x:c r="G141" t="n">
        <x:v>41611</x:v>
      </x:c>
      <x:c r="H141" t="n">
        <x:v>16763</x:v>
      </x:c>
      <x:c r="I141" t="str">
        <x:v>MODELED</x:v>
      </x:c>
      <x:c r="J141" s="17" t="b">
        <x:v>0</x:v>
      </x:c>
    </x:row>
    <x:row r="142">
      <x:c r="A142" t="str">
        <x:v>zone.shanxi_hetao.leather</x:v>
      </x:c>
      <x:c r="B142" t="str">
        <x:v>SHANXI_HETAO</x:v>
      </x:c>
      <x:c r="C142" t="str">
        <x:v>admin.han140.bingzhou</x:v>
      </x:c>
      <x:c r="D142" t="str">
        <x:v>LEATHER</x:v>
      </x:c>
      <x:c r="E142" t="n">
        <x:v>98</x:v>
      </x:c>
      <x:c r="F142" t="n">
        <x:v>124093</x:v>
      </x:c>
      <x:c r="G142" t="n">
        <x:v>1128293</x:v>
      </x:c>
      <x:c r="H142" t="n">
        <x:v>-1005697</x:v>
      </x:c>
      <x:c r="I142" t="str">
        <x:v>MODELED</x:v>
      </x:c>
      <x:c r="J142" s="17" t="b">
        <x:v>0</x:v>
      </x:c>
    </x:row>
    <x:row r="143">
      <x:c r="A143" t="str">
        <x:v>zone.shanxi_hetao.fiber</x:v>
      </x:c>
      <x:c r="B143" t="str">
        <x:v>SHANXI_HETAO</x:v>
      </x:c>
      <x:c r="C143" t="str">
        <x:v>admin.han140.bingzhou</x:v>
      </x:c>
      <x:c r="D143" t="str">
        <x:v>FIBER</x:v>
      </x:c>
      <x:c r="E143" t="n">
        <x:v>98</x:v>
      </x:c>
      <x:c r="F143" t="n">
        <x:v>3429338</x:v>
      </x:c>
      <x:c r="G143" t="n">
        <x:v>2083001</x:v>
      </x:c>
      <x:c r="H143" t="n">
        <x:v>1305185</x:v>
      </x:c>
      <x:c r="I143" t="str">
        <x:v>MODELED</x:v>
      </x:c>
      <x:c r="J143" s="17" t="b">
        <x:v>0</x:v>
      </x:c>
    </x:row>
    <x:row r="144">
      <x:c r="A144" t="str">
        <x:v>zone.shanxi_hetao.raw_silk</x:v>
      </x:c>
      <x:c r="B144" t="str">
        <x:v>SHANXI_HETAO</x:v>
      </x:c>
      <x:c r="C144" t="str">
        <x:v>admin.han140.bingzhou</x:v>
      </x:c>
      <x:c r="D144" t="str">
        <x:v>RAW_SILK</x:v>
      </x:c>
      <x:c r="E144" t="n">
        <x:v>98</x:v>
      </x:c>
      <x:c r="F144" t="n">
        <x:v>6123</x:v>
      </x:c>
      <x:c r="G144" t="n">
        <x:v>28814</x:v>
      </x:c>
      <x:c r="H144" t="n">
        <x:v>-22765</x:v>
      </x:c>
      <x:c r="I144" t="str">
        <x:v>MODELED</x:v>
      </x:c>
      <x:c r="J144" s="17" t="b">
        <x:v>0</x:v>
      </x:c>
    </x:row>
    <x:row r="145">
      <x:c r="A145" t="str">
        <x:v>zone.shanxi_hetao.textile</x:v>
      </x:c>
      <x:c r="B145" t="str">
        <x:v>SHANXI_HETAO</x:v>
      </x:c>
      <x:c r="C145" t="str">
        <x:v>admin.han140.bingzhou</x:v>
      </x:c>
      <x:c r="D145" t="str">
        <x:v>TEXTILE</x:v>
      </x:c>
      <x:c r="E145" t="n">
        <x:v>98</x:v>
      </x:c>
      <x:c r="F145" t="n">
        <x:v>17226</x:v>
      </x:c>
      <x:c r="G145" t="n">
        <x:v>512231</x:v>
      </x:c>
      <x:c r="H145" t="n">
        <x:v>-495217</x:v>
      </x:c>
      <x:c r="I145" t="str">
        <x:v>MODELED</x:v>
      </x:c>
      <x:c r="J145" s="17" t="b">
        <x:v>0</x:v>
      </x:c>
    </x:row>
    <x:row r="146">
      <x:c r="A146" t="str">
        <x:v>zone.shanxi_hetao.iron_ore</x:v>
      </x:c>
      <x:c r="B146" t="str">
        <x:v>SHANXI_HETAO</x:v>
      </x:c>
      <x:c r="C146" t="str">
        <x:v>admin.han140.bingzhou</x:v>
      </x:c>
      <x:c r="D146" t="str">
        <x:v>IRON_ORE</x:v>
      </x:c>
      <x:c r="E146" t="n">
        <x:v>98</x:v>
      </x:c>
      <x:c r="F146" t="n">
        <x:v>3585589</x:v>
      </x:c>
      <x:c r="G146" t="n">
        <x:v>11688</x:v>
      </x:c>
      <x:c r="H146" t="n">
        <x:v>3530875</x:v>
      </x:c>
      <x:c r="I146" t="str">
        <x:v>MODELED</x:v>
      </x:c>
      <x:c r="J146" s="17" t="b">
        <x:v>0</x:v>
      </x:c>
    </x:row>
    <x:row r="147">
      <x:c r="A147" t="str">
        <x:v>zone.shanxi_hetao.metal</x:v>
      </x:c>
      <x:c r="B147" t="str">
        <x:v>SHANXI_HETAO</x:v>
      </x:c>
      <x:c r="C147" t="str">
        <x:v>admin.han140.bingzhou</x:v>
      </x:c>
      <x:c r="D147" t="str">
        <x:v>METAL</x:v>
      </x:c>
      <x:c r="E147" t="n">
        <x:v>98</x:v>
      </x:c>
      <x:c r="F147" t="n">
        <x:v>11020</x:v>
      </x:c>
      <x:c r="G147" t="n">
        <x:v>4794189</x:v>
      </x:c>
      <x:c r="H147" t="n">
        <x:v>-4783298</x:v>
      </x:c>
      <x:c r="I147" t="str">
        <x:v>MODELED</x:v>
      </x:c>
      <x:c r="J147" s="17" t="b">
        <x:v>0</x:v>
      </x:c>
    </x:row>
    <x:row r="148">
      <x:c r="A148" t="str">
        <x:v>zone.shanxi_hetao.tools</x:v>
      </x:c>
      <x:c r="B148" t="str">
        <x:v>SHANXI_HETAO</x:v>
      </x:c>
      <x:c r="C148" t="str">
        <x:v>admin.han140.bingzhou</x:v>
      </x:c>
      <x:c r="D148" t="str">
        <x:v>TOOLS</x:v>
      </x:c>
      <x:c r="E148" t="n">
        <x:v>98</x:v>
      </x:c>
      <x:c r="F148" t="n">
        <x:v>7192</x:v>
      </x:c>
      <x:c r="G148" t="n">
        <x:v>115257</x:v>
      </x:c>
      <x:c r="H148" t="n">
        <x:v>-108161</x:v>
      </x:c>
      <x:c r="I148" t="str">
        <x:v>MODELED</x:v>
      </x:c>
      <x:c r="J148" s="17" t="b">
        <x:v>0</x:v>
      </x:c>
    </x:row>
    <x:row r="149">
      <x:c r="A149" t="str">
        <x:v>zone.shanxi_hetao.weapons</x:v>
      </x:c>
      <x:c r="B149" t="str">
        <x:v>SHANXI_HETAO</x:v>
      </x:c>
      <x:c r="C149" t="str">
        <x:v>admin.han140.bingzhou</x:v>
      </x:c>
      <x:c r="D149" t="str">
        <x:v>WEAPONS</x:v>
      </x:c>
      <x:c r="E149" t="n">
        <x:v>98</x:v>
      </x:c>
      <x:c r="F149" t="n">
        <x:v>710</x:v>
      </x:c>
      <x:c r="G149" t="n">
        <x:v>463</x:v>
      </x:c>
      <x:c r="H149" t="n">
        <x:v>240</x:v>
      </x:c>
      <x:c r="I149" t="str">
        <x:v>MODELED</x:v>
      </x:c>
      <x:c r="J149" s="17" t="b">
        <x:v>0</x:v>
      </x:c>
    </x:row>
    <x:row r="150">
      <x:c r="A150" t="str">
        <x:v>zone.shanxi_hetao.building_material</x:v>
      </x:c>
      <x:c r="B150" t="str">
        <x:v>SHANXI_HETAO</x:v>
      </x:c>
      <x:c r="C150" t="str">
        <x:v>admin.han140.bingzhou</x:v>
      </x:c>
      <x:c r="D150" t="str">
        <x:v>BUILDING_MATERIAL</x:v>
      </x:c>
      <x:c r="E150" t="n">
        <x:v>98</x:v>
      </x:c>
      <x:c r="F150" t="n">
        <x:v>19171028</x:v>
      </x:c>
      <x:c r="G150" t="n">
        <x:v>60829701</x:v>
      </x:c>
      <x:c r="H150" t="n">
        <x:v>-41888678</x:v>
      </x:c>
      <x:c r="I150" t="str">
        <x:v>MODELED</x:v>
      </x:c>
      <x:c r="J150" s="17" t="b">
        <x:v>0</x:v>
      </x:c>
    </x:row>
    <x:row r="151">
      <x:c r="A151" t="str">
        <x:v>zone.shanxi_hetao.pottery</x:v>
      </x:c>
      <x:c r="B151" t="str">
        <x:v>SHANXI_HETAO</x:v>
      </x:c>
      <x:c r="C151" t="str">
        <x:v>admin.han140.bingzhou</x:v>
      </x:c>
      <x:c r="D151" t="str">
        <x:v>POTTERY</x:v>
      </x:c>
      <x:c r="E151" t="n">
        <x:v>98</x:v>
      </x:c>
      <x:c r="F151" t="n">
        <x:v>8679</x:v>
      </x:c>
      <x:c r="G151" t="n">
        <x:v>268923</x:v>
      </x:c>
      <x:c r="H151" t="n">
        <x:v>-260359</x:v>
      </x:c>
      <x:c r="I151" t="str">
        <x:v>MODELED</x:v>
      </x:c>
      <x:c r="J151" s="17" t="b">
        <x:v>0</x:v>
      </x:c>
    </x:row>
    <x:row r="152">
      <x:c r="A152" t="str">
        <x:v>zone.shanxi_hetao.medicine</x:v>
      </x:c>
      <x:c r="B152" t="str">
        <x:v>SHANXI_HETAO</x:v>
      </x:c>
      <x:c r="C152" t="str">
        <x:v>admin.han140.bingzhou</x:v>
      </x:c>
      <x:c r="D152" t="str">
        <x:v>MEDICINE</x:v>
      </x:c>
      <x:c r="E152" t="n">
        <x:v>98</x:v>
      </x:c>
      <x:c r="F152" t="n">
        <x:v>1565</x:v>
      </x:c>
      <x:c r="G152" t="n">
        <x:v>204907</x:v>
      </x:c>
      <x:c r="H152" t="n">
        <x:v>-203352</x:v>
      </x:c>
      <x:c r="I152" t="str">
        <x:v>MODELED</x:v>
      </x:c>
      <x:c r="J152" s="17" t="b">
        <x:v>0</x:v>
      </x:c>
    </x:row>
    <x:row r="153">
      <x:c r="A153" t="str">
        <x:v>zone.shanxi_hetao.transport_equipment</x:v>
      </x:c>
      <x:c r="B153" t="str">
        <x:v>SHANXI_HETAO</x:v>
      </x:c>
      <x:c r="C153" t="str">
        <x:v>admin.han140.bingzhou</x:v>
      </x:c>
      <x:c r="D153" t="str">
        <x:v>TRANSPORT_EQUIPMENT</x:v>
      </x:c>
      <x:c r="E153" t="n">
        <x:v>98</x:v>
      </x:c>
      <x:c r="F153" t="n">
        <x:v>186</x:v>
      </x:c>
      <x:c r="G153" t="n">
        <x:v>1592</x:v>
      </x:c>
      <x:c r="H153" t="n">
        <x:v>-1425</x:v>
      </x:c>
      <x:c r="I153" t="str">
        <x:v>MODELED</x:v>
      </x:c>
      <x:c r="J153" s="17" t="b">
        <x:v>0</x:v>
      </x:c>
    </x:row>
    <x:row r="154">
      <x:c r="A154" t="str">
        <x:v>zone.longyou_hexi.grain</x:v>
      </x:c>
      <x:c r="B154" t="str">
        <x:v>LONGYOU_HEXI</x:v>
      </x:c>
      <x:c r="C154" t="str">
        <x:v>admin.han140.liangzhou</x:v>
      </x:c>
      <x:c r="D154" t="str">
        <x:v>GRAIN</x:v>
      </x:c>
      <x:c r="E154" t="n">
        <x:v>98</x:v>
      </x:c>
      <x:c r="F154" t="n">
        <x:v>24230120</x:v>
      </x:c>
      <x:c r="G154" t="n">
        <x:v>101695251</x:v>
      </x:c>
      <x:c r="H154" t="n">
        <x:v>-78918925</x:v>
      </x:c>
      <x:c r="I154" t="str">
        <x:v>MODELED</x:v>
      </x:c>
      <x:c r="J154" s="17" t="b">
        <x:v>0</x:v>
      </x:c>
    </x:row>
    <x:row r="155">
      <x:c r="A155" t="str">
        <x:v>zone.longyou_hexi.other_food</x:v>
      </x:c>
      <x:c r="B155" t="str">
        <x:v>LONGYOU_HEXI</x:v>
      </x:c>
      <x:c r="C155" t="str">
        <x:v>admin.han140.liangzhou</x:v>
      </x:c>
      <x:c r="D155" t="str">
        <x:v>OTHER_FOOD</x:v>
      </x:c>
      <x:c r="E155" t="n">
        <x:v>98</x:v>
      </x:c>
      <x:c r="F155" t="n">
        <x:v>18376112</x:v>
      </x:c>
      <x:c r="G155" t="n">
        <x:v>28659575</x:v>
      </x:c>
      <x:c r="H155" t="n">
        <x:v>-11386012</x:v>
      </x:c>
      <x:c r="I155" t="str">
        <x:v>MODELED</x:v>
      </x:c>
      <x:c r="J155" s="17" t="b">
        <x:v>0</x:v>
      </x:c>
    </x:row>
    <x:row r="156">
      <x:c r="A156" t="str">
        <x:v>zone.longyou_hexi.salt</x:v>
      </x:c>
      <x:c r="B156" t="str">
        <x:v>LONGYOU_HEXI</x:v>
      </x:c>
      <x:c r="C156" t="str">
        <x:v>admin.han140.liangzhou</x:v>
      </x:c>
      <x:c r="D156" t="str">
        <x:v>SALT</x:v>
      </x:c>
      <x:c r="E156" t="n">
        <x:v>98</x:v>
      </x:c>
      <x:c r="F156" t="n">
        <x:v>2052011</x:v>
      </x:c>
      <x:c r="G156" t="n">
        <x:v>1331813</x:v>
      </x:c>
      <x:c r="H156" t="n">
        <x:v>695580</x:v>
      </x:c>
      <x:c r="I156" t="str">
        <x:v>MODELED</x:v>
      </x:c>
      <x:c r="J156" s="17" t="b">
        <x:v>0</x:v>
      </x:c>
    </x:row>
    <x:row r="157">
      <x:c r="A157" t="str">
        <x:v>zone.longyou_hexi.fuel</x:v>
      </x:c>
      <x:c r="B157" t="str">
        <x:v>LONGYOU_HEXI</x:v>
      </x:c>
      <x:c r="C157" t="str">
        <x:v>admin.han140.liangzhou</x:v>
      </x:c>
      <x:c r="D157" t="str">
        <x:v>FUEL</x:v>
      </x:c>
      <x:c r="E157" t="n">
        <x:v>98</x:v>
      </x:c>
      <x:c r="F157" t="n">
        <x:v>1208635828</x:v>
      </x:c>
      <x:c r="G157" t="n">
        <x:v>237760957</x:v>
      </x:c>
      <x:c r="H157" t="n">
        <x:v>940659012</x:v>
      </x:c>
      <x:c r="I157" t="str">
        <x:v>MODELED</x:v>
      </x:c>
      <x:c r="J157" s="17" t="b">
        <x:v>0</x:v>
      </x:c>
    </x:row>
    <x:row r="158">
      <x:c r="A158" t="str">
        <x:v>zone.longyou_hexi.timber</x:v>
      </x:c>
      <x:c r="B158" t="str">
        <x:v>LONGYOU_HEXI</x:v>
      </x:c>
      <x:c r="C158" t="str">
        <x:v>admin.han140.liangzhou</x:v>
      </x:c>
      <x:c r="D158" t="str">
        <x:v>TIMBER</x:v>
      </x:c>
      <x:c r="E158" t="n">
        <x:v>98</x:v>
      </x:c>
      <x:c r="F158" t="n">
        <x:v>517769963</x:v>
      </x:c>
      <x:c r="G158" t="n">
        <x:v>29306343</x:v>
      </x:c>
      <x:c r="H158" t="n">
        <x:v>475519384</x:v>
      </x:c>
      <x:c r="I158" t="str">
        <x:v>MODELED</x:v>
      </x:c>
      <x:c r="J158" s="17" t="b">
        <x:v>0</x:v>
      </x:c>
    </x:row>
    <x:row r="159">
      <x:c r="A159" t="str">
        <x:v>zone.longyou_hexi.horse</x:v>
      </x:c>
      <x:c r="B159" t="str">
        <x:v>LONGYOU_HEXI</x:v>
      </x:c>
      <x:c r="C159" t="str">
        <x:v>admin.han140.liangzhou</x:v>
      </x:c>
      <x:c r="D159" t="str">
        <x:v>HORSE</x:v>
      </x:c>
      <x:c r="E159" t="n">
        <x:v>98</x:v>
      </x:c>
      <x:c r="F159" t="n">
        <x:v>2322</x:v>
      </x:c>
      <x:c r="G159" t="n">
        <x:v>2765</x:v>
      </x:c>
      <x:c r="H159" t="n">
        <x:v>-474</x:v>
      </x:c>
      <x:c r="I159" t="str">
        <x:v>MODELED</x:v>
      </x:c>
      <x:c r="J159" s="17" t="b">
        <x:v>0</x:v>
      </x:c>
    </x:row>
    <x:row r="160">
      <x:c r="A160" t="str">
        <x:v>zone.longyou_hexi.livestock</x:v>
      </x:c>
      <x:c r="B160" t="str">
        <x:v>LONGYOU_HEXI</x:v>
      </x:c>
      <x:c r="C160" t="str">
        <x:v>admin.han140.liangzhou</x:v>
      </x:c>
      <x:c r="D160" t="str">
        <x:v>LIVESTOCK</x:v>
      </x:c>
      <x:c r="E160" t="n">
        <x:v>98</x:v>
      </x:c>
      <x:c r="F160" t="n">
        <x:v>42852</x:v>
      </x:c>
      <x:c r="G160" t="n">
        <x:v>27053</x:v>
      </x:c>
      <x:c r="H160" t="n">
        <x:v>15289</x:v>
      </x:c>
      <x:c r="I160" t="str">
        <x:v>MODELED</x:v>
      </x:c>
      <x:c r="J160" s="17" t="b">
        <x:v>0</x:v>
      </x:c>
    </x:row>
    <x:row r="161">
      <x:c r="A161" t="str">
        <x:v>zone.longyou_hexi.leather</x:v>
      </x:c>
      <x:c r="B161" t="str">
        <x:v>LONGYOU_HEXI</x:v>
      </x:c>
      <x:c r="C161" t="str">
        <x:v>admin.han140.liangzhou</x:v>
      </x:c>
      <x:c r="D161" t="str">
        <x:v>LEATHER</x:v>
      </x:c>
      <x:c r="E161" t="n">
        <x:v>98</x:v>
      </x:c>
      <x:c r="F161" t="n">
        <x:v>89991</x:v>
      </x:c>
      <x:c r="G161" t="n">
        <x:v>732657</x:v>
      </x:c>
      <x:c r="H161" t="n">
        <x:v>-643754</x:v>
      </x:c>
      <x:c r="I161" t="str">
        <x:v>MODELED</x:v>
      </x:c>
      <x:c r="J161" s="17" t="b">
        <x:v>0</x:v>
      </x:c>
    </x:row>
    <x:row r="162">
      <x:c r="A162" t="str">
        <x:v>zone.longyou_hexi.fiber</x:v>
      </x:c>
      <x:c r="B162" t="str">
        <x:v>LONGYOU_HEXI</x:v>
      </x:c>
      <x:c r="C162" t="str">
        <x:v>admin.han140.liangzhou</x:v>
      </x:c>
      <x:c r="D162" t="str">
        <x:v>FIBER</x:v>
      </x:c>
      <x:c r="E162" t="n">
        <x:v>98</x:v>
      </x:c>
      <x:c r="F162" t="n">
        <x:v>2180021</x:v>
      </x:c>
      <x:c r="G162" t="n">
        <x:v>1352598</x:v>
      </x:c>
      <x:c r="H162" t="n">
        <x:v>801258</x:v>
      </x:c>
      <x:c r="I162" t="str">
        <x:v>MODELED</x:v>
      </x:c>
      <x:c r="J162" s="17" t="b">
        <x:v>0</x:v>
      </x:c>
    </x:row>
    <x:row r="163">
      <x:c r="A163" t="str">
        <x:v>zone.longyou_hexi.raw_silk</x:v>
      </x:c>
      <x:c r="B163" t="str">
        <x:v>LONGYOU_HEXI</x:v>
      </x:c>
      <x:c r="C163" t="str">
        <x:v>admin.han140.liangzhou</x:v>
      </x:c>
      <x:c r="D163" t="str">
        <x:v>RAW_SILK</x:v>
      </x:c>
      <x:c r="E163" t="n">
        <x:v>98</x:v>
      </x:c>
      <x:c r="F163" t="n">
        <x:v>4457</x:v>
      </x:c>
      <x:c r="G163" t="n">
        <x:v>18729</x:v>
      </x:c>
      <x:c r="H163" t="n">
        <x:v>-14325</x:v>
      </x:c>
      <x:c r="I163" t="str">
        <x:v>MODELED</x:v>
      </x:c>
      <x:c r="J163" s="17" t="b">
        <x:v>0</x:v>
      </x:c>
    </x:row>
    <x:row r="164">
      <x:c r="A164" t="str">
        <x:v>zone.longyou_hexi.textile</x:v>
      </x:c>
      <x:c r="B164" t="str">
        <x:v>LONGYOU_HEXI</x:v>
      </x:c>
      <x:c r="C164" t="str">
        <x:v>admin.han140.liangzhou</x:v>
      </x:c>
      <x:c r="D164" t="str">
        <x:v>TEXTILE</x:v>
      </x:c>
      <x:c r="E164" t="n">
        <x:v>98</x:v>
      </x:c>
      <x:c r="F164" t="n">
        <x:v>10766</x:v>
      </x:c>
      <x:c r="G164" t="n">
        <x:v>332825</x:v>
      </x:c>
      <x:c r="H164" t="n">
        <x:v>-322183</x:v>
      </x:c>
      <x:c r="I164" t="str">
        <x:v>MODELED</x:v>
      </x:c>
      <x:c r="J164" s="17" t="b">
        <x:v>0</x:v>
      </x:c>
    </x:row>
    <x:row r="165">
      <x:c r="A165" t="str">
        <x:v>zone.longyou_hexi.iron_ore</x:v>
      </x:c>
      <x:c r="B165" t="str">
        <x:v>LONGYOU_HEXI</x:v>
      </x:c>
      <x:c r="C165" t="str">
        <x:v>admin.han140.liangzhou</x:v>
      </x:c>
      <x:c r="D165" t="str">
        <x:v>IRON_ORE</x:v>
      </x:c>
      <x:c r="E165" t="n">
        <x:v>98</x:v>
      </x:c>
      <x:c r="F165" t="n">
        <x:v>2266486</x:v>
      </x:c>
      <x:c r="G165" t="n">
        <x:v>6594</x:v>
      </x:c>
      <x:c r="H165" t="n">
        <x:v>2232691</x:v>
      </x:c>
      <x:c r="I165" t="str">
        <x:v>MODELED</x:v>
      </x:c>
      <x:c r="J165" s="17" t="b">
        <x:v>0</x:v>
      </x:c>
    </x:row>
    <x:row r="166">
      <x:c r="A166" t="str">
        <x:v>zone.longyou_hexi.metal</x:v>
      </x:c>
      <x:c r="B166" t="str">
        <x:v>LONGYOU_HEXI</x:v>
      </x:c>
      <x:c r="C166" t="str">
        <x:v>admin.han140.liangzhou</x:v>
      </x:c>
      <x:c r="D166" t="str">
        <x:v>METAL</x:v>
      </x:c>
      <x:c r="E166" t="n">
        <x:v>98</x:v>
      </x:c>
      <x:c r="F166" t="n">
        <x:v>6231</x:v>
      </x:c>
      <x:c r="G166" t="n">
        <x:v>3112495</x:v>
      </x:c>
      <x:c r="H166" t="n">
        <x:v>-3106336</x:v>
      </x:c>
      <x:c r="I166" t="str">
        <x:v>MODELED</x:v>
      </x:c>
      <x:c r="J166" s="17" t="b">
        <x:v>0</x:v>
      </x:c>
    </x:row>
    <x:row r="167">
      <x:c r="A167" t="str">
        <x:v>zone.longyou_hexi.tools</x:v>
      </x:c>
      <x:c r="B167" t="str">
        <x:v>LONGYOU_HEXI</x:v>
      </x:c>
      <x:c r="C167" t="str">
        <x:v>admin.han140.liangzhou</x:v>
      </x:c>
      <x:c r="D167" t="str">
        <x:v>TOOLS</x:v>
      </x:c>
      <x:c r="E167" t="n">
        <x:v>98</x:v>
      </x:c>
      <x:c r="F167" t="n">
        <x:v>4442</x:v>
      </x:c>
      <x:c r="G167" t="n">
        <x:v>74913</x:v>
      </x:c>
      <x:c r="H167" t="n">
        <x:v>-70527</x:v>
      </x:c>
      <x:c r="I167" t="str">
        <x:v>MODELED</x:v>
      </x:c>
      <x:c r="J167" s="17" t="b">
        <x:v>0</x:v>
      </x:c>
    </x:row>
    <x:row r="168">
      <x:c r="A168" t="str">
        <x:v>zone.longyou_hexi.weapons</x:v>
      </x:c>
      <x:c r="B168" t="str">
        <x:v>LONGYOU_HEXI</x:v>
      </x:c>
      <x:c r="C168" t="str">
        <x:v>admin.han140.liangzhou</x:v>
      </x:c>
      <x:c r="D168" t="str">
        <x:v>WEAPONS</x:v>
      </x:c>
      <x:c r="E168" t="n">
        <x:v>98</x:v>
      </x:c>
      <x:c r="F168" t="n">
        <x:v>387</x:v>
      </x:c>
      <x:c r="G168" t="n">
        <x:v>283</x:v>
      </x:c>
      <x:c r="H168" t="n">
        <x:v>81</x:v>
      </x:c>
      <x:c r="I168" t="str">
        <x:v>MODELED</x:v>
      </x:c>
      <x:c r="J168" s="17" t="b">
        <x:v>0</x:v>
      </x:c>
    </x:row>
    <x:row r="169">
      <x:c r="A169" t="str">
        <x:v>zone.longyou_hexi.building_material</x:v>
      </x:c>
      <x:c r="B169" t="str">
        <x:v>LONGYOU_HEXI</x:v>
      </x:c>
      <x:c r="C169" t="str">
        <x:v>admin.han140.liangzhou</x:v>
      </x:c>
      <x:c r="D169" t="str">
        <x:v>BUILDING_MATERIAL</x:v>
      </x:c>
      <x:c r="E169" t="n">
        <x:v>98</x:v>
      </x:c>
      <x:c r="F169" t="n">
        <x:v>10573238</x:v>
      </x:c>
      <x:c r="G169" t="n">
        <x:v>39538183</x:v>
      </x:c>
      <x:c r="H169" t="n">
        <x:v>-29091780</x:v>
      </x:c>
      <x:c r="I169" t="str">
        <x:v>MODELED</x:v>
      </x:c>
      <x:c r="J169" s="17" t="b">
        <x:v>0</x:v>
      </x:c>
    </x:row>
    <x:row r="170">
      <x:c r="A170" t="str">
        <x:v>zone.longyou_hexi.pottery</x:v>
      </x:c>
      <x:c r="B170" t="str">
        <x:v>LONGYOU_HEXI</x:v>
      </x:c>
      <x:c r="C170" t="str">
        <x:v>admin.han140.liangzhou</x:v>
      </x:c>
      <x:c r="D170" t="str">
        <x:v>POTTERY</x:v>
      </x:c>
      <x:c r="E170" t="n">
        <x:v>98</x:v>
      </x:c>
      <x:c r="F170" t="n">
        <x:v>5000</x:v>
      </x:c>
      <x:c r="G170" t="n">
        <x:v>174805</x:v>
      </x:c>
      <x:c r="H170" t="n">
        <x:v>-169866</x:v>
      </x:c>
      <x:c r="I170" t="str">
        <x:v>MODELED</x:v>
      </x:c>
      <x:c r="J170" s="17" t="b">
        <x:v>0</x:v>
      </x:c>
    </x:row>
    <x:row r="171">
      <x:c r="A171" t="str">
        <x:v>zone.longyou_hexi.medicine</x:v>
      </x:c>
      <x:c r="B171" t="str">
        <x:v>LONGYOU_HEXI</x:v>
      </x:c>
      <x:c r="C171" t="str">
        <x:v>admin.han140.liangzhou</x:v>
      </x:c>
      <x:c r="D171" t="str">
        <x:v>MEDICINE</x:v>
      </x:c>
      <x:c r="E171" t="n">
        <x:v>98</x:v>
      </x:c>
      <x:c r="F171" t="n">
        <x:v>692</x:v>
      </x:c>
      <x:c r="G171" t="n">
        <x:v>133179</x:v>
      </x:c>
      <x:c r="H171" t="n">
        <x:v>-132497</x:v>
      </x:c>
      <x:c r="I171" t="str">
        <x:v>MODELED</x:v>
      </x:c>
      <x:c r="J171" s="17" t="b">
        <x:v>0</x:v>
      </x:c>
    </x:row>
    <x:row r="172">
      <x:c r="A172" t="str">
        <x:v>zone.longyou_hexi.transport_equipment</x:v>
      </x:c>
      <x:c r="B172" t="str">
        <x:v>LONGYOU_HEXI</x:v>
      </x:c>
      <x:c r="C172" t="str">
        <x:v>admin.han140.liangzhou</x:v>
      </x:c>
      <x:c r="D172" t="str">
        <x:v>TRANSPORT_EQUIPMENT</x:v>
      </x:c>
      <x:c r="E172" t="n">
        <x:v>98</x:v>
      </x:c>
      <x:c r="F172" t="n">
        <x:v>116</x:v>
      </x:c>
      <x:c r="G172" t="n">
        <x:v>1027</x:v>
      </x:c>
      <x:c r="H172" t="n">
        <x:v>-932</x:v>
      </x:c>
      <x:c r="I172" t="str">
        <x:v>MODELED</x:v>
      </x:c>
      <x:c r="J172" s="17" t="b">
        <x:v>0</x:v>
      </x:c>
    </x:row>
    <x:row r="173">
      <x:c r="A173" t="str">
        <x:v>zone.jianghan_dongting.grain</x:v>
      </x:c>
      <x:c r="B173" t="str">
        <x:v>JIANGHAN_DONGTING</x:v>
      </x:c>
      <x:c r="C173" t="str">
        <x:v>admin.han140.jingzhou</x:v>
      </x:c>
      <x:c r="D173" t="str">
        <x:v>GRAIN</x:v>
      </x:c>
      <x:c r="E173" t="n">
        <x:v>117</x:v>
      </x:c>
      <x:c r="F173" t="n">
        <x:v>1298269392</x:v>
      </x:c>
      <x:c r="G173" t="n">
        <x:v>1586600282</x:v>
      </x:c>
      <x:c r="H173" t="n">
        <x:v>-366227030</x:v>
      </x:c>
      <x:c r="I173" t="str">
        <x:v>MODELED</x:v>
      </x:c>
      <x:c r="J173" s="17" t="b">
        <x:v>0</x:v>
      </x:c>
    </x:row>
    <x:row r="174">
      <x:c r="A174" t="str">
        <x:v>zone.jianghan_dongting.other_food</x:v>
      </x:c>
      <x:c r="B174" t="str">
        <x:v>JIANGHAN_DONGTING</x:v>
      </x:c>
      <x:c r="C174" t="str">
        <x:v>admin.han140.jingzhou</x:v>
      </x:c>
      <x:c r="D174" t="str">
        <x:v>OTHER_FOOD</x:v>
      </x:c>
      <x:c r="E174" t="n">
        <x:v>117</x:v>
      </x:c>
      <x:c r="F174" t="n">
        <x:v>1036219271</x:v>
      </x:c>
      <x:c r="G174" t="n">
        <x:v>447132810</x:v>
      </x:c>
      <x:c r="H174" t="n">
        <x:v>526913317</x:v>
      </x:c>
      <x:c r="I174" t="str">
        <x:v>MODELED</x:v>
      </x:c>
      <x:c r="J174" s="17" t="b">
        <x:v>0</x:v>
      </x:c>
    </x:row>
    <x:row r="175">
      <x:c r="A175" t="str">
        <x:v>zone.jianghan_dongting.salt</x:v>
      </x:c>
      <x:c r="B175" t="str">
        <x:v>JIANGHAN_DONGTING</x:v>
      </x:c>
      <x:c r="C175" t="str">
        <x:v>admin.han140.jingzhou</x:v>
      </x:c>
      <x:c r="D175" t="str">
        <x:v>SALT</x:v>
      </x:c>
      <x:c r="E175" t="n">
        <x:v>117</x:v>
      </x:c>
      <x:c r="F175" t="n">
        <x:v>0</x:v>
      </x:c>
      <x:c r="G175" t="n">
        <x:v>20769565</x:v>
      </x:c>
      <x:c r="H175" t="n">
        <x:v>-20769566</x:v>
      </x:c>
      <x:c r="I175" t="str">
        <x:v>MODELED</x:v>
      </x:c>
      <x:c r="J175" s="17" t="b">
        <x:v>0</x:v>
      </x:c>
    </x:row>
    <x:row r="176">
      <x:c r="A176" t="str">
        <x:v>zone.jianghan_dongting.fuel</x:v>
      </x:c>
      <x:c r="B176" t="str">
        <x:v>JIANGHAN_DONGTING</x:v>
      </x:c>
      <x:c r="C176" t="str">
        <x:v>admin.han140.jingzhou</x:v>
      </x:c>
      <x:c r="D176" t="str">
        <x:v>FUEL</x:v>
      </x:c>
      <x:c r="E176" t="n">
        <x:v>117</x:v>
      </x:c>
      <x:c r="F176" t="n">
        <x:v>3992574587</x:v>
      </x:c>
      <x:c r="G176" t="n">
        <x:v>3712827799</x:v>
      </x:c>
      <x:c r="H176" t="n">
        <x:v>179932459</x:v>
      </x:c>
      <x:c r="I176" t="str">
        <x:v>MODELED</x:v>
      </x:c>
      <x:c r="J176" s="17" t="b">
        <x:v>0</x:v>
      </x:c>
    </x:row>
    <x:row r="177">
      <x:c r="A177" t="str">
        <x:v>zone.jianghan_dongting.timber</x:v>
      </x:c>
      <x:c r="B177" t="str">
        <x:v>JIANGHAN_DONGTING</x:v>
      </x:c>
      <x:c r="C177" t="str">
        <x:v>admin.han140.jingzhou</x:v>
      </x:c>
      <x:c r="D177" t="str">
        <x:v>TIMBER</x:v>
      </x:c>
      <x:c r="E177" t="n">
        <x:v>117</x:v>
      </x:c>
      <x:c r="F177" t="n">
        <x:v>1510734520</x:v>
      </x:c>
      <x:c r="G177" t="n">
        <x:v>457534618</x:v>
      </x:c>
      <x:c r="H177" t="n">
        <x:v>1015431544</x:v>
      </x:c>
      <x:c r="I177" t="str">
        <x:v>MODELED</x:v>
      </x:c>
      <x:c r="J177" s="17" t="b">
        <x:v>0</x:v>
      </x:c>
    </x:row>
    <x:row r="178">
      <x:c r="A178" t="str">
        <x:v>zone.jianghan_dongting.horse</x:v>
      </x:c>
      <x:c r="B178" t="str">
        <x:v>JIANGHAN_DONGTING</x:v>
      </x:c>
      <x:c r="C178" t="str">
        <x:v>admin.han140.jingzhou</x:v>
      </x:c>
      <x:c r="D178" t="str">
        <x:v>HORSE</x:v>
      </x:c>
      <x:c r="E178" t="n">
        <x:v>117</x:v>
      </x:c>
      <x:c r="F178" t="n">
        <x:v>1228</x:v>
      </x:c>
      <x:c r="G178" t="n">
        <x:v>43259</x:v>
      </x:c>
      <x:c r="H178" t="n">
        <x:v>-42058</x:v>
      </x:c>
      <x:c r="I178" t="str">
        <x:v>MODELED</x:v>
      </x:c>
      <x:c r="J178" s="17" t="b">
        <x:v>0</x:v>
      </x:c>
    </x:row>
    <x:row r="179">
      <x:c r="A179" t="str">
        <x:v>zone.jianghan_dongting.livestock</x:v>
      </x:c>
      <x:c r="B179" t="str">
        <x:v>JIANGHAN_DONGTING</x:v>
      </x:c>
      <x:c r="C179" t="str">
        <x:v>admin.han140.jingzhou</x:v>
      </x:c>
      <x:c r="D179" t="str">
        <x:v>LIVESTOCK</x:v>
      </x:c>
      <x:c r="E179" t="n">
        <x:v>117</x:v>
      </x:c>
      <x:c r="F179" t="n">
        <x:v>227206</x:v>
      </x:c>
      <x:c r="G179" t="n">
        <x:v>421885</x:v>
      </x:c>
      <x:c r="H179" t="n">
        <x:v>-197405</x:v>
      </x:c>
      <x:c r="I179" t="str">
        <x:v>MODELED</x:v>
      </x:c>
      <x:c r="J179" s="17" t="b">
        <x:v>0</x:v>
      </x:c>
    </x:row>
    <x:row r="180">
      <x:c r="A180" t="str">
        <x:v>zone.jianghan_dongting.leather</x:v>
      </x:c>
      <x:c r="B180" t="str">
        <x:v>JIANGHAN_DONGTING</x:v>
      </x:c>
      <x:c r="C180" t="str">
        <x:v>admin.han140.jingzhou</x:v>
      </x:c>
      <x:c r="D180" t="str">
        <x:v>LEATHER</x:v>
      </x:c>
      <x:c r="E180" t="n">
        <x:v>117</x:v>
      </x:c>
      <x:c r="F180" t="n">
        <x:v>477138</x:v>
      </x:c>
      <x:c r="G180" t="n">
        <x:v>11438372</x:v>
      </x:c>
      <x:c r="H180" t="n">
        <x:v>-10966957</x:v>
      </x:c>
      <x:c r="I180" t="str">
        <x:v>MODELED</x:v>
      </x:c>
      <x:c r="J180" s="17" t="b">
        <x:v>0</x:v>
      </x:c>
    </x:row>
    <x:row r="181">
      <x:c r="A181" t="str">
        <x:v>zone.jianghan_dongting.fiber</x:v>
      </x:c>
      <x:c r="B181" t="str">
        <x:v>JIANGHAN_DONGTING</x:v>
      </x:c>
      <x:c r="C181" t="str">
        <x:v>admin.han140.jingzhou</x:v>
      </x:c>
      <x:c r="D181" t="str">
        <x:v>FIBER</x:v>
      </x:c>
      <x:c r="E181" t="n">
        <x:v>117</x:v>
      </x:c>
      <x:c r="F181" t="n">
        <x:v>25508736</x:v>
      </x:c>
      <x:c r="G181" t="n">
        <x:v>21116976</x:v>
      </x:c>
      <x:c r="H181" t="n">
        <x:v>4085657</x:v>
      </x:c>
      <x:c r="I181" t="str">
        <x:v>MODELED</x:v>
      </x:c>
      <x:c r="J181" s="17" t="b">
        <x:v>0</x:v>
      </x:c>
    </x:row>
    <x:row r="182">
      <x:c r="A182" t="str">
        <x:v>zone.jianghan_dongting.raw_silk</x:v>
      </x:c>
      <x:c r="B182" t="str">
        <x:v>JIANGHAN_DONGTING</x:v>
      </x:c>
      <x:c r="C182" t="str">
        <x:v>admin.han140.jingzhou</x:v>
      </x:c>
      <x:c r="D182" t="str">
        <x:v>RAW_SILK</x:v>
      </x:c>
      <x:c r="E182" t="n">
        <x:v>117</x:v>
      </x:c>
      <x:c r="F182" t="n">
        <x:v>245709</x:v>
      </x:c>
      <x:c r="G182" t="n">
        <x:v>292073</x:v>
      </x:c>
      <x:c r="H182" t="n">
        <x:v>-49310</x:v>
      </x:c>
      <x:c r="I182" t="str">
        <x:v>MODELED</x:v>
      </x:c>
      <x:c r="J182" s="17" t="b">
        <x:v>0</x:v>
      </x:c>
    </x:row>
    <x:row r="183">
      <x:c r="A183" t="str">
        <x:v>zone.jianghan_dongting.textile</x:v>
      </x:c>
      <x:c r="B183" t="str">
        <x:v>JIANGHAN_DONGTING</x:v>
      </x:c>
      <x:c r="C183" t="str">
        <x:v>admin.han140.jingzhou</x:v>
      </x:c>
      <x:c r="D183" t="str">
        <x:v>TEXTILE</x:v>
      </x:c>
      <x:c r="E183" t="n">
        <x:v>117</x:v>
      </x:c>
      <x:c r="F183" t="n">
        <x:v>329308</x:v>
      </x:c>
      <x:c r="G183" t="n">
        <x:v>5192509</x:v>
      </x:c>
      <x:c r="H183" t="n">
        <x:v>-4867151</x:v>
      </x:c>
      <x:c r="I183" t="str">
        <x:v>MODELED</x:v>
      </x:c>
      <x:c r="J183" s="17" t="b">
        <x:v>0</x:v>
      </x:c>
    </x:row>
    <x:row r="184">
      <x:c r="A184" t="str">
        <x:v>zone.jianghan_dongting.iron_ore</x:v>
      </x:c>
      <x:c r="B184" t="str">
        <x:v>JIANGHAN_DONGTING</x:v>
      </x:c>
      <x:c r="C184" t="str">
        <x:v>admin.han140.jingzhou</x:v>
      </x:c>
      <x:c r="D184" t="str">
        <x:v>IRON_ORE</x:v>
      </x:c>
      <x:c r="E184" t="n">
        <x:v>117</x:v>
      </x:c>
      <x:c r="F184" t="n">
        <x:v>0</x:v>
      </x:c>
      <x:c r="G184" t="n">
        <x:v>47625</x:v>
      </x:c>
      <x:c r="H184" t="n">
        <x:v>-47635</x:v>
      </x:c>
      <x:c r="I184" t="str">
        <x:v>MODELED</x:v>
      </x:c>
      <x:c r="J184" s="17" t="b">
        <x:v>0</x:v>
      </x:c>
    </x:row>
    <x:row r="185">
      <x:c r="A185" t="str">
        <x:v>zone.jianghan_dongting.metal</x:v>
      </x:c>
      <x:c r="B185" t="str">
        <x:v>JIANGHAN_DONGTING</x:v>
      </x:c>
      <x:c r="C185" t="str">
        <x:v>admin.han140.jingzhou</x:v>
      </x:c>
      <x:c r="D185" t="str">
        <x:v>METAL</x:v>
      </x:c>
      <x:c r="E185" t="n">
        <x:v>117</x:v>
      </x:c>
      <x:c r="F185" t="n">
        <x:v>45124</x:v>
      </x:c>
      <x:c r="G185" t="n">
        <x:v>48554677</x:v>
      </x:c>
      <x:c r="H185" t="n">
        <x:v>-48510094</x:v>
      </x:c>
      <x:c r="I185" t="str">
        <x:v>MODELED</x:v>
      </x:c>
      <x:c r="J185" s="17" t="b">
        <x:v>0</x:v>
      </x:c>
    </x:row>
    <x:row r="186">
      <x:c r="A186" t="str">
        <x:v>zone.jianghan_dongting.tools</x:v>
      </x:c>
      <x:c r="B186" t="str">
        <x:v>JIANGHAN_DONGTING</x:v>
      </x:c>
      <x:c r="C186" t="str">
        <x:v>admin.han140.jingzhou</x:v>
      </x:c>
      <x:c r="D186" t="str">
        <x:v>TOOLS</x:v>
      </x:c>
      <x:c r="E186" t="n">
        <x:v>117</x:v>
      </x:c>
      <x:c r="F186" t="n">
        <x:v>56320</x:v>
      </x:c>
      <x:c r="G186" t="n">
        <x:v>1168294</x:v>
      </x:c>
      <x:c r="H186" t="n">
        <x:v>-1112652</x:v>
      </x:c>
      <x:c r="I186" t="str">
        <x:v>MODELED</x:v>
      </x:c>
      <x:c r="J186" s="17" t="b">
        <x:v>0</x:v>
      </x:c>
    </x:row>
    <x:row r="187">
      <x:c r="A187" t="str">
        <x:v>zone.jianghan_dongting.weapons</x:v>
      </x:c>
      <x:c r="B187" t="str">
        <x:v>JIANGHAN_DONGTING</x:v>
      </x:c>
      <x:c r="C187" t="str">
        <x:v>admin.han140.jingzhou</x:v>
      </x:c>
      <x:c r="D187" t="str">
        <x:v>WEAPONS</x:v>
      </x:c>
      <x:c r="E187" t="n">
        <x:v>117</x:v>
      </x:c>
      <x:c r="F187" t="n">
        <x:v>7645</x:v>
      </x:c>
      <x:c r="G187" t="n">
        <x:v>4778</x:v>
      </x:c>
      <x:c r="H187" t="n">
        <x:v>2771</x:v>
      </x:c>
      <x:c r="I187" t="str">
        <x:v>MODELED</x:v>
      </x:c>
      <x:c r="J187" s="17" t="b">
        <x:v>0</x:v>
      </x:c>
    </x:row>
    <x:row r="188">
      <x:c r="A188" t="str">
        <x:v>zone.jianghan_dongting.building_material</x:v>
      </x:c>
      <x:c r="B188" t="str">
        <x:v>JIANGHAN_DONGTING</x:v>
      </x:c>
      <x:c r="C188" t="str">
        <x:v>admin.han140.jingzhou</x:v>
      </x:c>
      <x:c r="D188" t="str">
        <x:v>BUILDING_MATERIAL</x:v>
      </x:c>
      <x:c r="E188" t="n">
        <x:v>117</x:v>
      </x:c>
      <x:c r="F188" t="n">
        <x:v>234653060</x:v>
      </x:c>
      <x:c r="G188" t="n">
        <x:v>616596658</x:v>
      </x:c>
      <x:c r="H188" t="n">
        <x:v>-384759391</x:v>
      </x:c>
      <x:c r="I188" t="str">
        <x:v>MODELED</x:v>
      </x:c>
      <x:c r="J188" s="17" t="b">
        <x:v>0</x:v>
      </x:c>
    </x:row>
    <x:row r="189">
      <x:c r="A189" t="str">
        <x:v>zone.jianghan_dongting.pottery</x:v>
      </x:c>
      <x:c r="B189" t="str">
        <x:v>JIANGHAN_DONGTING</x:v>
      </x:c>
      <x:c r="C189" t="str">
        <x:v>admin.han140.jingzhou</x:v>
      </x:c>
      <x:c r="D189" t="str">
        <x:v>POTTERY</x:v>
      </x:c>
      <x:c r="E189" t="n">
        <x:v>117</x:v>
      </x:c>
      <x:c r="F189" t="n">
        <x:v>121577</x:v>
      </x:c>
      <x:c r="G189" t="n">
        <x:v>2725990</x:v>
      </x:c>
      <x:c r="H189" t="n">
        <x:v>-2605895</x:v>
      </x:c>
      <x:c r="I189" t="str">
        <x:v>MODELED</x:v>
      </x:c>
      <x:c r="J189" s="17" t="b">
        <x:v>0</x:v>
      </x:c>
    </x:row>
    <x:row r="190">
      <x:c r="A190" t="str">
        <x:v>zone.jianghan_dongting.medicine</x:v>
      </x:c>
      <x:c r="B190" t="str">
        <x:v>JIANGHAN_DONGTING</x:v>
      </x:c>
      <x:c r="C190" t="str">
        <x:v>admin.han140.jingzhou</x:v>
      </x:c>
      <x:c r="D190" t="str">
        <x:v>MEDICINE</x:v>
      </x:c>
      <x:c r="E190" t="n">
        <x:v>117</x:v>
      </x:c>
      <x:c r="F190" t="n">
        <x:v>28057</x:v>
      </x:c>
      <x:c r="G190" t="n">
        <x:v>2076955</x:v>
      </x:c>
      <x:c r="H190" t="n">
        <x:v>-2049231</x:v>
      </x:c>
      <x:c r="I190" t="str">
        <x:v>MODELED</x:v>
      </x:c>
      <x:c r="J190" s="17" t="b">
        <x:v>0</x:v>
      </x:c>
    </x:row>
    <x:row r="191">
      <x:c r="A191" t="str">
        <x:v>zone.jianghan_dongting.transport_equipment</x:v>
      </x:c>
      <x:c r="B191" t="str">
        <x:v>JIANGHAN_DONGTING</x:v>
      </x:c>
      <x:c r="C191" t="str">
        <x:v>admin.han140.jingzhou</x:v>
      </x:c>
      <x:c r="D191" t="str">
        <x:v>TRANSPORT_EQUIPMENT</x:v>
      </x:c>
      <x:c r="E191" t="n">
        <x:v>117</x:v>
      </x:c>
      <x:c r="F191" t="n">
        <x:v>3883</x:v>
      </x:c>
      <x:c r="G191" t="n">
        <x:v>16225</x:v>
      </x:c>
      <x:c r="H191" t="n">
        <x:v>-12386</x:v>
      </x:c>
      <x:c r="I191" t="str">
        <x:v>MODELED</x:v>
      </x:c>
      <x:c r="J191" s="17" t="b">
        <x:v>0</x:v>
      </x:c>
    </x:row>
    <x:row r="192">
      <x:c r="A192" t="str">
        <x:v>zone.lower_yangtze_ganpo.grain</x:v>
      </x:c>
      <x:c r="B192" t="str">
        <x:v>LOWER_YANGTZE_GANPO</x:v>
      </x:c>
      <x:c r="C192" t="str">
        <x:v>admin.han140.yangzhou</x:v>
      </x:c>
      <x:c r="D192" t="str">
        <x:v>GRAIN</x:v>
      </x:c>
      <x:c r="E192" t="n">
        <x:v>92</x:v>
      </x:c>
      <x:c r="F192" t="n">
        <x:v>964027959</x:v>
      </x:c>
      <x:c r="G192" t="n">
        <x:v>1120157591</x:v>
      </x:c>
      <x:c r="H192" t="n">
        <x:v>-213971294</x:v>
      </x:c>
      <x:c r="I192" t="str">
        <x:v>MODELED</x:v>
      </x:c>
      <x:c r="J192" s="17" t="b">
        <x:v>0</x:v>
      </x:c>
    </x:row>
    <x:row r="193">
      <x:c r="A193" t="str">
        <x:v>zone.lower_yangtze_ganpo.other_food</x:v>
      </x:c>
      <x:c r="B193" t="str">
        <x:v>LOWER_YANGTZE_GANPO</x:v>
      </x:c>
      <x:c r="C193" t="str">
        <x:v>admin.han140.yangzhou</x:v>
      </x:c>
      <x:c r="D193" t="str">
        <x:v>OTHER_FOOD</x:v>
      </x:c>
      <x:c r="E193" t="n">
        <x:v>92</x:v>
      </x:c>
      <x:c r="F193" t="n">
        <x:v>791128025</x:v>
      </x:c>
      <x:c r="G193" t="n">
        <x:v>315680780</x:v>
      </x:c>
      <x:c r="H193" t="n">
        <x:v>427979574</x:v>
      </x:c>
      <x:c r="I193" t="str">
        <x:v>MODELED</x:v>
      </x:c>
      <x:c r="J193" s="17" t="b">
        <x:v>0</x:v>
      </x:c>
    </x:row>
    <x:row r="194">
      <x:c r="A194" t="str">
        <x:v>zone.lower_yangtze_ganpo.salt</x:v>
      </x:c>
      <x:c r="B194" t="str">
        <x:v>LOWER_YANGTZE_GANPO</x:v>
      </x:c>
      <x:c r="C194" t="str">
        <x:v>admin.han140.yangzhou</x:v>
      </x:c>
      <x:c r="D194" t="str">
        <x:v>SALT</x:v>
      </x:c>
      <x:c r="E194" t="n">
        <x:v>92</x:v>
      </x:c>
      <x:c r="F194" t="n">
        <x:v>20221210</x:v>
      </x:c>
      <x:c r="G194" t="n">
        <x:v>14662801</x:v>
      </x:c>
      <x:c r="H194" t="n">
        <x:v>5315757</x:v>
      </x:c>
      <x:c r="I194" t="str">
        <x:v>MODELED</x:v>
      </x:c>
      <x:c r="J194" s="17" t="b">
        <x:v>0</x:v>
      </x:c>
    </x:row>
    <x:row r="195">
      <x:c r="A195" t="str">
        <x:v>zone.lower_yangtze_ganpo.fuel</x:v>
      </x:c>
      <x:c r="B195" t="str">
        <x:v>LOWER_YANGTZE_GANPO</x:v>
      </x:c>
      <x:c r="C195" t="str">
        <x:v>admin.han140.yangzhou</x:v>
      </x:c>
      <x:c r="D195" t="str">
        <x:v>FUEL</x:v>
      </x:c>
      <x:c r="E195" t="n">
        <x:v>92</x:v>
      </x:c>
      <x:c r="F195" t="n">
        <x:v>3273763263</x:v>
      </x:c>
      <x:c r="G195" t="n">
        <x:v>2621590538</x:v>
      </x:c>
      <x:c r="H195" t="n">
        <x:v>570328682</x:v>
      </x:c>
      <x:c r="I195" t="str">
        <x:v>MODELED</x:v>
      </x:c>
      <x:c r="J195" s="17" t="b">
        <x:v>0</x:v>
      </x:c>
    </x:row>
    <x:row r="196">
      <x:c r="A196" t="str">
        <x:v>zone.lower_yangtze_ganpo.timber</x:v>
      </x:c>
      <x:c r="B196" t="str">
        <x:v>LOWER_YANGTZE_GANPO</x:v>
      </x:c>
      <x:c r="C196" t="str">
        <x:v>admin.han140.yangzhou</x:v>
      </x:c>
      <x:c r="D196" t="str">
        <x:v>TIMBER</x:v>
      </x:c>
      <x:c r="E196" t="n">
        <x:v>92</x:v>
      </x:c>
      <x:c r="F196" t="n">
        <x:v>1251421047</x:v>
      </x:c>
      <x:c r="G196" t="n">
        <x:v>323051388</x:v>
      </x:c>
      <x:c r="H196" t="n">
        <x:v>897084144</x:v>
      </x:c>
      <x:c r="I196" t="str">
        <x:v>MODELED</x:v>
      </x:c>
      <x:c r="J196" s="17" t="b">
        <x:v>0</x:v>
      </x:c>
    </x:row>
    <x:row r="197">
      <x:c r="A197" t="str">
        <x:v>zone.lower_yangtze_ganpo.horse</x:v>
      </x:c>
      <x:c r="B197" t="str">
        <x:v>LOWER_YANGTZE_GANPO</x:v>
      </x:c>
      <x:c r="C197" t="str">
        <x:v>admin.han140.yangzhou</x:v>
      </x:c>
      <x:c r="D197" t="str">
        <x:v>HORSE</x:v>
      </x:c>
      <x:c r="E197" t="n">
        <x:v>92</x:v>
      </x:c>
      <x:c r="F197" t="n">
        <x:v>554</x:v>
      </x:c>
      <x:c r="G197" t="n">
        <x:v>30553</x:v>
      </x:c>
      <x:c r="H197" t="n">
        <x:v>-30002</x:v>
      </x:c>
      <x:c r="I197" t="str">
        <x:v>MODELED</x:v>
      </x:c>
      <x:c r="J197" s="17" t="b">
        <x:v>0</x:v>
      </x:c>
    </x:row>
    <x:row r="198">
      <x:c r="A198" t="str">
        <x:v>zone.lower_yangtze_ganpo.livestock</x:v>
      </x:c>
      <x:c r="B198" t="str">
        <x:v>LOWER_YANGTZE_GANPO</x:v>
      </x:c>
      <x:c r="C198" t="str">
        <x:v>admin.han140.yangzhou</x:v>
      </x:c>
      <x:c r="D198" t="str">
        <x:v>LIVESTOCK</x:v>
      </x:c>
      <x:c r="E198" t="n">
        <x:v>92</x:v>
      </x:c>
      <x:c r="F198" t="n">
        <x:v>127150</x:v>
      </x:c>
      <x:c r="G198" t="n">
        <x:v>297838</x:v>
      </x:c>
      <x:c r="H198" t="n">
        <x:v>-172214</x:v>
      </x:c>
      <x:c r="I198" t="str">
        <x:v>MODELED</x:v>
      </x:c>
      <x:c r="J198" s="17" t="b">
        <x:v>0</x:v>
      </x:c>
    </x:row>
    <x:row r="199">
      <x:c r="A199" t="str">
        <x:v>zone.lower_yangtze_ganpo.leather</x:v>
      </x:c>
      <x:c r="B199" t="str">
        <x:v>LOWER_YANGTZE_GANPO</x:v>
      </x:c>
      <x:c r="C199" t="str">
        <x:v>admin.han140.yangzhou</x:v>
      </x:c>
      <x:c r="D199" t="str">
        <x:v>LEATHER</x:v>
      </x:c>
      <x:c r="E199" t="n">
        <x:v>92</x:v>
      </x:c>
      <x:c r="F199" t="n">
        <x:v>267018</x:v>
      </x:c>
      <x:c r="G199" t="n">
        <x:v>8076285</x:v>
      </x:c>
      <x:c r="H199" t="n">
        <x:v>-7812475</x:v>
      </x:c>
      <x:c r="I199" t="str">
        <x:v>MODELED</x:v>
      </x:c>
      <x:c r="J199" s="17" t="b">
        <x:v>0</x:v>
      </x:c>
    </x:row>
    <x:row r="200">
      <x:c r="A200" t="str">
        <x:v>zone.lower_yangtze_ganpo.fiber</x:v>
      </x:c>
      <x:c r="B200" t="str">
        <x:v>LOWER_YANGTZE_GANPO</x:v>
      </x:c>
      <x:c r="C200" t="str">
        <x:v>admin.han140.yangzhou</x:v>
      </x:c>
      <x:c r="D200" t="str">
        <x:v>FIBER</x:v>
      </x:c>
      <x:c r="E200" t="n">
        <x:v>92</x:v>
      </x:c>
      <x:c r="F200" t="n">
        <x:v>14528344</x:v>
      </x:c>
      <x:c r="G200" t="n">
        <x:v>14910061</x:v>
      </x:c>
      <x:c r="H200" t="n">
        <x:v>-556058</x:v>
      </x:c>
      <x:c r="I200" t="str">
        <x:v>MODELED</x:v>
      </x:c>
      <x:c r="J200" s="17" t="b">
        <x:v>0</x:v>
      </x:c>
    </x:row>
    <x:row r="201">
      <x:c r="A201" t="str">
        <x:v>zone.lower_yangtze_ganpo.raw_silk</x:v>
      </x:c>
      <x:c r="B201" t="str">
        <x:v>LOWER_YANGTZE_GANPO</x:v>
      </x:c>
      <x:c r="C201" t="str">
        <x:v>admin.han140.yangzhou</x:v>
      </x:c>
      <x:c r="D201" t="str">
        <x:v>RAW_SILK</x:v>
      </x:c>
      <x:c r="E201" t="n">
        <x:v>92</x:v>
      </x:c>
      <x:c r="F201" t="n">
        <x:v>225985</x:v>
      </x:c>
      <x:c r="G201" t="n">
        <x:v>206198</x:v>
      </x:c>
      <x:c r="H201" t="n">
        <x:v>17073</x:v>
      </x:c>
      <x:c r="I201" t="str">
        <x:v>MODELED</x:v>
      </x:c>
      <x:c r="J201" s="17" t="b">
        <x:v>0</x:v>
      </x:c>
    </x:row>
    <x:row r="202">
      <x:c r="A202" t="str">
        <x:v>zone.lower_yangtze_ganpo.textile</x:v>
      </x:c>
      <x:c r="B202" t="str">
        <x:v>LOWER_YANGTZE_GANPO</x:v>
      </x:c>
      <x:c r="C202" t="str">
        <x:v>admin.han140.yangzhou</x:v>
      </x:c>
      <x:c r="D202" t="str">
        <x:v>TEXTILE</x:v>
      </x:c>
      <x:c r="E202" t="n">
        <x:v>92</x:v>
      </x:c>
      <x:c r="F202" t="n">
        <x:v>254756</x:v>
      </x:c>
      <x:c r="G202" t="n">
        <x:v>3665975</x:v>
      </x:c>
      <x:c r="H202" t="n">
        <x:v>-3414271</x:v>
      </x:c>
      <x:c r="I202" t="str">
        <x:v>MODELED</x:v>
      </x:c>
      <x:c r="J202" s="17" t="b">
        <x:v>0</x:v>
      </x:c>
    </x:row>
    <x:row r="203">
      <x:c r="A203" t="str">
        <x:v>zone.lower_yangtze_ganpo.iron_ore</x:v>
      </x:c>
      <x:c r="B203" t="str">
        <x:v>LOWER_YANGTZE_GANPO</x:v>
      </x:c>
      <x:c r="C203" t="str">
        <x:v>admin.han140.yangzhou</x:v>
      </x:c>
      <x:c r="D203" t="str">
        <x:v>IRON_ORE</x:v>
      </x:c>
      <x:c r="E203" t="n">
        <x:v>92</x:v>
      </x:c>
      <x:c r="F203" t="n">
        <x:v>0</x:v>
      </x:c>
      <x:c r="G203" t="n">
        <x:v>40685</x:v>
      </x:c>
      <x:c r="H203" t="n">
        <x:v>-40681</x:v>
      </x:c>
      <x:c r="I203" t="str">
        <x:v>MODELED</x:v>
      </x:c>
      <x:c r="J203" s="17" t="b">
        <x:v>0</x:v>
      </x:c>
    </x:row>
    <x:row r="204">
      <x:c r="A204" t="str">
        <x:v>zone.lower_yangtze_ganpo.metal</x:v>
      </x:c>
      <x:c r="B204" t="str">
        <x:v>LOWER_YANGTZE_GANPO</x:v>
      </x:c>
      <x:c r="C204" t="str">
        <x:v>admin.han140.yangzhou</x:v>
      </x:c>
      <x:c r="D204" t="str">
        <x:v>METAL</x:v>
      </x:c>
      <x:c r="E204" t="n">
        <x:v>92</x:v>
      </x:c>
      <x:c r="F204" t="n">
        <x:v>38518</x:v>
      </x:c>
      <x:c r="G204" t="n">
        <x:v>34305212</x:v>
      </x:c>
      <x:c r="H204" t="n">
        <x:v>-34267150</x:v>
      </x:c>
      <x:c r="I204" t="str">
        <x:v>MODELED</x:v>
      </x:c>
      <x:c r="J204" s="17" t="b">
        <x:v>0</x:v>
      </x:c>
    </x:row>
    <x:row r="205">
      <x:c r="A205" t="str">
        <x:v>zone.lower_yangtze_ganpo.tools</x:v>
      </x:c>
      <x:c r="B205" t="str">
        <x:v>LOWER_YANGTZE_GANPO</x:v>
      </x:c>
      <x:c r="C205" t="str">
        <x:v>admin.han140.yangzhou</x:v>
      </x:c>
      <x:c r="D205" t="str">
        <x:v>TOOLS</x:v>
      </x:c>
      <x:c r="E205" t="n">
        <x:v>92</x:v>
      </x:c>
      <x:c r="F205" t="n">
        <x:v>47517</x:v>
      </x:c>
      <x:c r="G205" t="n">
        <x:v>824786</x:v>
      </x:c>
      <x:c r="H205" t="n">
        <x:v>-777838</x:v>
      </x:c>
      <x:c r="I205" t="str">
        <x:v>MODELED</x:v>
      </x:c>
      <x:c r="J205" s="17" t="b">
        <x:v>0</x:v>
      </x:c>
    </x:row>
    <x:row r="206">
      <x:c r="A206" t="str">
        <x:v>zone.lower_yangtze_ganpo.weapons</x:v>
      </x:c>
      <x:c r="B206" t="str">
        <x:v>LOWER_YANGTZE_GANPO</x:v>
      </x:c>
      <x:c r="C206" t="str">
        <x:v>admin.han140.yangzhou</x:v>
      </x:c>
      <x:c r="D206" t="str">
        <x:v>WEAPONS</x:v>
      </x:c>
      <x:c r="E206" t="n">
        <x:v>92</x:v>
      </x:c>
      <x:c r="F206" t="n">
        <x:v>5983</x:v>
      </x:c>
      <x:c r="G206" t="n">
        <x:v>3248</x:v>
      </x:c>
      <x:c r="H206" t="n">
        <x:v>2666</x:v>
      </x:c>
      <x:c r="I206" t="str">
        <x:v>MODELED</x:v>
      </x:c>
      <x:c r="J206" s="17" t="b">
        <x:v>0</x:v>
      </x:c>
    </x:row>
    <x:row r="207">
      <x:c r="A207" t="str">
        <x:v>zone.lower_yangtze_ganpo.building_material</x:v>
      </x:c>
      <x:c r="B207" t="str">
        <x:v>LOWER_YANGTZE_GANPO</x:v>
      </x:c>
      <x:c r="C207" t="str">
        <x:v>admin.han140.yangzhou</x:v>
      </x:c>
      <x:c r="D207" t="str">
        <x:v>BUILDING_MATERIAL</x:v>
      </x:c>
      <x:c r="E207" t="n">
        <x:v>92</x:v>
      </x:c>
      <x:c r="F207" t="n">
        <x:v>171045588</x:v>
      </x:c>
      <x:c r="G207" t="n">
        <x:v>435301897</x:v>
      </x:c>
      <x:c r="H207" t="n">
        <x:v>-266308825</x:v>
      </x:c>
      <x:c r="I207" t="str">
        <x:v>MODELED</x:v>
      </x:c>
      <x:c r="J207" s="17" t="b">
        <x:v>0</x:v>
      </x:c>
    </x:row>
    <x:row r="208">
      <x:c r="A208" t="str">
        <x:v>zone.lower_yangtze_ganpo.pottery</x:v>
      </x:c>
      <x:c r="B208" t="str">
        <x:v>LOWER_YANGTZE_GANPO</x:v>
      </x:c>
      <x:c r="C208" t="str">
        <x:v>admin.han140.yangzhou</x:v>
      </x:c>
      <x:c r="D208" t="str">
        <x:v>POTTERY</x:v>
      </x:c>
      <x:c r="E208" t="n">
        <x:v>92</x:v>
      </x:c>
      <x:c r="F208" t="n">
        <x:v>92830</x:v>
      </x:c>
      <x:c r="G208" t="n">
        <x:v>1924491</x:v>
      </x:c>
      <x:c r="H208" t="n">
        <x:v>-1832789</x:v>
      </x:c>
      <x:c r="I208" t="str">
        <x:v>MODELED</x:v>
      </x:c>
      <x:c r="J208" s="17" t="b">
        <x:v>0</x:v>
      </x:c>
    </x:row>
    <x:row r="209">
      <x:c r="A209" t="str">
        <x:v>zone.lower_yangtze_ganpo.medicine</x:v>
      </x:c>
      <x:c r="B209" t="str">
        <x:v>LOWER_YANGTZE_GANPO</x:v>
      </x:c>
      <x:c r="C209" t="str">
        <x:v>admin.han140.yangzhou</x:v>
      </x:c>
      <x:c r="D209" t="str">
        <x:v>MEDICINE</x:v>
      </x:c>
      <x:c r="E209" t="n">
        <x:v>92</x:v>
      </x:c>
      <x:c r="F209" t="n">
        <x:v>20852</x:v>
      </x:c>
      <x:c r="G209" t="n">
        <x:v>1466286</x:v>
      </x:c>
      <x:c r="H209" t="n">
        <x:v>-1445679</x:v>
      </x:c>
      <x:c r="I209" t="str">
        <x:v>MODELED</x:v>
      </x:c>
      <x:c r="J209" s="17" t="b">
        <x:v>0</x:v>
      </x:c>
    </x:row>
    <x:row r="210">
      <x:c r="A210" t="str">
        <x:v>zone.lower_yangtze_ganpo.transport_equipment</x:v>
      </x:c>
      <x:c r="B210" t="str">
        <x:v>LOWER_YANGTZE_GANPO</x:v>
      </x:c>
      <x:c r="C210" t="str">
        <x:v>admin.han140.yangzhou</x:v>
      </x:c>
      <x:c r="D210" t="str">
        <x:v>TRANSPORT_EQUIPMENT</x:v>
      </x:c>
      <x:c r="E210" t="n">
        <x:v>92</x:v>
      </x:c>
      <x:c r="F210" t="n">
        <x:v>3261</x:v>
      </x:c>
      <x:c r="G210" t="n">
        <x:v>11457</x:v>
      </x:c>
      <x:c r="H210" t="n">
        <x:v>-8231</x:v>
      </x:c>
      <x:c r="I210" t="str">
        <x:v>MODELED</x:v>
      </x:c>
      <x:c r="J210" s="17" t="b">
        <x:v>0</x:v>
      </x:c>
    </x:row>
    <x:row r="211">
      <x:c r="A211" t="str">
        <x:v>zone.sichuan_hanzhong.grain</x:v>
      </x:c>
      <x:c r="B211" t="str">
        <x:v>SICHUAN_HANZHONG</x:v>
      </x:c>
      <x:c r="C211" t="str">
        <x:v>admin.han140.yizhou</x:v>
      </x:c>
      <x:c r="D211" t="str">
        <x:v>GRAIN</x:v>
      </x:c>
      <x:c r="E211" t="n">
        <x:v>119</x:v>
      </x:c>
      <x:c r="F211" t="n">
        <x:v>1576612962</x:v>
      </x:c>
      <x:c r="G211" t="n">
        <x:v>1822234221</x:v>
      </x:c>
      <x:c r="H211" t="n">
        <x:v>-340218005</x:v>
      </x:c>
      <x:c r="I211" t="str">
        <x:v>MODELED</x:v>
      </x:c>
      <x:c r="J211" s="17" t="b">
        <x:v>0</x:v>
      </x:c>
    </x:row>
    <x:row r="212">
      <x:c r="A212" t="str">
        <x:v>zone.sichuan_hanzhong.other_food</x:v>
      </x:c>
      <x:c r="B212" t="str">
        <x:v>SICHUAN_HANZHONG</x:v>
      </x:c>
      <x:c r="C212" t="str">
        <x:v>admin.han140.yizhou</x:v>
      </x:c>
      <x:c r="D212" t="str">
        <x:v>OTHER_FOOD</x:v>
      </x:c>
      <x:c r="E212" t="n">
        <x:v>119</x:v>
      </x:c>
      <x:c r="F212" t="n">
        <x:v>1318383159</x:v>
      </x:c>
      <x:c r="G212" t="n">
        <x:v>513538736</x:v>
      </x:c>
      <x:c r="H212" t="n">
        <x:v>725741439</x:v>
      </x:c>
      <x:c r="I212" t="str">
        <x:v>MODELED</x:v>
      </x:c>
      <x:c r="J212" s="17" t="b">
        <x:v>0</x:v>
      </x:c>
    </x:row>
    <x:row r="213">
      <x:c r="A213" t="str">
        <x:v>zone.sichuan_hanzhong.salt</x:v>
      </x:c>
      <x:c r="B213" t="str">
        <x:v>SICHUAN_HANZHONG</x:v>
      </x:c>
      <x:c r="C213" t="str">
        <x:v>admin.han140.yizhou</x:v>
      </x:c>
      <x:c r="D213" t="str">
        <x:v>SALT</x:v>
      </x:c>
      <x:c r="E213" t="n">
        <x:v>119</x:v>
      </x:c>
      <x:c r="F213" t="n">
        <x:v>44365768</x:v>
      </x:c>
      <x:c r="G213" t="n">
        <x:v>23863778</x:v>
      </x:c>
      <x:c r="H213" t="n">
        <x:v>19969578</x:v>
      </x:c>
      <x:c r="I213" t="str">
        <x:v>MODELED</x:v>
      </x:c>
      <x:c r="J213" s="17" t="b">
        <x:v>0</x:v>
      </x:c>
    </x:row>
    <x:row r="214">
      <x:c r="A214" t="str">
        <x:v>zone.sichuan_hanzhong.fuel</x:v>
      </x:c>
      <x:c r="B214" t="str">
        <x:v>SICHUAN_HANZHONG</x:v>
      </x:c>
      <x:c r="C214" t="str">
        <x:v>admin.han140.yizhou</x:v>
      </x:c>
      <x:c r="D214" t="str">
        <x:v>FUEL</x:v>
      </x:c>
      <x:c r="E214" t="n">
        <x:v>119</x:v>
      </x:c>
      <x:c r="F214" t="n">
        <x:v>4217700321</x:v>
      </x:c>
      <x:c r="G214" t="n">
        <x:v>4260486145</x:v>
      </x:c>
      <x:c r="H214" t="n">
        <x:v>-148228283</x:v>
      </x:c>
      <x:c r="I214" t="str">
        <x:v>MODELED</x:v>
      </x:c>
      <x:c r="J214" s="17" t="b">
        <x:v>0</x:v>
      </x:c>
    </x:row>
    <x:row r="215">
      <x:c r="A215" t="str">
        <x:v>zone.sichuan_hanzhong.timber</x:v>
      </x:c>
      <x:c r="B215" t="str">
        <x:v>SICHUAN_HANZHONG</x:v>
      </x:c>
      <x:c r="C215" t="str">
        <x:v>admin.han140.yizhou</x:v>
      </x:c>
      <x:c r="D215" t="str">
        <x:v>TIMBER</x:v>
      </x:c>
      <x:c r="E215" t="n">
        <x:v>119</x:v>
      </x:c>
      <x:c r="F215" t="n">
        <x:v>1549896162</x:v>
      </x:c>
      <x:c r="G215" t="n">
        <x:v>525141412</x:v>
      </x:c>
      <x:c r="H215" t="n">
        <x:v>986007356</x:v>
      </x:c>
      <x:c r="I215" t="str">
        <x:v>MODELED</x:v>
      </x:c>
      <x:c r="J215" s="17" t="b">
        <x:v>0</x:v>
      </x:c>
    </x:row>
    <x:row r="216">
      <x:c r="A216" t="str">
        <x:v>zone.sichuan_hanzhong.horse</x:v>
      </x:c>
      <x:c r="B216" t="str">
        <x:v>SICHUAN_HANZHONG</x:v>
      </x:c>
      <x:c r="C216" t="str">
        <x:v>admin.han140.yizhou</x:v>
      </x:c>
      <x:c r="D216" t="str">
        <x:v>HORSE</x:v>
      </x:c>
      <x:c r="E216" t="n">
        <x:v>119</x:v>
      </x:c>
      <x:c r="F216" t="n">
        <x:v>2384</x:v>
      </x:c>
      <x:c r="G216" t="n">
        <x:v>49693</x:v>
      </x:c>
      <x:c r="H216" t="n">
        <x:v>-47349</x:v>
      </x:c>
      <x:c r="I216" t="str">
        <x:v>MODELED</x:v>
      </x:c>
      <x:c r="J216" s="17" t="b">
        <x:v>0</x:v>
      </x:c>
    </x:row>
    <x:row r="217">
      <x:c r="A217" t="str">
        <x:v>zone.sichuan_hanzhong.livestock</x:v>
      </x:c>
      <x:c r="B217" t="str">
        <x:v>SICHUAN_HANZHONG</x:v>
      </x:c>
      <x:c r="C217" t="str">
        <x:v>admin.han140.yizhou</x:v>
      </x:c>
      <x:c r="D217" t="str">
        <x:v>LIVESTOCK</x:v>
      </x:c>
      <x:c r="E217" t="n">
        <x:v>119</x:v>
      </x:c>
      <x:c r="F217" t="n">
        <x:v>314087</x:v>
      </x:c>
      <x:c r="G217" t="n">
        <x:v>484729</x:v>
      </x:c>
      <x:c r="H217" t="n">
        <x:v>-174415</x:v>
      </x:c>
      <x:c r="I217" t="str">
        <x:v>MODELED</x:v>
      </x:c>
      <x:c r="J217" s="17" t="b">
        <x:v>0</x:v>
      </x:c>
    </x:row>
    <x:row r="218">
      <x:c r="A218" t="str">
        <x:v>zone.sichuan_hanzhong.leather</x:v>
      </x:c>
      <x:c r="B218" t="str">
        <x:v>SICHUAN_HANZHONG</x:v>
      </x:c>
      <x:c r="C218" t="str">
        <x:v>admin.han140.yizhou</x:v>
      </x:c>
      <x:c r="D218" t="str">
        <x:v>LEATHER</x:v>
      </x:c>
      <x:c r="E218" t="n">
        <x:v>119</x:v>
      </x:c>
      <x:c r="F218" t="n">
        <x:v>659582</x:v>
      </x:c>
      <x:c r="G218" t="n">
        <x:v>13128546</x:v>
      </x:c>
      <x:c r="H218" t="n">
        <x:v>-12476866</x:v>
      </x:c>
      <x:c r="I218" t="str">
        <x:v>MODELED</x:v>
      </x:c>
      <x:c r="J218" s="17" t="b">
        <x:v>0</x:v>
      </x:c>
    </x:row>
    <x:row r="219">
      <x:c r="A219" t="str">
        <x:v>zone.sichuan_hanzhong.fiber</x:v>
      </x:c>
      <x:c r="B219" t="str">
        <x:v>SICHUAN_HANZHONG</x:v>
      </x:c>
      <x:c r="C219" t="str">
        <x:v>admin.han140.yizhou</x:v>
      </x:c>
      <x:c r="D219" t="str">
        <x:v>FIBER</x:v>
      </x:c>
      <x:c r="E219" t="n">
        <x:v>119</x:v>
      </x:c>
      <x:c r="F219" t="n">
        <x:v>25640480</x:v>
      </x:c>
      <x:c r="G219" t="n">
        <x:v>24237308</x:v>
      </x:c>
      <x:c r="H219" t="n">
        <x:v>1095506</x:v>
      </x:c>
      <x:c r="I219" t="str">
        <x:v>MODELED</x:v>
      </x:c>
      <x:c r="J219" s="17" t="b">
        <x:v>0</x:v>
      </x:c>
    </x:row>
    <x:row r="220">
      <x:c r="A220" t="str">
        <x:v>zone.sichuan_hanzhong.raw_silk</x:v>
      </x:c>
      <x:c r="B220" t="str">
        <x:v>SICHUAN_HANZHONG</x:v>
      </x:c>
      <x:c r="C220" t="str">
        <x:v>admin.han140.yizhou</x:v>
      </x:c>
      <x:c r="D220" t="str">
        <x:v>RAW_SILK</x:v>
      </x:c>
      <x:c r="E220" t="n">
        <x:v>119</x:v>
      </x:c>
      <x:c r="F220" t="n">
        <x:v>465429</x:v>
      </x:c>
      <x:c r="G220" t="n">
        <x:v>335587</x:v>
      </x:c>
      <x:c r="H220" t="n">
        <x:v>124258</x:v>
      </x:c>
      <x:c r="I220" t="str">
        <x:v>MODELED</x:v>
      </x:c>
      <x:c r="J220" s="17" t="b">
        <x:v>0</x:v>
      </x:c>
    </x:row>
    <x:row r="221">
      <x:c r="A221" t="str">
        <x:v>zone.sichuan_hanzhong.textile</x:v>
      </x:c>
      <x:c r="B221" t="str">
        <x:v>SICHUAN_HANZHONG</x:v>
      </x:c>
      <x:c r="C221" t="str">
        <x:v>admin.han140.yizhou</x:v>
      </x:c>
      <x:c r="D221" t="str">
        <x:v>TEXTILE</x:v>
      </x:c>
      <x:c r="E221" t="n">
        <x:v>119</x:v>
      </x:c>
      <x:c r="F221" t="n">
        <x:v>440124</x:v>
      </x:c>
      <x:c r="G221" t="n">
        <x:v>5963675</x:v>
      </x:c>
      <x:c r="H221" t="n">
        <x:v>-5528827</x:v>
      </x:c>
      <x:c r="I221" t="str">
        <x:v>MODELED</x:v>
      </x:c>
      <x:c r="J221" s="17" t="b">
        <x:v>0</x:v>
      </x:c>
    </x:row>
    <x:row r="222">
      <x:c r="A222" t="str">
        <x:v>zone.sichuan_hanzhong.iron_ore</x:v>
      </x:c>
      <x:c r="B222" t="str">
        <x:v>SICHUAN_HANZHONG</x:v>
      </x:c>
      <x:c r="C222" t="str">
        <x:v>admin.han140.yizhou</x:v>
      </x:c>
      <x:c r="D222" t="str">
        <x:v>IRON_ORE</x:v>
      </x:c>
      <x:c r="E222" t="n">
        <x:v>119</x:v>
      </x:c>
      <x:c r="F222" t="n">
        <x:v>12671979</x:v>
      </x:c>
      <x:c r="G222" t="n">
        <x:v>95846</x:v>
      </x:c>
      <x:c r="H222" t="n">
        <x:v>12424075</x:v>
      </x:c>
      <x:c r="I222" t="str">
        <x:v>MODELED</x:v>
      </x:c>
      <x:c r="J222" s="17" t="b">
        <x:v>0</x:v>
      </x:c>
    </x:row>
    <x:row r="223">
      <x:c r="A223" t="str">
        <x:v>zone.sichuan_hanzhong.metal</x:v>
      </x:c>
      <x:c r="B223" t="str">
        <x:v>SICHUAN_HANZHONG</x:v>
      </x:c>
      <x:c r="C223" t="str">
        <x:v>admin.han140.yizhou</x:v>
      </x:c>
      <x:c r="D223" t="str">
        <x:v>METAL</x:v>
      </x:c>
      <x:c r="E223" t="n">
        <x:v>119</x:v>
      </x:c>
      <x:c r="F223" t="n">
        <x:v>90197</x:v>
      </x:c>
      <x:c r="G223" t="n">
        <x:v>55789801</x:v>
      </x:c>
      <x:c r="H223" t="n">
        <x:v>-55700686</x:v>
      </x:c>
      <x:c r="I223" t="str">
        <x:v>MODELED</x:v>
      </x:c>
      <x:c r="J223" s="17" t="b">
        <x:v>0</x:v>
      </x:c>
    </x:row>
    <x:row r="224">
      <x:c r="A224" t="str">
        <x:v>zone.sichuan_hanzhong.tools</x:v>
      </x:c>
      <x:c r="B224" t="str">
        <x:v>SICHUAN_HANZHONG</x:v>
      </x:c>
      <x:c r="C224" t="str">
        <x:v>admin.han140.yizhou</x:v>
      </x:c>
      <x:c r="D224" t="str">
        <x:v>TOOLS</x:v>
      </x:c>
      <x:c r="E224" t="n">
        <x:v>119</x:v>
      </x:c>
      <x:c r="F224" t="n">
        <x:v>85468</x:v>
      </x:c>
      <x:c r="G224" t="n">
        <x:v>1342339</x:v>
      </x:c>
      <x:c r="H224" t="n">
        <x:v>-1257897</x:v>
      </x:c>
      <x:c r="I224" t="str">
        <x:v>MODELED</x:v>
      </x:c>
      <x:c r="J224" s="17" t="b">
        <x:v>0</x:v>
      </x:c>
    </x:row>
    <x:row r="225">
      <x:c r="A225" t="str">
        <x:v>zone.sichuan_hanzhong.weapons</x:v>
      </x:c>
      <x:c r="B225" t="str">
        <x:v>SICHUAN_HANZHONG</x:v>
      </x:c>
      <x:c r="C225" t="str">
        <x:v>admin.han140.yizhou</x:v>
      </x:c>
      <x:c r="D225" t="str">
        <x:v>WEAPONS</x:v>
      </x:c>
      <x:c r="E225" t="n">
        <x:v>119</x:v>
      </x:c>
      <x:c r="F225" t="n">
        <x:v>10710</x:v>
      </x:c>
      <x:c r="G225" t="n">
        <x:v>5576</x:v>
      </x:c>
      <x:c r="H225" t="n">
        <x:v>5023</x:v>
      </x:c>
      <x:c r="I225" t="str">
        <x:v>MODELED</x:v>
      </x:c>
      <x:c r="J225" s="17" t="b">
        <x:v>0</x:v>
      </x:c>
    </x:row>
    <x:row r="226">
      <x:c r="A226" t="str">
        <x:v>zone.sichuan_hanzhong.building_material</x:v>
      </x:c>
      <x:c r="B226" t="str">
        <x:v>SICHUAN_HANZHONG</x:v>
      </x:c>
      <x:c r="C226" t="str">
        <x:v>admin.han140.yizhou</x:v>
      </x:c>
      <x:c r="D226" t="str">
        <x:v>BUILDING_MATERIAL</x:v>
      </x:c>
      <x:c r="E226" t="n">
        <x:v>119</x:v>
      </x:c>
      <x:c r="F226" t="n">
        <x:v>247039055</x:v>
      </x:c>
      <x:c r="G226" t="n">
        <x:v>708456141</x:v>
      </x:c>
      <x:c r="H226" t="n">
        <x:v>-464381504</x:v>
      </x:c>
      <x:c r="I226" t="str">
        <x:v>MODELED</x:v>
      </x:c>
      <x:c r="J226" s="17" t="b">
        <x:v>0</x:v>
      </x:c>
    </x:row>
    <x:row r="227">
      <x:c r="A227" t="str">
        <x:v>zone.sichuan_hanzhong.pottery</x:v>
      </x:c>
      <x:c r="B227" t="str">
        <x:v>SICHUAN_HANZHONG</x:v>
      </x:c>
      <x:c r="C227" t="str">
        <x:v>admin.han140.yizhou</x:v>
      </x:c>
      <x:c r="D227" t="str">
        <x:v>POTTERY</x:v>
      </x:c>
      <x:c r="E227" t="n">
        <x:v>119</x:v>
      </x:c>
      <x:c r="F227" t="n">
        <x:v>129360</x:v>
      </x:c>
      <x:c r="G227" t="n">
        <x:v>3132116</x:v>
      </x:c>
      <x:c r="H227" t="n">
        <x:v>-3004313</x:v>
      </x:c>
      <x:c r="I227" t="str">
        <x:v>MODELED</x:v>
      </x:c>
      <x:c r="J227" s="17" t="b">
        <x:v>0</x:v>
      </x:c>
    </x:row>
    <x:row r="228">
      <x:c r="A228" t="str">
        <x:v>zone.sichuan_hanzhong.medicine</x:v>
      </x:c>
      <x:c r="B228" t="str">
        <x:v>SICHUAN_HANZHONG</x:v>
      </x:c>
      <x:c r="C228" t="str">
        <x:v>admin.han140.yizhou</x:v>
      </x:c>
      <x:c r="D228" t="str">
        <x:v>MEDICINE</x:v>
      </x:c>
      <x:c r="E228" t="n">
        <x:v>119</x:v>
      </x:c>
      <x:c r="F228" t="n">
        <x:v>35968</x:v>
      </x:c>
      <x:c r="G228" t="n">
        <x:v>2386383</x:v>
      </x:c>
      <x:c r="H228" t="n">
        <x:v>-2350844</x:v>
      </x:c>
      <x:c r="I228" t="str">
        <x:v>MODELED</x:v>
      </x:c>
      <x:c r="J228" s="17" t="b">
        <x:v>0</x:v>
      </x:c>
    </x:row>
    <x:row r="229">
      <x:c r="A229" t="str">
        <x:v>zone.sichuan_hanzhong.transport_equipment</x:v>
      </x:c>
      <x:c r="B229" t="str">
        <x:v>SICHUAN_HANZHONG</x:v>
      </x:c>
      <x:c r="C229" t="str">
        <x:v>admin.han140.yizhou</x:v>
      </x:c>
      <x:c r="D229" t="str">
        <x:v>TRANSPORT_EQUIPMENT</x:v>
      </x:c>
      <x:c r="E229" t="n">
        <x:v>119</x:v>
      </x:c>
      <x:c r="F229" t="n">
        <x:v>3314</x:v>
      </x:c>
      <x:c r="G229" t="n">
        <x:v>18643</x:v>
      </x:c>
      <x:c r="H229" t="n">
        <x:v>-15375</x:v>
      </x:c>
      <x:c r="I229" t="str">
        <x:v>MODELED</x:v>
      </x:c>
      <x:c r="J229" s="17" t="b">
        <x:v>0</x:v>
      </x:c>
    </x:row>
    <x:row r="230">
      <x:c r="A230" t="str">
        <x:v>zone.lingnan_red_river.grain</x:v>
      </x:c>
      <x:c r="B230" t="str">
        <x:v>LINGNAN_RED_RIVER</x:v>
      </x:c>
      <x:c r="C230" t="str">
        <x:v>admin.han140.jiaozhou</x:v>
      </x:c>
      <x:c r="D230" t="str">
        <x:v>GRAIN</x:v>
      </x:c>
      <x:c r="E230" t="n">
        <x:v>56</x:v>
      </x:c>
      <x:c r="F230" t="n">
        <x:v>434219590</x:v>
      </x:c>
      <x:c r="G230" t="n">
        <x:v>522206075</x:v>
      </x:c>
      <x:c r="H230" t="n">
        <x:v>-114039647</x:v>
      </x:c>
      <x:c r="I230" t="str">
        <x:v>MODELED</x:v>
      </x:c>
      <x:c r="J230" s="17" t="b">
        <x:v>0</x:v>
      </x:c>
    </x:row>
    <x:row r="231">
      <x:c r="A231" t="str">
        <x:v>zone.lingnan_red_river.other_food</x:v>
      </x:c>
      <x:c r="B231" t="str">
        <x:v>LINGNAN_RED_RIVER</x:v>
      </x:c>
      <x:c r="C231" t="str">
        <x:v>admin.han140.jiaozhou</x:v>
      </x:c>
      <x:c r="D231" t="str">
        <x:v>OTHER_FOOD</x:v>
      </x:c>
      <x:c r="E231" t="n">
        <x:v>56</x:v>
      </x:c>
      <x:c r="F231" t="n">
        <x:v>384804937</x:v>
      </x:c>
      <x:c r="G231" t="n">
        <x:v>147167162</x:v>
      </x:c>
      <x:c r="H231" t="n">
        <x:v>214549478</x:v>
      </x:c>
      <x:c r="I231" t="str">
        <x:v>MODELED</x:v>
      </x:c>
      <x:c r="J231" s="17" t="b">
        <x:v>0</x:v>
      </x:c>
    </x:row>
    <x:row r="232">
      <x:c r="A232" t="str">
        <x:v>zone.lingnan_red_river.salt</x:v>
      </x:c>
      <x:c r="B232" t="str">
        <x:v>LINGNAN_RED_RIVER</x:v>
      </x:c>
      <x:c r="C232" t="str">
        <x:v>admin.han140.jiaozhou</x:v>
      </x:c>
      <x:c r="D232" t="str">
        <x:v>SALT</x:v>
      </x:c>
      <x:c r="E232" t="n">
        <x:v>56</x:v>
      </x:c>
      <x:c r="F232" t="n">
        <x:v>10790945</x:v>
      </x:c>
      <x:c r="G232" t="n">
        <x:v>6838966</x:v>
      </x:c>
      <x:c r="H232" t="n">
        <x:v>3822483</x:v>
      </x:c>
      <x:c r="I232" t="str">
        <x:v>MODELED</x:v>
      </x:c>
      <x:c r="J232" s="17" t="b">
        <x:v>0</x:v>
      </x:c>
    </x:row>
    <x:row r="233">
      <x:c r="A233" t="str">
        <x:v>zone.lingnan_red_river.fuel</x:v>
      </x:c>
      <x:c r="B233" t="str">
        <x:v>LINGNAN_RED_RIVER</x:v>
      </x:c>
      <x:c r="C233" t="str">
        <x:v>admin.han140.jiaozhou</x:v>
      </x:c>
      <x:c r="D233" t="str">
        <x:v>FUEL</x:v>
      </x:c>
      <x:c r="E233" t="n">
        <x:v>56</x:v>
      </x:c>
      <x:c r="F233" t="n">
        <x:v>1979202141</x:v>
      </x:c>
      <x:c r="G233" t="n">
        <x:v>1220864727</x:v>
      </x:c>
      <x:c r="H233" t="n">
        <x:v>708857377</x:v>
      </x:c>
      <x:c r="I233" t="str">
        <x:v>MODELED</x:v>
      </x:c>
      <x:c r="J233" s="17" t="b">
        <x:v>0</x:v>
      </x:c>
    </x:row>
    <x:row r="234">
      <x:c r="A234" t="str">
        <x:v>zone.lingnan_red_river.timber</x:v>
      </x:c>
      <x:c r="B234" t="str">
        <x:v>LINGNAN_RED_RIVER</x:v>
      </x:c>
      <x:c r="C234" t="str">
        <x:v>admin.han140.jiaozhou</x:v>
      </x:c>
      <x:c r="D234" t="str">
        <x:v>TIMBER</x:v>
      </x:c>
      <x:c r="E234" t="n">
        <x:v>56</x:v>
      </x:c>
      <x:c r="F234" t="n">
        <x:v>782691639</x:v>
      </x:c>
      <x:c r="G234" t="n">
        <x:v>150484642</x:v>
      </x:c>
      <x:c r="H234" t="n">
        <x:v>612639710</x:v>
      </x:c>
      <x:c r="I234" t="str">
        <x:v>MODELED</x:v>
      </x:c>
      <x:c r="J234" s="17" t="b">
        <x:v>0</x:v>
      </x:c>
    </x:row>
    <x:row r="235">
      <x:c r="A235" t="str">
        <x:v>zone.lingnan_red_river.horse</x:v>
      </x:c>
      <x:c r="B235" t="str">
        <x:v>LINGNAN_RED_RIVER</x:v>
      </x:c>
      <x:c r="C235" t="str">
        <x:v>admin.han140.jiaozhou</x:v>
      </x:c>
      <x:c r="D235" t="str">
        <x:v>HORSE</x:v>
      </x:c>
      <x:c r="E235" t="n">
        <x:v>56</x:v>
      </x:c>
      <x:c r="F235" t="n">
        <x:v>72</x:v>
      </x:c>
      <x:c r="G235" t="n">
        <x:v>14241</x:v>
      </x:c>
      <x:c r="H235" t="n">
        <x:v>-14168</x:v>
      </x:c>
      <x:c r="I235" t="str">
        <x:v>MODELED</x:v>
      </x:c>
      <x:c r="J235" s="17" t="b">
        <x:v>0</x:v>
      </x:c>
    </x:row>
    <x:row r="236">
      <x:c r="A236" t="str">
        <x:v>zone.lingnan_red_river.livestock</x:v>
      </x:c>
      <x:c r="B236" t="str">
        <x:v>LINGNAN_RED_RIVER</x:v>
      </x:c>
      <x:c r="C236" t="str">
        <x:v>admin.han140.jiaozhou</x:v>
      </x:c>
      <x:c r="D236" t="str">
        <x:v>LIVESTOCK</x:v>
      </x:c>
      <x:c r="E236" t="n">
        <x:v>56</x:v>
      </x:c>
      <x:c r="F236" t="n">
        <x:v>47008</x:v>
      </x:c>
      <x:c r="G236" t="n">
        <x:v>138917</x:v>
      </x:c>
      <x:c r="H236" t="n">
        <x:v>-92473</x:v>
      </x:c>
      <x:c r="I236" t="str">
        <x:v>MODELED</x:v>
      </x:c>
      <x:c r="J236" s="17" t="b">
        <x:v>0</x:v>
      </x:c>
    </x:row>
    <x:row r="237">
      <x:c r="A237" t="str">
        <x:v>zone.lingnan_red_river.leather</x:v>
      </x:c>
      <x:c r="B237" t="str">
        <x:v>LINGNAN_RED_RIVER</x:v>
      </x:c>
      <x:c r="C237" t="str">
        <x:v>admin.han140.jiaozhou</x:v>
      </x:c>
      <x:c r="D237" t="str">
        <x:v>LEATHER</x:v>
      </x:c>
      <x:c r="E237" t="n">
        <x:v>56</x:v>
      </x:c>
      <x:c r="F237" t="n">
        <x:v>98721</x:v>
      </x:c>
      <x:c r="G237" t="n">
        <x:v>3762119</x:v>
      </x:c>
      <x:c r="H237" t="n">
        <x:v>-3664586</x:v>
      </x:c>
      <x:c r="I237" t="str">
        <x:v>MODELED</x:v>
      </x:c>
      <x:c r="J237" s="17" t="b">
        <x:v>0</x:v>
      </x:c>
    </x:row>
    <x:row r="238">
      <x:c r="A238" t="str">
        <x:v>zone.lingnan_red_river.fiber</x:v>
      </x:c>
      <x:c r="B238" t="str">
        <x:v>LINGNAN_RED_RIVER</x:v>
      </x:c>
      <x:c r="C238" t="str">
        <x:v>admin.han140.jiaozhou</x:v>
      </x:c>
      <x:c r="D238" t="str">
        <x:v>FIBER</x:v>
      </x:c>
      <x:c r="E238" t="n">
        <x:v>56</x:v>
      </x:c>
      <x:c r="F238" t="n">
        <x:v>5002905</x:v>
      </x:c>
      <x:c r="G238" t="n">
        <x:v>6945447</x:v>
      </x:c>
      <x:c r="H238" t="n">
        <x:v>-2002574</x:v>
      </x:c>
      <x:c r="I238" t="str">
        <x:v>MODELED</x:v>
      </x:c>
      <x:c r="J238" s="17" t="b">
        <x:v>0</x:v>
      </x:c>
    </x:row>
    <x:row r="239">
      <x:c r="A239" t="str">
        <x:v>zone.lingnan_red_river.raw_silk</x:v>
      </x:c>
      <x:c r="B239" t="str">
        <x:v>LINGNAN_RED_RIVER</x:v>
      </x:c>
      <x:c r="C239" t="str">
        <x:v>admin.han140.jiaozhou</x:v>
      </x:c>
      <x:c r="D239" t="str">
        <x:v>RAW_SILK</x:v>
      </x:c>
      <x:c r="E239" t="n">
        <x:v>56</x:v>
      </x:c>
      <x:c r="F239" t="n">
        <x:v>67425</x:v>
      </x:c>
      <x:c r="G239" t="n">
        <x:v>96168</x:v>
      </x:c>
      <x:c r="H239" t="n">
        <x:v>-29556</x:v>
      </x:c>
      <x:c r="I239" t="str">
        <x:v>MODELED</x:v>
      </x:c>
      <x:c r="J239" s="17" t="b">
        <x:v>0</x:v>
      </x:c>
    </x:row>
    <x:row r="240">
      <x:c r="A240" t="str">
        <x:v>zone.lingnan_red_river.textile</x:v>
      </x:c>
      <x:c r="B240" t="str">
        <x:v>LINGNAN_RED_RIVER</x:v>
      </x:c>
      <x:c r="C240" t="str">
        <x:v>admin.han140.jiaozhou</x:v>
      </x:c>
      <x:c r="D240" t="str">
        <x:v>TEXTILE</x:v>
      </x:c>
      <x:c r="E240" t="n">
        <x:v>56</x:v>
      </x:c>
      <x:c r="F240" t="n">
        <x:v>77401</x:v>
      </x:c>
      <x:c r="G240" t="n">
        <x:v>1709044</x:v>
      </x:c>
      <x:c r="H240" t="n">
        <x:v>-1632565</x:v>
      </x:c>
      <x:c r="I240" t="str">
        <x:v>MODELED</x:v>
      </x:c>
      <x:c r="J240" s="17" t="b">
        <x:v>0</x:v>
      </x:c>
    </x:row>
    <x:row r="241">
      <x:c r="A241" t="str">
        <x:v>zone.lingnan_red_river.iron_ore</x:v>
      </x:c>
      <x:c r="B241" t="str">
        <x:v>LINGNAN_RED_RIVER</x:v>
      </x:c>
      <x:c r="C241" t="str">
        <x:v>admin.han140.jiaozhou</x:v>
      </x:c>
      <x:c r="D241" t="str">
        <x:v>IRON_ORE</x:v>
      </x:c>
      <x:c r="E241" t="n">
        <x:v>56</x:v>
      </x:c>
      <x:c r="F241" t="n">
        <x:v>0</x:v>
      </x:c>
      <x:c r="G241" t="n">
        <x:v>10890</x:v>
      </x:c>
      <x:c r="H241" t="n">
        <x:v>-10891</x:v>
      </x:c>
      <x:c r="I241" t="str">
        <x:v>MODELED</x:v>
      </x:c>
      <x:c r="J241" s="17" t="b">
        <x:v>0</x:v>
      </x:c>
    </x:row>
    <x:row r="242">
      <x:c r="A242" t="str">
        <x:v>zone.lingnan_red_river.metal</x:v>
      </x:c>
      <x:c r="B242" t="str">
        <x:v>LINGNAN_RED_RIVER</x:v>
      </x:c>
      <x:c r="C242" t="str">
        <x:v>admin.han140.jiaozhou</x:v>
      </x:c>
      <x:c r="D242" t="str">
        <x:v>METAL</x:v>
      </x:c>
      <x:c r="E242" t="n">
        <x:v>56</x:v>
      </x:c>
      <x:c r="F242" t="n">
        <x:v>10219</x:v>
      </x:c>
      <x:c r="G242" t="n">
        <x:v>15951410</x:v>
      </x:c>
      <x:c r="H242" t="n">
        <x:v>-15941317</x:v>
      </x:c>
      <x:c r="I242" t="str">
        <x:v>MODELED</x:v>
      </x:c>
      <x:c r="J242" s="17" t="b">
        <x:v>0</x:v>
      </x:c>
    </x:row>
    <x:row r="243">
      <x:c r="A243" t="str">
        <x:v>zone.lingnan_red_river.tools</x:v>
      </x:c>
      <x:c r="B243" t="str">
        <x:v>LINGNAN_RED_RIVER</x:v>
      </x:c>
      <x:c r="C243" t="str">
        <x:v>admin.han140.jiaozhou</x:v>
      </x:c>
      <x:c r="D243" t="str">
        <x:v>TOOLS</x:v>
      </x:c>
      <x:c r="E243" t="n">
        <x:v>56</x:v>
      </x:c>
      <x:c r="F243" t="n">
        <x:v>12075</x:v>
      </x:c>
      <x:c r="G243" t="n">
        <x:v>384694</x:v>
      </x:c>
      <x:c r="H243" t="n">
        <x:v>-372760</x:v>
      </x:c>
      <x:c r="I243" t="str">
        <x:v>MODELED</x:v>
      </x:c>
      <x:c r="J243" s="17" t="b">
        <x:v>0</x:v>
      </x:c>
    </x:row>
    <x:row r="244">
      <x:c r="A244" t="str">
        <x:v>zone.lingnan_red_river.weapons</x:v>
      </x:c>
      <x:c r="B244" t="str">
        <x:v>LINGNAN_RED_RIVER</x:v>
      </x:c>
      <x:c r="C244" t="str">
        <x:v>admin.han140.jiaozhou</x:v>
      </x:c>
      <x:c r="D244" t="str">
        <x:v>WEAPONS</x:v>
      </x:c>
      <x:c r="E244" t="n">
        <x:v>56</x:v>
      </x:c>
      <x:c r="F244" t="n">
        <x:v>2291</x:v>
      </x:c>
      <x:c r="G244" t="n">
        <x:v>1674</x:v>
      </x:c>
      <x:c r="H244" t="n">
        <x:v>587</x:v>
      </x:c>
      <x:c r="I244" t="str">
        <x:v>MODELED</x:v>
      </x:c>
      <x:c r="J244" s="17" t="b">
        <x:v>0</x:v>
      </x:c>
    </x:row>
    <x:row r="245">
      <x:c r="A245" t="str">
        <x:v>zone.lingnan_red_river.building_material</x:v>
      </x:c>
      <x:c r="B245" t="str">
        <x:v>LINGNAN_RED_RIVER</x:v>
      </x:c>
      <x:c r="C245" t="str">
        <x:v>admin.han140.jiaozhou</x:v>
      </x:c>
      <x:c r="D245" t="str">
        <x:v>BUILDING_MATERIAL</x:v>
      </x:c>
      <x:c r="E245" t="n">
        <x:v>56</x:v>
      </x:c>
      <x:c r="F245" t="n">
        <x:v>70076542</x:v>
      </x:c>
      <x:c r="G245" t="n">
        <x:v>203031829</x:v>
      </x:c>
      <x:c r="H245" t="n">
        <x:v>-133796182</x:v>
      </x:c>
      <x:c r="I245" t="str">
        <x:v>MODELED</x:v>
      </x:c>
      <x:c r="J245" s="17" t="b">
        <x:v>0</x:v>
      </x:c>
    </x:row>
    <x:row r="246">
      <x:c r="A246" t="str">
        <x:v>zone.lingnan_red_river.pottery</x:v>
      </x:c>
      <x:c r="B246" t="str">
        <x:v>LINGNAN_RED_RIVER</x:v>
      </x:c>
      <x:c r="C246" t="str">
        <x:v>admin.han140.jiaozhou</x:v>
      </x:c>
      <x:c r="D246" t="str">
        <x:v>POTTERY</x:v>
      </x:c>
      <x:c r="E246" t="n">
        <x:v>56</x:v>
      </x:c>
      <x:c r="F246" t="n">
        <x:v>33084</x:v>
      </x:c>
      <x:c r="G246" t="n">
        <x:v>897607</x:v>
      </x:c>
      <x:c r="H246" t="n">
        <x:v>-864926</x:v>
      </x:c>
      <x:c r="I246" t="str">
        <x:v>MODELED</x:v>
      </x:c>
      <x:c r="J246" s="17" t="b">
        <x:v>0</x:v>
      </x:c>
    </x:row>
    <x:row r="247">
      <x:c r="A247" t="str">
        <x:v>zone.lingnan_red_river.medicine</x:v>
      </x:c>
      <x:c r="B247" t="str">
        <x:v>LINGNAN_RED_RIVER</x:v>
      </x:c>
      <x:c r="C247" t="str">
        <x:v>admin.han140.jiaozhou</x:v>
      </x:c>
      <x:c r="D247" t="str">
        <x:v>MEDICINE</x:v>
      </x:c>
      <x:c r="E247" t="n">
        <x:v>56</x:v>
      </x:c>
      <x:c r="F247" t="n">
        <x:v>10226</x:v>
      </x:c>
      <x:c r="G247" t="n">
        <x:v>683905</x:v>
      </x:c>
      <x:c r="H247" t="n">
        <x:v>-673794</x:v>
      </x:c>
      <x:c r="I247" t="str">
        <x:v>MODELED</x:v>
      </x:c>
      <x:c r="J247" s="17" t="b">
        <x:v>0</x:v>
      </x:c>
    </x:row>
    <x:row r="248">
      <x:c r="A248" t="str">
        <x:v>zone.lingnan_red_river.transport_equipment</x:v>
      </x:c>
      <x:c r="B248" t="str">
        <x:v>LINGNAN_RED_RIVER</x:v>
      </x:c>
      <x:c r="C248" t="str">
        <x:v>admin.han140.jiaozhou</x:v>
      </x:c>
      <x:c r="D248" t="str">
        <x:v>TRANSPORT_EQUIPMENT</x:v>
      </x:c>
      <x:c r="E248" t="n">
        <x:v>56</x:v>
      </x:c>
      <x:c r="F248" t="n">
        <x:v>1038</x:v>
      </x:c>
      <x:c r="G248" t="n">
        <x:v>5338</x:v>
      </x:c>
      <x:c r="H248" t="n">
        <x:v>-4317</x:v>
      </x:c>
      <x:c r="I248" t="str">
        <x:v>MODELED</x:v>
      </x:c>
      <x:c r="J248" s="17" t="b">
        <x:v>0</x:v>
      </x:c>
    </x:row>
  </x:sheetData>
  <x:pageMargins left="0.7" right="0.7" top="0.75" bottom="0.75" header="0.3" footer="0.3"/>
  <x:tableParts count="1">
    <x:tablePart xmlns:r="http://schemas.openxmlformats.org/officeDocument/2006/relationships" r:id="Rc05a94e422c44c63"/>
  </x:tableParts>
</x:worksheet>
</file>

<file path=xl/worksheets/sheet3.xml><?xml version="1.0" encoding="utf-8"?>
<x:worksheet xmlns:x="http://schemas.openxmlformats.org/spreadsheetml/2006/main">
  <x:sheetViews>
    <x:sheetView showGridLines="0" workbookViewId="0"/>
  </x:sheetViews>
  <x:sheetFormatPr defaultRowHeight="15"/>
  <x:cols>
    <x:col min="1" max="1" width="30" hidden="0" customWidth="1"/>
    <x:col min="2" max="2" width="18" hidden="0" customWidth="1"/>
    <x:col min="3" max="3" width="18" hidden="0" customWidth="1"/>
    <x:col min="4" max="4" width="18" hidden="0" customWidth="1"/>
  </x:cols>
  <x:sheetData>
    <x:row r="1">
      <x:c r="A1" s="22" t="str">
        <x:v>Check</x:v>
      </x:c>
      <x:c r="B1" s="22" t="str">
        <x:v>Expected</x:v>
      </x:c>
      <x:c r="C1" s="22" t="str">
        <x:v>Actual</x:v>
      </x:c>
      <x:c r="D1" s="22" t="str">
        <x:v>Status</x:v>
      </x:c>
    </x:row>
    <x:row r="2">
      <x:c r="A2" s="9" t="str">
        <x:v>Data row count</x:v>
      </x:c>
      <x:c r="B2" s="10" t="n">
        <x:v>247</x:v>
      </x:c>
      <x:c r="C2" s="10" t="n">
        <x:f>COUNTA(Data!A:A)-1</x:f>
        <x:v>247</x:v>
      </x:c>
      <x:c r="D2" s="10" t="str">
        <x:f>IF(B2=C2,"PASS","FAIL")</x:f>
        <x:v>PASS</x:v>
      </x:c>
    </x:row>
    <x:row r="3">
      <x:c r="A3" s="9" t="str">
        <x:v>Header exists</x:v>
      </x:c>
      <x:c r="B3" s="10" t="n">
        <x:v>1</x:v>
      </x:c>
      <x:c r="C3" s="10" t="n">
        <x:f>COUNTA(Data!1:1)</x:f>
        <x:v>10</x:v>
      </x:c>
      <x:c r="D3" s="10" t="str">
        <x:f>IF(C3&gt;=B3,"PASS","FAIL")</x:f>
        <x:v>PASS</x:v>
      </x:c>
    </x:row>
    <x:row r="4">
      <x:c r="A4" s="9" t="str">
        <x:v>Reference-only guard</x:v>
      </x:c>
      <x:c r="B4" s="10" t="n">
        <x:v>0</x:v>
      </x:c>
      <x:c r="C4" s="10" t="n">
        <x:v>0</x:v>
      </x:c>
      <x:c r="D4" s="10" t="str">
        <x:f>IF(B4=C4,"PASS","FAIL")</x:f>
        <x:v>PASS</x:v>
      </x:c>
    </x:row>
  </x:sheetData>
  <x:pageMargins left="0.7" right="0.7" top="0.75" bottom="0.75" header="0.3" footer="0.3"/>
</x:worksheet>
</file>