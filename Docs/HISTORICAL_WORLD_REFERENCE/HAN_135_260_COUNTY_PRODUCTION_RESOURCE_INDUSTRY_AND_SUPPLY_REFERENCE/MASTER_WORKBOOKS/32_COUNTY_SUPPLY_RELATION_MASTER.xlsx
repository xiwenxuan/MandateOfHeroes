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cbe421fab0496e" /></Relationships>
</file>

<file path=xl/workbook.xml><?xml version="1.0" encoding="utf-8"?>
<x:workbook xmlns:x="http://schemas.openxmlformats.org/spreadsheetml/2006/main">
  <x:sheets>
    <x:sheet xmlns:r="http://schemas.openxmlformats.org/officeDocument/2006/relationships" name="README" sheetId="1" r:id="Rf7257e51a1484238"/>
    <x:sheet xmlns:r="http://schemas.openxmlformats.org/officeDocument/2006/relationships" name="Data" sheetId="2" r:id="R0ea407fa37e44c1d"/>
    <x:sheet xmlns:r="http://schemas.openxmlformats.org/officeDocument/2006/relationships" name="Validation" sheetId="3" r:id="R179def9da1b6469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93c4fffad44ed5" /><Relationship Type="http://schemas.openxmlformats.org/officeDocument/2006/relationships/theme" Target="/xl/theme/theme1.xml" Id="R56a858c444e64996" /><Relationship Type="http://schemas.openxmlformats.org/officeDocument/2006/relationships/sharedStrings" Target="/xl/sharedStrings.xml" Id="R1f6e784b02fd4e8a" /><Relationship Type="http://schemas.openxmlformats.org/officeDocument/2006/relationships/worksheet" Target="/xl/worksheets/sheet1.xml" Id="Rf7257e51a1484238" /><Relationship Type="http://schemas.openxmlformats.org/officeDocument/2006/relationships/worksheet" Target="/xl/worksheets/sheet2.xml" Id="R0ea407fa37e44c1d" /><Relationship Type="http://schemas.openxmlformats.org/officeDocument/2006/relationships/worksheet" Target="/xl/worksheets/sheet3.xml" Id="R179def9da1b6469d" /></Relationships>
</file>

<file path=xl/tables/table1.xml><?xml version="1.0" encoding="utf-8"?>
<x:table xmlns:x="http://schemas.openxmlformats.org/spreadsheetml/2006/main" id="1" name="T32" displayName="T32" ref="A1:R128" headerRowCount="1" totalsRowCount="0" totalsRowShown="0">
  <x:tableColumns count="18">
    <x:tableColumn id="1" name="relation_id"/>
    <x:tableColumn id="2" name="origin_county_id"/>
    <x:tableColumn id="3" name="destination_county_id"/>
    <x:tableColumn id="4" name="product_category"/>
    <x:tableColumn id="5" name="route_ids"/>
    <x:tableColumn id="6" name="transport_mode"/>
    <x:tableColumn id="7" name="distance_km"/>
    <x:tableColumn id="8" name="travel_time_days"/>
    <x:tableColumn id="9" name="normal_capacity"/>
    <x:tableColumn id="10" name="peak_capacity"/>
    <x:tableColumn id="11" name="shipped_quantity"/>
    <x:tableColumn id="12" name="delivered_quantity"/>
    <x:tableColumn id="13" name="loss_reference_basis_points"/>
    <x:tableColumn id="14" name="risk_basis_points"/>
    <x:tableColumn id="15" name="political_dependency"/>
    <x:tableColumn id="16" name="logistics_type"/>
    <x:tableColumn id="17" name="evidence_grade"/>
    <x:tableColumn id="18" name="historical_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350c6e960341d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supply relation master</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32_COUNTY_SUPPLY_RELATION_MASTER.xlsx</x:v>
      </x:c>
    </x:row>
    <x:row r="7">
      <x:c r="A7" s="9" t="str">
        <x:v>Role</x:v>
      </x:c>
      <x:c r="B7" s="12" t="str">
        <x:v>Development reference; not runtime authority</x:v>
      </x:c>
    </x:row>
    <x:row r="8">
      <x:c r="A8" s="9" t="str">
        <x:v>Expected rows</x:v>
      </x:c>
      <x:c r="B8" s="12" t="n">
        <x:v>127</x:v>
      </x:c>
    </x:row>
    <x:row r="9">
      <x:c r="A9" s="9" t="str">
        <x:v>Data rows (formula)</x:v>
      </x:c>
      <x:c r="B9" s="12" t="n">
        <x:f>COUNTA(Data!A:A)-1</x:f>
        <x:v>127</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17" hidden="0" customWidth="1"/>
    <x:col min="5" max="5" width="34"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34" hidden="0" customWidth="1"/>
    <x:col min="14" max="14" width="17" hidden="0" customWidth="1"/>
    <x:col min="15" max="15" width="17" hidden="0" customWidth="1"/>
    <x:col min="16" max="16" width="17" hidden="0" customWidth="1"/>
    <x:col min="17" max="17" width="34" hidden="0" customWidth="1"/>
    <x:col min="18" max="18" width="34" hidden="0" customWidth="1"/>
  </x:cols>
  <x:sheetData>
    <x:row r="1" ht="34" customHeight="1">
      <x:c r="A1" s="20" t="str">
        <x:v>relation_id</x:v>
      </x:c>
      <x:c r="B1" s="20" t="str">
        <x:v>origin_county_id</x:v>
      </x:c>
      <x:c r="C1" s="20" t="str">
        <x:v>destination_county_id</x:v>
      </x:c>
      <x:c r="D1" s="20" t="str">
        <x:v>product_category</x:v>
      </x:c>
      <x:c r="E1" s="20" t="str">
        <x:v>route_ids</x:v>
      </x:c>
      <x:c r="F1" s="20" t="str">
        <x:v>transport_mode</x:v>
      </x:c>
      <x:c r="G1" s="20" t="str">
        <x:v>distance_km</x:v>
      </x:c>
      <x:c r="H1" s="20" t="str">
        <x:v>travel_time_days</x:v>
      </x:c>
      <x:c r="I1" s="20" t="str">
        <x:v>normal_capacity</x:v>
      </x:c>
      <x:c r="J1" s="20" t="str">
        <x:v>peak_capacity</x:v>
      </x:c>
      <x:c r="K1" s="20" t="str">
        <x:v>shipped_quantity</x:v>
      </x:c>
      <x:c r="L1" s="20" t="str">
        <x:v>delivered_quantity</x:v>
      </x:c>
      <x:c r="M1" s="20" t="str">
        <x:v>loss_reference_basis_points</x:v>
      </x:c>
      <x:c r="N1" s="20" t="str">
        <x:v>risk_basis_points</x:v>
      </x:c>
      <x:c r="O1" s="20" t="str">
        <x:v>political_dependency</x:v>
      </x:c>
      <x:c r="P1" s="20" t="str">
        <x:v>logistics_type</x:v>
      </x:c>
      <x:c r="Q1" s="20" t="str">
        <x:v>evidence_grade</x:v>
      </x:c>
      <x:c r="R1" s="20" t="str">
        <x:v>historical_evidence</x:v>
      </x:c>
    </x:row>
    <x:row r="2">
      <x:c r="A2" t="str">
        <x:v>supply.grain.6e83892a8e58bab0</x:v>
      </x:c>
      <x:c r="B2" t="str">
        <x:v>admin.han140.yizhou.yongchang.bonan</x:v>
      </x:c>
      <x:c r="C2" t="str">
        <x:v>admin.han140.yizhou.yongchang.buwei</x:v>
      </x:c>
      <x:c r="D2" t="str">
        <x:v>GRAIN</x:v>
      </x:c>
      <x:c r="E2" t="str">
        <x:v>route.county.6e83892a8e58bab0</x:v>
      </x:c>
      <x:c r="F2" t="str">
        <x:v>ROAD_PACK_CART_REFERENCE</x:v>
      </x:c>
      <x:c r="G2" t="n">
        <x:v>21.1</x:v>
      </x:c>
      <x:c r="H2" t="n">
        <x:v>1</x:v>
      </x:c>
      <x:c r="I2" t="n">
        <x:v>2812754</x:v>
      </x:c>
      <x:c r="J2" t="n">
        <x:v>3515943</x:v>
      </x:c>
      <x:c r="K2" t="n">
        <x:v>2812754</x:v>
      </x:c>
      <x:c r="L2" t="n">
        <x:v>2786595</x:v>
      </x:c>
      <x:c r="M2" t="n">
        <x:v>93</x:v>
      </x:c>
      <x:c r="N2" t="n">
        <x:v>963</x:v>
      </x:c>
      <x:c r="O2" t="str">
        <x:v>INTRA_PROVINCE</x:v>
      </x:c>
      <x:c r="P2" t="str">
        <x:v>COMMERCIAL</x:v>
      </x:c>
      <x:c r="Q2" t="str">
        <x:v>MODELED</x:v>
      </x:c>
      <x:c r="R2" t="str">
        <x:v>NO_DIRECT_ROUTE_CLAIM</x:v>
      </x:c>
    </x:row>
    <x:row r="3">
      <x:c r="A3" t="str">
        <x:v>supply.grain.4ef14ebdf6228a93</x:v>
      </x:c>
      <x:c r="B3" t="str">
        <x:v>admin.han140.yizhou.yongchang.yeyu</x:v>
      </x:c>
      <x:c r="C3" t="str">
        <x:v>admin.han140.yizhou.yongchang.buwei</x:v>
      </x:c>
      <x:c r="D3" t="str">
        <x:v>GRAIN</x:v>
      </x:c>
      <x:c r="E3" t="str">
        <x:v>route.county.c39d38e29fac2200</x:v>
      </x:c>
      <x:c r="F3" t="str">
        <x:v>ROAD_PACK_CART_REFERENCE</x:v>
      </x:c>
      <x:c r="G3" t="n">
        <x:v>21.1</x:v>
      </x:c>
      <x:c r="H3" t="n">
        <x:v>1</x:v>
      </x:c>
      <x:c r="I3" t="n">
        <x:v>345806</x:v>
      </x:c>
      <x:c r="J3" t="n">
        <x:v>432258</x:v>
      </x:c>
      <x:c r="K3" t="n">
        <x:v>345806</x:v>
      </x:c>
      <x:c r="L3" t="n">
        <x:v>342590</x:v>
      </x:c>
      <x:c r="M3" t="n">
        <x:v>93</x:v>
      </x:c>
      <x:c r="N3" t="n">
        <x:v>963</x:v>
      </x:c>
      <x:c r="O3" t="str">
        <x:v>INTRA_PROVINCE</x:v>
      </x:c>
      <x:c r="P3" t="str">
        <x:v>COMMERCIAL</x:v>
      </x:c>
      <x:c r="Q3" t="str">
        <x:v>MODELED</x:v>
      </x:c>
      <x:c r="R3" t="str">
        <x:v>NO_DIRECT_ROUTE_CLAIM</x:v>
      </x:c>
    </x:row>
    <x:row r="4">
      <x:c r="A4" t="str">
        <x:v>supply.other_food.d96336c53eb228f9</x:v>
      </x:c>
      <x:c r="B4" t="str">
        <x:v>admin.han140.sili.henan.juan</x:v>
      </x:c>
      <x:c r="C4" t="str">
        <x:v>admin.han140.sili.henan.luoyang</x:v>
      </x:c>
      <x:c r="D4" t="str">
        <x:v>OTHER_FOOD</x:v>
      </x:c>
      <x:c r="E4" t="str">
        <x:v>route.county.d96336c53eb228f9</x:v>
      </x:c>
      <x:c r="F4" t="str">
        <x:v>ROAD_PACK_CART_REFERENCE</x:v>
      </x:c>
      <x:c r="G4" t="n">
        <x:v>21.1</x:v>
      </x:c>
      <x:c r="H4" t="n">
        <x:v>1</x:v>
      </x:c>
      <x:c r="I4" t="n">
        <x:v>14900</x:v>
      </x:c>
      <x:c r="J4" t="n">
        <x:v>18625</x:v>
      </x:c>
      <x:c r="K4" t="n">
        <x:v>14900</x:v>
      </x:c>
      <x:c r="L4" t="n">
        <x:v>14761</x:v>
      </x:c>
      <x:c r="M4" t="n">
        <x:v>93</x:v>
      </x:c>
      <x:c r="N4" t="n">
        <x:v>963</x:v>
      </x:c>
      <x:c r="O4" t="str">
        <x:v>INTRA_PROVINCE</x:v>
      </x:c>
      <x:c r="P4" t="str">
        <x:v>COMMERCIAL</x:v>
      </x:c>
      <x:c r="Q4" t="str">
        <x:v>MODELED</x:v>
      </x:c>
      <x:c r="R4" t="str">
        <x:v>NO_DIRECT_ROUTE_CLAIM</x:v>
      </x:c>
    </x:row>
    <x:row r="5">
      <x:c r="A5" t="str">
        <x:v>supply.salt.46031baea66ce46c</x:v>
      </x:c>
      <x:c r="B5" t="str">
        <x:v>admin.han140.yizhou.hanzhong.shangyong</x:v>
      </x:c>
      <x:c r="C5" t="str">
        <x:v>admin.han140.jingzhou.nanyang.wan</x:v>
      </x:c>
      <x:c r="D5" t="str">
        <x:v>SALT</x:v>
      </x:c>
      <x:c r="E5" t="str">
        <x:v>route.county.338f324cd4dae8a5|route.county.ac3e6e642f3128de|route.county.c3ef3547541edbb4|route.county.f679ae406596db10|route.county.b1222d8fb35ee1cd</x:v>
      </x:c>
      <x:c r="F5" t="str">
        <x:v>MULTI_LEG_MIXED_REFERENCE</x:v>
      </x:c>
      <x:c r="G5" t="n">
        <x:v>293.1</x:v>
      </x:c>
      <x:c r="H5" t="n">
        <x:v>11</x:v>
      </x:c>
      <x:c r="I5" t="n">
        <x:v>33969</x:v>
      </x:c>
      <x:c r="J5" t="n">
        <x:v>42461</x:v>
      </x:c>
      <x:c r="K5" t="n">
        <x:v>33969</x:v>
      </x:c>
      <x:c r="L5" t="n">
        <x:v>32637</x:v>
      </x:c>
      <x:c r="M5" t="n">
        <x:v>392</x:v>
      </x:c>
      <x:c r="N5" t="n">
        <x:v>1779</x:v>
      </x:c>
      <x:c r="O5" t="str">
        <x:v>CROSS_PROVINCE_CONTROL_REQUIRED</x:v>
      </x:c>
      <x:c r="P5" t="str">
        <x:v>COMMERCIAL</x:v>
      </x:c>
      <x:c r="Q5" t="str">
        <x:v>MODELED</x:v>
      </x:c>
      <x:c r="R5" t="str">
        <x:v>NO_DIRECT_ROUTE_CLAIM</x:v>
      </x:c>
    </x:row>
    <x:row r="6">
      <x:c r="A6" t="str">
        <x:v>supply.salt.a306e6097e3fe85e</x:v>
      </x:c>
      <x:c r="B6" t="str">
        <x:v>admin.han140.yizhou.hanzhong.xicheng</x:v>
      </x:c>
      <x:c r="C6" t="str">
        <x:v>admin.han140.jingzhou.nanyang.wan</x:v>
      </x:c>
      <x:c r="D6" t="str">
        <x:v>SALT</x:v>
      </x:c>
      <x:c r="E6" t="str">
        <x:v>route.county.d041990a57b3a223|route.county.338f324cd4dae8a5|route.county.ac3e6e642f3128de|route.county.c3ef3547541edbb4|route.county.f679ae406596db10|route.county.b1222d8fb35ee1cd</x:v>
      </x:c>
      <x:c r="F6" t="str">
        <x:v>MULTI_LEG_MIXED_REFERENCE</x:v>
      </x:c>
      <x:c r="G6" t="n">
        <x:v>416.8</x:v>
      </x:c>
      <x:c r="H6" t="n">
        <x:v>15</x:v>
      </x:c>
      <x:c r="I6" t="n">
        <x:v>114037</x:v>
      </x:c>
      <x:c r="J6" t="n">
        <x:v>142546</x:v>
      </x:c>
      <x:c r="K6" t="n">
        <x:v>114037</x:v>
      </x:c>
      <x:c r="L6" t="n">
        <x:v>108016</x:v>
      </x:c>
      <x:c r="M6" t="n">
        <x:v>528</x:v>
      </x:c>
      <x:c r="N6" t="n">
        <x:v>2150</x:v>
      </x:c>
      <x:c r="O6" t="str">
        <x:v>CROSS_PROVINCE_CONTROL_REQUIRED</x:v>
      </x:c>
      <x:c r="P6" t="str">
        <x:v>COMMERCIAL</x:v>
      </x:c>
      <x:c r="Q6" t="str">
        <x:v>MODELED</x:v>
      </x:c>
      <x:c r="R6" t="str">
        <x:v>NO_DIRECT_ROUTE_CLAIM</x:v>
      </x:c>
    </x:row>
    <x:row r="7">
      <x:c r="A7" t="str">
        <x:v>supply.salt.cd385cb5f01d3fc8</x:v>
      </x:c>
      <x:c r="B7" t="str">
        <x:v>admin.han140.yizhou.ba.yufu</x:v>
      </x:c>
      <x:c r="C7" t="str">
        <x:v>admin.han140.jingzhou.nanyang.wan</x:v>
      </x:c>
      <x:c r="D7" t="str">
        <x:v>SALT</x:v>
      </x:c>
      <x:c r="E7" t="str">
        <x:v>route.county.391875ef3c238340|route.county.338f324cd4dae8a5|route.county.ac3e6e642f3128de|route.county.c3ef3547541edbb4|route.county.f679ae406596db10|route.county.b1222d8fb35ee1cd</x:v>
      </x:c>
      <x:c r="F7" t="str">
        <x:v>MULTI_LEG_MIXED_REFERENCE</x:v>
      </x:c>
      <x:c r="G7" t="n">
        <x:v>446.1</x:v>
      </x:c>
      <x:c r="H7" t="n">
        <x:v>16</x:v>
      </x:c>
      <x:c r="I7" t="n">
        <x:v>251874</x:v>
      </x:c>
      <x:c r="J7" t="n">
        <x:v>314843</x:v>
      </x:c>
      <x:c r="K7" t="n">
        <x:v>251874</x:v>
      </x:c>
      <x:c r="L7" t="n">
        <x:v>237744</x:v>
      </x:c>
      <x:c r="M7" t="n">
        <x:v>561</x:v>
      </x:c>
      <x:c r="N7" t="n">
        <x:v>2238</x:v>
      </x:c>
      <x:c r="O7" t="str">
        <x:v>CROSS_PROVINCE_CONTROL_REQUIRED</x:v>
      </x:c>
      <x:c r="P7" t="str">
        <x:v>COMMERCIAL</x:v>
      </x:c>
      <x:c r="Q7" t="str">
        <x:v>MODELED</x:v>
      </x:c>
      <x:c r="R7" t="str">
        <x:v>NO_DIRECT_ROUTE_CLAIM</x:v>
      </x:c>
    </x:row>
    <x:row r="8">
      <x:c r="A8" t="str">
        <x:v>supply.salt.3b5af7aa3d4be5d3</x:v>
      </x:c>
      <x:c r="B8" t="str">
        <x:v>admin.han140.yizhou.hanzhong.baozhong</x:v>
      </x:c>
      <x:c r="C8" t="str">
        <x:v>admin.han140.jingzhou.nanyang.wan</x:v>
      </x:c>
      <x:c r="D8" t="str">
        <x:v>SALT</x:v>
      </x:c>
      <x:c r="E8" t="str">
        <x:v>route.county.c5b01153f236b525|route.county.d041990a57b3a223|route.county.338f324cd4dae8a5|route.county.ac3e6e642f3128de|route.county.c3ef3547541edbb4|route.county.f679ae406596db10|route.county.b1222d8fb35ee1cd</x:v>
      </x:c>
      <x:c r="F8" t="str">
        <x:v>MULTI_LEG_MIXED_REFERENCE</x:v>
      </x:c>
      <x:c r="G8" t="n">
        <x:v>608.8</x:v>
      </x:c>
      <x:c r="H8" t="n">
        <x:v>22</x:v>
      </x:c>
      <x:c r="I8" t="n">
        <x:v>149048</x:v>
      </x:c>
      <x:c r="J8" t="n">
        <x:v>186310</x:v>
      </x:c>
      <x:c r="K8" t="n">
        <x:v>149048</x:v>
      </x:c>
      <x:c r="L8" t="n">
        <x:v>138018</x:v>
      </x:c>
      <x:c r="M8" t="n">
        <x:v>740</x:v>
      </x:c>
      <x:c r="N8" t="n">
        <x:v>2726</x:v>
      </x:c>
      <x:c r="O8" t="str">
        <x:v>CROSS_PROVINCE_CONTROL_REQUIRED</x:v>
      </x:c>
      <x:c r="P8" t="str">
        <x:v>COMMERCIAL</x:v>
      </x:c>
      <x:c r="Q8" t="str">
        <x:v>MODELED</x:v>
      </x:c>
      <x:c r="R8" t="str">
        <x:v>NO_DIRECT_ROUTE_CLAIM</x:v>
      </x:c>
    </x:row>
    <x:row r="9">
      <x:c r="A9" t="str">
        <x:v>supply.timber.597e7aba4d3d2e17</x:v>
      </x:c>
      <x:c r="B9" t="str">
        <x:v>admin.han140.yizhou.yongchang.xielong</x:v>
      </x:c>
      <x:c r="C9" t="str">
        <x:v>admin.han140.yizhou.yongchang.buwei</x:v>
      </x:c>
      <x:c r="D9" t="str">
        <x:v>TIMBER</x:v>
      </x:c>
      <x:c r="E9" t="str">
        <x:v>route.county.f6c8639d4ea6d983</x:v>
      </x:c>
      <x:c r="F9" t="str">
        <x:v>ROAD_PACK_CART_REFERENCE</x:v>
      </x:c>
      <x:c r="G9" t="n">
        <x:v>15</x:v>
      </x:c>
      <x:c r="H9" t="n">
        <x:v>1</x:v>
      </x:c>
      <x:c r="I9" t="n">
        <x:v>564895</x:v>
      </x:c>
      <x:c r="J9" t="n">
        <x:v>706119</x:v>
      </x:c>
      <x:c r="K9" t="n">
        <x:v>564895</x:v>
      </x:c>
      <x:c r="L9" t="n">
        <x:v>559980</x:v>
      </x:c>
      <x:c r="M9" t="n">
        <x:v>87</x:v>
      </x:c>
      <x:c r="N9" t="n">
        <x:v>945</x:v>
      </x:c>
      <x:c r="O9" t="str">
        <x:v>INTRA_PROVINCE</x:v>
      </x:c>
      <x:c r="P9" t="str">
        <x:v>COMMERCIAL</x:v>
      </x:c>
      <x:c r="Q9" t="str">
        <x:v>MODELED</x:v>
      </x:c>
      <x:c r="R9" t="str">
        <x:v>NO_DIRECT_ROUTE_CLAIM</x:v>
      </x:c>
    </x:row>
    <x:row r="10">
      <x:c r="A10" t="str">
        <x:v>supply.timber.6e83892a8e58bab0</x:v>
      </x:c>
      <x:c r="B10" t="str">
        <x:v>admin.han140.yizhou.yongchang.bonan</x:v>
      </x:c>
      <x:c r="C10" t="str">
        <x:v>admin.han140.yizhou.yongchang.buwei</x:v>
      </x:c>
      <x:c r="D10" t="str">
        <x:v>TIMBER</x:v>
      </x:c>
      <x:c r="E10" t="str">
        <x:v>route.county.6e83892a8e58bab0</x:v>
      </x:c>
      <x:c r="F10" t="str">
        <x:v>ROAD_PACK_CART_REFERENCE</x:v>
      </x:c>
      <x:c r="G10" t="n">
        <x:v>21.1</x:v>
      </x:c>
      <x:c r="H10" t="n">
        <x:v>1</x:v>
      </x:c>
      <x:c r="I10" t="n">
        <x:v>1110975</x:v>
      </x:c>
      <x:c r="J10" t="n">
        <x:v>1388719</x:v>
      </x:c>
      <x:c r="K10" t="n">
        <x:v>1110975</x:v>
      </x:c>
      <x:c r="L10" t="n">
        <x:v>1100643</x:v>
      </x:c>
      <x:c r="M10" t="n">
        <x:v>93</x:v>
      </x:c>
      <x:c r="N10" t="n">
        <x:v>963</x:v>
      </x:c>
      <x:c r="O10" t="str">
        <x:v>INTRA_PROVINCE</x:v>
      </x:c>
      <x:c r="P10" t="str">
        <x:v>COMMERCIAL</x:v>
      </x:c>
      <x:c r="Q10" t="str">
        <x:v>MODELED</x:v>
      </x:c>
      <x:c r="R10" t="str">
        <x:v>NO_DIRECT_ROUTE_CLAIM</x:v>
      </x:c>
    </x:row>
    <x:row r="11">
      <x:c r="A11" t="str">
        <x:v>supply.timber.4ef14ebdf6228a93</x:v>
      </x:c>
      <x:c r="B11" t="str">
        <x:v>admin.han140.yizhou.yongchang.yeyu</x:v>
      </x:c>
      <x:c r="C11" t="str">
        <x:v>admin.han140.yizhou.yongchang.buwei</x:v>
      </x:c>
      <x:c r="D11" t="str">
        <x:v>TIMBER</x:v>
      </x:c>
      <x:c r="E11" t="str">
        <x:v>route.county.c39d38e29fac2200</x:v>
      </x:c>
      <x:c r="F11" t="str">
        <x:v>ROAD_PACK_CART_REFERENCE</x:v>
      </x:c>
      <x:c r="G11" t="n">
        <x:v>21.1</x:v>
      </x:c>
      <x:c r="H11" t="n">
        <x:v>1</x:v>
      </x:c>
      <x:c r="I11" t="n">
        <x:v>2593453</x:v>
      </x:c>
      <x:c r="J11" t="n">
        <x:v>3241816</x:v>
      </x:c>
      <x:c r="K11" t="n">
        <x:v>2593453</x:v>
      </x:c>
      <x:c r="L11" t="n">
        <x:v>2569334</x:v>
      </x:c>
      <x:c r="M11" t="n">
        <x:v>93</x:v>
      </x:c>
      <x:c r="N11" t="n">
        <x:v>963</x:v>
      </x:c>
      <x:c r="O11" t="str">
        <x:v>INTRA_PROVINCE</x:v>
      </x:c>
      <x:c r="P11" t="str">
        <x:v>COMMERCIAL</x:v>
      </x:c>
      <x:c r="Q11" t="str">
        <x:v>MODELED</x:v>
      </x:c>
      <x:c r="R11" t="str">
        <x:v>NO_DIRECT_ROUTE_CLAIM</x:v>
      </x:c>
    </x:row>
    <x:row r="12">
      <x:c r="A12" t="str">
        <x:v>supply.fiber.c32c1f87bf7f8380</x:v>
      </x:c>
      <x:c r="B12" t="str">
        <x:v>admin.han140.yizhou.yongchang.suitang</x:v>
      </x:c>
      <x:c r="C12" t="str">
        <x:v>admin.han140.yizhou.yongchang.buwei</x:v>
      </x:c>
      <x:c r="D12" t="str">
        <x:v>FIBER</x:v>
      </x:c>
      <x:c r="E12" t="str">
        <x:v>route.county.1c5d0e0b630f05ec</x:v>
      </x:c>
      <x:c r="F12" t="str">
        <x:v>ROAD_PACK_CART_REFERENCE</x:v>
      </x:c>
      <x:c r="G12" t="n">
        <x:v>8.9</x:v>
      </x:c>
      <x:c r="H12" t="n">
        <x:v>1</x:v>
      </x:c>
      <x:c r="I12" t="n">
        <x:v>125459</x:v>
      </x:c>
      <x:c r="J12" t="n">
        <x:v>156824</x:v>
      </x:c>
      <x:c r="K12" t="n">
        <x:v>125459</x:v>
      </x:c>
      <x:c r="L12" t="n">
        <x:v>124455</x:v>
      </x:c>
      <x:c r="M12" t="n">
        <x:v>80</x:v>
      </x:c>
      <x:c r="N12" t="n">
        <x:v>927</x:v>
      </x:c>
      <x:c r="O12" t="str">
        <x:v>INTRA_PROVINCE</x:v>
      </x:c>
      <x:c r="P12" t="str">
        <x:v>COMMERCIAL</x:v>
      </x:c>
      <x:c r="Q12" t="str">
        <x:v>MODELED</x:v>
      </x:c>
      <x:c r="R12" t="str">
        <x:v>NO_DIRECT_ROUTE_CLAIM</x:v>
      </x:c>
    </x:row>
    <x:row r="13">
      <x:c r="A13" t="str">
        <x:v>supply.fiber.597e7aba4d3d2e17</x:v>
      </x:c>
      <x:c r="B13" t="str">
        <x:v>admin.han140.yizhou.yongchang.xielong</x:v>
      </x:c>
      <x:c r="C13" t="str">
        <x:v>admin.han140.yizhou.yongchang.buwei</x:v>
      </x:c>
      <x:c r="D13" t="str">
        <x:v>FIBER</x:v>
      </x:c>
      <x:c r="E13" t="str">
        <x:v>route.county.f6c8639d4ea6d983</x:v>
      </x:c>
      <x:c r="F13" t="str">
        <x:v>ROAD_PACK_CART_REFERENCE</x:v>
      </x:c>
      <x:c r="G13" t="n">
        <x:v>15</x:v>
      </x:c>
      <x:c r="H13" t="n">
        <x:v>1</x:v>
      </x:c>
      <x:c r="I13" t="n">
        <x:v>39026</x:v>
      </x:c>
      <x:c r="J13" t="n">
        <x:v>48783</x:v>
      </x:c>
      <x:c r="K13" t="n">
        <x:v>39026</x:v>
      </x:c>
      <x:c r="L13" t="n">
        <x:v>38686</x:v>
      </x:c>
      <x:c r="M13" t="n">
        <x:v>87</x:v>
      </x:c>
      <x:c r="N13" t="n">
        <x:v>945</x:v>
      </x:c>
      <x:c r="O13" t="str">
        <x:v>INTRA_PROVINCE</x:v>
      </x:c>
      <x:c r="P13" t="str">
        <x:v>COMMERCIAL</x:v>
      </x:c>
      <x:c r="Q13" t="str">
        <x:v>MODELED</x:v>
      </x:c>
      <x:c r="R13" t="str">
        <x:v>NO_DIRECT_ROUTE_CLAIM</x:v>
      </x:c>
    </x:row>
    <x:row r="14">
      <x:c r="A14" t="str">
        <x:v>supply.fiber.6e83892a8e58bab0</x:v>
      </x:c>
      <x:c r="B14" t="str">
        <x:v>admin.han140.yizhou.yongchang.bonan</x:v>
      </x:c>
      <x:c r="C14" t="str">
        <x:v>admin.han140.yizhou.yongchang.buwei</x:v>
      </x:c>
      <x:c r="D14" t="str">
        <x:v>FIBER</x:v>
      </x:c>
      <x:c r="E14" t="str">
        <x:v>route.county.6e83892a8e58bab0</x:v>
      </x:c>
      <x:c r="F14" t="str">
        <x:v>ROAD_PACK_CART_REFERENCE</x:v>
      </x:c>
      <x:c r="G14" t="n">
        <x:v>21.1</x:v>
      </x:c>
      <x:c r="H14" t="n">
        <x:v>1</x:v>
      </x:c>
      <x:c r="I14" t="n">
        <x:v>129223</x:v>
      </x:c>
      <x:c r="J14" t="n">
        <x:v>161529</x:v>
      </x:c>
      <x:c r="K14" t="n">
        <x:v>129223</x:v>
      </x:c>
      <x:c r="L14" t="n">
        <x:v>128021</x:v>
      </x:c>
      <x:c r="M14" t="n">
        <x:v>93</x:v>
      </x:c>
      <x:c r="N14" t="n">
        <x:v>963</x:v>
      </x:c>
      <x:c r="O14" t="str">
        <x:v>INTRA_PROVINCE</x:v>
      </x:c>
      <x:c r="P14" t="str">
        <x:v>COMMERCIAL</x:v>
      </x:c>
      <x:c r="Q14" t="str">
        <x:v>MODELED</x:v>
      </x:c>
      <x:c r="R14" t="str">
        <x:v>NO_DIRECT_ROUTE_CLAIM</x:v>
      </x:c>
    </x:row>
    <x:row r="15">
      <x:c r="A15" t="str">
        <x:v>supply.fiber.4ef14ebdf6228a93</x:v>
      </x:c>
      <x:c r="B15" t="str">
        <x:v>admin.han140.yizhou.yongchang.yeyu</x:v>
      </x:c>
      <x:c r="C15" t="str">
        <x:v>admin.han140.yizhou.yongchang.buwei</x:v>
      </x:c>
      <x:c r="D15" t="str">
        <x:v>FIBER</x:v>
      </x:c>
      <x:c r="E15" t="str">
        <x:v>route.county.c39d38e29fac2200</x:v>
      </x:c>
      <x:c r="F15" t="str">
        <x:v>ROAD_PACK_CART_REFERENCE</x:v>
      </x:c>
      <x:c r="G15" t="n">
        <x:v>21.1</x:v>
      </x:c>
      <x:c r="H15" t="n">
        <x:v>1</x:v>
      </x:c>
      <x:c r="I15" t="n">
        <x:v>183777</x:v>
      </x:c>
      <x:c r="J15" t="n">
        <x:v>229721</x:v>
      </x:c>
      <x:c r="K15" t="n">
        <x:v>183777</x:v>
      </x:c>
      <x:c r="L15" t="n">
        <x:v>182068</x:v>
      </x:c>
      <x:c r="M15" t="n">
        <x:v>93</x:v>
      </x:c>
      <x:c r="N15" t="n">
        <x:v>963</x:v>
      </x:c>
      <x:c r="O15" t="str">
        <x:v>INTRA_PROVINCE</x:v>
      </x:c>
      <x:c r="P15" t="str">
        <x:v>COMMERCIAL</x:v>
      </x:c>
      <x:c r="Q15" t="str">
        <x:v>MODELED</x:v>
      </x:c>
      <x:c r="R15" t="str">
        <x:v>NO_DIRECT_ROUTE_CLAIM</x:v>
      </x:c>
    </x:row>
    <x:row r="16">
      <x:c r="A16" t="str">
        <x:v>supply.iron_ore.597e7aba4d3d2e17</x:v>
      </x:c>
      <x:c r="B16" t="str">
        <x:v>admin.han140.yizhou.yongchang.xielong</x:v>
      </x:c>
      <x:c r="C16" t="str">
        <x:v>admin.han140.yizhou.yongchang.buwei</x:v>
      </x:c>
      <x:c r="D16" t="str">
        <x:v>IRON_ORE</x:v>
      </x:c>
      <x:c r="E16" t="str">
        <x:v>route.county.f6c8639d4ea6d983</x:v>
      </x:c>
      <x:c r="F16" t="str">
        <x:v>ROAD_PACK_CART_REFERENCE</x:v>
      </x:c>
      <x:c r="G16" t="n">
        <x:v>15</x:v>
      </x:c>
      <x:c r="H16" t="n">
        <x:v>1</x:v>
      </x:c>
      <x:c r="I16" t="n">
        <x:v>4574</x:v>
      </x:c>
      <x:c r="J16" t="n">
        <x:v>5718</x:v>
      </x:c>
      <x:c r="K16" t="n">
        <x:v>4574</x:v>
      </x:c>
      <x:c r="L16" t="n">
        <x:v>4534</x:v>
      </x:c>
      <x:c r="M16" t="n">
        <x:v>87</x:v>
      </x:c>
      <x:c r="N16" t="n">
        <x:v>945</x:v>
      </x:c>
      <x:c r="O16" t="str">
        <x:v>INTRA_PROVINCE</x:v>
      </x:c>
      <x:c r="P16" t="str">
        <x:v>COMMERCIAL</x:v>
      </x:c>
      <x:c r="Q16" t="str">
        <x:v>MODELED</x:v>
      </x:c>
      <x:c r="R16" t="str">
        <x:v>NO_DIRECT_ROUTE_CLAIM</x:v>
      </x:c>
    </x:row>
    <x:row r="17">
      <x:c r="A17" t="str">
        <x:v>supply.iron_ore.597e7aba4d3d2e17</x:v>
      </x:c>
      <x:c r="B17" t="str">
        <x:v>admin.han140.yizhou.yongchang.xielong</x:v>
      </x:c>
      <x:c r="C17" t="str">
        <x:v>admin.han140.yizhou.yongchang.buwei</x:v>
      </x:c>
      <x:c r="D17" t="str">
        <x:v>IRON_ORE</x:v>
      </x:c>
      <x:c r="E17" t="str">
        <x:v>route.county.f6c8639d4ea6d983</x:v>
      </x:c>
      <x:c r="F17" t="str">
        <x:v>ROAD_PACK_CART_REFERENCE</x:v>
      </x:c>
      <x:c r="G17" t="n">
        <x:v>15</x:v>
      </x:c>
      <x:c r="H17" t="n">
        <x:v>1</x:v>
      </x:c>
      <x:c r="I17" t="n">
        <x:v>40</x:v>
      </x:c>
      <x:c r="J17" t="n">
        <x:v>50</x:v>
      </x:c>
      <x:c r="K17" t="n">
        <x:v>40</x:v>
      </x:c>
      <x:c r="L17" t="n">
        <x:v>39</x:v>
      </x:c>
      <x:c r="M17" t="n">
        <x:v>87</x:v>
      </x:c>
      <x:c r="N17" t="n">
        <x:v>945</x:v>
      </x:c>
      <x:c r="O17" t="str">
        <x:v>INTRA_PROVINCE</x:v>
      </x:c>
      <x:c r="P17" t="str">
        <x:v>COMMERCIAL</x:v>
      </x:c>
      <x:c r="Q17" t="str">
        <x:v>MODELED</x:v>
      </x:c>
      <x:c r="R17" t="str">
        <x:v>NO_DIRECT_ROUTE_CLAIM</x:v>
      </x:c>
    </x:row>
    <x:row r="18">
      <x:c r="A18" t="str">
        <x:v>supply.iron_ore.597e7aba4d3d2e17</x:v>
      </x:c>
      <x:c r="B18" t="str">
        <x:v>admin.han140.yizhou.yongchang.xielong</x:v>
      </x:c>
      <x:c r="C18" t="str">
        <x:v>admin.han140.yizhou.yongchang.buwei</x:v>
      </x:c>
      <x:c r="D18" t="str">
        <x:v>IRON_ORE</x:v>
      </x:c>
      <x:c r="E18" t="str">
        <x:v>route.county.f6c8639d4ea6d983</x:v>
      </x:c>
      <x:c r="F18" t="str">
        <x:v>ROAD_PACK_CART_REFERENCE</x:v>
      </x:c>
      <x:c r="G18" t="n">
        <x:v>15</x:v>
      </x:c>
      <x:c r="H18" t="n">
        <x:v>1</x:v>
      </x:c>
      <x:c r="I18" t="n">
        <x:v>0</x:v>
      </x:c>
      <x:c r="J18" t="n">
        <x:v>0</x:v>
      </x:c>
      <x:c r="K18" t="n">
        <x:v>0</x:v>
      </x:c>
      <x:c r="L18" t="n">
        <x:v>0</x:v>
      </x:c>
      <x:c r="M18" t="n">
        <x:v>87</x:v>
      </x:c>
      <x:c r="N18" t="n">
        <x:v>945</x:v>
      </x:c>
      <x:c r="O18" t="str">
        <x:v>INTRA_PROVINCE</x:v>
      </x:c>
      <x:c r="P18" t="str">
        <x:v>COMMERCIAL</x:v>
      </x:c>
      <x:c r="Q18" t="str">
        <x:v>MODELED</x:v>
      </x:c>
      <x:c r="R18" t="str">
        <x:v>NO_DIRECT_ROUTE_CLAIM</x:v>
      </x:c>
    </x:row>
    <x:row r="19">
      <x:c r="A19" t="str">
        <x:v>supply.iron_ore.597e7aba4d3d2e17</x:v>
      </x:c>
      <x:c r="B19" t="str">
        <x:v>admin.han140.yizhou.yongchang.xielong</x:v>
      </x:c>
      <x:c r="C19" t="str">
        <x:v>admin.han140.yizhou.yongchang.buwei</x:v>
      </x:c>
      <x:c r="D19" t="str">
        <x:v>IRON_ORE</x:v>
      </x:c>
      <x:c r="E19" t="str">
        <x:v>route.county.f6c8639d4ea6d983</x:v>
      </x:c>
      <x:c r="F19" t="str">
        <x:v>ROAD_PACK_CART_REFERENCE</x:v>
      </x:c>
      <x:c r="G19" t="n">
        <x:v>15</x:v>
      </x:c>
      <x:c r="H19" t="n">
        <x:v>1</x:v>
      </x:c>
      <x:c r="I19" t="n">
        <x:v>0</x:v>
      </x:c>
      <x:c r="J19" t="n">
        <x:v>0</x:v>
      </x:c>
      <x:c r="K19" t="n">
        <x:v>0</x:v>
      </x:c>
      <x:c r="L19" t="n">
        <x:v>0</x:v>
      </x:c>
      <x:c r="M19" t="n">
        <x:v>87</x:v>
      </x:c>
      <x:c r="N19" t="n">
        <x:v>945</x:v>
      </x:c>
      <x:c r="O19" t="str">
        <x:v>INTRA_PROVINCE</x:v>
      </x:c>
      <x:c r="P19" t="str">
        <x:v>COMMERCIAL</x:v>
      </x:c>
      <x:c r="Q19" t="str">
        <x:v>MODELED</x:v>
      </x:c>
      <x:c r="R19" t="str">
        <x:v>NO_DIRECT_ROUTE_CLAIM</x:v>
      </x:c>
    </x:row>
    <x:row r="20">
      <x:c r="A20" t="str">
        <x:v>supply.iron_ore.344f2ef5f5471165</x:v>
      </x:c>
      <x:c r="B20" t="str">
        <x:v>admin.han140.yizhou.yongchang.xielong</x:v>
      </x:c>
      <x:c r="C20" t="str">
        <x:v>admin.han140.yizhou.yongchang.suitang</x:v>
      </x:c>
      <x:c r="D20" t="str">
        <x:v>IRON_ORE</x:v>
      </x:c>
      <x:c r="E20" t="str">
        <x:v>route.county.15bdd58112e0800a</x:v>
      </x:c>
      <x:c r="F20" t="str">
        <x:v>ROAD_PACK_CART_REFERENCE</x:v>
      </x:c>
      <x:c r="G20" t="n">
        <x:v>11.5</x:v>
      </x:c>
      <x:c r="H20" t="n">
        <x:v>1</x:v>
      </x:c>
      <x:c r="I20" t="n">
        <x:v>2891</x:v>
      </x:c>
      <x:c r="J20" t="n">
        <x:v>3614</x:v>
      </x:c>
      <x:c r="K20" t="n">
        <x:v>2891</x:v>
      </x:c>
      <x:c r="L20" t="n">
        <x:v>2867</x:v>
      </x:c>
      <x:c r="M20" t="n">
        <x:v>83</x:v>
      </x:c>
      <x:c r="N20" t="n">
        <x:v>935</x:v>
      </x:c>
      <x:c r="O20" t="str">
        <x:v>INTRA_PROVINCE</x:v>
      </x:c>
      <x:c r="P20" t="str">
        <x:v>COMMERCIAL</x:v>
      </x:c>
      <x:c r="Q20" t="str">
        <x:v>MODELED</x:v>
      </x:c>
      <x:c r="R20" t="str">
        <x:v>NO_DIRECT_ROUTE_CLAIM</x:v>
      </x:c>
    </x:row>
    <x:row r="21">
      <x:c r="A21" t="str">
        <x:v>supply.iron_ore.344f2ef5f5471165</x:v>
      </x:c>
      <x:c r="B21" t="str">
        <x:v>admin.han140.yizhou.yongchang.xielong</x:v>
      </x:c>
      <x:c r="C21" t="str">
        <x:v>admin.han140.yizhou.yongchang.suitang</x:v>
      </x:c>
      <x:c r="D21" t="str">
        <x:v>IRON_ORE</x:v>
      </x:c>
      <x:c r="E21" t="str">
        <x:v>route.county.15bdd58112e0800a</x:v>
      </x:c>
      <x:c r="F21" t="str">
        <x:v>ROAD_PACK_CART_REFERENCE</x:v>
      </x:c>
      <x:c r="G21" t="n">
        <x:v>11.5</x:v>
      </x:c>
      <x:c r="H21" t="n">
        <x:v>1</x:v>
      </x:c>
      <x:c r="I21" t="n">
        <x:v>24</x:v>
      </x:c>
      <x:c r="J21" t="n">
        <x:v>30</x:v>
      </x:c>
      <x:c r="K21" t="n">
        <x:v>24</x:v>
      </x:c>
      <x:c r="L21" t="n">
        <x:v>24</x:v>
      </x:c>
      <x:c r="M21" t="n">
        <x:v>83</x:v>
      </x:c>
      <x:c r="N21" t="n">
        <x:v>935</x:v>
      </x:c>
      <x:c r="O21" t="str">
        <x:v>INTRA_PROVINCE</x:v>
      </x:c>
      <x:c r="P21" t="str">
        <x:v>COMMERCIAL</x:v>
      </x:c>
      <x:c r="Q21" t="str">
        <x:v>MODELED</x:v>
      </x:c>
      <x:c r="R21" t="str">
        <x:v>NO_DIRECT_ROUTE_CLAIM</x:v>
      </x:c>
    </x:row>
    <x:row r="22">
      <x:c r="A22" t="str">
        <x:v>supply.iron_ore.344f2ef5f5471165</x:v>
      </x:c>
      <x:c r="B22" t="str">
        <x:v>admin.han140.yizhou.yongchang.xielong</x:v>
      </x:c>
      <x:c r="C22" t="str">
        <x:v>admin.han140.yizhou.yongchang.suitang</x:v>
      </x:c>
      <x:c r="D22" t="str">
        <x:v>IRON_ORE</x:v>
      </x:c>
      <x:c r="E22" t="str">
        <x:v>route.county.15bdd58112e0800a</x:v>
      </x:c>
      <x:c r="F22" t="str">
        <x:v>ROAD_PACK_CART_REFERENCE</x:v>
      </x:c>
      <x:c r="G22" t="n">
        <x:v>11.5</x:v>
      </x:c>
      <x:c r="H22" t="n">
        <x:v>1</x:v>
      </x:c>
      <x:c r="I22" t="n">
        <x:v>0</x:v>
      </x:c>
      <x:c r="J22" t="n">
        <x:v>0</x:v>
      </x:c>
      <x:c r="K22" t="n">
        <x:v>0</x:v>
      </x:c>
      <x:c r="L22" t="n">
        <x:v>0</x:v>
      </x:c>
      <x:c r="M22" t="n">
        <x:v>83</x:v>
      </x:c>
      <x:c r="N22" t="n">
        <x:v>935</x:v>
      </x:c>
      <x:c r="O22" t="str">
        <x:v>INTRA_PROVINCE</x:v>
      </x:c>
      <x:c r="P22" t="str">
        <x:v>COMMERCIAL</x:v>
      </x:c>
      <x:c r="Q22" t="str">
        <x:v>MODELED</x:v>
      </x:c>
      <x:c r="R22" t="str">
        <x:v>NO_DIRECT_ROUTE_CLAIM</x:v>
      </x:c>
    </x:row>
    <x:row r="23">
      <x:c r="A23" t="str">
        <x:v>supply.iron_ore.344f2ef5f5471165</x:v>
      </x:c>
      <x:c r="B23" t="str">
        <x:v>admin.han140.yizhou.yongchang.xielong</x:v>
      </x:c>
      <x:c r="C23" t="str">
        <x:v>admin.han140.yizhou.yongchang.suitang</x:v>
      </x:c>
      <x:c r="D23" t="str">
        <x:v>IRON_ORE</x:v>
      </x:c>
      <x:c r="E23" t="str">
        <x:v>route.county.15bdd58112e0800a</x:v>
      </x:c>
      <x:c r="F23" t="str">
        <x:v>ROAD_PACK_CART_REFERENCE</x:v>
      </x:c>
      <x:c r="G23" t="n">
        <x:v>11.5</x:v>
      </x:c>
      <x:c r="H23" t="n">
        <x:v>1</x:v>
      </x:c>
      <x:c r="I23" t="n">
        <x:v>0</x:v>
      </x:c>
      <x:c r="J23" t="n">
        <x:v>0</x:v>
      </x:c>
      <x:c r="K23" t="n">
        <x:v>0</x:v>
      </x:c>
      <x:c r="L23" t="n">
        <x:v>0</x:v>
      </x:c>
      <x:c r="M23" t="n">
        <x:v>83</x:v>
      </x:c>
      <x:c r="N23" t="n">
        <x:v>935</x:v>
      </x:c>
      <x:c r="O23" t="str">
        <x:v>INTRA_PROVINCE</x:v>
      </x:c>
      <x:c r="P23" t="str">
        <x:v>COMMERCIAL</x:v>
      </x:c>
      <x:c r="Q23" t="str">
        <x:v>MODELED</x:v>
      </x:c>
      <x:c r="R23" t="str">
        <x:v>NO_DIRECT_ROUTE_CLAIM</x:v>
      </x:c>
    </x:row>
    <x:row r="24">
      <x:c r="A24" t="str">
        <x:v>supply.iron_ore.5d747375421cb8f4</x:v>
      </x:c>
      <x:c r="B24" t="str">
        <x:v>admin.han140.yizhou.yongchang.xielong</x:v>
      </x:c>
      <x:c r="C24" t="str">
        <x:v>admin.han140.yizhou.yongchang.yeyu</x:v>
      </x:c>
      <x:c r="D24" t="str">
        <x:v>IRON_ORE</x:v>
      </x:c>
      <x:c r="E24" t="str">
        <x:v>route.county.5d747375421cb8f4</x:v>
      </x:c>
      <x:c r="F24" t="str">
        <x:v>ROAD_PACK_CART_REFERENCE</x:v>
      </x:c>
      <x:c r="G24" t="n">
        <x:v>13.6</x:v>
      </x:c>
      <x:c r="H24" t="n">
        <x:v>1</x:v>
      </x:c>
      <x:c r="I24" t="n">
        <x:v>2548</x:v>
      </x:c>
      <x:c r="J24" t="n">
        <x:v>3185</x:v>
      </x:c>
      <x:c r="K24" t="n">
        <x:v>2548</x:v>
      </x:c>
      <x:c r="L24" t="n">
        <x:v>2526</x:v>
      </x:c>
      <x:c r="M24" t="n">
        <x:v>85</x:v>
      </x:c>
      <x:c r="N24" t="n">
        <x:v>941</x:v>
      </x:c>
      <x:c r="O24" t="str">
        <x:v>INTRA_PROVINCE</x:v>
      </x:c>
      <x:c r="P24" t="str">
        <x:v>COMMERCIAL</x:v>
      </x:c>
      <x:c r="Q24" t="str">
        <x:v>MODELED</x:v>
      </x:c>
      <x:c r="R24" t="str">
        <x:v>NO_DIRECT_ROUTE_CLAIM</x:v>
      </x:c>
    </x:row>
    <x:row r="25">
      <x:c r="A25" t="str">
        <x:v>supply.iron_ore.5d747375421cb8f4</x:v>
      </x:c>
      <x:c r="B25" t="str">
        <x:v>admin.han140.yizhou.yongchang.xielong</x:v>
      </x:c>
      <x:c r="C25" t="str">
        <x:v>admin.han140.yizhou.yongchang.yeyu</x:v>
      </x:c>
      <x:c r="D25" t="str">
        <x:v>IRON_ORE</x:v>
      </x:c>
      <x:c r="E25" t="str">
        <x:v>route.county.5d747375421cb8f4</x:v>
      </x:c>
      <x:c r="F25" t="str">
        <x:v>ROAD_PACK_CART_REFERENCE</x:v>
      </x:c>
      <x:c r="G25" t="n">
        <x:v>13.6</x:v>
      </x:c>
      <x:c r="H25" t="n">
        <x:v>1</x:v>
      </x:c>
      <x:c r="I25" t="n">
        <x:v>22</x:v>
      </x:c>
      <x:c r="J25" t="n">
        <x:v>27</x:v>
      </x:c>
      <x:c r="K25" t="n">
        <x:v>22</x:v>
      </x:c>
      <x:c r="L25" t="n">
        <x:v>21</x:v>
      </x:c>
      <x:c r="M25" t="n">
        <x:v>85</x:v>
      </x:c>
      <x:c r="N25" t="n">
        <x:v>941</x:v>
      </x:c>
      <x:c r="O25" t="str">
        <x:v>INTRA_PROVINCE</x:v>
      </x:c>
      <x:c r="P25" t="str">
        <x:v>COMMERCIAL</x:v>
      </x:c>
      <x:c r="Q25" t="str">
        <x:v>MODELED</x:v>
      </x:c>
      <x:c r="R25" t="str">
        <x:v>NO_DIRECT_ROUTE_CLAIM</x:v>
      </x:c>
    </x:row>
    <x:row r="26">
      <x:c r="A26" t="str">
        <x:v>supply.iron_ore.5d747375421cb8f4</x:v>
      </x:c>
      <x:c r="B26" t="str">
        <x:v>admin.han140.yizhou.yongchang.xielong</x:v>
      </x:c>
      <x:c r="C26" t="str">
        <x:v>admin.han140.yizhou.yongchang.yeyu</x:v>
      </x:c>
      <x:c r="D26" t="str">
        <x:v>IRON_ORE</x:v>
      </x:c>
      <x:c r="E26" t="str">
        <x:v>route.county.5d747375421cb8f4</x:v>
      </x:c>
      <x:c r="F26" t="str">
        <x:v>ROAD_PACK_CART_REFERENCE</x:v>
      </x:c>
      <x:c r="G26" t="n">
        <x:v>13.6</x:v>
      </x:c>
      <x:c r="H26" t="n">
        <x:v>1</x:v>
      </x:c>
      <x:c r="I26" t="n">
        <x:v>0</x:v>
      </x:c>
      <x:c r="J26" t="n">
        <x:v>0</x:v>
      </x:c>
      <x:c r="K26" t="n">
        <x:v>0</x:v>
      </x:c>
      <x:c r="L26" t="n">
        <x:v>0</x:v>
      </x:c>
      <x:c r="M26" t="n">
        <x:v>85</x:v>
      </x:c>
      <x:c r="N26" t="n">
        <x:v>941</x:v>
      </x:c>
      <x:c r="O26" t="str">
        <x:v>INTRA_PROVINCE</x:v>
      </x:c>
      <x:c r="P26" t="str">
        <x:v>COMMERCIAL</x:v>
      </x:c>
      <x:c r="Q26" t="str">
        <x:v>MODELED</x:v>
      </x:c>
      <x:c r="R26" t="str">
        <x:v>NO_DIRECT_ROUTE_CLAIM</x:v>
      </x:c>
    </x:row>
    <x:row r="27">
      <x:c r="A27" t="str">
        <x:v>supply.iron_ore.5d747375421cb8f4</x:v>
      </x:c>
      <x:c r="B27" t="str">
        <x:v>admin.han140.yizhou.yongchang.xielong</x:v>
      </x:c>
      <x:c r="C27" t="str">
        <x:v>admin.han140.yizhou.yongchang.yeyu</x:v>
      </x:c>
      <x:c r="D27" t="str">
        <x:v>IRON_ORE</x:v>
      </x:c>
      <x:c r="E27" t="str">
        <x:v>route.county.5d747375421cb8f4</x:v>
      </x:c>
      <x:c r="F27" t="str">
        <x:v>ROAD_PACK_CART_REFERENCE</x:v>
      </x:c>
      <x:c r="G27" t="n">
        <x:v>13.6</x:v>
      </x:c>
      <x:c r="H27" t="n">
        <x:v>1</x:v>
      </x:c>
      <x:c r="I27" t="n">
        <x:v>0</x:v>
      </x:c>
      <x:c r="J27" t="n">
        <x:v>0</x:v>
      </x:c>
      <x:c r="K27" t="n">
        <x:v>0</x:v>
      </x:c>
      <x:c r="L27" t="n">
        <x:v>0</x:v>
      </x:c>
      <x:c r="M27" t="n">
        <x:v>85</x:v>
      </x:c>
      <x:c r="N27" t="n">
        <x:v>941</x:v>
      </x:c>
      <x:c r="O27" t="str">
        <x:v>INTRA_PROVINCE</x:v>
      </x:c>
      <x:c r="P27" t="str">
        <x:v>COMMERCIAL</x:v>
      </x:c>
      <x:c r="Q27" t="str">
        <x:v>MODELED</x:v>
      </x:c>
      <x:c r="R27" t="str">
        <x:v>NO_DIRECT_ROUTE_CLAIM</x:v>
      </x:c>
    </x:row>
    <x:row r="28">
      <x:c r="A28" t="str">
        <x:v>supply.iron_ore.f098e2de18aaccb4</x:v>
      </x:c>
      <x:c r="B28" t="str">
        <x:v>admin.han140.yizhou.yongchang.xielong</x:v>
      </x:c>
      <x:c r="C28" t="str">
        <x:v>admin.han140.yizhou.yongchang.bisu</x:v>
      </x:c>
      <x:c r="D28" t="str">
        <x:v>IRON_ORE</x:v>
      </x:c>
      <x:c r="E28" t="str">
        <x:v>route.county.07c5350aa7518130</x:v>
      </x:c>
      <x:c r="F28" t="str">
        <x:v>ROAD_PACK_CART_REFERENCE</x:v>
      </x:c>
      <x:c r="G28" t="n">
        <x:v>30</x:v>
      </x:c>
      <x:c r="H28" t="n">
        <x:v>2</x:v>
      </x:c>
      <x:c r="I28" t="n">
        <x:v>2412</x:v>
      </x:c>
      <x:c r="J28" t="n">
        <x:v>3015</x:v>
      </x:c>
      <x:c r="K28" t="n">
        <x:v>2412</x:v>
      </x:c>
      <x:c r="L28" t="n">
        <x:v>2387</x:v>
      </x:c>
      <x:c r="M28" t="n">
        <x:v>103</x:v>
      </x:c>
      <x:c r="N28" t="n">
        <x:v>990</x:v>
      </x:c>
      <x:c r="O28" t="str">
        <x:v>INTRA_PROVINCE</x:v>
      </x:c>
      <x:c r="P28" t="str">
        <x:v>COMMERCIAL</x:v>
      </x:c>
      <x:c r="Q28" t="str">
        <x:v>MODELED</x:v>
      </x:c>
      <x:c r="R28" t="str">
        <x:v>NO_DIRECT_ROUTE_CLAIM</x:v>
      </x:c>
    </x:row>
    <x:row r="29">
      <x:c r="A29" t="str">
        <x:v>supply.iron_ore.f098e2de18aaccb4</x:v>
      </x:c>
      <x:c r="B29" t="str">
        <x:v>admin.han140.yizhou.yongchang.xielong</x:v>
      </x:c>
      <x:c r="C29" t="str">
        <x:v>admin.han140.yizhou.yongchang.bisu</x:v>
      </x:c>
      <x:c r="D29" t="str">
        <x:v>IRON_ORE</x:v>
      </x:c>
      <x:c r="E29" t="str">
        <x:v>route.county.07c5350aa7518130</x:v>
      </x:c>
      <x:c r="F29" t="str">
        <x:v>ROAD_PACK_CART_REFERENCE</x:v>
      </x:c>
      <x:c r="G29" t="n">
        <x:v>30</x:v>
      </x:c>
      <x:c r="H29" t="n">
        <x:v>2</x:v>
      </x:c>
      <x:c r="I29" t="n">
        <x:v>25</x:v>
      </x:c>
      <x:c r="J29" t="n">
        <x:v>31</x:v>
      </x:c>
      <x:c r="K29" t="n">
        <x:v>25</x:v>
      </x:c>
      <x:c r="L29" t="n">
        <x:v>25</x:v>
      </x:c>
      <x:c r="M29" t="n">
        <x:v>103</x:v>
      </x:c>
      <x:c r="N29" t="n">
        <x:v>990</x:v>
      </x:c>
      <x:c r="O29" t="str">
        <x:v>INTRA_PROVINCE</x:v>
      </x:c>
      <x:c r="P29" t="str">
        <x:v>COMMERCIAL</x:v>
      </x:c>
      <x:c r="Q29" t="str">
        <x:v>MODELED</x:v>
      </x:c>
      <x:c r="R29" t="str">
        <x:v>NO_DIRECT_ROUTE_CLAIM</x:v>
      </x:c>
    </x:row>
    <x:row r="30">
      <x:c r="A30" t="str">
        <x:v>supply.iron_ore.f098e2de18aaccb4</x:v>
      </x:c>
      <x:c r="B30" t="str">
        <x:v>admin.han140.yizhou.yongchang.xielong</x:v>
      </x:c>
      <x:c r="C30" t="str">
        <x:v>admin.han140.yizhou.yongchang.bisu</x:v>
      </x:c>
      <x:c r="D30" t="str">
        <x:v>IRON_ORE</x:v>
      </x:c>
      <x:c r="E30" t="str">
        <x:v>route.county.07c5350aa7518130</x:v>
      </x:c>
      <x:c r="F30" t="str">
        <x:v>ROAD_PACK_CART_REFERENCE</x:v>
      </x:c>
      <x:c r="G30" t="n">
        <x:v>30</x:v>
      </x:c>
      <x:c r="H30" t="n">
        <x:v>2</x:v>
      </x:c>
      <x:c r="I30" t="n">
        <x:v>0</x:v>
      </x:c>
      <x:c r="J30" t="n">
        <x:v>0</x:v>
      </x:c>
      <x:c r="K30" t="n">
        <x:v>0</x:v>
      </x:c>
      <x:c r="L30" t="n">
        <x:v>0</x:v>
      </x:c>
      <x:c r="M30" t="n">
        <x:v>103</x:v>
      </x:c>
      <x:c r="N30" t="n">
        <x:v>990</x:v>
      </x:c>
      <x:c r="O30" t="str">
        <x:v>INTRA_PROVINCE</x:v>
      </x:c>
      <x:c r="P30" t="str">
        <x:v>COMMERCIAL</x:v>
      </x:c>
      <x:c r="Q30" t="str">
        <x:v>MODELED</x:v>
      </x:c>
      <x:c r="R30" t="str">
        <x:v>NO_DIRECT_ROUTE_CLAIM</x:v>
      </x:c>
    </x:row>
    <x:row r="31">
      <x:c r="A31" t="str">
        <x:v>supply.iron_ore.f098e2de18aaccb4</x:v>
      </x:c>
      <x:c r="B31" t="str">
        <x:v>admin.han140.yizhou.yongchang.xielong</x:v>
      </x:c>
      <x:c r="C31" t="str">
        <x:v>admin.han140.yizhou.yongchang.bisu</x:v>
      </x:c>
      <x:c r="D31" t="str">
        <x:v>IRON_ORE</x:v>
      </x:c>
      <x:c r="E31" t="str">
        <x:v>route.county.07c5350aa7518130</x:v>
      </x:c>
      <x:c r="F31" t="str">
        <x:v>ROAD_PACK_CART_REFERENCE</x:v>
      </x:c>
      <x:c r="G31" t="n">
        <x:v>30</x:v>
      </x:c>
      <x:c r="H31" t="n">
        <x:v>2</x:v>
      </x:c>
      <x:c r="I31" t="n">
        <x:v>0</x:v>
      </x:c>
      <x:c r="J31" t="n">
        <x:v>0</x:v>
      </x:c>
      <x:c r="K31" t="n">
        <x:v>0</x:v>
      </x:c>
      <x:c r="L31" t="n">
        <x:v>0</x:v>
      </x:c>
      <x:c r="M31" t="n">
        <x:v>103</x:v>
      </x:c>
      <x:c r="N31" t="n">
        <x:v>990</x:v>
      </x:c>
      <x:c r="O31" t="str">
        <x:v>INTRA_PROVINCE</x:v>
      </x:c>
      <x:c r="P31" t="str">
        <x:v>COMMERCIAL</x:v>
      </x:c>
      <x:c r="Q31" t="str">
        <x:v>MODELED</x:v>
      </x:c>
      <x:c r="R31" t="str">
        <x:v>NO_DIRECT_ROUTE_CLAIM</x:v>
      </x:c>
    </x:row>
    <x:row r="32">
      <x:c r="A32" t="str">
        <x:v>supply.iron_ore.53e60340324c2065</x:v>
      </x:c>
      <x:c r="B32" t="str">
        <x:v>admin.han140.yizhou.shushuguo.maoniu</x:v>
      </x:c>
      <x:c r="C32" t="str">
        <x:v>admin.han140.yizhou.shushuguo.yijia</x:v>
      </x:c>
      <x:c r="D32" t="str">
        <x:v>IRON_ORE</x:v>
      </x:c>
      <x:c r="E32" t="str">
        <x:v>route.county.53e60340324c2065</x:v>
      </x:c>
      <x:c r="F32" t="str">
        <x:v>ROAD_PACK_CART_REFERENCE</x:v>
      </x:c>
      <x:c r="G32" t="n">
        <x:v>27.3</x:v>
      </x:c>
      <x:c r="H32" t="n">
        <x:v>1</x:v>
      </x:c>
      <x:c r="I32" t="n">
        <x:v>2073</x:v>
      </x:c>
      <x:c r="J32" t="n">
        <x:v>2591</x:v>
      </x:c>
      <x:c r="K32" t="n">
        <x:v>2073</x:v>
      </x:c>
      <x:c r="L32" t="n">
        <x:v>2052</x:v>
      </x:c>
      <x:c r="M32" t="n">
        <x:v>100</x:v>
      </x:c>
      <x:c r="N32" t="n">
        <x:v>982</x:v>
      </x:c>
      <x:c r="O32" t="str">
        <x:v>INTRA_PROVINCE</x:v>
      </x:c>
      <x:c r="P32" t="str">
        <x:v>COMMERCIAL</x:v>
      </x:c>
      <x:c r="Q32" t="str">
        <x:v>MODELED</x:v>
      </x:c>
      <x:c r="R32" t="str">
        <x:v>NO_DIRECT_ROUTE_CLAIM</x:v>
      </x:c>
    </x:row>
    <x:row r="33">
      <x:c r="A33" t="str">
        <x:v>supply.iron_ore.53e60340324c2065</x:v>
      </x:c>
      <x:c r="B33" t="str">
        <x:v>admin.han140.yizhou.shushuguo.maoniu</x:v>
      </x:c>
      <x:c r="C33" t="str">
        <x:v>admin.han140.yizhou.shushuguo.yijia</x:v>
      </x:c>
      <x:c r="D33" t="str">
        <x:v>IRON_ORE</x:v>
      </x:c>
      <x:c r="E33" t="str">
        <x:v>route.county.53e60340324c2065</x:v>
      </x:c>
      <x:c r="F33" t="str">
        <x:v>ROAD_PACK_CART_REFERENCE</x:v>
      </x:c>
      <x:c r="G33" t="n">
        <x:v>27.3</x:v>
      </x:c>
      <x:c r="H33" t="n">
        <x:v>1</x:v>
      </x:c>
      <x:c r="I33" t="n">
        <x:v>21</x:v>
      </x:c>
      <x:c r="J33" t="n">
        <x:v>26</x:v>
      </x:c>
      <x:c r="K33" t="n">
        <x:v>21</x:v>
      </x:c>
      <x:c r="L33" t="n">
        <x:v>21</x:v>
      </x:c>
      <x:c r="M33" t="n">
        <x:v>100</x:v>
      </x:c>
      <x:c r="N33" t="n">
        <x:v>982</x:v>
      </x:c>
      <x:c r="O33" t="str">
        <x:v>INTRA_PROVINCE</x:v>
      </x:c>
      <x:c r="P33" t="str">
        <x:v>COMMERCIAL</x:v>
      </x:c>
      <x:c r="Q33" t="str">
        <x:v>MODELED</x:v>
      </x:c>
      <x:c r="R33" t="str">
        <x:v>NO_DIRECT_ROUTE_CLAIM</x:v>
      </x:c>
    </x:row>
    <x:row r="34">
      <x:c r="A34" t="str">
        <x:v>supply.iron_ore.53e60340324c2065</x:v>
      </x:c>
      <x:c r="B34" t="str">
        <x:v>admin.han140.yizhou.shushuguo.maoniu</x:v>
      </x:c>
      <x:c r="C34" t="str">
        <x:v>admin.han140.yizhou.shushuguo.yijia</x:v>
      </x:c>
      <x:c r="D34" t="str">
        <x:v>IRON_ORE</x:v>
      </x:c>
      <x:c r="E34" t="str">
        <x:v>route.county.53e60340324c2065</x:v>
      </x:c>
      <x:c r="F34" t="str">
        <x:v>ROAD_PACK_CART_REFERENCE</x:v>
      </x:c>
      <x:c r="G34" t="n">
        <x:v>27.3</x:v>
      </x:c>
      <x:c r="H34" t="n">
        <x:v>1</x:v>
      </x:c>
      <x:c r="I34" t="n">
        <x:v>0</x:v>
      </x:c>
      <x:c r="J34" t="n">
        <x:v>0</x:v>
      </x:c>
      <x:c r="K34" t="n">
        <x:v>0</x:v>
      </x:c>
      <x:c r="L34" t="n">
        <x:v>0</x:v>
      </x:c>
      <x:c r="M34" t="n">
        <x:v>100</x:v>
      </x:c>
      <x:c r="N34" t="n">
        <x:v>982</x:v>
      </x:c>
      <x:c r="O34" t="str">
        <x:v>INTRA_PROVINCE</x:v>
      </x:c>
      <x:c r="P34" t="str">
        <x:v>COMMERCIAL</x:v>
      </x:c>
      <x:c r="Q34" t="str">
        <x:v>MODELED</x:v>
      </x:c>
      <x:c r="R34" t="str">
        <x:v>NO_DIRECT_ROUTE_CLAIM</x:v>
      </x:c>
    </x:row>
    <x:row r="35">
      <x:c r="A35" t="str">
        <x:v>supply.iron_ore.53e60340324c2065</x:v>
      </x:c>
      <x:c r="B35" t="str">
        <x:v>admin.han140.yizhou.shushuguo.maoniu</x:v>
      </x:c>
      <x:c r="C35" t="str">
        <x:v>admin.han140.yizhou.shushuguo.yijia</x:v>
      </x:c>
      <x:c r="D35" t="str">
        <x:v>IRON_ORE</x:v>
      </x:c>
      <x:c r="E35" t="str">
        <x:v>route.county.53e60340324c2065</x:v>
      </x:c>
      <x:c r="F35" t="str">
        <x:v>ROAD_PACK_CART_REFERENCE</x:v>
      </x:c>
      <x:c r="G35" t="n">
        <x:v>27.3</x:v>
      </x:c>
      <x:c r="H35" t="n">
        <x:v>1</x:v>
      </x:c>
      <x:c r="I35" t="n">
        <x:v>0</x:v>
      </x:c>
      <x:c r="J35" t="n">
        <x:v>0</x:v>
      </x:c>
      <x:c r="K35" t="n">
        <x:v>0</x:v>
      </x:c>
      <x:c r="L35" t="n">
        <x:v>0</x:v>
      </x:c>
      <x:c r="M35" t="n">
        <x:v>100</x:v>
      </x:c>
      <x:c r="N35" t="n">
        <x:v>982</x:v>
      </x:c>
      <x:c r="O35" t="str">
        <x:v>INTRA_PROVINCE</x:v>
      </x:c>
      <x:c r="P35" t="str">
        <x:v>COMMERCIAL</x:v>
      </x:c>
      <x:c r="Q35" t="str">
        <x:v>MODELED</x:v>
      </x:c>
      <x:c r="R35" t="str">
        <x:v>NO_DIRECT_ROUTE_CLAIM</x:v>
      </x:c>
    </x:row>
    <x:row r="36">
      <x:c r="A36" t="str">
        <x:v>supply.iron_ore.e2d87907f87f6dc3</x:v>
      </x:c>
      <x:c r="B36" t="str">
        <x:v>admin.han140.yizhou.yongchang.xielong</x:v>
      </x:c>
      <x:c r="C36" t="str">
        <x:v>admin.han140.yizhou.yongchang.bonan</x:v>
      </x:c>
      <x:c r="D36" t="str">
        <x:v>IRON_ORE</x:v>
      </x:c>
      <x:c r="E36" t="str">
        <x:v>route.county.275102a4f92609e5</x:v>
      </x:c>
      <x:c r="F36" t="str">
        <x:v>ROAD_PACK_CART_REFERENCE</x:v>
      </x:c>
      <x:c r="G36" t="n">
        <x:v>34</x:v>
      </x:c>
      <x:c r="H36" t="n">
        <x:v>2</x:v>
      </x:c>
      <x:c r="I36" t="n">
        <x:v>1906</x:v>
      </x:c>
      <x:c r="J36" t="n">
        <x:v>2383</x:v>
      </x:c>
      <x:c r="K36" t="n">
        <x:v>1906</x:v>
      </x:c>
      <x:c r="L36" t="n">
        <x:v>1886</x:v>
      </x:c>
      <x:c r="M36" t="n">
        <x:v>107</x:v>
      </x:c>
      <x:c r="N36" t="n">
        <x:v>1002</x:v>
      </x:c>
      <x:c r="O36" t="str">
        <x:v>INTRA_PROVINCE</x:v>
      </x:c>
      <x:c r="P36" t="str">
        <x:v>COMMERCIAL</x:v>
      </x:c>
      <x:c r="Q36" t="str">
        <x:v>MODELED</x:v>
      </x:c>
      <x:c r="R36" t="str">
        <x:v>NO_DIRECT_ROUTE_CLAIM</x:v>
      </x:c>
    </x:row>
    <x:row r="37">
      <x:c r="A37" t="str">
        <x:v>supply.iron_ore.e2d87907f87f6dc3</x:v>
      </x:c>
      <x:c r="B37" t="str">
        <x:v>admin.han140.yizhou.yongchang.xielong</x:v>
      </x:c>
      <x:c r="C37" t="str">
        <x:v>admin.han140.yizhou.yongchang.bonan</x:v>
      </x:c>
      <x:c r="D37" t="str">
        <x:v>IRON_ORE</x:v>
      </x:c>
      <x:c r="E37" t="str">
        <x:v>route.county.275102a4f92609e5</x:v>
      </x:c>
      <x:c r="F37" t="str">
        <x:v>ROAD_PACK_CART_REFERENCE</x:v>
      </x:c>
      <x:c r="G37" t="n">
        <x:v>34</x:v>
      </x:c>
      <x:c r="H37" t="n">
        <x:v>2</x:v>
      </x:c>
      <x:c r="I37" t="n">
        <x:v>20</x:v>
      </x:c>
      <x:c r="J37" t="n">
        <x:v>25</x:v>
      </x:c>
      <x:c r="K37" t="n">
        <x:v>20</x:v>
      </x:c>
      <x:c r="L37" t="n">
        <x:v>20</x:v>
      </x:c>
      <x:c r="M37" t="n">
        <x:v>107</x:v>
      </x:c>
      <x:c r="N37" t="n">
        <x:v>1002</x:v>
      </x:c>
      <x:c r="O37" t="str">
        <x:v>INTRA_PROVINCE</x:v>
      </x:c>
      <x:c r="P37" t="str">
        <x:v>COMMERCIAL</x:v>
      </x:c>
      <x:c r="Q37" t="str">
        <x:v>MODELED</x:v>
      </x:c>
      <x:c r="R37" t="str">
        <x:v>NO_DIRECT_ROUTE_CLAIM</x:v>
      </x:c>
    </x:row>
    <x:row r="38">
      <x:c r="A38" t="str">
        <x:v>supply.iron_ore.e2d87907f87f6dc3</x:v>
      </x:c>
      <x:c r="B38" t="str">
        <x:v>admin.han140.yizhou.yongchang.xielong</x:v>
      </x:c>
      <x:c r="C38" t="str">
        <x:v>admin.han140.yizhou.yongchang.bonan</x:v>
      </x:c>
      <x:c r="D38" t="str">
        <x:v>IRON_ORE</x:v>
      </x:c>
      <x:c r="E38" t="str">
        <x:v>route.county.275102a4f92609e5</x:v>
      </x:c>
      <x:c r="F38" t="str">
        <x:v>ROAD_PACK_CART_REFERENCE</x:v>
      </x:c>
      <x:c r="G38" t="n">
        <x:v>34</x:v>
      </x:c>
      <x:c r="H38" t="n">
        <x:v>2</x:v>
      </x:c>
      <x:c r="I38" t="n">
        <x:v>0</x:v>
      </x:c>
      <x:c r="J38" t="n">
        <x:v>0</x:v>
      </x:c>
      <x:c r="K38" t="n">
        <x:v>0</x:v>
      </x:c>
      <x:c r="L38" t="n">
        <x:v>0</x:v>
      </x:c>
      <x:c r="M38" t="n">
        <x:v>107</x:v>
      </x:c>
      <x:c r="N38" t="n">
        <x:v>1002</x:v>
      </x:c>
      <x:c r="O38" t="str">
        <x:v>INTRA_PROVINCE</x:v>
      </x:c>
      <x:c r="P38" t="str">
        <x:v>COMMERCIAL</x:v>
      </x:c>
      <x:c r="Q38" t="str">
        <x:v>MODELED</x:v>
      </x:c>
      <x:c r="R38" t="str">
        <x:v>NO_DIRECT_ROUTE_CLAIM</x:v>
      </x:c>
    </x:row>
    <x:row r="39">
      <x:c r="A39" t="str">
        <x:v>supply.iron_ore.e2d87907f87f6dc3</x:v>
      </x:c>
      <x:c r="B39" t="str">
        <x:v>admin.han140.yizhou.yongchang.xielong</x:v>
      </x:c>
      <x:c r="C39" t="str">
        <x:v>admin.han140.yizhou.yongchang.bonan</x:v>
      </x:c>
      <x:c r="D39" t="str">
        <x:v>IRON_ORE</x:v>
      </x:c>
      <x:c r="E39" t="str">
        <x:v>route.county.275102a4f92609e5</x:v>
      </x:c>
      <x:c r="F39" t="str">
        <x:v>ROAD_PACK_CART_REFERENCE</x:v>
      </x:c>
      <x:c r="G39" t="n">
        <x:v>34</x:v>
      </x:c>
      <x:c r="H39" t="n">
        <x:v>2</x:v>
      </x:c>
      <x:c r="I39" t="n">
        <x:v>0</x:v>
      </x:c>
      <x:c r="J39" t="n">
        <x:v>0</x:v>
      </x:c>
      <x:c r="K39" t="n">
        <x:v>0</x:v>
      </x:c>
      <x:c r="L39" t="n">
        <x:v>0</x:v>
      </x:c>
      <x:c r="M39" t="n">
        <x:v>107</x:v>
      </x:c>
      <x:c r="N39" t="n">
        <x:v>1002</x:v>
      </x:c>
      <x:c r="O39" t="str">
        <x:v>INTRA_PROVINCE</x:v>
      </x:c>
      <x:c r="P39" t="str">
        <x:v>COMMERCIAL</x:v>
      </x:c>
      <x:c r="Q39" t="str">
        <x:v>MODELED</x:v>
      </x:c>
      <x:c r="R39" t="str">
        <x:v>NO_DIRECT_ROUTE_CLAIM</x:v>
      </x:c>
    </x:row>
    <x:row r="40">
      <x:c r="A40" t="str">
        <x:v>supply.iron_ore.9ad75c9250d73a28</x:v>
      </x:c>
      <x:c r="B40" t="str">
        <x:v>admin.han140.yizhou.ba.yichang</x:v>
      </x:c>
      <x:c r="C40" t="str">
        <x:v>admin.han140.yizhou.ba.jiangzhou</x:v>
      </x:c>
      <x:c r="D40" t="str">
        <x:v>IRON_ORE</x:v>
      </x:c>
      <x:c r="E40" t="str">
        <x:v>route.county.b8c33f04fd5061a4</x:v>
      </x:c>
      <x:c r="F40" t="str">
        <x:v>ROAD_PACK_CART_REFERENCE</x:v>
      </x:c>
      <x:c r="G40" t="n">
        <x:v>8.9</x:v>
      </x:c>
      <x:c r="H40" t="n">
        <x:v>1</x:v>
      </x:c>
      <x:c r="I40" t="n">
        <x:v>1782</x:v>
      </x:c>
      <x:c r="J40" t="n">
        <x:v>2228</x:v>
      </x:c>
      <x:c r="K40" t="n">
        <x:v>1782</x:v>
      </x:c>
      <x:c r="L40" t="n">
        <x:v>1768</x:v>
      </x:c>
      <x:c r="M40" t="n">
        <x:v>80</x:v>
      </x:c>
      <x:c r="N40" t="n">
        <x:v>927</x:v>
      </x:c>
      <x:c r="O40" t="str">
        <x:v>INTRA_PROVINCE</x:v>
      </x:c>
      <x:c r="P40" t="str">
        <x:v>COMMERCIAL</x:v>
      </x:c>
      <x:c r="Q40" t="str">
        <x:v>MODELED</x:v>
      </x:c>
      <x:c r="R40" t="str">
        <x:v>NO_DIRECT_ROUTE_CLAIM</x:v>
      </x:c>
    </x:row>
    <x:row r="41">
      <x:c r="A41" t="str">
        <x:v>supply.iron_ore.9ad75c9250d73a28</x:v>
      </x:c>
      <x:c r="B41" t="str">
        <x:v>admin.han140.yizhou.ba.yichang</x:v>
      </x:c>
      <x:c r="C41" t="str">
        <x:v>admin.han140.yizhou.ba.jiangzhou</x:v>
      </x:c>
      <x:c r="D41" t="str">
        <x:v>IRON_ORE</x:v>
      </x:c>
      <x:c r="E41" t="str">
        <x:v>route.county.b8c33f04fd5061a4</x:v>
      </x:c>
      <x:c r="F41" t="str">
        <x:v>ROAD_PACK_CART_REFERENCE</x:v>
      </x:c>
      <x:c r="G41" t="n">
        <x:v>8.9</x:v>
      </x:c>
      <x:c r="H41" t="n">
        <x:v>1</x:v>
      </x:c>
      <x:c r="I41" t="n">
        <x:v>14</x:v>
      </x:c>
      <x:c r="J41" t="n">
        <x:v>18</x:v>
      </x:c>
      <x:c r="K41" t="n">
        <x:v>14</x:v>
      </x:c>
      <x:c r="L41" t="n">
        <x:v>14</x:v>
      </x:c>
      <x:c r="M41" t="n">
        <x:v>80</x:v>
      </x:c>
      <x:c r="N41" t="n">
        <x:v>927</x:v>
      </x:c>
      <x:c r="O41" t="str">
        <x:v>INTRA_PROVINCE</x:v>
      </x:c>
      <x:c r="P41" t="str">
        <x:v>COMMERCIAL</x:v>
      </x:c>
      <x:c r="Q41" t="str">
        <x:v>MODELED</x:v>
      </x:c>
      <x:c r="R41" t="str">
        <x:v>NO_DIRECT_ROUTE_CLAIM</x:v>
      </x:c>
    </x:row>
    <x:row r="42">
      <x:c r="A42" t="str">
        <x:v>supply.iron_ore.9ad75c9250d73a28</x:v>
      </x:c>
      <x:c r="B42" t="str">
        <x:v>admin.han140.yizhou.ba.yichang</x:v>
      </x:c>
      <x:c r="C42" t="str">
        <x:v>admin.han140.yizhou.ba.jiangzhou</x:v>
      </x:c>
      <x:c r="D42" t="str">
        <x:v>IRON_ORE</x:v>
      </x:c>
      <x:c r="E42" t="str">
        <x:v>route.county.b8c33f04fd5061a4</x:v>
      </x:c>
      <x:c r="F42" t="str">
        <x:v>ROAD_PACK_CART_REFERENCE</x:v>
      </x:c>
      <x:c r="G42" t="n">
        <x:v>8.9</x:v>
      </x:c>
      <x:c r="H42" t="n">
        <x:v>1</x:v>
      </x:c>
      <x:c r="I42" t="n">
        <x:v>0</x:v>
      </x:c>
      <x:c r="J42" t="n">
        <x:v>0</x:v>
      </x:c>
      <x:c r="K42" t="n">
        <x:v>0</x:v>
      </x:c>
      <x:c r="L42" t="n">
        <x:v>0</x:v>
      </x:c>
      <x:c r="M42" t="n">
        <x:v>80</x:v>
      </x:c>
      <x:c r="N42" t="n">
        <x:v>927</x:v>
      </x:c>
      <x:c r="O42" t="str">
        <x:v>INTRA_PROVINCE</x:v>
      </x:c>
      <x:c r="P42" t="str">
        <x:v>COMMERCIAL</x:v>
      </x:c>
      <x:c r="Q42" t="str">
        <x:v>MODELED</x:v>
      </x:c>
      <x:c r="R42" t="str">
        <x:v>NO_DIRECT_ROUTE_CLAIM</x:v>
      </x:c>
    </x:row>
    <x:row r="43">
      <x:c r="A43" t="str">
        <x:v>supply.iron_ore.9ad75c9250d73a28</x:v>
      </x:c>
      <x:c r="B43" t="str">
        <x:v>admin.han140.yizhou.ba.yichang</x:v>
      </x:c>
      <x:c r="C43" t="str">
        <x:v>admin.han140.yizhou.ba.jiangzhou</x:v>
      </x:c>
      <x:c r="D43" t="str">
        <x:v>IRON_ORE</x:v>
      </x:c>
      <x:c r="E43" t="str">
        <x:v>route.county.b8c33f04fd5061a4</x:v>
      </x:c>
      <x:c r="F43" t="str">
        <x:v>ROAD_PACK_CART_REFERENCE</x:v>
      </x:c>
      <x:c r="G43" t="n">
        <x:v>8.9</x:v>
      </x:c>
      <x:c r="H43" t="n">
        <x:v>1</x:v>
      </x:c>
      <x:c r="I43" t="n">
        <x:v>0</x:v>
      </x:c>
      <x:c r="J43" t="n">
        <x:v>0</x:v>
      </x:c>
      <x:c r="K43" t="n">
        <x:v>0</x:v>
      </x:c>
      <x:c r="L43" t="n">
        <x:v>0</x:v>
      </x:c>
      <x:c r="M43" t="n">
        <x:v>80</x:v>
      </x:c>
      <x:c r="N43" t="n">
        <x:v>927</x:v>
      </x:c>
      <x:c r="O43" t="str">
        <x:v>INTRA_PROVINCE</x:v>
      </x:c>
      <x:c r="P43" t="str">
        <x:v>COMMERCIAL</x:v>
      </x:c>
      <x:c r="Q43" t="str">
        <x:v>MODELED</x:v>
      </x:c>
      <x:c r="R43" t="str">
        <x:v>NO_DIRECT_ROUTE_CLAIM</x:v>
      </x:c>
    </x:row>
    <x:row r="44">
      <x:c r="A44" t="str">
        <x:v>supply.iron_ore.8534df3a4ac33549</x:v>
      </x:c>
      <x:c r="B44" t="str">
        <x:v>admin.han140.yizhou.shu.fan</x:v>
      </x:c>
      <x:c r="C44" t="str">
        <x:v>admin.han140.yizhou.shu.chengdu</x:v>
      </x:c>
      <x:c r="D44" t="str">
        <x:v>IRON_ORE</x:v>
      </x:c>
      <x:c r="E44" t="str">
        <x:v>route.county.432c2419f961b21c</x:v>
      </x:c>
      <x:c r="F44" t="str">
        <x:v>ROAD_PACK_CART_REFERENCE</x:v>
      </x:c>
      <x:c r="G44" t="n">
        <x:v>21.1</x:v>
      </x:c>
      <x:c r="H44" t="n">
        <x:v>1</x:v>
      </x:c>
      <x:c r="I44" t="n">
        <x:v>1746</x:v>
      </x:c>
      <x:c r="J44" t="n">
        <x:v>2183</x:v>
      </x:c>
      <x:c r="K44" t="n">
        <x:v>1746</x:v>
      </x:c>
      <x:c r="L44" t="n">
        <x:v>1730</x:v>
      </x:c>
      <x:c r="M44" t="n">
        <x:v>93</x:v>
      </x:c>
      <x:c r="N44" t="n">
        <x:v>963</x:v>
      </x:c>
      <x:c r="O44" t="str">
        <x:v>INTRA_PROVINCE</x:v>
      </x:c>
      <x:c r="P44" t="str">
        <x:v>COMMERCIAL</x:v>
      </x:c>
      <x:c r="Q44" t="str">
        <x:v>MODELED</x:v>
      </x:c>
      <x:c r="R44" t="str">
        <x:v>NO_DIRECT_ROUTE_CLAIM</x:v>
      </x:c>
    </x:row>
    <x:row r="45">
      <x:c r="A45" t="str">
        <x:v>supply.iron_ore.8534df3a4ac33549</x:v>
      </x:c>
      <x:c r="B45" t="str">
        <x:v>admin.han140.yizhou.shu.fan</x:v>
      </x:c>
      <x:c r="C45" t="str">
        <x:v>admin.han140.yizhou.shu.chengdu</x:v>
      </x:c>
      <x:c r="D45" t="str">
        <x:v>IRON_ORE</x:v>
      </x:c>
      <x:c r="E45" t="str">
        <x:v>route.county.432c2419f961b21c</x:v>
      </x:c>
      <x:c r="F45" t="str">
        <x:v>ROAD_PACK_CART_REFERENCE</x:v>
      </x:c>
      <x:c r="G45" t="n">
        <x:v>21.1</x:v>
      </x:c>
      <x:c r="H45" t="n">
        <x:v>1</x:v>
      </x:c>
      <x:c r="I45" t="n">
        <x:v>16</x:v>
      </x:c>
      <x:c r="J45" t="n">
        <x:v>20</x:v>
      </x:c>
      <x:c r="K45" t="n">
        <x:v>16</x:v>
      </x:c>
      <x:c r="L45" t="n">
        <x:v>16</x:v>
      </x:c>
      <x:c r="M45" t="n">
        <x:v>93</x:v>
      </x:c>
      <x:c r="N45" t="n">
        <x:v>963</x:v>
      </x:c>
      <x:c r="O45" t="str">
        <x:v>INTRA_PROVINCE</x:v>
      </x:c>
      <x:c r="P45" t="str">
        <x:v>COMMERCIAL</x:v>
      </x:c>
      <x:c r="Q45" t="str">
        <x:v>MODELED</x:v>
      </x:c>
      <x:c r="R45" t="str">
        <x:v>NO_DIRECT_ROUTE_CLAIM</x:v>
      </x:c>
    </x:row>
    <x:row r="46">
      <x:c r="A46" t="str">
        <x:v>supply.iron_ore.8534df3a4ac33549</x:v>
      </x:c>
      <x:c r="B46" t="str">
        <x:v>admin.han140.yizhou.shu.fan</x:v>
      </x:c>
      <x:c r="C46" t="str">
        <x:v>admin.han140.yizhou.shu.chengdu</x:v>
      </x:c>
      <x:c r="D46" t="str">
        <x:v>IRON_ORE</x:v>
      </x:c>
      <x:c r="E46" t="str">
        <x:v>route.county.432c2419f961b21c</x:v>
      </x:c>
      <x:c r="F46" t="str">
        <x:v>ROAD_PACK_CART_REFERENCE</x:v>
      </x:c>
      <x:c r="G46" t="n">
        <x:v>21.1</x:v>
      </x:c>
      <x:c r="H46" t="n">
        <x:v>1</x:v>
      </x:c>
      <x:c r="I46" t="n">
        <x:v>0</x:v>
      </x:c>
      <x:c r="J46" t="n">
        <x:v>0</x:v>
      </x:c>
      <x:c r="K46" t="n">
        <x:v>0</x:v>
      </x:c>
      <x:c r="L46" t="n">
        <x:v>0</x:v>
      </x:c>
      <x:c r="M46" t="n">
        <x:v>93</x:v>
      </x:c>
      <x:c r="N46" t="n">
        <x:v>963</x:v>
      </x:c>
      <x:c r="O46" t="str">
        <x:v>INTRA_PROVINCE</x:v>
      </x:c>
      <x:c r="P46" t="str">
        <x:v>COMMERCIAL</x:v>
      </x:c>
      <x:c r="Q46" t="str">
        <x:v>MODELED</x:v>
      </x:c>
      <x:c r="R46" t="str">
        <x:v>NO_DIRECT_ROUTE_CLAIM</x:v>
      </x:c>
    </x:row>
    <x:row r="47">
      <x:c r="A47" t="str">
        <x:v>supply.iron_ore.8534df3a4ac33549</x:v>
      </x:c>
      <x:c r="B47" t="str">
        <x:v>admin.han140.yizhou.shu.fan</x:v>
      </x:c>
      <x:c r="C47" t="str">
        <x:v>admin.han140.yizhou.shu.chengdu</x:v>
      </x:c>
      <x:c r="D47" t="str">
        <x:v>IRON_ORE</x:v>
      </x:c>
      <x:c r="E47" t="str">
        <x:v>route.county.432c2419f961b21c</x:v>
      </x:c>
      <x:c r="F47" t="str">
        <x:v>ROAD_PACK_CART_REFERENCE</x:v>
      </x:c>
      <x:c r="G47" t="n">
        <x:v>21.1</x:v>
      </x:c>
      <x:c r="H47" t="n">
        <x:v>1</x:v>
      </x:c>
      <x:c r="I47" t="n">
        <x:v>0</x:v>
      </x:c>
      <x:c r="J47" t="n">
        <x:v>0</x:v>
      </x:c>
      <x:c r="K47" t="n">
        <x:v>0</x:v>
      </x:c>
      <x:c r="L47" t="n">
        <x:v>0</x:v>
      </x:c>
      <x:c r="M47" t="n">
        <x:v>93</x:v>
      </x:c>
      <x:c r="N47" t="n">
        <x:v>963</x:v>
      </x:c>
      <x:c r="O47" t="str">
        <x:v>INTRA_PROVINCE</x:v>
      </x:c>
      <x:c r="P47" t="str">
        <x:v>COMMERCIAL</x:v>
      </x:c>
      <x:c r="Q47" t="str">
        <x:v>MODELED</x:v>
      </x:c>
      <x:c r="R47" t="str">
        <x:v>NO_DIRECT_ROUTE_CLAIM</x:v>
      </x:c>
    </x:row>
    <x:row r="48">
      <x:c r="A48" t="str">
        <x:v>supply.iron_ore.22fdc202a76a6ce2</x:v>
      </x:c>
      <x:c r="B48" t="str">
        <x:v>admin.han140.yizhou.yongchang.xielong</x:v>
      </x:c>
      <x:c r="C48" t="str">
        <x:v>admin.han140.yizhou.yongchang.yunnan</x:v>
      </x:c>
      <x:c r="D48" t="str">
        <x:v>IRON_ORE</x:v>
      </x:c>
      <x:c r="E48" t="str">
        <x:v>route.county.ea7ca9b94fa53ee1|route.county.268af0a92f8d2aed</x:v>
      </x:c>
      <x:c r="F48" t="str">
        <x:v>ROAD_PACK_CART_REFERENCE</x:v>
      </x:c>
      <x:c r="G48" t="n">
        <x:v>159.2</x:v>
      </x:c>
      <x:c r="H48" t="n">
        <x:v>6</x:v>
      </x:c>
      <x:c r="I48" t="n">
        <x:v>1693</x:v>
      </x:c>
      <x:c r="J48" t="n">
        <x:v>2116</x:v>
      </x:c>
      <x:c r="K48" t="n">
        <x:v>1693</x:v>
      </x:c>
      <x:c r="L48" t="n">
        <x:v>1652</x:v>
      </x:c>
      <x:c r="M48" t="n">
        <x:v>245</x:v>
      </x:c>
      <x:c r="N48" t="n">
        <x:v>1378</x:v>
      </x:c>
      <x:c r="O48" t="str">
        <x:v>INTRA_PROVINCE</x:v>
      </x:c>
      <x:c r="P48" t="str">
        <x:v>COMMERCIAL</x:v>
      </x:c>
      <x:c r="Q48" t="str">
        <x:v>MODELED</x:v>
      </x:c>
      <x:c r="R48" t="str">
        <x:v>NO_DIRECT_ROUTE_CLAIM</x:v>
      </x:c>
    </x:row>
    <x:row r="49">
      <x:c r="A49" t="str">
        <x:v>supply.iron_ore.22fdc202a76a6ce2</x:v>
      </x:c>
      <x:c r="B49" t="str">
        <x:v>admin.han140.yizhou.yongchang.xielong</x:v>
      </x:c>
      <x:c r="C49" t="str">
        <x:v>admin.han140.yizhou.yongchang.yunnan</x:v>
      </x:c>
      <x:c r="D49" t="str">
        <x:v>IRON_ORE</x:v>
      </x:c>
      <x:c r="E49" t="str">
        <x:v>route.county.ea7ca9b94fa53ee1|route.county.268af0a92f8d2aed</x:v>
      </x:c>
      <x:c r="F49" t="str">
        <x:v>ROAD_PACK_CART_REFERENCE</x:v>
      </x:c>
      <x:c r="G49" t="n">
        <x:v>159.2</x:v>
      </x:c>
      <x:c r="H49" t="n">
        <x:v>6</x:v>
      </x:c>
      <x:c r="I49" t="n">
        <x:v>41</x:v>
      </x:c>
      <x:c r="J49" t="n">
        <x:v>52</x:v>
      </x:c>
      <x:c r="K49" t="n">
        <x:v>41</x:v>
      </x:c>
      <x:c r="L49" t="n">
        <x:v>40</x:v>
      </x:c>
      <x:c r="M49" t="n">
        <x:v>245</x:v>
      </x:c>
      <x:c r="N49" t="n">
        <x:v>1378</x:v>
      </x:c>
      <x:c r="O49" t="str">
        <x:v>INTRA_PROVINCE</x:v>
      </x:c>
      <x:c r="P49" t="str">
        <x:v>COMMERCIAL</x:v>
      </x:c>
      <x:c r="Q49" t="str">
        <x:v>MODELED</x:v>
      </x:c>
      <x:c r="R49" t="str">
        <x:v>NO_DIRECT_ROUTE_CLAIM</x:v>
      </x:c>
    </x:row>
    <x:row r="50">
      <x:c r="A50" t="str">
        <x:v>supply.iron_ore.22fdc202a76a6ce2</x:v>
      </x:c>
      <x:c r="B50" t="str">
        <x:v>admin.han140.yizhou.yongchang.xielong</x:v>
      </x:c>
      <x:c r="C50" t="str">
        <x:v>admin.han140.yizhou.yongchang.yunnan</x:v>
      </x:c>
      <x:c r="D50" t="str">
        <x:v>IRON_ORE</x:v>
      </x:c>
      <x:c r="E50" t="str">
        <x:v>route.county.ea7ca9b94fa53ee1|route.county.268af0a92f8d2aed</x:v>
      </x:c>
      <x:c r="F50" t="str">
        <x:v>ROAD_PACK_CART_REFERENCE</x:v>
      </x:c>
      <x:c r="G50" t="n">
        <x:v>159.2</x:v>
      </x:c>
      <x:c r="H50" t="n">
        <x:v>6</x:v>
      </x:c>
      <x:c r="I50" t="n">
        <x:v>1</x:v>
      </x:c>
      <x:c r="J50" t="n">
        <x:v>1</x:v>
      </x:c>
      <x:c r="K50" t="n">
        <x:v>1</x:v>
      </x:c>
      <x:c r="L50" t="n">
        <x:v>1</x:v>
      </x:c>
      <x:c r="M50" t="n">
        <x:v>245</x:v>
      </x:c>
      <x:c r="N50" t="n">
        <x:v>1378</x:v>
      </x:c>
      <x:c r="O50" t="str">
        <x:v>INTRA_PROVINCE</x:v>
      </x:c>
      <x:c r="P50" t="str">
        <x:v>COMMERCIAL</x:v>
      </x:c>
      <x:c r="Q50" t="str">
        <x:v>MODELED</x:v>
      </x:c>
      <x:c r="R50" t="str">
        <x:v>NO_DIRECT_ROUTE_CLAIM</x:v>
      </x:c>
    </x:row>
    <x:row r="51">
      <x:c r="A51" t="str">
        <x:v>supply.iron_ore.22fdc202a76a6ce2</x:v>
      </x:c>
      <x:c r="B51" t="str">
        <x:v>admin.han140.yizhou.yongchang.xielong</x:v>
      </x:c>
      <x:c r="C51" t="str">
        <x:v>admin.han140.yizhou.yongchang.yunnan</x:v>
      </x:c>
      <x:c r="D51" t="str">
        <x:v>IRON_ORE</x:v>
      </x:c>
      <x:c r="E51" t="str">
        <x:v>route.county.ea7ca9b94fa53ee1|route.county.268af0a92f8d2aed</x:v>
      </x:c>
      <x:c r="F51" t="str">
        <x:v>ROAD_PACK_CART_REFERENCE</x:v>
      </x:c>
      <x:c r="G51" t="n">
        <x:v>159.2</x:v>
      </x:c>
      <x:c r="H51" t="n">
        <x:v>6</x:v>
      </x:c>
      <x:c r="I51" t="n">
        <x:v>0</x:v>
      </x:c>
      <x:c r="J51" t="n">
        <x:v>0</x:v>
      </x:c>
      <x:c r="K51" t="n">
        <x:v>0</x:v>
      </x:c>
      <x:c r="L51" t="n">
        <x:v>0</x:v>
      </x:c>
      <x:c r="M51" t="n">
        <x:v>245</x:v>
      </x:c>
      <x:c r="N51" t="n">
        <x:v>1378</x:v>
      </x:c>
      <x:c r="O51" t="str">
        <x:v>INTRA_PROVINCE</x:v>
      </x:c>
      <x:c r="P51" t="str">
        <x:v>COMMERCIAL</x:v>
      </x:c>
      <x:c r="Q51" t="str">
        <x:v>MODELED</x:v>
      </x:c>
      <x:c r="R51" t="str">
        <x:v>NO_DIRECT_ROUTE_CLAIM</x:v>
      </x:c>
    </x:row>
    <x:row r="52">
      <x:c r="A52" t="str">
        <x:v>supply.iron_ore.c9c92682b0b83101</x:v>
      </x:c>
      <x:c r="B52" t="str">
        <x:v>admin.han140.yizhou.guanghanshuguo.yinpingdao</x:v>
      </x:c>
      <x:c r="C52" t="str">
        <x:v>admin.han140.yizhou.shu.pi</x:v>
      </x:c>
      <x:c r="D52" t="str">
        <x:v>IRON_ORE</x:v>
      </x:c>
      <x:c r="E52" t="str">
        <x:v>route.county.c9c92682b0b83101</x:v>
      </x:c>
      <x:c r="F52" t="str">
        <x:v>ROAD_PACK_CART_REFERENCE</x:v>
      </x:c>
      <x:c r="G52" t="n">
        <x:v>27</x:v>
      </x:c>
      <x:c r="H52" t="n">
        <x:v>1</x:v>
      </x:c>
      <x:c r="I52" t="n">
        <x:v>1639</x:v>
      </x:c>
      <x:c r="J52" t="n">
        <x:v>2049</x:v>
      </x:c>
      <x:c r="K52" t="n">
        <x:v>1639</x:v>
      </x:c>
      <x:c r="L52" t="n">
        <x:v>1623</x:v>
      </x:c>
      <x:c r="M52" t="n">
        <x:v>100</x:v>
      </x:c>
      <x:c r="N52" t="n">
        <x:v>981</x:v>
      </x:c>
      <x:c r="O52" t="str">
        <x:v>INTRA_PROVINCE</x:v>
      </x:c>
      <x:c r="P52" t="str">
        <x:v>COMMERCIAL</x:v>
      </x:c>
      <x:c r="Q52" t="str">
        <x:v>MODELED</x:v>
      </x:c>
      <x:c r="R52" t="str">
        <x:v>NO_DIRECT_ROUTE_CLAIM</x:v>
      </x:c>
    </x:row>
    <x:row r="53">
      <x:c r="A53" t="str">
        <x:v>supply.iron_ore.c9c92682b0b83101</x:v>
      </x:c>
      <x:c r="B53" t="str">
        <x:v>admin.han140.yizhou.guanghanshuguo.yinpingdao</x:v>
      </x:c>
      <x:c r="C53" t="str">
        <x:v>admin.han140.yizhou.shu.pi</x:v>
      </x:c>
      <x:c r="D53" t="str">
        <x:v>IRON_ORE</x:v>
      </x:c>
      <x:c r="E53" t="str">
        <x:v>route.county.c9c92682b0b83101</x:v>
      </x:c>
      <x:c r="F53" t="str">
        <x:v>ROAD_PACK_CART_REFERENCE</x:v>
      </x:c>
      <x:c r="G53" t="n">
        <x:v>27</x:v>
      </x:c>
      <x:c r="H53" t="n">
        <x:v>1</x:v>
      </x:c>
      <x:c r="I53" t="n">
        <x:v>16</x:v>
      </x:c>
      <x:c r="J53" t="n">
        <x:v>20</x:v>
      </x:c>
      <x:c r="K53" t="n">
        <x:v>16</x:v>
      </x:c>
      <x:c r="L53" t="n">
        <x:v>16</x:v>
      </x:c>
      <x:c r="M53" t="n">
        <x:v>100</x:v>
      </x:c>
      <x:c r="N53" t="n">
        <x:v>981</x:v>
      </x:c>
      <x:c r="O53" t="str">
        <x:v>INTRA_PROVINCE</x:v>
      </x:c>
      <x:c r="P53" t="str">
        <x:v>COMMERCIAL</x:v>
      </x:c>
      <x:c r="Q53" t="str">
        <x:v>MODELED</x:v>
      </x:c>
      <x:c r="R53" t="str">
        <x:v>NO_DIRECT_ROUTE_CLAIM</x:v>
      </x:c>
    </x:row>
    <x:row r="54">
      <x:c r="A54" t="str">
        <x:v>supply.iron_ore.c9c92682b0b83101</x:v>
      </x:c>
      <x:c r="B54" t="str">
        <x:v>admin.han140.yizhou.guanghanshuguo.yinpingdao</x:v>
      </x:c>
      <x:c r="C54" t="str">
        <x:v>admin.han140.yizhou.shu.pi</x:v>
      </x:c>
      <x:c r="D54" t="str">
        <x:v>IRON_ORE</x:v>
      </x:c>
      <x:c r="E54" t="str">
        <x:v>route.county.c9c92682b0b83101</x:v>
      </x:c>
      <x:c r="F54" t="str">
        <x:v>ROAD_PACK_CART_REFERENCE</x:v>
      </x:c>
      <x:c r="G54" t="n">
        <x:v>27</x:v>
      </x:c>
      <x:c r="H54" t="n">
        <x:v>1</x:v>
      </x:c>
      <x:c r="I54" t="n">
        <x:v>0</x:v>
      </x:c>
      <x:c r="J54" t="n">
        <x:v>0</x:v>
      </x:c>
      <x:c r="K54" t="n">
        <x:v>0</x:v>
      </x:c>
      <x:c r="L54" t="n">
        <x:v>0</x:v>
      </x:c>
      <x:c r="M54" t="n">
        <x:v>100</x:v>
      </x:c>
      <x:c r="N54" t="n">
        <x:v>981</x:v>
      </x:c>
      <x:c r="O54" t="str">
        <x:v>INTRA_PROVINCE</x:v>
      </x:c>
      <x:c r="P54" t="str">
        <x:v>COMMERCIAL</x:v>
      </x:c>
      <x:c r="Q54" t="str">
        <x:v>MODELED</x:v>
      </x:c>
      <x:c r="R54" t="str">
        <x:v>NO_DIRECT_ROUTE_CLAIM</x:v>
      </x:c>
    </x:row>
    <x:row r="55">
      <x:c r="A55" t="str">
        <x:v>supply.iron_ore.c9c92682b0b83101</x:v>
      </x:c>
      <x:c r="B55" t="str">
        <x:v>admin.han140.yizhou.guanghanshuguo.yinpingdao</x:v>
      </x:c>
      <x:c r="C55" t="str">
        <x:v>admin.han140.yizhou.shu.pi</x:v>
      </x:c>
      <x:c r="D55" t="str">
        <x:v>IRON_ORE</x:v>
      </x:c>
      <x:c r="E55" t="str">
        <x:v>route.county.c9c92682b0b83101</x:v>
      </x:c>
      <x:c r="F55" t="str">
        <x:v>ROAD_PACK_CART_REFERENCE</x:v>
      </x:c>
      <x:c r="G55" t="n">
        <x:v>27</x:v>
      </x:c>
      <x:c r="H55" t="n">
        <x:v>1</x:v>
      </x:c>
      <x:c r="I55" t="n">
        <x:v>0</x:v>
      </x:c>
      <x:c r="J55" t="n">
        <x:v>0</x:v>
      </x:c>
      <x:c r="K55" t="n">
        <x:v>0</x:v>
      </x:c>
      <x:c r="L55" t="n">
        <x:v>0</x:v>
      </x:c>
      <x:c r="M55" t="n">
        <x:v>100</x:v>
      </x:c>
      <x:c r="N55" t="n">
        <x:v>981</x:v>
      </x:c>
      <x:c r="O55" t="str">
        <x:v>INTRA_PROVINCE</x:v>
      </x:c>
      <x:c r="P55" t="str">
        <x:v>COMMERCIAL</x:v>
      </x:c>
      <x:c r="Q55" t="str">
        <x:v>MODELED</x:v>
      </x:c>
      <x:c r="R55" t="str">
        <x:v>NO_DIRECT_ROUTE_CLAIM</x:v>
      </x:c>
    </x:row>
    <x:row r="56">
      <x:c r="A56" t="str">
        <x:v>supply.weapons.7830ab7404aec2b1</x:v>
      </x:c>
      <x:c r="B56" t="str">
        <x:v>admin.han140.jizhou.bohai.dongguang</x:v>
      </x:c>
      <x:c r="C56" t="str">
        <x:v>admin.han140.jizhou.bohai.zhonghe</x:v>
      </x:c>
      <x:c r="D56" t="str">
        <x:v>WEAPONS</x:v>
      </x:c>
      <x:c r="E56" t="str">
        <x:v>route.county.7830ab7404aec2b1</x:v>
      </x:c>
      <x:c r="F56" t="str">
        <x:v>ROAD_PACK_CART_REFERENCE</x:v>
      </x:c>
      <x:c r="G56" t="n">
        <x:v>21.3</x:v>
      </x:c>
      <x:c r="H56" t="n">
        <x:v>1</x:v>
      </x:c>
      <x:c r="I56" t="n">
        <x:v>56</x:v>
      </x:c>
      <x:c r="J56" t="n">
        <x:v>70</x:v>
      </x:c>
      <x:c r="K56" t="n">
        <x:v>56</x:v>
      </x:c>
      <x:c r="L56" t="n">
        <x:v>55</x:v>
      </x:c>
      <x:c r="M56" t="n">
        <x:v>93</x:v>
      </x:c>
      <x:c r="N56" t="n">
        <x:v>964</x:v>
      </x:c>
      <x:c r="O56" t="str">
        <x:v>INTRA_PROVINCE</x:v>
      </x:c>
      <x:c r="P56" t="str">
        <x:v>COMMERCIAL_OR_MILITARY</x:v>
      </x:c>
      <x:c r="Q56" t="str">
        <x:v>MODELED</x:v>
      </x:c>
      <x:c r="R56" t="str">
        <x:v>NO_DIRECT_ROUTE_CLAIM</x:v>
      </x:c>
    </x:row>
    <x:row r="57">
      <x:c r="A57" t="str">
        <x:v>supply.weapons.7830ab7404aec2b1</x:v>
      </x:c>
      <x:c r="B57" t="str">
        <x:v>admin.han140.jizhou.bohai.dongguang</x:v>
      </x:c>
      <x:c r="C57" t="str">
        <x:v>admin.han140.jizhou.bohai.zhonghe</x:v>
      </x:c>
      <x:c r="D57" t="str">
        <x:v>WEAPONS</x:v>
      </x:c>
      <x:c r="E57" t="str">
        <x:v>route.county.7830ab7404aec2b1</x:v>
      </x:c>
      <x:c r="F57" t="str">
        <x:v>ROAD_PACK_CART_REFERENCE</x:v>
      </x:c>
      <x:c r="G57" t="n">
        <x:v>21.3</x:v>
      </x:c>
      <x:c r="H57" t="n">
        <x:v>1</x:v>
      </x:c>
      <x:c r="I57" t="n">
        <x:v>1</x:v>
      </x:c>
      <x:c r="J57" t="n">
        <x:v>1</x:v>
      </x:c>
      <x:c r="K57" t="n">
        <x:v>1</x:v>
      </x:c>
      <x:c r="L57" t="n">
        <x:v>1</x:v>
      </x:c>
      <x:c r="M57" t="n">
        <x:v>93</x:v>
      </x:c>
      <x:c r="N57" t="n">
        <x:v>964</x:v>
      </x:c>
      <x:c r="O57" t="str">
        <x:v>INTRA_PROVINCE</x:v>
      </x:c>
      <x:c r="P57" t="str">
        <x:v>COMMERCIAL_OR_MILITARY</x:v>
      </x:c>
      <x:c r="Q57" t="str">
        <x:v>MODELED</x:v>
      </x:c>
      <x:c r="R57" t="str">
        <x:v>NO_DIRECT_ROUTE_CLAIM</x:v>
      </x:c>
    </x:row>
    <x:row r="58">
      <x:c r="A58" t="str">
        <x:v>supply.weapons.7830ab7404aec2b1</x:v>
      </x:c>
      <x:c r="B58" t="str">
        <x:v>admin.han140.jizhou.bohai.dongguang</x:v>
      </x:c>
      <x:c r="C58" t="str">
        <x:v>admin.han140.jizhou.bohai.zhonghe</x:v>
      </x:c>
      <x:c r="D58" t="str">
        <x:v>WEAPONS</x:v>
      </x:c>
      <x:c r="E58" t="str">
        <x:v>route.county.7830ab7404aec2b1</x:v>
      </x:c>
      <x:c r="F58" t="str">
        <x:v>ROAD_PACK_CART_REFERENCE</x:v>
      </x:c>
      <x:c r="G58" t="n">
        <x:v>21.3</x:v>
      </x:c>
      <x:c r="H58" t="n">
        <x:v>1</x:v>
      </x:c>
      <x:c r="I58" t="n">
        <x:v>0</x:v>
      </x:c>
      <x:c r="J58" t="n">
        <x:v>0</x:v>
      </x:c>
      <x:c r="K58" t="n">
        <x:v>0</x:v>
      </x:c>
      <x:c r="L58" t="n">
        <x:v>0</x:v>
      </x:c>
      <x:c r="M58" t="n">
        <x:v>93</x:v>
      </x:c>
      <x:c r="N58" t="n">
        <x:v>964</x:v>
      </x:c>
      <x:c r="O58" t="str">
        <x:v>INTRA_PROVINCE</x:v>
      </x:c>
      <x:c r="P58" t="str">
        <x:v>COMMERCIAL_OR_MILITARY</x:v>
      </x:c>
      <x:c r="Q58" t="str">
        <x:v>MODELED</x:v>
      </x:c>
      <x:c r="R58" t="str">
        <x:v>NO_DIRECT_ROUTE_CLAIM</x:v>
      </x:c>
    </x:row>
    <x:row r="59">
      <x:c r="A59" t="str">
        <x:v>supply.weapons.7830ab7404aec2b1</x:v>
      </x:c>
      <x:c r="B59" t="str">
        <x:v>admin.han140.jizhou.bohai.dongguang</x:v>
      </x:c>
      <x:c r="C59" t="str">
        <x:v>admin.han140.jizhou.bohai.zhonghe</x:v>
      </x:c>
      <x:c r="D59" t="str">
        <x:v>WEAPONS</x:v>
      </x:c>
      <x:c r="E59" t="str">
        <x:v>route.county.7830ab7404aec2b1</x:v>
      </x:c>
      <x:c r="F59" t="str">
        <x:v>ROAD_PACK_CART_REFERENCE</x:v>
      </x:c>
      <x:c r="G59" t="n">
        <x:v>21.3</x:v>
      </x:c>
      <x:c r="H59" t="n">
        <x:v>1</x:v>
      </x:c>
      <x:c r="I59" t="n">
        <x:v>0</x:v>
      </x:c>
      <x:c r="J59" t="n">
        <x:v>0</x:v>
      </x:c>
      <x:c r="K59" t="n">
        <x:v>0</x:v>
      </x:c>
      <x:c r="L59" t="n">
        <x:v>0</x:v>
      </x:c>
      <x:c r="M59" t="n">
        <x:v>93</x:v>
      </x:c>
      <x:c r="N59" t="n">
        <x:v>964</x:v>
      </x:c>
      <x:c r="O59" t="str">
        <x:v>INTRA_PROVINCE</x:v>
      </x:c>
      <x:c r="P59" t="str">
        <x:v>COMMERCIAL_OR_MILITARY</x:v>
      </x:c>
      <x:c r="Q59" t="str">
        <x:v>MODELED</x:v>
      </x:c>
      <x:c r="R59" t="str">
        <x:v>NO_DIRECT_ROUTE_CLAIM</x:v>
      </x:c>
    </x:row>
    <x:row r="60">
      <x:c r="A60" t="str">
        <x:v>supply.weapons.35b633575a2343d2</x:v>
      </x:c>
      <x:c r="B60" t="str">
        <x:v>admin.han140.yuzhou.liang.suiyang</x:v>
      </x:c>
      <x:c r="C60" t="str">
        <x:v>admin.han140.yuzhou.liang.xiayi</x:v>
      </x:c>
      <x:c r="D60" t="str">
        <x:v>WEAPONS</x:v>
      </x:c>
      <x:c r="E60" t="str">
        <x:v>route.county.35b633575a2343d2</x:v>
      </x:c>
      <x:c r="F60" t="str">
        <x:v>ROAD_PACK_CART_REFERENCE</x:v>
      </x:c>
      <x:c r="G60" t="n">
        <x:v>10.5</x:v>
      </x:c>
      <x:c r="H60" t="n">
        <x:v>1</x:v>
      </x:c>
      <x:c r="I60" t="n">
        <x:v>16</x:v>
      </x:c>
      <x:c r="J60" t="n">
        <x:v>20</x:v>
      </x:c>
      <x:c r="K60" t="n">
        <x:v>16</x:v>
      </x:c>
      <x:c r="L60" t="n">
        <x:v>16</x:v>
      </x:c>
      <x:c r="M60" t="n">
        <x:v>82</x:v>
      </x:c>
      <x:c r="N60" t="n">
        <x:v>932</x:v>
      </x:c>
      <x:c r="O60" t="str">
        <x:v>INTRA_PROVINCE</x:v>
      </x:c>
      <x:c r="P60" t="str">
        <x:v>COMMERCIAL_OR_MILITARY</x:v>
      </x:c>
      <x:c r="Q60" t="str">
        <x:v>MODELED</x:v>
      </x:c>
      <x:c r="R60" t="str">
        <x:v>NO_DIRECT_ROUTE_CLAIM</x:v>
      </x:c>
    </x:row>
    <x:row r="61">
      <x:c r="A61" t="str">
        <x:v>supply.weapons.724f148d82eb934d</x:v>
      </x:c>
      <x:c r="B61" t="str">
        <x:v>admin.han140.yuzhou.liang.yan</x:v>
      </x:c>
      <x:c r="C61" t="str">
        <x:v>admin.han140.yuzhou.liang.xiayi</x:v>
      </x:c>
      <x:c r="D61" t="str">
        <x:v>WEAPONS</x:v>
      </x:c>
      <x:c r="E61" t="str">
        <x:v>route.county.512e8a38b0820602</x:v>
      </x:c>
      <x:c r="F61" t="str">
        <x:v>ROAD_PACK_CART_REFERENCE</x:v>
      </x:c>
      <x:c r="G61" t="n">
        <x:v>13.8</x:v>
      </x:c>
      <x:c r="H61" t="n">
        <x:v>1</x:v>
      </x:c>
      <x:c r="I61" t="n">
        <x:v>5</x:v>
      </x:c>
      <x:c r="J61" t="n">
        <x:v>6</x:v>
      </x:c>
      <x:c r="K61" t="n">
        <x:v>5</x:v>
      </x:c>
      <x:c r="L61" t="n">
        <x:v>5</x:v>
      </x:c>
      <x:c r="M61" t="n">
        <x:v>85</x:v>
      </x:c>
      <x:c r="N61" t="n">
        <x:v>941</x:v>
      </x:c>
      <x:c r="O61" t="str">
        <x:v>INTRA_PROVINCE</x:v>
      </x:c>
      <x:c r="P61" t="str">
        <x:v>COMMERCIAL_OR_MILITARY</x:v>
      </x:c>
      <x:c r="Q61" t="str">
        <x:v>MODELED</x:v>
      </x:c>
      <x:c r="R61" t="str">
        <x:v>NO_DIRECT_ROUTE_CLAIM</x:v>
      </x:c>
    </x:row>
    <x:row r="62">
      <x:c r="A62" t="str">
        <x:v>supply.weapons.4b321a57f4d83a5c</x:v>
      </x:c>
      <x:c r="B62" t="str">
        <x:v>admin.han140.yuzhou.liang.gushou</x:v>
      </x:c>
      <x:c r="C62" t="str">
        <x:v>admin.han140.yuzhou.liang.xiayi</x:v>
      </x:c>
      <x:c r="D62" t="str">
        <x:v>WEAPONS</x:v>
      </x:c>
      <x:c r="E62" t="str">
        <x:v>route.county.4b321a57f4d83a5c</x:v>
      </x:c>
      <x:c r="F62" t="str">
        <x:v>ROAD_PACK_CART_REFERENCE</x:v>
      </x:c>
      <x:c r="G62" t="n">
        <x:v>31.6</x:v>
      </x:c>
      <x:c r="H62" t="n">
        <x:v>2</x:v>
      </x:c>
      <x:c r="I62" t="n">
        <x:v>4</x:v>
      </x:c>
      <x:c r="J62" t="n">
        <x:v>5</x:v>
      </x:c>
      <x:c r="K62" t="n">
        <x:v>4</x:v>
      </x:c>
      <x:c r="L62" t="n">
        <x:v>4</x:v>
      </x:c>
      <x:c r="M62" t="n">
        <x:v>105</x:v>
      </x:c>
      <x:c r="N62" t="n">
        <x:v>995</x:v>
      </x:c>
      <x:c r="O62" t="str">
        <x:v>INTRA_PROVINCE</x:v>
      </x:c>
      <x:c r="P62" t="str">
        <x:v>COMMERCIAL_OR_MILITARY</x:v>
      </x:c>
      <x:c r="Q62" t="str">
        <x:v>MODELED</x:v>
      </x:c>
      <x:c r="R62" t="str">
        <x:v>NO_DIRECT_ROUTE_CLAIM</x:v>
      </x:c>
    </x:row>
    <x:row r="63">
      <x:c r="A63" t="str">
        <x:v>supply.weapons.4b321a57f4d83a5c</x:v>
      </x:c>
      <x:c r="B63" t="str">
        <x:v>admin.han140.yuzhou.liang.gushou</x:v>
      </x:c>
      <x:c r="C63" t="str">
        <x:v>admin.han140.yuzhou.liang.xiayi</x:v>
      </x:c>
      <x:c r="D63" t="str">
        <x:v>WEAPONS</x:v>
      </x:c>
      <x:c r="E63" t="str">
        <x:v>route.county.4b321a57f4d83a5c</x:v>
      </x:c>
      <x:c r="F63" t="str">
        <x:v>ROAD_PACK_CART_REFERENCE</x:v>
      </x:c>
      <x:c r="G63" t="n">
        <x:v>31.6</x:v>
      </x:c>
      <x:c r="H63" t="n">
        <x:v>2</x:v>
      </x:c>
      <x:c r="I63" t="n">
        <x:v>0</x:v>
      </x:c>
      <x:c r="J63" t="n">
        <x:v>0</x:v>
      </x:c>
      <x:c r="K63" t="n">
        <x:v>0</x:v>
      </x:c>
      <x:c r="L63" t="n">
        <x:v>0</x:v>
      </x:c>
      <x:c r="M63" t="n">
        <x:v>105</x:v>
      </x:c>
      <x:c r="N63" t="n">
        <x:v>995</x:v>
      </x:c>
      <x:c r="O63" t="str">
        <x:v>INTRA_PROVINCE</x:v>
      </x:c>
      <x:c r="P63" t="str">
        <x:v>COMMERCIAL_OR_MILITARY</x:v>
      </x:c>
      <x:c r="Q63" t="str">
        <x:v>MODELED</x:v>
      </x:c>
      <x:c r="R63" t="str">
        <x:v>NO_DIRECT_ROUTE_CLAIM</x:v>
      </x:c>
    </x:row>
    <x:row r="64">
      <x:c r="A64" t="str">
        <x:v>supply.weapons.f47d456638475721</x:v>
      </x:c>
      <x:c r="B64" t="str">
        <x:v>admin.han140.jizhou.qinghe.dongwucheng</x:v>
      </x:c>
      <x:c r="C64" t="str">
        <x:v>admin.han140.jizhou.qinghe.beiqiu</x:v>
      </x:c>
      <x:c r="D64" t="str">
        <x:v>WEAPONS</x:v>
      </x:c>
      <x:c r="E64" t="str">
        <x:v>route.county.9931d6b1f77bc49a</x:v>
      </x:c>
      <x:c r="F64" t="str">
        <x:v>ROAD_PACK_CART_REFERENCE</x:v>
      </x:c>
      <x:c r="G64" t="n">
        <x:v>12.5</x:v>
      </x:c>
      <x:c r="H64" t="n">
        <x:v>1</x:v>
      </x:c>
      <x:c r="I64" t="n">
        <x:v>20</x:v>
      </x:c>
      <x:c r="J64" t="n">
        <x:v>25</x:v>
      </x:c>
      <x:c r="K64" t="n">
        <x:v>20</x:v>
      </x:c>
      <x:c r="L64" t="n">
        <x:v>20</x:v>
      </x:c>
      <x:c r="M64" t="n">
        <x:v>84</x:v>
      </x:c>
      <x:c r="N64" t="n">
        <x:v>938</x:v>
      </x:c>
      <x:c r="O64" t="str">
        <x:v>INTRA_PROVINCE</x:v>
      </x:c>
      <x:c r="P64" t="str">
        <x:v>COMMERCIAL_OR_MILITARY</x:v>
      </x:c>
      <x:c r="Q64" t="str">
        <x:v>MODELED</x:v>
      </x:c>
      <x:c r="R64" t="str">
        <x:v>NO_DIRECT_ROUTE_CLAIM</x:v>
      </x:c>
    </x:row>
    <x:row r="65">
      <x:c r="A65" t="str">
        <x:v>supply.weapons.ae3c5effb5d5542c</x:v>
      </x:c>
      <x:c r="B65" t="str">
        <x:v>admin.han140.jizhou.qinghe.yu</x:v>
      </x:c>
      <x:c r="C65" t="str">
        <x:v>admin.han140.jizhou.qinghe.beiqiu</x:v>
      </x:c>
      <x:c r="D65" t="str">
        <x:v>WEAPONS</x:v>
      </x:c>
      <x:c r="E65" t="str">
        <x:v>route.county.d84e08a8d804c2f9</x:v>
      </x:c>
      <x:c r="F65" t="str">
        <x:v>ROAD_PACK_CART_REFERENCE</x:v>
      </x:c>
      <x:c r="G65" t="n">
        <x:v>16.4</x:v>
      </x:c>
      <x:c r="H65" t="n">
        <x:v>1</x:v>
      </x:c>
      <x:c r="I65" t="n">
        <x:v>4</x:v>
      </x:c>
      <x:c r="J65" t="n">
        <x:v>5</x:v>
      </x:c>
      <x:c r="K65" t="n">
        <x:v>4</x:v>
      </x:c>
      <x:c r="L65" t="n">
        <x:v>4</x:v>
      </x:c>
      <x:c r="M65" t="n">
        <x:v>88</x:v>
      </x:c>
      <x:c r="N65" t="n">
        <x:v>949</x:v>
      </x:c>
      <x:c r="O65" t="str">
        <x:v>INTRA_PROVINCE</x:v>
      </x:c>
      <x:c r="P65" t="str">
        <x:v>COMMERCIAL_OR_MILITARY</x:v>
      </x:c>
      <x:c r="Q65" t="str">
        <x:v>MODELED</x:v>
      </x:c>
      <x:c r="R65" t="str">
        <x:v>NO_DIRECT_ROUTE_CLAIM</x:v>
      </x:c>
    </x:row>
    <x:row r="66">
      <x:c r="A66" t="str">
        <x:v>supply.weapons.ae3c5effb5d5542c</x:v>
      </x:c>
      <x:c r="B66" t="str">
        <x:v>admin.han140.jizhou.qinghe.yu</x:v>
      </x:c>
      <x:c r="C66" t="str">
        <x:v>admin.han140.jizhou.qinghe.beiqiu</x:v>
      </x:c>
      <x:c r="D66" t="str">
        <x:v>WEAPONS</x:v>
      </x:c>
      <x:c r="E66" t="str">
        <x:v>route.county.d84e08a8d804c2f9</x:v>
      </x:c>
      <x:c r="F66" t="str">
        <x:v>ROAD_PACK_CART_REFERENCE</x:v>
      </x:c>
      <x:c r="G66" t="n">
        <x:v>16.4</x:v>
      </x:c>
      <x:c r="H66" t="n">
        <x:v>1</x:v>
      </x:c>
      <x:c r="I66" t="n">
        <x:v>0</x:v>
      </x:c>
      <x:c r="J66" t="n">
        <x:v>0</x:v>
      </x:c>
      <x:c r="K66" t="n">
        <x:v>0</x:v>
      </x:c>
      <x:c r="L66" t="n">
        <x:v>0</x:v>
      </x:c>
      <x:c r="M66" t="n">
        <x:v>88</x:v>
      </x:c>
      <x:c r="N66" t="n">
        <x:v>949</x:v>
      </x:c>
      <x:c r="O66" t="str">
        <x:v>INTRA_PROVINCE</x:v>
      </x:c>
      <x:c r="P66" t="str">
        <x:v>COMMERCIAL_OR_MILITARY</x:v>
      </x:c>
      <x:c r="Q66" t="str">
        <x:v>MODELED</x:v>
      </x:c>
      <x:c r="R66" t="str">
        <x:v>NO_DIRECT_ROUTE_CLAIM</x:v>
      </x:c>
    </x:row>
    <x:row r="67">
      <x:c r="A67" t="str">
        <x:v>supply.weapons.ae3c5effb5d5542c</x:v>
      </x:c>
      <x:c r="B67" t="str">
        <x:v>admin.han140.jizhou.qinghe.yu</x:v>
      </x:c>
      <x:c r="C67" t="str">
        <x:v>admin.han140.jizhou.qinghe.beiqiu</x:v>
      </x:c>
      <x:c r="D67" t="str">
        <x:v>WEAPONS</x:v>
      </x:c>
      <x:c r="E67" t="str">
        <x:v>route.county.d84e08a8d804c2f9</x:v>
      </x:c>
      <x:c r="F67" t="str">
        <x:v>ROAD_PACK_CART_REFERENCE</x:v>
      </x:c>
      <x:c r="G67" t="n">
        <x:v>16.4</x:v>
      </x:c>
      <x:c r="H67" t="n">
        <x:v>1</x:v>
      </x:c>
      <x:c r="I67" t="n">
        <x:v>0</x:v>
      </x:c>
      <x:c r="J67" t="n">
        <x:v>0</x:v>
      </x:c>
      <x:c r="K67" t="n">
        <x:v>0</x:v>
      </x:c>
      <x:c r="L67" t="n">
        <x:v>0</x:v>
      </x:c>
      <x:c r="M67" t="n">
        <x:v>88</x:v>
      </x:c>
      <x:c r="N67" t="n">
        <x:v>949</x:v>
      </x:c>
      <x:c r="O67" t="str">
        <x:v>INTRA_PROVINCE</x:v>
      </x:c>
      <x:c r="P67" t="str">
        <x:v>COMMERCIAL_OR_MILITARY</x:v>
      </x:c>
      <x:c r="Q67" t="str">
        <x:v>MODELED</x:v>
      </x:c>
      <x:c r="R67" t="str">
        <x:v>NO_DIRECT_ROUTE_CLAIM</x:v>
      </x:c>
    </x:row>
    <x:row r="68">
      <x:c r="A68" t="str">
        <x:v>supply.weapons.c049eced9b04190e</x:v>
      </x:c>
      <x:c r="B68" t="str">
        <x:v>admin.han140.jizhou.bohai.xiu</x:v>
      </x:c>
      <x:c r="C68" t="str">
        <x:v>admin.han140.jizhou.bohai.zhangwu</x:v>
      </x:c>
      <x:c r="D68" t="str">
        <x:v>WEAPONS</x:v>
      </x:c>
      <x:c r="E68" t="str">
        <x:v>route.county.c049eced9b04190e</x:v>
      </x:c>
      <x:c r="F68" t="str">
        <x:v>ROAD_PACK_CART_REFERENCE</x:v>
      </x:c>
      <x:c r="G68" t="n">
        <x:v>22.7</x:v>
      </x:c>
      <x:c r="H68" t="n">
        <x:v>1</x:v>
      </x:c>
      <x:c r="I68" t="n">
        <x:v>23</x:v>
      </x:c>
      <x:c r="J68" t="n">
        <x:v>29</x:v>
      </x:c>
      <x:c r="K68" t="n">
        <x:v>23</x:v>
      </x:c>
      <x:c r="L68" t="n">
        <x:v>23</x:v>
      </x:c>
      <x:c r="M68" t="n">
        <x:v>95</x:v>
      </x:c>
      <x:c r="N68" t="n">
        <x:v>968</x:v>
      </x:c>
      <x:c r="O68" t="str">
        <x:v>INTRA_PROVINCE</x:v>
      </x:c>
      <x:c r="P68" t="str">
        <x:v>COMMERCIAL_OR_MILITARY</x:v>
      </x:c>
      <x:c r="Q68" t="str">
        <x:v>MODELED</x:v>
      </x:c>
      <x:c r="R68" t="str">
        <x:v>NO_DIRECT_ROUTE_CLAIM</x:v>
      </x:c>
    </x:row>
    <x:row r="69">
      <x:c r="A69" t="str">
        <x:v>supply.weapons.c049eced9b04190e</x:v>
      </x:c>
      <x:c r="B69" t="str">
        <x:v>admin.han140.jizhou.bohai.xiu</x:v>
      </x:c>
      <x:c r="C69" t="str">
        <x:v>admin.han140.jizhou.bohai.zhangwu</x:v>
      </x:c>
      <x:c r="D69" t="str">
        <x:v>WEAPONS</x:v>
      </x:c>
      <x:c r="E69" t="str">
        <x:v>route.county.c049eced9b04190e</x:v>
      </x:c>
      <x:c r="F69" t="str">
        <x:v>ROAD_PACK_CART_REFERENCE</x:v>
      </x:c>
      <x:c r="G69" t="n">
        <x:v>22.7</x:v>
      </x:c>
      <x:c r="H69" t="n">
        <x:v>1</x:v>
      </x:c>
      <x:c r="I69" t="n">
        <x:v>0</x:v>
      </x:c>
      <x:c r="J69" t="n">
        <x:v>0</x:v>
      </x:c>
      <x:c r="K69" t="n">
        <x:v>0</x:v>
      </x:c>
      <x:c r="L69" t="n">
        <x:v>0</x:v>
      </x:c>
      <x:c r="M69" t="n">
        <x:v>95</x:v>
      </x:c>
      <x:c r="N69" t="n">
        <x:v>968</x:v>
      </x:c>
      <x:c r="O69" t="str">
        <x:v>INTRA_PROVINCE</x:v>
      </x:c>
      <x:c r="P69" t="str">
        <x:v>COMMERCIAL_OR_MILITARY</x:v>
      </x:c>
      <x:c r="Q69" t="str">
        <x:v>MODELED</x:v>
      </x:c>
      <x:c r="R69" t="str">
        <x:v>NO_DIRECT_ROUTE_CLAIM</x:v>
      </x:c>
    </x:row>
    <x:row r="70">
      <x:c r="A70" t="str">
        <x:v>supply.weapons.c049eced9b04190e</x:v>
      </x:c>
      <x:c r="B70" t="str">
        <x:v>admin.han140.jizhou.bohai.xiu</x:v>
      </x:c>
      <x:c r="C70" t="str">
        <x:v>admin.han140.jizhou.bohai.zhangwu</x:v>
      </x:c>
      <x:c r="D70" t="str">
        <x:v>WEAPONS</x:v>
      </x:c>
      <x:c r="E70" t="str">
        <x:v>route.county.c049eced9b04190e</x:v>
      </x:c>
      <x:c r="F70" t="str">
        <x:v>ROAD_PACK_CART_REFERENCE</x:v>
      </x:c>
      <x:c r="G70" t="n">
        <x:v>22.7</x:v>
      </x:c>
      <x:c r="H70" t="n">
        <x:v>1</x:v>
      </x:c>
      <x:c r="I70" t="n">
        <x:v>0</x:v>
      </x:c>
      <x:c r="J70" t="n">
        <x:v>0</x:v>
      </x:c>
      <x:c r="K70" t="n">
        <x:v>0</x:v>
      </x:c>
      <x:c r="L70" t="n">
        <x:v>0</x:v>
      </x:c>
      <x:c r="M70" t="n">
        <x:v>95</x:v>
      </x:c>
      <x:c r="N70" t="n">
        <x:v>968</x:v>
      </x:c>
      <x:c r="O70" t="str">
        <x:v>INTRA_PROVINCE</x:v>
      </x:c>
      <x:c r="P70" t="str">
        <x:v>COMMERCIAL_OR_MILITARY</x:v>
      </x:c>
      <x:c r="Q70" t="str">
        <x:v>MODELED</x:v>
      </x:c>
      <x:c r="R70" t="str">
        <x:v>NO_DIRECT_ROUTE_CLAIM</x:v>
      </x:c>
    </x:row>
    <x:row r="71">
      <x:c r="A71" t="str">
        <x:v>supply.weapons.c049eced9b04190e</x:v>
      </x:c>
      <x:c r="B71" t="str">
        <x:v>admin.han140.jizhou.bohai.xiu</x:v>
      </x:c>
      <x:c r="C71" t="str">
        <x:v>admin.han140.jizhou.bohai.zhangwu</x:v>
      </x:c>
      <x:c r="D71" t="str">
        <x:v>WEAPONS</x:v>
      </x:c>
      <x:c r="E71" t="str">
        <x:v>route.county.c049eced9b04190e</x:v>
      </x:c>
      <x:c r="F71" t="str">
        <x:v>ROAD_PACK_CART_REFERENCE</x:v>
      </x:c>
      <x:c r="G71" t="n">
        <x:v>22.7</x:v>
      </x:c>
      <x:c r="H71" t="n">
        <x:v>1</x:v>
      </x:c>
      <x:c r="I71" t="n">
        <x:v>0</x:v>
      </x:c>
      <x:c r="J71" t="n">
        <x:v>0</x:v>
      </x:c>
      <x:c r="K71" t="n">
        <x:v>0</x:v>
      </x:c>
      <x:c r="L71" t="n">
        <x:v>0</x:v>
      </x:c>
      <x:c r="M71" t="n">
        <x:v>95</x:v>
      </x:c>
      <x:c r="N71" t="n">
        <x:v>968</x:v>
      </x:c>
      <x:c r="O71" t="str">
        <x:v>INTRA_PROVINCE</x:v>
      </x:c>
      <x:c r="P71" t="str">
        <x:v>COMMERCIAL_OR_MILITARY</x:v>
      </x:c>
      <x:c r="Q71" t="str">
        <x:v>MODELED</x:v>
      </x:c>
      <x:c r="R71" t="str">
        <x:v>NO_DIRECT_ROUTE_CLAIM</x:v>
      </x:c>
    </x:row>
    <x:row r="72">
      <x:c r="A72" t="str">
        <x:v>supply.weapons.125bd0edb281a889</x:v>
      </x:c>
      <x:c r="B72" t="str">
        <x:v>admin.han140.yuzhou.runan.tongyang</x:v>
      </x:c>
      <x:c r="C72" t="str">
        <x:v>admin.han140.yuzhou.runan.wufang</x:v>
      </x:c>
      <x:c r="D72" t="str">
        <x:v>WEAPONS</x:v>
      </x:c>
      <x:c r="E72" t="str">
        <x:v>route.county.125bd0edb281a889</x:v>
      </x:c>
      <x:c r="F72" t="str">
        <x:v>ROAD_PACK_CART_REFERENCE</x:v>
      </x:c>
      <x:c r="G72" t="n">
        <x:v>11.6</x:v>
      </x:c>
      <x:c r="H72" t="n">
        <x:v>1</x:v>
      </x:c>
      <x:c r="I72" t="n">
        <x:v>3</x:v>
      </x:c>
      <x:c r="J72" t="n">
        <x:v>4</x:v>
      </x:c>
      <x:c r="K72" t="n">
        <x:v>3</x:v>
      </x:c>
      <x:c r="L72" t="n">
        <x:v>3</x:v>
      </x:c>
      <x:c r="M72" t="n">
        <x:v>83</x:v>
      </x:c>
      <x:c r="N72" t="n">
        <x:v>935</x:v>
      </x:c>
      <x:c r="O72" t="str">
        <x:v>INTRA_PROVINCE</x:v>
      </x:c>
      <x:c r="P72" t="str">
        <x:v>COMMERCIAL_OR_MILITARY</x:v>
      </x:c>
      <x:c r="Q72" t="str">
        <x:v>MODELED</x:v>
      </x:c>
      <x:c r="R72" t="str">
        <x:v>NO_DIRECT_ROUTE_CLAIM</x:v>
      </x:c>
    </x:row>
    <x:row r="73">
      <x:c r="A73" t="str">
        <x:v>supply.weapons.0d54d57866f52fdb</x:v>
      </x:c>
      <x:c r="B73" t="str">
        <x:v>admin.han140.yuzhou.runan.xincai</x:v>
      </x:c>
      <x:c r="C73" t="str">
        <x:v>admin.han140.yuzhou.runan.wufang</x:v>
      </x:c>
      <x:c r="D73" t="str">
        <x:v>WEAPONS</x:v>
      </x:c>
      <x:c r="E73" t="str">
        <x:v>route.county.b012f8cf3436f5a0</x:v>
      </x:c>
      <x:c r="F73" t="str">
        <x:v>ROAD_PACK_CART_REFERENCE</x:v>
      </x:c>
      <x:c r="G73" t="n">
        <x:v>13.2</x:v>
      </x:c>
      <x:c r="H73" t="n">
        <x:v>1</x:v>
      </x:c>
      <x:c r="I73" t="n">
        <x:v>11</x:v>
      </x:c>
      <x:c r="J73" t="n">
        <x:v>14</x:v>
      </x:c>
      <x:c r="K73" t="n">
        <x:v>11</x:v>
      </x:c>
      <x:c r="L73" t="n">
        <x:v>11</x:v>
      </x:c>
      <x:c r="M73" t="n">
        <x:v>85</x:v>
      </x:c>
      <x:c r="N73" t="n">
        <x:v>940</x:v>
      </x:c>
      <x:c r="O73" t="str">
        <x:v>INTRA_PROVINCE</x:v>
      </x:c>
      <x:c r="P73" t="str">
        <x:v>COMMERCIAL_OR_MILITARY</x:v>
      </x:c>
      <x:c r="Q73" t="str">
        <x:v>MODELED</x:v>
      </x:c>
      <x:c r="R73" t="str">
        <x:v>NO_DIRECT_ROUTE_CLAIM</x:v>
      </x:c>
    </x:row>
    <x:row r="74">
      <x:c r="A74" t="str">
        <x:v>supply.weapons.e04fad305aa40f86</x:v>
      </x:c>
      <x:c r="B74" t="str">
        <x:v>admin.han140.yuzhou.runan.song</x:v>
      </x:c>
      <x:c r="C74" t="str">
        <x:v>admin.han140.yuzhou.runan.wufang</x:v>
      </x:c>
      <x:c r="D74" t="str">
        <x:v>WEAPONS</x:v>
      </x:c>
      <x:c r="E74" t="str">
        <x:v>route.county.e04fad305aa40f86</x:v>
      </x:c>
      <x:c r="F74" t="str">
        <x:v>ROAD_PACK_CART_REFERENCE</x:v>
      </x:c>
      <x:c r="G74" t="n">
        <x:v>16.6</x:v>
      </x:c>
      <x:c r="H74" t="n">
        <x:v>1</x:v>
      </x:c>
      <x:c r="I74" t="n">
        <x:v>9</x:v>
      </x:c>
      <x:c r="J74" t="n">
        <x:v>11</x:v>
      </x:c>
      <x:c r="K74" t="n">
        <x:v>9</x:v>
      </x:c>
      <x:c r="L74" t="n">
        <x:v>9</x:v>
      </x:c>
      <x:c r="M74" t="n">
        <x:v>88</x:v>
      </x:c>
      <x:c r="N74" t="n">
        <x:v>950</x:v>
      </x:c>
      <x:c r="O74" t="str">
        <x:v>INTRA_PROVINCE</x:v>
      </x:c>
      <x:c r="P74" t="str">
        <x:v>COMMERCIAL_OR_MILITARY</x:v>
      </x:c>
      <x:c r="Q74" t="str">
        <x:v>MODELED</x:v>
      </x:c>
      <x:c r="R74" t="str">
        <x:v>NO_DIRECT_ROUTE_CLAIM</x:v>
      </x:c>
    </x:row>
    <x:row r="75">
      <x:c r="A75" t="str">
        <x:v>supply.weapons.e04fad305aa40f86</x:v>
      </x:c>
      <x:c r="B75" t="str">
        <x:v>admin.han140.yuzhou.runan.song</x:v>
      </x:c>
      <x:c r="C75" t="str">
        <x:v>admin.han140.yuzhou.runan.wufang</x:v>
      </x:c>
      <x:c r="D75" t="str">
        <x:v>WEAPONS</x:v>
      </x:c>
      <x:c r="E75" t="str">
        <x:v>route.county.e04fad305aa40f86</x:v>
      </x:c>
      <x:c r="F75" t="str">
        <x:v>ROAD_PACK_CART_REFERENCE</x:v>
      </x:c>
      <x:c r="G75" t="n">
        <x:v>16.6</x:v>
      </x:c>
      <x:c r="H75" t="n">
        <x:v>1</x:v>
      </x:c>
      <x:c r="I75" t="n">
        <x:v>0</x:v>
      </x:c>
      <x:c r="J75" t="n">
        <x:v>0</x:v>
      </x:c>
      <x:c r="K75" t="n">
        <x:v>0</x:v>
      </x:c>
      <x:c r="L75" t="n">
        <x:v>0</x:v>
      </x:c>
      <x:c r="M75" t="n">
        <x:v>88</x:v>
      </x:c>
      <x:c r="N75" t="n">
        <x:v>950</x:v>
      </x:c>
      <x:c r="O75" t="str">
        <x:v>INTRA_PROVINCE</x:v>
      </x:c>
      <x:c r="P75" t="str">
        <x:v>COMMERCIAL_OR_MILITARY</x:v>
      </x:c>
      <x:c r="Q75" t="str">
        <x:v>MODELED</x:v>
      </x:c>
      <x:c r="R75" t="str">
        <x:v>NO_DIRECT_ROUTE_CLAIM</x:v>
      </x:c>
    </x:row>
    <x:row r="76">
      <x:c r="A76" t="str">
        <x:v>supply.weapons.73fa244e53c67922</x:v>
      </x:c>
      <x:c r="B76" t="str">
        <x:v>admin.han140.jizhou.changshan.shangai</x:v>
      </x:c>
      <x:c r="C76" t="str">
        <x:v>admin.han140.jizhou.changshan.yuanshi</x:v>
      </x:c>
      <x:c r="D76" t="str">
        <x:v>WEAPONS</x:v>
      </x:c>
      <x:c r="E76" t="str">
        <x:v>route.county.73fa244e53c67922</x:v>
      </x:c>
      <x:c r="F76" t="str">
        <x:v>ROAD_PACK_CART_REFERENCE</x:v>
      </x:c>
      <x:c r="G76" t="n">
        <x:v>12.9</x:v>
      </x:c>
      <x:c r="H76" t="n">
        <x:v>1</x:v>
      </x:c>
      <x:c r="I76" t="n">
        <x:v>3</x:v>
      </x:c>
      <x:c r="J76" t="n">
        <x:v>4</x:v>
      </x:c>
      <x:c r="K76" t="n">
        <x:v>3</x:v>
      </x:c>
      <x:c r="L76" t="n">
        <x:v>3</x:v>
      </x:c>
      <x:c r="M76" t="n">
        <x:v>84</x:v>
      </x:c>
      <x:c r="N76" t="n">
        <x:v>939</x:v>
      </x:c>
      <x:c r="O76" t="str">
        <x:v>INTRA_PROVINCE</x:v>
      </x:c>
      <x:c r="P76" t="str">
        <x:v>COMMERCIAL_OR_MILITARY</x:v>
      </x:c>
      <x:c r="Q76" t="str">
        <x:v>MODELED</x:v>
      </x:c>
      <x:c r="R76" t="str">
        <x:v>NO_DIRECT_ROUTE_CLAIM</x:v>
      </x:c>
    </x:row>
    <x:row r="77">
      <x:c r="A77" t="str">
        <x:v>supply.weapons.47f6ea8b4f3b1cbc</x:v>
      </x:c>
      <x:c r="B77" t="str">
        <x:v>admin.han140.jizhou.changshan.zhending</x:v>
      </x:c>
      <x:c r="C77" t="str">
        <x:v>admin.han140.jizhou.changshan.yuanshi</x:v>
      </x:c>
      <x:c r="D77" t="str">
        <x:v>WEAPONS</x:v>
      </x:c>
      <x:c r="E77" t="str">
        <x:v>route.county.09468e0d4c24f4bc</x:v>
      </x:c>
      <x:c r="F77" t="str">
        <x:v>ROAD_PACK_CART_REFERENCE</x:v>
      </x:c>
      <x:c r="G77" t="n">
        <x:v>19.6</x:v>
      </x:c>
      <x:c r="H77" t="n">
        <x:v>1</x:v>
      </x:c>
      <x:c r="I77" t="n">
        <x:v>13</x:v>
      </x:c>
      <x:c r="J77" t="n">
        <x:v>16</x:v>
      </x:c>
      <x:c r="K77" t="n">
        <x:v>13</x:v>
      </x:c>
      <x:c r="L77" t="n">
        <x:v>13</x:v>
      </x:c>
      <x:c r="M77" t="n">
        <x:v>92</x:v>
      </x:c>
      <x:c r="N77" t="n">
        <x:v>959</x:v>
      </x:c>
      <x:c r="O77" t="str">
        <x:v>INTRA_PROVINCE</x:v>
      </x:c>
      <x:c r="P77" t="str">
        <x:v>COMMERCIAL_OR_MILITARY</x:v>
      </x:c>
      <x:c r="Q77" t="str">
        <x:v>MODELED</x:v>
      </x:c>
      <x:c r="R77" t="str">
        <x:v>NO_DIRECT_ROUTE_CLAIM</x:v>
      </x:c>
    </x:row>
    <x:row r="78">
      <x:c r="A78" t="str">
        <x:v>supply.weapons.87b17010bd0f0587</x:v>
      </x:c>
      <x:c r="B78" t="str">
        <x:v>admin.han140.jizhou.changshan.duxiang</x:v>
      </x:c>
      <x:c r="C78" t="str">
        <x:v>admin.han140.jizhou.changshan.yuanshi</x:v>
      </x:c>
      <x:c r="D78" t="str">
        <x:v>WEAPONS</x:v>
      </x:c>
      <x:c r="E78" t="str">
        <x:v>route.county.87b17010bd0f0587</x:v>
      </x:c>
      <x:c r="F78" t="str">
        <x:v>ROAD_PACK_CART_REFERENCE</x:v>
      </x:c>
      <x:c r="G78" t="n">
        <x:v>23.1</x:v>
      </x:c>
      <x:c r="H78" t="n">
        <x:v>1</x:v>
      </x:c>
      <x:c r="I78" t="n">
        <x:v>5</x:v>
      </x:c>
      <x:c r="J78" t="n">
        <x:v>6</x:v>
      </x:c>
      <x:c r="K78" t="n">
        <x:v>5</x:v>
      </x:c>
      <x:c r="L78" t="n">
        <x:v>5</x:v>
      </x:c>
      <x:c r="M78" t="n">
        <x:v>95</x:v>
      </x:c>
      <x:c r="N78" t="n">
        <x:v>969</x:v>
      </x:c>
      <x:c r="O78" t="str">
        <x:v>INTRA_PROVINCE</x:v>
      </x:c>
      <x:c r="P78" t="str">
        <x:v>COMMERCIAL_OR_MILITARY</x:v>
      </x:c>
      <x:c r="Q78" t="str">
        <x:v>MODELED</x:v>
      </x:c>
      <x:c r="R78" t="str">
        <x:v>NO_DIRECT_ROUTE_CLAIM</x:v>
      </x:c>
    </x:row>
    <x:row r="79">
      <x:c r="A79" t="str">
        <x:v>supply.weapons.87b17010bd0f0587</x:v>
      </x:c>
      <x:c r="B79" t="str">
        <x:v>admin.han140.jizhou.changshan.duxiang</x:v>
      </x:c>
      <x:c r="C79" t="str">
        <x:v>admin.han140.jizhou.changshan.yuanshi</x:v>
      </x:c>
      <x:c r="D79" t="str">
        <x:v>WEAPONS</x:v>
      </x:c>
      <x:c r="E79" t="str">
        <x:v>route.county.87b17010bd0f0587</x:v>
      </x:c>
      <x:c r="F79" t="str">
        <x:v>ROAD_PACK_CART_REFERENCE</x:v>
      </x:c>
      <x:c r="G79" t="n">
        <x:v>23.1</x:v>
      </x:c>
      <x:c r="H79" t="n">
        <x:v>1</x:v>
      </x:c>
      <x:c r="I79" t="n">
        <x:v>0</x:v>
      </x:c>
      <x:c r="J79" t="n">
        <x:v>0</x:v>
      </x:c>
      <x:c r="K79" t="n">
        <x:v>0</x:v>
      </x:c>
      <x:c r="L79" t="n">
        <x:v>0</x:v>
      </x:c>
      <x:c r="M79" t="n">
        <x:v>95</x:v>
      </x:c>
      <x:c r="N79" t="n">
        <x:v>969</x:v>
      </x:c>
      <x:c r="O79" t="str">
        <x:v>INTRA_PROVINCE</x:v>
      </x:c>
      <x:c r="P79" t="str">
        <x:v>COMMERCIAL_OR_MILITARY</x:v>
      </x:c>
      <x:c r="Q79" t="str">
        <x:v>MODELED</x:v>
      </x:c>
      <x:c r="R79" t="str">
        <x:v>NO_DIRECT_ROUTE_CLAIM</x:v>
      </x:c>
    </x:row>
    <x:row r="80">
      <x:c r="A80" t="str">
        <x:v>supply.weapons.4bc71bfbb6def505</x:v>
      </x:c>
      <x:c r="B80" t="str">
        <x:v>admin.han140.xuzhou.donghai.zhuqi</x:v>
      </x:c>
      <x:c r="C80" t="str">
        <x:v>admin.han140.xuzhou.donghai.cheng</x:v>
      </x:c>
      <x:c r="D80" t="str">
        <x:v>WEAPONS</x:v>
      </x:c>
      <x:c r="E80" t="str">
        <x:v>route.county.3fdc4f179fc8dd04</x:v>
      </x:c>
      <x:c r="F80" t="str">
        <x:v>ROAD_PACK_CART_REFERENCE</x:v>
      </x:c>
      <x:c r="G80" t="n">
        <x:v>11</x:v>
      </x:c>
      <x:c r="H80" t="n">
        <x:v>1</x:v>
      </x:c>
      <x:c r="I80" t="n">
        <x:v>16</x:v>
      </x:c>
      <x:c r="J80" t="n">
        <x:v>20</x:v>
      </x:c>
      <x:c r="K80" t="n">
        <x:v>16</x:v>
      </x:c>
      <x:c r="L80" t="n">
        <x:v>16</x:v>
      </x:c>
      <x:c r="M80" t="n">
        <x:v>82</x:v>
      </x:c>
      <x:c r="N80" t="n">
        <x:v>933</x:v>
      </x:c>
      <x:c r="O80" t="str">
        <x:v>INTRA_PROVINCE</x:v>
      </x:c>
      <x:c r="P80" t="str">
        <x:v>COMMERCIAL_OR_MILITARY</x:v>
      </x:c>
      <x:c r="Q80" t="str">
        <x:v>MODELED</x:v>
      </x:c>
      <x:c r="R80" t="str">
        <x:v>NO_DIRECT_ROUTE_CLAIM</x:v>
      </x:c>
    </x:row>
    <x:row r="81">
      <x:c r="A81" t="str">
        <x:v>supply.weapons.6927837b2c5f17f1</x:v>
      </x:c>
      <x:c r="B81" t="str">
        <x:v>admin.han140.xuzhou.donghai.ganyu</x:v>
      </x:c>
      <x:c r="C81" t="str">
        <x:v>admin.han140.xuzhou.donghai.cheng</x:v>
      </x:c>
      <x:c r="D81" t="str">
        <x:v>WEAPONS</x:v>
      </x:c>
      <x:c r="E81" t="str">
        <x:v>route.county.b22934c6b7a3cb0b</x:v>
      </x:c>
      <x:c r="F81" t="str">
        <x:v>ROAD_PACK_CART_REFERENCE</x:v>
      </x:c>
      <x:c r="G81" t="n">
        <x:v>11.7</x:v>
      </x:c>
      <x:c r="H81" t="n">
        <x:v>1</x:v>
      </x:c>
      <x:c r="I81" t="n">
        <x:v>4</x:v>
      </x:c>
      <x:c r="J81" t="n">
        <x:v>5</x:v>
      </x:c>
      <x:c r="K81" t="n">
        <x:v>4</x:v>
      </x:c>
      <x:c r="L81" t="n">
        <x:v>4</x:v>
      </x:c>
      <x:c r="M81" t="n">
        <x:v>83</x:v>
      </x:c>
      <x:c r="N81" t="n">
        <x:v>935</x:v>
      </x:c>
      <x:c r="O81" t="str">
        <x:v>INTRA_PROVINCE</x:v>
      </x:c>
      <x:c r="P81" t="str">
        <x:v>COMMERCIAL_OR_MILITARY</x:v>
      </x:c>
      <x:c r="Q81" t="str">
        <x:v>MODELED</x:v>
      </x:c>
      <x:c r="R81" t="str">
        <x:v>NO_DIRECT_ROUTE_CLAIM</x:v>
      </x:c>
    </x:row>
    <x:row r="82">
      <x:c r="A82" t="str">
        <x:v>supply.weapons.6927837b2c5f17f1</x:v>
      </x:c>
      <x:c r="B82" t="str">
        <x:v>admin.han140.xuzhou.donghai.ganyu</x:v>
      </x:c>
      <x:c r="C82" t="str">
        <x:v>admin.han140.xuzhou.donghai.cheng</x:v>
      </x:c>
      <x:c r="D82" t="str">
        <x:v>WEAPONS</x:v>
      </x:c>
      <x:c r="E82" t="str">
        <x:v>route.county.b22934c6b7a3cb0b</x:v>
      </x:c>
      <x:c r="F82" t="str">
        <x:v>ROAD_PACK_CART_REFERENCE</x:v>
      </x:c>
      <x:c r="G82" t="n">
        <x:v>11.7</x:v>
      </x:c>
      <x:c r="H82" t="n">
        <x:v>1</x:v>
      </x:c>
      <x:c r="I82" t="n">
        <x:v>0</x:v>
      </x:c>
      <x:c r="J82" t="n">
        <x:v>0</x:v>
      </x:c>
      <x:c r="K82" t="n">
        <x:v>0</x:v>
      </x:c>
      <x:c r="L82" t="n">
        <x:v>0</x:v>
      </x:c>
      <x:c r="M82" t="n">
        <x:v>83</x:v>
      </x:c>
      <x:c r="N82" t="n">
        <x:v>935</x:v>
      </x:c>
      <x:c r="O82" t="str">
        <x:v>INTRA_PROVINCE</x:v>
      </x:c>
      <x:c r="P82" t="str">
        <x:v>COMMERCIAL_OR_MILITARY</x:v>
      </x:c>
      <x:c r="Q82" t="str">
        <x:v>MODELED</x:v>
      </x:c>
      <x:c r="R82" t="str">
        <x:v>NO_DIRECT_ROUTE_CLAIM</x:v>
      </x:c>
    </x:row>
    <x:row r="83">
      <x:c r="A83" t="str">
        <x:v>supply.weapons.6927837b2c5f17f1</x:v>
      </x:c>
      <x:c r="B83" t="str">
        <x:v>admin.han140.xuzhou.donghai.ganyu</x:v>
      </x:c>
      <x:c r="C83" t="str">
        <x:v>admin.han140.xuzhou.donghai.cheng</x:v>
      </x:c>
      <x:c r="D83" t="str">
        <x:v>WEAPONS</x:v>
      </x:c>
      <x:c r="E83" t="str">
        <x:v>route.county.b22934c6b7a3cb0b</x:v>
      </x:c>
      <x:c r="F83" t="str">
        <x:v>ROAD_PACK_CART_REFERENCE</x:v>
      </x:c>
      <x:c r="G83" t="n">
        <x:v>11.7</x:v>
      </x:c>
      <x:c r="H83" t="n">
        <x:v>1</x:v>
      </x:c>
      <x:c r="I83" t="n">
        <x:v>0</x:v>
      </x:c>
      <x:c r="J83" t="n">
        <x:v>0</x:v>
      </x:c>
      <x:c r="K83" t="n">
        <x:v>0</x:v>
      </x:c>
      <x:c r="L83" t="n">
        <x:v>0</x:v>
      </x:c>
      <x:c r="M83" t="n">
        <x:v>83</x:v>
      </x:c>
      <x:c r="N83" t="n">
        <x:v>935</x:v>
      </x:c>
      <x:c r="O83" t="str">
        <x:v>INTRA_PROVINCE</x:v>
      </x:c>
      <x:c r="P83" t="str">
        <x:v>COMMERCIAL_OR_MILITARY</x:v>
      </x:c>
      <x:c r="Q83" t="str">
        <x:v>MODELED</x:v>
      </x:c>
      <x:c r="R83" t="str">
        <x:v>NO_DIRECT_ROUTE_CLAIM</x:v>
      </x:c>
    </x:row>
    <x:row r="84">
      <x:c r="A84" t="str">
        <x:v>supply.weapons.fcec9a5102540be5</x:v>
      </x:c>
      <x:c r="B84" t="str">
        <x:v>admin.han140.xuzhou.xiapi.dongcheng</x:v>
      </x:c>
      <x:c r="C84" t="str">
        <x:v>admin.han140.xuzhou.xiapi.xiapei</x:v>
      </x:c>
      <x:c r="D84" t="str">
        <x:v>WEAPONS</x:v>
      </x:c>
      <x:c r="E84" t="str">
        <x:v>route.county.fcec9a5102540be5</x:v>
      </x:c>
      <x:c r="F84" t="str">
        <x:v>ROAD_PACK_CART_REFERENCE</x:v>
      </x:c>
      <x:c r="G84" t="n">
        <x:v>8.9</x:v>
      </x:c>
      <x:c r="H84" t="n">
        <x:v>1</x:v>
      </x:c>
      <x:c r="I84" t="n">
        <x:v>8</x:v>
      </x:c>
      <x:c r="J84" t="n">
        <x:v>10</x:v>
      </x:c>
      <x:c r="K84" t="n">
        <x:v>8</x:v>
      </x:c>
      <x:c r="L84" t="n">
        <x:v>8</x:v>
      </x:c>
      <x:c r="M84" t="n">
        <x:v>80</x:v>
      </x:c>
      <x:c r="N84" t="n">
        <x:v>927</x:v>
      </x:c>
      <x:c r="O84" t="str">
        <x:v>INTRA_PROVINCE</x:v>
      </x:c>
      <x:c r="P84" t="str">
        <x:v>COMMERCIAL_OR_MILITARY</x:v>
      </x:c>
      <x:c r="Q84" t="str">
        <x:v>MODELED</x:v>
      </x:c>
      <x:c r="R84" t="str">
        <x:v>NO_DIRECT_ROUTE_CLAIM</x:v>
      </x:c>
    </x:row>
    <x:row r="85">
      <x:c r="A85" t="str">
        <x:v>supply.weapons.31b57b22b0d7d5e3</x:v>
      </x:c>
      <x:c r="B85" t="str">
        <x:v>admin.han140.xuzhou.xiapi.quyang</x:v>
      </x:c>
      <x:c r="C85" t="str">
        <x:v>admin.han140.xuzhou.xiapi.xiapei</x:v>
      </x:c>
      <x:c r="D85" t="str">
        <x:v>WEAPONS</x:v>
      </x:c>
      <x:c r="E85" t="str">
        <x:v>route.county.31b57b22b0d7d5e3</x:v>
      </x:c>
      <x:c r="F85" t="str">
        <x:v>ROAD_PACK_CART_REFERENCE</x:v>
      </x:c>
      <x:c r="G85" t="n">
        <x:v>8.9</x:v>
      </x:c>
      <x:c r="H85" t="n">
        <x:v>1</x:v>
      </x:c>
      <x:c r="I85" t="n">
        <x:v>12</x:v>
      </x:c>
      <x:c r="J85" t="n">
        <x:v>15</x:v>
      </x:c>
      <x:c r="K85" t="n">
        <x:v>12</x:v>
      </x:c>
      <x:c r="L85" t="n">
        <x:v>12</x:v>
      </x:c>
      <x:c r="M85" t="n">
        <x:v>80</x:v>
      </x:c>
      <x:c r="N85" t="n">
        <x:v>927</x:v>
      </x:c>
      <x:c r="O85" t="str">
        <x:v>INTRA_PROVINCE</x:v>
      </x:c>
      <x:c r="P85" t="str">
        <x:v>COMMERCIAL_OR_MILITARY</x:v>
      </x:c>
      <x:c r="Q85" t="str">
        <x:v>MODELED</x:v>
      </x:c>
      <x:c r="R85" t="str">
        <x:v>NO_DIRECT_ROUTE_CLAIM</x:v>
      </x:c>
    </x:row>
    <x:row r="86">
      <x:c r="A86" t="str">
        <x:v>supply.weapons.d6269b6ff54f0679</x:v>
      </x:c>
      <x:c r="B86" t="str">
        <x:v>admin.han140.xuzhou.xiapi.liangcheng</x:v>
      </x:c>
      <x:c r="C86" t="str">
        <x:v>admin.han140.xuzhou.xiapi.xiapei</x:v>
      </x:c>
      <x:c r="D86" t="str">
        <x:v>WEAPONS</x:v>
      </x:c>
      <x:c r="E86" t="str">
        <x:v>route.county.d6269b6ff54f0679</x:v>
      </x:c>
      <x:c r="F86" t="str">
        <x:v>ROAD_PACK_CART_REFERENCE</x:v>
      </x:c>
      <x:c r="G86" t="n">
        <x:v>15</x:v>
      </x:c>
      <x:c r="H86" t="n">
        <x:v>1</x:v>
      </x:c>
      <x:c r="I86" t="n">
        <x:v>0</x:v>
      </x:c>
      <x:c r="J86" t="n">
        <x:v>0</x:v>
      </x:c>
      <x:c r="K86" t="n">
        <x:v>0</x:v>
      </x:c>
      <x:c r="L86" t="n">
        <x:v>0</x:v>
      </x:c>
      <x:c r="M86" t="n">
        <x:v>87</x:v>
      </x:c>
      <x:c r="N86" t="n">
        <x:v>945</x:v>
      </x:c>
      <x:c r="O86" t="str">
        <x:v>INTRA_PROVINCE</x:v>
      </x:c>
      <x:c r="P86" t="str">
        <x:v>COMMERCIAL_OR_MILITARY</x:v>
      </x:c>
      <x:c r="Q86" t="str">
        <x:v>MODELED</x:v>
      </x:c>
      <x:c r="R86" t="str">
        <x:v>NO_DIRECT_ROUTE_CLAIM</x:v>
      </x:c>
    </x:row>
    <x:row r="87">
      <x:c r="A87" t="str">
        <x:v>supply.weapons.d6269b6ff54f0679</x:v>
      </x:c>
      <x:c r="B87" t="str">
        <x:v>admin.han140.xuzhou.xiapi.liangcheng</x:v>
      </x:c>
      <x:c r="C87" t="str">
        <x:v>admin.han140.xuzhou.xiapi.xiapei</x:v>
      </x:c>
      <x:c r="D87" t="str">
        <x:v>WEAPONS</x:v>
      </x:c>
      <x:c r="E87" t="str">
        <x:v>route.county.d6269b6ff54f0679</x:v>
      </x:c>
      <x:c r="F87" t="str">
        <x:v>ROAD_PACK_CART_REFERENCE</x:v>
      </x:c>
      <x:c r="G87" t="n">
        <x:v>15</x:v>
      </x:c>
      <x:c r="H87" t="n">
        <x:v>1</x:v>
      </x:c>
      <x:c r="I87" t="n">
        <x:v>0</x:v>
      </x:c>
      <x:c r="J87" t="n">
        <x:v>0</x:v>
      </x:c>
      <x:c r="K87" t="n">
        <x:v>0</x:v>
      </x:c>
      <x:c r="L87" t="n">
        <x:v>0</x:v>
      </x:c>
      <x:c r="M87" t="n">
        <x:v>87</x:v>
      </x:c>
      <x:c r="N87" t="n">
        <x:v>945</x:v>
      </x:c>
      <x:c r="O87" t="str">
        <x:v>INTRA_PROVINCE</x:v>
      </x:c>
      <x:c r="P87" t="str">
        <x:v>COMMERCIAL_OR_MILITARY</x:v>
      </x:c>
      <x:c r="Q87" t="str">
        <x:v>MODELED</x:v>
      </x:c>
      <x:c r="R87" t="str">
        <x:v>NO_DIRECT_ROUTE_CLAIM</x:v>
      </x:c>
    </x:row>
    <x:row r="88">
      <x:c r="A88" t="str">
        <x:v>supply.weapons.70fa7e1688b0117e</x:v>
      </x:c>
      <x:c r="B88" t="str">
        <x:v>admin.han140.yanzhou.dong.dunqiu</x:v>
      </x:c>
      <x:c r="C88" t="str">
        <x:v>admin.han140.yanzhou.dong.puyang</x:v>
      </x:c>
      <x:c r="D88" t="str">
        <x:v>WEAPONS</x:v>
      </x:c>
      <x:c r="E88" t="str">
        <x:v>route.county.70fa7e1688b0117e</x:v>
      </x:c>
      <x:c r="F88" t="str">
        <x:v>ROAD_PACK_CART_REFERENCE</x:v>
      </x:c>
      <x:c r="G88" t="n">
        <x:v>8.9</x:v>
      </x:c>
      <x:c r="H88" t="n">
        <x:v>1</x:v>
      </x:c>
      <x:c r="I88" t="n">
        <x:v>6</x:v>
      </x:c>
      <x:c r="J88" t="n">
        <x:v>8</x:v>
      </x:c>
      <x:c r="K88" t="n">
        <x:v>6</x:v>
      </x:c>
      <x:c r="L88" t="n">
        <x:v>6</x:v>
      </x:c>
      <x:c r="M88" t="n">
        <x:v>80</x:v>
      </x:c>
      <x:c r="N88" t="n">
        <x:v>927</x:v>
      </x:c>
      <x:c r="O88" t="str">
        <x:v>INTRA_PROVINCE</x:v>
      </x:c>
      <x:c r="P88" t="str">
        <x:v>COMMERCIAL_OR_MILITARY</x:v>
      </x:c>
      <x:c r="Q88" t="str">
        <x:v>MODELED</x:v>
      </x:c>
      <x:c r="R88" t="str">
        <x:v>NO_DIRECT_ROUTE_CLAIM</x:v>
      </x:c>
    </x:row>
    <x:row r="89">
      <x:c r="A89" t="str">
        <x:v>supply.weapons.f7ae12588ae7a8dd</x:v>
      </x:c>
      <x:c r="B89" t="str">
        <x:v>admin.han140.yanzhou.dong.wei</x:v>
      </x:c>
      <x:c r="C89" t="str">
        <x:v>admin.han140.yanzhou.dong.puyang</x:v>
      </x:c>
      <x:c r="D89" t="str">
        <x:v>WEAPONS</x:v>
      </x:c>
      <x:c r="E89" t="str">
        <x:v>route.county.f872bd49bde62f95</x:v>
      </x:c>
      <x:c r="F89" t="str">
        <x:v>ROAD_PACK_CART_REFERENCE</x:v>
      </x:c>
      <x:c r="G89" t="n">
        <x:v>8.9</x:v>
      </x:c>
      <x:c r="H89" t="n">
        <x:v>1</x:v>
      </x:c>
      <x:c r="I89" t="n">
        <x:v>7</x:v>
      </x:c>
      <x:c r="J89" t="n">
        <x:v>9</x:v>
      </x:c>
      <x:c r="K89" t="n">
        <x:v>7</x:v>
      </x:c>
      <x:c r="L89" t="n">
        <x:v>7</x:v>
      </x:c>
      <x:c r="M89" t="n">
        <x:v>80</x:v>
      </x:c>
      <x:c r="N89" t="n">
        <x:v>927</x:v>
      </x:c>
      <x:c r="O89" t="str">
        <x:v>INTRA_PROVINCE</x:v>
      </x:c>
      <x:c r="P89" t="str">
        <x:v>COMMERCIAL_OR_MILITARY</x:v>
      </x:c>
      <x:c r="Q89" t="str">
        <x:v>MODELED</x:v>
      </x:c>
      <x:c r="R89" t="str">
        <x:v>NO_DIRECT_ROUTE_CLAIM</x:v>
      </x:c>
    </x:row>
    <x:row r="90">
      <x:c r="A90" t="str">
        <x:v>supply.weapons.cb81fa4d418f127e</x:v>
      </x:c>
      <x:c r="B90" t="str">
        <x:v>admin.han140.yanzhou.dong.fagan</x:v>
      </x:c>
      <x:c r="C90" t="str">
        <x:v>admin.han140.yanzhou.dong.puyang</x:v>
      </x:c>
      <x:c r="D90" t="str">
        <x:v>WEAPONS</x:v>
      </x:c>
      <x:c r="E90" t="str">
        <x:v>route.county.cb81fa4d418f127e</x:v>
      </x:c>
      <x:c r="F90" t="str">
        <x:v>ROAD_PACK_CART_REFERENCE</x:v>
      </x:c>
      <x:c r="G90" t="n">
        <x:v>15</x:v>
      </x:c>
      <x:c r="H90" t="n">
        <x:v>1</x:v>
      </x:c>
      <x:c r="I90" t="n">
        <x:v>6</x:v>
      </x:c>
      <x:c r="J90" t="n">
        <x:v>8</x:v>
      </x:c>
      <x:c r="K90" t="n">
        <x:v>6</x:v>
      </x:c>
      <x:c r="L90" t="n">
        <x:v>6</x:v>
      </x:c>
      <x:c r="M90" t="n">
        <x:v>87</x:v>
      </x:c>
      <x:c r="N90" t="n">
        <x:v>945</x:v>
      </x:c>
      <x:c r="O90" t="str">
        <x:v>INTRA_PROVINCE</x:v>
      </x:c>
      <x:c r="P90" t="str">
        <x:v>COMMERCIAL_OR_MILITARY</x:v>
      </x:c>
      <x:c r="Q90" t="str">
        <x:v>MODELED</x:v>
      </x:c>
      <x:c r="R90" t="str">
        <x:v>NO_DIRECT_ROUTE_CLAIM</x:v>
      </x:c>
    </x:row>
    <x:row r="91">
      <x:c r="A91" t="str">
        <x:v>supply.weapons.cc1e7d107665c446</x:v>
      </x:c>
      <x:c r="B91" t="str">
        <x:v>admin.han140.yanzhou.dong.yan</x:v>
      </x:c>
      <x:c r="C91" t="str">
        <x:v>admin.han140.yanzhou.dong.puyang</x:v>
      </x:c>
      <x:c r="D91" t="str">
        <x:v>WEAPONS</x:v>
      </x:c>
      <x:c r="E91" t="str">
        <x:v>route.county.77ac143b0bb03276</x:v>
      </x:c>
      <x:c r="F91" t="str">
        <x:v>ROAD_PACK_CART_REFERENCE</x:v>
      </x:c>
      <x:c r="G91" t="n">
        <x:v>15</x:v>
      </x:c>
      <x:c r="H91" t="n">
        <x:v>1</x:v>
      </x:c>
      <x:c r="I91" t="n">
        <x:v>1</x:v>
      </x:c>
      <x:c r="J91" t="n">
        <x:v>1</x:v>
      </x:c>
      <x:c r="K91" t="n">
        <x:v>1</x:v>
      </x:c>
      <x:c r="L91" t="n">
        <x:v>1</x:v>
      </x:c>
      <x:c r="M91" t="n">
        <x:v>87</x:v>
      </x:c>
      <x:c r="N91" t="n">
        <x:v>945</x:v>
      </x:c>
      <x:c r="O91" t="str">
        <x:v>INTRA_PROVINCE</x:v>
      </x:c>
      <x:c r="P91" t="str">
        <x:v>COMMERCIAL_OR_MILITARY</x:v>
      </x:c>
      <x:c r="Q91" t="str">
        <x:v>MODELED</x:v>
      </x:c>
      <x:c r="R91" t="str">
        <x:v>NO_DIRECT_ROUTE_CLAIM</x:v>
      </x:c>
    </x:row>
    <x:row r="92">
      <x:c r="A92" t="str">
        <x:v>supply.weapons.5fe4f211d8156a6f</x:v>
      </x:c>
      <x:c r="B92" t="str">
        <x:v>admin.han140.xuzhou.donghai.houqiu</x:v>
      </x:c>
      <x:c r="C92" t="str">
        <x:v>admin.han140.xuzhou.donghai.lanling</x:v>
      </x:c>
      <x:c r="D92" t="str">
        <x:v>WEAPONS</x:v>
      </x:c>
      <x:c r="E92" t="str">
        <x:v>route.county.5fe4f211d8156a6f</x:v>
      </x:c>
      <x:c r="F92" t="str">
        <x:v>ROAD_PACK_CART_REFERENCE</x:v>
      </x:c>
      <x:c r="G92" t="n">
        <x:v>9.4</x:v>
      </x:c>
      <x:c r="H92" t="n">
        <x:v>1</x:v>
      </x:c>
      <x:c r="I92" t="n">
        <x:v>3</x:v>
      </x:c>
      <x:c r="J92" t="n">
        <x:v>4</x:v>
      </x:c>
      <x:c r="K92" t="n">
        <x:v>3</x:v>
      </x:c>
      <x:c r="L92" t="n">
        <x:v>3</x:v>
      </x:c>
      <x:c r="M92" t="n">
        <x:v>80</x:v>
      </x:c>
      <x:c r="N92" t="n">
        <x:v>928</x:v>
      </x:c>
      <x:c r="O92" t="str">
        <x:v>INTRA_PROVINCE</x:v>
      </x:c>
      <x:c r="P92" t="str">
        <x:v>COMMERCIAL_OR_MILITARY</x:v>
      </x:c>
      <x:c r="Q92" t="str">
        <x:v>MODELED</x:v>
      </x:c>
      <x:c r="R92" t="str">
        <x:v>NO_DIRECT_ROUTE_CLAIM</x:v>
      </x:c>
    </x:row>
    <x:row r="93">
      <x:c r="A93" t="str">
        <x:v>supply.weapons.e33dd932287b7fdc</x:v>
      </x:c>
      <x:c r="B93" t="str">
        <x:v>admin.han140.xuzhou.donghai.licheng</x:v>
      </x:c>
      <x:c r="C93" t="str">
        <x:v>admin.han140.xuzhou.donghai.lanling</x:v>
      </x:c>
      <x:c r="D93" t="str">
        <x:v>WEAPONS</x:v>
      </x:c>
      <x:c r="E93" t="str">
        <x:v>route.county.26b9c03d9d2b6fff</x:v>
      </x:c>
      <x:c r="F93" t="str">
        <x:v>ROAD_PACK_CART_REFERENCE</x:v>
      </x:c>
      <x:c r="G93" t="n">
        <x:v>10</x:v>
      </x:c>
      <x:c r="H93" t="n">
        <x:v>1</x:v>
      </x:c>
      <x:c r="I93" t="n">
        <x:v>11</x:v>
      </x:c>
      <x:c r="J93" t="n">
        <x:v>14</x:v>
      </x:c>
      <x:c r="K93" t="n">
        <x:v>11</x:v>
      </x:c>
      <x:c r="L93" t="n">
        <x:v>11</x:v>
      </x:c>
      <x:c r="M93" t="n">
        <x:v>81</x:v>
      </x:c>
      <x:c r="N93" t="n">
        <x:v>930</x:v>
      </x:c>
      <x:c r="O93" t="str">
        <x:v>INTRA_PROVINCE</x:v>
      </x:c>
      <x:c r="P93" t="str">
        <x:v>COMMERCIAL_OR_MILITARY</x:v>
      </x:c>
      <x:c r="Q93" t="str">
        <x:v>MODELED</x:v>
      </x:c>
      <x:c r="R93" t="str">
        <x:v>NO_DIRECT_ROUTE_CLAIM</x:v>
      </x:c>
    </x:row>
    <x:row r="94">
      <x:c r="A94" t="str">
        <x:v>supply.weapons.50c626ef02fdf8e4</x:v>
      </x:c>
      <x:c r="B94" t="str">
        <x:v>admin.han140.xuzhou.donghai.ganyu</x:v>
      </x:c>
      <x:c r="C94" t="str">
        <x:v>admin.han140.xuzhou.donghai.lanling</x:v>
      </x:c>
      <x:c r="D94" t="str">
        <x:v>WEAPONS</x:v>
      </x:c>
      <x:c r="E94" t="str">
        <x:v>route.county.50c626ef02fdf8e4</x:v>
      </x:c>
      <x:c r="F94" t="str">
        <x:v>ROAD_PACK_CART_REFERENCE</x:v>
      </x:c>
      <x:c r="G94" t="n">
        <x:v>26.7</x:v>
      </x:c>
      <x:c r="H94" t="n">
        <x:v>1</x:v>
      </x:c>
      <x:c r="I94" t="n">
        <x:v>4</x:v>
      </x:c>
      <x:c r="J94" t="n">
        <x:v>5</x:v>
      </x:c>
      <x:c r="K94" t="n">
        <x:v>4</x:v>
      </x:c>
      <x:c r="L94" t="n">
        <x:v>4</x:v>
      </x:c>
      <x:c r="M94" t="n">
        <x:v>99</x:v>
      </x:c>
      <x:c r="N94" t="n">
        <x:v>980</x:v>
      </x:c>
      <x:c r="O94" t="str">
        <x:v>INTRA_PROVINCE</x:v>
      </x:c>
      <x:c r="P94" t="str">
        <x:v>COMMERCIAL_OR_MILITARY</x:v>
      </x:c>
      <x:c r="Q94" t="str">
        <x:v>MODELED</x:v>
      </x:c>
      <x:c r="R94" t="str">
        <x:v>NO_DIRECT_ROUTE_CLAIM</x:v>
      </x:c>
    </x:row>
    <x:row r="95">
      <x:c r="A95" t="str">
        <x:v>supply.weapons.50c626ef02fdf8e4</x:v>
      </x:c>
      <x:c r="B95" t="str">
        <x:v>admin.han140.xuzhou.donghai.ganyu</x:v>
      </x:c>
      <x:c r="C95" t="str">
        <x:v>admin.han140.xuzhou.donghai.lanling</x:v>
      </x:c>
      <x:c r="D95" t="str">
        <x:v>WEAPONS</x:v>
      </x:c>
      <x:c r="E95" t="str">
        <x:v>route.county.50c626ef02fdf8e4</x:v>
      </x:c>
      <x:c r="F95" t="str">
        <x:v>ROAD_PACK_CART_REFERENCE</x:v>
      </x:c>
      <x:c r="G95" t="n">
        <x:v>26.7</x:v>
      </x:c>
      <x:c r="H95" t="n">
        <x:v>1</x:v>
      </x:c>
      <x:c r="I95" t="n">
        <x:v>0</x:v>
      </x:c>
      <x:c r="J95" t="n">
        <x:v>0</x:v>
      </x:c>
      <x:c r="K95" t="n">
        <x:v>0</x:v>
      </x:c>
      <x:c r="L95" t="n">
        <x:v>0</x:v>
      </x:c>
      <x:c r="M95" t="n">
        <x:v>99</x:v>
      </x:c>
      <x:c r="N95" t="n">
        <x:v>980</x:v>
      </x:c>
      <x:c r="O95" t="str">
        <x:v>INTRA_PROVINCE</x:v>
      </x:c>
      <x:c r="P95" t="str">
        <x:v>COMMERCIAL_OR_MILITARY</x:v>
      </x:c>
      <x:c r="Q95" t="str">
        <x:v>MODELED</x:v>
      </x:c>
      <x:c r="R95" t="str">
        <x:v>NO_DIRECT_ROUTE_CLAIM</x:v>
      </x:c>
    </x:row>
    <x:row r="96">
      <x:c r="A96" t="str">
        <x:v>supply.weapons.9be2798d77ad9dd8</x:v>
      </x:c>
      <x:c r="B96" t="str">
        <x:v>admin.han140.yuzhou.runan.yuanlu</x:v>
      </x:c>
      <x:c r="C96" t="str">
        <x:v>admin.han140.yuzhou.runan.zhaoling</x:v>
      </x:c>
      <x:c r="D96" t="str">
        <x:v>WEAPONS</x:v>
      </x:c>
      <x:c r="E96" t="str">
        <x:v>route.county.9be2798d77ad9dd8</x:v>
      </x:c>
      <x:c r="F96" t="str">
        <x:v>ROAD_PACK_CART_REFERENCE</x:v>
      </x:c>
      <x:c r="G96" t="n">
        <x:v>7.5</x:v>
      </x:c>
      <x:c r="H96" t="n">
        <x:v>1</x:v>
      </x:c>
      <x:c r="I96" t="n">
        <x:v>3</x:v>
      </x:c>
      <x:c r="J96" t="n">
        <x:v>4</x:v>
      </x:c>
      <x:c r="K96" t="n">
        <x:v>3</x:v>
      </x:c>
      <x:c r="L96" t="n">
        <x:v>3</x:v>
      </x:c>
      <x:c r="M96" t="n">
        <x:v>80</x:v>
      </x:c>
      <x:c r="N96" t="n">
        <x:v>923</x:v>
      </x:c>
      <x:c r="O96" t="str">
        <x:v>INTRA_PROVINCE</x:v>
      </x:c>
      <x:c r="P96" t="str">
        <x:v>COMMERCIAL_OR_MILITARY</x:v>
      </x:c>
      <x:c r="Q96" t="str">
        <x:v>MODELED</x:v>
      </x:c>
      <x:c r="R96" t="str">
        <x:v>NO_DIRECT_ROUTE_CLAIM</x:v>
      </x:c>
    </x:row>
    <x:row r="97">
      <x:c r="A97" t="str">
        <x:v>supply.weapons.6b7b830935e5d233</x:v>
      </x:c>
      <x:c r="B97" t="str">
        <x:v>admin.han140.yuzhou.runan.baoxin</x:v>
      </x:c>
      <x:c r="C97" t="str">
        <x:v>admin.han140.yuzhou.runan.zhaoling</x:v>
      </x:c>
      <x:c r="D97" t="str">
        <x:v>WEAPONS</x:v>
      </x:c>
      <x:c r="E97" t="str">
        <x:v>route.county.6b7b830935e5d233</x:v>
      </x:c>
      <x:c r="F97" t="str">
        <x:v>ROAD_PACK_CART_REFERENCE</x:v>
      </x:c>
      <x:c r="G97" t="n">
        <x:v>14.3</x:v>
      </x:c>
      <x:c r="H97" t="n">
        <x:v>1</x:v>
      </x:c>
      <x:c r="I97" t="n">
        <x:v>2</x:v>
      </x:c>
      <x:c r="J97" t="n">
        <x:v>3</x:v>
      </x:c>
      <x:c r="K97" t="n">
        <x:v>2</x:v>
      </x:c>
      <x:c r="L97" t="n">
        <x:v>2</x:v>
      </x:c>
      <x:c r="M97" t="n">
        <x:v>86</x:v>
      </x:c>
      <x:c r="N97" t="n">
        <x:v>943</x:v>
      </x:c>
      <x:c r="O97" t="str">
        <x:v>INTRA_PROVINCE</x:v>
      </x:c>
      <x:c r="P97" t="str">
        <x:v>COMMERCIAL_OR_MILITARY</x:v>
      </x:c>
      <x:c r="Q97" t="str">
        <x:v>MODELED</x:v>
      </x:c>
      <x:c r="R97" t="str">
        <x:v>NO_DIRECT_ROUTE_CLAIM</x:v>
      </x:c>
    </x:row>
    <x:row r="98">
      <x:c r="A98" t="str">
        <x:v>supply.weapons.2edddc1ee8351389</x:v>
      </x:c>
      <x:c r="B98" t="str">
        <x:v>admin.han140.yuzhou.runan.zhengqiang</x:v>
      </x:c>
      <x:c r="C98" t="str">
        <x:v>admin.han140.yuzhou.runan.zhaoling</x:v>
      </x:c>
      <x:c r="D98" t="str">
        <x:v>WEAPONS</x:v>
      </x:c>
      <x:c r="E98" t="str">
        <x:v>route.county.40522f25bdcf6321</x:v>
      </x:c>
      <x:c r="F98" t="str">
        <x:v>ROAD_PACK_CART_REFERENCE</x:v>
      </x:c>
      <x:c r="G98" t="n">
        <x:v>18.4</x:v>
      </x:c>
      <x:c r="H98" t="n">
        <x:v>1</x:v>
      </x:c>
      <x:c r="I98" t="n">
        <x:v>12</x:v>
      </x:c>
      <x:c r="J98" t="n">
        <x:v>15</x:v>
      </x:c>
      <x:c r="K98" t="n">
        <x:v>12</x:v>
      </x:c>
      <x:c r="L98" t="n">
        <x:v>12</x:v>
      </x:c>
      <x:c r="M98" t="n">
        <x:v>90</x:v>
      </x:c>
      <x:c r="N98" t="n">
        <x:v>955</x:v>
      </x:c>
      <x:c r="O98" t="str">
        <x:v>INTRA_PROVINCE</x:v>
      </x:c>
      <x:c r="P98" t="str">
        <x:v>COMMERCIAL_OR_MILITARY</x:v>
      </x:c>
      <x:c r="Q98" t="str">
        <x:v>MODELED</x:v>
      </x:c>
      <x:c r="R98" t="str">
        <x:v>NO_DIRECT_ROUTE_CLAIM</x:v>
      </x:c>
    </x:row>
    <x:row r="99">
      <x:c r="A99" t="str">
        <x:v>supply.weapons.2edddc1ee8351389</x:v>
      </x:c>
      <x:c r="B99" t="str">
        <x:v>admin.han140.yuzhou.runan.zhengqiang</x:v>
      </x:c>
      <x:c r="C99" t="str">
        <x:v>admin.han140.yuzhou.runan.zhaoling</x:v>
      </x:c>
      <x:c r="D99" t="str">
        <x:v>WEAPONS</x:v>
      </x:c>
      <x:c r="E99" t="str">
        <x:v>route.county.40522f25bdcf6321</x:v>
      </x:c>
      <x:c r="F99" t="str">
        <x:v>ROAD_PACK_CART_REFERENCE</x:v>
      </x:c>
      <x:c r="G99" t="n">
        <x:v>18.4</x:v>
      </x:c>
      <x:c r="H99" t="n">
        <x:v>1</x:v>
      </x:c>
      <x:c r="I99" t="n">
        <x:v>0</x:v>
      </x:c>
      <x:c r="J99" t="n">
        <x:v>0</x:v>
      </x:c>
      <x:c r="K99" t="n">
        <x:v>0</x:v>
      </x:c>
      <x:c r="L99" t="n">
        <x:v>0</x:v>
      </x:c>
      <x:c r="M99" t="n">
        <x:v>90</x:v>
      </x:c>
      <x:c r="N99" t="n">
        <x:v>955</x:v>
      </x:c>
      <x:c r="O99" t="str">
        <x:v>INTRA_PROVINCE</x:v>
      </x:c>
      <x:c r="P99" t="str">
        <x:v>COMMERCIAL_OR_MILITARY</x:v>
      </x:c>
      <x:c r="Q99" t="str">
        <x:v>MODELED</x:v>
      </x:c>
      <x:c r="R99" t="str">
        <x:v>NO_DIRECT_ROUTE_CLAIM</x:v>
      </x:c>
    </x:row>
    <x:row r="100">
      <x:c r="A100" t="str">
        <x:v>supply.weapons.b7b89b521dd9b192</x:v>
      </x:c>
      <x:c r="B100" t="str">
        <x:v>admin.han140.jizhou.julu.yannian</x:v>
      </x:c>
      <x:c r="C100" t="str">
        <x:v>admin.han140.jizhou.julu.yingtao</x:v>
      </x:c>
      <x:c r="D100" t="str">
        <x:v>WEAPONS</x:v>
      </x:c>
      <x:c r="E100" t="str">
        <x:v>route.county.b7b89b521dd9b192</x:v>
      </x:c>
      <x:c r="F100" t="str">
        <x:v>ROAD_PACK_CART_REFERENCE</x:v>
      </x:c>
      <x:c r="G100" t="n">
        <x:v>17</x:v>
      </x:c>
      <x:c r="H100" t="n">
        <x:v>1</x:v>
      </x:c>
      <x:c r="I100" t="n">
        <x:v>4</x:v>
      </x:c>
      <x:c r="J100" t="n">
        <x:v>5</x:v>
      </x:c>
      <x:c r="K100" t="n">
        <x:v>4</x:v>
      </x:c>
      <x:c r="L100" t="n">
        <x:v>4</x:v>
      </x:c>
      <x:c r="M100" t="n">
        <x:v>89</x:v>
      </x:c>
      <x:c r="N100" t="n">
        <x:v>951</x:v>
      </x:c>
      <x:c r="O100" t="str">
        <x:v>INTRA_PROVINCE</x:v>
      </x:c>
      <x:c r="P100" t="str">
        <x:v>COMMERCIAL_OR_MILITARY</x:v>
      </x:c>
      <x:c r="Q100" t="str">
        <x:v>MODELED</x:v>
      </x:c>
      <x:c r="R100" t="str">
        <x:v>NO_DIRECT_ROUTE_CLAIM</x:v>
      </x:c>
    </x:row>
    <x:row r="101">
      <x:c r="A101" t="str">
        <x:v>supply.weapons.3d6cb84f618410e4</x:v>
      </x:c>
      <x:c r="B101" t="str">
        <x:v>admin.han140.jizhou.julu.guangzong</x:v>
      </x:c>
      <x:c r="C101" t="str">
        <x:v>admin.han140.jizhou.julu.yingtao</x:v>
      </x:c>
      <x:c r="D101" t="str">
        <x:v>WEAPONS</x:v>
      </x:c>
      <x:c r="E101" t="str">
        <x:v>route.county.3d6cb84f618410e4</x:v>
      </x:c>
      <x:c r="F101" t="str">
        <x:v>ROAD_PACK_CART_REFERENCE</x:v>
      </x:c>
      <x:c r="G101" t="n">
        <x:v>17.4</x:v>
      </x:c>
      <x:c r="H101" t="n">
        <x:v>1</x:v>
      </x:c>
      <x:c r="I101" t="n">
        <x:v>6</x:v>
      </x:c>
      <x:c r="J101" t="n">
        <x:v>8</x:v>
      </x:c>
      <x:c r="K101" t="n">
        <x:v>6</x:v>
      </x:c>
      <x:c r="L101" t="n">
        <x:v>6</x:v>
      </x:c>
      <x:c r="M101" t="n">
        <x:v>89</x:v>
      </x:c>
      <x:c r="N101" t="n">
        <x:v>952</x:v>
      </x:c>
      <x:c r="O101" t="str">
        <x:v>INTRA_PROVINCE</x:v>
      </x:c>
      <x:c r="P101" t="str">
        <x:v>COMMERCIAL_OR_MILITARY</x:v>
      </x:c>
      <x:c r="Q101" t="str">
        <x:v>MODELED</x:v>
      </x:c>
      <x:c r="R101" t="str">
        <x:v>NO_DIRECT_ROUTE_CLAIM</x:v>
      </x:c>
    </x:row>
    <x:row r="102">
      <x:c r="A102" t="str">
        <x:v>supply.weapons.806e653852811656</x:v>
      </x:c>
      <x:c r="B102" t="str">
        <x:v>admin.han140.jizhou.julu.nan</x:v>
      </x:c>
      <x:c r="C102" t="str">
        <x:v>admin.han140.jizhou.julu.yingtao</x:v>
      </x:c>
      <x:c r="D102" t="str">
        <x:v>WEAPONS</x:v>
      </x:c>
      <x:c r="E102" t="str">
        <x:v>route.county.806e653852811656</x:v>
      </x:c>
      <x:c r="F102" t="str">
        <x:v>ROAD_PACK_CART_REFERENCE</x:v>
      </x:c>
      <x:c r="G102" t="n">
        <x:v>26.7</x:v>
      </x:c>
      <x:c r="H102" t="n">
        <x:v>1</x:v>
      </x:c>
      <x:c r="I102" t="n">
        <x:v>6</x:v>
      </x:c>
      <x:c r="J102" t="n">
        <x:v>8</x:v>
      </x:c>
      <x:c r="K102" t="n">
        <x:v>6</x:v>
      </x:c>
      <x:c r="L102" t="n">
        <x:v>6</x:v>
      </x:c>
      <x:c r="M102" t="n">
        <x:v>99</x:v>
      </x:c>
      <x:c r="N102" t="n">
        <x:v>980</x:v>
      </x:c>
      <x:c r="O102" t="str">
        <x:v>INTRA_PROVINCE</x:v>
      </x:c>
      <x:c r="P102" t="str">
        <x:v>COMMERCIAL_OR_MILITARY</x:v>
      </x:c>
      <x:c r="Q102" t="str">
        <x:v>MODELED</x:v>
      </x:c>
      <x:c r="R102" t="str">
        <x:v>NO_DIRECT_ROUTE_CLAIM</x:v>
      </x:c>
    </x:row>
    <x:row r="103">
      <x:c r="A103" t="str">
        <x:v>supply.weapons.806e653852811656</x:v>
      </x:c>
      <x:c r="B103" t="str">
        <x:v>admin.han140.jizhou.julu.nan</x:v>
      </x:c>
      <x:c r="C103" t="str">
        <x:v>admin.han140.jizhou.julu.yingtao</x:v>
      </x:c>
      <x:c r="D103" t="str">
        <x:v>WEAPONS</x:v>
      </x:c>
      <x:c r="E103" t="str">
        <x:v>route.county.806e653852811656</x:v>
      </x:c>
      <x:c r="F103" t="str">
        <x:v>ROAD_PACK_CART_REFERENCE</x:v>
      </x:c>
      <x:c r="G103" t="n">
        <x:v>26.7</x:v>
      </x:c>
      <x:c r="H103" t="n">
        <x:v>1</x:v>
      </x:c>
      <x:c r="I103" t="n">
        <x:v>0</x:v>
      </x:c>
      <x:c r="J103" t="n">
        <x:v>0</x:v>
      </x:c>
      <x:c r="K103" t="n">
        <x:v>0</x:v>
      </x:c>
      <x:c r="L103" t="n">
        <x:v>0</x:v>
      </x:c>
      <x:c r="M103" t="n">
        <x:v>99</x:v>
      </x:c>
      <x:c r="N103" t="n">
        <x:v>980</x:v>
      </x:c>
      <x:c r="O103" t="str">
        <x:v>INTRA_PROVINCE</x:v>
      </x:c>
      <x:c r="P103" t="str">
        <x:v>COMMERCIAL_OR_MILITARY</x:v>
      </x:c>
      <x:c r="Q103" t="str">
        <x:v>MODELED</x:v>
      </x:c>
      <x:c r="R103" t="str">
        <x:v>NO_DIRECT_ROUTE_CLAIM</x:v>
      </x:c>
    </x:row>
    <x:row r="104">
      <x:c r="A104" t="str">
        <x:v>supply.weapons.6b504053399bbf32</x:v>
      </x:c>
      <x:c r="B104" t="str">
        <x:v>admin.han140.jizhou.qinghe.yanchuan</x:v>
      </x:c>
      <x:c r="C104" t="str">
        <x:v>admin.han140.jizhou.qinghe.ling</x:v>
      </x:c>
      <x:c r="D104" t="str">
        <x:v>WEAPONS</x:v>
      </x:c>
      <x:c r="E104" t="str">
        <x:v>route.county.802f0e7d0172af90</x:v>
      </x:c>
      <x:c r="F104" t="str">
        <x:v>ROAD_PACK_CART_REFERENCE</x:v>
      </x:c>
      <x:c r="G104" t="n">
        <x:v>21.9</x:v>
      </x:c>
      <x:c r="H104" t="n">
        <x:v>1</x:v>
      </x:c>
      <x:c r="I104" t="n">
        <x:v>16</x:v>
      </x:c>
      <x:c r="J104" t="n">
        <x:v>20</x:v>
      </x:c>
      <x:c r="K104" t="n">
        <x:v>16</x:v>
      </x:c>
      <x:c r="L104" t="n">
        <x:v>16</x:v>
      </x:c>
      <x:c r="M104" t="n">
        <x:v>94</x:v>
      </x:c>
      <x:c r="N104" t="n">
        <x:v>966</x:v>
      </x:c>
      <x:c r="O104" t="str">
        <x:v>INTRA_PROVINCE</x:v>
      </x:c>
      <x:c r="P104" t="str">
        <x:v>COMMERCIAL_OR_MILITARY</x:v>
      </x:c>
      <x:c r="Q104" t="str">
        <x:v>MODELED</x:v>
      </x:c>
      <x:c r="R104" t="str">
        <x:v>NO_DIRECT_ROUTE_CLAIM</x:v>
      </x:c>
    </x:row>
    <x:row r="105">
      <x:c r="A105" t="str">
        <x:v>supply.weapons.6b504053399bbf32</x:v>
      </x:c>
      <x:c r="B105" t="str">
        <x:v>admin.han140.jizhou.qinghe.yanchuan</x:v>
      </x:c>
      <x:c r="C105" t="str">
        <x:v>admin.han140.jizhou.qinghe.ling</x:v>
      </x:c>
      <x:c r="D105" t="str">
        <x:v>WEAPONS</x:v>
      </x:c>
      <x:c r="E105" t="str">
        <x:v>route.county.802f0e7d0172af90</x:v>
      </x:c>
      <x:c r="F105" t="str">
        <x:v>ROAD_PACK_CART_REFERENCE</x:v>
      </x:c>
      <x:c r="G105" t="n">
        <x:v>21.9</x:v>
      </x:c>
      <x:c r="H105" t="n">
        <x:v>1</x:v>
      </x:c>
      <x:c r="I105" t="n">
        <x:v>0</x:v>
      </x:c>
      <x:c r="J105" t="n">
        <x:v>0</x:v>
      </x:c>
      <x:c r="K105" t="n">
        <x:v>0</x:v>
      </x:c>
      <x:c r="L105" t="n">
        <x:v>0</x:v>
      </x:c>
      <x:c r="M105" t="n">
        <x:v>94</x:v>
      </x:c>
      <x:c r="N105" t="n">
        <x:v>966</x:v>
      </x:c>
      <x:c r="O105" t="str">
        <x:v>INTRA_PROVINCE</x:v>
      </x:c>
      <x:c r="P105" t="str">
        <x:v>COMMERCIAL_OR_MILITARY</x:v>
      </x:c>
      <x:c r="Q105" t="str">
        <x:v>MODELED</x:v>
      </x:c>
      <x:c r="R105" t="str">
        <x:v>NO_DIRECT_ROUTE_CLAIM</x:v>
      </x:c>
    </x:row>
    <x:row r="106">
      <x:c r="A106" t="str">
        <x:v>supply.weapons.6b504053399bbf32</x:v>
      </x:c>
      <x:c r="B106" t="str">
        <x:v>admin.han140.jizhou.qinghe.yanchuan</x:v>
      </x:c>
      <x:c r="C106" t="str">
        <x:v>admin.han140.jizhou.qinghe.ling</x:v>
      </x:c>
      <x:c r="D106" t="str">
        <x:v>WEAPONS</x:v>
      </x:c>
      <x:c r="E106" t="str">
        <x:v>route.county.802f0e7d0172af90</x:v>
      </x:c>
      <x:c r="F106" t="str">
        <x:v>ROAD_PACK_CART_REFERENCE</x:v>
      </x:c>
      <x:c r="G106" t="n">
        <x:v>21.9</x:v>
      </x:c>
      <x:c r="H106" t="n">
        <x:v>1</x:v>
      </x:c>
      <x:c r="I106" t="n">
        <x:v>0</x:v>
      </x:c>
      <x:c r="J106" t="n">
        <x:v>0</x:v>
      </x:c>
      <x:c r="K106" t="n">
        <x:v>0</x:v>
      </x:c>
      <x:c r="L106" t="n">
        <x:v>0</x:v>
      </x:c>
      <x:c r="M106" t="n">
        <x:v>94</x:v>
      </x:c>
      <x:c r="N106" t="n">
        <x:v>966</x:v>
      </x:c>
      <x:c r="O106" t="str">
        <x:v>INTRA_PROVINCE</x:v>
      </x:c>
      <x:c r="P106" t="str">
        <x:v>COMMERCIAL_OR_MILITARY</x:v>
      </x:c>
      <x:c r="Q106" t="str">
        <x:v>MODELED</x:v>
      </x:c>
      <x:c r="R106" t="str">
        <x:v>NO_DIRECT_ROUTE_CLAIM</x:v>
      </x:c>
    </x:row>
    <x:row r="107">
      <x:c r="A107" t="str">
        <x:v>supply.weapons.6b504053399bbf32</x:v>
      </x:c>
      <x:c r="B107" t="str">
        <x:v>admin.han140.jizhou.qinghe.yanchuan</x:v>
      </x:c>
      <x:c r="C107" t="str">
        <x:v>admin.han140.jizhou.qinghe.ling</x:v>
      </x:c>
      <x:c r="D107" t="str">
        <x:v>WEAPONS</x:v>
      </x:c>
      <x:c r="E107" t="str">
        <x:v>route.county.802f0e7d0172af90</x:v>
      </x:c>
      <x:c r="F107" t="str">
        <x:v>ROAD_PACK_CART_REFERENCE</x:v>
      </x:c>
      <x:c r="G107" t="n">
        <x:v>21.9</x:v>
      </x:c>
      <x:c r="H107" t="n">
        <x:v>1</x:v>
      </x:c>
      <x:c r="I107" t="n">
        <x:v>0</x:v>
      </x:c>
      <x:c r="J107" t="n">
        <x:v>0</x:v>
      </x:c>
      <x:c r="K107" t="n">
        <x:v>0</x:v>
      </x:c>
      <x:c r="L107" t="n">
        <x:v>0</x:v>
      </x:c>
      <x:c r="M107" t="n">
        <x:v>94</x:v>
      </x:c>
      <x:c r="N107" t="n">
        <x:v>966</x:v>
      </x:c>
      <x:c r="O107" t="str">
        <x:v>INTRA_PROVINCE</x:v>
      </x:c>
      <x:c r="P107" t="str">
        <x:v>COMMERCIAL_OR_MILITARY</x:v>
      </x:c>
      <x:c r="Q107" t="str">
        <x:v>MODELED</x:v>
      </x:c>
      <x:c r="R107" t="str">
        <x:v>NO_DIRECT_ROUTE_CLAIM</x:v>
      </x:c>
    </x:row>
    <x:row r="108">
      <x:c r="A108" t="str">
        <x:v>supply.weapons.dbbb259247f80b13</x:v>
      </x:c>
      <x:c r="B108" t="str">
        <x:v>admin.han140.yuzhou.runan.xinyang</x:v>
      </x:c>
      <x:c r="C108" t="str">
        <x:v>admin.han140.yuzhou.runan.xiping</x:v>
      </x:c>
      <x:c r="D108" t="str">
        <x:v>WEAPONS</x:v>
      </x:c>
      <x:c r="E108" t="str">
        <x:v>route.county.dbbb259247f80b13</x:v>
      </x:c>
      <x:c r="F108" t="str">
        <x:v>ROAD_PACK_CART_REFERENCE</x:v>
      </x:c>
      <x:c r="G108" t="n">
        <x:v>6.3</x:v>
      </x:c>
      <x:c r="H108" t="n">
        <x:v>1</x:v>
      </x:c>
      <x:c r="I108" t="n">
        <x:v>2</x:v>
      </x:c>
      <x:c r="J108" t="n">
        <x:v>3</x:v>
      </x:c>
      <x:c r="K108" t="n">
        <x:v>2</x:v>
      </x:c>
      <x:c r="L108" t="n">
        <x:v>2</x:v>
      </x:c>
      <x:c r="M108" t="n">
        <x:v>80</x:v>
      </x:c>
      <x:c r="N108" t="n">
        <x:v>919</x:v>
      </x:c>
      <x:c r="O108" t="str">
        <x:v>INTRA_PROVINCE</x:v>
      </x:c>
      <x:c r="P108" t="str">
        <x:v>COMMERCIAL_OR_MILITARY</x:v>
      </x:c>
      <x:c r="Q108" t="str">
        <x:v>MODELED</x:v>
      </x:c>
      <x:c r="R108" t="str">
        <x:v>NO_DIRECT_ROUTE_CLAIM</x:v>
      </x:c>
    </x:row>
    <x:row r="109">
      <x:c r="A109" t="str">
        <x:v>supply.weapons.eddaa354ed9f329c</x:v>
      </x:c>
      <x:c r="B109" t="str">
        <x:v>admin.han140.yuzhou.runan.yilu</x:v>
      </x:c>
      <x:c r="C109" t="str">
        <x:v>admin.han140.yuzhou.runan.xiping</x:v>
      </x:c>
      <x:c r="D109" t="str">
        <x:v>WEAPONS</x:v>
      </x:c>
      <x:c r="E109" t="str">
        <x:v>route.county.868a1fdb7bc2da62</x:v>
      </x:c>
      <x:c r="F109" t="str">
        <x:v>ROAD_PACK_CART_REFERENCE</x:v>
      </x:c>
      <x:c r="G109" t="n">
        <x:v>7.6</x:v>
      </x:c>
      <x:c r="H109" t="n">
        <x:v>1</x:v>
      </x:c>
      <x:c r="I109" t="n">
        <x:v>3</x:v>
      </x:c>
      <x:c r="J109" t="n">
        <x:v>4</x:v>
      </x:c>
      <x:c r="K109" t="n">
        <x:v>3</x:v>
      </x:c>
      <x:c r="L109" t="n">
        <x:v>3</x:v>
      </x:c>
      <x:c r="M109" t="n">
        <x:v>80</x:v>
      </x:c>
      <x:c r="N109" t="n">
        <x:v>923</x:v>
      </x:c>
      <x:c r="O109" t="str">
        <x:v>INTRA_PROVINCE</x:v>
      </x:c>
      <x:c r="P109" t="str">
        <x:v>COMMERCIAL_OR_MILITARY</x:v>
      </x:c>
      <x:c r="Q109" t="str">
        <x:v>MODELED</x:v>
      </x:c>
      <x:c r="R109" t="str">
        <x:v>NO_DIRECT_ROUTE_CLAIM</x:v>
      </x:c>
    </x:row>
    <x:row r="110">
      <x:c r="A110" t="str">
        <x:v>supply.weapons.87b82aba28768c47</x:v>
      </x:c>
      <x:c r="B110" t="str">
        <x:v>admin.han140.yuzhou.runan.xinxi</x:v>
      </x:c>
      <x:c r="C110" t="str">
        <x:v>admin.han140.yuzhou.runan.xiping</x:v>
      </x:c>
      <x:c r="D110" t="str">
        <x:v>WEAPONS</x:v>
      </x:c>
      <x:c r="E110" t="str">
        <x:v>route.county.87b82aba28768c47</x:v>
      </x:c>
      <x:c r="F110" t="str">
        <x:v>ROAD_PACK_CART_REFERENCE</x:v>
      </x:c>
      <x:c r="G110" t="n">
        <x:v>13</x:v>
      </x:c>
      <x:c r="H110" t="n">
        <x:v>1</x:v>
      </x:c>
      <x:c r="I110" t="n">
        <x:v>11</x:v>
      </x:c>
      <x:c r="J110" t="n">
        <x:v>14</x:v>
      </x:c>
      <x:c r="K110" t="n">
        <x:v>11</x:v>
      </x:c>
      <x:c r="L110" t="n">
        <x:v>11</x:v>
      </x:c>
      <x:c r="M110" t="n">
        <x:v>84</x:v>
      </x:c>
      <x:c r="N110" t="n">
        <x:v>939</x:v>
      </x:c>
      <x:c r="O110" t="str">
        <x:v>INTRA_PROVINCE</x:v>
      </x:c>
      <x:c r="P110" t="str">
        <x:v>COMMERCIAL_OR_MILITARY</x:v>
      </x:c>
      <x:c r="Q110" t="str">
        <x:v>MODELED</x:v>
      </x:c>
      <x:c r="R110" t="str">
        <x:v>NO_DIRECT_ROUTE_CLAIM</x:v>
      </x:c>
    </x:row>
    <x:row r="111">
      <x:c r="A111" t="str">
        <x:v>supply.weapons.87b82aba28768c47</x:v>
      </x:c>
      <x:c r="B111" t="str">
        <x:v>admin.han140.yuzhou.runan.xinxi</x:v>
      </x:c>
      <x:c r="C111" t="str">
        <x:v>admin.han140.yuzhou.runan.xiping</x:v>
      </x:c>
      <x:c r="D111" t="str">
        <x:v>WEAPONS</x:v>
      </x:c>
      <x:c r="E111" t="str">
        <x:v>route.county.87b82aba28768c47</x:v>
      </x:c>
      <x:c r="F111" t="str">
        <x:v>ROAD_PACK_CART_REFERENCE</x:v>
      </x:c>
      <x:c r="G111" t="n">
        <x:v>13</x:v>
      </x:c>
      <x:c r="H111" t="n">
        <x:v>1</x:v>
      </x:c>
      <x:c r="I111" t="n">
        <x:v>0</x:v>
      </x:c>
      <x:c r="J111" t="n">
        <x:v>0</x:v>
      </x:c>
      <x:c r="K111" t="n">
        <x:v>0</x:v>
      </x:c>
      <x:c r="L111" t="n">
        <x:v>0</x:v>
      </x:c>
      <x:c r="M111" t="n">
        <x:v>84</x:v>
      </x:c>
      <x:c r="N111" t="n">
        <x:v>939</x:v>
      </x:c>
      <x:c r="O111" t="str">
        <x:v>INTRA_PROVINCE</x:v>
      </x:c>
      <x:c r="P111" t="str">
        <x:v>COMMERCIAL_OR_MILITARY</x:v>
      </x:c>
      <x:c r="Q111" t="str">
        <x:v>MODELED</x:v>
      </x:c>
      <x:c r="R111" t="str">
        <x:v>NO_DIRECT_ROUTE_CLAIM</x:v>
      </x:c>
    </x:row>
    <x:row r="112">
      <x:c r="A112" t="str">
        <x:v>supply.weapons.9a618974b7c8e40a</x:v>
      </x:c>
      <x:c r="B112" t="str">
        <x:v>admin.han140.jizhou.qinghe.yanchuan</x:v>
      </x:c>
      <x:c r="C112" t="str">
        <x:v>admin.han140.jizhou.qinghe.ganling</x:v>
      </x:c>
      <x:c r="D112" t="str">
        <x:v>WEAPONS</x:v>
      </x:c>
      <x:c r="E112" t="str">
        <x:v>route.county.1ac2b755967e79ca</x:v>
      </x:c>
      <x:c r="F112" t="str">
        <x:v>ROAD_PACK_CART_REFERENCE</x:v>
      </x:c>
      <x:c r="G112" t="n">
        <x:v>8.9</x:v>
      </x:c>
      <x:c r="H112" t="n">
        <x:v>1</x:v>
      </x:c>
      <x:c r="I112" t="n">
        <x:v>9</x:v>
      </x:c>
      <x:c r="J112" t="n">
        <x:v>11</x:v>
      </x:c>
      <x:c r="K112" t="n">
        <x:v>9</x:v>
      </x:c>
      <x:c r="L112" t="n">
        <x:v>9</x:v>
      </x:c>
      <x:c r="M112" t="n">
        <x:v>80</x:v>
      </x:c>
      <x:c r="N112" t="n">
        <x:v>927</x:v>
      </x:c>
      <x:c r="O112" t="str">
        <x:v>INTRA_PROVINCE</x:v>
      </x:c>
      <x:c r="P112" t="str">
        <x:v>COMMERCIAL_OR_MILITARY</x:v>
      </x:c>
      <x:c r="Q112" t="str">
        <x:v>MODELED</x:v>
      </x:c>
      <x:c r="R112" t="str">
        <x:v>NO_DIRECT_ROUTE_CLAIM</x:v>
      </x:c>
    </x:row>
    <x:row r="113">
      <x:c r="A113" t="str">
        <x:v>supply.weapons.46ce4ed70af5d919</x:v>
      </x:c>
      <x:c r="B113" t="str">
        <x:v>admin.han140.jizhou.qinghe.yimu</x:v>
      </x:c>
      <x:c r="C113" t="str">
        <x:v>admin.han140.jizhou.qinghe.ganling</x:v>
      </x:c>
      <x:c r="D113" t="str">
        <x:v>WEAPONS</x:v>
      </x:c>
      <x:c r="E113" t="str">
        <x:v>route.county.616e7cfd8d623cc0</x:v>
      </x:c>
      <x:c r="F113" t="str">
        <x:v>ROAD_PACK_CART_REFERENCE</x:v>
      </x:c>
      <x:c r="G113" t="n">
        <x:v>15</x:v>
      </x:c>
      <x:c r="H113" t="n">
        <x:v>1</x:v>
      </x:c>
      <x:c r="I113" t="n">
        <x:v>2</x:v>
      </x:c>
      <x:c r="J113" t="n">
        <x:v>3</x:v>
      </x:c>
      <x:c r="K113" t="n">
        <x:v>2</x:v>
      </x:c>
      <x:c r="L113" t="n">
        <x:v>2</x:v>
      </x:c>
      <x:c r="M113" t="n">
        <x:v>87</x:v>
      </x:c>
      <x:c r="N113" t="n">
        <x:v>945</x:v>
      </x:c>
      <x:c r="O113" t="str">
        <x:v>INTRA_PROVINCE</x:v>
      </x:c>
      <x:c r="P113" t="str">
        <x:v>COMMERCIAL_OR_MILITARY</x:v>
      </x:c>
      <x:c r="Q113" t="str">
        <x:v>MODELED</x:v>
      </x:c>
      <x:c r="R113" t="str">
        <x:v>NO_DIRECT_ROUTE_CLAIM</x:v>
      </x:c>
    </x:row>
    <x:row r="114">
      <x:c r="A114" t="str">
        <x:v>supply.weapons.c4c6e3aaeac69b1f</x:v>
      </x:c>
      <x:c r="B114" t="str">
        <x:v>admin.han140.jizhou.qinghe.yu</x:v>
      </x:c>
      <x:c r="C114" t="str">
        <x:v>admin.han140.jizhou.qinghe.ganling</x:v>
      </x:c>
      <x:c r="D114" t="str">
        <x:v>WEAPONS</x:v>
      </x:c>
      <x:c r="E114" t="str">
        <x:v>route.county.92a144ea93a3fd35</x:v>
      </x:c>
      <x:c r="F114" t="str">
        <x:v>ROAD_PACK_CART_REFERENCE</x:v>
      </x:c>
      <x:c r="G114" t="n">
        <x:v>21.1</x:v>
      </x:c>
      <x:c r="H114" t="n">
        <x:v>1</x:v>
      </x:c>
      <x:c r="I114" t="n">
        <x:v>4</x:v>
      </x:c>
      <x:c r="J114" t="n">
        <x:v>5</x:v>
      </x:c>
      <x:c r="K114" t="n">
        <x:v>4</x:v>
      </x:c>
      <x:c r="L114" t="n">
        <x:v>4</x:v>
      </x:c>
      <x:c r="M114" t="n">
        <x:v>93</x:v>
      </x:c>
      <x:c r="N114" t="n">
        <x:v>963</x:v>
      </x:c>
      <x:c r="O114" t="str">
        <x:v>INTRA_PROVINCE</x:v>
      </x:c>
      <x:c r="P114" t="str">
        <x:v>COMMERCIAL_OR_MILITARY</x:v>
      </x:c>
      <x:c r="Q114" t="str">
        <x:v>MODELED</x:v>
      </x:c>
      <x:c r="R114" t="str">
        <x:v>NO_DIRECT_ROUTE_CLAIM</x:v>
      </x:c>
    </x:row>
    <x:row r="115">
      <x:c r="A115" t="str">
        <x:v>supply.weapons.c4c6e3aaeac69b1f</x:v>
      </x:c>
      <x:c r="B115" t="str">
        <x:v>admin.han140.jizhou.qinghe.yu</x:v>
      </x:c>
      <x:c r="C115" t="str">
        <x:v>admin.han140.jizhou.qinghe.ganling</x:v>
      </x:c>
      <x:c r="D115" t="str">
        <x:v>WEAPONS</x:v>
      </x:c>
      <x:c r="E115" t="str">
        <x:v>route.county.92a144ea93a3fd35</x:v>
      </x:c>
      <x:c r="F115" t="str">
        <x:v>ROAD_PACK_CART_REFERENCE</x:v>
      </x:c>
      <x:c r="G115" t="n">
        <x:v>21.1</x:v>
      </x:c>
      <x:c r="H115" t="n">
        <x:v>1</x:v>
      </x:c>
      <x:c r="I115" t="n">
        <x:v>0</x:v>
      </x:c>
      <x:c r="J115" t="n">
        <x:v>0</x:v>
      </x:c>
      <x:c r="K115" t="n">
        <x:v>0</x:v>
      </x:c>
      <x:c r="L115" t="n">
        <x:v>0</x:v>
      </x:c>
      <x:c r="M115" t="n">
        <x:v>93</x:v>
      </x:c>
      <x:c r="N115" t="n">
        <x:v>963</x:v>
      </x:c>
      <x:c r="O115" t="str">
        <x:v>INTRA_PROVINCE</x:v>
      </x:c>
      <x:c r="P115" t="str">
        <x:v>COMMERCIAL_OR_MILITARY</x:v>
      </x:c>
      <x:c r="Q115" t="str">
        <x:v>MODELED</x:v>
      </x:c>
      <x:c r="R115" t="str">
        <x:v>NO_DIRECT_ROUTE_CLAIM</x:v>
      </x:c>
    </x:row>
    <x:row r="116">
      <x:c r="A116" t="str">
        <x:v>supply.weapons.cd92da12052491c3</x:v>
      </x:c>
      <x:c r="B116" t="str">
        <x:v>admin.han140.yanzhou.jibei.sheqiu</x:v>
      </x:c>
      <x:c r="C116" t="str">
        <x:v>admin.han140.yanzhou.jibei.lu</x:v>
      </x:c>
      <x:c r="D116" t="str">
        <x:v>WEAPONS</x:v>
      </x:c>
      <x:c r="E116" t="str">
        <x:v>route.county.56ddff6446b55ba1</x:v>
      </x:c>
      <x:c r="F116" t="str">
        <x:v>ROAD_PACK_CART_REFERENCE</x:v>
      </x:c>
      <x:c r="G116" t="n">
        <x:v>8.9</x:v>
      </x:c>
      <x:c r="H116" t="n">
        <x:v>1</x:v>
      </x:c>
      <x:c r="I116" t="n">
        <x:v>3</x:v>
      </x:c>
      <x:c r="J116" t="n">
        <x:v>4</x:v>
      </x:c>
      <x:c r="K116" t="n">
        <x:v>3</x:v>
      </x:c>
      <x:c r="L116" t="n">
        <x:v>3</x:v>
      </x:c>
      <x:c r="M116" t="n">
        <x:v>80</x:v>
      </x:c>
      <x:c r="N116" t="n">
        <x:v>927</x:v>
      </x:c>
      <x:c r="O116" t="str">
        <x:v>INTRA_PROVINCE</x:v>
      </x:c>
      <x:c r="P116" t="str">
        <x:v>COMMERCIAL_OR_MILITARY</x:v>
      </x:c>
      <x:c r="Q116" t="str">
        <x:v>MODELED</x:v>
      </x:c>
      <x:c r="R116" t="str">
        <x:v>NO_DIRECT_ROUTE_CLAIM</x:v>
      </x:c>
    </x:row>
    <x:row r="117">
      <x:c r="A117" t="str">
        <x:v>supply.weapons.7247f2097550061e</x:v>
      </x:c>
      <x:c r="B117" t="str">
        <x:v>admin.han140.yanzhou.jibei.chiping</x:v>
      </x:c>
      <x:c r="C117" t="str">
        <x:v>admin.han140.yanzhou.jibei.lu</x:v>
      </x:c>
      <x:c r="D117" t="str">
        <x:v>WEAPONS</x:v>
      </x:c>
      <x:c r="E117" t="str">
        <x:v>route.county.7247f2097550061e</x:v>
      </x:c>
      <x:c r="F117" t="str">
        <x:v>ROAD_PACK_CART_REFERENCE</x:v>
      </x:c>
      <x:c r="G117" t="n">
        <x:v>15</x:v>
      </x:c>
      <x:c r="H117" t="n">
        <x:v>1</x:v>
      </x:c>
      <x:c r="I117" t="n">
        <x:v>12</x:v>
      </x:c>
      <x:c r="J117" t="n">
        <x:v>15</x:v>
      </x:c>
      <x:c r="K117" t="n">
        <x:v>12</x:v>
      </x:c>
      <x:c r="L117" t="n">
        <x:v>12</x:v>
      </x:c>
      <x:c r="M117" t="n">
        <x:v>87</x:v>
      </x:c>
      <x:c r="N117" t="n">
        <x:v>945</x:v>
      </x:c>
      <x:c r="O117" t="str">
        <x:v>INTRA_PROVINCE</x:v>
      </x:c>
      <x:c r="P117" t="str">
        <x:v>COMMERCIAL_OR_MILITARY</x:v>
      </x:c>
      <x:c r="Q117" t="str">
        <x:v>MODELED</x:v>
      </x:c>
      <x:c r="R117" t="str">
        <x:v>NO_DIRECT_ROUTE_CLAIM</x:v>
      </x:c>
    </x:row>
    <x:row r="118">
      <x:c r="A118" t="str">
        <x:v>supply.weapons.185e7cda158a56a6</x:v>
      </x:c>
      <x:c r="B118" t="str">
        <x:v>admin.han140.yanzhou.jibei.gang</x:v>
      </x:c>
      <x:c r="C118" t="str">
        <x:v>admin.han140.yanzhou.jibei.lu</x:v>
      </x:c>
      <x:c r="D118" t="str">
        <x:v>WEAPONS</x:v>
      </x:c>
      <x:c r="E118" t="str">
        <x:v>route.county.185e7cda158a56a6</x:v>
      </x:c>
      <x:c r="F118" t="str">
        <x:v>ROAD_PACK_CART_REFERENCE</x:v>
      </x:c>
      <x:c r="G118" t="n">
        <x:v>21.1</x:v>
      </x:c>
      <x:c r="H118" t="n">
        <x:v>1</x:v>
      </x:c>
      <x:c r="I118" t="n">
        <x:v>0</x:v>
      </x:c>
      <x:c r="J118" t="n">
        <x:v>0</x:v>
      </x:c>
      <x:c r="K118" t="n">
        <x:v>0</x:v>
      </x:c>
      <x:c r="L118" t="n">
        <x:v>0</x:v>
      </x:c>
      <x:c r="M118" t="n">
        <x:v>93</x:v>
      </x:c>
      <x:c r="N118" t="n">
        <x:v>963</x:v>
      </x:c>
      <x:c r="O118" t="str">
        <x:v>INTRA_PROVINCE</x:v>
      </x:c>
      <x:c r="P118" t="str">
        <x:v>COMMERCIAL_OR_MILITARY</x:v>
      </x:c>
      <x:c r="Q118" t="str">
        <x:v>MODELED</x:v>
      </x:c>
      <x:c r="R118" t="str">
        <x:v>NO_DIRECT_ROUTE_CLAIM</x:v>
      </x:c>
    </x:row>
    <x:row r="119">
      <x:c r="A119" t="str">
        <x:v>supply.weapons.185e7cda158a56a6</x:v>
      </x:c>
      <x:c r="B119" t="str">
        <x:v>admin.han140.yanzhou.jibei.gang</x:v>
      </x:c>
      <x:c r="C119" t="str">
        <x:v>admin.han140.yanzhou.jibei.lu</x:v>
      </x:c>
      <x:c r="D119" t="str">
        <x:v>WEAPONS</x:v>
      </x:c>
      <x:c r="E119" t="str">
        <x:v>route.county.185e7cda158a56a6</x:v>
      </x:c>
      <x:c r="F119" t="str">
        <x:v>ROAD_PACK_CART_REFERENCE</x:v>
      </x:c>
      <x:c r="G119" t="n">
        <x:v>21.1</x:v>
      </x:c>
      <x:c r="H119" t="n">
        <x:v>1</x:v>
      </x:c>
      <x:c r="I119" t="n">
        <x:v>0</x:v>
      </x:c>
      <x:c r="J119" t="n">
        <x:v>0</x:v>
      </x:c>
      <x:c r="K119" t="n">
        <x:v>0</x:v>
      </x:c>
      <x:c r="L119" t="n">
        <x:v>0</x:v>
      </x:c>
      <x:c r="M119" t="n">
        <x:v>93</x:v>
      </x:c>
      <x:c r="N119" t="n">
        <x:v>963</x:v>
      </x:c>
      <x:c r="O119" t="str">
        <x:v>INTRA_PROVINCE</x:v>
      </x:c>
      <x:c r="P119" t="str">
        <x:v>COMMERCIAL_OR_MILITARY</x:v>
      </x:c>
      <x:c r="Q119" t="str">
        <x:v>MODELED</x:v>
      </x:c>
      <x:c r="R119" t="str">
        <x:v>NO_DIRECT_ROUTE_CLAIM</x:v>
      </x:c>
    </x:row>
    <x:row r="120">
      <x:c r="A120" t="str">
        <x:v>supply.weapons.c9b1a359c35f8e30</x:v>
      </x:c>
      <x:c r="B120" t="str">
        <x:v>admin.han140.yanzhou.dong.fan</x:v>
      </x:c>
      <x:c r="C120" t="str">
        <x:v>admin.han140.yanzhou.dong.leping</x:v>
      </x:c>
      <x:c r="D120" t="str">
        <x:v>WEAPONS</x:v>
      </x:c>
      <x:c r="E120" t="str">
        <x:v>route.county.c9b1a359c35f8e30</x:v>
      </x:c>
      <x:c r="F120" t="str">
        <x:v>ROAD_PACK_CART_REFERENCE</x:v>
      </x:c>
      <x:c r="G120" t="n">
        <x:v>17.2</x:v>
      </x:c>
      <x:c r="H120" t="n">
        <x:v>1</x:v>
      </x:c>
      <x:c r="I120" t="n">
        <x:v>14</x:v>
      </x:c>
      <x:c r="J120" t="n">
        <x:v>18</x:v>
      </x:c>
      <x:c r="K120" t="n">
        <x:v>14</x:v>
      </x:c>
      <x:c r="L120" t="n">
        <x:v>14</x:v>
      </x:c>
      <x:c r="M120" t="n">
        <x:v>89</x:v>
      </x:c>
      <x:c r="N120" t="n">
        <x:v>952</x:v>
      </x:c>
      <x:c r="O120" t="str">
        <x:v>INTRA_PROVINCE</x:v>
      </x:c>
      <x:c r="P120" t="str">
        <x:v>COMMERCIAL_OR_MILITARY</x:v>
      </x:c>
      <x:c r="Q120" t="str">
        <x:v>MODELED</x:v>
      </x:c>
      <x:c r="R120" t="str">
        <x:v>NO_DIRECT_ROUTE_CLAIM</x:v>
      </x:c>
    </x:row>
    <x:row r="121">
      <x:c r="A121" t="str">
        <x:v>supply.weapons.d26208aab202b667</x:v>
      </x:c>
      <x:c r="B121" t="str">
        <x:v>admin.han140.yanzhou.dong.gucheng</x:v>
      </x:c>
      <x:c r="C121" t="str">
        <x:v>admin.han140.yanzhou.dong.leping</x:v>
      </x:c>
      <x:c r="D121" t="str">
        <x:v>WEAPONS</x:v>
      </x:c>
      <x:c r="E121" t="str">
        <x:v>route.county.d26208aab202b667</x:v>
      </x:c>
      <x:c r="F121" t="str">
        <x:v>ROAD_PACK_CART_REFERENCE</x:v>
      </x:c>
      <x:c r="G121" t="n">
        <x:v>19.7</x:v>
      </x:c>
      <x:c r="H121" t="n">
        <x:v>1</x:v>
      </x:c>
      <x:c r="I121" t="n">
        <x:v>0</x:v>
      </x:c>
      <x:c r="J121" t="n">
        <x:v>0</x:v>
      </x:c>
      <x:c r="K121" t="n">
        <x:v>0</x:v>
      </x:c>
      <x:c r="L121" t="n">
        <x:v>0</x:v>
      </x:c>
      <x:c r="M121" t="n">
        <x:v>92</x:v>
      </x:c>
      <x:c r="N121" t="n">
        <x:v>959</x:v>
      </x:c>
      <x:c r="O121" t="str">
        <x:v>INTRA_PROVINCE</x:v>
      </x:c>
      <x:c r="P121" t="str">
        <x:v>COMMERCIAL_OR_MILITARY</x:v>
      </x:c>
      <x:c r="Q121" t="str">
        <x:v>MODELED</x:v>
      </x:c>
      <x:c r="R121" t="str">
        <x:v>NO_DIRECT_ROUTE_CLAIM</x:v>
      </x:c>
    </x:row>
    <x:row r="122">
      <x:c r="A122" t="str">
        <x:v>supply.weapons.d26208aab202b667</x:v>
      </x:c>
      <x:c r="B122" t="str">
        <x:v>admin.han140.yanzhou.dong.gucheng</x:v>
      </x:c>
      <x:c r="C122" t="str">
        <x:v>admin.han140.yanzhou.dong.leping</x:v>
      </x:c>
      <x:c r="D122" t="str">
        <x:v>WEAPONS</x:v>
      </x:c>
      <x:c r="E122" t="str">
        <x:v>route.county.d26208aab202b667</x:v>
      </x:c>
      <x:c r="F122" t="str">
        <x:v>ROAD_PACK_CART_REFERENCE</x:v>
      </x:c>
      <x:c r="G122" t="n">
        <x:v>19.7</x:v>
      </x:c>
      <x:c r="H122" t="n">
        <x:v>1</x:v>
      </x:c>
      <x:c r="I122" t="n">
        <x:v>0</x:v>
      </x:c>
      <x:c r="J122" t="n">
        <x:v>0</x:v>
      </x:c>
      <x:c r="K122" t="n">
        <x:v>0</x:v>
      </x:c>
      <x:c r="L122" t="n">
        <x:v>0</x:v>
      </x:c>
      <x:c r="M122" t="n">
        <x:v>92</x:v>
      </x:c>
      <x:c r="N122" t="n">
        <x:v>959</x:v>
      </x:c>
      <x:c r="O122" t="str">
        <x:v>INTRA_PROVINCE</x:v>
      </x:c>
      <x:c r="P122" t="str">
        <x:v>COMMERCIAL_OR_MILITARY</x:v>
      </x:c>
      <x:c r="Q122" t="str">
        <x:v>MODELED</x:v>
      </x:c>
      <x:c r="R122" t="str">
        <x:v>NO_DIRECT_ROUTE_CLAIM</x:v>
      </x:c>
    </x:row>
    <x:row r="123">
      <x:c r="A123" t="str">
        <x:v>supply.weapons.d26208aab202b667</x:v>
      </x:c>
      <x:c r="B123" t="str">
        <x:v>admin.han140.yanzhou.dong.gucheng</x:v>
      </x:c>
      <x:c r="C123" t="str">
        <x:v>admin.han140.yanzhou.dong.leping</x:v>
      </x:c>
      <x:c r="D123" t="str">
        <x:v>WEAPONS</x:v>
      </x:c>
      <x:c r="E123" t="str">
        <x:v>route.county.d26208aab202b667</x:v>
      </x:c>
      <x:c r="F123" t="str">
        <x:v>ROAD_PACK_CART_REFERENCE</x:v>
      </x:c>
      <x:c r="G123" t="n">
        <x:v>19.7</x:v>
      </x:c>
      <x:c r="H123" t="n">
        <x:v>1</x:v>
      </x:c>
      <x:c r="I123" t="n">
        <x:v>0</x:v>
      </x:c>
      <x:c r="J123" t="n">
        <x:v>0</x:v>
      </x:c>
      <x:c r="K123" t="n">
        <x:v>0</x:v>
      </x:c>
      <x:c r="L123" t="n">
        <x:v>0</x:v>
      </x:c>
      <x:c r="M123" t="n">
        <x:v>92</x:v>
      </x:c>
      <x:c r="N123" t="n">
        <x:v>959</x:v>
      </x:c>
      <x:c r="O123" t="str">
        <x:v>INTRA_PROVINCE</x:v>
      </x:c>
      <x:c r="P123" t="str">
        <x:v>COMMERCIAL_OR_MILITARY</x:v>
      </x:c>
      <x:c r="Q123" t="str">
        <x:v>MODELED</x:v>
      </x:c>
      <x:c r="R123" t="str">
        <x:v>NO_DIRECT_ROUTE_CLAIM</x:v>
      </x:c>
    </x:row>
    <x:row r="124">
      <x:c r="A124" t="str">
        <x:v>supply.weapons.10fc757297d22882</x:v>
      </x:c>
      <x:c r="B124" t="str">
        <x:v>admin.han140.yuzhou.runan.chengfu</x:v>
      </x:c>
      <x:c r="C124" t="str">
        <x:v>admin.han140.yuzhou.runan.anyang</x:v>
      </x:c>
      <x:c r="D124" t="str">
        <x:v>WEAPONS</x:v>
      </x:c>
      <x:c r="E124" t="str">
        <x:v>route.county.8b4ec154ce683fe3</x:v>
      </x:c>
      <x:c r="F124" t="str">
        <x:v>ROAD_PACK_CART_REFERENCE</x:v>
      </x:c>
      <x:c r="G124" t="n">
        <x:v>8.2</x:v>
      </x:c>
      <x:c r="H124" t="n">
        <x:v>1</x:v>
      </x:c>
      <x:c r="I124" t="n">
        <x:v>14</x:v>
      </x:c>
      <x:c r="J124" t="n">
        <x:v>18</x:v>
      </x:c>
      <x:c r="K124" t="n">
        <x:v>14</x:v>
      </x:c>
      <x:c r="L124" t="n">
        <x:v>14</x:v>
      </x:c>
      <x:c r="M124" t="n">
        <x:v>80</x:v>
      </x:c>
      <x:c r="N124" t="n">
        <x:v>925</x:v>
      </x:c>
      <x:c r="O124" t="str">
        <x:v>INTRA_PROVINCE</x:v>
      </x:c>
      <x:c r="P124" t="str">
        <x:v>COMMERCIAL_OR_MILITARY</x:v>
      </x:c>
      <x:c r="Q124" t="str">
        <x:v>MODELED</x:v>
      </x:c>
      <x:c r="R124" t="str">
        <x:v>NO_DIRECT_ROUTE_CLAIM</x:v>
      </x:c>
    </x:row>
    <x:row r="125">
      <x:c r="A125" t="str">
        <x:v>supply.weapons.e258788e43a0fb2a</x:v>
      </x:c>
      <x:c r="B125" t="str">
        <x:v>admin.han140.yuzhou.runan.zhengqiang</x:v>
      </x:c>
      <x:c r="C125" t="str">
        <x:v>admin.han140.yuzhou.runan.anyang</x:v>
      </x:c>
      <x:c r="D125" t="str">
        <x:v>WEAPONS</x:v>
      </x:c>
      <x:c r="E125" t="str">
        <x:v>route.county.e372de48ca475b16</x:v>
      </x:c>
      <x:c r="F125" t="str">
        <x:v>ROAD_PACK_CART_REFERENCE</x:v>
      </x:c>
      <x:c r="G125" t="n">
        <x:v>8.5</x:v>
      </x:c>
      <x:c r="H125" t="n">
        <x:v>1</x:v>
      </x:c>
      <x:c r="I125" t="n">
        <x:v>0</x:v>
      </x:c>
      <x:c r="J125" t="n">
        <x:v>0</x:v>
      </x:c>
      <x:c r="K125" t="n">
        <x:v>0</x:v>
      </x:c>
      <x:c r="L125" t="n">
        <x:v>0</x:v>
      </x:c>
      <x:c r="M125" t="n">
        <x:v>80</x:v>
      </x:c>
      <x:c r="N125" t="n">
        <x:v>926</x:v>
      </x:c>
      <x:c r="O125" t="str">
        <x:v>INTRA_PROVINCE</x:v>
      </x:c>
      <x:c r="P125" t="str">
        <x:v>COMMERCIAL_OR_MILITARY</x:v>
      </x:c>
      <x:c r="Q125" t="str">
        <x:v>MODELED</x:v>
      </x:c>
      <x:c r="R125" t="str">
        <x:v>NO_DIRECT_ROUTE_CLAIM</x:v>
      </x:c>
    </x:row>
    <x:row r="126">
      <x:c r="A126" t="str">
        <x:v>supply.weapons.e258788e43a0fb2a</x:v>
      </x:c>
      <x:c r="B126" t="str">
        <x:v>admin.han140.yuzhou.runan.zhengqiang</x:v>
      </x:c>
      <x:c r="C126" t="str">
        <x:v>admin.han140.yuzhou.runan.anyang</x:v>
      </x:c>
      <x:c r="D126" t="str">
        <x:v>WEAPONS</x:v>
      </x:c>
      <x:c r="E126" t="str">
        <x:v>route.county.e372de48ca475b16</x:v>
      </x:c>
      <x:c r="F126" t="str">
        <x:v>ROAD_PACK_CART_REFERENCE</x:v>
      </x:c>
      <x:c r="G126" t="n">
        <x:v>8.5</x:v>
      </x:c>
      <x:c r="H126" t="n">
        <x:v>1</x:v>
      </x:c>
      <x:c r="I126" t="n">
        <x:v>0</x:v>
      </x:c>
      <x:c r="J126" t="n">
        <x:v>0</x:v>
      </x:c>
      <x:c r="K126" t="n">
        <x:v>0</x:v>
      </x:c>
      <x:c r="L126" t="n">
        <x:v>0</x:v>
      </x:c>
      <x:c r="M126" t="n">
        <x:v>80</x:v>
      </x:c>
      <x:c r="N126" t="n">
        <x:v>926</x:v>
      </x:c>
      <x:c r="O126" t="str">
        <x:v>INTRA_PROVINCE</x:v>
      </x:c>
      <x:c r="P126" t="str">
        <x:v>COMMERCIAL_OR_MILITARY</x:v>
      </x:c>
      <x:c r="Q126" t="str">
        <x:v>MODELED</x:v>
      </x:c>
      <x:c r="R126" t="str">
        <x:v>NO_DIRECT_ROUTE_CLAIM</x:v>
      </x:c>
    </x:row>
    <x:row r="127">
      <x:c r="A127" t="str">
        <x:v>supply.weapons.e258788e43a0fb2a</x:v>
      </x:c>
      <x:c r="B127" t="str">
        <x:v>admin.han140.yuzhou.runan.zhengqiang</x:v>
      </x:c>
      <x:c r="C127" t="str">
        <x:v>admin.han140.yuzhou.runan.anyang</x:v>
      </x:c>
      <x:c r="D127" t="str">
        <x:v>WEAPONS</x:v>
      </x:c>
      <x:c r="E127" t="str">
        <x:v>route.county.e372de48ca475b16</x:v>
      </x:c>
      <x:c r="F127" t="str">
        <x:v>ROAD_PACK_CART_REFERENCE</x:v>
      </x:c>
      <x:c r="G127" t="n">
        <x:v>8.5</x:v>
      </x:c>
      <x:c r="H127" t="n">
        <x:v>1</x:v>
      </x:c>
      <x:c r="I127" t="n">
        <x:v>0</x:v>
      </x:c>
      <x:c r="J127" t="n">
        <x:v>0</x:v>
      </x:c>
      <x:c r="K127" t="n">
        <x:v>0</x:v>
      </x:c>
      <x:c r="L127" t="n">
        <x:v>0</x:v>
      </x:c>
      <x:c r="M127" t="n">
        <x:v>80</x:v>
      </x:c>
      <x:c r="N127" t="n">
        <x:v>926</x:v>
      </x:c>
      <x:c r="O127" t="str">
        <x:v>INTRA_PROVINCE</x:v>
      </x:c>
      <x:c r="P127" t="str">
        <x:v>COMMERCIAL_OR_MILITARY</x:v>
      </x:c>
      <x:c r="Q127" t="str">
        <x:v>MODELED</x:v>
      </x:c>
      <x:c r="R127" t="str">
        <x:v>NO_DIRECT_ROUTE_CLAIM</x:v>
      </x:c>
    </x:row>
    <x:row r="128">
      <x:c r="A128" t="str">
        <x:v>supply.weapons.f1b4f785979c813a</x:v>
      </x:c>
      <x:c r="B128" t="str">
        <x:v>admin.han140.xuzhou.donghai.ganyu</x:v>
      </x:c>
      <x:c r="C128" t="str">
        <x:v>admin.han140.xuzhou.donghai.xiangbi</x:v>
      </x:c>
      <x:c r="D128" t="str">
        <x:v>WEAPONS</x:v>
      </x:c>
      <x:c r="E128" t="str">
        <x:v>route.county.c16985178ce9031b|route.county.84c141a4de9c1899|route.county.d860134b241f9870</x:v>
      </x:c>
      <x:c r="F128" t="str">
        <x:v>ROAD_PACK_CART_REFERENCE</x:v>
      </x:c>
      <x:c r="G128" t="n">
        <x:v>40.2</x:v>
      </x:c>
      <x:c r="H128" t="n">
        <x:v>2</x:v>
      </x:c>
      <x:c r="I128" t="n">
        <x:v>7</x:v>
      </x:c>
      <x:c r="J128" t="n">
        <x:v>8</x:v>
      </x:c>
      <x:c r="K128" t="n">
        <x:v>7</x:v>
      </x:c>
      <x:c r="L128" t="n">
        <x:v>7</x:v>
      </x:c>
      <x:c r="M128" t="n">
        <x:v>114</x:v>
      </x:c>
      <x:c r="N128" t="n">
        <x:v>1021</x:v>
      </x:c>
      <x:c r="O128" t="str">
        <x:v>INTRA_PROVINCE</x:v>
      </x:c>
      <x:c r="P128" t="str">
        <x:v>COMMERCIAL_OR_MILITARY</x:v>
      </x:c>
      <x:c r="Q128" t="str">
        <x:v>MODELED</x:v>
      </x:c>
      <x:c r="R128" t="str">
        <x:v>NO_DIRECT_ROUTE_CLAIM</x:v>
      </x:c>
    </x:row>
  </x:sheetData>
  <x:pageMargins left="0.7" right="0.7" top="0.75" bottom="0.75" header="0.3" footer="0.3"/>
  <x:tableParts count="1">
    <x:tablePart xmlns:r="http://schemas.openxmlformats.org/officeDocument/2006/relationships" r:id="R52350c6e960341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127</x:v>
      </x:c>
      <x:c r="C2" s="10" t="n">
        <x:f>COUNTA(Data!A:A)-1</x:f>
        <x:v>127</x:v>
      </x:c>
      <x:c r="D2" s="10" t="str">
        <x:f>IF(B2=C2,"PASS","FAIL")</x:f>
        <x:v>PASS</x:v>
      </x:c>
    </x:row>
    <x:row r="3">
      <x:c r="A3" s="9" t="str">
        <x:v>Header exists</x:v>
      </x:c>
      <x:c r="B3" s="10" t="n">
        <x:v>1</x:v>
      </x:c>
      <x:c r="C3" s="10" t="n">
        <x:f>COUNTA(Data!1:1)</x:f>
        <x:v>18</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