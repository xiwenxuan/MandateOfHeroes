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369147549c4c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4f83931674fe4dc4"/>
    <x:sheet xmlns:r="http://schemas.openxmlformats.org/officeDocument/2006/relationships" name="数据" sheetId="2" r:id="Rbfea055da06a4957"/>
    <x:sheet xmlns:r="http://schemas.openxmlformats.org/officeDocument/2006/relationships" name="参数" sheetId="3" r:id="R91b7768709f24559"/>
    <x:sheet xmlns:r="http://schemas.openxmlformats.org/officeDocument/2006/relationships" name="公式核验" sheetId="4" r:id="R1940f0b3e5334c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00000000"/>
    <x:numFmt numFmtId="201" formatCode="0"/>
  </x:numFmts>
  <x:fonts count="7">
    <x:font>
      <x:sz val="11"/>
      <x:name val="Carlito"/>
    </x:font>
    <x:font>
      <x:b/>
      <x:sz val="17"/>
      <x:color rgb="FFFFFFFF"/>
      <x:name val="Carlito"/>
    </x:font>
    <x:font>
      <x:b/>
      <x:sz val="11"/>
      <x:color rgb="FF26372E"/>
      <x:name val="Carlito"/>
    </x:font>
    <x:font>
      <x:b/>
      <x:sz val="10"/>
      <x:color rgb="FFFFFFFF"/>
      <x:name val="Carlito"/>
    </x:font>
    <x:font>
      <x:sz val="9"/>
      <x:color rgb="FF232B27"/>
      <x:name val="Carlito"/>
    </x:font>
    <x:font>
      <x:b/>
      <x:sz val="11"/>
      <x:color rgb="FFFFFFFF"/>
      <x:name val="Carlito"/>
    </x:font>
    <x:font>
      <x:b/>
      <x:sz val="9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294539"/>
      </x:patternFill>
    </x:fill>
    <x:fill>
      <x:patternFill patternType="solid">
        <x:fgColor rgb="FFDCE7DE"/>
      </x:patternFill>
    </x:fill>
    <x:fill>
      <x:patternFill patternType="solid">
        <x:fgColor rgb="FFF7F2E7"/>
      </x:patternFill>
    </x:fill>
    <x:fill>
      <x:patternFill patternType="solid">
        <x:fgColor rgb="FF304F43"/>
      </x:patternFill>
    </x:fill>
    <x:fill>
      <x:patternFill patternType="solid">
        <x:fgColor rgb="FFF6F1E6"/>
      </x:patternFill>
    </x:fill>
  </x:fills>
  <x:borders count="1">
    <x:border/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6" borderId="0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/>
    <x:xf numFmtId="200" fontId="0" fillId="0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/>
    <x:xf numFmtId="201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50a9eb13ea4a5c" /><Relationship Type="http://schemas.openxmlformats.org/officeDocument/2006/relationships/theme" Target="/xl/theme/theme1.xml" Id="Rc7e85b03a0c84718" /><Relationship Type="http://schemas.microsoft.com/office/2022/11/relationships/FeaturePropertyBag" Target="/xl/featurePropertyBag/featurePropertyBag.xml" Id="R834051a3b02e445d" /><Relationship Type="http://schemas.openxmlformats.org/officeDocument/2006/relationships/sharedStrings" Target="/xl/sharedStrings.xml" Id="R62073333fc78471d" /><Relationship Type="http://schemas.openxmlformats.org/officeDocument/2006/relationships/worksheet" Target="/xl/worksheets/sheet1.xml" Id="R4f83931674fe4dc4" /><Relationship Type="http://schemas.openxmlformats.org/officeDocument/2006/relationships/worksheet" Target="/xl/worksheets/sheet2.xml" Id="Rbfea055da06a4957" /><Relationship Type="http://schemas.openxmlformats.org/officeDocument/2006/relationships/worksheet" Target="/xl/worksheets/sheet3.xml" Id="R91b7768709f24559" /><Relationship Type="http://schemas.openxmlformats.org/officeDocument/2006/relationships/worksheet" Target="/xl/worksheets/sheet4.xml" Id="R1940f0b3e5334cc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GlobalSpatial15" displayName="TGlobalSpatial15" ref="A1:D177" headerRowCount="1" totalsRowCount="0" totalsRowShown="0">
  <x:tableColumns count="4">
    <x:tableColumn id="1" name="Section"/>
    <x:tableColumn id="2" name="Field"/>
    <x:tableColumn id="3" name="Value"/>
    <x:tableColumn id="4" name="UnitOrMeaning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GlobalSpatial15FormulaAudit" displayName="TGlobalSpatial15FormulaAudit" ref="A1:M4" headerRowCount="1" totalsRowCount="0" totalsRowShown="0">
  <x:tableColumns count="13">
    <x:tableColumn id="1" name="Sample"/>
    <x:tableColumn id="2" name="Row"/>
    <x:tableColumn id="3" name="Column"/>
    <x:tableColumn id="4" name="StoredCenterX"/>
    <x:tableColumn id="5" name="StoredCenterY"/>
    <x:tableColumn id="6" name="FormulaCenterX"/>
    <x:tableColumn id="7" name="FormulaCenterY"/>
    <x:tableColumn id="8" name="CenterXError"/>
    <x:tableColumn id="9" name="CenterYError"/>
    <x:tableColumn id="10" name="HenanLocalX"/>
    <x:tableColumn id="11" name="HenanLocalY"/>
    <x:tableColumn id="12" name="RoundTripXError"/>
    <x:tableColumn id="13" name="RoundTripYErro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e77fc73f34c48a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eb780bbb73384f6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65" hidden="0" customWidth="1"/>
  </x:cols>
  <x:sheetData>
    <x:row r="1" ht="38" customHeight="1">
      <x:c r="A1" s="3" t="str">
        <x:v>Global And Region Origin Summary</x:v>
      </x:c>
      <x:c r="B1" s="3"/>
      <x:c r="C1" s="3"/>
      <x:c r="D1" s="3"/>
      <x:c r="E1" s="3"/>
      <x:c r="F1" s="3"/>
      <x:c r="G1" s="3"/>
      <x:c r="H1" s="3"/>
    </x:row>
    <x:row r="3">
      <x:c r="A3" s="5" t="str">
        <x:v>Status</x:v>
      </x:c>
      <x:c r="B3" s="7" t="str">
        <x:v>GLOBAL_SPATIAL_FOUNDATION_V1_FROZEN</x:v>
      </x:c>
    </x:row>
    <x:row r="4">
      <x:c r="A4" s="5" t="str">
        <x:v>Authority</x:v>
      </x:c>
      <x:c r="B4" s="7" t="str">
        <x:v>Canonical Spatial Foundation V1</x:v>
      </x:c>
    </x:row>
    <x:row r="5">
      <x:c r="A5" s="5" t="str">
        <x:v>Reuse conclusion</x:v>
      </x:c>
      <x:c r="B5" s="7" t="str">
        <x:v>B_REUSABLE_WITH_NON_ID_MIGRATION</x:v>
      </x:c>
    </x:row>
    <x:row r="6">
      <x:c r="A6" s="5" t="str">
        <x:v>Stable ID</x:v>
      </x:c>
      <x:c r="B6" s="7" t="str">
        <x:v>No CellPermanentId was renumbered</x:v>
      </x:c>
    </x:row>
    <x:row r="7">
      <x:c r="A7" s="5" t="str">
        <x:v>Boundary</x:v>
      </x:c>
      <x:c r="B7" s="7" t="str">
        <x:v>16x16 is a technical aggregation block; Terrain/Streaming sizes remain unfrozen; 64x64 is storage only</x:v>
      </x:c>
    </x:row>
    <x:row r="8">
      <x:c r="A8" s="5" t="str">
        <x:v>Source</x:v>
      </x:c>
      <x:c r="B8" s="7" t="str">
        <x:v>HanWorldV1 + Luoyang protected packages + machine audit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48" hidden="0" customWidth="1"/>
    <x:col min="3" max="3" width="72" hidden="0" customWidth="1"/>
    <x:col min="4" max="4" width="26" hidden="0" customWidth="1"/>
  </x:cols>
  <x:sheetData>
    <x:row r="1" ht="34" customHeight="1">
      <x:c r="A1" s="12" t="str">
        <x:v>Section</x:v>
      </x:c>
      <x:c r="B1" s="12" t="str">
        <x:v>Field</x:v>
      </x:c>
      <x:c r="C1" s="12" t="str">
        <x:v>Value</x:v>
      </x:c>
      <x:c r="D1" s="12" t="str">
        <x:v>UnitOrMeaning</x:v>
      </x:c>
    </x:row>
    <x:row r="2">
      <x:c r="A2" s="19" t="str">
        <x:v>REQUIRED_ORIGIN_FIELDS</x:v>
      </x:c>
      <x:c r="B2" s="19" t="str">
        <x:v>GLOBAL_CRS_NAME</x:v>
      </x:c>
      <x:c r="C2" s="19" t="str">
        <x:v>Han World China-centered Albers Equal Area V0</x:v>
      </x:c>
      <x:c r="D2" s="19" t="str">
        <x:v>task-book exact field</x:v>
      </x:c>
    </x:row>
    <x:row r="3">
      <x:c r="A3" s="17" t="str">
        <x:v>REQUIRED_ORIGIN_FIELDS</x:v>
      </x:c>
      <x:c r="B3" s="17" t="str">
        <x:v>GLOBAL_ORIGIN_X</x:v>
      </x:c>
      <x:c r="C3" s="17" t="n">
        <x:v>-3417344.395965772</x:v>
      </x:c>
      <x:c r="D3" s="17" t="str">
        <x:v>task-book exact field</x:v>
      </x:c>
    </x:row>
    <x:row r="4">
      <x:c r="A4" s="19" t="str">
        <x:v>REQUIRED_ORIGIN_FIELDS</x:v>
      </x:c>
      <x:c r="B4" s="19" t="str">
        <x:v>GLOBAL_ORIGIN_Y</x:v>
      </x:c>
      <x:c r="C4" s="19" t="n">
        <x:v>6199580.451937504</x:v>
      </x:c>
      <x:c r="D4" s="19" t="str">
        <x:v>task-book exact field</x:v>
      </x:c>
    </x:row>
    <x:row r="5">
      <x:c r="A5" s="17" t="str">
        <x:v>REQUIRED_ORIGIN_FIELDS</x:v>
      </x:c>
      <x:c r="B5" s="17" t="str">
        <x:v>GLOBAL_ORIGIN_UNIT</x:v>
      </x:c>
      <x:c r="C5" s="17" t="str">
        <x:v>meter</x:v>
      </x:c>
      <x:c r="D5" s="17" t="str">
        <x:v>task-book exact field</x:v>
      </x:c>
    </x:row>
    <x:row r="6">
      <x:c r="A6" s="19" t="str">
        <x:v>REQUIRED_ORIGIN_FIELDS</x:v>
      </x:c>
      <x:c r="B6" s="19" t="str">
        <x:v>GLOBAL_ORIGIN_MEANING</x:v>
      </x:c>
      <x:c r="C6" s="19" t="str">
        <x:v>GLOBAL_GRID_NORTHWEST_CORNER</x:v>
      </x:c>
      <x:c r="D6" s="19" t="str">
        <x:v>task-book exact field</x:v>
      </x:c>
    </x:row>
    <x:row r="7">
      <x:c r="A7" s="17" t="str">
        <x:v>REQUIRED_ORIGIN_FIELDS</x:v>
      </x:c>
      <x:c r="B7" s="17" t="str">
        <x:v>GLOBAL_ROW_ZERO_DIRECTION</x:v>
      </x:c>
      <x:c r="C7" s="17" t="str">
        <x:v>ROW_0_IS_NORTHERNMOST; ROW_INDEX_INCREASES_NORTH_TO_SOUTH</x:v>
      </x:c>
      <x:c r="D7" s="17" t="str">
        <x:v>task-book exact field</x:v>
      </x:c>
    </x:row>
    <x:row r="8">
      <x:c r="A8" s="19" t="str">
        <x:v>REQUIRED_ORIGIN_FIELDS</x:v>
      </x:c>
      <x:c r="B8" s="19" t="str">
        <x:v>GLOBAL_COLUMN_ZERO_DIRECTION</x:v>
      </x:c>
      <x:c r="C8" s="19" t="str">
        <x:v>COLUMN_0_IS_WESTERNMOST; COLUMN_INDEX_INCREASES_WEST_TO_EAST</x:v>
      </x:c>
      <x:c r="D8" s="19" t="str">
        <x:v>task-book exact field</x:v>
      </x:c>
    </x:row>
    <x:row r="9">
      <x:c r="A9" s="17" t="str">
        <x:v>REQUIRED_ORIGIN_FIELDS</x:v>
      </x:c>
      <x:c r="B9" s="17" t="str">
        <x:v>CELL_SIZE</x:v>
      </x:c>
      <x:c r="C9" s="17" t="n">
        <x:v>2000</x:v>
      </x:c>
      <x:c r="D9" s="17" t="str">
        <x:v>task-book exact field</x:v>
      </x:c>
    </x:row>
    <x:row r="10">
      <x:c r="A10" s="19" t="str">
        <x:v>REQUIRED_ORIGIN_FIELDS</x:v>
      </x:c>
      <x:c r="B10" s="19" t="str">
        <x:v>GLOBAL_GRID_COLUMNS</x:v>
      </x:c>
      <x:c r="C10" s="19" t="n">
        <x:v>3314</x:v>
      </x:c>
      <x:c r="D10" s="19" t="str">
        <x:v>task-book exact field</x:v>
      </x:c>
    </x:row>
    <x:row r="11">
      <x:c r="A11" s="17" t="str">
        <x:v>REQUIRED_ORIGIN_FIELDS</x:v>
      </x:c>
      <x:c r="B11" s="17" t="str">
        <x:v>GLOBAL_GRID_ROWS</x:v>
      </x:c>
      <x:c r="C11" s="17" t="n">
        <x:v>2176</x:v>
      </x:c>
      <x:c r="D11" s="17" t="str">
        <x:v>task-book exact field</x:v>
      </x:c>
    </x:row>
    <x:row r="12">
      <x:c r="A12" s="19" t="str">
        <x:v>REQUIRED_ORIGIN_FIELDS</x:v>
      </x:c>
      <x:c r="B12" s="19" t="str">
        <x:v>GLOBAL_GRID_FIRST_CELL_ID</x:v>
      </x:c>
      <x:c r="C12" s="19" t="str">
        <x:v>cell.hanworld.v0.0</x:v>
      </x:c>
      <x:c r="D12" s="19" t="str">
        <x:v>task-book exact field</x:v>
      </x:c>
    </x:row>
    <x:row r="13">
      <x:c r="A13" s="17" t="str">
        <x:v>REQUIRED_ORIGIN_FIELDS</x:v>
      </x:c>
      <x:c r="B13" s="17" t="str">
        <x:v>GLOBAL_GRID_FIRST_CELL_ROW</x:v>
      </x:c>
      <x:c r="C13" s="17" t="n">
        <x:v>0</x:v>
      </x:c>
      <x:c r="D13" s="17" t="str">
        <x:v>task-book exact field</x:v>
      </x:c>
    </x:row>
    <x:row r="14">
      <x:c r="A14" s="19" t="str">
        <x:v>REQUIRED_ORIGIN_FIELDS</x:v>
      </x:c>
      <x:c r="B14" s="19" t="str">
        <x:v>GLOBAL_GRID_FIRST_CELL_COLUMN</x:v>
      </x:c>
      <x:c r="C14" s="19" t="n">
        <x:v>0</x:v>
      </x:c>
      <x:c r="D14" s="19" t="str">
        <x:v>task-book exact field</x:v>
      </x:c>
    </x:row>
    <x:row r="15">
      <x:c r="A15" s="17" t="str">
        <x:v>REQUIRED_ORIGIN_FIELDS</x:v>
      </x:c>
      <x:c r="B15" s="17" t="str">
        <x:v>GLOBAL_GRID_FIRST_CELL_MIN_X</x:v>
      </x:c>
      <x:c r="C15" s="17" t="n">
        <x:v>-3417344.395965772</x:v>
      </x:c>
      <x:c r="D15" s="17" t="str">
        <x:v>task-book exact field</x:v>
      </x:c>
    </x:row>
    <x:row r="16">
      <x:c r="A16" s="19" t="str">
        <x:v>REQUIRED_ORIGIN_FIELDS</x:v>
      </x:c>
      <x:c r="B16" s="19" t="str">
        <x:v>GLOBAL_GRID_FIRST_CELL_MIN_Y</x:v>
      </x:c>
      <x:c r="C16" s="19" t="n">
        <x:v>6197580.451937504</x:v>
      </x:c>
      <x:c r="D16" s="19" t="str">
        <x:v>task-book exact field</x:v>
      </x:c>
    </x:row>
    <x:row r="17">
      <x:c r="A17" s="17" t="str">
        <x:v>REQUIRED_ORIGIN_FIELDS</x:v>
      </x:c>
      <x:c r="B17" s="17" t="str">
        <x:v>GLOBAL_GRID_FIRST_CELL_MAX_X</x:v>
      </x:c>
      <x:c r="C17" s="17" t="n">
        <x:v>-3415344.395965772</x:v>
      </x:c>
      <x:c r="D17" s="17" t="str">
        <x:v>task-book exact field</x:v>
      </x:c>
    </x:row>
    <x:row r="18">
      <x:c r="A18" s="19" t="str">
        <x:v>REQUIRED_ORIGIN_FIELDS</x:v>
      </x:c>
      <x:c r="B18" s="19" t="str">
        <x:v>GLOBAL_GRID_FIRST_CELL_MAX_Y</x:v>
      </x:c>
      <x:c r="C18" s="19" t="n">
        <x:v>6199580.451937504</x:v>
      </x:c>
      <x:c r="D18" s="19" t="str">
        <x:v>task-book exact field</x:v>
      </x:c>
    </x:row>
    <x:row r="19">
      <x:c r="A19" s="17" t="str">
        <x:v>REQUIRED_ORIGIN_FIELDS</x:v>
      </x:c>
      <x:c r="B19" s="17" t="str">
        <x:v>GLOBAL_GRID_FIRST_CELL_CENTER_X</x:v>
      </x:c>
      <x:c r="C19" s="17" t="n">
        <x:v>-3416344.395965772</x:v>
      </x:c>
      <x:c r="D19" s="17" t="str">
        <x:v>task-book exact field</x:v>
      </x:c>
    </x:row>
    <x:row r="20">
      <x:c r="A20" s="19" t="str">
        <x:v>REQUIRED_ORIGIN_FIELDS</x:v>
      </x:c>
      <x:c r="B20" s="19" t="str">
        <x:v>GLOBAL_GRID_FIRST_CELL_CENTER_Y</x:v>
      </x:c>
      <x:c r="C20" s="19" t="n">
        <x:v>6198580.451937504</x:v>
      </x:c>
      <x:c r="D20" s="19" t="str">
        <x:v>task-book exact field</x:v>
      </x:c>
    </x:row>
    <x:row r="21">
      <x:c r="A21" s="17" t="str">
        <x:v>REQUIRED_ORIGIN_FIELDS</x:v>
      </x:c>
      <x:c r="B21" s="17" t="str">
        <x:v>GLOBAL_GRID_MIN_X</x:v>
      </x:c>
      <x:c r="C21" s="17" t="n">
        <x:v>-3417344.395965772</x:v>
      </x:c>
      <x:c r="D21" s="17" t="str">
        <x:v>task-book exact field</x:v>
      </x:c>
    </x:row>
    <x:row r="22">
      <x:c r="A22" s="19" t="str">
        <x:v>REQUIRED_ORIGIN_FIELDS</x:v>
      </x:c>
      <x:c r="B22" s="19" t="str">
        <x:v>GLOBAL_GRID_MIN_Y</x:v>
      </x:c>
      <x:c r="C22" s="19" t="n">
        <x:v>1847580.451937504</x:v>
      </x:c>
      <x:c r="D22" s="19" t="str">
        <x:v>task-book exact field</x:v>
      </x:c>
    </x:row>
    <x:row r="23">
      <x:c r="A23" s="17" t="str">
        <x:v>REQUIRED_ORIGIN_FIELDS</x:v>
      </x:c>
      <x:c r="B23" s="17" t="str">
        <x:v>GLOBAL_GRID_MAX_X</x:v>
      </x:c>
      <x:c r="C23" s="17" t="n">
        <x:v>3210655.604034228</x:v>
      </x:c>
      <x:c r="D23" s="17" t="str">
        <x:v>task-book exact field</x:v>
      </x:c>
    </x:row>
    <x:row r="24">
      <x:c r="A24" s="19" t="str">
        <x:v>REQUIRED_ORIGIN_FIELDS</x:v>
      </x:c>
      <x:c r="B24" s="19" t="str">
        <x:v>GLOBAL_GRID_MAX_Y</x:v>
      </x:c>
      <x:c r="C24" s="19" t="n">
        <x:v>6199580.451937504</x:v>
      </x:c>
      <x:c r="D24" s="19" t="str">
        <x:v>task-book exact field</x:v>
      </x:c>
    </x:row>
    <x:row r="25">
      <x:c r="A25" s="17" t="str">
        <x:v>REQUIRED_ORIGIN_FIELDS</x:v>
      </x:c>
      <x:c r="B25" s="17" t="str">
        <x:v>VALID_WORLD_EXTENT</x:v>
      </x:c>
      <x:c r="C25" s="17" t="str">
        <x:v>GLOBAL_GRID_ENVELOPE</x:v>
      </x:c>
      <x:c r="D25" s="17" t="str">
        <x:v>task-book exact field</x:v>
      </x:c>
    </x:row>
    <x:row r="26">
      <x:c r="A26" s="19" t="str">
        <x:v>REQUIRED_ORIGIN_FIELDS</x:v>
      </x:c>
      <x:c r="B26" s="19" t="str">
        <x:v>HENAN_YIN_REGION_ID</x:v>
      </x:c>
      <x:c r="C26" s="19" t="str">
        <x:v>HENAN_YIN_REGION</x:v>
      </x:c>
      <x:c r="D26" s="19" t="str">
        <x:v>task-book exact field</x:v>
      </x:c>
    </x:row>
    <x:row r="27">
      <x:c r="A27" s="17" t="str">
        <x:v>REQUIRED_ORIGIN_FIELDS</x:v>
      </x:c>
      <x:c r="B27" s="17" t="str">
        <x:v>HENAN_YIN_REGION_LOCAL_ORIGIN_GLOBAL_X</x:v>
      </x:c>
      <x:c r="C27" s="17" t="n">
        <x:v>262655.6040342278</x:v>
      </x:c>
      <x:c r="D27" s="17" t="str">
        <x:v>task-book exact field</x:v>
      </x:c>
    </x:row>
    <x:row r="28">
      <x:c r="A28" s="19" t="str">
        <x:v>REQUIRED_ORIGIN_FIELDS</x:v>
      </x:c>
      <x:c r="B28" s="19" t="str">
        <x:v>HENAN_YIN_REGION_LOCAL_ORIGIN_GLOBAL_Y</x:v>
      </x:c>
      <x:c r="C28" s="19" t="n">
        <x:v>3511580.451937504</x:v>
      </x:c>
      <x:c r="D28" s="19" t="str">
        <x:v>task-book exact field</x:v>
      </x:c>
    </x:row>
    <x:row r="29">
      <x:c r="A29" s="17" t="str">
        <x:v>REQUIRED_ORIGIN_FIELDS</x:v>
      </x:c>
      <x:c r="B29" s="17" t="str">
        <x:v>HENAN_YIN_REGION_LOCAL_ORIGIN_CELL_ID</x:v>
      </x:c>
      <x:c r="C29" s="17" t="str">
        <x:v>cell.hanworld.v0.4452542</x:v>
      </x:c>
      <x:c r="D29" s="17" t="str">
        <x:v>task-book exact field</x:v>
      </x:c>
    </x:row>
    <x:row r="30">
      <x:c r="A30" s="19" t="str">
        <x:v>REQUIRED_ORIGIN_FIELDS</x:v>
      </x:c>
      <x:c r="B30" s="19" t="str">
        <x:v>HENAN_YIN_REGION_LOCAL_ORIGIN_CELL_ROW</x:v>
      </x:c>
      <x:c r="C30" s="19" t="n">
        <x:v>1343</x:v>
      </x:c>
      <x:c r="D30" s="19" t="str">
        <x:v>task-book exact field</x:v>
      </x:c>
    </x:row>
    <x:row r="31">
      <x:c r="A31" s="17" t="str">
        <x:v>REQUIRED_ORIGIN_FIELDS</x:v>
      </x:c>
      <x:c r="B31" s="17" t="str">
        <x:v>HENAN_YIN_REGION_LOCAL_ORIGIN_CELL_COLUMN</x:v>
      </x:c>
      <x:c r="C31" s="17" t="n">
        <x:v>1840</x:v>
      </x:c>
      <x:c r="D31" s="17" t="str">
        <x:v>task-book exact field</x:v>
      </x:c>
    </x:row>
    <x:row r="32">
      <x:c r="A32" s="19" t="str">
        <x:v>REQUIRED_ORIGIN_FIELDS</x:v>
      </x:c>
      <x:c r="B32" s="19" t="str">
        <x:v>HENAN_YIN_REGION_LOCAL_ORIGIN_CORNER</x:v>
      </x:c>
      <x:c r="C32" s="19" t="str">
        <x:v>SOUTHWEST_CORNER</x:v>
      </x:c>
      <x:c r="D32" s="19" t="str">
        <x:v>task-book exact field</x:v>
      </x:c>
    </x:row>
    <x:row r="33">
      <x:c r="A33" s="17" t="str">
        <x:v>REQUIRED_ORIGIN_FIELDS</x:v>
      </x:c>
      <x:c r="B33" s="17" t="str">
        <x:v>HENAN_YIN_REGION_LOCAL_X</x:v>
      </x:c>
      <x:c r="C33" s="17" t="n">
        <x:v>0</x:v>
      </x:c>
      <x:c r="D33" s="17" t="str">
        <x:v>task-book exact field</x:v>
      </x:c>
    </x:row>
    <x:row r="34">
      <x:c r="A34" s="19" t="str">
        <x:v>REQUIRED_ORIGIN_FIELDS</x:v>
      </x:c>
      <x:c r="B34" s="19" t="str">
        <x:v>HENAN_YIN_REGION_LOCAL_Y</x:v>
      </x:c>
      <x:c r="C34" s="19" t="n">
        <x:v>0</x:v>
      </x:c>
      <x:c r="D34" s="19" t="str">
        <x:v>task-book exact field</x:v>
      </x:c>
    </x:row>
    <x:row r="35">
      <x:c r="A35" s="17" t="str">
        <x:v>REQUIRED_ORIGIN_FIELDS</x:v>
      </x:c>
      <x:c r="B35" s="17" t="str">
        <x:v>HENAN_YIN_MIN_GLOBAL_ROW</x:v>
      </x:c>
      <x:c r="C35" s="17" t="n">
        <x:v>1152</x:v>
      </x:c>
      <x:c r="D35" s="17" t="str">
        <x:v>task-book exact field</x:v>
      </x:c>
    </x:row>
    <x:row r="36">
      <x:c r="A36" s="19" t="str">
        <x:v>REQUIRED_ORIGIN_FIELDS</x:v>
      </x:c>
      <x:c r="B36" s="19" t="str">
        <x:v>HENAN_YIN_MAX_GLOBAL_ROW</x:v>
      </x:c>
      <x:c r="C36" s="19" t="n">
        <x:v>1343</x:v>
      </x:c>
      <x:c r="D36" s="19" t="str">
        <x:v>task-book exact field</x:v>
      </x:c>
    </x:row>
    <x:row r="37">
      <x:c r="A37" s="17" t="str">
        <x:v>REQUIRED_ORIGIN_FIELDS</x:v>
      </x:c>
      <x:c r="B37" s="17" t="str">
        <x:v>HENAN_YIN_MIN_GLOBAL_COLUMN</x:v>
      </x:c>
      <x:c r="C37" s="17" t="n">
        <x:v>1840</x:v>
      </x:c>
      <x:c r="D37" s="17" t="str">
        <x:v>task-book exact field</x:v>
      </x:c>
    </x:row>
    <x:row r="38">
      <x:c r="A38" s="19" t="str">
        <x:v>REQUIRED_ORIGIN_FIELDS</x:v>
      </x:c>
      <x:c r="B38" s="19" t="str">
        <x:v>HENAN_YIN_MAX_GLOBAL_COLUMN</x:v>
      </x:c>
      <x:c r="C38" s="19" t="n">
        <x:v>2143</x:v>
      </x:c>
      <x:c r="D38" s="19" t="str">
        <x:v>task-book exact field</x:v>
      </x:c>
    </x:row>
    <x:row r="39">
      <x:c r="A39" s="17" t="str">
        <x:v>REQUIRED_ORIGIN_FIELDS</x:v>
      </x:c>
      <x:c r="B39" s="17" t="str">
        <x:v>HENAN_YIN_CELL_COUNT</x:v>
      </x:c>
      <x:c r="C39" s="17" t="n">
        <x:v>58368</x:v>
      </x:c>
      <x:c r="D39" s="17" t="str">
        <x:v>task-book exact field</x:v>
      </x:c>
    </x:row>
    <x:row r="40">
      <x:c r="A40" s="19" t="str">
        <x:v>REQUIRED_ORIGIN_FIELDS</x:v>
      </x:c>
      <x:c r="B40" s="19" t="str">
        <x:v>LUOYANG_CANONICAL_PLACE_ID</x:v>
      </x:c>
      <x:c r="C40" s="19" t="str">
        <x:v>C027</x:v>
      </x:c>
      <x:c r="D40" s="19" t="str">
        <x:v>task-book exact field</x:v>
      </x:c>
    </x:row>
    <x:row r="41">
      <x:c r="A41" s="17" t="str">
        <x:v>REQUIRED_ORIGIN_FIELDS</x:v>
      </x:c>
      <x:c r="B41" s="17" t="str">
        <x:v>LUOYANG_GLOBAL_X</x:v>
      </x:c>
      <x:c r="C41" s="17" t="n">
        <x:v>670561.5475446532</x:v>
      </x:c>
      <x:c r="D41" s="17" t="str">
        <x:v>task-book exact field</x:v>
      </x:c>
    </x:row>
    <x:row r="42">
      <x:c r="A42" s="19" t="str">
        <x:v>REQUIRED_ORIGIN_FIELDS</x:v>
      </x:c>
      <x:c r="B42" s="19" t="str">
        <x:v>LUOYANG_GLOBAL_Y</x:v>
      </x:c>
      <x:c r="C42" s="19" t="n">
        <x:v>3717065.2005044892</x:v>
      </x:c>
      <x:c r="D42" s="19" t="str">
        <x:v>task-book exact field</x:v>
      </x:c>
    </x:row>
    <x:row r="43">
      <x:c r="A43" s="17" t="str">
        <x:v>REQUIRED_ORIGIN_FIELDS</x:v>
      </x:c>
      <x:c r="B43" s="17" t="str">
        <x:v>LUOYANG_GLOBAL_CELL_ID</x:v>
      </x:c>
      <x:c r="C43" s="17" t="str">
        <x:v>cell.hanworld.v0.4114717</x:v>
      </x:c>
      <x:c r="D43" s="17" t="str">
        <x:v>task-book exact field</x:v>
      </x:c>
    </x:row>
    <x:row r="44">
      <x:c r="A44" s="19" t="str">
        <x:v>REQUIRED_ORIGIN_FIELDS</x:v>
      </x:c>
      <x:c r="B44" s="19" t="str">
        <x:v>LUOYANG_GLOBAL_ROW</x:v>
      </x:c>
      <x:c r="C44" s="19" t="n">
        <x:v>1241</x:v>
      </x:c>
      <x:c r="D44" s="19" t="str">
        <x:v>task-book exact field</x:v>
      </x:c>
    </x:row>
    <x:row r="45">
      <x:c r="A45" s="17" t="str">
        <x:v>REQUIRED_ORIGIN_FIELDS</x:v>
      </x:c>
      <x:c r="B45" s="17" t="str">
        <x:v>LUOYANG_GLOBAL_COLUMN</x:v>
      </x:c>
      <x:c r="C45" s="17" t="n">
        <x:v>2043</x:v>
      </x:c>
      <x:c r="D45" s="17" t="str">
        <x:v>task-book exact field</x:v>
      </x:c>
    </x:row>
    <x:row r="46">
      <x:c r="A46" s="19" t="str">
        <x:v>REQUIRED_ORIGIN_FIELDS</x:v>
      </x:c>
      <x:c r="B46" s="19" t="str">
        <x:v>LUOYANG_HENAN_LOCAL_X</x:v>
      </x:c>
      <x:c r="C46" s="19" t="n">
        <x:v>407905.9435104254</x:v>
      </x:c>
      <x:c r="D46" s="19" t="str">
        <x:v>task-book exact field</x:v>
      </x:c>
    </x:row>
    <x:row r="47">
      <x:c r="A47" s="17" t="str">
        <x:v>REQUIRED_ORIGIN_FIELDS</x:v>
      </x:c>
      <x:c r="B47" s="17" t="str">
        <x:v>LUOYANG_HENAN_LOCAL_Y</x:v>
      </x:c>
      <x:c r="C47" s="17" t="n">
        <x:v>205484.74856698513</x:v>
      </x:c>
      <x:c r="D47" s="17" t="str">
        <x:v>task-book exact field</x:v>
      </x:c>
    </x:row>
    <x:row r="48">
      <x:c r="A48" s="19" t="str">
        <x:v>REQUIRED_ORIGIN_FIELDS</x:v>
      </x:c>
      <x:c r="B48" s="19" t="str">
        <x:v>CELL_CENTER_X_FORMULA</x:v>
      </x:c>
      <x:c r="C48" s="19" t="str">
        <x:v>GlobalOriginX + (GlobalColumn + 0.5) * CellSize</x:v>
      </x:c>
      <x:c r="D48" s="19" t="str">
        <x:v>task-book exact field</x:v>
      </x:c>
    </x:row>
    <x:row r="49">
      <x:c r="A49" s="17" t="str">
        <x:v>REQUIRED_ORIGIN_FIELDS</x:v>
      </x:c>
      <x:c r="B49" s="17" t="str">
        <x:v>CELL_CENTER_Y_FORMULA</x:v>
      </x:c>
      <x:c r="C49" s="17" t="str">
        <x:v>GlobalOriginY - (GlobalRow + 0.5) * CellSize</x:v>
      </x:c>
      <x:c r="D49" s="17" t="str">
        <x:v>task-book exact field</x:v>
      </x:c>
    </x:row>
    <x:row r="50">
      <x:c r="A50" s="19" t="str">
        <x:v>REQUIRED_ORIGIN_FIELDS</x:v>
      </x:c>
      <x:c r="B50" s="19" t="str">
        <x:v>REGION_LOCAL_X_FORMULA</x:v>
      </x:c>
      <x:c r="C50" s="19" t="str">
        <x:v>GlobalX - RegionOriginGlobalX</x:v>
      </x:c>
      <x:c r="D50" s="19" t="str">
        <x:v>task-book exact field</x:v>
      </x:c>
    </x:row>
    <x:row r="51">
      <x:c r="A51" s="17" t="str">
        <x:v>REQUIRED_ORIGIN_FIELDS</x:v>
      </x:c>
      <x:c r="B51" s="17" t="str">
        <x:v>REGION_LOCAL_Y_FORMULA</x:v>
      </x:c>
      <x:c r="C51" s="17" t="str">
        <x:v>GlobalY - RegionOriginGlobalY</x:v>
      </x:c>
      <x:c r="D51" s="17" t="str">
        <x:v>task-book exact field</x:v>
      </x:c>
    </x:row>
    <x:row r="52">
      <x:c r="A52" s="19" t="str">
        <x:v>GLOBAL</x:v>
      </x:c>
      <x:c r="B52" s="19" t="str">
        <x:v>GLOBAL_CRS_NAME</x:v>
      </x:c>
      <x:c r="C52" s="19" t="str">
        <x:v>Han World China-centered Albers Equal Area V0</x:v>
      </x:c>
      <x:c r="D52" s="19" t="str">
        <x:v>canonical value</x:v>
      </x:c>
    </x:row>
    <x:row r="53">
      <x:c r="A53" s="17" t="str">
        <x:v>GLOBAL</x:v>
      </x:c>
      <x:c r="B53" s="17" t="str">
        <x:v>GLOBAL_CRS_ID</x:v>
      </x:c>
      <x:c r="C53" s="17" t="str">
        <x:v>hanworld.albers.china.v0</x:v>
      </x:c>
      <x:c r="D53" s="17" t="str">
        <x:v>canonical value</x:v>
      </x:c>
    </x:row>
    <x:row r="54">
      <x:c r="A54" s="19" t="str">
        <x:v>GLOBAL</x:v>
      </x:c>
      <x:c r="B54" s="19" t="str">
        <x:v>GLOBAL_ORIGIN_X</x:v>
      </x:c>
      <x:c r="C54" s="19" t="n">
        <x:v>-3417344.395965772</x:v>
      </x:c>
      <x:c r="D54" s="19" t="str">
        <x:v>canonical value</x:v>
      </x:c>
    </x:row>
    <x:row r="55">
      <x:c r="A55" s="17" t="str">
        <x:v>GLOBAL</x:v>
      </x:c>
      <x:c r="B55" s="17" t="str">
        <x:v>GLOBAL_ORIGIN_Y</x:v>
      </x:c>
      <x:c r="C55" s="17" t="n">
        <x:v>6199580.451937504</x:v>
      </x:c>
      <x:c r="D55" s="17" t="str">
        <x:v>canonical value</x:v>
      </x:c>
    </x:row>
    <x:row r="56">
      <x:c r="A56" s="19" t="str">
        <x:v>GLOBAL</x:v>
      </x:c>
      <x:c r="B56" s="19" t="str">
        <x:v>GLOBAL_ORIGIN_UNIT</x:v>
      </x:c>
      <x:c r="C56" s="19" t="str">
        <x:v>meter</x:v>
      </x:c>
      <x:c r="D56" s="19" t="str">
        <x:v>canonical value</x:v>
      </x:c>
    </x:row>
    <x:row r="57">
      <x:c r="A57" s="17" t="str">
        <x:v>GLOBAL</x:v>
      </x:c>
      <x:c r="B57" s="17" t="str">
        <x:v>GLOBAL_ORIGIN_MEANING</x:v>
      </x:c>
      <x:c r="C57" s="17" t="str">
        <x:v>GLOBAL_GRID_NORTHWEST_CORNER</x:v>
      </x:c>
      <x:c r="D57" s="17" t="str">
        <x:v>canonical value</x:v>
      </x:c>
    </x:row>
    <x:row r="58">
      <x:c r="A58" s="19" t="str">
        <x:v>GLOBAL</x:v>
      </x:c>
      <x:c r="B58" s="19" t="str">
        <x:v>GLOBAL_ORIGIN_CELL_RELATION</x:v>
      </x:c>
      <x:c r="C58" s="19" t="str">
        <x:v>Cell(0,0) northwest / upper-left corner and Global Grid Envelope northwest corner</x:v>
      </x:c>
      <x:c r="D58" s="19" t="str">
        <x:v>canonical value</x:v>
      </x:c>
    </x:row>
    <x:row r="59">
      <x:c r="A59" s="17" t="str">
        <x:v>GLOBAL</x:v>
      </x:c>
      <x:c r="B59" s="17" t="str">
        <x:v>GLOBAL_ROW_ZERO_DIRECTION</x:v>
      </x:c>
      <x:c r="C59" s="17" t="str">
        <x:v>ROW_0_IS_NORTHERNMOST; ROW_INDEX_INCREASES_NORTH_TO_SOUTH</x:v>
      </x:c>
      <x:c r="D59" s="17" t="str">
        <x:v>canonical value</x:v>
      </x:c>
    </x:row>
    <x:row r="60">
      <x:c r="A60" s="19" t="str">
        <x:v>GLOBAL</x:v>
      </x:c>
      <x:c r="B60" s="19" t="str">
        <x:v>GLOBAL_COLUMN_ZERO_DIRECTION</x:v>
      </x:c>
      <x:c r="C60" s="19" t="str">
        <x:v>COLUMN_0_IS_WESTERNMOST; COLUMN_INDEX_INCREASES_WEST_TO_EAST</x:v>
      </x:c>
      <x:c r="D60" s="19" t="str">
        <x:v>canonical value</x:v>
      </x:c>
    </x:row>
    <x:row r="61">
      <x:c r="A61" s="17" t="str">
        <x:v>GLOBAL</x:v>
      </x:c>
      <x:c r="B61" s="17" t="str">
        <x:v>CELL_SIZE_M</x:v>
      </x:c>
      <x:c r="C61" s="17" t="n">
        <x:v>2000</x:v>
      </x:c>
      <x:c r="D61" s="17" t="str">
        <x:v>canonical value</x:v>
      </x:c>
    </x:row>
    <x:row r="62">
      <x:c r="A62" s="19" t="str">
        <x:v>GLOBAL</x:v>
      </x:c>
      <x:c r="B62" s="19" t="str">
        <x:v>GLOBAL_GRID_COLUMNS</x:v>
      </x:c>
      <x:c r="C62" s="19" t="n">
        <x:v>3314</x:v>
      </x:c>
      <x:c r="D62" s="19" t="str">
        <x:v>canonical value</x:v>
      </x:c>
    </x:row>
    <x:row r="63">
      <x:c r="A63" s="17" t="str">
        <x:v>GLOBAL</x:v>
      </x:c>
      <x:c r="B63" s="17" t="str">
        <x:v>GLOBAL_GRID_ROWS</x:v>
      </x:c>
      <x:c r="C63" s="17" t="n">
        <x:v>2176</x:v>
      </x:c>
      <x:c r="D63" s="17" t="str">
        <x:v>canonical value</x:v>
      </x:c>
    </x:row>
    <x:row r="64">
      <x:c r="A64" s="19" t="str">
        <x:v>GLOBAL</x:v>
      </x:c>
      <x:c r="B64" s="19" t="str">
        <x:v>GLOBAL_GRID_FIRST_CELL_ID</x:v>
      </x:c>
      <x:c r="C64" s="19" t="str">
        <x:v>cell.hanworld.v0.0</x:v>
      </x:c>
      <x:c r="D64" s="19" t="str">
        <x:v>canonical value</x:v>
      </x:c>
    </x:row>
    <x:row r="65">
      <x:c r="A65" s="17" t="str">
        <x:v>GLOBAL</x:v>
      </x:c>
      <x:c r="B65" s="17" t="str">
        <x:v>GLOBAL_GRID_FIRST_CELL_ID64</x:v>
      </x:c>
      <x:c r="C65" s="17" t="n">
        <x:v>0</x:v>
      </x:c>
      <x:c r="D65" s="17" t="str">
        <x:v>canonical value</x:v>
      </x:c>
    </x:row>
    <x:row r="66">
      <x:c r="A66" s="19" t="str">
        <x:v>GLOBAL</x:v>
      </x:c>
      <x:c r="B66" s="19" t="str">
        <x:v>GLOBAL_GRID_FIRST_CELL_ROW</x:v>
      </x:c>
      <x:c r="C66" s="19" t="n">
        <x:v>0</x:v>
      </x:c>
      <x:c r="D66" s="19" t="str">
        <x:v>canonical value</x:v>
      </x:c>
    </x:row>
    <x:row r="67">
      <x:c r="A67" s="17" t="str">
        <x:v>GLOBAL</x:v>
      </x:c>
      <x:c r="B67" s="17" t="str">
        <x:v>GLOBAL_GRID_FIRST_CELL_COLUMN</x:v>
      </x:c>
      <x:c r="C67" s="17" t="n">
        <x:v>0</x:v>
      </x:c>
      <x:c r="D67" s="17" t="str">
        <x:v>canonical value</x:v>
      </x:c>
    </x:row>
    <x:row r="68">
      <x:c r="A68" s="19" t="str">
        <x:v>GLOBAL</x:v>
      </x:c>
      <x:c r="B68" s="19" t="str">
        <x:v>GLOBAL_GRID_FIRST_CELL_MIN_X</x:v>
      </x:c>
      <x:c r="C68" s="19" t="n">
        <x:v>-3417344.395965772</x:v>
      </x:c>
      <x:c r="D68" s="19" t="str">
        <x:v>canonical value</x:v>
      </x:c>
    </x:row>
    <x:row r="69">
      <x:c r="A69" s="17" t="str">
        <x:v>GLOBAL</x:v>
      </x:c>
      <x:c r="B69" s="17" t="str">
        <x:v>GLOBAL_GRID_FIRST_CELL_MIN_Y</x:v>
      </x:c>
      <x:c r="C69" s="17" t="n">
        <x:v>6197580.451937504</x:v>
      </x:c>
      <x:c r="D69" s="17" t="str">
        <x:v>canonical value</x:v>
      </x:c>
    </x:row>
    <x:row r="70">
      <x:c r="A70" s="19" t="str">
        <x:v>GLOBAL</x:v>
      </x:c>
      <x:c r="B70" s="19" t="str">
        <x:v>GLOBAL_GRID_FIRST_CELL_MAX_X</x:v>
      </x:c>
      <x:c r="C70" s="19" t="n">
        <x:v>-3415344.395965772</x:v>
      </x:c>
      <x:c r="D70" s="19" t="str">
        <x:v>canonical value</x:v>
      </x:c>
    </x:row>
    <x:row r="71">
      <x:c r="A71" s="17" t="str">
        <x:v>GLOBAL</x:v>
      </x:c>
      <x:c r="B71" s="17" t="str">
        <x:v>GLOBAL_GRID_FIRST_CELL_MAX_Y</x:v>
      </x:c>
      <x:c r="C71" s="17" t="n">
        <x:v>6199580.451937504</x:v>
      </x:c>
      <x:c r="D71" s="17" t="str">
        <x:v>canonical value</x:v>
      </x:c>
    </x:row>
    <x:row r="72">
      <x:c r="A72" s="19" t="str">
        <x:v>GLOBAL</x:v>
      </x:c>
      <x:c r="B72" s="19" t="str">
        <x:v>GLOBAL_GRID_FIRST_CELL_CENTER_X</x:v>
      </x:c>
      <x:c r="C72" s="19" t="n">
        <x:v>-3416344.395965772</x:v>
      </x:c>
      <x:c r="D72" s="19" t="str">
        <x:v>canonical value</x:v>
      </x:c>
    </x:row>
    <x:row r="73">
      <x:c r="A73" s="17" t="str">
        <x:v>GLOBAL</x:v>
      </x:c>
      <x:c r="B73" s="17" t="str">
        <x:v>GLOBAL_GRID_FIRST_CELL_CENTER_Y</x:v>
      </x:c>
      <x:c r="C73" s="17" t="n">
        <x:v>6198580.451937504</x:v>
      </x:c>
      <x:c r="D73" s="17" t="str">
        <x:v>canonical value</x:v>
      </x:c>
    </x:row>
    <x:row r="74">
      <x:c r="A74" s="19" t="str">
        <x:v>GLOBAL</x:v>
      </x:c>
      <x:c r="B74" s="19" t="str">
        <x:v>GLOBAL_GRID_MIN_X</x:v>
      </x:c>
      <x:c r="C74" s="19" t="n">
        <x:v>-3417344.395965772</x:v>
      </x:c>
      <x:c r="D74" s="19" t="str">
        <x:v>canonical value</x:v>
      </x:c>
    </x:row>
    <x:row r="75">
      <x:c r="A75" s="17" t="str">
        <x:v>GLOBAL</x:v>
      </x:c>
      <x:c r="B75" s="17" t="str">
        <x:v>GLOBAL_GRID_MIN_Y</x:v>
      </x:c>
      <x:c r="C75" s="17" t="n">
        <x:v>1847580.451937504</x:v>
      </x:c>
      <x:c r="D75" s="17" t="str">
        <x:v>canonical value</x:v>
      </x:c>
    </x:row>
    <x:row r="76">
      <x:c r="A76" s="19" t="str">
        <x:v>GLOBAL</x:v>
      </x:c>
      <x:c r="B76" s="19" t="str">
        <x:v>GLOBAL_GRID_MAX_X</x:v>
      </x:c>
      <x:c r="C76" s="19" t="n">
        <x:v>3210655.604034228</x:v>
      </x:c>
      <x:c r="D76" s="19" t="str">
        <x:v>canonical value</x:v>
      </x:c>
    </x:row>
    <x:row r="77">
      <x:c r="A77" s="17" t="str">
        <x:v>GLOBAL</x:v>
      </x:c>
      <x:c r="B77" s="17" t="str">
        <x:v>GLOBAL_GRID_MAX_Y</x:v>
      </x:c>
      <x:c r="C77" s="17" t="n">
        <x:v>6199580.451937504</x:v>
      </x:c>
      <x:c r="D77" s="17" t="str">
        <x:v>canonical value</x:v>
      </x:c>
    </x:row>
    <x:row r="78">
      <x:c r="A78" s="19" t="str">
        <x:v>GLOBAL</x:v>
      </x:c>
      <x:c r="B78" s="19" t="str">
        <x:v>VALID_WORLD_MASK_DEFINITION</x:v>
      </x:c>
      <x:c r="C78" s="19" t="str">
        <x:v>NO_SEPARATE_MASK; every Global Cell is valid. Land/water is a semantic layer, not a validity mask.</x:v>
      </x:c>
      <x:c r="D78" s="19" t="str">
        <x:v>canonical value</x:v>
      </x:c>
    </x:row>
    <x:row r="79">
      <x:c r="A79" s="17" t="str">
        <x:v>GLOBAL_GRID_ENVELOPE</x:v>
      </x:c>
      <x:c r="B79" s="17" t="str">
        <x:v>MIN_X</x:v>
      </x:c>
      <x:c r="C79" s="17" t="n">
        <x:v>-3417344.395965772</x:v>
      </x:c>
      <x:c r="D79" s="17" t="str">
        <x:v>meter</x:v>
      </x:c>
    </x:row>
    <x:row r="80">
      <x:c r="A80" s="19" t="str">
        <x:v>GLOBAL_GRID_ENVELOPE</x:v>
      </x:c>
      <x:c r="B80" s="19" t="str">
        <x:v>MAX_X</x:v>
      </x:c>
      <x:c r="C80" s="19" t="n">
        <x:v>3210655.604034228</x:v>
      </x:c>
      <x:c r="D80" s="19" t="str">
        <x:v>meter</x:v>
      </x:c>
    </x:row>
    <x:row r="81">
      <x:c r="A81" s="17" t="str">
        <x:v>GLOBAL_GRID_ENVELOPE</x:v>
      </x:c>
      <x:c r="B81" s="17" t="str">
        <x:v>MIN_Y</x:v>
      </x:c>
      <x:c r="C81" s="17" t="n">
        <x:v>1847580.451937504</x:v>
      </x:c>
      <x:c r="D81" s="17" t="str">
        <x:v>meter</x:v>
      </x:c>
    </x:row>
    <x:row r="82">
      <x:c r="A82" s="19" t="str">
        <x:v>GLOBAL_GRID_ENVELOPE</x:v>
      </x:c>
      <x:c r="B82" s="19" t="str">
        <x:v>MAX_Y</x:v>
      </x:c>
      <x:c r="C82" s="19" t="n">
        <x:v>6199580.451937504</x:v>
      </x:c>
      <x:c r="D82" s="19" t="str">
        <x:v>meter</x:v>
      </x:c>
    </x:row>
    <x:row r="83">
      <x:c r="A83" s="17" t="str">
        <x:v>FIRST_CELL</x:v>
      </x:c>
      <x:c r="B83" s="17" t="str">
        <x:v>CELL_ID</x:v>
      </x:c>
      <x:c r="C83" s="17" t="n">
        <x:v>0</x:v>
      </x:c>
      <x:c r="D83" s="17" t="str">
        <x:v>Cell(0,0)</x:v>
      </x:c>
    </x:row>
    <x:row r="84">
      <x:c r="A84" s="19" t="str">
        <x:v>FIRST_CELL</x:v>
      </x:c>
      <x:c r="B84" s="19" t="str">
        <x:v>CELL_PERMANENT_ID</x:v>
      </x:c>
      <x:c r="C84" s="19" t="str">
        <x:v>cell.hanworld.v0.0</x:v>
      </x:c>
      <x:c r="D84" s="19" t="str">
        <x:v>Cell(0,0)</x:v>
      </x:c>
    </x:row>
    <x:row r="85">
      <x:c r="A85" s="17" t="str">
        <x:v>FIRST_CELL</x:v>
      </x:c>
      <x:c r="B85" s="17" t="str">
        <x:v>ROW</x:v>
      </x:c>
      <x:c r="C85" s="17" t="n">
        <x:v>0</x:v>
      </x:c>
      <x:c r="D85" s="17" t="str">
        <x:v>Cell(0,0)</x:v>
      </x:c>
    </x:row>
    <x:row r="86">
      <x:c r="A86" s="19" t="str">
        <x:v>FIRST_CELL</x:v>
      </x:c>
      <x:c r="B86" s="19" t="str">
        <x:v>COLUMN</x:v>
      </x:c>
      <x:c r="C86" s="19" t="n">
        <x:v>0</x:v>
      </x:c>
      <x:c r="D86" s="19" t="str">
        <x:v>Cell(0,0)</x:v>
      </x:c>
    </x:row>
    <x:row r="87">
      <x:c r="A87" s="17" t="str">
        <x:v>FIRST_CELL</x:v>
      </x:c>
      <x:c r="B87" s="17" t="str">
        <x:v>MIN_X</x:v>
      </x:c>
      <x:c r="C87" s="17" t="n">
        <x:v>-3417344.395965772</x:v>
      </x:c>
      <x:c r="D87" s="17" t="str">
        <x:v>Cell(0,0)</x:v>
      </x:c>
    </x:row>
    <x:row r="88">
      <x:c r="A88" s="19" t="str">
        <x:v>FIRST_CELL</x:v>
      </x:c>
      <x:c r="B88" s="19" t="str">
        <x:v>MIN_Y</x:v>
      </x:c>
      <x:c r="C88" s="19" t="n">
        <x:v>6197580.451937504</x:v>
      </x:c>
      <x:c r="D88" s="19" t="str">
        <x:v>Cell(0,0)</x:v>
      </x:c>
    </x:row>
    <x:row r="89">
      <x:c r="A89" s="17" t="str">
        <x:v>FIRST_CELL</x:v>
      </x:c>
      <x:c r="B89" s="17" t="str">
        <x:v>MAX_X</x:v>
      </x:c>
      <x:c r="C89" s="17" t="n">
        <x:v>-3415344.395965772</x:v>
      </x:c>
      <x:c r="D89" s="17" t="str">
        <x:v>Cell(0,0)</x:v>
      </x:c>
    </x:row>
    <x:row r="90">
      <x:c r="A90" s="19" t="str">
        <x:v>FIRST_CELL</x:v>
      </x:c>
      <x:c r="B90" s="19" t="str">
        <x:v>MAX_Y</x:v>
      </x:c>
      <x:c r="C90" s="19" t="n">
        <x:v>6199580.451937504</x:v>
      </x:c>
      <x:c r="D90" s="19" t="str">
        <x:v>Cell(0,0)</x:v>
      </x:c>
    </x:row>
    <x:row r="91">
      <x:c r="A91" s="17" t="str">
        <x:v>FIRST_CELL</x:v>
      </x:c>
      <x:c r="B91" s="17" t="str">
        <x:v>CENTER_X</x:v>
      </x:c>
      <x:c r="C91" s="17" t="n">
        <x:v>-3416344.395965772</x:v>
      </x:c>
      <x:c r="D91" s="17" t="str">
        <x:v>Cell(0,0)</x:v>
      </x:c>
    </x:row>
    <x:row r="92">
      <x:c r="A92" s="19" t="str">
        <x:v>FIRST_CELL</x:v>
      </x:c>
      <x:c r="B92" s="19" t="str">
        <x:v>CENTER_Y</x:v>
      </x:c>
      <x:c r="C92" s="19" t="n">
        <x:v>6198580.451937504</x:v>
      </x:c>
      <x:c r="D92" s="19" t="str">
        <x:v>Cell(0,0)</x:v>
      </x:c>
    </x:row>
    <x:row r="93">
      <x:c r="A93" s="17" t="str">
        <x:v>HENAN_YIN_REGION</x:v>
      </x:c>
      <x:c r="B93" s="17" t="str">
        <x:v>REGION_ID</x:v>
      </x:c>
      <x:c r="C93" s="17" t="str">
        <x:v>HENAN_YIN_REGION</x:v>
      </x:c>
      <x:c r="D93" s="17" t="str">
        <x:v>canonical Region value</x:v>
      </x:c>
    </x:row>
    <x:row r="94">
      <x:c r="A94" s="19" t="str">
        <x:v>HENAN_YIN_REGION</x:v>
      </x:c>
      <x:c r="B94" s="19" t="str">
        <x:v>LOCAL_ORIGIN_GLOBAL_X</x:v>
      </x:c>
      <x:c r="C94" s="19" t="n">
        <x:v>262655.6040342278</x:v>
      </x:c>
      <x:c r="D94" s="19" t="str">
        <x:v>canonical Region value</x:v>
      </x:c>
    </x:row>
    <x:row r="95">
      <x:c r="A95" s="17" t="str">
        <x:v>HENAN_YIN_REGION</x:v>
      </x:c>
      <x:c r="B95" s="17" t="str">
        <x:v>LOCAL_ORIGIN_GLOBAL_Y</x:v>
      </x:c>
      <x:c r="C95" s="17" t="n">
        <x:v>3511580.451937504</x:v>
      </x:c>
      <x:c r="D95" s="17" t="str">
        <x:v>canonical Region value</x:v>
      </x:c>
    </x:row>
    <x:row r="96">
      <x:c r="A96" s="19" t="str">
        <x:v>HENAN_YIN_REGION</x:v>
      </x:c>
      <x:c r="B96" s="19" t="str">
        <x:v>LOCAL_ORIGIN_CELL_ID</x:v>
      </x:c>
      <x:c r="C96" s="19" t="n">
        <x:v>4452542</x:v>
      </x:c>
      <x:c r="D96" s="19" t="str">
        <x:v>canonical Region value</x:v>
      </x:c>
    </x:row>
    <x:row r="97">
      <x:c r="A97" s="17" t="str">
        <x:v>HENAN_YIN_REGION</x:v>
      </x:c>
      <x:c r="B97" s="17" t="str">
        <x:v>LOCAL_ORIGIN_CELL_PERMANENT_ID</x:v>
      </x:c>
      <x:c r="C97" s="17" t="str">
        <x:v>cell.hanworld.v0.4452542</x:v>
      </x:c>
      <x:c r="D97" s="17" t="str">
        <x:v>canonical Region value</x:v>
      </x:c>
    </x:row>
    <x:row r="98">
      <x:c r="A98" s="19" t="str">
        <x:v>HENAN_YIN_REGION</x:v>
      </x:c>
      <x:c r="B98" s="19" t="str">
        <x:v>LOCAL_ORIGIN_CELL_ROW</x:v>
      </x:c>
      <x:c r="C98" s="19" t="n">
        <x:v>1343</x:v>
      </x:c>
      <x:c r="D98" s="19" t="str">
        <x:v>canonical Region value</x:v>
      </x:c>
    </x:row>
    <x:row r="99">
      <x:c r="A99" s="17" t="str">
        <x:v>HENAN_YIN_REGION</x:v>
      </x:c>
      <x:c r="B99" s="17" t="str">
        <x:v>LOCAL_ORIGIN_CELL_COLUMN</x:v>
      </x:c>
      <x:c r="C99" s="17" t="n">
        <x:v>1840</x:v>
      </x:c>
      <x:c r="D99" s="17" t="str">
        <x:v>canonical Region value</x:v>
      </x:c>
    </x:row>
    <x:row r="100">
      <x:c r="A100" s="19" t="str">
        <x:v>HENAN_YIN_REGION</x:v>
      </x:c>
      <x:c r="B100" s="19" t="str">
        <x:v>LOCAL_ORIGIN_CORNER</x:v>
      </x:c>
      <x:c r="C100" s="19" t="str">
        <x:v>SOUTHWEST_CORNER</x:v>
      </x:c>
      <x:c r="D100" s="19" t="str">
        <x:v>canonical Region value</x:v>
      </x:c>
    </x:row>
    <x:row r="101">
      <x:c r="A101" s="17" t="str">
        <x:v>HENAN_YIN_REGION</x:v>
      </x:c>
      <x:c r="B101" s="17" t="str">
        <x:v>LOCAL_ORIGIN_LOCAL_X</x:v>
      </x:c>
      <x:c r="C101" s="17" t="n">
        <x:v>0</x:v>
      </x:c>
      <x:c r="D101" s="17" t="str">
        <x:v>canonical Region value</x:v>
      </x:c>
    </x:row>
    <x:row r="102">
      <x:c r="A102" s="19" t="str">
        <x:v>HENAN_YIN_REGION</x:v>
      </x:c>
      <x:c r="B102" s="19" t="str">
        <x:v>LOCAL_ORIGIN_LOCAL_Y</x:v>
      </x:c>
      <x:c r="C102" s="19" t="n">
        <x:v>0</x:v>
      </x:c>
      <x:c r="D102" s="19" t="str">
        <x:v>canonical Region value</x:v>
      </x:c>
    </x:row>
    <x:row r="103">
      <x:c r="A103" s="17" t="str">
        <x:v>HENAN_YIN_REGION</x:v>
      </x:c>
      <x:c r="B103" s="17" t="str">
        <x:v>MIN_GLOBAL_ROW</x:v>
      </x:c>
      <x:c r="C103" s="17" t="n">
        <x:v>1152</x:v>
      </x:c>
      <x:c r="D103" s="17" t="str">
        <x:v>canonical Region value</x:v>
      </x:c>
    </x:row>
    <x:row r="104">
      <x:c r="A104" s="19" t="str">
        <x:v>HENAN_YIN_REGION</x:v>
      </x:c>
      <x:c r="B104" s="19" t="str">
        <x:v>MAX_GLOBAL_ROW</x:v>
      </x:c>
      <x:c r="C104" s="19" t="n">
        <x:v>1343</x:v>
      </x:c>
      <x:c r="D104" s="19" t="str">
        <x:v>canonical Region value</x:v>
      </x:c>
    </x:row>
    <x:row r="105">
      <x:c r="A105" s="17" t="str">
        <x:v>HENAN_YIN_REGION</x:v>
      </x:c>
      <x:c r="B105" s="17" t="str">
        <x:v>MIN_GLOBAL_COLUMN</x:v>
      </x:c>
      <x:c r="C105" s="17" t="n">
        <x:v>1840</x:v>
      </x:c>
      <x:c r="D105" s="17" t="str">
        <x:v>canonical Region value</x:v>
      </x:c>
    </x:row>
    <x:row r="106">
      <x:c r="A106" s="19" t="str">
        <x:v>HENAN_YIN_REGION</x:v>
      </x:c>
      <x:c r="B106" s="19" t="str">
        <x:v>MAX_GLOBAL_COLUMN</x:v>
      </x:c>
      <x:c r="C106" s="19" t="n">
        <x:v>2143</x:v>
      </x:c>
      <x:c r="D106" s="19" t="str">
        <x:v>canonical Region value</x:v>
      </x:c>
    </x:row>
    <x:row r="107">
      <x:c r="A107" s="17" t="str">
        <x:v>HENAN_YIN_REGION</x:v>
      </x:c>
      <x:c r="B107" s="17" t="str">
        <x:v>BOUNDING_CELL_CAPACITY</x:v>
      </x:c>
      <x:c r="C107" s="17" t="n">
        <x:v>58368</x:v>
      </x:c>
      <x:c r="D107" s="17" t="str">
        <x:v>canonical Region value</x:v>
      </x:c>
    </x:row>
    <x:row r="108">
      <x:c r="A108" s="19" t="str">
        <x:v>HENAN_YIN_REGION</x:v>
      </x:c>
      <x:c r="B108" s="19" t="str">
        <x:v>ACTUAL_INCLUDED_CELL_COUNT</x:v>
      </x:c>
      <x:c r="C108" s="19" t="n">
        <x:v>58368</x:v>
      </x:c>
      <x:c r="D108" s="19" t="str">
        <x:v>canonical Region value</x:v>
      </x:c>
    </x:row>
    <x:row r="109">
      <x:c r="A109" s="17" t="str">
        <x:v>HENAN_YIN_REGION</x:v>
      </x:c>
      <x:c r="B109" s="17" t="str">
        <x:v>IS_REGULAR_RECTANGLE</x:v>
      </x:c>
      <x:c r="C109" s="18" t="b">
        <x:v>1</x:v>
      </x:c>
      <x:c r="D109" s="17" t="str">
        <x:v>canonical Region value</x:v>
      </x:c>
    </x:row>
    <x:row r="110">
      <x:c r="A110" s="19" t="str">
        <x:v>HENAN_YIN_REGION</x:v>
      </x:c>
      <x:c r="B110" s="19" t="str">
        <x:v>ADMINISTRATIVE_OVERLAY_CELL_COUNT</x:v>
      </x:c>
      <x:c r="C110" s="19" t="n">
        <x:v>7763</x:v>
      </x:c>
      <x:c r="D110" s="19" t="str">
        <x:v>canonical Region value</x:v>
      </x:c>
    </x:row>
    <x:row r="111">
      <x:c r="A111" s="17" t="str">
        <x:v>LUOYANG_CANONICAL_ANCHOR</x:v>
      </x:c>
      <x:c r="B111" s="17" t="str">
        <x:v>CANONICAL_PLACE_ID</x:v>
      </x:c>
      <x:c r="C111" s="17" t="str">
        <x:v>C027</x:v>
      </x:c>
      <x:c r="D111" s="17" t="str">
        <x:v>canonical Place anchor</x:v>
      </x:c>
    </x:row>
    <x:row r="112">
      <x:c r="A112" s="19" t="str">
        <x:v>LUOYANG_CANONICAL_ANCHOR</x:v>
      </x:c>
      <x:c r="B112" s="19" t="str">
        <x:v>DISPLAY_NAME</x:v>
      </x:c>
      <x:c r="C112" s="19" t="str">
        <x:v>洛阳</x:v>
      </x:c>
      <x:c r="D112" s="19" t="str">
        <x:v>canonical Place anchor</x:v>
      </x:c>
    </x:row>
    <x:row r="113">
      <x:c r="A113" s="17" t="str">
        <x:v>LUOYANG_CANONICAL_ANCHOR</x:v>
      </x:c>
      <x:c r="B113" s="17" t="str">
        <x:v>LONGITUDE</x:v>
      </x:c>
      <x:c r="C113" s="17" t="n">
        <x:v>112.45</x:v>
      </x:c>
      <x:c r="D113" s="17" t="str">
        <x:v>canonical Place anchor</x:v>
      </x:c>
    </x:row>
    <x:row r="114">
      <x:c r="A114" s="19" t="str">
        <x:v>LUOYANG_CANONICAL_ANCHOR</x:v>
      </x:c>
      <x:c r="B114" s="19" t="str">
        <x:v>LATITUDE</x:v>
      </x:c>
      <x:c r="C114" s="19" t="n">
        <x:v>34.62</x:v>
      </x:c>
      <x:c r="D114" s="19" t="str">
        <x:v>canonical Place anchor</x:v>
      </x:c>
    </x:row>
    <x:row r="115">
      <x:c r="A115" s="17" t="str">
        <x:v>LUOYANG_CANONICAL_ANCHOR</x:v>
      </x:c>
      <x:c r="B115" s="17" t="str">
        <x:v>COORDINATE_STATUS</x:v>
      </x:c>
      <x:c r="C115" s="17" t="str">
        <x:v>approximate</x:v>
      </x:c>
      <x:c r="D115" s="17" t="str">
        <x:v>canonical Place anchor</x:v>
      </x:c>
    </x:row>
    <x:row r="116">
      <x:c r="A116" s="19" t="str">
        <x:v>LUOYANG_CANONICAL_ANCHOR</x:v>
      </x:c>
      <x:c r="B116" s="19" t="str">
        <x:v>CONFIDENCE</x:v>
      </x:c>
      <x:c r="C116" s="19" t="str">
        <x:v>medium</x:v>
      </x:c>
      <x:c r="D116" s="19" t="str">
        <x:v>canonical Place anchor</x:v>
      </x:c>
    </x:row>
    <x:row r="117">
      <x:c r="A117" s="17" t="str">
        <x:v>LUOYANG_CANONICAL_ANCHOR</x:v>
      </x:c>
      <x:c r="B117" s="17" t="str">
        <x:v>GLOBAL_X</x:v>
      </x:c>
      <x:c r="C117" s="17" t="n">
        <x:v>670561.5475446532</x:v>
      </x:c>
      <x:c r="D117" s="17" t="str">
        <x:v>canonical Place anchor</x:v>
      </x:c>
    </x:row>
    <x:row r="118">
      <x:c r="A118" s="19" t="str">
        <x:v>LUOYANG_CANONICAL_ANCHOR</x:v>
      </x:c>
      <x:c r="B118" s="19" t="str">
        <x:v>GLOBAL_Y</x:v>
      </x:c>
      <x:c r="C118" s="19" t="n">
        <x:v>3717065.2005044892</x:v>
      </x:c>
      <x:c r="D118" s="19" t="str">
        <x:v>canonical Place anchor</x:v>
      </x:c>
    </x:row>
    <x:row r="119">
      <x:c r="A119" s="17" t="str">
        <x:v>LUOYANG_CANONICAL_ANCHOR</x:v>
      </x:c>
      <x:c r="B119" s="17" t="str">
        <x:v>GLOBAL_CELL_ID</x:v>
      </x:c>
      <x:c r="C119" s="17" t="n">
        <x:v>4114717</x:v>
      </x:c>
      <x:c r="D119" s="17" t="str">
        <x:v>canonical Place anchor</x:v>
      </x:c>
    </x:row>
    <x:row r="120">
      <x:c r="A120" s="19" t="str">
        <x:v>LUOYANG_CANONICAL_ANCHOR</x:v>
      </x:c>
      <x:c r="B120" s="19" t="str">
        <x:v>GLOBAL_CELL_PERMANENT_ID</x:v>
      </x:c>
      <x:c r="C120" s="19" t="str">
        <x:v>cell.hanworld.v0.4114717</x:v>
      </x:c>
      <x:c r="D120" s="19" t="str">
        <x:v>canonical Place anchor</x:v>
      </x:c>
    </x:row>
    <x:row r="121">
      <x:c r="A121" s="17" t="str">
        <x:v>LUOYANG_CANONICAL_ANCHOR</x:v>
      </x:c>
      <x:c r="B121" s="17" t="str">
        <x:v>GLOBAL_ROW</x:v>
      </x:c>
      <x:c r="C121" s="17" t="n">
        <x:v>1241</x:v>
      </x:c>
      <x:c r="D121" s="17" t="str">
        <x:v>canonical Place anchor</x:v>
      </x:c>
    </x:row>
    <x:row r="122">
      <x:c r="A122" s="19" t="str">
        <x:v>LUOYANG_CANONICAL_ANCHOR</x:v>
      </x:c>
      <x:c r="B122" s="19" t="str">
        <x:v>GLOBAL_COLUMN</x:v>
      </x:c>
      <x:c r="C122" s="19" t="n">
        <x:v>2043</x:v>
      </x:c>
      <x:c r="D122" s="19" t="str">
        <x:v>canonical Place anchor</x:v>
      </x:c>
    </x:row>
    <x:row r="123">
      <x:c r="A123" s="17" t="str">
        <x:v>LUOYANG_CANONICAL_ANCHOR</x:v>
      </x:c>
      <x:c r="B123" s="17" t="str">
        <x:v>HENAN_LOCAL_X</x:v>
      </x:c>
      <x:c r="C123" s="17" t="n">
        <x:v>407905.9435104254</x:v>
      </x:c>
      <x:c r="D123" s="17" t="str">
        <x:v>canonical Place anchor</x:v>
      </x:c>
    </x:row>
    <x:row r="124">
      <x:c r="A124" s="19" t="str">
        <x:v>LUOYANG_CANONICAL_ANCHOR</x:v>
      </x:c>
      <x:c r="B124" s="19" t="str">
        <x:v>HENAN_LOCAL_Y</x:v>
      </x:c>
      <x:c r="C124" s="19" t="n">
        <x:v>205484.74856698513</x:v>
      </x:c>
      <x:c r="D124" s="19" t="str">
        <x:v>canonical Place anchor</x:v>
      </x:c>
    </x:row>
    <x:row r="125">
      <x:c r="A125" s="17" t="str">
        <x:v>LUOYANG_URBAN_CANONICAL_ANCHOR_CELL</x:v>
      </x:c>
      <x:c r="B125" s="17" t="str">
        <x:v>CELL_ID</x:v>
      </x:c>
      <x:c r="C125" s="17" t="n">
        <x:v>4114717</x:v>
      </x:c>
      <x:c r="D125" s="17" t="str">
        <x:v>fixed audit sample</x:v>
      </x:c>
    </x:row>
    <x:row r="126">
      <x:c r="A126" s="19" t="str">
        <x:v>LUOYANG_URBAN_CANONICAL_ANCHOR_CELL</x:v>
      </x:c>
      <x:c r="B126" s="19" t="str">
        <x:v>CELL_PERMANENT_ID</x:v>
      </x:c>
      <x:c r="C126" s="19" t="str">
        <x:v>cell.hanworld.v0.4114717</x:v>
      </x:c>
      <x:c r="D126" s="19" t="str">
        <x:v>fixed audit sample</x:v>
      </x:c>
    </x:row>
    <x:row r="127">
      <x:c r="A127" s="17" t="str">
        <x:v>LUOYANG_URBAN_CANONICAL_ANCHOR_CELL</x:v>
      </x:c>
      <x:c r="B127" s="17" t="str">
        <x:v>ROW</x:v>
      </x:c>
      <x:c r="C127" s="17" t="n">
        <x:v>1241</x:v>
      </x:c>
      <x:c r="D127" s="17" t="str">
        <x:v>fixed audit sample</x:v>
      </x:c>
    </x:row>
    <x:row r="128">
      <x:c r="A128" s="19" t="str">
        <x:v>LUOYANG_URBAN_CANONICAL_ANCHOR_CELL</x:v>
      </x:c>
      <x:c r="B128" s="19" t="str">
        <x:v>COLUMN</x:v>
      </x:c>
      <x:c r="C128" s="19" t="n">
        <x:v>2043</x:v>
      </x:c>
      <x:c r="D128" s="19" t="str">
        <x:v>fixed audit sample</x:v>
      </x:c>
    </x:row>
    <x:row r="129">
      <x:c r="A129" s="17" t="str">
        <x:v>LUOYANG_URBAN_CANONICAL_ANCHOR_CELL</x:v>
      </x:c>
      <x:c r="B129" s="17" t="str">
        <x:v>MIN_X</x:v>
      </x:c>
      <x:c r="C129" s="17" t="n">
        <x:v>668655.6040342278</x:v>
      </x:c>
      <x:c r="D129" s="17" t="str">
        <x:v>fixed audit sample</x:v>
      </x:c>
    </x:row>
    <x:row r="130">
      <x:c r="A130" s="19" t="str">
        <x:v>LUOYANG_URBAN_CANONICAL_ANCHOR_CELL</x:v>
      </x:c>
      <x:c r="B130" s="19" t="str">
        <x:v>MIN_Y</x:v>
      </x:c>
      <x:c r="C130" s="19" t="n">
        <x:v>3715580.451937504</x:v>
      </x:c>
      <x:c r="D130" s="19" t="str">
        <x:v>fixed audit sample</x:v>
      </x:c>
    </x:row>
    <x:row r="131">
      <x:c r="A131" s="17" t="str">
        <x:v>LUOYANG_URBAN_CANONICAL_ANCHOR_CELL</x:v>
      </x:c>
      <x:c r="B131" s="17" t="str">
        <x:v>MAX_X</x:v>
      </x:c>
      <x:c r="C131" s="17" t="n">
        <x:v>670655.6040342278</x:v>
      </x:c>
      <x:c r="D131" s="17" t="str">
        <x:v>fixed audit sample</x:v>
      </x:c>
    </x:row>
    <x:row r="132">
      <x:c r="A132" s="19" t="str">
        <x:v>LUOYANG_URBAN_CANONICAL_ANCHOR_CELL</x:v>
      </x:c>
      <x:c r="B132" s="19" t="str">
        <x:v>MAX_Y</x:v>
      </x:c>
      <x:c r="C132" s="19" t="n">
        <x:v>3717580.451937504</x:v>
      </x:c>
      <x:c r="D132" s="19" t="str">
        <x:v>fixed audit sample</x:v>
      </x:c>
    </x:row>
    <x:row r="133">
      <x:c r="A133" s="17" t="str">
        <x:v>LUOYANG_URBAN_CANONICAL_ANCHOR_CELL</x:v>
      </x:c>
      <x:c r="B133" s="17" t="str">
        <x:v>CENTER_X</x:v>
      </x:c>
      <x:c r="C133" s="17" t="n">
        <x:v>669655.6040342278</x:v>
      </x:c>
      <x:c r="D133" s="17" t="str">
        <x:v>fixed audit sample</x:v>
      </x:c>
    </x:row>
    <x:row r="134">
      <x:c r="A134" s="19" t="str">
        <x:v>LUOYANG_URBAN_CANONICAL_ANCHOR_CELL</x:v>
      </x:c>
      <x:c r="B134" s="19" t="str">
        <x:v>CENTER_Y</x:v>
      </x:c>
      <x:c r="C134" s="19" t="n">
        <x:v>3716580.451937504</x:v>
      </x:c>
      <x:c r="D134" s="19" t="str">
        <x:v>fixed audit sample</x:v>
      </x:c>
    </x:row>
    <x:row r="135">
      <x:c r="A135" s="17" t="str">
        <x:v>LUOYANG_URBAN_CANONICAL_ANCHOR_CELL</x:v>
      </x:c>
      <x:c r="B135" s="17" t="str">
        <x:v>HENAN_LOCAL_CENTER_X</x:v>
      </x:c>
      <x:c r="C135" s="17" t="n">
        <x:v>407000</x:v>
      </x:c>
      <x:c r="D135" s="17" t="str">
        <x:v>fixed audit sample</x:v>
      </x:c>
    </x:row>
    <x:row r="136">
      <x:c r="A136" s="19" t="str">
        <x:v>LUOYANG_URBAN_CANONICAL_ANCHOR_CELL</x:v>
      </x:c>
      <x:c r="B136" s="19" t="str">
        <x:v>HENAN_LOCAL_CENTER_Y</x:v>
      </x:c>
      <x:c r="C136" s="19" t="n">
        <x:v>205000</x:v>
      </x:c>
      <x:c r="D136" s="19" t="str">
        <x:v>fixed audit sample</x:v>
      </x:c>
    </x:row>
    <x:row r="137">
      <x:c r="A137" s="17" t="str">
        <x:v>LUOYANG_URBAN_CANONICAL_ANCHOR_CELL</x:v>
      </x:c>
      <x:c r="B137" s="17" t="str">
        <x:v>CENTER_X_FORMULA</x:v>
      </x:c>
      <x:c r="C137" s="17" t="str">
        <x:v>GlobalOriginX + (GlobalColumn + 0.5) * CellSize</x:v>
      </x:c>
      <x:c r="D137" s="17" t="str">
        <x:v>fixed audit sample</x:v>
      </x:c>
    </x:row>
    <x:row r="138">
      <x:c r="A138" s="19" t="str">
        <x:v>LUOYANG_URBAN_CANONICAL_ANCHOR_CELL</x:v>
      </x:c>
      <x:c r="B138" s="19" t="str">
        <x:v>CENTER_Y_FORMULA</x:v>
      </x:c>
      <x:c r="C138" s="19" t="str">
        <x:v>GlobalOriginY - (GlobalRow + 0.5) * CellSize</x:v>
      </x:c>
      <x:c r="D138" s="19" t="str">
        <x:v>fixed audit sample</x:v>
      </x:c>
    </x:row>
    <x:row r="139">
      <x:c r="A139" s="17" t="str">
        <x:v>LUOYANG_OUTER_SUBURB_CELL</x:v>
      </x:c>
      <x:c r="B139" s="17" t="str">
        <x:v>CELL_ID</x:v>
      </x:c>
      <x:c r="C139" s="17" t="n">
        <x:v>4114731</x:v>
      </x:c>
      <x:c r="D139" s="17" t="str">
        <x:v>fixed audit sample</x:v>
      </x:c>
    </x:row>
    <x:row r="140">
      <x:c r="A140" s="19" t="str">
        <x:v>LUOYANG_OUTER_SUBURB_CELL</x:v>
      </x:c>
      <x:c r="B140" s="19" t="str">
        <x:v>CELL_PERMANENT_ID</x:v>
      </x:c>
      <x:c r="C140" s="19" t="str">
        <x:v>cell.hanworld.v0.4114731</x:v>
      </x:c>
      <x:c r="D140" s="19" t="str">
        <x:v>fixed audit sample</x:v>
      </x:c>
    </x:row>
    <x:row r="141">
      <x:c r="A141" s="17" t="str">
        <x:v>LUOYANG_OUTER_SUBURB_CELL</x:v>
      </x:c>
      <x:c r="B141" s="17" t="str">
        <x:v>ROW</x:v>
      </x:c>
      <x:c r="C141" s="17" t="n">
        <x:v>1241</x:v>
      </x:c>
      <x:c r="D141" s="17" t="str">
        <x:v>fixed audit sample</x:v>
      </x:c>
    </x:row>
    <x:row r="142">
      <x:c r="A142" s="19" t="str">
        <x:v>LUOYANG_OUTER_SUBURB_CELL</x:v>
      </x:c>
      <x:c r="B142" s="19" t="str">
        <x:v>COLUMN</x:v>
      </x:c>
      <x:c r="C142" s="19" t="n">
        <x:v>2057</x:v>
      </x:c>
      <x:c r="D142" s="19" t="str">
        <x:v>fixed audit sample</x:v>
      </x:c>
    </x:row>
    <x:row r="143">
      <x:c r="A143" s="17" t="str">
        <x:v>LUOYANG_OUTER_SUBURB_CELL</x:v>
      </x:c>
      <x:c r="B143" s="17" t="str">
        <x:v>MIN_X</x:v>
      </x:c>
      <x:c r="C143" s="17" t="n">
        <x:v>696655.6040342278</x:v>
      </x:c>
      <x:c r="D143" s="17" t="str">
        <x:v>fixed audit sample</x:v>
      </x:c>
    </x:row>
    <x:row r="144">
      <x:c r="A144" s="19" t="str">
        <x:v>LUOYANG_OUTER_SUBURB_CELL</x:v>
      </x:c>
      <x:c r="B144" s="19" t="str">
        <x:v>MIN_Y</x:v>
      </x:c>
      <x:c r="C144" s="19" t="n">
        <x:v>3715580.451937504</x:v>
      </x:c>
      <x:c r="D144" s="19" t="str">
        <x:v>fixed audit sample</x:v>
      </x:c>
    </x:row>
    <x:row r="145">
      <x:c r="A145" s="17" t="str">
        <x:v>LUOYANG_OUTER_SUBURB_CELL</x:v>
      </x:c>
      <x:c r="B145" s="17" t="str">
        <x:v>MAX_X</x:v>
      </x:c>
      <x:c r="C145" s="17" t="n">
        <x:v>698655.6040342278</x:v>
      </x:c>
      <x:c r="D145" s="17" t="str">
        <x:v>fixed audit sample</x:v>
      </x:c>
    </x:row>
    <x:row r="146">
      <x:c r="A146" s="19" t="str">
        <x:v>LUOYANG_OUTER_SUBURB_CELL</x:v>
      </x:c>
      <x:c r="B146" s="19" t="str">
        <x:v>MAX_Y</x:v>
      </x:c>
      <x:c r="C146" s="19" t="n">
        <x:v>3717580.451937504</x:v>
      </x:c>
      <x:c r="D146" s="19" t="str">
        <x:v>fixed audit sample</x:v>
      </x:c>
    </x:row>
    <x:row r="147">
      <x:c r="A147" s="17" t="str">
        <x:v>LUOYANG_OUTER_SUBURB_CELL</x:v>
      </x:c>
      <x:c r="B147" s="17" t="str">
        <x:v>CENTER_X</x:v>
      </x:c>
      <x:c r="C147" s="17" t="n">
        <x:v>697655.6040342278</x:v>
      </x:c>
      <x:c r="D147" s="17" t="str">
        <x:v>fixed audit sample</x:v>
      </x:c>
    </x:row>
    <x:row r="148">
      <x:c r="A148" s="19" t="str">
        <x:v>LUOYANG_OUTER_SUBURB_CELL</x:v>
      </x:c>
      <x:c r="B148" s="19" t="str">
        <x:v>CENTER_Y</x:v>
      </x:c>
      <x:c r="C148" s="19" t="n">
        <x:v>3716580.451937504</x:v>
      </x:c>
      <x:c r="D148" s="19" t="str">
        <x:v>fixed audit sample</x:v>
      </x:c>
    </x:row>
    <x:row r="149">
      <x:c r="A149" s="17" t="str">
        <x:v>LUOYANG_OUTER_SUBURB_CELL</x:v>
      </x:c>
      <x:c r="B149" s="17" t="str">
        <x:v>HENAN_LOCAL_CENTER_X</x:v>
      </x:c>
      <x:c r="C149" s="17" t="n">
        <x:v>435000</x:v>
      </x:c>
      <x:c r="D149" s="17" t="str">
        <x:v>fixed audit sample</x:v>
      </x:c>
    </x:row>
    <x:row r="150">
      <x:c r="A150" s="19" t="str">
        <x:v>LUOYANG_OUTER_SUBURB_CELL</x:v>
      </x:c>
      <x:c r="B150" s="19" t="str">
        <x:v>HENAN_LOCAL_CENTER_Y</x:v>
      </x:c>
      <x:c r="C150" s="19" t="n">
        <x:v>205000</x:v>
      </x:c>
      <x:c r="D150" s="19" t="str">
        <x:v>fixed audit sample</x:v>
      </x:c>
    </x:row>
    <x:row r="151">
      <x:c r="A151" s="17" t="str">
        <x:v>LUOYANG_OUTER_SUBURB_CELL</x:v>
      </x:c>
      <x:c r="B151" s="17" t="str">
        <x:v>CENTER_X_FORMULA</x:v>
      </x:c>
      <x:c r="C151" s="17" t="str">
        <x:v>GlobalOriginX + (GlobalColumn + 0.5) * CellSize</x:v>
      </x:c>
      <x:c r="D151" s="17" t="str">
        <x:v>fixed audit sample</x:v>
      </x:c>
    </x:row>
    <x:row r="152">
      <x:c r="A152" s="19" t="str">
        <x:v>LUOYANG_OUTER_SUBURB_CELL</x:v>
      </x:c>
      <x:c r="B152" s="19" t="str">
        <x:v>CENTER_Y_FORMULA</x:v>
      </x:c>
      <x:c r="C152" s="19" t="str">
        <x:v>GlobalOriginY - (GlobalRow + 0.5) * CellSize</x:v>
      </x:c>
      <x:c r="D152" s="19" t="str">
        <x:v>fixed audit sample</x:v>
      </x:c>
    </x:row>
    <x:row r="153">
      <x:c r="A153" s="17" t="str">
        <x:v>HENAN_YIN_FAR_OVERLAY_CELL</x:v>
      </x:c>
      <x:c r="B153" s="17" t="str">
        <x:v>CELL_ID</x:v>
      </x:c>
      <x:c r="C153" s="17" t="n">
        <x:v>4366390</x:v>
      </x:c>
      <x:c r="D153" s="17" t="str">
        <x:v>fixed audit sample</x:v>
      </x:c>
    </x:row>
    <x:row r="154">
      <x:c r="A154" s="19" t="str">
        <x:v>HENAN_YIN_FAR_OVERLAY_CELL</x:v>
      </x:c>
      <x:c r="B154" s="19" t="str">
        <x:v>CELL_PERMANENT_ID</x:v>
      </x:c>
      <x:c r="C154" s="19" t="str">
        <x:v>cell.hanworld.v0.4366390</x:v>
      </x:c>
      <x:c r="D154" s="19" t="str">
        <x:v>fixed audit sample</x:v>
      </x:c>
    </x:row>
    <x:row r="155">
      <x:c r="A155" s="17" t="str">
        <x:v>HENAN_YIN_FAR_OVERLAY_CELL</x:v>
      </x:c>
      <x:c r="B155" s="17" t="str">
        <x:v>ROW</x:v>
      </x:c>
      <x:c r="C155" s="17" t="n">
        <x:v>1317</x:v>
      </x:c>
      <x:c r="D155" s="17" t="str">
        <x:v>fixed audit sample</x:v>
      </x:c>
    </x:row>
    <x:row r="156">
      <x:c r="A156" s="19" t="str">
        <x:v>HENAN_YIN_FAR_OVERLAY_CELL</x:v>
      </x:c>
      <x:c r="B156" s="19" t="str">
        <x:v>COLUMN</x:v>
      </x:c>
      <x:c r="C156" s="19" t="n">
        <x:v>1852</x:v>
      </x:c>
      <x:c r="D156" s="19" t="str">
        <x:v>fixed audit sample</x:v>
      </x:c>
    </x:row>
    <x:row r="157">
      <x:c r="A157" s="17" t="str">
        <x:v>HENAN_YIN_FAR_OVERLAY_CELL</x:v>
      </x:c>
      <x:c r="B157" s="17" t="str">
        <x:v>MIN_X</x:v>
      </x:c>
      <x:c r="C157" s="17" t="n">
        <x:v>286655.6040342278</x:v>
      </x:c>
      <x:c r="D157" s="17" t="str">
        <x:v>fixed audit sample</x:v>
      </x:c>
    </x:row>
    <x:row r="158">
      <x:c r="A158" s="19" t="str">
        <x:v>HENAN_YIN_FAR_OVERLAY_CELL</x:v>
      </x:c>
      <x:c r="B158" s="19" t="str">
        <x:v>MIN_Y</x:v>
      </x:c>
      <x:c r="C158" s="19" t="n">
        <x:v>3563580.451937504</x:v>
      </x:c>
      <x:c r="D158" s="19" t="str">
        <x:v>fixed audit sample</x:v>
      </x:c>
    </x:row>
    <x:row r="159">
      <x:c r="A159" s="17" t="str">
        <x:v>HENAN_YIN_FAR_OVERLAY_CELL</x:v>
      </x:c>
      <x:c r="B159" s="17" t="str">
        <x:v>MAX_X</x:v>
      </x:c>
      <x:c r="C159" s="17" t="n">
        <x:v>288655.6040342278</x:v>
      </x:c>
      <x:c r="D159" s="17" t="str">
        <x:v>fixed audit sample</x:v>
      </x:c>
    </x:row>
    <x:row r="160">
      <x:c r="A160" s="19" t="str">
        <x:v>HENAN_YIN_FAR_OVERLAY_CELL</x:v>
      </x:c>
      <x:c r="B160" s="19" t="str">
        <x:v>MAX_Y</x:v>
      </x:c>
      <x:c r="C160" s="19" t="n">
        <x:v>3565580.451937504</x:v>
      </x:c>
      <x:c r="D160" s="19" t="str">
        <x:v>fixed audit sample</x:v>
      </x:c>
    </x:row>
    <x:row r="161">
      <x:c r="A161" s="17" t="str">
        <x:v>HENAN_YIN_FAR_OVERLAY_CELL</x:v>
      </x:c>
      <x:c r="B161" s="17" t="str">
        <x:v>CENTER_X</x:v>
      </x:c>
      <x:c r="C161" s="17" t="n">
        <x:v>287655.6040342278</x:v>
      </x:c>
      <x:c r="D161" s="17" t="str">
        <x:v>fixed audit sample</x:v>
      </x:c>
    </x:row>
    <x:row r="162">
      <x:c r="A162" s="19" t="str">
        <x:v>HENAN_YIN_FAR_OVERLAY_CELL</x:v>
      </x:c>
      <x:c r="B162" s="19" t="str">
        <x:v>CENTER_Y</x:v>
      </x:c>
      <x:c r="C162" s="19" t="n">
        <x:v>3564580.451937504</x:v>
      </x:c>
      <x:c r="D162" s="19" t="str">
        <x:v>fixed audit sample</x:v>
      </x:c>
    </x:row>
    <x:row r="163">
      <x:c r="A163" s="17" t="str">
        <x:v>HENAN_YIN_FAR_OVERLAY_CELL</x:v>
      </x:c>
      <x:c r="B163" s="17" t="str">
        <x:v>HENAN_LOCAL_CENTER_X</x:v>
      </x:c>
      <x:c r="C163" s="17" t="n">
        <x:v>25000</x:v>
      </x:c>
      <x:c r="D163" s="17" t="str">
        <x:v>fixed audit sample</x:v>
      </x:c>
    </x:row>
    <x:row r="164">
      <x:c r="A164" s="19" t="str">
        <x:v>HENAN_YIN_FAR_OVERLAY_CELL</x:v>
      </x:c>
      <x:c r="B164" s="19" t="str">
        <x:v>HENAN_LOCAL_CENTER_Y</x:v>
      </x:c>
      <x:c r="C164" s="19" t="n">
        <x:v>53000</x:v>
      </x:c>
      <x:c r="D164" s="19" t="str">
        <x:v>fixed audit sample</x:v>
      </x:c>
    </x:row>
    <x:row r="165">
      <x:c r="A165" s="17" t="str">
        <x:v>HENAN_YIN_FAR_OVERLAY_CELL</x:v>
      </x:c>
      <x:c r="B165" s="17" t="str">
        <x:v>CENTER_X_FORMULA</x:v>
      </x:c>
      <x:c r="C165" s="17" t="str">
        <x:v>GlobalOriginX + (GlobalColumn + 0.5) * CellSize</x:v>
      </x:c>
      <x:c r="D165" s="17" t="str">
        <x:v>fixed audit sample</x:v>
      </x:c>
    </x:row>
    <x:row r="166">
      <x:c r="A166" s="19" t="str">
        <x:v>HENAN_YIN_FAR_OVERLAY_CELL</x:v>
      </x:c>
      <x:c r="B166" s="19" t="str">
        <x:v>CENTER_Y_FORMULA</x:v>
      </x:c>
      <x:c r="C166" s="19" t="str">
        <x:v>GlobalOriginY - (GlobalRow + 0.5) * CellSize</x:v>
      </x:c>
      <x:c r="D166" s="19" t="str">
        <x:v>fixed audit sample</x:v>
      </x:c>
    </x:row>
    <x:row r="167">
      <x:c r="A167" s="17" t="str">
        <x:v>FORMULA</x:v>
      </x:c>
      <x:c r="B167" s="17" t="str">
        <x:v>CELL_CENTER_X</x:v>
      </x:c>
      <x:c r="C167" s="17" t="str">
        <x:v>GlobalOriginX + (GlobalColumn + 0.5) * CellSize</x:v>
      </x:c>
      <x:c r="D167" s="17" t="str">
        <x:v>canonical formula</x:v>
      </x:c>
    </x:row>
    <x:row r="168">
      <x:c r="A168" s="19" t="str">
        <x:v>FORMULA</x:v>
      </x:c>
      <x:c r="B168" s="19" t="str">
        <x:v>CELL_CENTER_Y</x:v>
      </x:c>
      <x:c r="C168" s="19" t="str">
        <x:v>GlobalOriginY - (GlobalRow + 0.5) * CellSize</x:v>
      </x:c>
      <x:c r="D168" s="19" t="str">
        <x:v>canonical formula</x:v>
      </x:c>
    </x:row>
    <x:row r="169">
      <x:c r="A169" s="17" t="str">
        <x:v>FORMULA</x:v>
      </x:c>
      <x:c r="B169" s="17" t="str">
        <x:v>REGION_LOCAL_X</x:v>
      </x:c>
      <x:c r="C169" s="17" t="str">
        <x:v>GlobalX - RegionOriginGlobalX</x:v>
      </x:c>
      <x:c r="D169" s="17" t="str">
        <x:v>canonical formula</x:v>
      </x:c>
    </x:row>
    <x:row r="170">
      <x:c r="A170" s="19" t="str">
        <x:v>FORMULA</x:v>
      </x:c>
      <x:c r="B170" s="19" t="str">
        <x:v>REGION_LOCAL_Y</x:v>
      </x:c>
      <x:c r="C170" s="19" t="str">
        <x:v>GlobalY - RegionOriginGlobalY</x:v>
      </x:c>
      <x:c r="D170" s="19" t="str">
        <x:v>canonical formula</x:v>
      </x:c>
    </x:row>
    <x:row r="171">
      <x:c r="A171" s="17" t="str">
        <x:v>FORMULA_CHECK</x:v>
      </x:c>
      <x:c r="B171" s="17" t="str">
        <x:v>GLOBAL_GRID_WIDTH_MISMATCH_M</x:v>
      </x:c>
      <x:c r="C171" s="17" t="n">
        <x:v>0</x:v>
      </x:c>
      <x:c r="D171" s="17" t="str">
        <x:v>PASS when zero</x:v>
      </x:c>
    </x:row>
    <x:row r="172">
      <x:c r="A172" s="19" t="str">
        <x:v>FORMULA_CHECK</x:v>
      </x:c>
      <x:c r="B172" s="19" t="str">
        <x:v>GLOBAL_GRID_HEIGHT_MISMATCH_M</x:v>
      </x:c>
      <x:c r="C172" s="19" t="n">
        <x:v>0</x:v>
      </x:c>
      <x:c r="D172" s="19" t="str">
        <x:v>PASS when zero</x:v>
      </x:c>
    </x:row>
    <x:row r="173">
      <x:c r="A173" s="17" t="str">
        <x:v>FORMULA_CHECK</x:v>
      </x:c>
      <x:c r="B173" s="17" t="str">
        <x:v>FIRST_CELL_ORIGIN_CORNER_MISMATCH_M</x:v>
      </x:c>
      <x:c r="C173" s="17" t="n">
        <x:v>0</x:v>
      </x:c>
      <x:c r="D173" s="17" t="str">
        <x:v>PASS when zero</x:v>
      </x:c>
    </x:row>
    <x:row r="174">
      <x:c r="A174" s="19" t="str">
        <x:v>FORMULA_CHECK</x:v>
      </x:c>
      <x:c r="B174" s="19" t="str">
        <x:v>SAMPLE_CELL_CENTER_FORMULA_MAX_ERROR_M</x:v>
      </x:c>
      <x:c r="C174" s="19" t="n">
        <x:v>0</x:v>
      </x:c>
      <x:c r="D174" s="19" t="str">
        <x:v>PASS when zero</x:v>
      </x:c>
    </x:row>
    <x:row r="175">
      <x:c r="A175" s="17" t="str">
        <x:v>FORMULA_CHECK</x:v>
      </x:c>
      <x:c r="B175" s="17" t="str">
        <x:v>REGION_LOCAL_ROUND_TRIP_MAX_ERROR_M</x:v>
      </x:c>
      <x:c r="C175" s="17" t="n">
        <x:v>0</x:v>
      </x:c>
      <x:c r="D175" s="17" t="str">
        <x:v>PASS when zero</x:v>
      </x:c>
    </x:row>
    <x:row r="176">
      <x:c r="A176" s="19" t="str">
        <x:v>FORMULA_CHECK</x:v>
      </x:c>
      <x:c r="B176" s="19" t="str">
        <x:v>HENAN_REGION_BOUNDING_VS_ACTUAL_CELL_COUNT_MISMATCH</x:v>
      </x:c>
      <x:c r="C176" s="19" t="n">
        <x:v>0</x:v>
      </x:c>
      <x:c r="D176" s="19" t="str">
        <x:v>PASS when zero</x:v>
      </x:c>
    </x:row>
    <x:row r="177">
      <x:c r="A177" s="17" t="str">
        <x:v>FORMULA_CHECK</x:v>
      </x:c>
      <x:c r="B177" s="17" t="str">
        <x:v>LUOYANG_ANCHOR_CELL_MAPPING_MISMATCH</x:v>
      </x:c>
      <x:c r="C177" s="17" t="n">
        <x:v>0</x:v>
      </x:c>
      <x:c r="D177" s="17" t="str">
        <x:v>PASS when zero</x:v>
      </x:c>
    </x:row>
  </x:sheetData>
  <x:pageMargins left="0.7" right="0.7" top="0.75" bottom="0.75" header="0.3" footer="0.3"/>
  <x:tableParts count="1">
    <x:tablePart xmlns:r="http://schemas.openxmlformats.org/officeDocument/2006/relationships" r:id="R1e77fc73f34c48a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4" hidden="0" customWidth="1"/>
  </x:cols>
  <x:sheetData>
    <x:row r="1">
      <x:c r="A1" s="20" t="str">
        <x:v>Parameter</x:v>
      </x:c>
      <x:c r="B1" s="20" t="str">
        <x:v>Value</x:v>
      </x:c>
    </x:row>
    <x:row r="2">
      <x:c r="A2" s="5" t="str">
        <x:v>GlobalOriginX</x:v>
      </x:c>
      <x:c r="B2" s="21" t="n">
        <x:v>-3417344.395965772</x:v>
      </x:c>
    </x:row>
    <x:row r="3">
      <x:c r="A3" s="5" t="str">
        <x:v>GlobalOriginY</x:v>
      </x:c>
      <x:c r="B3" s="21" t="n">
        <x:v>6199580.451937504</x:v>
      </x:c>
    </x:row>
    <x:row r="4">
      <x:c r="A4" s="5" t="str">
        <x:v>CellSizeM</x:v>
      </x:c>
      <x:c r="B4" s="21" t="n">
        <x:v>2000</x:v>
      </x:c>
    </x:row>
    <x:row r="5">
      <x:c r="A5" s="5" t="str">
        <x:v>HenanOriginX</x:v>
      </x:c>
      <x:c r="B5" s="21" t="n">
        <x:v>262655.6040342278</x:v>
      </x:c>
    </x:row>
    <x:row r="6">
      <x:c r="A6" s="5" t="str">
        <x:v>HenanOriginY</x:v>
      </x:c>
      <x:c r="B6" s="21" t="n">
        <x:v>3511580.451937504</x:v>
      </x:c>
    </x:row>
    <x:row r="7">
      <x:c r="A7" s="5" t="str">
        <x:v>GridColumns</x:v>
      </x:c>
      <x:c r="B7" s="21" t="n">
        <x:v>3314</x:v>
      </x:c>
    </x:row>
    <x:row r="8">
      <x:c r="A8" s="5" t="str">
        <x:v>GridRows</x:v>
      </x:c>
      <x:c r="B8" s="21" t="n">
        <x:v>2176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6" hidden="0" customWidth="1"/>
    <x:col min="3" max="3" width="16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</x:cols>
  <x:sheetData>
    <x:row r="1" ht="38" customHeight="1">
      <x:c r="A1" s="23" t="str">
        <x:v>Sample</x:v>
      </x:c>
      <x:c r="B1" s="23" t="str">
        <x:v>Row</x:v>
      </x:c>
      <x:c r="C1" s="23" t="str">
        <x:v>Column</x:v>
      </x:c>
      <x:c r="D1" s="23" t="str">
        <x:v>StoredCenterX</x:v>
      </x:c>
      <x:c r="E1" s="23" t="str">
        <x:v>StoredCenterY</x:v>
      </x:c>
      <x:c r="F1" s="23" t="str">
        <x:v>FormulaCenterX</x:v>
      </x:c>
      <x:c r="G1" s="23" t="str">
        <x:v>FormulaCenterY</x:v>
      </x:c>
      <x:c r="H1" s="23" t="str">
        <x:v>CenterXError</x:v>
      </x:c>
      <x:c r="I1" s="23" t="str">
        <x:v>CenterYError</x:v>
      </x:c>
      <x:c r="J1" s="23" t="str">
        <x:v>HenanLocalX</x:v>
      </x:c>
      <x:c r="K1" s="23" t="str">
        <x:v>HenanLocalY</x:v>
      </x:c>
      <x:c r="L1" s="23" t="str">
        <x:v>RoundTripXError</x:v>
      </x:c>
      <x:c r="M1" s="23" t="str">
        <x:v>RoundTripYError</x:v>
      </x:c>
    </x:row>
    <x:row r="2">
      <x:c r="A2" s="24" t="str">
        <x:v>LUOYANG_URBAN_CANONICAL_ANCHOR_CELL</x:v>
      </x:c>
      <x:c r="B2" s="25" t="n">
        <x:v>1241</x:v>
      </x:c>
      <x:c r="C2" s="25" t="n">
        <x:v>2043</x:v>
      </x:c>
      <x:c r="D2" s="24" t="n">
        <x:v>669655.6040342278</x:v>
      </x:c>
      <x:c r="E2" s="24" t="n">
        <x:v>3716580.451937504</x:v>
      </x:c>
      <x:c r="F2" s="24" t="n">
        <x:f>'参数'!$B$2+(C2+0.5)*'参数'!$B$4</x:f>
        <x:v>669655.6040342278</x:v>
      </x:c>
      <x:c r="G2" s="24" t="n">
        <x:f>'参数'!$B$3-(B2+0.5)*'参数'!$B$4</x:f>
        <x:v>3716580.451937504</x:v>
      </x:c>
      <x:c r="H2" s="24" t="n">
        <x:f>F2-D2</x:f>
        <x:v>0</x:v>
      </x:c>
      <x:c r="I2" s="24" t="n">
        <x:f>G2-E2</x:f>
        <x:v>0</x:v>
      </x:c>
      <x:c r="J2" s="24" t="n">
        <x:f>D2-'参数'!$B$5</x:f>
        <x:v>407000</x:v>
      </x:c>
      <x:c r="K2" s="24" t="n">
        <x:f>E2-'参数'!$B$6</x:f>
        <x:v>205000</x:v>
      </x:c>
      <x:c r="L2" s="24" t="n">
        <x:f>J2+'参数'!$B$5-D2</x:f>
        <x:v>0</x:v>
      </x:c>
      <x:c r="M2" s="24" t="n">
        <x:f>K2+'参数'!$B$6-E2</x:f>
        <x:v>0</x:v>
      </x:c>
    </x:row>
    <x:row r="3">
      <x:c r="A3" s="24" t="str">
        <x:v>LUOYANG_OUTER_SUBURB_CELL</x:v>
      </x:c>
      <x:c r="B3" s="25" t="n">
        <x:v>1241</x:v>
      </x:c>
      <x:c r="C3" s="25" t="n">
        <x:v>2057</x:v>
      </x:c>
      <x:c r="D3" s="24" t="n">
        <x:v>697655.6040342278</x:v>
      </x:c>
      <x:c r="E3" s="24" t="n">
        <x:v>3716580.451937504</x:v>
      </x:c>
      <x:c r="F3" s="24" t="n">
        <x:f>'参数'!$B$2+(C3+0.5)*'参数'!$B$4</x:f>
        <x:v>697655.6040342278</x:v>
      </x:c>
      <x:c r="G3" s="24" t="n">
        <x:f>'参数'!$B$3-(B3+0.5)*'参数'!$B$4</x:f>
        <x:v>3716580.451937504</x:v>
      </x:c>
      <x:c r="H3" s="24" t="n">
        <x:f>F3-D3</x:f>
        <x:v>0</x:v>
      </x:c>
      <x:c r="I3" s="24" t="n">
        <x:f>G3-E3</x:f>
        <x:v>0</x:v>
      </x:c>
      <x:c r="J3" s="24" t="n">
        <x:f>D3-'参数'!$B$5</x:f>
        <x:v>435000</x:v>
      </x:c>
      <x:c r="K3" s="24" t="n">
        <x:f>E3-'参数'!$B$6</x:f>
        <x:v>205000</x:v>
      </x:c>
      <x:c r="L3" s="24" t="n">
        <x:f>J3+'参数'!$B$5-D3</x:f>
        <x:v>0</x:v>
      </x:c>
      <x:c r="M3" s="24" t="n">
        <x:f>K3+'参数'!$B$6-E3</x:f>
        <x:v>0</x:v>
      </x:c>
    </x:row>
    <x:row r="4">
      <x:c r="A4" s="24" t="str">
        <x:v>HENAN_YIN_FAR_OVERLAY_CELL</x:v>
      </x:c>
      <x:c r="B4" s="25" t="n">
        <x:v>1317</x:v>
      </x:c>
      <x:c r="C4" s="25" t="n">
        <x:v>1852</x:v>
      </x:c>
      <x:c r="D4" s="24" t="n">
        <x:v>287655.6040342278</x:v>
      </x:c>
      <x:c r="E4" s="24" t="n">
        <x:v>3564580.451937504</x:v>
      </x:c>
      <x:c r="F4" s="24" t="n">
        <x:f>'参数'!$B$2+(C4+0.5)*'参数'!$B$4</x:f>
        <x:v>287655.6040342278</x:v>
      </x:c>
      <x:c r="G4" s="24" t="n">
        <x:f>'参数'!$B$3-(B4+0.5)*'参数'!$B$4</x:f>
        <x:v>3564580.451937504</x:v>
      </x:c>
      <x:c r="H4" s="24" t="n">
        <x:f>F4-D4</x:f>
        <x:v>0</x:v>
      </x:c>
      <x:c r="I4" s="24" t="n">
        <x:f>G4-E4</x:f>
        <x:v>0</x:v>
      </x:c>
      <x:c r="J4" s="24" t="n">
        <x:f>D4-'参数'!$B$5</x:f>
        <x:v>25000</x:v>
      </x:c>
      <x:c r="K4" s="24" t="n">
        <x:f>E4-'参数'!$B$6</x:f>
        <x:v>53000</x:v>
      </x:c>
      <x:c r="L4" s="24" t="n">
        <x:f>J4+'参数'!$B$5-D4</x:f>
        <x:v>0</x:v>
      </x:c>
      <x:c r="M4" s="24" t="n">
        <x:f>K4+'参数'!$B$6-E4</x:f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b780bbb73384f68"/>
  </x:tableParts>
</x:worksheet>
</file>